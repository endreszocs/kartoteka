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33f81537aedd25/Desktop/2026/Munkanaplo_Lelkeszi jelentes_Nyomtatvanyok/"/>
    </mc:Choice>
  </mc:AlternateContent>
  <xr:revisionPtr revIDLastSave="12" documentId="13_ncr:1_{857A2B89-A19D-468A-A995-B9A2E53D9C31}" xr6:coauthVersionLast="47" xr6:coauthVersionMax="47" xr10:uidLastSave="{F9605436-0997-4A37-8459-46CFD6F92D06}"/>
  <workbookProtection workbookAlgorithmName="SHA-512" workbookHashValue="w64RC8n+1HNKljsutvK5R/cJWyK+vky1GMtSMtVgoaS3JKhcS1lIiOjv1YcAilTTiqOJ6rbsX3VRwyunDJSH5g==" workbookSaltValue="KtA6w65FAWzNa6/3Hhkolg==" workbookSpinCount="100000" lockStructure="1"/>
  <bookViews>
    <workbookView xWindow="-120" yWindow="-120" windowWidth="29040" windowHeight="15720" xr2:uid="{00000000-000D-0000-FFFF-FFFF00000000}"/>
  </bookViews>
  <sheets>
    <sheet name="Iktato" sheetId="1" r:id="rId1"/>
    <sheet name="Irattari_leltar" sheetId="2" r:id="rId2"/>
    <sheet name="Nyomtathato_iktato" sheetId="3" r:id="rId3"/>
    <sheet name="Ugykorjegyzek_2024tol" sheetId="4" r:id="rId4"/>
    <sheet name="Szinek" sheetId="5" r:id="rId5"/>
  </sheets>
  <definedNames>
    <definedName name="_xlnm._FilterDatabase" localSheetId="0" hidden="1">Iktato!$E$2:$O$5000</definedName>
    <definedName name="IktNy">Nyomtathato_iktato!$A$6:INDEX(Nyomtathato_iktato!$F:$F,Nyomtathato_iktato!$N$1)</definedName>
    <definedName name="IratNy" localSheetId="1">Irattari_leltar!$A$6:INDEX(Irattari_leltar!$F:$F,Irattari_leltar!$K$1)</definedName>
    <definedName name="Nevek">Iktato!$AD$1:$AD$13</definedName>
    <definedName name="_xlnm.Print_Titles" localSheetId="1">Irattari_leltar!$6:$10</definedName>
    <definedName name="_xlnm.Print_Titles" localSheetId="2">Nyomtathato_iktato!$6:$10</definedName>
    <definedName name="_xlnm.Print_Area" localSheetId="1">Irattari_leltar!IratNy</definedName>
    <definedName name="_xlnm.Print_Area" localSheetId="2">IktNy</definedName>
    <definedName name="_xlnm.Print_Area" localSheetId="3">Ugykorjegyzek_2024tol!$B$1:$E$63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A6" i="3"/>
  <c r="A6" i="2"/>
  <c r="F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T3" i="1"/>
  <c r="P3" i="1" s="1"/>
  <c r="Q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Q79" i="1" l="1"/>
  <c r="P79" i="1"/>
  <c r="Q71" i="1"/>
  <c r="P71" i="1"/>
  <c r="P63" i="1"/>
  <c r="Q63" i="1"/>
  <c r="Q55" i="1"/>
  <c r="P55" i="1"/>
  <c r="Q47" i="1"/>
  <c r="P47" i="1"/>
  <c r="P39" i="1"/>
  <c r="Q39" i="1"/>
  <c r="Q31" i="1"/>
  <c r="P31" i="1"/>
  <c r="Q27" i="1"/>
  <c r="P27" i="1"/>
  <c r="Q19" i="1"/>
  <c r="P19" i="1"/>
  <c r="Q7" i="1"/>
  <c r="P7" i="1"/>
  <c r="Q78" i="1"/>
  <c r="P78" i="1"/>
  <c r="Q74" i="1"/>
  <c r="P74" i="1"/>
  <c r="Q70" i="1"/>
  <c r="P70" i="1"/>
  <c r="Q66" i="1"/>
  <c r="P66" i="1"/>
  <c r="Q62" i="1"/>
  <c r="P62" i="1"/>
  <c r="Q58" i="1"/>
  <c r="P58" i="1"/>
  <c r="Q54" i="1"/>
  <c r="P54" i="1"/>
  <c r="Q50" i="1"/>
  <c r="P50" i="1"/>
  <c r="Q46" i="1"/>
  <c r="P46" i="1"/>
  <c r="Q42" i="1"/>
  <c r="P42" i="1"/>
  <c r="Q38" i="1"/>
  <c r="P38" i="1"/>
  <c r="Q34" i="1"/>
  <c r="P34" i="1"/>
  <c r="Q30" i="1"/>
  <c r="P30" i="1"/>
  <c r="Q26" i="1"/>
  <c r="P26" i="1"/>
  <c r="Q22" i="1"/>
  <c r="P22" i="1"/>
  <c r="Q18" i="1"/>
  <c r="P18" i="1"/>
  <c r="Q14" i="1"/>
  <c r="P14" i="1"/>
  <c r="Q10" i="1"/>
  <c r="P10" i="1"/>
  <c r="Q6" i="1"/>
  <c r="P6" i="1"/>
  <c r="P75" i="1"/>
  <c r="Q75" i="1"/>
  <c r="Q67" i="1"/>
  <c r="P67" i="1"/>
  <c r="Q59" i="1"/>
  <c r="P59" i="1"/>
  <c r="P51" i="1"/>
  <c r="Q51" i="1"/>
  <c r="Q43" i="1"/>
  <c r="P43" i="1"/>
  <c r="Q35" i="1"/>
  <c r="P35" i="1"/>
  <c r="P23" i="1"/>
  <c r="Q23" i="1"/>
  <c r="Q11" i="1"/>
  <c r="P11" i="1"/>
  <c r="P81" i="1"/>
  <c r="Q81" i="1"/>
  <c r="Q77" i="1"/>
  <c r="P77" i="1"/>
  <c r="P73" i="1"/>
  <c r="Q73" i="1"/>
  <c r="P69" i="1"/>
  <c r="Q69" i="1"/>
  <c r="Q65" i="1"/>
  <c r="P65" i="1"/>
  <c r="P61" i="1"/>
  <c r="Q61" i="1"/>
  <c r="P57" i="1"/>
  <c r="Q57" i="1"/>
  <c r="Q53" i="1"/>
  <c r="P53" i="1"/>
  <c r="P49" i="1"/>
  <c r="Q49" i="1"/>
  <c r="P45" i="1"/>
  <c r="Q45" i="1"/>
  <c r="Q41" i="1"/>
  <c r="P41" i="1"/>
  <c r="P37" i="1"/>
  <c r="Q37" i="1"/>
  <c r="P33" i="1"/>
  <c r="Q33" i="1"/>
  <c r="P29" i="1"/>
  <c r="Q29" i="1"/>
  <c r="P25" i="1"/>
  <c r="Q25" i="1"/>
  <c r="Q21" i="1"/>
  <c r="P21" i="1"/>
  <c r="P17" i="1"/>
  <c r="Q17" i="1"/>
  <c r="P13" i="1"/>
  <c r="Q13" i="1"/>
  <c r="P9" i="1"/>
  <c r="Q9" i="1"/>
  <c r="Q5" i="1"/>
  <c r="P5" i="1"/>
  <c r="P15" i="1"/>
  <c r="Q15" i="1"/>
  <c r="P80" i="1"/>
  <c r="Q80" i="1"/>
  <c r="P76" i="1"/>
  <c r="Q76" i="1"/>
  <c r="P72" i="1"/>
  <c r="Q72" i="1"/>
  <c r="P68" i="1"/>
  <c r="Q68" i="1"/>
  <c r="P64" i="1"/>
  <c r="Q64" i="1"/>
  <c r="P60" i="1"/>
  <c r="Q60" i="1"/>
  <c r="P56" i="1"/>
  <c r="Q56" i="1"/>
  <c r="P52" i="1"/>
  <c r="Q52" i="1"/>
  <c r="P48" i="1"/>
  <c r="Q48" i="1"/>
  <c r="P44" i="1"/>
  <c r="Q44" i="1"/>
  <c r="P40" i="1"/>
  <c r="Q40" i="1"/>
  <c r="P36" i="1"/>
  <c r="Q36" i="1"/>
  <c r="P32" i="1"/>
  <c r="Q32" i="1"/>
  <c r="P28" i="1"/>
  <c r="Q28" i="1"/>
  <c r="P24" i="1"/>
  <c r="Q24" i="1"/>
  <c r="P20" i="1"/>
  <c r="Q20" i="1"/>
  <c r="P16" i="1"/>
  <c r="Q16" i="1"/>
  <c r="P12" i="1"/>
  <c r="Q12" i="1"/>
  <c r="P8" i="1"/>
  <c r="Q8" i="1"/>
  <c r="P4" i="1"/>
  <c r="Q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AH15" i="1"/>
  <c r="AH14" i="1"/>
  <c r="AD15" i="1"/>
  <c r="I2" i="2"/>
  <c r="I8" i="2" s="1"/>
  <c r="A7" i="2" l="1"/>
  <c r="Y2" i="1" l="1"/>
  <c r="I2" i="3" s="1"/>
  <c r="H651" i="1" l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I1" i="3" l="1"/>
  <c r="B1" i="1" s="1"/>
  <c r="A8" i="3" l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Y4" i="1"/>
  <c r="Y8" i="1" l="1"/>
  <c r="Y12" i="1"/>
  <c r="Y16" i="1"/>
  <c r="Y20" i="1"/>
  <c r="Y24" i="1"/>
  <c r="Y28" i="1"/>
  <c r="Y32" i="1"/>
  <c r="Y36" i="1"/>
  <c r="Y40" i="1"/>
  <c r="Y44" i="1"/>
  <c r="Y48" i="1"/>
  <c r="Y52" i="1"/>
  <c r="Y56" i="1"/>
  <c r="Y60" i="1"/>
  <c r="Y64" i="1"/>
  <c r="Y68" i="1"/>
  <c r="Y72" i="1"/>
  <c r="Y76" i="1"/>
  <c r="Y80" i="1"/>
  <c r="Y84" i="1"/>
  <c r="Y88" i="1"/>
  <c r="Y92" i="1"/>
  <c r="Y96" i="1"/>
  <c r="Y100" i="1"/>
  <c r="Y104" i="1"/>
  <c r="Y108" i="1"/>
  <c r="Y112" i="1"/>
  <c r="Y116" i="1"/>
  <c r="Y120" i="1"/>
  <c r="Y124" i="1"/>
  <c r="Y128" i="1"/>
  <c r="Y132" i="1"/>
  <c r="Y136" i="1"/>
  <c r="Y140" i="1"/>
  <c r="Y144" i="1"/>
  <c r="Y148" i="1"/>
  <c r="Y152" i="1"/>
  <c r="Y156" i="1"/>
  <c r="Y160" i="1"/>
  <c r="Y164" i="1"/>
  <c r="Y168" i="1"/>
  <c r="Y172" i="1"/>
  <c r="Y176" i="1"/>
  <c r="Y180" i="1"/>
  <c r="Y184" i="1"/>
  <c r="Y188" i="1"/>
  <c r="Y192" i="1"/>
  <c r="Y196" i="1"/>
  <c r="Y200" i="1"/>
  <c r="Y204" i="1"/>
  <c r="Y208" i="1"/>
  <c r="Y212" i="1"/>
  <c r="Y216" i="1"/>
  <c r="Y220" i="1"/>
  <c r="Y224" i="1"/>
  <c r="Y228" i="1"/>
  <c r="Y232" i="1"/>
  <c r="Y236" i="1"/>
  <c r="Y240" i="1"/>
  <c r="Y244" i="1"/>
  <c r="Y248" i="1"/>
  <c r="Y252" i="1"/>
  <c r="Y256" i="1"/>
  <c r="Y260" i="1"/>
  <c r="Y264" i="1"/>
  <c r="Y268" i="1"/>
  <c r="Y272" i="1"/>
  <c r="Y276" i="1"/>
  <c r="Y280" i="1"/>
  <c r="Y284" i="1"/>
  <c r="Y288" i="1"/>
  <c r="Y292" i="1"/>
  <c r="Y296" i="1"/>
  <c r="Y300" i="1"/>
  <c r="Y304" i="1"/>
  <c r="Y308" i="1"/>
  <c r="Y312" i="1"/>
  <c r="Y316" i="1"/>
  <c r="Y320" i="1"/>
  <c r="Y324" i="1"/>
  <c r="Y328" i="1"/>
  <c r="Y332" i="1"/>
  <c r="Y336" i="1"/>
  <c r="Y340" i="1"/>
  <c r="Y344" i="1"/>
  <c r="Y5" i="1"/>
  <c r="Y9" i="1"/>
  <c r="Y13" i="1"/>
  <c r="Y17" i="1"/>
  <c r="Y21" i="1"/>
  <c r="Y25" i="1"/>
  <c r="Y29" i="1"/>
  <c r="Y33" i="1"/>
  <c r="Y37" i="1"/>
  <c r="Y41" i="1"/>
  <c r="Y45" i="1"/>
  <c r="Y49" i="1"/>
  <c r="Y53" i="1"/>
  <c r="Y57" i="1"/>
  <c r="Y61" i="1"/>
  <c r="Y65" i="1"/>
  <c r="Y69" i="1"/>
  <c r="Y73" i="1"/>
  <c r="Y77" i="1"/>
  <c r="Y81" i="1"/>
  <c r="Y85" i="1"/>
  <c r="Y89" i="1"/>
  <c r="Y93" i="1"/>
  <c r="Y97" i="1"/>
  <c r="Y101" i="1"/>
  <c r="Y105" i="1"/>
  <c r="Y109" i="1"/>
  <c r="Y113" i="1"/>
  <c r="Y117" i="1"/>
  <c r="Y121" i="1"/>
  <c r="Y125" i="1"/>
  <c r="Y129" i="1"/>
  <c r="Y133" i="1"/>
  <c r="Y137" i="1"/>
  <c r="Y141" i="1"/>
  <c r="Y145" i="1"/>
  <c r="Y149" i="1"/>
  <c r="Y153" i="1"/>
  <c r="Y157" i="1"/>
  <c r="Y161" i="1"/>
  <c r="Y165" i="1"/>
  <c r="Y169" i="1"/>
  <c r="Y173" i="1"/>
  <c r="Y177" i="1"/>
  <c r="Y181" i="1"/>
  <c r="Y185" i="1"/>
  <c r="Y189" i="1"/>
  <c r="Y193" i="1"/>
  <c r="Y197" i="1"/>
  <c r="Y201" i="1"/>
  <c r="Y205" i="1"/>
  <c r="Y209" i="1"/>
  <c r="Y213" i="1"/>
  <c r="Y217" i="1"/>
  <c r="Y221" i="1"/>
  <c r="Y225" i="1"/>
  <c r="Y229" i="1"/>
  <c r="Y233" i="1"/>
  <c r="Y237" i="1"/>
  <c r="Y241" i="1"/>
  <c r="Y245" i="1"/>
  <c r="Y249" i="1"/>
  <c r="Y253" i="1"/>
  <c r="Y257" i="1"/>
  <c r="Y261" i="1"/>
  <c r="Y265" i="1"/>
  <c r="Y269" i="1"/>
  <c r="Y273" i="1"/>
  <c r="Y277" i="1"/>
  <c r="Y281" i="1"/>
  <c r="Y285" i="1"/>
  <c r="Y289" i="1"/>
  <c r="Y293" i="1"/>
  <c r="Y297" i="1"/>
  <c r="Y301" i="1"/>
  <c r="Y305" i="1"/>
  <c r="Y309" i="1"/>
  <c r="Y313" i="1"/>
  <c r="Y317" i="1"/>
  <c r="Y321" i="1"/>
  <c r="Y325" i="1"/>
  <c r="Y329" i="1"/>
  <c r="Y333" i="1"/>
  <c r="Y337" i="1"/>
  <c r="Y341" i="1"/>
  <c r="Y6" i="1"/>
  <c r="Y10" i="1"/>
  <c r="Y14" i="1"/>
  <c r="Y18" i="1"/>
  <c r="Y22" i="1"/>
  <c r="Y26" i="1"/>
  <c r="Y30" i="1"/>
  <c r="Y34" i="1"/>
  <c r="Y38" i="1"/>
  <c r="Y42" i="1"/>
  <c r="Y46" i="1"/>
  <c r="Y50" i="1"/>
  <c r="Y54" i="1"/>
  <c r="Y58" i="1"/>
  <c r="Y62" i="1"/>
  <c r="Y66" i="1"/>
  <c r="Y70" i="1"/>
  <c r="Y74" i="1"/>
  <c r="Y78" i="1"/>
  <c r="Y82" i="1"/>
  <c r="Y86" i="1"/>
  <c r="Y90" i="1"/>
  <c r="Y94" i="1"/>
  <c r="Y98" i="1"/>
  <c r="Y102" i="1"/>
  <c r="Y106" i="1"/>
  <c r="Y110" i="1"/>
  <c r="Y114" i="1"/>
  <c r="Y118" i="1"/>
  <c r="Y122" i="1"/>
  <c r="Y126" i="1"/>
  <c r="Y130" i="1"/>
  <c r="Y134" i="1"/>
  <c r="Y138" i="1"/>
  <c r="Y142" i="1"/>
  <c r="Y146" i="1"/>
  <c r="Y150" i="1"/>
  <c r="Y154" i="1"/>
  <c r="Y158" i="1"/>
  <c r="Y162" i="1"/>
  <c r="Y166" i="1"/>
  <c r="Y170" i="1"/>
  <c r="Y174" i="1"/>
  <c r="Y178" i="1"/>
  <c r="Y182" i="1"/>
  <c r="Y186" i="1"/>
  <c r="Y190" i="1"/>
  <c r="Y194" i="1"/>
  <c r="Y198" i="1"/>
  <c r="Y202" i="1"/>
  <c r="Y206" i="1"/>
  <c r="Y210" i="1"/>
  <c r="Y214" i="1"/>
  <c r="Y218" i="1"/>
  <c r="Y222" i="1"/>
  <c r="Y226" i="1"/>
  <c r="Y230" i="1"/>
  <c r="Y234" i="1"/>
  <c r="Y238" i="1"/>
  <c r="Y242" i="1"/>
  <c r="Y246" i="1"/>
  <c r="Y250" i="1"/>
  <c r="Y254" i="1"/>
  <c r="Y258" i="1"/>
  <c r="Y262" i="1"/>
  <c r="Y266" i="1"/>
  <c r="Y270" i="1"/>
  <c r="Y274" i="1"/>
  <c r="Y278" i="1"/>
  <c r="Y282" i="1"/>
  <c r="Y286" i="1"/>
  <c r="Y290" i="1"/>
  <c r="Y294" i="1"/>
  <c r="Y298" i="1"/>
  <c r="Y302" i="1"/>
  <c r="Y306" i="1"/>
  <c r="Y310" i="1"/>
  <c r="Y314" i="1"/>
  <c r="Y318" i="1"/>
  <c r="Y322" i="1"/>
  <c r="Y326" i="1"/>
  <c r="Y330" i="1"/>
  <c r="Y334" i="1"/>
  <c r="Y338" i="1"/>
  <c r="Y342" i="1"/>
  <c r="Y7" i="1"/>
  <c r="Y11" i="1"/>
  <c r="Y15" i="1"/>
  <c r="Y19" i="1"/>
  <c r="Y23" i="1"/>
  <c r="Y27" i="1"/>
  <c r="Y31" i="1"/>
  <c r="Y35" i="1"/>
  <c r="Y39" i="1"/>
  <c r="Y43" i="1"/>
  <c r="Y47" i="1"/>
  <c r="Y51" i="1"/>
  <c r="Y55" i="1"/>
  <c r="Y59" i="1"/>
  <c r="Y63" i="1"/>
  <c r="Y67" i="1"/>
  <c r="Y71" i="1"/>
  <c r="Y75" i="1"/>
  <c r="Y79" i="1"/>
  <c r="Y83" i="1"/>
  <c r="Y87" i="1"/>
  <c r="Y91" i="1"/>
  <c r="Y95" i="1"/>
  <c r="Y99" i="1"/>
  <c r="Y103" i="1"/>
  <c r="Y107" i="1"/>
  <c r="Y111" i="1"/>
  <c r="Y115" i="1"/>
  <c r="Y119" i="1"/>
  <c r="Y123" i="1"/>
  <c r="Y127" i="1"/>
  <c r="Y131" i="1"/>
  <c r="Y135" i="1"/>
  <c r="Y139" i="1"/>
  <c r="Y143" i="1"/>
  <c r="Y147" i="1"/>
  <c r="Y151" i="1"/>
  <c r="Y155" i="1"/>
  <c r="Y159" i="1"/>
  <c r="Y163" i="1"/>
  <c r="Y167" i="1"/>
  <c r="Y171" i="1"/>
  <c r="Y175" i="1"/>
  <c r="Y179" i="1"/>
  <c r="Y183" i="1"/>
  <c r="Y187" i="1"/>
  <c r="Y191" i="1"/>
  <c r="Y195" i="1"/>
  <c r="Y199" i="1"/>
  <c r="Y203" i="1"/>
  <c r="Y207" i="1"/>
  <c r="Y211" i="1"/>
  <c r="Y215" i="1"/>
  <c r="Y219" i="1"/>
  <c r="Y223" i="1"/>
  <c r="Y227" i="1"/>
  <c r="Y231" i="1"/>
  <c r="Y235" i="1"/>
  <c r="Y239" i="1"/>
  <c r="Y243" i="1"/>
  <c r="Y247" i="1"/>
  <c r="Y251" i="1"/>
  <c r="Y255" i="1"/>
  <c r="Y259" i="1"/>
  <c r="Y263" i="1"/>
  <c r="Y267" i="1"/>
  <c r="Y271" i="1"/>
  <c r="Y275" i="1"/>
  <c r="Y279" i="1"/>
  <c r="Y283" i="1"/>
  <c r="Y287" i="1"/>
  <c r="Y291" i="1"/>
  <c r="Y295" i="1"/>
  <c r="Y299" i="1"/>
  <c r="Y303" i="1"/>
  <c r="Y307" i="1"/>
  <c r="Y311" i="1"/>
  <c r="Y315" i="1"/>
  <c r="Y319" i="1"/>
  <c r="Y323" i="1"/>
  <c r="Y327" i="1"/>
  <c r="Y331" i="1"/>
  <c r="Y335" i="1"/>
  <c r="Y339" i="1"/>
  <c r="Y343" i="1"/>
  <c r="Y348" i="1"/>
  <c r="Y352" i="1"/>
  <c r="Y356" i="1"/>
  <c r="Y360" i="1"/>
  <c r="Y364" i="1"/>
  <c r="Y368" i="1"/>
  <c r="Y372" i="1"/>
  <c r="Y376" i="1"/>
  <c r="Y380" i="1"/>
  <c r="Y384" i="1"/>
  <c r="Y388" i="1"/>
  <c r="Y392" i="1"/>
  <c r="Y396" i="1"/>
  <c r="Y400" i="1"/>
  <c r="Y404" i="1"/>
  <c r="Y408" i="1"/>
  <c r="Y412" i="1"/>
  <c r="Y416" i="1"/>
  <c r="Y420" i="1"/>
  <c r="Y424" i="1"/>
  <c r="Y345" i="1"/>
  <c r="Y349" i="1"/>
  <c r="Y353" i="1"/>
  <c r="Y357" i="1"/>
  <c r="Y361" i="1"/>
  <c r="Y365" i="1"/>
  <c r="Y369" i="1"/>
  <c r="Y373" i="1"/>
  <c r="Y377" i="1"/>
  <c r="Y381" i="1"/>
  <c r="Y385" i="1"/>
  <c r="Y389" i="1"/>
  <c r="Y393" i="1"/>
  <c r="Y397" i="1"/>
  <c r="Y401" i="1"/>
  <c r="Y405" i="1"/>
  <c r="Y409" i="1"/>
  <c r="Y413" i="1"/>
  <c r="Y417" i="1"/>
  <c r="Y421" i="1"/>
  <c r="Y425" i="1"/>
  <c r="Y429" i="1"/>
  <c r="Y433" i="1"/>
  <c r="Y437" i="1"/>
  <c r="Y441" i="1"/>
  <c r="Y445" i="1"/>
  <c r="Y449" i="1"/>
  <c r="Y346" i="1"/>
  <c r="Y350" i="1"/>
  <c r="Y354" i="1"/>
  <c r="Y358" i="1"/>
  <c r="Y362" i="1"/>
  <c r="Y366" i="1"/>
  <c r="Y370" i="1"/>
  <c r="Y374" i="1"/>
  <c r="Y378" i="1"/>
  <c r="Y382" i="1"/>
  <c r="Y386" i="1"/>
  <c r="Y390" i="1"/>
  <c r="Y394" i="1"/>
  <c r="Y398" i="1"/>
  <c r="Y402" i="1"/>
  <c r="Y406" i="1"/>
  <c r="Y410" i="1"/>
  <c r="Y414" i="1"/>
  <c r="Y418" i="1"/>
  <c r="Y422" i="1"/>
  <c r="Y426" i="1"/>
  <c r="Y430" i="1"/>
  <c r="Y434" i="1"/>
  <c r="Y438" i="1"/>
  <c r="Y347" i="1"/>
  <c r="Y351" i="1"/>
  <c r="Y355" i="1"/>
  <c r="Y359" i="1"/>
  <c r="Y363" i="1"/>
  <c r="Y367" i="1"/>
  <c r="Y371" i="1"/>
  <c r="Y375" i="1"/>
  <c r="Y379" i="1"/>
  <c r="Y383" i="1"/>
  <c r="Y387" i="1"/>
  <c r="Y391" i="1"/>
  <c r="Y395" i="1"/>
  <c r="Y399" i="1"/>
  <c r="Y403" i="1"/>
  <c r="Y407" i="1"/>
  <c r="Y411" i="1"/>
  <c r="Y415" i="1"/>
  <c r="Y419" i="1"/>
  <c r="Y423" i="1"/>
  <c r="Y427" i="1"/>
  <c r="Y431" i="1"/>
  <c r="Y435" i="1"/>
  <c r="Y439" i="1"/>
  <c r="Y443" i="1"/>
  <c r="Y447" i="1"/>
  <c r="Y451" i="1"/>
  <c r="Y455" i="1"/>
  <c r="Y459" i="1"/>
  <c r="Y463" i="1"/>
  <c r="Y467" i="1"/>
  <c r="Y471" i="1"/>
  <c r="Y475" i="1"/>
  <c r="Y479" i="1"/>
  <c r="Y483" i="1"/>
  <c r="Y487" i="1"/>
  <c r="Y491" i="1"/>
  <c r="Y495" i="1"/>
  <c r="Y499" i="1"/>
  <c r="Y503" i="1"/>
  <c r="Y507" i="1"/>
  <c r="Y511" i="1"/>
  <c r="Y515" i="1"/>
  <c r="Y519" i="1"/>
  <c r="Y523" i="1"/>
  <c r="Y527" i="1"/>
  <c r="Y531" i="1"/>
  <c r="Y535" i="1"/>
  <c r="Y539" i="1"/>
  <c r="Y543" i="1"/>
  <c r="Y547" i="1"/>
  <c r="Y551" i="1"/>
  <c r="Y555" i="1"/>
  <c r="Y559" i="1"/>
  <c r="Y563" i="1"/>
  <c r="Y567" i="1"/>
  <c r="Y571" i="1"/>
  <c r="Y575" i="1"/>
  <c r="Y579" i="1"/>
  <c r="Y583" i="1"/>
  <c r="Y587" i="1"/>
  <c r="Y591" i="1"/>
  <c r="Y595" i="1"/>
  <c r="Y599" i="1"/>
  <c r="Y603" i="1"/>
  <c r="Y607" i="1"/>
  <c r="Y611" i="1"/>
  <c r="Y615" i="1"/>
  <c r="Y619" i="1"/>
  <c r="Y623" i="1"/>
  <c r="Y627" i="1"/>
  <c r="Y631" i="1"/>
  <c r="Y635" i="1"/>
  <c r="Y639" i="1"/>
  <c r="Y643" i="1"/>
  <c r="Y647" i="1"/>
  <c r="Y651" i="1"/>
  <c r="Y655" i="1"/>
  <c r="Y659" i="1"/>
  <c r="Y663" i="1"/>
  <c r="Y667" i="1"/>
  <c r="Y671" i="1"/>
  <c r="Y675" i="1"/>
  <c r="Y679" i="1"/>
  <c r="Y683" i="1"/>
  <c r="Y440" i="1"/>
  <c r="Y448" i="1"/>
  <c r="Y454" i="1"/>
  <c r="Y460" i="1"/>
  <c r="Y465" i="1"/>
  <c r="Y470" i="1"/>
  <c r="Y476" i="1"/>
  <c r="Y481" i="1"/>
  <c r="Y486" i="1"/>
  <c r="Y492" i="1"/>
  <c r="Y497" i="1"/>
  <c r="Y502" i="1"/>
  <c r="Y508" i="1"/>
  <c r="Y513" i="1"/>
  <c r="Y518" i="1"/>
  <c r="Y524" i="1"/>
  <c r="Y529" i="1"/>
  <c r="Y534" i="1"/>
  <c r="Y540" i="1"/>
  <c r="Y545" i="1"/>
  <c r="Y550" i="1"/>
  <c r="Y556" i="1"/>
  <c r="Y561" i="1"/>
  <c r="Y566" i="1"/>
  <c r="Y572" i="1"/>
  <c r="Y577" i="1"/>
  <c r="Y582" i="1"/>
  <c r="Y588" i="1"/>
  <c r="Y593" i="1"/>
  <c r="Y598" i="1"/>
  <c r="Y604" i="1"/>
  <c r="Y609" i="1"/>
  <c r="Y614" i="1"/>
  <c r="Y620" i="1"/>
  <c r="Y625" i="1"/>
  <c r="Y630" i="1"/>
  <c r="Y636" i="1"/>
  <c r="Y641" i="1"/>
  <c r="Y646" i="1"/>
  <c r="Y652" i="1"/>
  <c r="Y657" i="1"/>
  <c r="Y662" i="1"/>
  <c r="Y668" i="1"/>
  <c r="Y673" i="1"/>
  <c r="Y678" i="1"/>
  <c r="Y684" i="1"/>
  <c r="Y688" i="1"/>
  <c r="Y692" i="1"/>
  <c r="Y696" i="1"/>
  <c r="Y700" i="1"/>
  <c r="Y704" i="1"/>
  <c r="Y708" i="1"/>
  <c r="Y712" i="1"/>
  <c r="Y716" i="1"/>
  <c r="Y720" i="1"/>
  <c r="Y724" i="1"/>
  <c r="Y728" i="1"/>
  <c r="Y732" i="1"/>
  <c r="Y736" i="1"/>
  <c r="Y740" i="1"/>
  <c r="Y744" i="1"/>
  <c r="Y748" i="1"/>
  <c r="Y752" i="1"/>
  <c r="Y756" i="1"/>
  <c r="Y760" i="1"/>
  <c r="Y764" i="1"/>
  <c r="Y768" i="1"/>
  <c r="Y772" i="1"/>
  <c r="Y776" i="1"/>
  <c r="Y780" i="1"/>
  <c r="Y784" i="1"/>
  <c r="Y788" i="1"/>
  <c r="Y792" i="1"/>
  <c r="Y796" i="1"/>
  <c r="Y800" i="1"/>
  <c r="Y804" i="1"/>
  <c r="Y808" i="1"/>
  <c r="Y428" i="1"/>
  <c r="Y442" i="1"/>
  <c r="Y450" i="1"/>
  <c r="Y456" i="1"/>
  <c r="Y461" i="1"/>
  <c r="Y466" i="1"/>
  <c r="Y472" i="1"/>
  <c r="Y477" i="1"/>
  <c r="Y482" i="1"/>
  <c r="Y488" i="1"/>
  <c r="Y493" i="1"/>
  <c r="Y498" i="1"/>
  <c r="Y504" i="1"/>
  <c r="Y509" i="1"/>
  <c r="Y514" i="1"/>
  <c r="Y520" i="1"/>
  <c r="Y525" i="1"/>
  <c r="Y530" i="1"/>
  <c r="Y536" i="1"/>
  <c r="Y541" i="1"/>
  <c r="Y546" i="1"/>
  <c r="Y552" i="1"/>
  <c r="Y557" i="1"/>
  <c r="Y562" i="1"/>
  <c r="Y568" i="1"/>
  <c r="Y573" i="1"/>
  <c r="Y578" i="1"/>
  <c r="Y584" i="1"/>
  <c r="Y589" i="1"/>
  <c r="Y594" i="1"/>
  <c r="Y600" i="1"/>
  <c r="Y605" i="1"/>
  <c r="Y610" i="1"/>
  <c r="Y616" i="1"/>
  <c r="Y621" i="1"/>
  <c r="Y626" i="1"/>
  <c r="Y632" i="1"/>
  <c r="Y637" i="1"/>
  <c r="Y642" i="1"/>
  <c r="Y648" i="1"/>
  <c r="Y653" i="1"/>
  <c r="Y658" i="1"/>
  <c r="Y664" i="1"/>
  <c r="Y669" i="1"/>
  <c r="Y674" i="1"/>
  <c r="Y680" i="1"/>
  <c r="Y685" i="1"/>
  <c r="Y689" i="1"/>
  <c r="Y693" i="1"/>
  <c r="Y697" i="1"/>
  <c r="Y701" i="1"/>
  <c r="Y705" i="1"/>
  <c r="Y709" i="1"/>
  <c r="Y713" i="1"/>
  <c r="Y717" i="1"/>
  <c r="Y721" i="1"/>
  <c r="Y725" i="1"/>
  <c r="Y729" i="1"/>
  <c r="Y733" i="1"/>
  <c r="Y737" i="1"/>
  <c r="Y741" i="1"/>
  <c r="Y745" i="1"/>
  <c r="Y749" i="1"/>
  <c r="Y753" i="1"/>
  <c r="Y757" i="1"/>
  <c r="Y761" i="1"/>
  <c r="Y765" i="1"/>
  <c r="Y769" i="1"/>
  <c r="Y773" i="1"/>
  <c r="Y777" i="1"/>
  <c r="Y781" i="1"/>
  <c r="Y785" i="1"/>
  <c r="Y789" i="1"/>
  <c r="Y793" i="1"/>
  <c r="Y797" i="1"/>
  <c r="Y801" i="1"/>
  <c r="Y805" i="1"/>
  <c r="Y809" i="1"/>
  <c r="Y813" i="1"/>
  <c r="Y817" i="1"/>
  <c r="Y821" i="1"/>
  <c r="Y825" i="1"/>
  <c r="Y829" i="1"/>
  <c r="Y833" i="1"/>
  <c r="Y837" i="1"/>
  <c r="Y841" i="1"/>
  <c r="Y432" i="1"/>
  <c r="Y444" i="1"/>
  <c r="Y452" i="1"/>
  <c r="Y457" i="1"/>
  <c r="Y462" i="1"/>
  <c r="Y468" i="1"/>
  <c r="Y473" i="1"/>
  <c r="Y478" i="1"/>
  <c r="Y484" i="1"/>
  <c r="Y489" i="1"/>
  <c r="Y494" i="1"/>
  <c r="Y500" i="1"/>
  <c r="Y505" i="1"/>
  <c r="Y510" i="1"/>
  <c r="Y516" i="1"/>
  <c r="Y521" i="1"/>
  <c r="Y526" i="1"/>
  <c r="Y532" i="1"/>
  <c r="Y537" i="1"/>
  <c r="Y542" i="1"/>
  <c r="Y548" i="1"/>
  <c r="Y553" i="1"/>
  <c r="Y558" i="1"/>
  <c r="Y564" i="1"/>
  <c r="Y569" i="1"/>
  <c r="Y574" i="1"/>
  <c r="Y580" i="1"/>
  <c r="Y585" i="1"/>
  <c r="Y590" i="1"/>
  <c r="Y596" i="1"/>
  <c r="Y601" i="1"/>
  <c r="Y606" i="1"/>
  <c r="Y612" i="1"/>
  <c r="Y617" i="1"/>
  <c r="Y622" i="1"/>
  <c r="Y628" i="1"/>
  <c r="Y633" i="1"/>
  <c r="Y638" i="1"/>
  <c r="Y644" i="1"/>
  <c r="Y649" i="1"/>
  <c r="Y654" i="1"/>
  <c r="Y660" i="1"/>
  <c r="Y665" i="1"/>
  <c r="Y670" i="1"/>
  <c r="Y676" i="1"/>
  <c r="Y681" i="1"/>
  <c r="Y686" i="1"/>
  <c r="Y690" i="1"/>
  <c r="Y694" i="1"/>
  <c r="Y698" i="1"/>
  <c r="Y702" i="1"/>
  <c r="Y706" i="1"/>
  <c r="Y710" i="1"/>
  <c r="Y714" i="1"/>
  <c r="Y718" i="1"/>
  <c r="Y722" i="1"/>
  <c r="Y726" i="1"/>
  <c r="Y730" i="1"/>
  <c r="Y734" i="1"/>
  <c r="Y738" i="1"/>
  <c r="Y742" i="1"/>
  <c r="Y746" i="1"/>
  <c r="Y750" i="1"/>
  <c r="Y754" i="1"/>
  <c r="Y758" i="1"/>
  <c r="Y762" i="1"/>
  <c r="Y766" i="1"/>
  <c r="Y770" i="1"/>
  <c r="Y774" i="1"/>
  <c r="Y778" i="1"/>
  <c r="Y782" i="1"/>
  <c r="Y786" i="1"/>
  <c r="Y790" i="1"/>
  <c r="Y794" i="1"/>
  <c r="Y798" i="1"/>
  <c r="Y802" i="1"/>
  <c r="Y806" i="1"/>
  <c r="Y810" i="1"/>
  <c r="Y814" i="1"/>
  <c r="Y818" i="1"/>
  <c r="Y822" i="1"/>
  <c r="Y826" i="1"/>
  <c r="Y830" i="1"/>
  <c r="Y834" i="1"/>
  <c r="Y838" i="1"/>
  <c r="Y436" i="1"/>
  <c r="Y446" i="1"/>
  <c r="Y453" i="1"/>
  <c r="Y458" i="1"/>
  <c r="Y464" i="1"/>
  <c r="Y469" i="1"/>
  <c r="Y474" i="1"/>
  <c r="Y480" i="1"/>
  <c r="Y485" i="1"/>
  <c r="Y490" i="1"/>
  <c r="Y496" i="1"/>
  <c r="Y501" i="1"/>
  <c r="Y506" i="1"/>
  <c r="Y512" i="1"/>
  <c r="Y517" i="1"/>
  <c r="Y522" i="1"/>
  <c r="Y528" i="1"/>
  <c r="Y533" i="1"/>
  <c r="Y538" i="1"/>
  <c r="Y544" i="1"/>
  <c r="Y549" i="1"/>
  <c r="Y554" i="1"/>
  <c r="Y560" i="1"/>
  <c r="Y565" i="1"/>
  <c r="Y570" i="1"/>
  <c r="Y576" i="1"/>
  <c r="Y581" i="1"/>
  <c r="Y586" i="1"/>
  <c r="Y592" i="1"/>
  <c r="Y597" i="1"/>
  <c r="Y602" i="1"/>
  <c r="Y608" i="1"/>
  <c r="Y613" i="1"/>
  <c r="Y618" i="1"/>
  <c r="Y624" i="1"/>
  <c r="Y629" i="1"/>
  <c r="Y634" i="1"/>
  <c r="Y640" i="1"/>
  <c r="Y645" i="1"/>
  <c r="Y650" i="1"/>
  <c r="Y656" i="1"/>
  <c r="Y661" i="1"/>
  <c r="Y666" i="1"/>
  <c r="Y672" i="1"/>
  <c r="Y677" i="1"/>
  <c r="Y682" i="1"/>
  <c r="Y687" i="1"/>
  <c r="Y691" i="1"/>
  <c r="Y695" i="1"/>
  <c r="Y699" i="1"/>
  <c r="Y703" i="1"/>
  <c r="Y707" i="1"/>
  <c r="Y711" i="1"/>
  <c r="Y715" i="1"/>
  <c r="Y719" i="1"/>
  <c r="Y723" i="1"/>
  <c r="Y727" i="1"/>
  <c r="Y731" i="1"/>
  <c r="Y735" i="1"/>
  <c r="Y739" i="1"/>
  <c r="Y743" i="1"/>
  <c r="Y747" i="1"/>
  <c r="Y751" i="1"/>
  <c r="Y755" i="1"/>
  <c r="Y759" i="1"/>
  <c r="Y763" i="1"/>
  <c r="Y767" i="1"/>
  <c r="Y771" i="1"/>
  <c r="Y775" i="1"/>
  <c r="Y779" i="1"/>
  <c r="Y783" i="1"/>
  <c r="Y787" i="1"/>
  <c r="Y791" i="1"/>
  <c r="Y795" i="1"/>
  <c r="Y799" i="1"/>
  <c r="Y803" i="1"/>
  <c r="Y807" i="1"/>
  <c r="Y811" i="1"/>
  <c r="Y815" i="1"/>
  <c r="Y819" i="1"/>
  <c r="Y823" i="1"/>
  <c r="Y827" i="1"/>
  <c r="Y831" i="1"/>
  <c r="Y835" i="1"/>
  <c r="Y839" i="1"/>
  <c r="Y843" i="1"/>
  <c r="Y847" i="1"/>
  <c r="Y851" i="1"/>
  <c r="Y855" i="1"/>
  <c r="Y859" i="1"/>
  <c r="Y863" i="1"/>
  <c r="Y867" i="1"/>
  <c r="Y871" i="1"/>
  <c r="Y875" i="1"/>
  <c r="Y879" i="1"/>
  <c r="Y883" i="1"/>
  <c r="Y887" i="1"/>
  <c r="Y891" i="1"/>
  <c r="Y895" i="1"/>
  <c r="Y899" i="1"/>
  <c r="Y903" i="1"/>
  <c r="Y907" i="1"/>
  <c r="Y911" i="1"/>
  <c r="Y915" i="1"/>
  <c r="Y919" i="1"/>
  <c r="Y923" i="1"/>
  <c r="Y927" i="1"/>
  <c r="Y931" i="1"/>
  <c r="Y935" i="1"/>
  <c r="Y939" i="1"/>
  <c r="Y943" i="1"/>
  <c r="Y947" i="1"/>
  <c r="Y951" i="1"/>
  <c r="Y955" i="1"/>
  <c r="Y959" i="1"/>
  <c r="Y963" i="1"/>
  <c r="Y967" i="1"/>
  <c r="Y971" i="1"/>
  <c r="Y975" i="1"/>
  <c r="Y979" i="1"/>
  <c r="Y983" i="1"/>
  <c r="Y987" i="1"/>
  <c r="Y991" i="1"/>
  <c r="Y995" i="1"/>
  <c r="Y999" i="1"/>
  <c r="Y1003" i="1"/>
  <c r="Y1007" i="1"/>
  <c r="Y1011" i="1"/>
  <c r="Y1015" i="1"/>
  <c r="Y1019" i="1"/>
  <c r="Y1023" i="1"/>
  <c r="Y1027" i="1"/>
  <c r="Y1031" i="1"/>
  <c r="Y1035" i="1"/>
  <c r="Y1039" i="1"/>
  <c r="Y1043" i="1"/>
  <c r="Y1047" i="1"/>
  <c r="Y1051" i="1"/>
  <c r="Y1055" i="1"/>
  <c r="Y1059" i="1"/>
  <c r="Y1063" i="1"/>
  <c r="Y1067" i="1"/>
  <c r="Y1071" i="1"/>
  <c r="Y1075" i="1"/>
  <c r="Y1079" i="1"/>
  <c r="Y1083" i="1"/>
  <c r="Y1087" i="1"/>
  <c r="Y1091" i="1"/>
  <c r="Y1095" i="1"/>
  <c r="Y1099" i="1"/>
  <c r="Y1103" i="1"/>
  <c r="Y1107" i="1"/>
  <c r="Y824" i="1"/>
  <c r="Y840" i="1"/>
  <c r="Y846" i="1"/>
  <c r="Y852" i="1"/>
  <c r="Y857" i="1"/>
  <c r="Y862" i="1"/>
  <c r="Y868" i="1"/>
  <c r="Y873" i="1"/>
  <c r="Y878" i="1"/>
  <c r="Y884" i="1"/>
  <c r="Y889" i="1"/>
  <c r="Y894" i="1"/>
  <c r="Y900" i="1"/>
  <c r="Y905" i="1"/>
  <c r="Y910" i="1"/>
  <c r="Y916" i="1"/>
  <c r="Y921" i="1"/>
  <c r="Y926" i="1"/>
  <c r="Y932" i="1"/>
  <c r="Y937" i="1"/>
  <c r="Y942" i="1"/>
  <c r="Y948" i="1"/>
  <c r="Y953" i="1"/>
  <c r="Y958" i="1"/>
  <c r="Y964" i="1"/>
  <c r="Y969" i="1"/>
  <c r="Y974" i="1"/>
  <c r="Y980" i="1"/>
  <c r="Y985" i="1"/>
  <c r="Y990" i="1"/>
  <c r="Y996" i="1"/>
  <c r="Y1001" i="1"/>
  <c r="Y1006" i="1"/>
  <c r="Y1012" i="1"/>
  <c r="Y1017" i="1"/>
  <c r="Y1022" i="1"/>
  <c r="Y1028" i="1"/>
  <c r="Y1033" i="1"/>
  <c r="Y1038" i="1"/>
  <c r="Y1044" i="1"/>
  <c r="Y1049" i="1"/>
  <c r="Y1054" i="1"/>
  <c r="Y1060" i="1"/>
  <c r="Y1065" i="1"/>
  <c r="Y1070" i="1"/>
  <c r="Y1076" i="1"/>
  <c r="Y1081" i="1"/>
  <c r="Y1086" i="1"/>
  <c r="Y1092" i="1"/>
  <c r="Y1097" i="1"/>
  <c r="Y1102" i="1"/>
  <c r="Y1108" i="1"/>
  <c r="Y1112" i="1"/>
  <c r="Y1116" i="1"/>
  <c r="Y1120" i="1"/>
  <c r="Y1124" i="1"/>
  <c r="Y1128" i="1"/>
  <c r="Y1132" i="1"/>
  <c r="Y1136" i="1"/>
  <c r="Y1140" i="1"/>
  <c r="Y1144" i="1"/>
  <c r="Y1148" i="1"/>
  <c r="Y1152" i="1"/>
  <c r="Y1156" i="1"/>
  <c r="Y1160" i="1"/>
  <c r="Y1164" i="1"/>
  <c r="Y1168" i="1"/>
  <c r="Y1172" i="1"/>
  <c r="Y1176" i="1"/>
  <c r="Y1180" i="1"/>
  <c r="Y1184" i="1"/>
  <c r="Y1188" i="1"/>
  <c r="Y1192" i="1"/>
  <c r="Y1196" i="1"/>
  <c r="Y1200" i="1"/>
  <c r="Y1204" i="1"/>
  <c r="Y1208" i="1"/>
  <c r="Y1212" i="1"/>
  <c r="Y1216" i="1"/>
  <c r="Y1220" i="1"/>
  <c r="Y1224" i="1"/>
  <c r="Y1228" i="1"/>
  <c r="Y1232" i="1"/>
  <c r="Y1236" i="1"/>
  <c r="Y1240" i="1"/>
  <c r="Y812" i="1"/>
  <c r="Y828" i="1"/>
  <c r="Y842" i="1"/>
  <c r="Y848" i="1"/>
  <c r="Y853" i="1"/>
  <c r="Y858" i="1"/>
  <c r="Y864" i="1"/>
  <c r="Y869" i="1"/>
  <c r="Y874" i="1"/>
  <c r="Y880" i="1"/>
  <c r="Y885" i="1"/>
  <c r="Y890" i="1"/>
  <c r="Y896" i="1"/>
  <c r="Y901" i="1"/>
  <c r="Y906" i="1"/>
  <c r="Y912" i="1"/>
  <c r="Y917" i="1"/>
  <c r="Y922" i="1"/>
  <c r="Y928" i="1"/>
  <c r="Y933" i="1"/>
  <c r="Y938" i="1"/>
  <c r="Y944" i="1"/>
  <c r="Y949" i="1"/>
  <c r="Y954" i="1"/>
  <c r="Y960" i="1"/>
  <c r="Y965" i="1"/>
  <c r="Y970" i="1"/>
  <c r="Y976" i="1"/>
  <c r="Y981" i="1"/>
  <c r="Y986" i="1"/>
  <c r="Y992" i="1"/>
  <c r="Y997" i="1"/>
  <c r="Y1002" i="1"/>
  <c r="Y1008" i="1"/>
  <c r="Y1013" i="1"/>
  <c r="Y1018" i="1"/>
  <c r="Y1024" i="1"/>
  <c r="Y1029" i="1"/>
  <c r="Y1034" i="1"/>
  <c r="Y1040" i="1"/>
  <c r="Y1045" i="1"/>
  <c r="Y1050" i="1"/>
  <c r="Y1056" i="1"/>
  <c r="Y1061" i="1"/>
  <c r="Y1066" i="1"/>
  <c r="Y1072" i="1"/>
  <c r="Y1077" i="1"/>
  <c r="Y1082" i="1"/>
  <c r="Y1088" i="1"/>
  <c r="Y1093" i="1"/>
  <c r="Y1098" i="1"/>
  <c r="Y1104" i="1"/>
  <c r="Y1109" i="1"/>
  <c r="Y1113" i="1"/>
  <c r="Y1117" i="1"/>
  <c r="Y1121" i="1"/>
  <c r="Y1125" i="1"/>
  <c r="Y1129" i="1"/>
  <c r="Y1133" i="1"/>
  <c r="Y1137" i="1"/>
  <c r="Y1141" i="1"/>
  <c r="Y1145" i="1"/>
  <c r="Y1149" i="1"/>
  <c r="Y1153" i="1"/>
  <c r="Y1157" i="1"/>
  <c r="Y1161" i="1"/>
  <c r="Y1165" i="1"/>
  <c r="Y1169" i="1"/>
  <c r="Y1173" i="1"/>
  <c r="Y1177" i="1"/>
  <c r="Y1181" i="1"/>
  <c r="Y1185" i="1"/>
  <c r="Y1189" i="1"/>
  <c r="Y1193" i="1"/>
  <c r="Y1197" i="1"/>
  <c r="Y1201" i="1"/>
  <c r="Y1205" i="1"/>
  <c r="Y1209" i="1"/>
  <c r="Y1213" i="1"/>
  <c r="Y1217" i="1"/>
  <c r="Y1221" i="1"/>
  <c r="Y1225" i="1"/>
  <c r="Y1229" i="1"/>
  <c r="Y1233" i="1"/>
  <c r="Y1237" i="1"/>
  <c r="Y1241" i="1"/>
  <c r="Y1245" i="1"/>
  <c r="Y1249" i="1"/>
  <c r="Y1253" i="1"/>
  <c r="Y816" i="1"/>
  <c r="Y832" i="1"/>
  <c r="Y844" i="1"/>
  <c r="Y849" i="1"/>
  <c r="Y854" i="1"/>
  <c r="Y860" i="1"/>
  <c r="Y865" i="1"/>
  <c r="Y870" i="1"/>
  <c r="Y876" i="1"/>
  <c r="Y881" i="1"/>
  <c r="Y886" i="1"/>
  <c r="Y892" i="1"/>
  <c r="Y897" i="1"/>
  <c r="Y902" i="1"/>
  <c r="Y908" i="1"/>
  <c r="Y913" i="1"/>
  <c r="Y918" i="1"/>
  <c r="Y924" i="1"/>
  <c r="Y929" i="1"/>
  <c r="Y934" i="1"/>
  <c r="Y940" i="1"/>
  <c r="Y945" i="1"/>
  <c r="Y950" i="1"/>
  <c r="Y956" i="1"/>
  <c r="Y961" i="1"/>
  <c r="Y966" i="1"/>
  <c r="Y972" i="1"/>
  <c r="Y977" i="1"/>
  <c r="Y982" i="1"/>
  <c r="Y988" i="1"/>
  <c r="Y993" i="1"/>
  <c r="Y998" i="1"/>
  <c r="Y1004" i="1"/>
  <c r="Y1009" i="1"/>
  <c r="Y1014" i="1"/>
  <c r="Y1020" i="1"/>
  <c r="Y1025" i="1"/>
  <c r="Y1030" i="1"/>
  <c r="Y1036" i="1"/>
  <c r="Y1041" i="1"/>
  <c r="Y1046" i="1"/>
  <c r="Y1052" i="1"/>
  <c r="Y1057" i="1"/>
  <c r="Y1062" i="1"/>
  <c r="Y1068" i="1"/>
  <c r="Y1073" i="1"/>
  <c r="Y1078" i="1"/>
  <c r="Y1084" i="1"/>
  <c r="Y1089" i="1"/>
  <c r="Y1094" i="1"/>
  <c r="Y1100" i="1"/>
  <c r="Y1105" i="1"/>
  <c r="Y1110" i="1"/>
  <c r="Y1114" i="1"/>
  <c r="Y1118" i="1"/>
  <c r="Y1122" i="1"/>
  <c r="Y1126" i="1"/>
  <c r="Y1130" i="1"/>
  <c r="Y1134" i="1"/>
  <c r="Y1138" i="1"/>
  <c r="Y1142" i="1"/>
  <c r="Y1146" i="1"/>
  <c r="Y1150" i="1"/>
  <c r="Y1154" i="1"/>
  <c r="Y1158" i="1"/>
  <c r="Y1162" i="1"/>
  <c r="Y1166" i="1"/>
  <c r="Y1170" i="1"/>
  <c r="Y1174" i="1"/>
  <c r="Y1178" i="1"/>
  <c r="Y1182" i="1"/>
  <c r="Y1186" i="1"/>
  <c r="Y1190" i="1"/>
  <c r="Y1194" i="1"/>
  <c r="Y1198" i="1"/>
  <c r="Y1202" i="1"/>
  <c r="Y1206" i="1"/>
  <c r="Y1210" i="1"/>
  <c r="Y1214" i="1"/>
  <c r="Y1218" i="1"/>
  <c r="Y1222" i="1"/>
  <c r="Y1226" i="1"/>
  <c r="Y1230" i="1"/>
  <c r="Y1234" i="1"/>
  <c r="Y1238" i="1"/>
  <c r="Y1242" i="1"/>
  <c r="Y1246" i="1"/>
  <c r="Y1250" i="1"/>
  <c r="Y1254" i="1"/>
  <c r="Y820" i="1"/>
  <c r="Y836" i="1"/>
  <c r="Y845" i="1"/>
  <c r="Y850" i="1"/>
  <c r="Y856" i="1"/>
  <c r="Y861" i="1"/>
  <c r="Y866" i="1"/>
  <c r="Y872" i="1"/>
  <c r="Y877" i="1"/>
  <c r="Y882" i="1"/>
  <c r="Y888" i="1"/>
  <c r="Y893" i="1"/>
  <c r="Y898" i="1"/>
  <c r="Y904" i="1"/>
  <c r="Y909" i="1"/>
  <c r="Y914" i="1"/>
  <c r="Y920" i="1"/>
  <c r="Y925" i="1"/>
  <c r="Y930" i="1"/>
  <c r="Y936" i="1"/>
  <c r="Y941" i="1"/>
  <c r="Y946" i="1"/>
  <c r="Y952" i="1"/>
  <c r="Y957" i="1"/>
  <c r="Y962" i="1"/>
  <c r="Y968" i="1"/>
  <c r="Y973" i="1"/>
  <c r="Y978" i="1"/>
  <c r="Y984" i="1"/>
  <c r="Y989" i="1"/>
  <c r="Y994" i="1"/>
  <c r="Y1000" i="1"/>
  <c r="Y1005" i="1"/>
  <c r="Y1010" i="1"/>
  <c r="Y1016" i="1"/>
  <c r="Y1021" i="1"/>
  <c r="Y1026" i="1"/>
  <c r="Y1032" i="1"/>
  <c r="Y1037" i="1"/>
  <c r="Y1042" i="1"/>
  <c r="Y1048" i="1"/>
  <c r="Y1053" i="1"/>
  <c r="Y1058" i="1"/>
  <c r="Y1064" i="1"/>
  <c r="Y1069" i="1"/>
  <c r="Y1074" i="1"/>
  <c r="Y1080" i="1"/>
  <c r="Y1085" i="1"/>
  <c r="Y1090" i="1"/>
  <c r="Y1096" i="1"/>
  <c r="Y1101" i="1"/>
  <c r="Y1106" i="1"/>
  <c r="Y1111" i="1"/>
  <c r="Y1115" i="1"/>
  <c r="Y1119" i="1"/>
  <c r="Y1123" i="1"/>
  <c r="Y1127" i="1"/>
  <c r="Y1131" i="1"/>
  <c r="Y1135" i="1"/>
  <c r="Y1139" i="1"/>
  <c r="Y1143" i="1"/>
  <c r="Y1147" i="1"/>
  <c r="Y1151" i="1"/>
  <c r="Y1155" i="1"/>
  <c r="Y1159" i="1"/>
  <c r="Y1163" i="1"/>
  <c r="Y1167" i="1"/>
  <c r="Y1171" i="1"/>
  <c r="Y1175" i="1"/>
  <c r="Y1179" i="1"/>
  <c r="Y1183" i="1"/>
  <c r="Y1187" i="1"/>
  <c r="Y1191" i="1"/>
  <c r="Y1195" i="1"/>
  <c r="Y1199" i="1"/>
  <c r="Y1203" i="1"/>
  <c r="Y1207" i="1"/>
  <c r="Y1211" i="1"/>
  <c r="Y1215" i="1"/>
  <c r="Y1219" i="1"/>
  <c r="Y1223" i="1"/>
  <c r="Y1227" i="1"/>
  <c r="Y1231" i="1"/>
  <c r="Y1235" i="1"/>
  <c r="Y1239" i="1"/>
  <c r="Y1243" i="1"/>
  <c r="Y1247" i="1"/>
  <c r="Y1251" i="1"/>
  <c r="Y1255" i="1"/>
  <c r="Y1259" i="1"/>
  <c r="Y1263" i="1"/>
  <c r="Y1267" i="1"/>
  <c r="Y1271" i="1"/>
  <c r="Y1275" i="1"/>
  <c r="Y1279" i="1"/>
  <c r="Y1283" i="1"/>
  <c r="Y1287" i="1"/>
  <c r="Y1291" i="1"/>
  <c r="Y1295" i="1"/>
  <c r="Y1299" i="1"/>
  <c r="Y1303" i="1"/>
  <c r="Y1307" i="1"/>
  <c r="Y1311" i="1"/>
  <c r="Y1315" i="1"/>
  <c r="Y1319" i="1"/>
  <c r="Y1323" i="1"/>
  <c r="Y1327" i="1"/>
  <c r="Y1331" i="1"/>
  <c r="Y1335" i="1"/>
  <c r="Y1339" i="1"/>
  <c r="Y1343" i="1"/>
  <c r="Y1347" i="1"/>
  <c r="Y1351" i="1"/>
  <c r="Y1355" i="1"/>
  <c r="Y1359" i="1"/>
  <c r="Y1363" i="1"/>
  <c r="Y1367" i="1"/>
  <c r="Y1371" i="1"/>
  <c r="Y1375" i="1"/>
  <c r="Y1379" i="1"/>
  <c r="Y1383" i="1"/>
  <c r="Y1387" i="1"/>
  <c r="Y1391" i="1"/>
  <c r="Y1395" i="1"/>
  <c r="Y1399" i="1"/>
  <c r="Y1403" i="1"/>
  <c r="Y1407" i="1"/>
  <c r="Y1411" i="1"/>
  <c r="Y1415" i="1"/>
  <c r="Y1419" i="1"/>
  <c r="Y1423" i="1"/>
  <c r="Y1427" i="1"/>
  <c r="Y1431" i="1"/>
  <c r="Y1256" i="1"/>
  <c r="Y1261" i="1"/>
  <c r="Y1266" i="1"/>
  <c r="Y1272" i="1"/>
  <c r="Y1277" i="1"/>
  <c r="Y1282" i="1"/>
  <c r="Y1288" i="1"/>
  <c r="Y1293" i="1"/>
  <c r="Y1298" i="1"/>
  <c r="Y1304" i="1"/>
  <c r="Y1309" i="1"/>
  <c r="Y1314" i="1"/>
  <c r="Y1320" i="1"/>
  <c r="Y1325" i="1"/>
  <c r="Y1330" i="1"/>
  <c r="Y1336" i="1"/>
  <c r="Y1341" i="1"/>
  <c r="Y1346" i="1"/>
  <c r="Y1352" i="1"/>
  <c r="Y1357" i="1"/>
  <c r="Y1362" i="1"/>
  <c r="Y1368" i="1"/>
  <c r="Y1373" i="1"/>
  <c r="Y1378" i="1"/>
  <c r="Y1384" i="1"/>
  <c r="Y1389" i="1"/>
  <c r="Y1394" i="1"/>
  <c r="Y1400" i="1"/>
  <c r="Y1405" i="1"/>
  <c r="Y1410" i="1"/>
  <c r="Y1416" i="1"/>
  <c r="Y1421" i="1"/>
  <c r="Y1426" i="1"/>
  <c r="Y1432" i="1"/>
  <c r="Y1436" i="1"/>
  <c r="Y1440" i="1"/>
  <c r="Y1444" i="1"/>
  <c r="Y1448" i="1"/>
  <c r="Y1452" i="1"/>
  <c r="Y1456" i="1"/>
  <c r="Y1460" i="1"/>
  <c r="Y1464" i="1"/>
  <c r="Y1468" i="1"/>
  <c r="Y1472" i="1"/>
  <c r="Y1476" i="1"/>
  <c r="Y1480" i="1"/>
  <c r="Y1484" i="1"/>
  <c r="Y1488" i="1"/>
  <c r="Y1492" i="1"/>
  <c r="Y1496" i="1"/>
  <c r="Y1500" i="1"/>
  <c r="Y1504" i="1"/>
  <c r="Y1508" i="1"/>
  <c r="Y1512" i="1"/>
  <c r="Y1516" i="1"/>
  <c r="Y1520" i="1"/>
  <c r="Y1524" i="1"/>
  <c r="Y1528" i="1"/>
  <c r="Y1532" i="1"/>
  <c r="Y1536" i="1"/>
  <c r="Y1540" i="1"/>
  <c r="Y1544" i="1"/>
  <c r="Y1548" i="1"/>
  <c r="Y1552" i="1"/>
  <c r="Y1556" i="1"/>
  <c r="Y1560" i="1"/>
  <c r="Y1564" i="1"/>
  <c r="Y1568" i="1"/>
  <c r="Y1572" i="1"/>
  <c r="Y1576" i="1"/>
  <c r="Y1580" i="1"/>
  <c r="Y1584" i="1"/>
  <c r="Y1588" i="1"/>
  <c r="Y1592" i="1"/>
  <c r="Y1596" i="1"/>
  <c r="Y1600" i="1"/>
  <c r="Y1604" i="1"/>
  <c r="Y1608" i="1"/>
  <c r="Y1612" i="1"/>
  <c r="Y1616" i="1"/>
  <c r="Y1620" i="1"/>
  <c r="Y1624" i="1"/>
  <c r="Y1628" i="1"/>
  <c r="Y1632" i="1"/>
  <c r="Y1636" i="1"/>
  <c r="Y1640" i="1"/>
  <c r="Y1644" i="1"/>
  <c r="Y1648" i="1"/>
  <c r="Y1652" i="1"/>
  <c r="Y1656" i="1"/>
  <c r="Y1660" i="1"/>
  <c r="Y1664" i="1"/>
  <c r="Y1668" i="1"/>
  <c r="Y1672" i="1"/>
  <c r="Y1676" i="1"/>
  <c r="Y1680" i="1"/>
  <c r="Y1244" i="1"/>
  <c r="Y1257" i="1"/>
  <c r="Y1262" i="1"/>
  <c r="Y1268" i="1"/>
  <c r="Y1273" i="1"/>
  <c r="Y1278" i="1"/>
  <c r="Y1284" i="1"/>
  <c r="Y1289" i="1"/>
  <c r="Y1294" i="1"/>
  <c r="Y1300" i="1"/>
  <c r="Y1305" i="1"/>
  <c r="Y1310" i="1"/>
  <c r="Y1316" i="1"/>
  <c r="Y1321" i="1"/>
  <c r="Y1326" i="1"/>
  <c r="Y1332" i="1"/>
  <c r="Y1337" i="1"/>
  <c r="Y1342" i="1"/>
  <c r="Y1348" i="1"/>
  <c r="Y1353" i="1"/>
  <c r="Y1358" i="1"/>
  <c r="Y1364" i="1"/>
  <c r="Y1369" i="1"/>
  <c r="Y1374" i="1"/>
  <c r="Y1380" i="1"/>
  <c r="Y1385" i="1"/>
  <c r="Y1390" i="1"/>
  <c r="Y1396" i="1"/>
  <c r="Y1401" i="1"/>
  <c r="Y1406" i="1"/>
  <c r="Y1412" i="1"/>
  <c r="Y1417" i="1"/>
  <c r="Y1422" i="1"/>
  <c r="Y1428" i="1"/>
  <c r="Y1433" i="1"/>
  <c r="Y1437" i="1"/>
  <c r="Y1441" i="1"/>
  <c r="Y1445" i="1"/>
  <c r="Y1449" i="1"/>
  <c r="Y1453" i="1"/>
  <c r="Y1457" i="1"/>
  <c r="Y1461" i="1"/>
  <c r="Y1465" i="1"/>
  <c r="Y1469" i="1"/>
  <c r="Y1473" i="1"/>
  <c r="Y1477" i="1"/>
  <c r="Y1481" i="1"/>
  <c r="Y1485" i="1"/>
  <c r="Y1489" i="1"/>
  <c r="Y1493" i="1"/>
  <c r="Y1497" i="1"/>
  <c r="Y1501" i="1"/>
  <c r="Y1505" i="1"/>
  <c r="Y1509" i="1"/>
  <c r="Y1513" i="1"/>
  <c r="Y1517" i="1"/>
  <c r="Y1521" i="1"/>
  <c r="Y1525" i="1"/>
  <c r="Y1529" i="1"/>
  <c r="Y1533" i="1"/>
  <c r="Y1537" i="1"/>
  <c r="Y1541" i="1"/>
  <c r="Y1545" i="1"/>
  <c r="Y1549" i="1"/>
  <c r="Y1553" i="1"/>
  <c r="Y1557" i="1"/>
  <c r="Y1561" i="1"/>
  <c r="Y1565" i="1"/>
  <c r="Y1569" i="1"/>
  <c r="Y1573" i="1"/>
  <c r="Y1577" i="1"/>
  <c r="Y1581" i="1"/>
  <c r="Y1585" i="1"/>
  <c r="Y1589" i="1"/>
  <c r="Y1593" i="1"/>
  <c r="Y1597" i="1"/>
  <c r="Y1601" i="1"/>
  <c r="Y1605" i="1"/>
  <c r="Y1609" i="1"/>
  <c r="Y1613" i="1"/>
  <c r="Y1617" i="1"/>
  <c r="Y1621" i="1"/>
  <c r="Y1625" i="1"/>
  <c r="Y1629" i="1"/>
  <c r="Y1633" i="1"/>
  <c r="Y1637" i="1"/>
  <c r="Y1641" i="1"/>
  <c r="Y1645" i="1"/>
  <c r="Y1649" i="1"/>
  <c r="Y1653" i="1"/>
  <c r="Y1657" i="1"/>
  <c r="Y1661" i="1"/>
  <c r="Y1665" i="1"/>
  <c r="Y1669" i="1"/>
  <c r="Y1673" i="1"/>
  <c r="Y1677" i="1"/>
  <c r="Y1681" i="1"/>
  <c r="Y1685" i="1"/>
  <c r="Y1689" i="1"/>
  <c r="Y1693" i="1"/>
  <c r="Y1697" i="1"/>
  <c r="Y1248" i="1"/>
  <c r="Y1258" i="1"/>
  <c r="Y1264" i="1"/>
  <c r="Y1269" i="1"/>
  <c r="Y1274" i="1"/>
  <c r="Y1280" i="1"/>
  <c r="Y1285" i="1"/>
  <c r="Y1290" i="1"/>
  <c r="Y1296" i="1"/>
  <c r="Y1301" i="1"/>
  <c r="Y1306" i="1"/>
  <c r="Y1312" i="1"/>
  <c r="Y1317" i="1"/>
  <c r="Y1322" i="1"/>
  <c r="Y1328" i="1"/>
  <c r="Y1333" i="1"/>
  <c r="Y1338" i="1"/>
  <c r="Y1344" i="1"/>
  <c r="Y1349" i="1"/>
  <c r="Y1354" i="1"/>
  <c r="Y1360" i="1"/>
  <c r="Y1365" i="1"/>
  <c r="Y1370" i="1"/>
  <c r="Y1376" i="1"/>
  <c r="Y1381" i="1"/>
  <c r="Y1386" i="1"/>
  <c r="Y1392" i="1"/>
  <c r="Y1397" i="1"/>
  <c r="Y1402" i="1"/>
  <c r="Y1408" i="1"/>
  <c r="Y1413" i="1"/>
  <c r="Y1418" i="1"/>
  <c r="Y1424" i="1"/>
  <c r="Y1429" i="1"/>
  <c r="Y1434" i="1"/>
  <c r="Y1438" i="1"/>
  <c r="Y1442" i="1"/>
  <c r="Y1446" i="1"/>
  <c r="Y1450" i="1"/>
  <c r="Y1454" i="1"/>
  <c r="Y1458" i="1"/>
  <c r="Y1462" i="1"/>
  <c r="Y1466" i="1"/>
  <c r="Y1470" i="1"/>
  <c r="Y1474" i="1"/>
  <c r="Y1478" i="1"/>
  <c r="Y1482" i="1"/>
  <c r="Y1486" i="1"/>
  <c r="Y1490" i="1"/>
  <c r="Y1494" i="1"/>
  <c r="Y1498" i="1"/>
  <c r="Y1502" i="1"/>
  <c r="Y1506" i="1"/>
  <c r="Y1510" i="1"/>
  <c r="Y1514" i="1"/>
  <c r="Y1518" i="1"/>
  <c r="Y1522" i="1"/>
  <c r="Y1526" i="1"/>
  <c r="Y1530" i="1"/>
  <c r="Y1534" i="1"/>
  <c r="Y1538" i="1"/>
  <c r="Y1542" i="1"/>
  <c r="Y1546" i="1"/>
  <c r="Y1550" i="1"/>
  <c r="Y1554" i="1"/>
  <c r="Y1558" i="1"/>
  <c r="Y1562" i="1"/>
  <c r="Y1566" i="1"/>
  <c r="Y1570" i="1"/>
  <c r="Y1574" i="1"/>
  <c r="Y1578" i="1"/>
  <c r="Y1582" i="1"/>
  <c r="Y1586" i="1"/>
  <c r="Y1590" i="1"/>
  <c r="Y1594" i="1"/>
  <c r="Y1598" i="1"/>
  <c r="Y1602" i="1"/>
  <c r="Y1606" i="1"/>
  <c r="Y1610" i="1"/>
  <c r="Y1614" i="1"/>
  <c r="Y1618" i="1"/>
  <c r="Y1622" i="1"/>
  <c r="Y1626" i="1"/>
  <c r="Y1630" i="1"/>
  <c r="Y1634" i="1"/>
  <c r="Y1638" i="1"/>
  <c r="Y1642" i="1"/>
  <c r="Y1646" i="1"/>
  <c r="Y1650" i="1"/>
  <c r="Y1654" i="1"/>
  <c r="Y1658" i="1"/>
  <c r="Y1662" i="1"/>
  <c r="Y1666" i="1"/>
  <c r="Y1670" i="1"/>
  <c r="Y1674" i="1"/>
  <c r="Y1678" i="1"/>
  <c r="Y1682" i="1"/>
  <c r="Y1686" i="1"/>
  <c r="Y1690" i="1"/>
  <c r="Y1694" i="1"/>
  <c r="Y1252" i="1"/>
  <c r="Y1260" i="1"/>
  <c r="Y1265" i="1"/>
  <c r="Y1270" i="1"/>
  <c r="Y1276" i="1"/>
  <c r="Y1281" i="1"/>
  <c r="Y1286" i="1"/>
  <c r="Y1292" i="1"/>
  <c r="Y1297" i="1"/>
  <c r="Y1302" i="1"/>
  <c r="Y1308" i="1"/>
  <c r="Y1313" i="1"/>
  <c r="Y1318" i="1"/>
  <c r="Y1324" i="1"/>
  <c r="Y1329" i="1"/>
  <c r="Y1334" i="1"/>
  <c r="Y1340" i="1"/>
  <c r="Y1345" i="1"/>
  <c r="Y1350" i="1"/>
  <c r="Y1356" i="1"/>
  <c r="Y1361" i="1"/>
  <c r="Y1366" i="1"/>
  <c r="Y1372" i="1"/>
  <c r="Y1377" i="1"/>
  <c r="Y1382" i="1"/>
  <c r="Y1388" i="1"/>
  <c r="Y1393" i="1"/>
  <c r="Y1398" i="1"/>
  <c r="Y1404" i="1"/>
  <c r="Y1409" i="1"/>
  <c r="Y1414" i="1"/>
  <c r="Y1420" i="1"/>
  <c r="Y1425" i="1"/>
  <c r="Y1430" i="1"/>
  <c r="Y1435" i="1"/>
  <c r="Y1439" i="1"/>
  <c r="Y1443" i="1"/>
  <c r="Y1447" i="1"/>
  <c r="Y1451" i="1"/>
  <c r="Y1455" i="1"/>
  <c r="Y1459" i="1"/>
  <c r="Y1463" i="1"/>
  <c r="Y1467" i="1"/>
  <c r="Y1471" i="1"/>
  <c r="Y1475" i="1"/>
  <c r="Y1479" i="1"/>
  <c r="Y1483" i="1"/>
  <c r="Y1487" i="1"/>
  <c r="Y1491" i="1"/>
  <c r="Y1495" i="1"/>
  <c r="Y1499" i="1"/>
  <c r="Y1503" i="1"/>
  <c r="Y1507" i="1"/>
  <c r="Y1511" i="1"/>
  <c r="Y1515" i="1"/>
  <c r="Y1519" i="1"/>
  <c r="Y1523" i="1"/>
  <c r="Y1527" i="1"/>
  <c r="Y1531" i="1"/>
  <c r="Y1535" i="1"/>
  <c r="Y1539" i="1"/>
  <c r="Y1543" i="1"/>
  <c r="Y1547" i="1"/>
  <c r="Y1551" i="1"/>
  <c r="Y1555" i="1"/>
  <c r="Y1559" i="1"/>
  <c r="Y1563" i="1"/>
  <c r="Y1567" i="1"/>
  <c r="Y1571" i="1"/>
  <c r="Y1575" i="1"/>
  <c r="Y1579" i="1"/>
  <c r="Y1583" i="1"/>
  <c r="Y1587" i="1"/>
  <c r="Y1591" i="1"/>
  <c r="Y1595" i="1"/>
  <c r="Y1599" i="1"/>
  <c r="Y1603" i="1"/>
  <c r="Y1607" i="1"/>
  <c r="Y1611" i="1"/>
  <c r="Y1615" i="1"/>
  <c r="Y1619" i="1"/>
  <c r="Y1623" i="1"/>
  <c r="Y1627" i="1"/>
  <c r="Y1631" i="1"/>
  <c r="Y1635" i="1"/>
  <c r="Y1639" i="1"/>
  <c r="Y1643" i="1"/>
  <c r="Y1647" i="1"/>
  <c r="Y1651" i="1"/>
  <c r="Y1655" i="1"/>
  <c r="Y1659" i="1"/>
  <c r="Y1663" i="1"/>
  <c r="Y1667" i="1"/>
  <c r="Y1671" i="1"/>
  <c r="Y1675" i="1"/>
  <c r="Y1679" i="1"/>
  <c r="Y1683" i="1"/>
  <c r="Y1687" i="1"/>
  <c r="Y1691" i="1"/>
  <c r="Y1695" i="1"/>
  <c r="Y1699" i="1"/>
  <c r="Y1703" i="1"/>
  <c r="Y1707" i="1"/>
  <c r="Y1711" i="1"/>
  <c r="Y1715" i="1"/>
  <c r="Y1719" i="1"/>
  <c r="Y1723" i="1"/>
  <c r="Y1727" i="1"/>
  <c r="Y1731" i="1"/>
  <c r="Y1735" i="1"/>
  <c r="Y1739" i="1"/>
  <c r="Y1743" i="1"/>
  <c r="Y1747" i="1"/>
  <c r="Y1751" i="1"/>
  <c r="Y1755" i="1"/>
  <c r="Y1759" i="1"/>
  <c r="Y1763" i="1"/>
  <c r="Y1767" i="1"/>
  <c r="Y1771" i="1"/>
  <c r="Y1775" i="1"/>
  <c r="Y1779" i="1"/>
  <c r="Y1783" i="1"/>
  <c r="Y1787" i="1"/>
  <c r="Y1791" i="1"/>
  <c r="Y1795" i="1"/>
  <c r="Y1799" i="1"/>
  <c r="Y1803" i="1"/>
  <c r="Y1807" i="1"/>
  <c r="Y1811" i="1"/>
  <c r="Y1815" i="1"/>
  <c r="Y1819" i="1"/>
  <c r="Y1823" i="1"/>
  <c r="Y1827" i="1"/>
  <c r="Y1831" i="1"/>
  <c r="Y1835" i="1"/>
  <c r="Y1839" i="1"/>
  <c r="Y1843" i="1"/>
  <c r="Y1847" i="1"/>
  <c r="Y1851" i="1"/>
  <c r="Y1855" i="1"/>
  <c r="Y1859" i="1"/>
  <c r="Y1863" i="1"/>
  <c r="Y1867" i="1"/>
  <c r="Y1871" i="1"/>
  <c r="Y1875" i="1"/>
  <c r="Y1879" i="1"/>
  <c r="Y1883" i="1"/>
  <c r="Y1887" i="1"/>
  <c r="Y1891" i="1"/>
  <c r="Y1895" i="1"/>
  <c r="Y1899" i="1"/>
  <c r="Y1903" i="1"/>
  <c r="Y1907" i="1"/>
  <c r="Y1911" i="1"/>
  <c r="Y1915" i="1"/>
  <c r="Y1919" i="1"/>
  <c r="Y1923" i="1"/>
  <c r="Y1927" i="1"/>
  <c r="Y1931" i="1"/>
  <c r="Y1935" i="1"/>
  <c r="Y1939" i="1"/>
  <c r="Y1943" i="1"/>
  <c r="Y1947" i="1"/>
  <c r="Y1951" i="1"/>
  <c r="Y1955" i="1"/>
  <c r="Y1959" i="1"/>
  <c r="Y1963" i="1"/>
  <c r="Y1967" i="1"/>
  <c r="Y1971" i="1"/>
  <c r="Y1975" i="1"/>
  <c r="Y1696" i="1"/>
  <c r="Y1702" i="1"/>
  <c r="Y1708" i="1"/>
  <c r="Y1713" i="1"/>
  <c r="Y1718" i="1"/>
  <c r="Y1724" i="1"/>
  <c r="Y1729" i="1"/>
  <c r="Y1734" i="1"/>
  <c r="Y1740" i="1"/>
  <c r="Y1745" i="1"/>
  <c r="Y1750" i="1"/>
  <c r="Y1756" i="1"/>
  <c r="Y1761" i="1"/>
  <c r="Y1766" i="1"/>
  <c r="Y1772" i="1"/>
  <c r="Y1777" i="1"/>
  <c r="Y1782" i="1"/>
  <c r="Y1788" i="1"/>
  <c r="Y1793" i="1"/>
  <c r="Y1798" i="1"/>
  <c r="Y1804" i="1"/>
  <c r="Y1809" i="1"/>
  <c r="Y1814" i="1"/>
  <c r="Y1820" i="1"/>
  <c r="Y1825" i="1"/>
  <c r="Y1830" i="1"/>
  <c r="Y1836" i="1"/>
  <c r="Y1841" i="1"/>
  <c r="Y1846" i="1"/>
  <c r="Y1852" i="1"/>
  <c r="Y1857" i="1"/>
  <c r="Y1862" i="1"/>
  <c r="Y1868" i="1"/>
  <c r="Y1873" i="1"/>
  <c r="Y1878" i="1"/>
  <c r="Y1884" i="1"/>
  <c r="Y1889" i="1"/>
  <c r="Y1894" i="1"/>
  <c r="Y1900" i="1"/>
  <c r="Y1905" i="1"/>
  <c r="Y1910" i="1"/>
  <c r="Y1916" i="1"/>
  <c r="Y1921" i="1"/>
  <c r="Y1926" i="1"/>
  <c r="Y1932" i="1"/>
  <c r="Y1937" i="1"/>
  <c r="Y1942" i="1"/>
  <c r="Y1948" i="1"/>
  <c r="Y1953" i="1"/>
  <c r="Y1958" i="1"/>
  <c r="Y1964" i="1"/>
  <c r="Y1969" i="1"/>
  <c r="Y1974" i="1"/>
  <c r="Y1979" i="1"/>
  <c r="Y1983" i="1"/>
  <c r="Y1987" i="1"/>
  <c r="Y1991" i="1"/>
  <c r="Y1995" i="1"/>
  <c r="Y1999" i="1"/>
  <c r="Y2003" i="1"/>
  <c r="Y2007" i="1"/>
  <c r="Y2011" i="1"/>
  <c r="Y2015" i="1"/>
  <c r="Y2019" i="1"/>
  <c r="Y2023" i="1"/>
  <c r="Y2027" i="1"/>
  <c r="Y2031" i="1"/>
  <c r="Y2035" i="1"/>
  <c r="Y2039" i="1"/>
  <c r="Y2043" i="1"/>
  <c r="Y2047" i="1"/>
  <c r="Y2051" i="1"/>
  <c r="Y2055" i="1"/>
  <c r="Y2059" i="1"/>
  <c r="Y2063" i="1"/>
  <c r="Y2067" i="1"/>
  <c r="Y2071" i="1"/>
  <c r="Y2075" i="1"/>
  <c r="Y2079" i="1"/>
  <c r="Y2083" i="1"/>
  <c r="Y2087" i="1"/>
  <c r="Y2091" i="1"/>
  <c r="Y2095" i="1"/>
  <c r="Y2099" i="1"/>
  <c r="Y2103" i="1"/>
  <c r="Y2107" i="1"/>
  <c r="Y2111" i="1"/>
  <c r="Y2115" i="1"/>
  <c r="Y2119" i="1"/>
  <c r="Y2123" i="1"/>
  <c r="Y2127" i="1"/>
  <c r="Y2131" i="1"/>
  <c r="Y2135" i="1"/>
  <c r="Y2139" i="1"/>
  <c r="Y2143" i="1"/>
  <c r="Y2147" i="1"/>
  <c r="Y2151" i="1"/>
  <c r="Y2155" i="1"/>
  <c r="Y2159" i="1"/>
  <c r="Y2163" i="1"/>
  <c r="Y2167" i="1"/>
  <c r="Y2171" i="1"/>
  <c r="Y2175" i="1"/>
  <c r="Y2179" i="1"/>
  <c r="Y2183" i="1"/>
  <c r="Y2187" i="1"/>
  <c r="Y2191" i="1"/>
  <c r="Y2195" i="1"/>
  <c r="Y2199" i="1"/>
  <c r="Y2203" i="1"/>
  <c r="Y2207" i="1"/>
  <c r="Y2211" i="1"/>
  <c r="Y2215" i="1"/>
  <c r="Y2219" i="1"/>
  <c r="Y2223" i="1"/>
  <c r="Y2227" i="1"/>
  <c r="Y2231" i="1"/>
  <c r="Y2235" i="1"/>
  <c r="Y2239" i="1"/>
  <c r="Y2243" i="1"/>
  <c r="Y2247" i="1"/>
  <c r="Y2251" i="1"/>
  <c r="Y2255" i="1"/>
  <c r="Y2259" i="1"/>
  <c r="Y2263" i="1"/>
  <c r="Y2267" i="1"/>
  <c r="Y2271" i="1"/>
  <c r="Y2275" i="1"/>
  <c r="Y2279" i="1"/>
  <c r="Y2283" i="1"/>
  <c r="Y2287" i="1"/>
  <c r="Y2291" i="1"/>
  <c r="Y2295" i="1"/>
  <c r="Y2299" i="1"/>
  <c r="Y2303" i="1"/>
  <c r="Y2307" i="1"/>
  <c r="Y2311" i="1"/>
  <c r="Y2315" i="1"/>
  <c r="Y2319" i="1"/>
  <c r="Y2323" i="1"/>
  <c r="Y2327" i="1"/>
  <c r="Y2331" i="1"/>
  <c r="Y2335" i="1"/>
  <c r="Y2339" i="1"/>
  <c r="Y2343" i="1"/>
  <c r="Y2347" i="1"/>
  <c r="Y2351" i="1"/>
  <c r="Y2355" i="1"/>
  <c r="Y2359" i="1"/>
  <c r="Y2363" i="1"/>
  <c r="Y2367" i="1"/>
  <c r="Y2371" i="1"/>
  <c r="Y2375" i="1"/>
  <c r="Y2379" i="1"/>
  <c r="Y2383" i="1"/>
  <c r="Y2387" i="1"/>
  <c r="Y2391" i="1"/>
  <c r="Y2395" i="1"/>
  <c r="Y2399" i="1"/>
  <c r="Y2403" i="1"/>
  <c r="Y2407" i="1"/>
  <c r="Y2411" i="1"/>
  <c r="Y2415" i="1"/>
  <c r="Y2419" i="1"/>
  <c r="Y2423" i="1"/>
  <c r="Y2427" i="1"/>
  <c r="Y2431" i="1"/>
  <c r="Y2435" i="1"/>
  <c r="Y2439" i="1"/>
  <c r="Y2443" i="1"/>
  <c r="Y1684" i="1"/>
  <c r="Y1698" i="1"/>
  <c r="Y1704" i="1"/>
  <c r="Y1709" i="1"/>
  <c r="Y1714" i="1"/>
  <c r="Y1720" i="1"/>
  <c r="Y1725" i="1"/>
  <c r="Y1730" i="1"/>
  <c r="Y1736" i="1"/>
  <c r="Y1741" i="1"/>
  <c r="Y1746" i="1"/>
  <c r="Y1752" i="1"/>
  <c r="Y1757" i="1"/>
  <c r="Y1762" i="1"/>
  <c r="Y1768" i="1"/>
  <c r="Y1773" i="1"/>
  <c r="Y1778" i="1"/>
  <c r="Y1784" i="1"/>
  <c r="Y1789" i="1"/>
  <c r="Y1794" i="1"/>
  <c r="Y1800" i="1"/>
  <c r="Y1805" i="1"/>
  <c r="Y1810" i="1"/>
  <c r="Y1816" i="1"/>
  <c r="Y1821" i="1"/>
  <c r="Y1826" i="1"/>
  <c r="Y1832" i="1"/>
  <c r="Y1837" i="1"/>
  <c r="Y1842" i="1"/>
  <c r="Y1848" i="1"/>
  <c r="Y1853" i="1"/>
  <c r="Y1858" i="1"/>
  <c r="Y1864" i="1"/>
  <c r="Y1869" i="1"/>
  <c r="Y1874" i="1"/>
  <c r="Y1880" i="1"/>
  <c r="Y1885" i="1"/>
  <c r="Y1890" i="1"/>
  <c r="Y1896" i="1"/>
  <c r="Y1901" i="1"/>
  <c r="Y1906" i="1"/>
  <c r="Y1912" i="1"/>
  <c r="Y1917" i="1"/>
  <c r="Y1922" i="1"/>
  <c r="Y1928" i="1"/>
  <c r="Y1933" i="1"/>
  <c r="Y1938" i="1"/>
  <c r="Y1944" i="1"/>
  <c r="Y1949" i="1"/>
  <c r="Y1954" i="1"/>
  <c r="Y1960" i="1"/>
  <c r="Y1965" i="1"/>
  <c r="Y1970" i="1"/>
  <c r="Y1976" i="1"/>
  <c r="Y1980" i="1"/>
  <c r="Y1984" i="1"/>
  <c r="Y1988" i="1"/>
  <c r="Y1992" i="1"/>
  <c r="Y1996" i="1"/>
  <c r="Y2000" i="1"/>
  <c r="Y2004" i="1"/>
  <c r="Y2008" i="1"/>
  <c r="Y2012" i="1"/>
  <c r="Y2016" i="1"/>
  <c r="Y2020" i="1"/>
  <c r="Y2024" i="1"/>
  <c r="Y2028" i="1"/>
  <c r="Y2032" i="1"/>
  <c r="Y2036" i="1"/>
  <c r="Y2040" i="1"/>
  <c r="Y2044" i="1"/>
  <c r="Y2048" i="1"/>
  <c r="Y2052" i="1"/>
  <c r="Y2056" i="1"/>
  <c r="Y2060" i="1"/>
  <c r="Y2064" i="1"/>
  <c r="Y2068" i="1"/>
  <c r="Y2072" i="1"/>
  <c r="Y2076" i="1"/>
  <c r="Y2080" i="1"/>
  <c r="Y2084" i="1"/>
  <c r="Y2088" i="1"/>
  <c r="Y2092" i="1"/>
  <c r="Y2096" i="1"/>
  <c r="Y2100" i="1"/>
  <c r="Y2104" i="1"/>
  <c r="Y2108" i="1"/>
  <c r="Y2112" i="1"/>
  <c r="Y2116" i="1"/>
  <c r="Y2120" i="1"/>
  <c r="Y2124" i="1"/>
  <c r="Y2128" i="1"/>
  <c r="Y2132" i="1"/>
  <c r="Y2136" i="1"/>
  <c r="Y2140" i="1"/>
  <c r="Y2144" i="1"/>
  <c r="Y2148" i="1"/>
  <c r="Y2152" i="1"/>
  <c r="Y2156" i="1"/>
  <c r="Y2160" i="1"/>
  <c r="Y2164" i="1"/>
  <c r="Y2168" i="1"/>
  <c r="Y2172" i="1"/>
  <c r="Y2176" i="1"/>
  <c r="Y2180" i="1"/>
  <c r="Y2184" i="1"/>
  <c r="Y2188" i="1"/>
  <c r="Y2192" i="1"/>
  <c r="Y2196" i="1"/>
  <c r="Y2200" i="1"/>
  <c r="Y2204" i="1"/>
  <c r="Y2208" i="1"/>
  <c r="Y2212" i="1"/>
  <c r="Y2216" i="1"/>
  <c r="Y2220" i="1"/>
  <c r="Y2224" i="1"/>
  <c r="Y2228" i="1"/>
  <c r="Y2232" i="1"/>
  <c r="Y2236" i="1"/>
  <c r="Y2240" i="1"/>
  <c r="Y2244" i="1"/>
  <c r="Y2248" i="1"/>
  <c r="Y2252" i="1"/>
  <c r="Y2256" i="1"/>
  <c r="Y2260" i="1"/>
  <c r="Y2264" i="1"/>
  <c r="Y2268" i="1"/>
  <c r="Y2272" i="1"/>
  <c r="Y2276" i="1"/>
  <c r="Y2280" i="1"/>
  <c r="Y2284" i="1"/>
  <c r="Y2288" i="1"/>
  <c r="Y2292" i="1"/>
  <c r="Y2296" i="1"/>
  <c r="Y2300" i="1"/>
  <c r="Y2304" i="1"/>
  <c r="Y2308" i="1"/>
  <c r="Y2312" i="1"/>
  <c r="Y2316" i="1"/>
  <c r="Y2320" i="1"/>
  <c r="Y2324" i="1"/>
  <c r="Y2328" i="1"/>
  <c r="Y2332" i="1"/>
  <c r="Y2336" i="1"/>
  <c r="Y2340" i="1"/>
  <c r="Y2344" i="1"/>
  <c r="Y2348" i="1"/>
  <c r="Y2352" i="1"/>
  <c r="Y2356" i="1"/>
  <c r="Y2360" i="1"/>
  <c r="Y2364" i="1"/>
  <c r="Y2368" i="1"/>
  <c r="Y2372" i="1"/>
  <c r="Y2376" i="1"/>
  <c r="Y2380" i="1"/>
  <c r="Y2384" i="1"/>
  <c r="Y2388" i="1"/>
  <c r="Y2392" i="1"/>
  <c r="Y2396" i="1"/>
  <c r="Y2400" i="1"/>
  <c r="Y2404" i="1"/>
  <c r="Y2408" i="1"/>
  <c r="Y2412" i="1"/>
  <c r="Y2416" i="1"/>
  <c r="Y2420" i="1"/>
  <c r="Y2424" i="1"/>
  <c r="Y2428" i="1"/>
  <c r="Y2432" i="1"/>
  <c r="Y2436" i="1"/>
  <c r="Y2440" i="1"/>
  <c r="Y1688" i="1"/>
  <c r="Y1700" i="1"/>
  <c r="Y1705" i="1"/>
  <c r="Y1710" i="1"/>
  <c r="Y1716" i="1"/>
  <c r="Y1721" i="1"/>
  <c r="Y1726" i="1"/>
  <c r="Y1732" i="1"/>
  <c r="Y1737" i="1"/>
  <c r="Y1742" i="1"/>
  <c r="Y1748" i="1"/>
  <c r="Y1753" i="1"/>
  <c r="Y1758" i="1"/>
  <c r="Y1764" i="1"/>
  <c r="Y1769" i="1"/>
  <c r="Y1774" i="1"/>
  <c r="Y1780" i="1"/>
  <c r="Y1785" i="1"/>
  <c r="Y1790" i="1"/>
  <c r="Y1796" i="1"/>
  <c r="Y1801" i="1"/>
  <c r="Y1806" i="1"/>
  <c r="Y1812" i="1"/>
  <c r="Y1817" i="1"/>
  <c r="Y1822" i="1"/>
  <c r="Y1828" i="1"/>
  <c r="Y1833" i="1"/>
  <c r="Y1838" i="1"/>
  <c r="Y1844" i="1"/>
  <c r="Y1849" i="1"/>
  <c r="Y1854" i="1"/>
  <c r="Y1860" i="1"/>
  <c r="Y1865" i="1"/>
  <c r="Y1870" i="1"/>
  <c r="Y1876" i="1"/>
  <c r="Y1881" i="1"/>
  <c r="Y1886" i="1"/>
  <c r="Y1892" i="1"/>
  <c r="Y1897" i="1"/>
  <c r="Y1902" i="1"/>
  <c r="Y1908" i="1"/>
  <c r="Y1913" i="1"/>
  <c r="Y1918" i="1"/>
  <c r="Y1924" i="1"/>
  <c r="Y1929" i="1"/>
  <c r="Y1934" i="1"/>
  <c r="Y1940" i="1"/>
  <c r="Y1945" i="1"/>
  <c r="Y1950" i="1"/>
  <c r="Y1956" i="1"/>
  <c r="Y1961" i="1"/>
  <c r="Y1966" i="1"/>
  <c r="Y1972" i="1"/>
  <c r="Y1977" i="1"/>
  <c r="Y1981" i="1"/>
  <c r="Y1985" i="1"/>
  <c r="Y1989" i="1"/>
  <c r="Y1993" i="1"/>
  <c r="Y1997" i="1"/>
  <c r="Y2001" i="1"/>
  <c r="Y2005" i="1"/>
  <c r="Y2009" i="1"/>
  <c r="Y2013" i="1"/>
  <c r="Y2017" i="1"/>
  <c r="Y2021" i="1"/>
  <c r="Y2025" i="1"/>
  <c r="Y2029" i="1"/>
  <c r="Y2033" i="1"/>
  <c r="Y2037" i="1"/>
  <c r="Y2041" i="1"/>
  <c r="Y2045" i="1"/>
  <c r="Y2049" i="1"/>
  <c r="Y2053" i="1"/>
  <c r="Y2057" i="1"/>
  <c r="Y2061" i="1"/>
  <c r="Y2065" i="1"/>
  <c r="Y2069" i="1"/>
  <c r="Y2073" i="1"/>
  <c r="Y2077" i="1"/>
  <c r="Y2081" i="1"/>
  <c r="Y2085" i="1"/>
  <c r="Y2089" i="1"/>
  <c r="Y2093" i="1"/>
  <c r="Y2097" i="1"/>
  <c r="Y2101" i="1"/>
  <c r="Y2105" i="1"/>
  <c r="Y2109" i="1"/>
  <c r="Y2113" i="1"/>
  <c r="Y2117" i="1"/>
  <c r="Y2121" i="1"/>
  <c r="Y2125" i="1"/>
  <c r="Y2129" i="1"/>
  <c r="Y2133" i="1"/>
  <c r="Y2137" i="1"/>
  <c r="Y2141" i="1"/>
  <c r="Y2145" i="1"/>
  <c r="Y2149" i="1"/>
  <c r="Y2153" i="1"/>
  <c r="Y2157" i="1"/>
  <c r="Y2161" i="1"/>
  <c r="Y2165" i="1"/>
  <c r="Y2169" i="1"/>
  <c r="Y2173" i="1"/>
  <c r="Y2177" i="1"/>
  <c r="Y2181" i="1"/>
  <c r="Y2185" i="1"/>
  <c r="Y2189" i="1"/>
  <c r="Y2193" i="1"/>
  <c r="Y2197" i="1"/>
  <c r="Y2201" i="1"/>
  <c r="Y2205" i="1"/>
  <c r="Y2209" i="1"/>
  <c r="Y2213" i="1"/>
  <c r="Y2217" i="1"/>
  <c r="Y2221" i="1"/>
  <c r="Y2225" i="1"/>
  <c r="Y2229" i="1"/>
  <c r="Y2233" i="1"/>
  <c r="Y2237" i="1"/>
  <c r="Y2241" i="1"/>
  <c r="Y2245" i="1"/>
  <c r="Y2249" i="1"/>
  <c r="Y2253" i="1"/>
  <c r="Y2257" i="1"/>
  <c r="Y2261" i="1"/>
  <c r="Y2265" i="1"/>
  <c r="Y2269" i="1"/>
  <c r="Y2273" i="1"/>
  <c r="Y2277" i="1"/>
  <c r="Y2281" i="1"/>
  <c r="Y2285" i="1"/>
  <c r="Y2289" i="1"/>
  <c r="Y2293" i="1"/>
  <c r="Y2297" i="1"/>
  <c r="Y2301" i="1"/>
  <c r="Y2305" i="1"/>
  <c r="Y2309" i="1"/>
  <c r="Y2313" i="1"/>
  <c r="Y2317" i="1"/>
  <c r="Y2321" i="1"/>
  <c r="Y2325" i="1"/>
  <c r="Y2329" i="1"/>
  <c r="Y2333" i="1"/>
  <c r="Y2337" i="1"/>
  <c r="Y2341" i="1"/>
  <c r="Y2345" i="1"/>
  <c r="Y2349" i="1"/>
  <c r="Y2353" i="1"/>
  <c r="Y2357" i="1"/>
  <c r="Y2361" i="1"/>
  <c r="Y2365" i="1"/>
  <c r="Y2369" i="1"/>
  <c r="Y2373" i="1"/>
  <c r="Y2377" i="1"/>
  <c r="Y2381" i="1"/>
  <c r="Y2385" i="1"/>
  <c r="Y2389" i="1"/>
  <c r="Y2393" i="1"/>
  <c r="Y2397" i="1"/>
  <c r="Y2401" i="1"/>
  <c r="Y2405" i="1"/>
  <c r="Y2409" i="1"/>
  <c r="Y2413" i="1"/>
  <c r="Y2417" i="1"/>
  <c r="Y1692" i="1"/>
  <c r="Y1701" i="1"/>
  <c r="Y1706" i="1"/>
  <c r="Y1712" i="1"/>
  <c r="Y1717" i="1"/>
  <c r="Y1722" i="1"/>
  <c r="Y1728" i="1"/>
  <c r="Y1733" i="1"/>
  <c r="Y1738" i="1"/>
  <c r="Y1744" i="1"/>
  <c r="Y1749" i="1"/>
  <c r="Y1754" i="1"/>
  <c r="Y1760" i="1"/>
  <c r="Y1765" i="1"/>
  <c r="Y1770" i="1"/>
  <c r="Y1776" i="1"/>
  <c r="Y1781" i="1"/>
  <c r="Y1786" i="1"/>
  <c r="Y1792" i="1"/>
  <c r="Y1797" i="1"/>
  <c r="Y1802" i="1"/>
  <c r="Y1808" i="1"/>
  <c r="Y1813" i="1"/>
  <c r="Y1818" i="1"/>
  <c r="Y1824" i="1"/>
  <c r="Y1829" i="1"/>
  <c r="Y1834" i="1"/>
  <c r="Y1840" i="1"/>
  <c r="Y1845" i="1"/>
  <c r="Y1850" i="1"/>
  <c r="Y1856" i="1"/>
  <c r="Y1861" i="1"/>
  <c r="Y1866" i="1"/>
  <c r="Y1872" i="1"/>
  <c r="Y1877" i="1"/>
  <c r="Y1882" i="1"/>
  <c r="Y1888" i="1"/>
  <c r="Y1893" i="1"/>
  <c r="Y1898" i="1"/>
  <c r="Y1904" i="1"/>
  <c r="Y1909" i="1"/>
  <c r="Y1914" i="1"/>
  <c r="Y1920" i="1"/>
  <c r="Y1925" i="1"/>
  <c r="Y1930" i="1"/>
  <c r="Y1936" i="1"/>
  <c r="Y1941" i="1"/>
  <c r="Y1946" i="1"/>
  <c r="Y1952" i="1"/>
  <c r="Y1957" i="1"/>
  <c r="Y1962" i="1"/>
  <c r="Y1968" i="1"/>
  <c r="Y1973" i="1"/>
  <c r="Y1978" i="1"/>
  <c r="Y1982" i="1"/>
  <c r="Y1986" i="1"/>
  <c r="Y1990" i="1"/>
  <c r="Y1994" i="1"/>
  <c r="Y1998" i="1"/>
  <c r="Y2002" i="1"/>
  <c r="Y2006" i="1"/>
  <c r="Y2010" i="1"/>
  <c r="Y2014" i="1"/>
  <c r="Y2018" i="1"/>
  <c r="Y2022" i="1"/>
  <c r="Y2026" i="1"/>
  <c r="Y2030" i="1"/>
  <c r="Y2034" i="1"/>
  <c r="Y2038" i="1"/>
  <c r="Y2042" i="1"/>
  <c r="Y2046" i="1"/>
  <c r="Y2050" i="1"/>
  <c r="Y2054" i="1"/>
  <c r="Y2058" i="1"/>
  <c r="Y2062" i="1"/>
  <c r="Y2066" i="1"/>
  <c r="Y2070" i="1"/>
  <c r="Y2074" i="1"/>
  <c r="Y2078" i="1"/>
  <c r="Y2082" i="1"/>
  <c r="Y2086" i="1"/>
  <c r="Y2090" i="1"/>
  <c r="Y2094" i="1"/>
  <c r="Y2098" i="1"/>
  <c r="Y2102" i="1"/>
  <c r="Y2106" i="1"/>
  <c r="Y2110" i="1"/>
  <c r="Y2114" i="1"/>
  <c r="Y2118" i="1"/>
  <c r="Y2122" i="1"/>
  <c r="Y2126" i="1"/>
  <c r="Y2130" i="1"/>
  <c r="Y2134" i="1"/>
  <c r="Y2138" i="1"/>
  <c r="Y2142" i="1"/>
  <c r="Y2146" i="1"/>
  <c r="Y2150" i="1"/>
  <c r="Y2154" i="1"/>
  <c r="Y2158" i="1"/>
  <c r="Y2162" i="1"/>
  <c r="Y2166" i="1"/>
  <c r="Y2170" i="1"/>
  <c r="Y2174" i="1"/>
  <c r="Y2178" i="1"/>
  <c r="Y2182" i="1"/>
  <c r="Y2186" i="1"/>
  <c r="Y2190" i="1"/>
  <c r="Y2194" i="1"/>
  <c r="Y2198" i="1"/>
  <c r="Y2202" i="1"/>
  <c r="Y2206" i="1"/>
  <c r="Y2210" i="1"/>
  <c r="Y2214" i="1"/>
  <c r="Y2218" i="1"/>
  <c r="Y2222" i="1"/>
  <c r="Y2226" i="1"/>
  <c r="Y2230" i="1"/>
  <c r="Y2234" i="1"/>
  <c r="Y2238" i="1"/>
  <c r="Y2242" i="1"/>
  <c r="Y2246" i="1"/>
  <c r="Y2250" i="1"/>
  <c r="Y2254" i="1"/>
  <c r="Y2258" i="1"/>
  <c r="Y2262" i="1"/>
  <c r="Y2266" i="1"/>
  <c r="Y2270" i="1"/>
  <c r="Y2274" i="1"/>
  <c r="Y2278" i="1"/>
  <c r="Y2282" i="1"/>
  <c r="Y2286" i="1"/>
  <c r="Y2290" i="1"/>
  <c r="Y2294" i="1"/>
  <c r="Y2298" i="1"/>
  <c r="Y2302" i="1"/>
  <c r="Y2306" i="1"/>
  <c r="Y2310" i="1"/>
  <c r="Y2314" i="1"/>
  <c r="Y2318" i="1"/>
  <c r="Y2322" i="1"/>
  <c r="Y2326" i="1"/>
  <c r="Y2330" i="1"/>
  <c r="Y2334" i="1"/>
  <c r="Y2338" i="1"/>
  <c r="Y2342" i="1"/>
  <c r="Y2346" i="1"/>
  <c r="Y2350" i="1"/>
  <c r="Y2354" i="1"/>
  <c r="Y2358" i="1"/>
  <c r="Y2362" i="1"/>
  <c r="Y2366" i="1"/>
  <c r="Y2370" i="1"/>
  <c r="Y2374" i="1"/>
  <c r="Y2378" i="1"/>
  <c r="Y2382" i="1"/>
  <c r="Y2386" i="1"/>
  <c r="Y2390" i="1"/>
  <c r="Y2394" i="1"/>
  <c r="Y2398" i="1"/>
  <c r="Y2402" i="1"/>
  <c r="Y2406" i="1"/>
  <c r="Y2410" i="1"/>
  <c r="Y2414" i="1"/>
  <c r="Y2418" i="1"/>
  <c r="Y2422" i="1"/>
  <c r="Y2426" i="1"/>
  <c r="Y2430" i="1"/>
  <c r="Y2434" i="1"/>
  <c r="Y2438" i="1"/>
  <c r="Y2442" i="1"/>
  <c r="Y2446" i="1"/>
  <c r="Y2450" i="1"/>
  <c r="Y2454" i="1"/>
  <c r="Y2458" i="1"/>
  <c r="Y2462" i="1"/>
  <c r="Y2466" i="1"/>
  <c r="Y2470" i="1"/>
  <c r="Y2474" i="1"/>
  <c r="Y2478" i="1"/>
  <c r="Y2482" i="1"/>
  <c r="Y2486" i="1"/>
  <c r="Y2490" i="1"/>
  <c r="Y2494" i="1"/>
  <c r="Y2498" i="1"/>
  <c r="Y2502" i="1"/>
  <c r="Y2506" i="1"/>
  <c r="Y2510" i="1"/>
  <c r="Y2514" i="1"/>
  <c r="Y2518" i="1"/>
  <c r="Y2522" i="1"/>
  <c r="Y2526" i="1"/>
  <c r="Y2530" i="1"/>
  <c r="Y2534" i="1"/>
  <c r="Y2538" i="1"/>
  <c r="Y2542" i="1"/>
  <c r="Y2546" i="1"/>
  <c r="Y2550" i="1"/>
  <c r="Y2554" i="1"/>
  <c r="Y2558" i="1"/>
  <c r="Y2562" i="1"/>
  <c r="Y2566" i="1"/>
  <c r="Y2570" i="1"/>
  <c r="Y2574" i="1"/>
  <c r="Y2578" i="1"/>
  <c r="Y2582" i="1"/>
  <c r="Y2586" i="1"/>
  <c r="Y2590" i="1"/>
  <c r="Y2594" i="1"/>
  <c r="Y2598" i="1"/>
  <c r="Y2602" i="1"/>
  <c r="Y2606" i="1"/>
  <c r="Y2610" i="1"/>
  <c r="Y2614" i="1"/>
  <c r="Y2618" i="1"/>
  <c r="Y2622" i="1"/>
  <c r="Y2626" i="1"/>
  <c r="Y2630" i="1"/>
  <c r="Y2634" i="1"/>
  <c r="Y2638" i="1"/>
  <c r="Y2642" i="1"/>
  <c r="Y2646" i="1"/>
  <c r="Y2650" i="1"/>
  <c r="Y2654" i="1"/>
  <c r="Y2658" i="1"/>
  <c r="Y2662" i="1"/>
  <c r="Y2666" i="1"/>
  <c r="Y2670" i="1"/>
  <c r="Y2674" i="1"/>
  <c r="Y2678" i="1"/>
  <c r="Y2682" i="1"/>
  <c r="Y2686" i="1"/>
  <c r="Y2690" i="1"/>
  <c r="Y2694" i="1"/>
  <c r="Y2698" i="1"/>
  <c r="Y2702" i="1"/>
  <c r="Y2706" i="1"/>
  <c r="Y2710" i="1"/>
  <c r="Y2714" i="1"/>
  <c r="Y2718" i="1"/>
  <c r="Y2722" i="1"/>
  <c r="Y2726" i="1"/>
  <c r="Y2730" i="1"/>
  <c r="Y2734" i="1"/>
  <c r="Y2738" i="1"/>
  <c r="Y2742" i="1"/>
  <c r="Y2746" i="1"/>
  <c r="Y2750" i="1"/>
  <c r="Y2433" i="1"/>
  <c r="Y2445" i="1"/>
  <c r="Y2451" i="1"/>
  <c r="Y2456" i="1"/>
  <c r="Y2461" i="1"/>
  <c r="Y2467" i="1"/>
  <c r="Y2472" i="1"/>
  <c r="Y2477" i="1"/>
  <c r="Y2483" i="1"/>
  <c r="Y2488" i="1"/>
  <c r="Y2493" i="1"/>
  <c r="Y2499" i="1"/>
  <c r="Y2504" i="1"/>
  <c r="Y2509" i="1"/>
  <c r="Y2515" i="1"/>
  <c r="Y2520" i="1"/>
  <c r="Y2525" i="1"/>
  <c r="Y2531" i="1"/>
  <c r="Y2536" i="1"/>
  <c r="Y2541" i="1"/>
  <c r="Y2547" i="1"/>
  <c r="Y2552" i="1"/>
  <c r="Y2557" i="1"/>
  <c r="Y2563" i="1"/>
  <c r="Y2568" i="1"/>
  <c r="Y2573" i="1"/>
  <c r="Y2579" i="1"/>
  <c r="Y2584" i="1"/>
  <c r="Y2589" i="1"/>
  <c r="Y2595" i="1"/>
  <c r="Y2600" i="1"/>
  <c r="Y2605" i="1"/>
  <c r="Y2611" i="1"/>
  <c r="Y2616" i="1"/>
  <c r="Y2621" i="1"/>
  <c r="Y2627" i="1"/>
  <c r="Y2632" i="1"/>
  <c r="Y2637" i="1"/>
  <c r="Y2643" i="1"/>
  <c r="Y2648" i="1"/>
  <c r="Y2653" i="1"/>
  <c r="Y2659" i="1"/>
  <c r="Y2664" i="1"/>
  <c r="Y2669" i="1"/>
  <c r="Y2675" i="1"/>
  <c r="Y2680" i="1"/>
  <c r="Y2685" i="1"/>
  <c r="Y2691" i="1"/>
  <c r="Y2696" i="1"/>
  <c r="Y2701" i="1"/>
  <c r="Y2707" i="1"/>
  <c r="Y2712" i="1"/>
  <c r="Y2717" i="1"/>
  <c r="Y2723" i="1"/>
  <c r="Y2728" i="1"/>
  <c r="Y2733" i="1"/>
  <c r="Y2739" i="1"/>
  <c r="Y2744" i="1"/>
  <c r="Y2749" i="1"/>
  <c r="Y2754" i="1"/>
  <c r="Y2758" i="1"/>
  <c r="Y2762" i="1"/>
  <c r="Y2766" i="1"/>
  <c r="Y2770" i="1"/>
  <c r="Y2774" i="1"/>
  <c r="Y2778" i="1"/>
  <c r="Y2782" i="1"/>
  <c r="Y2786" i="1"/>
  <c r="Y2790" i="1"/>
  <c r="Y2794" i="1"/>
  <c r="Y2798" i="1"/>
  <c r="Y2802" i="1"/>
  <c r="Y2806" i="1"/>
  <c r="Y2810" i="1"/>
  <c r="Y2814" i="1"/>
  <c r="Y2818" i="1"/>
  <c r="Y2822" i="1"/>
  <c r="Y2826" i="1"/>
  <c r="Y2830" i="1"/>
  <c r="Y2834" i="1"/>
  <c r="Y2838" i="1"/>
  <c r="Y2842" i="1"/>
  <c r="Y2846" i="1"/>
  <c r="Y2850" i="1"/>
  <c r="Y2854" i="1"/>
  <c r="Y2858" i="1"/>
  <c r="Y2862" i="1"/>
  <c r="Y2866" i="1"/>
  <c r="Y2870" i="1"/>
  <c r="Y2874" i="1"/>
  <c r="Y2878" i="1"/>
  <c r="Y2882" i="1"/>
  <c r="Y2886" i="1"/>
  <c r="Y2890" i="1"/>
  <c r="Y2894" i="1"/>
  <c r="Y2898" i="1"/>
  <c r="Y2902" i="1"/>
  <c r="Y2906" i="1"/>
  <c r="Y2910" i="1"/>
  <c r="Y2914" i="1"/>
  <c r="Y2918" i="1"/>
  <c r="Y2922" i="1"/>
  <c r="Y2926" i="1"/>
  <c r="Y2930" i="1"/>
  <c r="Y2934" i="1"/>
  <c r="Y2938" i="1"/>
  <c r="Y2942" i="1"/>
  <c r="Y2946" i="1"/>
  <c r="Y2950" i="1"/>
  <c r="Y2954" i="1"/>
  <c r="Y2958" i="1"/>
  <c r="Y2962" i="1"/>
  <c r="Y2966" i="1"/>
  <c r="Y2970" i="1"/>
  <c r="Y2974" i="1"/>
  <c r="Y2978" i="1"/>
  <c r="Y2982" i="1"/>
  <c r="Y2986" i="1"/>
  <c r="Y2990" i="1"/>
  <c r="Y2994" i="1"/>
  <c r="Y2998" i="1"/>
  <c r="Y3002" i="1"/>
  <c r="Y3006" i="1"/>
  <c r="Y3010" i="1"/>
  <c r="Y3014" i="1"/>
  <c r="Y3018" i="1"/>
  <c r="Y3022" i="1"/>
  <c r="Y3026" i="1"/>
  <c r="Y3030" i="1"/>
  <c r="Y3034" i="1"/>
  <c r="Y3038" i="1"/>
  <c r="Y3042" i="1"/>
  <c r="Y3046" i="1"/>
  <c r="Y3050" i="1"/>
  <c r="Y3054" i="1"/>
  <c r="Y3058" i="1"/>
  <c r="Y3062" i="1"/>
  <c r="Y3066" i="1"/>
  <c r="Y3070" i="1"/>
  <c r="Y3074" i="1"/>
  <c r="Y3078" i="1"/>
  <c r="Y3082" i="1"/>
  <c r="Y3086" i="1"/>
  <c r="Y3090" i="1"/>
  <c r="Y3094" i="1"/>
  <c r="Y3098" i="1"/>
  <c r="Y3102" i="1"/>
  <c r="Y3106" i="1"/>
  <c r="Y3110" i="1"/>
  <c r="Y3114" i="1"/>
  <c r="Y3118" i="1"/>
  <c r="Y3122" i="1"/>
  <c r="Y3126" i="1"/>
  <c r="Y3130" i="1"/>
  <c r="Y3134" i="1"/>
  <c r="Y3138" i="1"/>
  <c r="Y3142" i="1"/>
  <c r="Y3146" i="1"/>
  <c r="Y3150" i="1"/>
  <c r="Y3154" i="1"/>
  <c r="Y3158" i="1"/>
  <c r="Y3162" i="1"/>
  <c r="Y3166" i="1"/>
  <c r="Y3170" i="1"/>
  <c r="Y3174" i="1"/>
  <c r="Y3178" i="1"/>
  <c r="Y3182" i="1"/>
  <c r="Y3186" i="1"/>
  <c r="Y3190" i="1"/>
  <c r="Y2421" i="1"/>
  <c r="Y2437" i="1"/>
  <c r="Y2447" i="1"/>
  <c r="Y2452" i="1"/>
  <c r="Y2457" i="1"/>
  <c r="Y2463" i="1"/>
  <c r="Y2468" i="1"/>
  <c r="Y2473" i="1"/>
  <c r="Y2479" i="1"/>
  <c r="Y2484" i="1"/>
  <c r="Y2489" i="1"/>
  <c r="Y2495" i="1"/>
  <c r="Y2500" i="1"/>
  <c r="Y2505" i="1"/>
  <c r="Y2511" i="1"/>
  <c r="Y2516" i="1"/>
  <c r="Y2521" i="1"/>
  <c r="Y2527" i="1"/>
  <c r="Y2532" i="1"/>
  <c r="Y2537" i="1"/>
  <c r="Y2543" i="1"/>
  <c r="Y2548" i="1"/>
  <c r="Y2553" i="1"/>
  <c r="Y2559" i="1"/>
  <c r="Y2564" i="1"/>
  <c r="Y2569" i="1"/>
  <c r="Y2575" i="1"/>
  <c r="Y2580" i="1"/>
  <c r="Y2585" i="1"/>
  <c r="Y2591" i="1"/>
  <c r="Y2596" i="1"/>
  <c r="Y2601" i="1"/>
  <c r="Y2607" i="1"/>
  <c r="Y2612" i="1"/>
  <c r="Y2617" i="1"/>
  <c r="Y2623" i="1"/>
  <c r="Y2628" i="1"/>
  <c r="Y2633" i="1"/>
  <c r="Y2639" i="1"/>
  <c r="Y2644" i="1"/>
  <c r="Y2649" i="1"/>
  <c r="Y2655" i="1"/>
  <c r="Y2660" i="1"/>
  <c r="Y2665" i="1"/>
  <c r="Y2671" i="1"/>
  <c r="Y2676" i="1"/>
  <c r="Y2681" i="1"/>
  <c r="Y2687" i="1"/>
  <c r="Y2692" i="1"/>
  <c r="Y2697" i="1"/>
  <c r="Y2703" i="1"/>
  <c r="Y2708" i="1"/>
  <c r="Y2713" i="1"/>
  <c r="Y2719" i="1"/>
  <c r="Y2724" i="1"/>
  <c r="Y2729" i="1"/>
  <c r="Y2735" i="1"/>
  <c r="Y2740" i="1"/>
  <c r="Y2745" i="1"/>
  <c r="Y2751" i="1"/>
  <c r="Y2755" i="1"/>
  <c r="Y2759" i="1"/>
  <c r="Y2763" i="1"/>
  <c r="Y2767" i="1"/>
  <c r="Y2771" i="1"/>
  <c r="Y2775" i="1"/>
  <c r="Y2779" i="1"/>
  <c r="Y2783" i="1"/>
  <c r="Y2787" i="1"/>
  <c r="Y2791" i="1"/>
  <c r="Y2795" i="1"/>
  <c r="Y2799" i="1"/>
  <c r="Y2803" i="1"/>
  <c r="Y2807" i="1"/>
  <c r="Y2811" i="1"/>
  <c r="Y2815" i="1"/>
  <c r="Y2819" i="1"/>
  <c r="Y2823" i="1"/>
  <c r="Y2827" i="1"/>
  <c r="Y2831" i="1"/>
  <c r="Y2835" i="1"/>
  <c r="Y2839" i="1"/>
  <c r="Y2843" i="1"/>
  <c r="Y2847" i="1"/>
  <c r="Y2851" i="1"/>
  <c r="Y2855" i="1"/>
  <c r="Y2859" i="1"/>
  <c r="Y2863" i="1"/>
  <c r="Y2867" i="1"/>
  <c r="Y2871" i="1"/>
  <c r="Y2875" i="1"/>
  <c r="Y2879" i="1"/>
  <c r="Y2883" i="1"/>
  <c r="Y2887" i="1"/>
  <c r="Y2891" i="1"/>
  <c r="Y2895" i="1"/>
  <c r="Y2899" i="1"/>
  <c r="Y2903" i="1"/>
  <c r="Y2907" i="1"/>
  <c r="Y2911" i="1"/>
  <c r="Y2915" i="1"/>
  <c r="Y2919" i="1"/>
  <c r="Y2923" i="1"/>
  <c r="Y2927" i="1"/>
  <c r="Y2931" i="1"/>
  <c r="Y2935" i="1"/>
  <c r="Y2939" i="1"/>
  <c r="Y2943" i="1"/>
  <c r="Y2947" i="1"/>
  <c r="Y2951" i="1"/>
  <c r="Y2955" i="1"/>
  <c r="Y2959" i="1"/>
  <c r="Y2963" i="1"/>
  <c r="Y2967" i="1"/>
  <c r="Y2971" i="1"/>
  <c r="Y2975" i="1"/>
  <c r="Y2979" i="1"/>
  <c r="Y2983" i="1"/>
  <c r="Y2987" i="1"/>
  <c r="Y2991" i="1"/>
  <c r="Y2995" i="1"/>
  <c r="Y2999" i="1"/>
  <c r="Y3003" i="1"/>
  <c r="Y3007" i="1"/>
  <c r="Y3011" i="1"/>
  <c r="Y3015" i="1"/>
  <c r="Y3019" i="1"/>
  <c r="Y3023" i="1"/>
  <c r="Y3027" i="1"/>
  <c r="Y3031" i="1"/>
  <c r="Y3035" i="1"/>
  <c r="Y3039" i="1"/>
  <c r="Y3043" i="1"/>
  <c r="Y3047" i="1"/>
  <c r="Y3051" i="1"/>
  <c r="Y3055" i="1"/>
  <c r="Y3059" i="1"/>
  <c r="Y3063" i="1"/>
  <c r="Y3067" i="1"/>
  <c r="Y3071" i="1"/>
  <c r="Y3075" i="1"/>
  <c r="Y3079" i="1"/>
  <c r="Y3083" i="1"/>
  <c r="Y3087" i="1"/>
  <c r="Y3091" i="1"/>
  <c r="Y3095" i="1"/>
  <c r="Y3099" i="1"/>
  <c r="Y3103" i="1"/>
  <c r="Y3107" i="1"/>
  <c r="Y3111" i="1"/>
  <c r="Y3115" i="1"/>
  <c r="Y3119" i="1"/>
  <c r="Y3123" i="1"/>
  <c r="Y3127" i="1"/>
  <c r="Y3131" i="1"/>
  <c r="Y3135" i="1"/>
  <c r="Y3139" i="1"/>
  <c r="Y3143" i="1"/>
  <c r="Y3147" i="1"/>
  <c r="Y3151" i="1"/>
  <c r="Y3155" i="1"/>
  <c r="Y3159" i="1"/>
  <c r="Y3163" i="1"/>
  <c r="Y3167" i="1"/>
  <c r="Y3171" i="1"/>
  <c r="Y3175" i="1"/>
  <c r="Y3179" i="1"/>
  <c r="Y3183" i="1"/>
  <c r="Y3187" i="1"/>
  <c r="Y3191" i="1"/>
  <c r="Y3195" i="1"/>
  <c r="Y2425" i="1"/>
  <c r="Y2441" i="1"/>
  <c r="Y2448" i="1"/>
  <c r="Y2453" i="1"/>
  <c r="Y2459" i="1"/>
  <c r="Y2464" i="1"/>
  <c r="Y2469" i="1"/>
  <c r="Y2475" i="1"/>
  <c r="Y2480" i="1"/>
  <c r="Y2485" i="1"/>
  <c r="Y2491" i="1"/>
  <c r="Y2496" i="1"/>
  <c r="Y2501" i="1"/>
  <c r="Y2507" i="1"/>
  <c r="Y2512" i="1"/>
  <c r="Y2517" i="1"/>
  <c r="Y2523" i="1"/>
  <c r="Y2528" i="1"/>
  <c r="Y2533" i="1"/>
  <c r="Y2539" i="1"/>
  <c r="Y2544" i="1"/>
  <c r="Y2549" i="1"/>
  <c r="Y2555" i="1"/>
  <c r="Y2560" i="1"/>
  <c r="Y2565" i="1"/>
  <c r="Y2571" i="1"/>
  <c r="Y2576" i="1"/>
  <c r="Y2581" i="1"/>
  <c r="Y2587" i="1"/>
  <c r="Y2592" i="1"/>
  <c r="Y2597" i="1"/>
  <c r="Y2603" i="1"/>
  <c r="Y2608" i="1"/>
  <c r="Y2613" i="1"/>
  <c r="Y2619" i="1"/>
  <c r="Y2624" i="1"/>
  <c r="Y2629" i="1"/>
  <c r="Y2635" i="1"/>
  <c r="Y2640" i="1"/>
  <c r="Y2645" i="1"/>
  <c r="Y2651" i="1"/>
  <c r="Y2656" i="1"/>
  <c r="Y2661" i="1"/>
  <c r="Y2667" i="1"/>
  <c r="Y2672" i="1"/>
  <c r="Y2677" i="1"/>
  <c r="Y2683" i="1"/>
  <c r="Y2688" i="1"/>
  <c r="Y2693" i="1"/>
  <c r="Y2699" i="1"/>
  <c r="Y2704" i="1"/>
  <c r="Y2709" i="1"/>
  <c r="Y2715" i="1"/>
  <c r="Y2720" i="1"/>
  <c r="Y2725" i="1"/>
  <c r="Y2731" i="1"/>
  <c r="Y2736" i="1"/>
  <c r="Y2741" i="1"/>
  <c r="Y2747" i="1"/>
  <c r="Y2752" i="1"/>
  <c r="Y2756" i="1"/>
  <c r="Y2760" i="1"/>
  <c r="Y2764" i="1"/>
  <c r="Y2768" i="1"/>
  <c r="Y2772" i="1"/>
  <c r="Y2776" i="1"/>
  <c r="Y2780" i="1"/>
  <c r="Y2784" i="1"/>
  <c r="Y2788" i="1"/>
  <c r="Y2792" i="1"/>
  <c r="Y2796" i="1"/>
  <c r="Y2800" i="1"/>
  <c r="Y2804" i="1"/>
  <c r="Y2808" i="1"/>
  <c r="Y2812" i="1"/>
  <c r="Y2816" i="1"/>
  <c r="Y2820" i="1"/>
  <c r="Y2824" i="1"/>
  <c r="Y2828" i="1"/>
  <c r="Y2832" i="1"/>
  <c r="Y2836" i="1"/>
  <c r="Y2840" i="1"/>
  <c r="Y2844" i="1"/>
  <c r="Y2848" i="1"/>
  <c r="Y2852" i="1"/>
  <c r="Y2856" i="1"/>
  <c r="Y2860" i="1"/>
  <c r="Y2864" i="1"/>
  <c r="Y2868" i="1"/>
  <c r="Y2872" i="1"/>
  <c r="Y2876" i="1"/>
  <c r="Y2880" i="1"/>
  <c r="Y2884" i="1"/>
  <c r="Y2888" i="1"/>
  <c r="Y2892" i="1"/>
  <c r="Y2896" i="1"/>
  <c r="Y2900" i="1"/>
  <c r="Y2904" i="1"/>
  <c r="Y2908" i="1"/>
  <c r="Y2912" i="1"/>
  <c r="Y2916" i="1"/>
  <c r="Y2920" i="1"/>
  <c r="Y2924" i="1"/>
  <c r="Y2928" i="1"/>
  <c r="Y2932" i="1"/>
  <c r="Y2936" i="1"/>
  <c r="Y2940" i="1"/>
  <c r="Y2944" i="1"/>
  <c r="Y2948" i="1"/>
  <c r="Y2952" i="1"/>
  <c r="Y2956" i="1"/>
  <c r="Y2960" i="1"/>
  <c r="Y2964" i="1"/>
  <c r="Y2968" i="1"/>
  <c r="Y2972" i="1"/>
  <c r="Y2976" i="1"/>
  <c r="Y2980" i="1"/>
  <c r="Y2984" i="1"/>
  <c r="Y2988" i="1"/>
  <c r="Y2992" i="1"/>
  <c r="Y2996" i="1"/>
  <c r="Y3000" i="1"/>
  <c r="Y3004" i="1"/>
  <c r="Y3008" i="1"/>
  <c r="Y3012" i="1"/>
  <c r="Y3016" i="1"/>
  <c r="Y3020" i="1"/>
  <c r="Y3024" i="1"/>
  <c r="Y3028" i="1"/>
  <c r="Y3032" i="1"/>
  <c r="Y3036" i="1"/>
  <c r="Y3040" i="1"/>
  <c r="Y3044" i="1"/>
  <c r="Y3048" i="1"/>
  <c r="Y3052" i="1"/>
  <c r="Y3056" i="1"/>
  <c r="Y3060" i="1"/>
  <c r="Y3064" i="1"/>
  <c r="Y3068" i="1"/>
  <c r="Y3072" i="1"/>
  <c r="Y3076" i="1"/>
  <c r="Y3080" i="1"/>
  <c r="Y3084" i="1"/>
  <c r="Y3088" i="1"/>
  <c r="Y3092" i="1"/>
  <c r="Y3096" i="1"/>
  <c r="Y3100" i="1"/>
  <c r="Y3104" i="1"/>
  <c r="Y3108" i="1"/>
  <c r="Y3112" i="1"/>
  <c r="Y3116" i="1"/>
  <c r="Y3120" i="1"/>
  <c r="Y3124" i="1"/>
  <c r="Y3128" i="1"/>
  <c r="Y3132" i="1"/>
  <c r="Y3136" i="1"/>
  <c r="Y3140" i="1"/>
  <c r="Y3144" i="1"/>
  <c r="Y3148" i="1"/>
  <c r="Y3152" i="1"/>
  <c r="Y3156" i="1"/>
  <c r="Y3160" i="1"/>
  <c r="Y3164" i="1"/>
  <c r="Y3168" i="1"/>
  <c r="Y3172" i="1"/>
  <c r="Y3176" i="1"/>
  <c r="Y3180" i="1"/>
  <c r="Y3184" i="1"/>
  <c r="Y3188" i="1"/>
  <c r="Y3192" i="1"/>
  <c r="Y2429" i="1"/>
  <c r="Y2444" i="1"/>
  <c r="Y2449" i="1"/>
  <c r="Y2455" i="1"/>
  <c r="Y2460" i="1"/>
  <c r="Y2465" i="1"/>
  <c r="Y2471" i="1"/>
  <c r="Y2476" i="1"/>
  <c r="Y2481" i="1"/>
  <c r="Y2487" i="1"/>
  <c r="Y2492" i="1"/>
  <c r="Y2497" i="1"/>
  <c r="Y2503" i="1"/>
  <c r="Y2508" i="1"/>
  <c r="Y2513" i="1"/>
  <c r="Y2519" i="1"/>
  <c r="Y2524" i="1"/>
  <c r="Y2529" i="1"/>
  <c r="Y2535" i="1"/>
  <c r="Y2540" i="1"/>
  <c r="Y2545" i="1"/>
  <c r="Y2551" i="1"/>
  <c r="Y2556" i="1"/>
  <c r="Y2561" i="1"/>
  <c r="Y2567" i="1"/>
  <c r="Y2572" i="1"/>
  <c r="Y2577" i="1"/>
  <c r="Y2583" i="1"/>
  <c r="Y2588" i="1"/>
  <c r="Y2593" i="1"/>
  <c r="Y2599" i="1"/>
  <c r="Y2604" i="1"/>
  <c r="Y2609" i="1"/>
  <c r="Y2615" i="1"/>
  <c r="Y2620" i="1"/>
  <c r="Y2625" i="1"/>
  <c r="Y2631" i="1"/>
  <c r="Y2636" i="1"/>
  <c r="Y2641" i="1"/>
  <c r="Y2647" i="1"/>
  <c r="Y2652" i="1"/>
  <c r="Y2657" i="1"/>
  <c r="Y2663" i="1"/>
  <c r="Y2668" i="1"/>
  <c r="Y2673" i="1"/>
  <c r="Y2679" i="1"/>
  <c r="Y2684" i="1"/>
  <c r="Y2689" i="1"/>
  <c r="Y2695" i="1"/>
  <c r="Y2700" i="1"/>
  <c r="Y2705" i="1"/>
  <c r="Y2711" i="1"/>
  <c r="Y2716" i="1"/>
  <c r="Y2721" i="1"/>
  <c r="Y2727" i="1"/>
  <c r="Y2732" i="1"/>
  <c r="Y2737" i="1"/>
  <c r="Y2743" i="1"/>
  <c r="Y2748" i="1"/>
  <c r="Y2753" i="1"/>
  <c r="Y2757" i="1"/>
  <c r="Y2761" i="1"/>
  <c r="Y2765" i="1"/>
  <c r="Y2769" i="1"/>
  <c r="Y2773" i="1"/>
  <c r="Y2777" i="1"/>
  <c r="Y2781" i="1"/>
  <c r="Y2785" i="1"/>
  <c r="Y2789" i="1"/>
  <c r="Y2793" i="1"/>
  <c r="Y2797" i="1"/>
  <c r="Y2801" i="1"/>
  <c r="Y2805" i="1"/>
  <c r="Y2809" i="1"/>
  <c r="Y2813" i="1"/>
  <c r="Y2817" i="1"/>
  <c r="Y2821" i="1"/>
  <c r="Y2825" i="1"/>
  <c r="Y2829" i="1"/>
  <c r="Y2833" i="1"/>
  <c r="Y2837" i="1"/>
  <c r="Y2841" i="1"/>
  <c r="Y2845" i="1"/>
  <c r="Y2849" i="1"/>
  <c r="Y2853" i="1"/>
  <c r="Y2857" i="1"/>
  <c r="Y2861" i="1"/>
  <c r="Y2865" i="1"/>
  <c r="Y2869" i="1"/>
  <c r="Y2873" i="1"/>
  <c r="Y2877" i="1"/>
  <c r="Y2881" i="1"/>
  <c r="Y2885" i="1"/>
  <c r="Y2889" i="1"/>
  <c r="Y2893" i="1"/>
  <c r="Y2897" i="1"/>
  <c r="Y2901" i="1"/>
  <c r="Y2905" i="1"/>
  <c r="Y2909" i="1"/>
  <c r="Y2913" i="1"/>
  <c r="Y2917" i="1"/>
  <c r="Y2921" i="1"/>
  <c r="Y2925" i="1"/>
  <c r="Y2929" i="1"/>
  <c r="Y2933" i="1"/>
  <c r="Y2937" i="1"/>
  <c r="Y2941" i="1"/>
  <c r="Y2945" i="1"/>
  <c r="Y2949" i="1"/>
  <c r="Y2953" i="1"/>
  <c r="Y2957" i="1"/>
  <c r="Y2961" i="1"/>
  <c r="Y2965" i="1"/>
  <c r="Y2969" i="1"/>
  <c r="Y2973" i="1"/>
  <c r="Y2977" i="1"/>
  <c r="Y2981" i="1"/>
  <c r="Y2985" i="1"/>
  <c r="Y2989" i="1"/>
  <c r="Y2993" i="1"/>
  <c r="Y2997" i="1"/>
  <c r="Y3001" i="1"/>
  <c r="Y3005" i="1"/>
  <c r="Y3009" i="1"/>
  <c r="Y3013" i="1"/>
  <c r="Y3017" i="1"/>
  <c r="Y3021" i="1"/>
  <c r="Y3025" i="1"/>
  <c r="Y3029" i="1"/>
  <c r="Y3033" i="1"/>
  <c r="Y3037" i="1"/>
  <c r="Y3041" i="1"/>
  <c r="Y3045" i="1"/>
  <c r="Y3049" i="1"/>
  <c r="Y3053" i="1"/>
  <c r="Y3057" i="1"/>
  <c r="Y3061" i="1"/>
  <c r="Y3065" i="1"/>
  <c r="Y3069" i="1"/>
  <c r="Y3073" i="1"/>
  <c r="Y3077" i="1"/>
  <c r="Y3081" i="1"/>
  <c r="Y3085" i="1"/>
  <c r="Y3089" i="1"/>
  <c r="Y3093" i="1"/>
  <c r="Y3097" i="1"/>
  <c r="Y3101" i="1"/>
  <c r="Y3105" i="1"/>
  <c r="Y3109" i="1"/>
  <c r="Y3113" i="1"/>
  <c r="Y3117" i="1"/>
  <c r="Y3121" i="1"/>
  <c r="Y3125" i="1"/>
  <c r="Y3129" i="1"/>
  <c r="Y3133" i="1"/>
  <c r="Y3137" i="1"/>
  <c r="Y3141" i="1"/>
  <c r="Y3145" i="1"/>
  <c r="Y3149" i="1"/>
  <c r="Y3153" i="1"/>
  <c r="Y3157" i="1"/>
  <c r="Y3161" i="1"/>
  <c r="Y3165" i="1"/>
  <c r="Y3169" i="1"/>
  <c r="Y3173" i="1"/>
  <c r="Y3177" i="1"/>
  <c r="Y3181" i="1"/>
  <c r="Y3185" i="1"/>
  <c r="Y3189" i="1"/>
  <c r="Y3193" i="1"/>
  <c r="Y3197" i="1"/>
  <c r="Y3201" i="1"/>
  <c r="Y3205" i="1"/>
  <c r="Y3209" i="1"/>
  <c r="Y3213" i="1"/>
  <c r="Y3217" i="1"/>
  <c r="Y3221" i="1"/>
  <c r="Y3225" i="1"/>
  <c r="Y3229" i="1"/>
  <c r="Y3233" i="1"/>
  <c r="Y3237" i="1"/>
  <c r="Y3241" i="1"/>
  <c r="Y3245" i="1"/>
  <c r="Y3249" i="1"/>
  <c r="Y3253" i="1"/>
  <c r="Y3257" i="1"/>
  <c r="Y3261" i="1"/>
  <c r="Y3265" i="1"/>
  <c r="Y3269" i="1"/>
  <c r="Y3273" i="1"/>
  <c r="Y3277" i="1"/>
  <c r="Y3281" i="1"/>
  <c r="Y3285" i="1"/>
  <c r="Y3289" i="1"/>
  <c r="Y3293" i="1"/>
  <c r="Y3297" i="1"/>
  <c r="Y3301" i="1"/>
  <c r="Y3305" i="1"/>
  <c r="Y3309" i="1"/>
  <c r="Y3313" i="1"/>
  <c r="Y3317" i="1"/>
  <c r="Y3321" i="1"/>
  <c r="Y3325" i="1"/>
  <c r="Y3329" i="1"/>
  <c r="Y3333" i="1"/>
  <c r="Y3337" i="1"/>
  <c r="Y3341" i="1"/>
  <c r="Y3345" i="1"/>
  <c r="Y3349" i="1"/>
  <c r="Y3353" i="1"/>
  <c r="Y3357" i="1"/>
  <c r="Y3361" i="1"/>
  <c r="Y3365" i="1"/>
  <c r="Y3369" i="1"/>
  <c r="Y3373" i="1"/>
  <c r="Y3377" i="1"/>
  <c r="Y3381" i="1"/>
  <c r="Y3385" i="1"/>
  <c r="Y3389" i="1"/>
  <c r="Y3393" i="1"/>
  <c r="Y3397" i="1"/>
  <c r="Y3401" i="1"/>
  <c r="Y3405" i="1"/>
  <c r="Y3409" i="1"/>
  <c r="Y3413" i="1"/>
  <c r="Y3417" i="1"/>
  <c r="Y3421" i="1"/>
  <c r="Y3425" i="1"/>
  <c r="Y3429" i="1"/>
  <c r="Y3433" i="1"/>
  <c r="Y3437" i="1"/>
  <c r="Y3441" i="1"/>
  <c r="Y3445" i="1"/>
  <c r="Y3449" i="1"/>
  <c r="Y3453" i="1"/>
  <c r="Y3457" i="1"/>
  <c r="Y3461" i="1"/>
  <c r="Y3465" i="1"/>
  <c r="Y3469" i="1"/>
  <c r="Y3473" i="1"/>
  <c r="Y3477" i="1"/>
  <c r="Y3481" i="1"/>
  <c r="Y3485" i="1"/>
  <c r="Y3489" i="1"/>
  <c r="Y3493" i="1"/>
  <c r="Y3497" i="1"/>
  <c r="Y3199" i="1"/>
  <c r="Y3204" i="1"/>
  <c r="Y3210" i="1"/>
  <c r="Y3215" i="1"/>
  <c r="Y3220" i="1"/>
  <c r="Y3226" i="1"/>
  <c r="Y3231" i="1"/>
  <c r="Y3236" i="1"/>
  <c r="Y3242" i="1"/>
  <c r="Y3247" i="1"/>
  <c r="Y3252" i="1"/>
  <c r="Y3258" i="1"/>
  <c r="Y3263" i="1"/>
  <c r="Y3268" i="1"/>
  <c r="Y3274" i="1"/>
  <c r="Y3279" i="1"/>
  <c r="Y3284" i="1"/>
  <c r="Y3290" i="1"/>
  <c r="Y3295" i="1"/>
  <c r="Y3300" i="1"/>
  <c r="Y3306" i="1"/>
  <c r="Y3311" i="1"/>
  <c r="Y3316" i="1"/>
  <c r="Y3322" i="1"/>
  <c r="Y3327" i="1"/>
  <c r="Y3332" i="1"/>
  <c r="Y3338" i="1"/>
  <c r="Y3343" i="1"/>
  <c r="Y3348" i="1"/>
  <c r="Y3354" i="1"/>
  <c r="Y3359" i="1"/>
  <c r="Y3364" i="1"/>
  <c r="Y3370" i="1"/>
  <c r="Y3375" i="1"/>
  <c r="Y3380" i="1"/>
  <c r="Y3386" i="1"/>
  <c r="Y3391" i="1"/>
  <c r="Y3396" i="1"/>
  <c r="Y3402" i="1"/>
  <c r="Y3407" i="1"/>
  <c r="Y3412" i="1"/>
  <c r="Y3418" i="1"/>
  <c r="Y3423" i="1"/>
  <c r="Y3428" i="1"/>
  <c r="Y3434" i="1"/>
  <c r="Y3439" i="1"/>
  <c r="Y3444" i="1"/>
  <c r="Y3450" i="1"/>
  <c r="Y3455" i="1"/>
  <c r="Y3460" i="1"/>
  <c r="Y3466" i="1"/>
  <c r="Y3471" i="1"/>
  <c r="Y3476" i="1"/>
  <c r="Y3482" i="1"/>
  <c r="Y3487" i="1"/>
  <c r="Y3492" i="1"/>
  <c r="Y3498" i="1"/>
  <c r="Y3502" i="1"/>
  <c r="Y3506" i="1"/>
  <c r="Y3510" i="1"/>
  <c r="Y3514" i="1"/>
  <c r="Y3518" i="1"/>
  <c r="Y3522" i="1"/>
  <c r="Y3526" i="1"/>
  <c r="Y3530" i="1"/>
  <c r="Y3534" i="1"/>
  <c r="Y3538" i="1"/>
  <c r="Y3542" i="1"/>
  <c r="Y3546" i="1"/>
  <c r="Y3550" i="1"/>
  <c r="Y3554" i="1"/>
  <c r="Y3558" i="1"/>
  <c r="Y3562" i="1"/>
  <c r="Y3566" i="1"/>
  <c r="Y3570" i="1"/>
  <c r="Y3574" i="1"/>
  <c r="Y3578" i="1"/>
  <c r="Y3582" i="1"/>
  <c r="Y3586" i="1"/>
  <c r="Y3590" i="1"/>
  <c r="Y3594" i="1"/>
  <c r="Y3598" i="1"/>
  <c r="Y3602" i="1"/>
  <c r="Y3606" i="1"/>
  <c r="Y3610" i="1"/>
  <c r="Y3614" i="1"/>
  <c r="Y3618" i="1"/>
  <c r="Y3622" i="1"/>
  <c r="Y3626" i="1"/>
  <c r="Y3630" i="1"/>
  <c r="Y3634" i="1"/>
  <c r="Y3638" i="1"/>
  <c r="Y3642" i="1"/>
  <c r="Y3646" i="1"/>
  <c r="Y3650" i="1"/>
  <c r="Y3654" i="1"/>
  <c r="Y3658" i="1"/>
  <c r="Y3662" i="1"/>
  <c r="Y3666" i="1"/>
  <c r="Y3670" i="1"/>
  <c r="Y3674" i="1"/>
  <c r="Y3678" i="1"/>
  <c r="Y3682" i="1"/>
  <c r="Y3686" i="1"/>
  <c r="Y3690" i="1"/>
  <c r="Y3694" i="1"/>
  <c r="Y3698" i="1"/>
  <c r="Y3702" i="1"/>
  <c r="Y3706" i="1"/>
  <c r="Y3710" i="1"/>
  <c r="Y3714" i="1"/>
  <c r="Y3718" i="1"/>
  <c r="Y3722" i="1"/>
  <c r="Y3726" i="1"/>
  <c r="Y3730" i="1"/>
  <c r="Y3734" i="1"/>
  <c r="Y3738" i="1"/>
  <c r="Y3742" i="1"/>
  <c r="Y3746" i="1"/>
  <c r="Y3750" i="1"/>
  <c r="Y3754" i="1"/>
  <c r="Y3758" i="1"/>
  <c r="Y3762" i="1"/>
  <c r="Y3766" i="1"/>
  <c r="Y3770" i="1"/>
  <c r="Y3774" i="1"/>
  <c r="Y3778" i="1"/>
  <c r="Y3782" i="1"/>
  <c r="Y3786" i="1"/>
  <c r="Y3790" i="1"/>
  <c r="Y3794" i="1"/>
  <c r="Y3798" i="1"/>
  <c r="Y3802" i="1"/>
  <c r="Y3806" i="1"/>
  <c r="Y3810" i="1"/>
  <c r="Y3814" i="1"/>
  <c r="Y3818" i="1"/>
  <c r="Y3822" i="1"/>
  <c r="Y3826" i="1"/>
  <c r="Y3830" i="1"/>
  <c r="Y3834" i="1"/>
  <c r="Y3838" i="1"/>
  <c r="Y3842" i="1"/>
  <c r="Y3846" i="1"/>
  <c r="Y3850" i="1"/>
  <c r="Y3854" i="1"/>
  <c r="Y3858" i="1"/>
  <c r="Y3862" i="1"/>
  <c r="Y3866" i="1"/>
  <c r="Y3870" i="1"/>
  <c r="Y3874" i="1"/>
  <c r="Y3878" i="1"/>
  <c r="Y3882" i="1"/>
  <c r="Y3886" i="1"/>
  <c r="Y3890" i="1"/>
  <c r="Y3894" i="1"/>
  <c r="Y3898" i="1"/>
  <c r="Y3902" i="1"/>
  <c r="Y3906" i="1"/>
  <c r="Y3910" i="1"/>
  <c r="Y3914" i="1"/>
  <c r="Y3918" i="1"/>
  <c r="Y3922" i="1"/>
  <c r="Y3926" i="1"/>
  <c r="Y3930" i="1"/>
  <c r="Y3934" i="1"/>
  <c r="Y3938" i="1"/>
  <c r="Y3942" i="1"/>
  <c r="Y3946" i="1"/>
  <c r="Y3950" i="1"/>
  <c r="Y3194" i="1"/>
  <c r="Y3200" i="1"/>
  <c r="Y3206" i="1"/>
  <c r="Y3211" i="1"/>
  <c r="Y3216" i="1"/>
  <c r="Y3222" i="1"/>
  <c r="Y3227" i="1"/>
  <c r="Y3232" i="1"/>
  <c r="Y3238" i="1"/>
  <c r="Y3243" i="1"/>
  <c r="Y3248" i="1"/>
  <c r="Y3254" i="1"/>
  <c r="Y3259" i="1"/>
  <c r="Y3264" i="1"/>
  <c r="Y3270" i="1"/>
  <c r="Y3275" i="1"/>
  <c r="Y3280" i="1"/>
  <c r="Y3286" i="1"/>
  <c r="Y3291" i="1"/>
  <c r="Y3296" i="1"/>
  <c r="Y3302" i="1"/>
  <c r="Y3307" i="1"/>
  <c r="Y3312" i="1"/>
  <c r="Y3318" i="1"/>
  <c r="Y3323" i="1"/>
  <c r="Y3328" i="1"/>
  <c r="Y3334" i="1"/>
  <c r="Y3339" i="1"/>
  <c r="Y3344" i="1"/>
  <c r="Y3350" i="1"/>
  <c r="Y3355" i="1"/>
  <c r="Y3360" i="1"/>
  <c r="Y3366" i="1"/>
  <c r="Y3371" i="1"/>
  <c r="Y3376" i="1"/>
  <c r="Y3382" i="1"/>
  <c r="Y3387" i="1"/>
  <c r="Y3392" i="1"/>
  <c r="Y3398" i="1"/>
  <c r="Y3403" i="1"/>
  <c r="Y3408" i="1"/>
  <c r="Y3414" i="1"/>
  <c r="Y3419" i="1"/>
  <c r="Y3424" i="1"/>
  <c r="Y3430" i="1"/>
  <c r="Y3435" i="1"/>
  <c r="Y3440" i="1"/>
  <c r="Y3446" i="1"/>
  <c r="Y3451" i="1"/>
  <c r="Y3456" i="1"/>
  <c r="Y3462" i="1"/>
  <c r="Y3467" i="1"/>
  <c r="Y3472" i="1"/>
  <c r="Y3478" i="1"/>
  <c r="Y3483" i="1"/>
  <c r="Y3488" i="1"/>
  <c r="Y3494" i="1"/>
  <c r="Y3499" i="1"/>
  <c r="Y3503" i="1"/>
  <c r="Y3507" i="1"/>
  <c r="Y3511" i="1"/>
  <c r="Y3515" i="1"/>
  <c r="Y3519" i="1"/>
  <c r="Y3523" i="1"/>
  <c r="Y3527" i="1"/>
  <c r="Y3531" i="1"/>
  <c r="Y3535" i="1"/>
  <c r="Y3539" i="1"/>
  <c r="Y3543" i="1"/>
  <c r="Y3547" i="1"/>
  <c r="Y3551" i="1"/>
  <c r="Y3555" i="1"/>
  <c r="Y3559" i="1"/>
  <c r="Y3563" i="1"/>
  <c r="Y3567" i="1"/>
  <c r="Y3571" i="1"/>
  <c r="Y3575" i="1"/>
  <c r="Y3579" i="1"/>
  <c r="Y3583" i="1"/>
  <c r="Y3587" i="1"/>
  <c r="Y3591" i="1"/>
  <c r="Y3595" i="1"/>
  <c r="Y3599" i="1"/>
  <c r="Y3603" i="1"/>
  <c r="Y3607" i="1"/>
  <c r="Y3611" i="1"/>
  <c r="Y3615" i="1"/>
  <c r="Y3619" i="1"/>
  <c r="Y3623" i="1"/>
  <c r="Y3627" i="1"/>
  <c r="Y3631" i="1"/>
  <c r="Y3635" i="1"/>
  <c r="Y3639" i="1"/>
  <c r="Y3643" i="1"/>
  <c r="Y3647" i="1"/>
  <c r="Y3651" i="1"/>
  <c r="Y3655" i="1"/>
  <c r="Y3659" i="1"/>
  <c r="Y3663" i="1"/>
  <c r="Y3667" i="1"/>
  <c r="Y3671" i="1"/>
  <c r="Y3675" i="1"/>
  <c r="Y3679" i="1"/>
  <c r="Y3683" i="1"/>
  <c r="Y3687" i="1"/>
  <c r="Y3691" i="1"/>
  <c r="Y3695" i="1"/>
  <c r="Y3699" i="1"/>
  <c r="Y3703" i="1"/>
  <c r="Y3707" i="1"/>
  <c r="Y3711" i="1"/>
  <c r="Y3715" i="1"/>
  <c r="Y3719" i="1"/>
  <c r="Y3723" i="1"/>
  <c r="Y3727" i="1"/>
  <c r="Y3731" i="1"/>
  <c r="Y3735" i="1"/>
  <c r="Y3739" i="1"/>
  <c r="Y3743" i="1"/>
  <c r="Y3747" i="1"/>
  <c r="Y3751" i="1"/>
  <c r="Y3755" i="1"/>
  <c r="Y3759" i="1"/>
  <c r="Y3763" i="1"/>
  <c r="Y3767" i="1"/>
  <c r="Y3771" i="1"/>
  <c r="Y3775" i="1"/>
  <c r="Y3779" i="1"/>
  <c r="Y3783" i="1"/>
  <c r="Y3787" i="1"/>
  <c r="Y3791" i="1"/>
  <c r="Y3795" i="1"/>
  <c r="Y3799" i="1"/>
  <c r="Y3803" i="1"/>
  <c r="Y3807" i="1"/>
  <c r="Y3811" i="1"/>
  <c r="Y3815" i="1"/>
  <c r="Y3819" i="1"/>
  <c r="Y3823" i="1"/>
  <c r="Y3827" i="1"/>
  <c r="Y3831" i="1"/>
  <c r="Y3835" i="1"/>
  <c r="Y3839" i="1"/>
  <c r="Y3843" i="1"/>
  <c r="Y3847" i="1"/>
  <c r="Y3851" i="1"/>
  <c r="Y3855" i="1"/>
  <c r="Y3859" i="1"/>
  <c r="Y3863" i="1"/>
  <c r="Y3867" i="1"/>
  <c r="Y3871" i="1"/>
  <c r="Y3875" i="1"/>
  <c r="Y3879" i="1"/>
  <c r="Y3883" i="1"/>
  <c r="Y3887" i="1"/>
  <c r="Y3891" i="1"/>
  <c r="Y3895" i="1"/>
  <c r="Y3899" i="1"/>
  <c r="Y3903" i="1"/>
  <c r="Y3907" i="1"/>
  <c r="Y3911" i="1"/>
  <c r="Y3915" i="1"/>
  <c r="Y3919" i="1"/>
  <c r="Y3923" i="1"/>
  <c r="Y3927" i="1"/>
  <c r="Y3931" i="1"/>
  <c r="Y3935" i="1"/>
  <c r="Y3939" i="1"/>
  <c r="Y3943" i="1"/>
  <c r="Y3947" i="1"/>
  <c r="Y3951" i="1"/>
  <c r="Y3955" i="1"/>
  <c r="Y3959" i="1"/>
  <c r="Y3963" i="1"/>
  <c r="Y3967" i="1"/>
  <c r="Y3971" i="1"/>
  <c r="Y3975" i="1"/>
  <c r="Y3979" i="1"/>
  <c r="Y3983" i="1"/>
  <c r="Y3987" i="1"/>
  <c r="Y3196" i="1"/>
  <c r="Y3202" i="1"/>
  <c r="Y3207" i="1"/>
  <c r="Y3212" i="1"/>
  <c r="Y3218" i="1"/>
  <c r="Y3223" i="1"/>
  <c r="Y3228" i="1"/>
  <c r="Y3234" i="1"/>
  <c r="Y3239" i="1"/>
  <c r="Y3244" i="1"/>
  <c r="Y3250" i="1"/>
  <c r="Y3255" i="1"/>
  <c r="Y3260" i="1"/>
  <c r="Y3266" i="1"/>
  <c r="Y3271" i="1"/>
  <c r="Y3276" i="1"/>
  <c r="Y3282" i="1"/>
  <c r="Y3287" i="1"/>
  <c r="Y3292" i="1"/>
  <c r="Y3298" i="1"/>
  <c r="Y3303" i="1"/>
  <c r="Y3308" i="1"/>
  <c r="Y3314" i="1"/>
  <c r="Y3319" i="1"/>
  <c r="Y3324" i="1"/>
  <c r="Y3330" i="1"/>
  <c r="Y3335" i="1"/>
  <c r="Y3340" i="1"/>
  <c r="Y3346" i="1"/>
  <c r="Y3351" i="1"/>
  <c r="Y3356" i="1"/>
  <c r="Y3362" i="1"/>
  <c r="Y3367" i="1"/>
  <c r="Y3372" i="1"/>
  <c r="Y3378" i="1"/>
  <c r="Y3383" i="1"/>
  <c r="Y3388" i="1"/>
  <c r="Y3394" i="1"/>
  <c r="Y3399" i="1"/>
  <c r="Y3404" i="1"/>
  <c r="Y3410" i="1"/>
  <c r="Y3415" i="1"/>
  <c r="Y3420" i="1"/>
  <c r="Y3426" i="1"/>
  <c r="Y3431" i="1"/>
  <c r="Y3436" i="1"/>
  <c r="Y3442" i="1"/>
  <c r="Y3447" i="1"/>
  <c r="Y3452" i="1"/>
  <c r="Y3458" i="1"/>
  <c r="Y3463" i="1"/>
  <c r="Y3468" i="1"/>
  <c r="Y3474" i="1"/>
  <c r="Y3479" i="1"/>
  <c r="Y3484" i="1"/>
  <c r="Y3490" i="1"/>
  <c r="Y3495" i="1"/>
  <c r="Y3500" i="1"/>
  <c r="Y3504" i="1"/>
  <c r="Y3508" i="1"/>
  <c r="Y3512" i="1"/>
  <c r="Y3516" i="1"/>
  <c r="Y3520" i="1"/>
  <c r="Y3524" i="1"/>
  <c r="Y3528" i="1"/>
  <c r="Y3532" i="1"/>
  <c r="Y3536" i="1"/>
  <c r="Y3540" i="1"/>
  <c r="Y3544" i="1"/>
  <c r="Y3548" i="1"/>
  <c r="Y3552" i="1"/>
  <c r="Y3556" i="1"/>
  <c r="Y3560" i="1"/>
  <c r="Y3564" i="1"/>
  <c r="Y3568" i="1"/>
  <c r="Y3572" i="1"/>
  <c r="Y3576" i="1"/>
  <c r="Y3580" i="1"/>
  <c r="Y3584" i="1"/>
  <c r="Y3588" i="1"/>
  <c r="Y3592" i="1"/>
  <c r="Y3596" i="1"/>
  <c r="Y3600" i="1"/>
  <c r="Y3604" i="1"/>
  <c r="Y3608" i="1"/>
  <c r="Y3612" i="1"/>
  <c r="Y3616" i="1"/>
  <c r="Y3620" i="1"/>
  <c r="Y3624" i="1"/>
  <c r="Y3628" i="1"/>
  <c r="Y3632" i="1"/>
  <c r="Y3636" i="1"/>
  <c r="Y3640" i="1"/>
  <c r="Y3644" i="1"/>
  <c r="Y3648" i="1"/>
  <c r="Y3652" i="1"/>
  <c r="Y3656" i="1"/>
  <c r="Y3660" i="1"/>
  <c r="Y3664" i="1"/>
  <c r="Y3668" i="1"/>
  <c r="Y3672" i="1"/>
  <c r="Y3676" i="1"/>
  <c r="Y3680" i="1"/>
  <c r="Y3684" i="1"/>
  <c r="Y3688" i="1"/>
  <c r="Y3692" i="1"/>
  <c r="Y3696" i="1"/>
  <c r="Y3700" i="1"/>
  <c r="Y3704" i="1"/>
  <c r="Y3708" i="1"/>
  <c r="Y3712" i="1"/>
  <c r="Y3716" i="1"/>
  <c r="Y3720" i="1"/>
  <c r="Y3724" i="1"/>
  <c r="Y3728" i="1"/>
  <c r="Y3732" i="1"/>
  <c r="Y3736" i="1"/>
  <c r="Y3740" i="1"/>
  <c r="Y3744" i="1"/>
  <c r="Y3748" i="1"/>
  <c r="Y3752" i="1"/>
  <c r="Y3756" i="1"/>
  <c r="Y3760" i="1"/>
  <c r="Y3764" i="1"/>
  <c r="Y3768" i="1"/>
  <c r="Y3772" i="1"/>
  <c r="Y3776" i="1"/>
  <c r="Y3780" i="1"/>
  <c r="Y3784" i="1"/>
  <c r="Y3788" i="1"/>
  <c r="Y3792" i="1"/>
  <c r="Y3796" i="1"/>
  <c r="Y3800" i="1"/>
  <c r="Y3804" i="1"/>
  <c r="Y3808" i="1"/>
  <c r="Y3812" i="1"/>
  <c r="Y3816" i="1"/>
  <c r="Y3820" i="1"/>
  <c r="Y3824" i="1"/>
  <c r="Y3828" i="1"/>
  <c r="Y3832" i="1"/>
  <c r="Y3836" i="1"/>
  <c r="Y3840" i="1"/>
  <c r="Y3844" i="1"/>
  <c r="Y3848" i="1"/>
  <c r="Y3852" i="1"/>
  <c r="Y3856" i="1"/>
  <c r="Y3860" i="1"/>
  <c r="Y3864" i="1"/>
  <c r="Y3868" i="1"/>
  <c r="Y3872" i="1"/>
  <c r="Y3876" i="1"/>
  <c r="Y3880" i="1"/>
  <c r="Y3884" i="1"/>
  <c r="Y3888" i="1"/>
  <c r="Y3892" i="1"/>
  <c r="Y3896" i="1"/>
  <c r="Y3900" i="1"/>
  <c r="Y3904" i="1"/>
  <c r="Y3908" i="1"/>
  <c r="Y3912" i="1"/>
  <c r="Y3916" i="1"/>
  <c r="Y3920" i="1"/>
  <c r="Y3924" i="1"/>
  <c r="Y3928" i="1"/>
  <c r="Y3932" i="1"/>
  <c r="Y3936" i="1"/>
  <c r="Y3940" i="1"/>
  <c r="Y3944" i="1"/>
  <c r="Y3948" i="1"/>
  <c r="Y3952" i="1"/>
  <c r="Y3198" i="1"/>
  <c r="Y3203" i="1"/>
  <c r="Y3208" i="1"/>
  <c r="Y3214" i="1"/>
  <c r="Y3219" i="1"/>
  <c r="Y3224" i="1"/>
  <c r="Y3230" i="1"/>
  <c r="Y3235" i="1"/>
  <c r="Y3240" i="1"/>
  <c r="Y3246" i="1"/>
  <c r="Y3251" i="1"/>
  <c r="Y3256" i="1"/>
  <c r="Y3262" i="1"/>
  <c r="Y3267" i="1"/>
  <c r="Y3272" i="1"/>
  <c r="Y3278" i="1"/>
  <c r="Y3283" i="1"/>
  <c r="Y3288" i="1"/>
  <c r="Y3294" i="1"/>
  <c r="Y3299" i="1"/>
  <c r="Y3304" i="1"/>
  <c r="Y3310" i="1"/>
  <c r="Y3315" i="1"/>
  <c r="Y3320" i="1"/>
  <c r="Y3326" i="1"/>
  <c r="Y3331" i="1"/>
  <c r="Y3336" i="1"/>
  <c r="Y3342" i="1"/>
  <c r="Y3347" i="1"/>
  <c r="Y3352" i="1"/>
  <c r="Y3358" i="1"/>
  <c r="Y3363" i="1"/>
  <c r="Y3368" i="1"/>
  <c r="Y3374" i="1"/>
  <c r="Y3379" i="1"/>
  <c r="Y3384" i="1"/>
  <c r="Y3390" i="1"/>
  <c r="Y3395" i="1"/>
  <c r="Y3400" i="1"/>
  <c r="Y3406" i="1"/>
  <c r="Y3411" i="1"/>
  <c r="Y3416" i="1"/>
  <c r="Y3422" i="1"/>
  <c r="Y3427" i="1"/>
  <c r="Y3432" i="1"/>
  <c r="Y3438" i="1"/>
  <c r="Y3443" i="1"/>
  <c r="Y3448" i="1"/>
  <c r="Y3454" i="1"/>
  <c r="Y3459" i="1"/>
  <c r="Y3464" i="1"/>
  <c r="Y3470" i="1"/>
  <c r="Y3475" i="1"/>
  <c r="Y3480" i="1"/>
  <c r="Y3486" i="1"/>
  <c r="Y3491" i="1"/>
  <c r="Y3496" i="1"/>
  <c r="Y3501" i="1"/>
  <c r="Y3505" i="1"/>
  <c r="Y3509" i="1"/>
  <c r="Y3513" i="1"/>
  <c r="Y3517" i="1"/>
  <c r="Y3521" i="1"/>
  <c r="Y3525" i="1"/>
  <c r="Y3529" i="1"/>
  <c r="Y3533" i="1"/>
  <c r="Y3537" i="1"/>
  <c r="Y3541" i="1"/>
  <c r="Y3545" i="1"/>
  <c r="Y3549" i="1"/>
  <c r="Y3553" i="1"/>
  <c r="Y3557" i="1"/>
  <c r="Y3561" i="1"/>
  <c r="Y3565" i="1"/>
  <c r="Y3569" i="1"/>
  <c r="Y3573" i="1"/>
  <c r="Y3577" i="1"/>
  <c r="Y3581" i="1"/>
  <c r="Y3585" i="1"/>
  <c r="Y3589" i="1"/>
  <c r="Y3593" i="1"/>
  <c r="Y3597" i="1"/>
  <c r="Y3601" i="1"/>
  <c r="Y3605" i="1"/>
  <c r="Y3609" i="1"/>
  <c r="Y3613" i="1"/>
  <c r="Y3617" i="1"/>
  <c r="Y3621" i="1"/>
  <c r="Y3625" i="1"/>
  <c r="Y3629" i="1"/>
  <c r="Y3633" i="1"/>
  <c r="Y3637" i="1"/>
  <c r="Y3641" i="1"/>
  <c r="Y3645" i="1"/>
  <c r="Y3649" i="1"/>
  <c r="Y3653" i="1"/>
  <c r="Y3657" i="1"/>
  <c r="Y3661" i="1"/>
  <c r="Y3665" i="1"/>
  <c r="Y3669" i="1"/>
  <c r="Y3673" i="1"/>
  <c r="Y3677" i="1"/>
  <c r="Y3681" i="1"/>
  <c r="Y3685" i="1"/>
  <c r="Y3689" i="1"/>
  <c r="Y3693" i="1"/>
  <c r="Y3697" i="1"/>
  <c r="Y3701" i="1"/>
  <c r="Y3705" i="1"/>
  <c r="Y3709" i="1"/>
  <c r="Y3713" i="1"/>
  <c r="Y3717" i="1"/>
  <c r="Y3721" i="1"/>
  <c r="Y3725" i="1"/>
  <c r="Y3729" i="1"/>
  <c r="Y3733" i="1"/>
  <c r="Y3737" i="1"/>
  <c r="Y3741" i="1"/>
  <c r="Y3745" i="1"/>
  <c r="Y3749" i="1"/>
  <c r="Y3753" i="1"/>
  <c r="Y3757" i="1"/>
  <c r="Y3761" i="1"/>
  <c r="Y3765" i="1"/>
  <c r="Y3769" i="1"/>
  <c r="Y3773" i="1"/>
  <c r="Y3777" i="1"/>
  <c r="Y3781" i="1"/>
  <c r="Y3785" i="1"/>
  <c r="Y3789" i="1"/>
  <c r="Y3793" i="1"/>
  <c r="Y3797" i="1"/>
  <c r="Y3801" i="1"/>
  <c r="Y3805" i="1"/>
  <c r="Y3809" i="1"/>
  <c r="Y3813" i="1"/>
  <c r="Y3817" i="1"/>
  <c r="Y3821" i="1"/>
  <c r="Y3825" i="1"/>
  <c r="Y3829" i="1"/>
  <c r="Y3833" i="1"/>
  <c r="Y3837" i="1"/>
  <c r="Y3841" i="1"/>
  <c r="Y3845" i="1"/>
  <c r="Y3849" i="1"/>
  <c r="Y3853" i="1"/>
  <c r="Y3857" i="1"/>
  <c r="Y3861" i="1"/>
  <c r="Y3865" i="1"/>
  <c r="Y3869" i="1"/>
  <c r="Y3873" i="1"/>
  <c r="Y3877" i="1"/>
  <c r="Y3881" i="1"/>
  <c r="Y3885" i="1"/>
  <c r="Y3889" i="1"/>
  <c r="Y3893" i="1"/>
  <c r="Y3897" i="1"/>
  <c r="Y3901" i="1"/>
  <c r="Y3905" i="1"/>
  <c r="Y3909" i="1"/>
  <c r="Y3913" i="1"/>
  <c r="Y3917" i="1"/>
  <c r="Y3921" i="1"/>
  <c r="Y3925" i="1"/>
  <c r="Y3929" i="1"/>
  <c r="Y3933" i="1"/>
  <c r="Y3937" i="1"/>
  <c r="Y3941" i="1"/>
  <c r="Y3945" i="1"/>
  <c r="Y3949" i="1"/>
  <c r="Y3953" i="1"/>
  <c r="Y3957" i="1"/>
  <c r="Y3961" i="1"/>
  <c r="Y3965" i="1"/>
  <c r="Y3969" i="1"/>
  <c r="Y3973" i="1"/>
  <c r="Y3977" i="1"/>
  <c r="Y3981" i="1"/>
  <c r="Y3985" i="1"/>
  <c r="Y3989" i="1"/>
  <c r="Y3993" i="1"/>
  <c r="Y3997" i="1"/>
  <c r="Y4001" i="1"/>
  <c r="Y4005" i="1"/>
  <c r="Y4009" i="1"/>
  <c r="Y4013" i="1"/>
  <c r="Y4017" i="1"/>
  <c r="Y4021" i="1"/>
  <c r="Y4025" i="1"/>
  <c r="Y4029" i="1"/>
  <c r="Y4033" i="1"/>
  <c r="Y4037" i="1"/>
  <c r="Y4041" i="1"/>
  <c r="Y4045" i="1"/>
  <c r="Y4049" i="1"/>
  <c r="Y4053" i="1"/>
  <c r="Y4057" i="1"/>
  <c r="Y4061" i="1"/>
  <c r="Y4065" i="1"/>
  <c r="Y4069" i="1"/>
  <c r="Y4073" i="1"/>
  <c r="Y4077" i="1"/>
  <c r="Y4081" i="1"/>
  <c r="Y4085" i="1"/>
  <c r="Y4089" i="1"/>
  <c r="Y4093" i="1"/>
  <c r="Y4097" i="1"/>
  <c r="Y4101" i="1"/>
  <c r="Y4105" i="1"/>
  <c r="Y4109" i="1"/>
  <c r="Y4113" i="1"/>
  <c r="Y4117" i="1"/>
  <c r="Y4121" i="1"/>
  <c r="Y4125" i="1"/>
  <c r="Y4129" i="1"/>
  <c r="Y4133" i="1"/>
  <c r="Y4137" i="1"/>
  <c r="Y4141" i="1"/>
  <c r="Y4145" i="1"/>
  <c r="Y4149" i="1"/>
  <c r="Y4153" i="1"/>
  <c r="Y4157" i="1"/>
  <c r="Y4161" i="1"/>
  <c r="Y4165" i="1"/>
  <c r="Y4169" i="1"/>
  <c r="Y4173" i="1"/>
  <c r="Y4177" i="1"/>
  <c r="Y4181" i="1"/>
  <c r="Y4185" i="1"/>
  <c r="Y4189" i="1"/>
  <c r="Y4193" i="1"/>
  <c r="Y4197" i="1"/>
  <c r="Y4201" i="1"/>
  <c r="Y4205" i="1"/>
  <c r="Y4209" i="1"/>
  <c r="Y4213" i="1"/>
  <c r="Y4217" i="1"/>
  <c r="Y4221" i="1"/>
  <c r="Y4225" i="1"/>
  <c r="Y4229" i="1"/>
  <c r="Y4233" i="1"/>
  <c r="Y4237" i="1"/>
  <c r="Y4241" i="1"/>
  <c r="Y4245" i="1"/>
  <c r="Y4249" i="1"/>
  <c r="Y4253" i="1"/>
  <c r="Y4257" i="1"/>
  <c r="Y4261" i="1"/>
  <c r="Y4265" i="1"/>
  <c r="Y4269" i="1"/>
  <c r="Y4273" i="1"/>
  <c r="Y4277" i="1"/>
  <c r="Y4281" i="1"/>
  <c r="Y4285" i="1"/>
  <c r="Y4289" i="1"/>
  <c r="Y4293" i="1"/>
  <c r="Y4297" i="1"/>
  <c r="Y4301" i="1"/>
  <c r="Y4305" i="1"/>
  <c r="Y4309" i="1"/>
  <c r="Y4313" i="1"/>
  <c r="Y4317" i="1"/>
  <c r="Y4321" i="1"/>
  <c r="Y3960" i="1"/>
  <c r="Y3968" i="1"/>
  <c r="Y3976" i="1"/>
  <c r="Y3984" i="1"/>
  <c r="Y3991" i="1"/>
  <c r="Y3996" i="1"/>
  <c r="Y4002" i="1"/>
  <c r="Y4007" i="1"/>
  <c r="Y4012" i="1"/>
  <c r="Y4018" i="1"/>
  <c r="Y4023" i="1"/>
  <c r="Y4028" i="1"/>
  <c r="Y4034" i="1"/>
  <c r="Y4039" i="1"/>
  <c r="Y4044" i="1"/>
  <c r="Y4050" i="1"/>
  <c r="Y4055" i="1"/>
  <c r="Y4060" i="1"/>
  <c r="Y4066" i="1"/>
  <c r="Y4071" i="1"/>
  <c r="Y4076" i="1"/>
  <c r="Y4082" i="1"/>
  <c r="Y4087" i="1"/>
  <c r="Y4092" i="1"/>
  <c r="Y4098" i="1"/>
  <c r="Y4103" i="1"/>
  <c r="Y4108" i="1"/>
  <c r="Y4114" i="1"/>
  <c r="Y4119" i="1"/>
  <c r="Y4124" i="1"/>
  <c r="Y4130" i="1"/>
  <c r="Y4135" i="1"/>
  <c r="Y4140" i="1"/>
  <c r="Y4146" i="1"/>
  <c r="Y4151" i="1"/>
  <c r="Y4156" i="1"/>
  <c r="Y4162" i="1"/>
  <c r="Y4167" i="1"/>
  <c r="Y4172" i="1"/>
  <c r="Y4178" i="1"/>
  <c r="Y4183" i="1"/>
  <c r="Y4188" i="1"/>
  <c r="Y4194" i="1"/>
  <c r="Y4199" i="1"/>
  <c r="Y4204" i="1"/>
  <c r="Y4210" i="1"/>
  <c r="Y4215" i="1"/>
  <c r="Y4220" i="1"/>
  <c r="Y4226" i="1"/>
  <c r="Y4231" i="1"/>
  <c r="Y4236" i="1"/>
  <c r="Y4242" i="1"/>
  <c r="Y4247" i="1"/>
  <c r="Y4252" i="1"/>
  <c r="Y4258" i="1"/>
  <c r="Y4263" i="1"/>
  <c r="Y4268" i="1"/>
  <c r="Y4274" i="1"/>
  <c r="Y4279" i="1"/>
  <c r="Y4284" i="1"/>
  <c r="Y4290" i="1"/>
  <c r="Y4295" i="1"/>
  <c r="Y4300" i="1"/>
  <c r="Y4306" i="1"/>
  <c r="Y4311" i="1"/>
  <c r="Y4316" i="1"/>
  <c r="Y4322" i="1"/>
  <c r="Y4326" i="1"/>
  <c r="Y4330" i="1"/>
  <c r="Y4334" i="1"/>
  <c r="Y4338" i="1"/>
  <c r="Y4342" i="1"/>
  <c r="Y4346" i="1"/>
  <c r="Y4350" i="1"/>
  <c r="Y4354" i="1"/>
  <c r="Y4358" i="1"/>
  <c r="Y4362" i="1"/>
  <c r="Y4366" i="1"/>
  <c r="Y4370" i="1"/>
  <c r="Y4374" i="1"/>
  <c r="Y4378" i="1"/>
  <c r="Y4382" i="1"/>
  <c r="Y4386" i="1"/>
  <c r="Y4390" i="1"/>
  <c r="Y4394" i="1"/>
  <c r="Y4398" i="1"/>
  <c r="Y4402" i="1"/>
  <c r="Y4406" i="1"/>
  <c r="Y4410" i="1"/>
  <c r="Y4414" i="1"/>
  <c r="Y4418" i="1"/>
  <c r="Y4422" i="1"/>
  <c r="Y4426" i="1"/>
  <c r="Y4430" i="1"/>
  <c r="Y4434" i="1"/>
  <c r="Y4438" i="1"/>
  <c r="Y4442" i="1"/>
  <c r="Y4446" i="1"/>
  <c r="Y4450" i="1"/>
  <c r="Y4454" i="1"/>
  <c r="Y4458" i="1"/>
  <c r="Y4462" i="1"/>
  <c r="Y4466" i="1"/>
  <c r="Y4470" i="1"/>
  <c r="Y4474" i="1"/>
  <c r="Y4478" i="1"/>
  <c r="Y4482" i="1"/>
  <c r="Y4486" i="1"/>
  <c r="Y4490" i="1"/>
  <c r="Y4494" i="1"/>
  <c r="Y4498" i="1"/>
  <c r="Y4502" i="1"/>
  <c r="Y4506" i="1"/>
  <c r="Y4510" i="1"/>
  <c r="Y4514" i="1"/>
  <c r="Y4518" i="1"/>
  <c r="Y4522" i="1"/>
  <c r="Y4526" i="1"/>
  <c r="Y4530" i="1"/>
  <c r="Y4534" i="1"/>
  <c r="Y4538" i="1"/>
  <c r="Y4542" i="1"/>
  <c r="Y4546" i="1"/>
  <c r="Y4550" i="1"/>
  <c r="Y4554" i="1"/>
  <c r="Y4558" i="1"/>
  <c r="Y4562" i="1"/>
  <c r="Y4566" i="1"/>
  <c r="Y4570" i="1"/>
  <c r="Y4574" i="1"/>
  <c r="Y4578" i="1"/>
  <c r="Y4582" i="1"/>
  <c r="Y4586" i="1"/>
  <c r="Y4590" i="1"/>
  <c r="Y4594" i="1"/>
  <c r="Y4598" i="1"/>
  <c r="Y4602" i="1"/>
  <c r="Y4606" i="1"/>
  <c r="Y4610" i="1"/>
  <c r="Y4614" i="1"/>
  <c r="Y4618" i="1"/>
  <c r="Y4622" i="1"/>
  <c r="Y4626" i="1"/>
  <c r="Y4630" i="1"/>
  <c r="Y4634" i="1"/>
  <c r="Y4638" i="1"/>
  <c r="Y4642" i="1"/>
  <c r="Y4646" i="1"/>
  <c r="Y4650" i="1"/>
  <c r="Y4654" i="1"/>
  <c r="Y4658" i="1"/>
  <c r="Y4662" i="1"/>
  <c r="Y4666" i="1"/>
  <c r="Y4670" i="1"/>
  <c r="Y4674" i="1"/>
  <c r="Y4678" i="1"/>
  <c r="Y4682" i="1"/>
  <c r="Y4686" i="1"/>
  <c r="Y4690" i="1"/>
  <c r="Y4694" i="1"/>
  <c r="Y4698" i="1"/>
  <c r="Y4702" i="1"/>
  <c r="Y4706" i="1"/>
  <c r="Y4710" i="1"/>
  <c r="Y4714" i="1"/>
  <c r="Y4718" i="1"/>
  <c r="Y4722" i="1"/>
  <c r="Y4726" i="1"/>
  <c r="Y4730" i="1"/>
  <c r="Y4734" i="1"/>
  <c r="Y4738" i="1"/>
  <c r="Y4742" i="1"/>
  <c r="Y4746" i="1"/>
  <c r="Y4750" i="1"/>
  <c r="Y4754" i="1"/>
  <c r="Y4758" i="1"/>
  <c r="Y4762" i="1"/>
  <c r="Y4766" i="1"/>
  <c r="Y4770" i="1"/>
  <c r="Y4774" i="1"/>
  <c r="Y4778" i="1"/>
  <c r="Y4782" i="1"/>
  <c r="Y4786" i="1"/>
  <c r="Y4790" i="1"/>
  <c r="Y4794" i="1"/>
  <c r="Y4798" i="1"/>
  <c r="Y4802" i="1"/>
  <c r="Y4806" i="1"/>
  <c r="Y4810" i="1"/>
  <c r="Y4814" i="1"/>
  <c r="Y4818" i="1"/>
  <c r="Y4822" i="1"/>
  <c r="Y4826" i="1"/>
  <c r="Y4830" i="1"/>
  <c r="Y4834" i="1"/>
  <c r="Y4838" i="1"/>
  <c r="Y4842" i="1"/>
  <c r="Y4846" i="1"/>
  <c r="Y4850" i="1"/>
  <c r="Y4854" i="1"/>
  <c r="Y4858" i="1"/>
  <c r="Y4862" i="1"/>
  <c r="Y4866" i="1"/>
  <c r="Y4870" i="1"/>
  <c r="Y4874" i="1"/>
  <c r="Y4878" i="1"/>
  <c r="Y4882" i="1"/>
  <c r="Y4886" i="1"/>
  <c r="Y4890" i="1"/>
  <c r="Y4894" i="1"/>
  <c r="Y4898" i="1"/>
  <c r="Y4902" i="1"/>
  <c r="Y4906" i="1"/>
  <c r="Y4910" i="1"/>
  <c r="Y4914" i="1"/>
  <c r="Y4918" i="1"/>
  <c r="Y4922" i="1"/>
  <c r="Y4926" i="1"/>
  <c r="Y4930" i="1"/>
  <c r="Y4934" i="1"/>
  <c r="Y4938" i="1"/>
  <c r="Y4942" i="1"/>
  <c r="Y4946" i="1"/>
  <c r="Y4950" i="1"/>
  <c r="Y4954" i="1"/>
  <c r="Y4958" i="1"/>
  <c r="Y4962" i="1"/>
  <c r="Y4966" i="1"/>
  <c r="Y4970" i="1"/>
  <c r="Y4974" i="1"/>
  <c r="Y4978" i="1"/>
  <c r="Y4982" i="1"/>
  <c r="Y4986" i="1"/>
  <c r="Y4990" i="1"/>
  <c r="Y4994" i="1"/>
  <c r="Y4998" i="1"/>
  <c r="Y3954" i="1"/>
  <c r="Y3962" i="1"/>
  <c r="Y3970" i="1"/>
  <c r="Y3978" i="1"/>
  <c r="Y3986" i="1"/>
  <c r="Y3992" i="1"/>
  <c r="Y3998" i="1"/>
  <c r="Y4003" i="1"/>
  <c r="Y4008" i="1"/>
  <c r="Y4014" i="1"/>
  <c r="Y4019" i="1"/>
  <c r="Y4024" i="1"/>
  <c r="Y4030" i="1"/>
  <c r="Y4035" i="1"/>
  <c r="Y4040" i="1"/>
  <c r="Y4046" i="1"/>
  <c r="Y4051" i="1"/>
  <c r="Y4056" i="1"/>
  <c r="Y4062" i="1"/>
  <c r="Y4067" i="1"/>
  <c r="Y4072" i="1"/>
  <c r="Y4078" i="1"/>
  <c r="Y4083" i="1"/>
  <c r="Y4088" i="1"/>
  <c r="Y4094" i="1"/>
  <c r="Y4099" i="1"/>
  <c r="Y4104" i="1"/>
  <c r="Y4110" i="1"/>
  <c r="Y4115" i="1"/>
  <c r="Y4120" i="1"/>
  <c r="Y4126" i="1"/>
  <c r="Y4131" i="1"/>
  <c r="Y4136" i="1"/>
  <c r="Y4142" i="1"/>
  <c r="Y4147" i="1"/>
  <c r="Y4152" i="1"/>
  <c r="Y4158" i="1"/>
  <c r="Y4163" i="1"/>
  <c r="Y4168" i="1"/>
  <c r="Y4174" i="1"/>
  <c r="Y4179" i="1"/>
  <c r="Y4184" i="1"/>
  <c r="Y4190" i="1"/>
  <c r="Y4195" i="1"/>
  <c r="Y4200" i="1"/>
  <c r="Y4206" i="1"/>
  <c r="Y4211" i="1"/>
  <c r="Y4216" i="1"/>
  <c r="Y4222" i="1"/>
  <c r="Y4227" i="1"/>
  <c r="Y4232" i="1"/>
  <c r="Y4238" i="1"/>
  <c r="Y4243" i="1"/>
  <c r="Y4248" i="1"/>
  <c r="Y4254" i="1"/>
  <c r="Y4259" i="1"/>
  <c r="Y4264" i="1"/>
  <c r="Y4270" i="1"/>
  <c r="Y4275" i="1"/>
  <c r="Y4280" i="1"/>
  <c r="Y4286" i="1"/>
  <c r="Y4291" i="1"/>
  <c r="Y4296" i="1"/>
  <c r="Y4302" i="1"/>
  <c r="Y4307" i="1"/>
  <c r="Y4312" i="1"/>
  <c r="Y4318" i="1"/>
  <c r="Y4323" i="1"/>
  <c r="Y4327" i="1"/>
  <c r="Y4331" i="1"/>
  <c r="Y4335" i="1"/>
  <c r="Y4339" i="1"/>
  <c r="Y4343" i="1"/>
  <c r="Y4347" i="1"/>
  <c r="Y4351" i="1"/>
  <c r="Y4355" i="1"/>
  <c r="Y4359" i="1"/>
  <c r="Y4363" i="1"/>
  <c r="Y4367" i="1"/>
  <c r="Y4371" i="1"/>
  <c r="Y4375" i="1"/>
  <c r="Y4379" i="1"/>
  <c r="Y4383" i="1"/>
  <c r="Y4387" i="1"/>
  <c r="Y4391" i="1"/>
  <c r="Y4395" i="1"/>
  <c r="Y4399" i="1"/>
  <c r="Y4403" i="1"/>
  <c r="Y4407" i="1"/>
  <c r="Y4411" i="1"/>
  <c r="Y4415" i="1"/>
  <c r="Y4419" i="1"/>
  <c r="Y4423" i="1"/>
  <c r="Y4427" i="1"/>
  <c r="Y4431" i="1"/>
  <c r="Y4435" i="1"/>
  <c r="Y4439" i="1"/>
  <c r="Y4443" i="1"/>
  <c r="Y4447" i="1"/>
  <c r="Y4451" i="1"/>
  <c r="Y4455" i="1"/>
  <c r="Y4459" i="1"/>
  <c r="Y4463" i="1"/>
  <c r="Y4467" i="1"/>
  <c r="Y4471" i="1"/>
  <c r="Y4475" i="1"/>
  <c r="Y4479" i="1"/>
  <c r="Y4483" i="1"/>
  <c r="Y4487" i="1"/>
  <c r="Y4491" i="1"/>
  <c r="Y4495" i="1"/>
  <c r="Y4499" i="1"/>
  <c r="Y4503" i="1"/>
  <c r="Y4507" i="1"/>
  <c r="Y4511" i="1"/>
  <c r="Y4515" i="1"/>
  <c r="Y4519" i="1"/>
  <c r="Y4523" i="1"/>
  <c r="Y4527" i="1"/>
  <c r="Y4531" i="1"/>
  <c r="Y4535" i="1"/>
  <c r="Y4539" i="1"/>
  <c r="Y4543" i="1"/>
  <c r="Y4547" i="1"/>
  <c r="Y4551" i="1"/>
  <c r="Y4555" i="1"/>
  <c r="Y4559" i="1"/>
  <c r="Y4563" i="1"/>
  <c r="Y4567" i="1"/>
  <c r="Y4571" i="1"/>
  <c r="Y4575" i="1"/>
  <c r="Y4579" i="1"/>
  <c r="Y4583" i="1"/>
  <c r="Y4587" i="1"/>
  <c r="Y4591" i="1"/>
  <c r="Y4595" i="1"/>
  <c r="Y4599" i="1"/>
  <c r="Y4603" i="1"/>
  <c r="Y4607" i="1"/>
  <c r="Y4611" i="1"/>
  <c r="Y4615" i="1"/>
  <c r="Y4619" i="1"/>
  <c r="Y4623" i="1"/>
  <c r="Y4627" i="1"/>
  <c r="Y4631" i="1"/>
  <c r="Y4635" i="1"/>
  <c r="Y4639" i="1"/>
  <c r="Y4643" i="1"/>
  <c r="Y4647" i="1"/>
  <c r="Y4651" i="1"/>
  <c r="Y4655" i="1"/>
  <c r="Y4659" i="1"/>
  <c r="Y4663" i="1"/>
  <c r="Y4667" i="1"/>
  <c r="Y4671" i="1"/>
  <c r="Y4675" i="1"/>
  <c r="Y4679" i="1"/>
  <c r="Y4683" i="1"/>
  <c r="Y4687" i="1"/>
  <c r="Y4691" i="1"/>
  <c r="Y4695" i="1"/>
  <c r="Y4699" i="1"/>
  <c r="Y4703" i="1"/>
  <c r="Y4707" i="1"/>
  <c r="Y4711" i="1"/>
  <c r="Y4715" i="1"/>
  <c r="Y4719" i="1"/>
  <c r="Y4723" i="1"/>
  <c r="Y4727" i="1"/>
  <c r="Y4731" i="1"/>
  <c r="Y4735" i="1"/>
  <c r="Y4739" i="1"/>
  <c r="Y4743" i="1"/>
  <c r="Y4747" i="1"/>
  <c r="Y4751" i="1"/>
  <c r="Y4755" i="1"/>
  <c r="Y4759" i="1"/>
  <c r="Y4763" i="1"/>
  <c r="Y4767" i="1"/>
  <c r="Y4771" i="1"/>
  <c r="Y4775" i="1"/>
  <c r="Y4779" i="1"/>
  <c r="Y4783" i="1"/>
  <c r="Y4787" i="1"/>
  <c r="Y4791" i="1"/>
  <c r="Y4795" i="1"/>
  <c r="Y4799" i="1"/>
  <c r="Y4803" i="1"/>
  <c r="Y4807" i="1"/>
  <c r="Y4811" i="1"/>
  <c r="Y4815" i="1"/>
  <c r="Y4819" i="1"/>
  <c r="Y4823" i="1"/>
  <c r="Y4827" i="1"/>
  <c r="Y4831" i="1"/>
  <c r="Y4835" i="1"/>
  <c r="Y4839" i="1"/>
  <c r="Y4843" i="1"/>
  <c r="Y4847" i="1"/>
  <c r="Y4851" i="1"/>
  <c r="Y4855" i="1"/>
  <c r="Y4859" i="1"/>
  <c r="Y4863" i="1"/>
  <c r="Y4867" i="1"/>
  <c r="Y4871" i="1"/>
  <c r="Y4875" i="1"/>
  <c r="Y4879" i="1"/>
  <c r="Y4883" i="1"/>
  <c r="Y4887" i="1"/>
  <c r="Y4891" i="1"/>
  <c r="Y4895" i="1"/>
  <c r="Y4899" i="1"/>
  <c r="Y4903" i="1"/>
  <c r="Y4907" i="1"/>
  <c r="Y4911" i="1"/>
  <c r="Y4915" i="1"/>
  <c r="Y4919" i="1"/>
  <c r="Y4923" i="1"/>
  <c r="Y4927" i="1"/>
  <c r="Y4931" i="1"/>
  <c r="Y4935" i="1"/>
  <c r="Y4939" i="1"/>
  <c r="Y4943" i="1"/>
  <c r="Y4947" i="1"/>
  <c r="Y4951" i="1"/>
  <c r="Y4955" i="1"/>
  <c r="Y4959" i="1"/>
  <c r="Y4963" i="1"/>
  <c r="Y4967" i="1"/>
  <c r="Y4971" i="1"/>
  <c r="Y4975" i="1"/>
  <c r="Y4979" i="1"/>
  <c r="Y4983" i="1"/>
  <c r="Y4987" i="1"/>
  <c r="Y4991" i="1"/>
  <c r="Y4995" i="1"/>
  <c r="Y4999" i="1"/>
  <c r="Y3956" i="1"/>
  <c r="Y3964" i="1"/>
  <c r="Y3972" i="1"/>
  <c r="Y3980" i="1"/>
  <c r="Y3988" i="1"/>
  <c r="Y3994" i="1"/>
  <c r="Y3999" i="1"/>
  <c r="Y4004" i="1"/>
  <c r="Y4010" i="1"/>
  <c r="Y4015" i="1"/>
  <c r="Y4020" i="1"/>
  <c r="Y4026" i="1"/>
  <c r="Y4031" i="1"/>
  <c r="Y4036" i="1"/>
  <c r="Y4042" i="1"/>
  <c r="Y4047" i="1"/>
  <c r="Y4052" i="1"/>
  <c r="Y4058" i="1"/>
  <c r="Y4063" i="1"/>
  <c r="Y4068" i="1"/>
  <c r="Y4074" i="1"/>
  <c r="Y4079" i="1"/>
  <c r="Y4084" i="1"/>
  <c r="Y4090" i="1"/>
  <c r="Y4095" i="1"/>
  <c r="Y4100" i="1"/>
  <c r="Y4106" i="1"/>
  <c r="Y4111" i="1"/>
  <c r="Y4116" i="1"/>
  <c r="Y4122" i="1"/>
  <c r="Y4127" i="1"/>
  <c r="Y4132" i="1"/>
  <c r="Y4138" i="1"/>
  <c r="Y4143" i="1"/>
  <c r="Y4148" i="1"/>
  <c r="Y4154" i="1"/>
  <c r="Y4159" i="1"/>
  <c r="Y4164" i="1"/>
  <c r="Y4170" i="1"/>
  <c r="Y4175" i="1"/>
  <c r="Y4180" i="1"/>
  <c r="Y4186" i="1"/>
  <c r="Y4191" i="1"/>
  <c r="Y4196" i="1"/>
  <c r="Y4202" i="1"/>
  <c r="Y4207" i="1"/>
  <c r="Y4212" i="1"/>
  <c r="Y4218" i="1"/>
  <c r="Y4223" i="1"/>
  <c r="Y4228" i="1"/>
  <c r="Y4234" i="1"/>
  <c r="Y4239" i="1"/>
  <c r="Y4244" i="1"/>
  <c r="Y4250" i="1"/>
  <c r="Y4255" i="1"/>
  <c r="Y4260" i="1"/>
  <c r="Y4266" i="1"/>
  <c r="Y4271" i="1"/>
  <c r="Y4276" i="1"/>
  <c r="Y4282" i="1"/>
  <c r="Y4287" i="1"/>
  <c r="Y4292" i="1"/>
  <c r="Y4298" i="1"/>
  <c r="Y4303" i="1"/>
  <c r="Y4308" i="1"/>
  <c r="Y4314" i="1"/>
  <c r="Y4319" i="1"/>
  <c r="Y4324" i="1"/>
  <c r="Y4328" i="1"/>
  <c r="Y4332" i="1"/>
  <c r="Y4336" i="1"/>
  <c r="Y4340" i="1"/>
  <c r="Y4344" i="1"/>
  <c r="Y4348" i="1"/>
  <c r="Y4352" i="1"/>
  <c r="Y4356" i="1"/>
  <c r="Y4360" i="1"/>
  <c r="Y4364" i="1"/>
  <c r="Y4368" i="1"/>
  <c r="Y4372" i="1"/>
  <c r="Y4376" i="1"/>
  <c r="Y4380" i="1"/>
  <c r="Y4384" i="1"/>
  <c r="Y4388" i="1"/>
  <c r="Y4392" i="1"/>
  <c r="Y4396" i="1"/>
  <c r="Y4400" i="1"/>
  <c r="Y4404" i="1"/>
  <c r="Y4408" i="1"/>
  <c r="Y4412" i="1"/>
  <c r="Y4416" i="1"/>
  <c r="Y4420" i="1"/>
  <c r="Y4424" i="1"/>
  <c r="Y4428" i="1"/>
  <c r="Y4432" i="1"/>
  <c r="Y4436" i="1"/>
  <c r="Y4440" i="1"/>
  <c r="Y4444" i="1"/>
  <c r="Y4448" i="1"/>
  <c r="Y4452" i="1"/>
  <c r="Y4456" i="1"/>
  <c r="Y4460" i="1"/>
  <c r="Y4464" i="1"/>
  <c r="Y4468" i="1"/>
  <c r="Y4472" i="1"/>
  <c r="Y4476" i="1"/>
  <c r="Y4480" i="1"/>
  <c r="Y4484" i="1"/>
  <c r="Y4488" i="1"/>
  <c r="Y4492" i="1"/>
  <c r="Y4496" i="1"/>
  <c r="Y4500" i="1"/>
  <c r="Y4504" i="1"/>
  <c r="Y4508" i="1"/>
  <c r="Y4512" i="1"/>
  <c r="Y4516" i="1"/>
  <c r="Y4520" i="1"/>
  <c r="Y4524" i="1"/>
  <c r="Y4528" i="1"/>
  <c r="Y4532" i="1"/>
  <c r="Y4536" i="1"/>
  <c r="Y4540" i="1"/>
  <c r="Y4544" i="1"/>
  <c r="Y4548" i="1"/>
  <c r="Y4552" i="1"/>
  <c r="Y4556" i="1"/>
  <c r="Y4560" i="1"/>
  <c r="Y4564" i="1"/>
  <c r="Y4568" i="1"/>
  <c r="Y4572" i="1"/>
  <c r="Y4576" i="1"/>
  <c r="Y4580" i="1"/>
  <c r="Y4584" i="1"/>
  <c r="Y4588" i="1"/>
  <c r="Y4592" i="1"/>
  <c r="Y4596" i="1"/>
  <c r="Y4600" i="1"/>
  <c r="Y4604" i="1"/>
  <c r="Y4608" i="1"/>
  <c r="Y4612" i="1"/>
  <c r="Y4616" i="1"/>
  <c r="Y4620" i="1"/>
  <c r="Y4624" i="1"/>
  <c r="Y4628" i="1"/>
  <c r="Y4632" i="1"/>
  <c r="Y4636" i="1"/>
  <c r="Y4640" i="1"/>
  <c r="Y4644" i="1"/>
  <c r="Y4648" i="1"/>
  <c r="Y4652" i="1"/>
  <c r="Y4656" i="1"/>
  <c r="Y4660" i="1"/>
  <c r="Y4664" i="1"/>
  <c r="Y4668" i="1"/>
  <c r="Y4672" i="1"/>
  <c r="Y4676" i="1"/>
  <c r="Y4680" i="1"/>
  <c r="Y4684" i="1"/>
  <c r="Y4688" i="1"/>
  <c r="Y4692" i="1"/>
  <c r="Y4696" i="1"/>
  <c r="Y4700" i="1"/>
  <c r="Y4704" i="1"/>
  <c r="Y4708" i="1"/>
  <c r="Y4712" i="1"/>
  <c r="Y4716" i="1"/>
  <c r="Y4720" i="1"/>
  <c r="Y4724" i="1"/>
  <c r="Y4728" i="1"/>
  <c r="Y4732" i="1"/>
  <c r="Y4736" i="1"/>
  <c r="Y4740" i="1"/>
  <c r="Y4744" i="1"/>
  <c r="Y4748" i="1"/>
  <c r="Y4752" i="1"/>
  <c r="Y4756" i="1"/>
  <c r="Y4760" i="1"/>
  <c r="Y4764" i="1"/>
  <c r="Y4768" i="1"/>
  <c r="Y4772" i="1"/>
  <c r="Y4776" i="1"/>
  <c r="Y4780" i="1"/>
  <c r="Y4784" i="1"/>
  <c r="Y4788" i="1"/>
  <c r="Y4792" i="1"/>
  <c r="Y4796" i="1"/>
  <c r="Y4800" i="1"/>
  <c r="Y4804" i="1"/>
  <c r="Y4808" i="1"/>
  <c r="Y4812" i="1"/>
  <c r="Y4816" i="1"/>
  <c r="Y4820" i="1"/>
  <c r="Y4824" i="1"/>
  <c r="Y4828" i="1"/>
  <c r="Y4832" i="1"/>
  <c r="Y4836" i="1"/>
  <c r="Y4840" i="1"/>
  <c r="Y4844" i="1"/>
  <c r="Y4848" i="1"/>
  <c r="Y4852" i="1"/>
  <c r="Y4856" i="1"/>
  <c r="Y4860" i="1"/>
  <c r="Y4864" i="1"/>
  <c r="Y4868" i="1"/>
  <c r="Y4872" i="1"/>
  <c r="Y4876" i="1"/>
  <c r="Y4880" i="1"/>
  <c r="Y4884" i="1"/>
  <c r="Y4888" i="1"/>
  <c r="Y4892" i="1"/>
  <c r="Y4896" i="1"/>
  <c r="Y4900" i="1"/>
  <c r="Y4904" i="1"/>
  <c r="Y4908" i="1"/>
  <c r="Y4912" i="1"/>
  <c r="Y4916" i="1"/>
  <c r="Y4920" i="1"/>
  <c r="Y4924" i="1"/>
  <c r="Y4928" i="1"/>
  <c r="Y4932" i="1"/>
  <c r="Y4936" i="1"/>
  <c r="Y4940" i="1"/>
  <c r="Y4944" i="1"/>
  <c r="Y4948" i="1"/>
  <c r="Y4952" i="1"/>
  <c r="Y4956" i="1"/>
  <c r="Y4960" i="1"/>
  <c r="Y4964" i="1"/>
  <c r="Y4968" i="1"/>
  <c r="Y4972" i="1"/>
  <c r="Y4976" i="1"/>
  <c r="Y4980" i="1"/>
  <c r="Y4984" i="1"/>
  <c r="Y4988" i="1"/>
  <c r="Y4992" i="1"/>
  <c r="Y4996" i="1"/>
  <c r="Y5000" i="1"/>
  <c r="Y3958" i="1"/>
  <c r="Y3966" i="1"/>
  <c r="Y3974" i="1"/>
  <c r="Y3982" i="1"/>
  <c r="Y3990" i="1"/>
  <c r="Y3995" i="1"/>
  <c r="Y4000" i="1"/>
  <c r="Y4006" i="1"/>
  <c r="Y4011" i="1"/>
  <c r="Y4016" i="1"/>
  <c r="Y4022" i="1"/>
  <c r="Y4027" i="1"/>
  <c r="Y4032" i="1"/>
  <c r="Y4038" i="1"/>
  <c r="Y4043" i="1"/>
  <c r="Y4048" i="1"/>
  <c r="Y4054" i="1"/>
  <c r="Y4059" i="1"/>
  <c r="Y4064" i="1"/>
  <c r="Y4070" i="1"/>
  <c r="Y4075" i="1"/>
  <c r="Y4080" i="1"/>
  <c r="Y4086" i="1"/>
  <c r="Y4091" i="1"/>
  <c r="Y4096" i="1"/>
  <c r="Y4102" i="1"/>
  <c r="Y4107" i="1"/>
  <c r="Y4112" i="1"/>
  <c r="Y4118" i="1"/>
  <c r="Y4123" i="1"/>
  <c r="Y4128" i="1"/>
  <c r="Y4134" i="1"/>
  <c r="Y4139" i="1"/>
  <c r="Y4144" i="1"/>
  <c r="Y4150" i="1"/>
  <c r="Y4155" i="1"/>
  <c r="Y4160" i="1"/>
  <c r="Y4166" i="1"/>
  <c r="Y4171" i="1"/>
  <c r="Y4176" i="1"/>
  <c r="Y4182" i="1"/>
  <c r="Y4187" i="1"/>
  <c r="Y4192" i="1"/>
  <c r="Y4198" i="1"/>
  <c r="Y4203" i="1"/>
  <c r="Y4208" i="1"/>
  <c r="Y4214" i="1"/>
  <c r="Y4219" i="1"/>
  <c r="Y4224" i="1"/>
  <c r="Y4230" i="1"/>
  <c r="Y4235" i="1"/>
  <c r="Y4240" i="1"/>
  <c r="Y4246" i="1"/>
  <c r="Y4251" i="1"/>
  <c r="Y4256" i="1"/>
  <c r="Y4262" i="1"/>
  <c r="Y4267" i="1"/>
  <c r="Y4272" i="1"/>
  <c r="Y4278" i="1"/>
  <c r="Y4283" i="1"/>
  <c r="Y4288" i="1"/>
  <c r="Y4294" i="1"/>
  <c r="Y4299" i="1"/>
  <c r="Y4304" i="1"/>
  <c r="Y4310" i="1"/>
  <c r="Y4315" i="1"/>
  <c r="Y4320" i="1"/>
  <c r="Y4325" i="1"/>
  <c r="Y4329" i="1"/>
  <c r="Y4333" i="1"/>
  <c r="Y4337" i="1"/>
  <c r="Y4341" i="1"/>
  <c r="Y4345" i="1"/>
  <c r="Y4349" i="1"/>
  <c r="Y4353" i="1"/>
  <c r="Y4357" i="1"/>
  <c r="Y4361" i="1"/>
  <c r="Y4365" i="1"/>
  <c r="Y4369" i="1"/>
  <c r="Y4373" i="1"/>
  <c r="Y4377" i="1"/>
  <c r="Y4381" i="1"/>
  <c r="Y4385" i="1"/>
  <c r="Y4389" i="1"/>
  <c r="Y4393" i="1"/>
  <c r="Y4397" i="1"/>
  <c r="Y4401" i="1"/>
  <c r="Y4405" i="1"/>
  <c r="Y4409" i="1"/>
  <c r="Y4413" i="1"/>
  <c r="Y4417" i="1"/>
  <c r="Y4421" i="1"/>
  <c r="Y4425" i="1"/>
  <c r="Y4429" i="1"/>
  <c r="Y4433" i="1"/>
  <c r="Y4437" i="1"/>
  <c r="Y4441" i="1"/>
  <c r="Y4445" i="1"/>
  <c r="Y4449" i="1"/>
  <c r="Y4453" i="1"/>
  <c r="Y4457" i="1"/>
  <c r="Y4461" i="1"/>
  <c r="Y4465" i="1"/>
  <c r="Y4469" i="1"/>
  <c r="Y4473" i="1"/>
  <c r="Y4477" i="1"/>
  <c r="Y4481" i="1"/>
  <c r="Y4485" i="1"/>
  <c r="Y4489" i="1"/>
  <c r="Y4493" i="1"/>
  <c r="Y4497" i="1"/>
  <c r="Y4501" i="1"/>
  <c r="Y4505" i="1"/>
  <c r="Y4509" i="1"/>
  <c r="Y4513" i="1"/>
  <c r="Y4517" i="1"/>
  <c r="Y4521" i="1"/>
  <c r="Y4525" i="1"/>
  <c r="Y4529" i="1"/>
  <c r="Y4533" i="1"/>
  <c r="Y4537" i="1"/>
  <c r="Y4541" i="1"/>
  <c r="Y4545" i="1"/>
  <c r="Y4549" i="1"/>
  <c r="Y4553" i="1"/>
  <c r="Y4557" i="1"/>
  <c r="Y4561" i="1"/>
  <c r="Y4565" i="1"/>
  <c r="Y4569" i="1"/>
  <c r="Y4573" i="1"/>
  <c r="Y4577" i="1"/>
  <c r="Y4581" i="1"/>
  <c r="Y4585" i="1"/>
  <c r="Y4589" i="1"/>
  <c r="Y4593" i="1"/>
  <c r="Y4597" i="1"/>
  <c r="Y4601" i="1"/>
  <c r="Y4605" i="1"/>
  <c r="Y4609" i="1"/>
  <c r="Y4613" i="1"/>
  <c r="Y4617" i="1"/>
  <c r="Y4621" i="1"/>
  <c r="Y4625" i="1"/>
  <c r="Y4629" i="1"/>
  <c r="Y4633" i="1"/>
  <c r="Y4637" i="1"/>
  <c r="Y4641" i="1"/>
  <c r="Y4645" i="1"/>
  <c r="Y4649" i="1"/>
  <c r="Y4653" i="1"/>
  <c r="Y4657" i="1"/>
  <c r="Y4661" i="1"/>
  <c r="Y4665" i="1"/>
  <c r="Y4669" i="1"/>
  <c r="Y4673" i="1"/>
  <c r="Y4677" i="1"/>
  <c r="Y4681" i="1"/>
  <c r="Y4685" i="1"/>
  <c r="Y4689" i="1"/>
  <c r="Y4693" i="1"/>
  <c r="Y4697" i="1"/>
  <c r="Y4701" i="1"/>
  <c r="Y4705" i="1"/>
  <c r="Y4709" i="1"/>
  <c r="Y4713" i="1"/>
  <c r="Y4717" i="1"/>
  <c r="Y4721" i="1"/>
  <c r="Y4725" i="1"/>
  <c r="Y4729" i="1"/>
  <c r="Y4733" i="1"/>
  <c r="Y4737" i="1"/>
  <c r="Y4741" i="1"/>
  <c r="Y4745" i="1"/>
  <c r="Y4749" i="1"/>
  <c r="Y4753" i="1"/>
  <c r="Y4757" i="1"/>
  <c r="Y4761" i="1"/>
  <c r="Y4765" i="1"/>
  <c r="Y4769" i="1"/>
  <c r="Y4773" i="1"/>
  <c r="Y4777" i="1"/>
  <c r="Y4781" i="1"/>
  <c r="Y4785" i="1"/>
  <c r="Y4789" i="1"/>
  <c r="Y4793" i="1"/>
  <c r="Y4797" i="1"/>
  <c r="Y4801" i="1"/>
  <c r="Y4805" i="1"/>
  <c r="Y4809" i="1"/>
  <c r="Y4813" i="1"/>
  <c r="Y4817" i="1"/>
  <c r="Y4821" i="1"/>
  <c r="Y4825" i="1"/>
  <c r="Y4829" i="1"/>
  <c r="Y4833" i="1"/>
  <c r="Y4837" i="1"/>
  <c r="Y4841" i="1"/>
  <c r="Y4845" i="1"/>
  <c r="Y4849" i="1"/>
  <c r="Y4853" i="1"/>
  <c r="Y4857" i="1"/>
  <c r="Y4861" i="1"/>
  <c r="Y4865" i="1"/>
  <c r="Y4869" i="1"/>
  <c r="Y4873" i="1"/>
  <c r="Y4877" i="1"/>
  <c r="Y4881" i="1"/>
  <c r="Y4885" i="1"/>
  <c r="Y4889" i="1"/>
  <c r="Y4893" i="1"/>
  <c r="Y4897" i="1"/>
  <c r="Y4901" i="1"/>
  <c r="Y4905" i="1"/>
  <c r="Y4909" i="1"/>
  <c r="Y4913" i="1"/>
  <c r="Y4917" i="1"/>
  <c r="Y4921" i="1"/>
  <c r="Y4925" i="1"/>
  <c r="Y4929" i="1"/>
  <c r="Y4933" i="1"/>
  <c r="Y4937" i="1"/>
  <c r="Y4941" i="1"/>
  <c r="Y4945" i="1"/>
  <c r="Y4949" i="1"/>
  <c r="Y4953" i="1"/>
  <c r="Y4957" i="1"/>
  <c r="Y4961" i="1"/>
  <c r="Y4965" i="1"/>
  <c r="Y4969" i="1"/>
  <c r="Y4973" i="1"/>
  <c r="Y4977" i="1"/>
  <c r="Y4981" i="1"/>
  <c r="Y4985" i="1"/>
  <c r="Y4989" i="1"/>
  <c r="Y4993" i="1"/>
  <c r="Y4997" i="1"/>
  <c r="Y3" i="1"/>
  <c r="M1" i="3"/>
  <c r="I7" i="2"/>
  <c r="M2" i="3" l="1"/>
  <c r="K1" i="3" s="1"/>
  <c r="I10" i="3" s="1"/>
  <c r="N1" i="3"/>
  <c r="I1" i="2"/>
  <c r="C1" i="1"/>
  <c r="D211" i="1"/>
  <c r="D212" i="1" s="1"/>
  <c r="D301" i="1"/>
  <c r="D302" i="1" s="1"/>
  <c r="E302" i="1" s="1"/>
  <c r="D303" i="1"/>
  <c r="D304" i="1" s="1"/>
  <c r="D305" i="1" s="1"/>
  <c r="D372" i="1"/>
  <c r="D373" i="1" s="1"/>
  <c r="D374" i="1" s="1"/>
  <c r="D375" i="1" s="1"/>
  <c r="D451" i="1"/>
  <c r="D538" i="1"/>
  <c r="D539" i="1" s="1"/>
  <c r="D540" i="1" s="1"/>
  <c r="D650" i="1"/>
  <c r="E650" i="1" s="1"/>
  <c r="D651" i="1"/>
  <c r="E651" i="1" s="1"/>
  <c r="D652" i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D1142" i="1"/>
  <c r="E1142" i="1" s="1"/>
  <c r="D1143" i="1"/>
  <c r="E1143" i="1" s="1"/>
  <c r="D1144" i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D1253" i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D1361" i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D1493" i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D1553" i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D1661" i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D1961" i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2" i="1"/>
  <c r="E2002" i="1" s="1"/>
  <c r="D2003" i="1"/>
  <c r="E2003" i="1" s="1"/>
  <c r="D2004" i="1"/>
  <c r="D2005" i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2" i="1"/>
  <c r="E2012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8" i="1"/>
  <c r="E2018" i="1" s="1"/>
  <c r="D2019" i="1"/>
  <c r="E2019" i="1" s="1"/>
  <c r="D2020" i="1"/>
  <c r="E2020" i="1" s="1"/>
  <c r="D2021" i="1"/>
  <c r="D2022" i="1"/>
  <c r="E2022" i="1" s="1"/>
  <c r="D2023" i="1"/>
  <c r="E2023" i="1" s="1"/>
  <c r="D2024" i="1"/>
  <c r="E2024" i="1" s="1"/>
  <c r="D2025" i="1"/>
  <c r="E2025" i="1" s="1"/>
  <c r="D2026" i="1"/>
  <c r="E2026" i="1" s="1"/>
  <c r="D2027" i="1"/>
  <c r="E2027" i="1" s="1"/>
  <c r="D2028" i="1"/>
  <c r="E2028" i="1" s="1"/>
  <c r="D2029" i="1"/>
  <c r="E2029" i="1" s="1"/>
  <c r="D2030" i="1"/>
  <c r="E2030" i="1" s="1"/>
  <c r="D2031" i="1"/>
  <c r="E2031" i="1" s="1"/>
  <c r="D2032" i="1"/>
  <c r="E2032" i="1" s="1"/>
  <c r="D2033" i="1"/>
  <c r="E2033" i="1" s="1"/>
  <c r="D2034" i="1"/>
  <c r="E2034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E2042" i="1" s="1"/>
  <c r="D2043" i="1"/>
  <c r="E2043" i="1" s="1"/>
  <c r="D2044" i="1"/>
  <c r="D2045" i="1"/>
  <c r="E2045" i="1" s="1"/>
  <c r="D2046" i="1"/>
  <c r="E2046" i="1" s="1"/>
  <c r="D2047" i="1"/>
  <c r="E2047" i="1" s="1"/>
  <c r="D2048" i="1"/>
  <c r="E2048" i="1" s="1"/>
  <c r="D2049" i="1"/>
  <c r="E2049" i="1" s="1"/>
  <c r="D2050" i="1"/>
  <c r="E2050" i="1" s="1"/>
  <c r="D2051" i="1"/>
  <c r="E2051" i="1" s="1"/>
  <c r="D2052" i="1"/>
  <c r="D2053" i="1"/>
  <c r="E2053" i="1" s="1"/>
  <c r="D2054" i="1"/>
  <c r="E2054" i="1" s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E2061" i="1" s="1"/>
  <c r="D2062" i="1"/>
  <c r="E2062" i="1" s="1"/>
  <c r="D2063" i="1"/>
  <c r="E2063" i="1" s="1"/>
  <c r="D2064" i="1"/>
  <c r="E2064" i="1" s="1"/>
  <c r="D2065" i="1"/>
  <c r="E2065" i="1" s="1"/>
  <c r="D2066" i="1"/>
  <c r="E2066" i="1" s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6" i="1"/>
  <c r="E2076" i="1" s="1"/>
  <c r="D2077" i="1"/>
  <c r="E2077" i="1" s="1"/>
  <c r="D2078" i="1"/>
  <c r="E2078" i="1" s="1"/>
  <c r="D2079" i="1"/>
  <c r="E2079" i="1" s="1"/>
  <c r="D2080" i="1"/>
  <c r="E2080" i="1" s="1"/>
  <c r="D2081" i="1"/>
  <c r="E2081" i="1" s="1"/>
  <c r="D2082" i="1"/>
  <c r="E2082" i="1" s="1"/>
  <c r="D2083" i="1"/>
  <c r="E2083" i="1" s="1"/>
  <c r="D2084" i="1"/>
  <c r="E2084" i="1" s="1"/>
  <c r="D2085" i="1"/>
  <c r="E2085" i="1" s="1"/>
  <c r="D2086" i="1"/>
  <c r="E2086" i="1" s="1"/>
  <c r="D2087" i="1"/>
  <c r="E2087" i="1" s="1"/>
  <c r="D2088" i="1"/>
  <c r="E2088" i="1" s="1"/>
  <c r="D2089" i="1"/>
  <c r="E2089" i="1" s="1"/>
  <c r="D2090" i="1"/>
  <c r="E2090" i="1" s="1"/>
  <c r="D2091" i="1"/>
  <c r="E2091" i="1" s="1"/>
  <c r="D2092" i="1"/>
  <c r="E2092" i="1" s="1"/>
  <c r="D2093" i="1"/>
  <c r="E2093" i="1" s="1"/>
  <c r="D2094" i="1"/>
  <c r="E2094" i="1" s="1"/>
  <c r="D2095" i="1"/>
  <c r="E2095" i="1" s="1"/>
  <c r="D2096" i="1"/>
  <c r="E2096" i="1" s="1"/>
  <c r="D2097" i="1"/>
  <c r="E2097" i="1" s="1"/>
  <c r="D2098" i="1"/>
  <c r="E2098" i="1" s="1"/>
  <c r="D2099" i="1"/>
  <c r="E2099" i="1" s="1"/>
  <c r="D2100" i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4" i="1"/>
  <c r="E2114" i="1" s="1"/>
  <c r="D2115" i="1"/>
  <c r="E2115" i="1" s="1"/>
  <c r="D2116" i="1"/>
  <c r="E2116" i="1" s="1"/>
  <c r="D2117" i="1"/>
  <c r="E2117" i="1" s="1"/>
  <c r="D2118" i="1"/>
  <c r="E2118" i="1" s="1"/>
  <c r="D2119" i="1"/>
  <c r="E2119" i="1" s="1"/>
  <c r="D2120" i="1"/>
  <c r="E2120" i="1" s="1"/>
  <c r="D2121" i="1"/>
  <c r="E2121" i="1" s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0" i="1"/>
  <c r="E2130" i="1" s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0" i="1"/>
  <c r="E2140" i="1" s="1"/>
  <c r="D2141" i="1"/>
  <c r="E2141" i="1" s="1"/>
  <c r="D2142" i="1"/>
  <c r="E2142" i="1" s="1"/>
  <c r="D2143" i="1"/>
  <c r="E2143" i="1" s="1"/>
  <c r="D2144" i="1"/>
  <c r="E2144" i="1" s="1"/>
  <c r="D2145" i="1"/>
  <c r="E2145" i="1" s="1"/>
  <c r="D2146" i="1"/>
  <c r="E2146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6" i="1"/>
  <c r="E2156" i="1" s="1"/>
  <c r="D2157" i="1"/>
  <c r="E2157" i="1" s="1"/>
  <c r="D2158" i="1"/>
  <c r="E2158" i="1" s="1"/>
  <c r="D2159" i="1"/>
  <c r="E2159" i="1" s="1"/>
  <c r="D2160" i="1"/>
  <c r="E2160" i="1" s="1"/>
  <c r="D2161" i="1"/>
  <c r="E2161" i="1" s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E2171" i="1" s="1"/>
  <c r="D2172" i="1"/>
  <c r="D2173" i="1"/>
  <c r="E2173" i="1" s="1"/>
  <c r="D2174" i="1"/>
  <c r="E2174" i="1" s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8" i="1"/>
  <c r="E2188" i="1" s="1"/>
  <c r="D2189" i="1"/>
  <c r="E2189" i="1" s="1"/>
  <c r="D2190" i="1"/>
  <c r="E2190" i="1" s="1"/>
  <c r="D2191" i="1"/>
  <c r="E2191" i="1" s="1"/>
  <c r="D2192" i="1"/>
  <c r="E2192" i="1" s="1"/>
  <c r="D2193" i="1"/>
  <c r="E2193" i="1" s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D2201" i="1"/>
  <c r="E2201" i="1" s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E2211" i="1" s="1"/>
  <c r="D2212" i="1"/>
  <c r="E2212" i="1" s="1"/>
  <c r="D2213" i="1"/>
  <c r="E2213" i="1" s="1"/>
  <c r="D2214" i="1"/>
  <c r="E2214" i="1" s="1"/>
  <c r="D2215" i="1"/>
  <c r="E2215" i="1" s="1"/>
  <c r="D2216" i="1"/>
  <c r="E2216" i="1" s="1"/>
  <c r="D2217" i="1"/>
  <c r="E2217" i="1" s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D2226" i="1"/>
  <c r="E2226" i="1" s="1"/>
  <c r="D2227" i="1"/>
  <c r="E2227" i="1" s="1"/>
  <c r="D2228" i="1"/>
  <c r="E2228" i="1" s="1"/>
  <c r="D2229" i="1"/>
  <c r="E2229" i="1" s="1"/>
  <c r="D2230" i="1"/>
  <c r="E2230" i="1" s="1"/>
  <c r="D2231" i="1"/>
  <c r="E2231" i="1" s="1"/>
  <c r="D2232" i="1"/>
  <c r="D2233" i="1"/>
  <c r="E2233" i="1" s="1"/>
  <c r="D2234" i="1"/>
  <c r="E2234" i="1" s="1"/>
  <c r="D2235" i="1"/>
  <c r="E2235" i="1" s="1"/>
  <c r="D2236" i="1"/>
  <c r="E2236" i="1" s="1"/>
  <c r="D2237" i="1"/>
  <c r="E2237" i="1" s="1"/>
  <c r="D2238" i="1"/>
  <c r="E2238" i="1" s="1"/>
  <c r="D2239" i="1"/>
  <c r="E2239" i="1" s="1"/>
  <c r="D2240" i="1"/>
  <c r="E2240" i="1" s="1"/>
  <c r="D2241" i="1"/>
  <c r="E2241" i="1" s="1"/>
  <c r="D2242" i="1"/>
  <c r="E2242" i="1" s="1"/>
  <c r="D2243" i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 s="1"/>
  <c r="D2257" i="1"/>
  <c r="E2257" i="1" s="1"/>
  <c r="D2258" i="1"/>
  <c r="E2258" i="1" s="1"/>
  <c r="D2259" i="1"/>
  <c r="E2259" i="1" s="1"/>
  <c r="D2260" i="1"/>
  <c r="D2261" i="1"/>
  <c r="E2261" i="1" s="1"/>
  <c r="D2262" i="1"/>
  <c r="E2262" i="1" s="1"/>
  <c r="D2263" i="1"/>
  <c r="E2263" i="1" s="1"/>
  <c r="D2264" i="1"/>
  <c r="E2264" i="1" s="1"/>
  <c r="D2265" i="1"/>
  <c r="E2265" i="1" s="1"/>
  <c r="D2266" i="1"/>
  <c r="E2266" i="1" s="1"/>
  <c r="D2267" i="1"/>
  <c r="E2267" i="1" s="1"/>
  <c r="D2268" i="1"/>
  <c r="E2268" i="1" s="1"/>
  <c r="D2269" i="1"/>
  <c r="E2269" i="1" s="1"/>
  <c r="D2270" i="1"/>
  <c r="E2270" i="1" s="1"/>
  <c r="D2271" i="1"/>
  <c r="E2271" i="1" s="1"/>
  <c r="D2272" i="1"/>
  <c r="E2272" i="1" s="1"/>
  <c r="D2273" i="1"/>
  <c r="E2273" i="1" s="1"/>
  <c r="D2274" i="1"/>
  <c r="E2274" i="1" s="1"/>
  <c r="D2275" i="1"/>
  <c r="E2275" i="1" s="1"/>
  <c r="D2276" i="1"/>
  <c r="E2276" i="1" s="1"/>
  <c r="D2277" i="1"/>
  <c r="E2277" i="1" s="1"/>
  <c r="D2278" i="1"/>
  <c r="E2278" i="1" s="1"/>
  <c r="D2279" i="1"/>
  <c r="E2279" i="1" s="1"/>
  <c r="D2280" i="1"/>
  <c r="E2280" i="1" s="1"/>
  <c r="D2281" i="1"/>
  <c r="E2281" i="1" s="1"/>
  <c r="D2282" i="1"/>
  <c r="E2282" i="1" s="1"/>
  <c r="D2283" i="1"/>
  <c r="E2283" i="1" s="1"/>
  <c r="D2284" i="1"/>
  <c r="E2284" i="1" s="1"/>
  <c r="D2285" i="1"/>
  <c r="D2286" i="1"/>
  <c r="E2286" i="1" s="1"/>
  <c r="D2287" i="1"/>
  <c r="E2287" i="1" s="1"/>
  <c r="D2288" i="1"/>
  <c r="E2288" i="1" s="1"/>
  <c r="D2289" i="1"/>
  <c r="E2289" i="1" s="1"/>
  <c r="D2290" i="1"/>
  <c r="E2290" i="1" s="1"/>
  <c r="D2291" i="1"/>
  <c r="E2291" i="1" s="1"/>
  <c r="D2292" i="1"/>
  <c r="D2293" i="1"/>
  <c r="E2293" i="1" s="1"/>
  <c r="D2294" i="1"/>
  <c r="E2294" i="1" s="1"/>
  <c r="D2295" i="1"/>
  <c r="E2295" i="1" s="1"/>
  <c r="D2296" i="1"/>
  <c r="E2296" i="1" s="1"/>
  <c r="D2297" i="1"/>
  <c r="E2297" i="1" s="1"/>
  <c r="D2298" i="1"/>
  <c r="E2298" i="1" s="1"/>
  <c r="D2299" i="1"/>
  <c r="E2299" i="1" s="1"/>
  <c r="D2300" i="1"/>
  <c r="E2300" i="1" s="1"/>
  <c r="D2301" i="1"/>
  <c r="E2301" i="1" s="1"/>
  <c r="D2302" i="1"/>
  <c r="E2302" i="1" s="1"/>
  <c r="D2303" i="1"/>
  <c r="E2303" i="1" s="1"/>
  <c r="D2304" i="1"/>
  <c r="E2304" i="1" s="1"/>
  <c r="D2305" i="1"/>
  <c r="E2305" i="1" s="1"/>
  <c r="D2306" i="1"/>
  <c r="E2306" i="1" s="1"/>
  <c r="D2307" i="1"/>
  <c r="E2307" i="1" s="1"/>
  <c r="D2308" i="1"/>
  <c r="E2308" i="1" s="1"/>
  <c r="D2309" i="1"/>
  <c r="E2309" i="1" s="1"/>
  <c r="D2310" i="1"/>
  <c r="E2310" i="1" s="1"/>
  <c r="D2311" i="1"/>
  <c r="E2311" i="1" s="1"/>
  <c r="D2312" i="1"/>
  <c r="E2312" i="1" s="1"/>
  <c r="D2313" i="1"/>
  <c r="E2313" i="1" s="1"/>
  <c r="D2314" i="1"/>
  <c r="E2314" i="1" s="1"/>
  <c r="D2315" i="1"/>
  <c r="E2315" i="1" s="1"/>
  <c r="D2316" i="1"/>
  <c r="E2316" i="1" s="1"/>
  <c r="D2317" i="1"/>
  <c r="E2317" i="1" s="1"/>
  <c r="D2318" i="1"/>
  <c r="E2318" i="1" s="1"/>
  <c r="D2319" i="1"/>
  <c r="E2319" i="1" s="1"/>
  <c r="D2320" i="1"/>
  <c r="D2321" i="1"/>
  <c r="E2321" i="1" s="1"/>
  <c r="D2322" i="1"/>
  <c r="E2322" i="1" s="1"/>
  <c r="D2323" i="1"/>
  <c r="E2323" i="1" s="1"/>
  <c r="D2324" i="1"/>
  <c r="E2324" i="1" s="1"/>
  <c r="D2325" i="1"/>
  <c r="E2325" i="1" s="1"/>
  <c r="D2326" i="1"/>
  <c r="E2326" i="1" s="1"/>
  <c r="D2327" i="1"/>
  <c r="E2327" i="1" s="1"/>
  <c r="D2328" i="1"/>
  <c r="E2328" i="1" s="1"/>
  <c r="D2329" i="1"/>
  <c r="E2329" i="1" s="1"/>
  <c r="D2330" i="1"/>
  <c r="E2330" i="1" s="1"/>
  <c r="D2331" i="1"/>
  <c r="E2331" i="1" s="1"/>
  <c r="D2332" i="1"/>
  <c r="D2333" i="1"/>
  <c r="E2333" i="1" s="1"/>
  <c r="D2334" i="1"/>
  <c r="E2334" i="1" s="1"/>
  <c r="D2335" i="1"/>
  <c r="E2335" i="1" s="1"/>
  <c r="D2336" i="1"/>
  <c r="E2336" i="1" s="1"/>
  <c r="D2337" i="1"/>
  <c r="E2337" i="1" s="1"/>
  <c r="D2338" i="1"/>
  <c r="E2338" i="1" s="1"/>
  <c r="D2339" i="1"/>
  <c r="E2339" i="1" s="1"/>
  <c r="D2340" i="1"/>
  <c r="D2341" i="1"/>
  <c r="E2341" i="1" s="1"/>
  <c r="D2342" i="1"/>
  <c r="E2342" i="1" s="1"/>
  <c r="D2343" i="1"/>
  <c r="E2343" i="1" s="1"/>
  <c r="D2344" i="1"/>
  <c r="E2344" i="1" s="1"/>
  <c r="D2345" i="1"/>
  <c r="D2346" i="1"/>
  <c r="E2346" i="1" s="1"/>
  <c r="D2347" i="1"/>
  <c r="E2347" i="1" s="1"/>
  <c r="D2348" i="1"/>
  <c r="E2348" i="1" s="1"/>
  <c r="D2349" i="1"/>
  <c r="E2349" i="1" s="1"/>
  <c r="D2350" i="1"/>
  <c r="E2350" i="1" s="1"/>
  <c r="D2351" i="1"/>
  <c r="E2351" i="1" s="1"/>
  <c r="D2352" i="1"/>
  <c r="D2353" i="1"/>
  <c r="E2353" i="1" s="1"/>
  <c r="D2354" i="1"/>
  <c r="E2354" i="1" s="1"/>
  <c r="D2355" i="1"/>
  <c r="E2355" i="1" s="1"/>
  <c r="D2356" i="1"/>
  <c r="E2356" i="1" s="1"/>
  <c r="D2357" i="1"/>
  <c r="E2357" i="1" s="1"/>
  <c r="D2358" i="1"/>
  <c r="E2358" i="1" s="1"/>
  <c r="D2359" i="1"/>
  <c r="E2359" i="1" s="1"/>
  <c r="D2360" i="1"/>
  <c r="E2360" i="1" s="1"/>
  <c r="D2361" i="1"/>
  <c r="E2361" i="1" s="1"/>
  <c r="D2362" i="1"/>
  <c r="E2362" i="1" s="1"/>
  <c r="D2363" i="1"/>
  <c r="E2363" i="1" s="1"/>
  <c r="D2364" i="1"/>
  <c r="D2365" i="1"/>
  <c r="E2365" i="1" s="1"/>
  <c r="D2366" i="1"/>
  <c r="E2366" i="1" s="1"/>
  <c r="D2367" i="1"/>
  <c r="E2367" i="1" s="1"/>
  <c r="D2368" i="1"/>
  <c r="E2368" i="1" s="1"/>
  <c r="D2369" i="1"/>
  <c r="E2369" i="1" s="1"/>
  <c r="D2370" i="1"/>
  <c r="E2370" i="1" s="1"/>
  <c r="D2371" i="1"/>
  <c r="E2371" i="1" s="1"/>
  <c r="D2372" i="1"/>
  <c r="E2372" i="1" s="1"/>
  <c r="D2373" i="1"/>
  <c r="E2373" i="1" s="1"/>
  <c r="D2374" i="1"/>
  <c r="E2374" i="1" s="1"/>
  <c r="D2375" i="1"/>
  <c r="E2375" i="1" s="1"/>
  <c r="D2376" i="1"/>
  <c r="E2376" i="1" s="1"/>
  <c r="D2377" i="1"/>
  <c r="E2377" i="1" s="1"/>
  <c r="D2378" i="1"/>
  <c r="E2378" i="1" s="1"/>
  <c r="D2379" i="1"/>
  <c r="E2379" i="1" s="1"/>
  <c r="D2380" i="1"/>
  <c r="E2380" i="1" s="1"/>
  <c r="D2381" i="1"/>
  <c r="E2381" i="1" s="1"/>
  <c r="D2382" i="1"/>
  <c r="E2382" i="1" s="1"/>
  <c r="D2383" i="1"/>
  <c r="E2383" i="1" s="1"/>
  <c r="D2384" i="1"/>
  <c r="E2384" i="1" s="1"/>
  <c r="D2385" i="1"/>
  <c r="E2385" i="1" s="1"/>
  <c r="D2386" i="1"/>
  <c r="E2386" i="1" s="1"/>
  <c r="D2387" i="1"/>
  <c r="E2387" i="1" s="1"/>
  <c r="D2388" i="1"/>
  <c r="E2388" i="1" s="1"/>
  <c r="D2389" i="1"/>
  <c r="E2389" i="1" s="1"/>
  <c r="D2390" i="1"/>
  <c r="E2390" i="1" s="1"/>
  <c r="D2391" i="1"/>
  <c r="E2391" i="1" s="1"/>
  <c r="D2392" i="1"/>
  <c r="D2393" i="1"/>
  <c r="E2393" i="1" s="1"/>
  <c r="D2394" i="1"/>
  <c r="E2394" i="1" s="1"/>
  <c r="D2395" i="1"/>
  <c r="E2395" i="1" s="1"/>
  <c r="D2396" i="1"/>
  <c r="E2396" i="1" s="1"/>
  <c r="D2397" i="1"/>
  <c r="E2397" i="1" s="1"/>
  <c r="D2398" i="1"/>
  <c r="E2398" i="1" s="1"/>
  <c r="D2399" i="1"/>
  <c r="E2399" i="1" s="1"/>
  <c r="D2400" i="1"/>
  <c r="E2400" i="1" s="1"/>
  <c r="D2401" i="1"/>
  <c r="D2402" i="1"/>
  <c r="E2402" i="1" s="1"/>
  <c r="D2403" i="1"/>
  <c r="E2403" i="1" s="1"/>
  <c r="D2404" i="1"/>
  <c r="E2404" i="1" s="1"/>
  <c r="D2405" i="1"/>
  <c r="E2405" i="1" s="1"/>
  <c r="D2406" i="1"/>
  <c r="E2406" i="1" s="1"/>
  <c r="D2407" i="1"/>
  <c r="E2407" i="1" s="1"/>
  <c r="D2408" i="1"/>
  <c r="E2408" i="1" s="1"/>
  <c r="D2409" i="1"/>
  <c r="E2409" i="1" s="1"/>
  <c r="D2410" i="1"/>
  <c r="E2410" i="1" s="1"/>
  <c r="D2411" i="1"/>
  <c r="E2411" i="1" s="1"/>
  <c r="D2412" i="1"/>
  <c r="D2413" i="1"/>
  <c r="E2413" i="1" s="1"/>
  <c r="D2414" i="1"/>
  <c r="E2414" i="1" s="1"/>
  <c r="D2415" i="1"/>
  <c r="E2415" i="1" s="1"/>
  <c r="D2416" i="1"/>
  <c r="E2416" i="1" s="1"/>
  <c r="D2417" i="1"/>
  <c r="E2417" i="1" s="1"/>
  <c r="D2418" i="1"/>
  <c r="E2418" i="1" s="1"/>
  <c r="D2419" i="1"/>
  <c r="E2419" i="1" s="1"/>
  <c r="D2420" i="1"/>
  <c r="E2420" i="1" s="1"/>
  <c r="D2421" i="1"/>
  <c r="E2421" i="1" s="1"/>
  <c r="D2422" i="1"/>
  <c r="E2422" i="1" s="1"/>
  <c r="D2423" i="1"/>
  <c r="E2423" i="1" s="1"/>
  <c r="D2424" i="1"/>
  <c r="E2424" i="1" s="1"/>
  <c r="D2425" i="1"/>
  <c r="E2425" i="1" s="1"/>
  <c r="D2426" i="1"/>
  <c r="E2426" i="1" s="1"/>
  <c r="D2427" i="1"/>
  <c r="E2427" i="1" s="1"/>
  <c r="D2428" i="1"/>
  <c r="E2428" i="1" s="1"/>
  <c r="D2429" i="1"/>
  <c r="E2429" i="1" s="1"/>
  <c r="D2430" i="1"/>
  <c r="E2430" i="1" s="1"/>
  <c r="D2431" i="1"/>
  <c r="E2431" i="1" s="1"/>
  <c r="D2432" i="1"/>
  <c r="E2432" i="1" s="1"/>
  <c r="D2433" i="1"/>
  <c r="E2433" i="1" s="1"/>
  <c r="D2434" i="1"/>
  <c r="E2434" i="1" s="1"/>
  <c r="D2435" i="1"/>
  <c r="E2435" i="1" s="1"/>
  <c r="D2436" i="1"/>
  <c r="E2436" i="1" s="1"/>
  <c r="D2437" i="1"/>
  <c r="E2437" i="1" s="1"/>
  <c r="D2438" i="1"/>
  <c r="E2438" i="1" s="1"/>
  <c r="D2439" i="1"/>
  <c r="E2439" i="1" s="1"/>
  <c r="D2440" i="1"/>
  <c r="D2441" i="1"/>
  <c r="D2442" i="1"/>
  <c r="E2442" i="1" s="1"/>
  <c r="D2443" i="1"/>
  <c r="E2443" i="1" s="1"/>
  <c r="D2444" i="1"/>
  <c r="E2444" i="1" s="1"/>
  <c r="D2445" i="1"/>
  <c r="E2445" i="1" s="1"/>
  <c r="D2446" i="1"/>
  <c r="E2446" i="1" s="1"/>
  <c r="D2447" i="1"/>
  <c r="E2447" i="1" s="1"/>
  <c r="D2448" i="1"/>
  <c r="E2448" i="1" s="1"/>
  <c r="D2449" i="1"/>
  <c r="E2449" i="1" s="1"/>
  <c r="D2450" i="1"/>
  <c r="E2450" i="1" s="1"/>
  <c r="D2451" i="1"/>
  <c r="E2451" i="1" s="1"/>
  <c r="D2452" i="1"/>
  <c r="E2452" i="1" s="1"/>
  <c r="D2453" i="1"/>
  <c r="E2453" i="1" s="1"/>
  <c r="D2454" i="1"/>
  <c r="E2454" i="1" s="1"/>
  <c r="D2455" i="1"/>
  <c r="E2455" i="1" s="1"/>
  <c r="D2456" i="1"/>
  <c r="E2456" i="1" s="1"/>
  <c r="D2457" i="1"/>
  <c r="E2457" i="1" s="1"/>
  <c r="D2458" i="1"/>
  <c r="E2458" i="1" s="1"/>
  <c r="D2459" i="1"/>
  <c r="E2459" i="1" s="1"/>
  <c r="D2460" i="1"/>
  <c r="E2460" i="1" s="1"/>
  <c r="D2461" i="1"/>
  <c r="E2461" i="1" s="1"/>
  <c r="D2462" i="1"/>
  <c r="E2462" i="1" s="1"/>
  <c r="D2463" i="1"/>
  <c r="E2463" i="1" s="1"/>
  <c r="D2464" i="1"/>
  <c r="E2464" i="1" s="1"/>
  <c r="D2465" i="1"/>
  <c r="D2466" i="1"/>
  <c r="E2466" i="1" s="1"/>
  <c r="D2467" i="1"/>
  <c r="E2467" i="1" s="1"/>
  <c r="D2468" i="1"/>
  <c r="E2468" i="1" s="1"/>
  <c r="D2469" i="1"/>
  <c r="E2469" i="1" s="1"/>
  <c r="D2470" i="1"/>
  <c r="E2470" i="1" s="1"/>
  <c r="D2471" i="1"/>
  <c r="E2471" i="1" s="1"/>
  <c r="D2472" i="1"/>
  <c r="D2473" i="1"/>
  <c r="D2474" i="1"/>
  <c r="E2474" i="1" s="1"/>
  <c r="D2475" i="1"/>
  <c r="E2475" i="1" s="1"/>
  <c r="D2476" i="1"/>
  <c r="E2476" i="1" s="1"/>
  <c r="D2477" i="1"/>
  <c r="E2477" i="1" s="1"/>
  <c r="D2478" i="1"/>
  <c r="E2478" i="1" s="1"/>
  <c r="D2479" i="1"/>
  <c r="E2479" i="1" s="1"/>
  <c r="D2480" i="1"/>
  <c r="E2480" i="1" s="1"/>
  <c r="D2481" i="1"/>
  <c r="E2481" i="1" s="1"/>
  <c r="D2482" i="1"/>
  <c r="E2482" i="1" s="1"/>
  <c r="D2483" i="1"/>
  <c r="E2483" i="1" s="1"/>
  <c r="D2484" i="1"/>
  <c r="E2484" i="1" s="1"/>
  <c r="D2485" i="1"/>
  <c r="E2485" i="1" s="1"/>
  <c r="D2486" i="1"/>
  <c r="E2486" i="1" s="1"/>
  <c r="D2487" i="1"/>
  <c r="E2487" i="1" s="1"/>
  <c r="D2488" i="1"/>
  <c r="E2488" i="1" s="1"/>
  <c r="D2489" i="1"/>
  <c r="E2489" i="1" s="1"/>
  <c r="D2490" i="1"/>
  <c r="E2490" i="1" s="1"/>
  <c r="D2491" i="1"/>
  <c r="E2491" i="1" s="1"/>
  <c r="D2492" i="1"/>
  <c r="E2492" i="1" s="1"/>
  <c r="D2493" i="1"/>
  <c r="E2493" i="1" s="1"/>
  <c r="D2494" i="1"/>
  <c r="E2494" i="1" s="1"/>
  <c r="D2495" i="1"/>
  <c r="E2495" i="1" s="1"/>
  <c r="D2496" i="1"/>
  <c r="E2496" i="1" s="1"/>
  <c r="D2497" i="1"/>
  <c r="E2497" i="1" s="1"/>
  <c r="D2498" i="1"/>
  <c r="E2498" i="1" s="1"/>
  <c r="D2499" i="1"/>
  <c r="E2499" i="1" s="1"/>
  <c r="D2500" i="1"/>
  <c r="E2500" i="1" s="1"/>
  <c r="D2501" i="1"/>
  <c r="D2502" i="1"/>
  <c r="E2502" i="1" s="1"/>
  <c r="D2503" i="1"/>
  <c r="E2503" i="1" s="1"/>
  <c r="D2504" i="1"/>
  <c r="E2504" i="1" s="1"/>
  <c r="D2505" i="1"/>
  <c r="E2505" i="1" s="1"/>
  <c r="D2506" i="1"/>
  <c r="E2506" i="1" s="1"/>
  <c r="D2507" i="1"/>
  <c r="E2507" i="1" s="1"/>
  <c r="D2508" i="1"/>
  <c r="E2508" i="1" s="1"/>
  <c r="D2509" i="1"/>
  <c r="E2509" i="1" s="1"/>
  <c r="D2510" i="1"/>
  <c r="E2510" i="1" s="1"/>
  <c r="D2511" i="1"/>
  <c r="E2511" i="1" s="1"/>
  <c r="D2512" i="1"/>
  <c r="E2512" i="1" s="1"/>
  <c r="D2513" i="1"/>
  <c r="E2513" i="1" s="1"/>
  <c r="D2514" i="1"/>
  <c r="E2514" i="1" s="1"/>
  <c r="D2515" i="1"/>
  <c r="E2515" i="1" s="1"/>
  <c r="D2516" i="1"/>
  <c r="E2516" i="1" s="1"/>
  <c r="D2517" i="1"/>
  <c r="E2517" i="1" s="1"/>
  <c r="D2518" i="1"/>
  <c r="E2518" i="1" s="1"/>
  <c r="D2519" i="1"/>
  <c r="E2519" i="1" s="1"/>
  <c r="D2520" i="1"/>
  <c r="D2521" i="1"/>
  <c r="E2521" i="1" s="1"/>
  <c r="D2522" i="1"/>
  <c r="E2522" i="1" s="1"/>
  <c r="D2523" i="1"/>
  <c r="E2523" i="1" s="1"/>
  <c r="D2524" i="1"/>
  <c r="E2524" i="1" s="1"/>
  <c r="D2525" i="1"/>
  <c r="E2525" i="1" s="1"/>
  <c r="D2526" i="1"/>
  <c r="E2526" i="1" s="1"/>
  <c r="D2527" i="1"/>
  <c r="E2527" i="1" s="1"/>
  <c r="D2528" i="1"/>
  <c r="E2528" i="1" s="1"/>
  <c r="D2529" i="1"/>
  <c r="E2529" i="1" s="1"/>
  <c r="D2530" i="1"/>
  <c r="E2530" i="1" s="1"/>
  <c r="D2531" i="1"/>
  <c r="E2531" i="1" s="1"/>
  <c r="D2532" i="1"/>
  <c r="D2533" i="1"/>
  <c r="E2533" i="1" s="1"/>
  <c r="D2534" i="1"/>
  <c r="E2534" i="1" s="1"/>
  <c r="D2535" i="1"/>
  <c r="E2535" i="1" s="1"/>
  <c r="D2536" i="1"/>
  <c r="E2536" i="1" s="1"/>
  <c r="D2537" i="1"/>
  <c r="E2537" i="1" s="1"/>
  <c r="D2538" i="1"/>
  <c r="E2538" i="1" s="1"/>
  <c r="D2539" i="1"/>
  <c r="E2539" i="1" s="1"/>
  <c r="D2540" i="1"/>
  <c r="E2540" i="1" s="1"/>
  <c r="D2541" i="1"/>
  <c r="E2541" i="1" s="1"/>
  <c r="D2542" i="1"/>
  <c r="E2542" i="1" s="1"/>
  <c r="D2543" i="1"/>
  <c r="E2543" i="1" s="1"/>
  <c r="D2544" i="1"/>
  <c r="E2544" i="1" s="1"/>
  <c r="D2545" i="1"/>
  <c r="E2545" i="1" s="1"/>
  <c r="D2546" i="1"/>
  <c r="E2546" i="1" s="1"/>
  <c r="D2547" i="1"/>
  <c r="E2547" i="1" s="1"/>
  <c r="D2548" i="1"/>
  <c r="E2548" i="1" s="1"/>
  <c r="D2549" i="1"/>
  <c r="E2549" i="1" s="1"/>
  <c r="D2550" i="1"/>
  <c r="E2550" i="1" s="1"/>
  <c r="D2551" i="1"/>
  <c r="E2551" i="1" s="1"/>
  <c r="D2552" i="1"/>
  <c r="E2552" i="1" s="1"/>
  <c r="D2553" i="1"/>
  <c r="E2553" i="1" s="1"/>
  <c r="D2554" i="1"/>
  <c r="E2554" i="1" s="1"/>
  <c r="D2555" i="1"/>
  <c r="E2555" i="1" s="1"/>
  <c r="D2556" i="1"/>
  <c r="E2556" i="1" s="1"/>
  <c r="D2557" i="1"/>
  <c r="E2557" i="1" s="1"/>
  <c r="D2558" i="1"/>
  <c r="E2558" i="1" s="1"/>
  <c r="D2559" i="1"/>
  <c r="E2559" i="1" s="1"/>
  <c r="D2560" i="1"/>
  <c r="D2561" i="1"/>
  <c r="E2561" i="1" s="1"/>
  <c r="D2562" i="1"/>
  <c r="E2562" i="1" s="1"/>
  <c r="D2563" i="1"/>
  <c r="E2563" i="1" s="1"/>
  <c r="D2564" i="1"/>
  <c r="E2564" i="1" s="1"/>
  <c r="D2565" i="1"/>
  <c r="E2565" i="1" s="1"/>
  <c r="D2566" i="1"/>
  <c r="E2566" i="1" s="1"/>
  <c r="D2567" i="1"/>
  <c r="E2567" i="1" s="1"/>
  <c r="D2568" i="1"/>
  <c r="E2568" i="1" s="1"/>
  <c r="D2569" i="1"/>
  <c r="E2569" i="1" s="1"/>
  <c r="D2570" i="1"/>
  <c r="E2570" i="1" s="1"/>
  <c r="D2571" i="1"/>
  <c r="E2571" i="1" s="1"/>
  <c r="D2572" i="1"/>
  <c r="D2573" i="1"/>
  <c r="E2573" i="1" s="1"/>
  <c r="D2574" i="1"/>
  <c r="E2574" i="1" s="1"/>
  <c r="D2575" i="1"/>
  <c r="E2575" i="1" s="1"/>
  <c r="D2576" i="1"/>
  <c r="E2576" i="1" s="1"/>
  <c r="D2577" i="1"/>
  <c r="E2577" i="1" s="1"/>
  <c r="D2578" i="1"/>
  <c r="E2578" i="1" s="1"/>
  <c r="D2579" i="1"/>
  <c r="E2579" i="1" s="1"/>
  <c r="D2580" i="1"/>
  <c r="D2581" i="1"/>
  <c r="E2581" i="1" s="1"/>
  <c r="D2582" i="1"/>
  <c r="E2582" i="1" s="1"/>
  <c r="D2583" i="1"/>
  <c r="E2583" i="1" s="1"/>
  <c r="D2584" i="1"/>
  <c r="E2584" i="1" s="1"/>
  <c r="D2585" i="1"/>
  <c r="E2585" i="1" s="1"/>
  <c r="D2586" i="1"/>
  <c r="E2586" i="1" s="1"/>
  <c r="D2587" i="1"/>
  <c r="E2587" i="1" s="1"/>
  <c r="D2588" i="1"/>
  <c r="E2588" i="1" s="1"/>
  <c r="D2589" i="1"/>
  <c r="E2589" i="1" s="1"/>
  <c r="D2590" i="1"/>
  <c r="E2590" i="1" s="1"/>
  <c r="D2591" i="1"/>
  <c r="E2591" i="1" s="1"/>
  <c r="D2592" i="1"/>
  <c r="E2592" i="1" s="1"/>
  <c r="D2593" i="1"/>
  <c r="E2593" i="1" s="1"/>
  <c r="D2594" i="1"/>
  <c r="E2594" i="1" s="1"/>
  <c r="D2595" i="1"/>
  <c r="E2595" i="1" s="1"/>
  <c r="D2596" i="1"/>
  <c r="E2596" i="1" s="1"/>
  <c r="D2597" i="1"/>
  <c r="E2597" i="1" s="1"/>
  <c r="D2598" i="1"/>
  <c r="E2598" i="1" s="1"/>
  <c r="D2599" i="1"/>
  <c r="E2599" i="1" s="1"/>
  <c r="D2600" i="1"/>
  <c r="E2600" i="1" s="1"/>
  <c r="D2601" i="1"/>
  <c r="E2601" i="1" s="1"/>
  <c r="D2602" i="1"/>
  <c r="E2602" i="1" s="1"/>
  <c r="D2603" i="1"/>
  <c r="E2603" i="1" s="1"/>
  <c r="D2604" i="1"/>
  <c r="E2604" i="1" s="1"/>
  <c r="D2605" i="1"/>
  <c r="E2605" i="1" s="1"/>
  <c r="D2606" i="1"/>
  <c r="E2606" i="1" s="1"/>
  <c r="D2607" i="1"/>
  <c r="E2607" i="1" s="1"/>
  <c r="D2608" i="1"/>
  <c r="E2608" i="1" s="1"/>
  <c r="D2609" i="1"/>
  <c r="E2609" i="1" s="1"/>
  <c r="D2610" i="1"/>
  <c r="E2610" i="1" s="1"/>
  <c r="D2611" i="1"/>
  <c r="E2611" i="1" s="1"/>
  <c r="D2612" i="1"/>
  <c r="E2612" i="1" s="1"/>
  <c r="D2613" i="1"/>
  <c r="E2613" i="1" s="1"/>
  <c r="D2614" i="1"/>
  <c r="E2614" i="1" s="1"/>
  <c r="D2615" i="1"/>
  <c r="E2615" i="1" s="1"/>
  <c r="D2616" i="1"/>
  <c r="E2616" i="1" s="1"/>
  <c r="D2617" i="1"/>
  <c r="E2617" i="1" s="1"/>
  <c r="D2618" i="1"/>
  <c r="E2618" i="1" s="1"/>
  <c r="D2619" i="1"/>
  <c r="E2619" i="1" s="1"/>
  <c r="D2620" i="1"/>
  <c r="E2620" i="1" s="1"/>
  <c r="D2621" i="1"/>
  <c r="E2621" i="1" s="1"/>
  <c r="D2622" i="1"/>
  <c r="E2622" i="1" s="1"/>
  <c r="D2623" i="1"/>
  <c r="E2623" i="1" s="1"/>
  <c r="D2624" i="1"/>
  <c r="E2624" i="1" s="1"/>
  <c r="D2625" i="1"/>
  <c r="E2625" i="1" s="1"/>
  <c r="D2626" i="1"/>
  <c r="E2626" i="1" s="1"/>
  <c r="D2627" i="1"/>
  <c r="E2627" i="1" s="1"/>
  <c r="D2628" i="1"/>
  <c r="E2628" i="1" s="1"/>
  <c r="D2629" i="1"/>
  <c r="E2629" i="1" s="1"/>
  <c r="D2630" i="1"/>
  <c r="E2630" i="1" s="1"/>
  <c r="D2631" i="1"/>
  <c r="E2631" i="1" s="1"/>
  <c r="D2632" i="1"/>
  <c r="D2633" i="1"/>
  <c r="E2633" i="1" s="1"/>
  <c r="D2634" i="1"/>
  <c r="E2634" i="1" s="1"/>
  <c r="D2635" i="1"/>
  <c r="E2635" i="1" s="1"/>
  <c r="D2636" i="1"/>
  <c r="E2636" i="1" s="1"/>
  <c r="D2637" i="1"/>
  <c r="E2637" i="1" s="1"/>
  <c r="D2638" i="1"/>
  <c r="E2638" i="1" s="1"/>
  <c r="D2639" i="1"/>
  <c r="E2639" i="1" s="1"/>
  <c r="D2640" i="1"/>
  <c r="D2641" i="1"/>
  <c r="E2641" i="1" s="1"/>
  <c r="D2642" i="1"/>
  <c r="E2642" i="1" s="1"/>
  <c r="D2643" i="1"/>
  <c r="E2643" i="1" s="1"/>
  <c r="D2644" i="1"/>
  <c r="E2644" i="1" s="1"/>
  <c r="D2645" i="1"/>
  <c r="E2645" i="1" s="1"/>
  <c r="D2646" i="1"/>
  <c r="E2646" i="1" s="1"/>
  <c r="D2647" i="1"/>
  <c r="E2647" i="1" s="1"/>
  <c r="D2648" i="1"/>
  <c r="E2648" i="1" s="1"/>
  <c r="D2649" i="1"/>
  <c r="E2649" i="1" s="1"/>
  <c r="D2650" i="1"/>
  <c r="E2650" i="1" s="1"/>
  <c r="D2651" i="1"/>
  <c r="E2651" i="1" s="1"/>
  <c r="D2652" i="1"/>
  <c r="D2653" i="1"/>
  <c r="E2653" i="1" s="1"/>
  <c r="D2654" i="1"/>
  <c r="E2654" i="1" s="1"/>
  <c r="D2655" i="1"/>
  <c r="E2655" i="1" s="1"/>
  <c r="D2656" i="1"/>
  <c r="E2656" i="1" s="1"/>
  <c r="D2657" i="1"/>
  <c r="E2657" i="1" s="1"/>
  <c r="D2658" i="1"/>
  <c r="E2658" i="1" s="1"/>
  <c r="D2659" i="1"/>
  <c r="E2659" i="1" s="1"/>
  <c r="D2660" i="1"/>
  <c r="E2660" i="1" s="1"/>
  <c r="D2661" i="1"/>
  <c r="E2661" i="1" s="1"/>
  <c r="D2662" i="1"/>
  <c r="E2662" i="1" s="1"/>
  <c r="D2663" i="1"/>
  <c r="E2663" i="1" s="1"/>
  <c r="D2664" i="1"/>
  <c r="E2664" i="1" s="1"/>
  <c r="D2665" i="1"/>
  <c r="E2665" i="1" s="1"/>
  <c r="D2666" i="1"/>
  <c r="E2666" i="1" s="1"/>
  <c r="D2667" i="1"/>
  <c r="E2667" i="1" s="1"/>
  <c r="D2668" i="1"/>
  <c r="E2668" i="1" s="1"/>
  <c r="D2669" i="1"/>
  <c r="E2669" i="1" s="1"/>
  <c r="D2670" i="1"/>
  <c r="E2670" i="1" s="1"/>
  <c r="D2671" i="1"/>
  <c r="E2671" i="1" s="1"/>
  <c r="D2672" i="1"/>
  <c r="E2672" i="1" s="1"/>
  <c r="D2673" i="1"/>
  <c r="E2673" i="1" s="1"/>
  <c r="D2674" i="1"/>
  <c r="E2674" i="1" s="1"/>
  <c r="D2675" i="1"/>
  <c r="E2675" i="1" s="1"/>
  <c r="D2676" i="1"/>
  <c r="E2676" i="1" s="1"/>
  <c r="D2677" i="1"/>
  <c r="E2677" i="1" s="1"/>
  <c r="D2678" i="1"/>
  <c r="E2678" i="1" s="1"/>
  <c r="D2679" i="1"/>
  <c r="E2679" i="1" s="1"/>
  <c r="D2680" i="1"/>
  <c r="E2680" i="1" s="1"/>
  <c r="D2681" i="1"/>
  <c r="E2681" i="1" s="1"/>
  <c r="D2682" i="1"/>
  <c r="E2682" i="1" s="1"/>
  <c r="D2683" i="1"/>
  <c r="E2683" i="1" s="1"/>
  <c r="D2684" i="1"/>
  <c r="E2684" i="1" s="1"/>
  <c r="D2685" i="1"/>
  <c r="E2685" i="1" s="1"/>
  <c r="D2686" i="1"/>
  <c r="E2686" i="1" s="1"/>
  <c r="D2687" i="1"/>
  <c r="E2687" i="1" s="1"/>
  <c r="D2688" i="1"/>
  <c r="E2688" i="1" s="1"/>
  <c r="D2689" i="1"/>
  <c r="E2689" i="1" s="1"/>
  <c r="D2690" i="1"/>
  <c r="E2690" i="1" s="1"/>
  <c r="D2691" i="1"/>
  <c r="E2691" i="1" s="1"/>
  <c r="D2692" i="1"/>
  <c r="D2693" i="1"/>
  <c r="E2693" i="1" s="1"/>
  <c r="D2694" i="1"/>
  <c r="E2694" i="1" s="1"/>
  <c r="D2695" i="1"/>
  <c r="E2695" i="1" s="1"/>
  <c r="D2696" i="1"/>
  <c r="E2696" i="1" s="1"/>
  <c r="D2697" i="1"/>
  <c r="E2697" i="1" s="1"/>
  <c r="D2698" i="1"/>
  <c r="E2698" i="1" s="1"/>
  <c r="D2699" i="1"/>
  <c r="E2699" i="1" s="1"/>
  <c r="D2700" i="1"/>
  <c r="D2701" i="1"/>
  <c r="E2701" i="1" s="1"/>
  <c r="D2702" i="1"/>
  <c r="E2702" i="1" s="1"/>
  <c r="D2703" i="1"/>
  <c r="E2703" i="1" s="1"/>
  <c r="D2704" i="1"/>
  <c r="D2705" i="1"/>
  <c r="E2705" i="1" s="1"/>
  <c r="D2706" i="1"/>
  <c r="E2706" i="1" s="1"/>
  <c r="D2707" i="1"/>
  <c r="E2707" i="1" s="1"/>
  <c r="D2708" i="1"/>
  <c r="E2708" i="1" s="1"/>
  <c r="D2709" i="1"/>
  <c r="E2709" i="1" s="1"/>
  <c r="D2710" i="1"/>
  <c r="E2710" i="1" s="1"/>
  <c r="D2711" i="1"/>
  <c r="E2711" i="1" s="1"/>
  <c r="D2712" i="1"/>
  <c r="E2712" i="1" s="1"/>
  <c r="D2713" i="1"/>
  <c r="E2713" i="1" s="1"/>
  <c r="D2714" i="1"/>
  <c r="E2714" i="1" s="1"/>
  <c r="D2715" i="1"/>
  <c r="E2715" i="1" s="1"/>
  <c r="D2716" i="1"/>
  <c r="E2716" i="1" s="1"/>
  <c r="D2717" i="1"/>
  <c r="E2717" i="1" s="1"/>
  <c r="D2718" i="1"/>
  <c r="E2718" i="1" s="1"/>
  <c r="D2719" i="1"/>
  <c r="E2719" i="1" s="1"/>
  <c r="D2720" i="1"/>
  <c r="E2720" i="1" s="1"/>
  <c r="D2721" i="1"/>
  <c r="E2721" i="1" s="1"/>
  <c r="D2722" i="1"/>
  <c r="E2722" i="1" s="1"/>
  <c r="D2723" i="1"/>
  <c r="E2723" i="1" s="1"/>
  <c r="D2724" i="1"/>
  <c r="D2725" i="1"/>
  <c r="E2725" i="1" s="1"/>
  <c r="D2726" i="1"/>
  <c r="E2726" i="1" s="1"/>
  <c r="D2727" i="1"/>
  <c r="E2727" i="1" s="1"/>
  <c r="D2728" i="1"/>
  <c r="E2728" i="1" s="1"/>
  <c r="D2729" i="1"/>
  <c r="E2729" i="1" s="1"/>
  <c r="D2730" i="1"/>
  <c r="E2730" i="1" s="1"/>
  <c r="D2731" i="1"/>
  <c r="E2731" i="1" s="1"/>
  <c r="D2732" i="1"/>
  <c r="E2732" i="1" s="1"/>
  <c r="D2733" i="1"/>
  <c r="E2733" i="1" s="1"/>
  <c r="D2734" i="1"/>
  <c r="E2734" i="1" s="1"/>
  <c r="D2735" i="1"/>
  <c r="E2735" i="1" s="1"/>
  <c r="D2736" i="1"/>
  <c r="E2736" i="1" s="1"/>
  <c r="D2737" i="1"/>
  <c r="E2737" i="1" s="1"/>
  <c r="D2738" i="1"/>
  <c r="E2738" i="1" s="1"/>
  <c r="D2739" i="1"/>
  <c r="E2739" i="1" s="1"/>
  <c r="D2740" i="1"/>
  <c r="D2741" i="1"/>
  <c r="D2742" i="1"/>
  <c r="E2742" i="1" s="1"/>
  <c r="D2743" i="1"/>
  <c r="E2743" i="1" s="1"/>
  <c r="D2744" i="1"/>
  <c r="E2744" i="1" s="1"/>
  <c r="D2745" i="1"/>
  <c r="E2745" i="1" s="1"/>
  <c r="D2746" i="1"/>
  <c r="E2746" i="1" s="1"/>
  <c r="D2747" i="1"/>
  <c r="E2747" i="1" s="1"/>
  <c r="D2748" i="1"/>
  <c r="E2748" i="1" s="1"/>
  <c r="D2749" i="1"/>
  <c r="E2749" i="1" s="1"/>
  <c r="D2750" i="1"/>
  <c r="E2750" i="1" s="1"/>
  <c r="D2751" i="1"/>
  <c r="E2751" i="1" s="1"/>
  <c r="D2752" i="1"/>
  <c r="E2752" i="1" s="1"/>
  <c r="D2753" i="1"/>
  <c r="E2753" i="1" s="1"/>
  <c r="D2754" i="1"/>
  <c r="E2754" i="1" s="1"/>
  <c r="D2755" i="1"/>
  <c r="E2755" i="1" s="1"/>
  <c r="D2756" i="1"/>
  <c r="E2756" i="1" s="1"/>
  <c r="D2757" i="1"/>
  <c r="E2757" i="1" s="1"/>
  <c r="D2758" i="1"/>
  <c r="E2758" i="1" s="1"/>
  <c r="D2759" i="1"/>
  <c r="E2759" i="1" s="1"/>
  <c r="D2760" i="1"/>
  <c r="E2760" i="1" s="1"/>
  <c r="D2761" i="1"/>
  <c r="E2761" i="1" s="1"/>
  <c r="D2762" i="1"/>
  <c r="E2762" i="1" s="1"/>
  <c r="D2763" i="1"/>
  <c r="E2763" i="1" s="1"/>
  <c r="D2764" i="1"/>
  <c r="E2764" i="1" s="1"/>
  <c r="D2765" i="1"/>
  <c r="E2765" i="1" s="1"/>
  <c r="D2766" i="1"/>
  <c r="E2766" i="1" s="1"/>
  <c r="D2767" i="1"/>
  <c r="E2767" i="1" s="1"/>
  <c r="D2768" i="1"/>
  <c r="E2768" i="1" s="1"/>
  <c r="D2769" i="1"/>
  <c r="E2769" i="1" s="1"/>
  <c r="D2770" i="1"/>
  <c r="E2770" i="1" s="1"/>
  <c r="D2771" i="1"/>
  <c r="E2771" i="1" s="1"/>
  <c r="D2772" i="1"/>
  <c r="E2772" i="1" s="1"/>
  <c r="D2773" i="1"/>
  <c r="E2773" i="1" s="1"/>
  <c r="D2774" i="1"/>
  <c r="E2774" i="1" s="1"/>
  <c r="D2775" i="1"/>
  <c r="E2775" i="1" s="1"/>
  <c r="D2776" i="1"/>
  <c r="E2776" i="1" s="1"/>
  <c r="D2777" i="1"/>
  <c r="E2777" i="1" s="1"/>
  <c r="D2778" i="1"/>
  <c r="E2778" i="1" s="1"/>
  <c r="D2779" i="1"/>
  <c r="E2779" i="1" s="1"/>
  <c r="D2780" i="1"/>
  <c r="E2780" i="1" s="1"/>
  <c r="D2781" i="1"/>
  <c r="E2781" i="1" s="1"/>
  <c r="D2782" i="1"/>
  <c r="E2782" i="1" s="1"/>
  <c r="D2783" i="1"/>
  <c r="E2783" i="1" s="1"/>
  <c r="D2784" i="1"/>
  <c r="E2784" i="1" s="1"/>
  <c r="D2785" i="1"/>
  <c r="E2785" i="1" s="1"/>
  <c r="D2786" i="1"/>
  <c r="E2786" i="1" s="1"/>
  <c r="D2787" i="1"/>
  <c r="E2787" i="1" s="1"/>
  <c r="D2788" i="1"/>
  <c r="E2788" i="1" s="1"/>
  <c r="D2789" i="1"/>
  <c r="E2789" i="1" s="1"/>
  <c r="D2790" i="1"/>
  <c r="E2790" i="1" s="1"/>
  <c r="D2791" i="1"/>
  <c r="E2791" i="1" s="1"/>
  <c r="D2792" i="1"/>
  <c r="E2792" i="1" s="1"/>
  <c r="D2793" i="1"/>
  <c r="E2793" i="1" s="1"/>
  <c r="D2794" i="1"/>
  <c r="E2794" i="1" s="1"/>
  <c r="D2795" i="1"/>
  <c r="E2795" i="1" s="1"/>
  <c r="D2796" i="1"/>
  <c r="E2796" i="1" s="1"/>
  <c r="D2797" i="1"/>
  <c r="E2797" i="1" s="1"/>
  <c r="D2798" i="1"/>
  <c r="E2798" i="1" s="1"/>
  <c r="D2799" i="1"/>
  <c r="E2799" i="1" s="1"/>
  <c r="D2800" i="1"/>
  <c r="E2800" i="1" s="1"/>
  <c r="D2801" i="1"/>
  <c r="D2802" i="1"/>
  <c r="E2802" i="1" s="1"/>
  <c r="D2803" i="1"/>
  <c r="E2803" i="1" s="1"/>
  <c r="D2804" i="1"/>
  <c r="E2804" i="1" s="1"/>
  <c r="D2805" i="1"/>
  <c r="E2805" i="1" s="1"/>
  <c r="D2806" i="1"/>
  <c r="E2806" i="1" s="1"/>
  <c r="D2807" i="1"/>
  <c r="E2807" i="1" s="1"/>
  <c r="D2808" i="1"/>
  <c r="E2808" i="1" s="1"/>
  <c r="D2809" i="1"/>
  <c r="E2809" i="1" s="1"/>
  <c r="D2810" i="1"/>
  <c r="E2810" i="1" s="1"/>
  <c r="D2811" i="1"/>
  <c r="E2811" i="1" s="1"/>
  <c r="D2812" i="1"/>
  <c r="E2812" i="1" s="1"/>
  <c r="D2813" i="1"/>
  <c r="E2813" i="1" s="1"/>
  <c r="D2814" i="1"/>
  <c r="E2814" i="1" s="1"/>
  <c r="D2815" i="1"/>
  <c r="E2815" i="1" s="1"/>
  <c r="D2816" i="1"/>
  <c r="E2816" i="1" s="1"/>
  <c r="D2817" i="1"/>
  <c r="E2817" i="1" s="1"/>
  <c r="D2818" i="1"/>
  <c r="E2818" i="1" s="1"/>
  <c r="D2819" i="1"/>
  <c r="E2819" i="1" s="1"/>
  <c r="D2820" i="1"/>
  <c r="D2821" i="1"/>
  <c r="E2821" i="1" s="1"/>
  <c r="D2822" i="1"/>
  <c r="E2822" i="1" s="1"/>
  <c r="D2823" i="1"/>
  <c r="E2823" i="1" s="1"/>
  <c r="D2824" i="1"/>
  <c r="E2824" i="1" s="1"/>
  <c r="D2825" i="1"/>
  <c r="E2825" i="1" s="1"/>
  <c r="D2826" i="1"/>
  <c r="E2826" i="1" s="1"/>
  <c r="D2827" i="1"/>
  <c r="E2827" i="1" s="1"/>
  <c r="D2828" i="1"/>
  <c r="E2828" i="1" s="1"/>
  <c r="D2829" i="1"/>
  <c r="E2829" i="1" s="1"/>
  <c r="D2830" i="1"/>
  <c r="E2830" i="1" s="1"/>
  <c r="D2831" i="1"/>
  <c r="E2831" i="1" s="1"/>
  <c r="D2832" i="1"/>
  <c r="E2832" i="1" s="1"/>
  <c r="D2833" i="1"/>
  <c r="D2834" i="1"/>
  <c r="E2834" i="1" s="1"/>
  <c r="D2835" i="1"/>
  <c r="E2835" i="1" s="1"/>
  <c r="D2836" i="1"/>
  <c r="E2836" i="1" s="1"/>
  <c r="D2837" i="1"/>
  <c r="E2837" i="1" s="1"/>
  <c r="D2838" i="1"/>
  <c r="E2838" i="1" s="1"/>
  <c r="D2839" i="1"/>
  <c r="E2839" i="1" s="1"/>
  <c r="D2840" i="1"/>
  <c r="E2840" i="1" s="1"/>
  <c r="D2841" i="1"/>
  <c r="E2841" i="1" s="1"/>
  <c r="D2842" i="1"/>
  <c r="E2842" i="1" s="1"/>
  <c r="D2843" i="1"/>
  <c r="E2843" i="1" s="1"/>
  <c r="D2844" i="1"/>
  <c r="E2844" i="1" s="1"/>
  <c r="D2845" i="1"/>
  <c r="E2845" i="1" s="1"/>
  <c r="D2846" i="1"/>
  <c r="E2846" i="1" s="1"/>
  <c r="D2847" i="1"/>
  <c r="E2847" i="1" s="1"/>
  <c r="D2848" i="1"/>
  <c r="E2848" i="1" s="1"/>
  <c r="D2849" i="1"/>
  <c r="E2849" i="1" s="1"/>
  <c r="D2850" i="1"/>
  <c r="E2850" i="1" s="1"/>
  <c r="D2851" i="1"/>
  <c r="E2851" i="1" s="1"/>
  <c r="D2852" i="1"/>
  <c r="E2852" i="1" s="1"/>
  <c r="D2853" i="1"/>
  <c r="E2853" i="1" s="1"/>
  <c r="D2854" i="1"/>
  <c r="E2854" i="1" s="1"/>
  <c r="D2855" i="1"/>
  <c r="E2855" i="1" s="1"/>
  <c r="D2856" i="1"/>
  <c r="E2856" i="1" s="1"/>
  <c r="D2857" i="1"/>
  <c r="E2857" i="1" s="1"/>
  <c r="D2858" i="1"/>
  <c r="E2858" i="1" s="1"/>
  <c r="D2859" i="1"/>
  <c r="E2859" i="1" s="1"/>
  <c r="D2860" i="1"/>
  <c r="D2861" i="1"/>
  <c r="E2861" i="1" s="1"/>
  <c r="D2862" i="1"/>
  <c r="E2862" i="1" s="1"/>
  <c r="D2863" i="1"/>
  <c r="E2863" i="1" s="1"/>
  <c r="D2864" i="1"/>
  <c r="E2864" i="1" s="1"/>
  <c r="D2865" i="1"/>
  <c r="E2865" i="1" s="1"/>
  <c r="D2866" i="1"/>
  <c r="E2866" i="1" s="1"/>
  <c r="D2867" i="1"/>
  <c r="E2867" i="1" s="1"/>
  <c r="D2868" i="1"/>
  <c r="E2868" i="1" s="1"/>
  <c r="D2869" i="1"/>
  <c r="E2869" i="1" s="1"/>
  <c r="D2870" i="1"/>
  <c r="E2870" i="1" s="1"/>
  <c r="D2871" i="1"/>
  <c r="E2871" i="1" s="1"/>
  <c r="D2872" i="1"/>
  <c r="D2873" i="1"/>
  <c r="E2873" i="1" s="1"/>
  <c r="D2874" i="1"/>
  <c r="E2874" i="1" s="1"/>
  <c r="D2875" i="1"/>
  <c r="E2875" i="1" s="1"/>
  <c r="D2876" i="1"/>
  <c r="E2876" i="1" s="1"/>
  <c r="D2877" i="1"/>
  <c r="E2877" i="1" s="1"/>
  <c r="D2878" i="1"/>
  <c r="E2878" i="1" s="1"/>
  <c r="D2879" i="1"/>
  <c r="E2879" i="1" s="1"/>
  <c r="D2880" i="1"/>
  <c r="E2880" i="1" s="1"/>
  <c r="D2881" i="1"/>
  <c r="E2881" i="1" s="1"/>
  <c r="D2882" i="1"/>
  <c r="E2882" i="1" s="1"/>
  <c r="D2883" i="1"/>
  <c r="E2883" i="1" s="1"/>
  <c r="D2884" i="1"/>
  <c r="D2885" i="1"/>
  <c r="D2886" i="1"/>
  <c r="E2886" i="1" s="1"/>
  <c r="D2887" i="1"/>
  <c r="E2887" i="1" s="1"/>
  <c r="D2888" i="1"/>
  <c r="E2888" i="1" s="1"/>
  <c r="D2889" i="1"/>
  <c r="E2889" i="1" s="1"/>
  <c r="D2890" i="1"/>
  <c r="E2890" i="1" s="1"/>
  <c r="D2891" i="1"/>
  <c r="E2891" i="1" s="1"/>
  <c r="D2892" i="1"/>
  <c r="D2893" i="1"/>
  <c r="E2893" i="1" s="1"/>
  <c r="D2894" i="1"/>
  <c r="E2894" i="1" s="1"/>
  <c r="D2895" i="1"/>
  <c r="E2895" i="1" s="1"/>
  <c r="D2896" i="1"/>
  <c r="E2896" i="1" s="1"/>
  <c r="D2897" i="1"/>
  <c r="E2897" i="1" s="1"/>
  <c r="D2898" i="1"/>
  <c r="E2898" i="1" s="1"/>
  <c r="D2899" i="1"/>
  <c r="E2899" i="1" s="1"/>
  <c r="D2900" i="1"/>
  <c r="E2900" i="1" s="1"/>
  <c r="D2901" i="1"/>
  <c r="E2901" i="1" s="1"/>
  <c r="D2902" i="1"/>
  <c r="E2902" i="1" s="1"/>
  <c r="D2903" i="1"/>
  <c r="E2903" i="1" s="1"/>
  <c r="D2904" i="1"/>
  <c r="E2904" i="1" s="1"/>
  <c r="D2905" i="1"/>
  <c r="E2905" i="1" s="1"/>
  <c r="D2906" i="1"/>
  <c r="E2906" i="1" s="1"/>
  <c r="D2907" i="1"/>
  <c r="E2907" i="1" s="1"/>
  <c r="D2908" i="1"/>
  <c r="E2908" i="1" s="1"/>
  <c r="D2909" i="1"/>
  <c r="E2909" i="1" s="1"/>
  <c r="D2910" i="1"/>
  <c r="E2910" i="1" s="1"/>
  <c r="D2911" i="1"/>
  <c r="E2911" i="1" s="1"/>
  <c r="D2912" i="1"/>
  <c r="E2912" i="1" s="1"/>
  <c r="D2913" i="1"/>
  <c r="E2913" i="1" s="1"/>
  <c r="D2914" i="1"/>
  <c r="E2914" i="1" s="1"/>
  <c r="D2915" i="1"/>
  <c r="E2915" i="1" s="1"/>
  <c r="D2916" i="1"/>
  <c r="E2916" i="1" s="1"/>
  <c r="D2917" i="1"/>
  <c r="E2917" i="1" s="1"/>
  <c r="D2918" i="1"/>
  <c r="E2918" i="1" s="1"/>
  <c r="D2919" i="1"/>
  <c r="E2919" i="1" s="1"/>
  <c r="D2920" i="1"/>
  <c r="D2921" i="1"/>
  <c r="D2922" i="1"/>
  <c r="E2922" i="1" s="1"/>
  <c r="D2923" i="1"/>
  <c r="E2923" i="1" s="1"/>
  <c r="D2924" i="1"/>
  <c r="E2924" i="1" s="1"/>
  <c r="D2925" i="1"/>
  <c r="E2925" i="1" s="1"/>
  <c r="D2926" i="1"/>
  <c r="E2926" i="1" s="1"/>
  <c r="D2927" i="1"/>
  <c r="E2927" i="1" s="1"/>
  <c r="D2928" i="1"/>
  <c r="E2928" i="1" s="1"/>
  <c r="D2929" i="1"/>
  <c r="E2929" i="1" s="1"/>
  <c r="D2930" i="1"/>
  <c r="E2930" i="1" s="1"/>
  <c r="D2931" i="1"/>
  <c r="E2931" i="1" s="1"/>
  <c r="D2932" i="1"/>
  <c r="E2932" i="1" s="1"/>
  <c r="D2933" i="1"/>
  <c r="D2934" i="1"/>
  <c r="E2934" i="1" s="1"/>
  <c r="D2935" i="1"/>
  <c r="E2935" i="1" s="1"/>
  <c r="D2936" i="1"/>
  <c r="E2936" i="1" s="1"/>
  <c r="D2937" i="1"/>
  <c r="E2937" i="1" s="1"/>
  <c r="D2938" i="1"/>
  <c r="E2938" i="1" s="1"/>
  <c r="D2939" i="1"/>
  <c r="E2939" i="1" s="1"/>
  <c r="D2940" i="1"/>
  <c r="D2941" i="1"/>
  <c r="E2941" i="1" s="1"/>
  <c r="D2942" i="1"/>
  <c r="E2942" i="1" s="1"/>
  <c r="D2943" i="1"/>
  <c r="E2943" i="1" s="1"/>
  <c r="D2944" i="1"/>
  <c r="E2944" i="1" s="1"/>
  <c r="D2945" i="1"/>
  <c r="E2945" i="1" s="1"/>
  <c r="D2946" i="1"/>
  <c r="E2946" i="1" s="1"/>
  <c r="D2947" i="1"/>
  <c r="E2947" i="1" s="1"/>
  <c r="D2948" i="1"/>
  <c r="E2948" i="1" s="1"/>
  <c r="D2949" i="1"/>
  <c r="E2949" i="1" s="1"/>
  <c r="D2950" i="1"/>
  <c r="E2950" i="1" s="1"/>
  <c r="D2951" i="1"/>
  <c r="E2951" i="1" s="1"/>
  <c r="D2952" i="1"/>
  <c r="D2953" i="1"/>
  <c r="E2953" i="1" s="1"/>
  <c r="D2954" i="1"/>
  <c r="E2954" i="1" s="1"/>
  <c r="D2955" i="1"/>
  <c r="E2955" i="1" s="1"/>
  <c r="D2956" i="1"/>
  <c r="E2956" i="1" s="1"/>
  <c r="D2957" i="1"/>
  <c r="E2957" i="1" s="1"/>
  <c r="D2958" i="1"/>
  <c r="E2958" i="1" s="1"/>
  <c r="D2959" i="1"/>
  <c r="E2959" i="1" s="1"/>
  <c r="D2960" i="1"/>
  <c r="E2960" i="1" s="1"/>
  <c r="D2961" i="1"/>
  <c r="E2961" i="1" s="1"/>
  <c r="D2962" i="1"/>
  <c r="E2962" i="1" s="1"/>
  <c r="D2963" i="1"/>
  <c r="E2963" i="1" s="1"/>
  <c r="D2964" i="1"/>
  <c r="E2964" i="1" s="1"/>
  <c r="D2965" i="1"/>
  <c r="E2965" i="1" s="1"/>
  <c r="D2966" i="1"/>
  <c r="E2966" i="1" s="1"/>
  <c r="D2967" i="1"/>
  <c r="E2967" i="1" s="1"/>
  <c r="D2968" i="1"/>
  <c r="E2968" i="1" s="1"/>
  <c r="D2969" i="1"/>
  <c r="E2969" i="1" s="1"/>
  <c r="D2970" i="1"/>
  <c r="E2970" i="1" s="1"/>
  <c r="D2971" i="1"/>
  <c r="E2971" i="1" s="1"/>
  <c r="D2972" i="1"/>
  <c r="E2972" i="1" s="1"/>
  <c r="D2973" i="1"/>
  <c r="E2973" i="1" s="1"/>
  <c r="D2974" i="1"/>
  <c r="E2974" i="1" s="1"/>
  <c r="D2975" i="1"/>
  <c r="E2975" i="1" s="1"/>
  <c r="D2976" i="1"/>
  <c r="E2976" i="1" s="1"/>
  <c r="D2977" i="1"/>
  <c r="E2977" i="1" s="1"/>
  <c r="D2978" i="1"/>
  <c r="E2978" i="1" s="1"/>
  <c r="D2979" i="1"/>
  <c r="E2979" i="1" s="1"/>
  <c r="D2980" i="1"/>
  <c r="E2980" i="1" s="1"/>
  <c r="D2981" i="1"/>
  <c r="E2981" i="1" s="1"/>
  <c r="D2982" i="1"/>
  <c r="E2982" i="1" s="1"/>
  <c r="D2983" i="1"/>
  <c r="E2983" i="1" s="1"/>
  <c r="D2984" i="1"/>
  <c r="E2984" i="1" s="1"/>
  <c r="D2985" i="1"/>
  <c r="E2985" i="1" s="1"/>
  <c r="D2986" i="1"/>
  <c r="E2986" i="1" s="1"/>
  <c r="D2987" i="1"/>
  <c r="E2987" i="1" s="1"/>
  <c r="D2988" i="1"/>
  <c r="E2988" i="1" s="1"/>
  <c r="D2989" i="1"/>
  <c r="E2989" i="1" s="1"/>
  <c r="D2990" i="1"/>
  <c r="E2990" i="1" s="1"/>
  <c r="D2991" i="1"/>
  <c r="E2991" i="1" s="1"/>
  <c r="D2992" i="1"/>
  <c r="D2993" i="1"/>
  <c r="E2993" i="1" s="1"/>
  <c r="D2994" i="1"/>
  <c r="E2994" i="1" s="1"/>
  <c r="D2995" i="1"/>
  <c r="E2995" i="1" s="1"/>
  <c r="D2996" i="1"/>
  <c r="E2996" i="1" s="1"/>
  <c r="D2997" i="1"/>
  <c r="E2997" i="1" s="1"/>
  <c r="D2998" i="1"/>
  <c r="E2998" i="1" s="1"/>
  <c r="D2999" i="1"/>
  <c r="E2999" i="1" s="1"/>
  <c r="D3000" i="1"/>
  <c r="E3000" i="1" s="1"/>
  <c r="D3001" i="1"/>
  <c r="E3001" i="1" s="1"/>
  <c r="D3002" i="1"/>
  <c r="E3002" i="1" s="1"/>
  <c r="D3003" i="1"/>
  <c r="E3003" i="1" s="1"/>
  <c r="D3004" i="1"/>
  <c r="E3004" i="1" s="1"/>
  <c r="D3005" i="1"/>
  <c r="E3005" i="1" s="1"/>
  <c r="D3006" i="1"/>
  <c r="E3006" i="1" s="1"/>
  <c r="D3007" i="1"/>
  <c r="E3007" i="1" s="1"/>
  <c r="D3008" i="1"/>
  <c r="E3008" i="1" s="1"/>
  <c r="D3009" i="1"/>
  <c r="E3009" i="1" s="1"/>
  <c r="D3010" i="1"/>
  <c r="E3010" i="1" s="1"/>
  <c r="D3011" i="1"/>
  <c r="E3011" i="1" s="1"/>
  <c r="D3012" i="1"/>
  <c r="E3012" i="1" s="1"/>
  <c r="D3013" i="1"/>
  <c r="E3013" i="1" s="1"/>
  <c r="D3014" i="1"/>
  <c r="E3014" i="1" s="1"/>
  <c r="D3015" i="1"/>
  <c r="E3015" i="1" s="1"/>
  <c r="D3016" i="1"/>
  <c r="E3016" i="1" s="1"/>
  <c r="D3017" i="1"/>
  <c r="E3017" i="1" s="1"/>
  <c r="D3018" i="1"/>
  <c r="E3018" i="1" s="1"/>
  <c r="D3019" i="1"/>
  <c r="E3019" i="1" s="1"/>
  <c r="D3020" i="1"/>
  <c r="E3020" i="1" s="1"/>
  <c r="D3021" i="1"/>
  <c r="E3021" i="1" s="1"/>
  <c r="D3022" i="1"/>
  <c r="E3022" i="1" s="1"/>
  <c r="D3023" i="1"/>
  <c r="E3023" i="1" s="1"/>
  <c r="D3024" i="1"/>
  <c r="E3024" i="1" s="1"/>
  <c r="D3025" i="1"/>
  <c r="E3025" i="1" s="1"/>
  <c r="D3026" i="1"/>
  <c r="E3026" i="1" s="1"/>
  <c r="D3027" i="1"/>
  <c r="E3027" i="1" s="1"/>
  <c r="D3028" i="1"/>
  <c r="E3028" i="1" s="1"/>
  <c r="D3029" i="1"/>
  <c r="E3029" i="1" s="1"/>
  <c r="D3030" i="1"/>
  <c r="E3030" i="1" s="1"/>
  <c r="D3031" i="1"/>
  <c r="E3031" i="1" s="1"/>
  <c r="D3032" i="1"/>
  <c r="E3032" i="1" s="1"/>
  <c r="D3033" i="1"/>
  <c r="E3033" i="1" s="1"/>
  <c r="D3034" i="1"/>
  <c r="E3034" i="1" s="1"/>
  <c r="D3035" i="1"/>
  <c r="E3035" i="1" s="1"/>
  <c r="D3036" i="1"/>
  <c r="E3036" i="1" s="1"/>
  <c r="D3037" i="1"/>
  <c r="E3037" i="1" s="1"/>
  <c r="D3038" i="1"/>
  <c r="E3038" i="1" s="1"/>
  <c r="D3039" i="1"/>
  <c r="E3039" i="1" s="1"/>
  <c r="D3040" i="1"/>
  <c r="D3041" i="1"/>
  <c r="D3042" i="1"/>
  <c r="E3042" i="1" s="1"/>
  <c r="D3043" i="1"/>
  <c r="E3043" i="1" s="1"/>
  <c r="D3044" i="1"/>
  <c r="E3044" i="1" s="1"/>
  <c r="D3045" i="1"/>
  <c r="E3045" i="1" s="1"/>
  <c r="D3046" i="1"/>
  <c r="E3046" i="1" s="1"/>
  <c r="D3047" i="1"/>
  <c r="E3047" i="1" s="1"/>
  <c r="D3048" i="1"/>
  <c r="E3048" i="1" s="1"/>
  <c r="D3049" i="1"/>
  <c r="E3049" i="1" s="1"/>
  <c r="D3050" i="1"/>
  <c r="E3050" i="1" s="1"/>
  <c r="D3051" i="1"/>
  <c r="E3051" i="1" s="1"/>
  <c r="D3052" i="1"/>
  <c r="E3052" i="1" s="1"/>
  <c r="D3053" i="1"/>
  <c r="E3053" i="1" s="1"/>
  <c r="D3054" i="1"/>
  <c r="E3054" i="1" s="1"/>
  <c r="D3055" i="1"/>
  <c r="E3055" i="1" s="1"/>
  <c r="D3056" i="1"/>
  <c r="E3056" i="1" s="1"/>
  <c r="D3057" i="1"/>
  <c r="E3057" i="1" s="1"/>
  <c r="D3058" i="1"/>
  <c r="E3058" i="1" s="1"/>
  <c r="D3059" i="1"/>
  <c r="E3059" i="1" s="1"/>
  <c r="D3060" i="1"/>
  <c r="E3060" i="1" s="1"/>
  <c r="D3061" i="1"/>
  <c r="E3061" i="1" s="1"/>
  <c r="D3062" i="1"/>
  <c r="E3062" i="1" s="1"/>
  <c r="D3063" i="1"/>
  <c r="E3063" i="1" s="1"/>
  <c r="D3064" i="1"/>
  <c r="D3065" i="1"/>
  <c r="E3065" i="1" s="1"/>
  <c r="D3066" i="1"/>
  <c r="E3066" i="1" s="1"/>
  <c r="D3067" i="1"/>
  <c r="E3067" i="1" s="1"/>
  <c r="D3068" i="1"/>
  <c r="E3068" i="1" s="1"/>
  <c r="D3069" i="1"/>
  <c r="E3069" i="1" s="1"/>
  <c r="D3070" i="1"/>
  <c r="E3070" i="1" s="1"/>
  <c r="D3071" i="1"/>
  <c r="E3071" i="1" s="1"/>
  <c r="D3072" i="1"/>
  <c r="E3072" i="1" s="1"/>
  <c r="D3073" i="1"/>
  <c r="E3073" i="1" s="1"/>
  <c r="D3074" i="1"/>
  <c r="E3074" i="1" s="1"/>
  <c r="D3075" i="1"/>
  <c r="E3075" i="1" s="1"/>
  <c r="D3076" i="1"/>
  <c r="E3076" i="1" s="1"/>
  <c r="D3077" i="1"/>
  <c r="E3077" i="1" s="1"/>
  <c r="D3078" i="1"/>
  <c r="E3078" i="1" s="1"/>
  <c r="D3079" i="1"/>
  <c r="E3079" i="1" s="1"/>
  <c r="D3080" i="1"/>
  <c r="E3080" i="1" s="1"/>
  <c r="D3081" i="1"/>
  <c r="E3081" i="1" s="1"/>
  <c r="D3082" i="1"/>
  <c r="E3082" i="1" s="1"/>
  <c r="D3083" i="1"/>
  <c r="E3083" i="1" s="1"/>
  <c r="D3084" i="1"/>
  <c r="D3085" i="1"/>
  <c r="E3085" i="1" s="1"/>
  <c r="D3086" i="1"/>
  <c r="E3086" i="1" s="1"/>
  <c r="D3087" i="1"/>
  <c r="E3087" i="1" s="1"/>
  <c r="D3088" i="1"/>
  <c r="E3088" i="1" s="1"/>
  <c r="D3089" i="1"/>
  <c r="E3089" i="1" s="1"/>
  <c r="D3090" i="1"/>
  <c r="E3090" i="1" s="1"/>
  <c r="D3091" i="1"/>
  <c r="E3091" i="1" s="1"/>
  <c r="D3092" i="1"/>
  <c r="E3092" i="1" s="1"/>
  <c r="D3093" i="1"/>
  <c r="E3093" i="1" s="1"/>
  <c r="D3094" i="1"/>
  <c r="E3094" i="1" s="1"/>
  <c r="D3095" i="1"/>
  <c r="E3095" i="1" s="1"/>
  <c r="D3096" i="1"/>
  <c r="E3096" i="1" s="1"/>
  <c r="D3097" i="1"/>
  <c r="E3097" i="1" s="1"/>
  <c r="D3098" i="1"/>
  <c r="E3098" i="1" s="1"/>
  <c r="D3099" i="1"/>
  <c r="E3099" i="1" s="1"/>
  <c r="D3100" i="1"/>
  <c r="D3101" i="1"/>
  <c r="E3101" i="1" s="1"/>
  <c r="D3102" i="1"/>
  <c r="E3102" i="1" s="1"/>
  <c r="D3103" i="1"/>
  <c r="E3103" i="1" s="1"/>
  <c r="D3104" i="1"/>
  <c r="E3104" i="1" s="1"/>
  <c r="D3105" i="1"/>
  <c r="E3105" i="1" s="1"/>
  <c r="D3106" i="1"/>
  <c r="E3106" i="1" s="1"/>
  <c r="D3107" i="1"/>
  <c r="E3107" i="1" s="1"/>
  <c r="D3108" i="1"/>
  <c r="E3108" i="1" s="1"/>
  <c r="D3109" i="1"/>
  <c r="E3109" i="1" s="1"/>
  <c r="D3110" i="1"/>
  <c r="E3110" i="1" s="1"/>
  <c r="D3111" i="1"/>
  <c r="E3111" i="1" s="1"/>
  <c r="D3112" i="1"/>
  <c r="E3112" i="1" s="1"/>
  <c r="D3113" i="1"/>
  <c r="E3113" i="1" s="1"/>
  <c r="D3114" i="1"/>
  <c r="E3114" i="1" s="1"/>
  <c r="D3115" i="1"/>
  <c r="E3115" i="1" s="1"/>
  <c r="D3116" i="1"/>
  <c r="E3116" i="1" s="1"/>
  <c r="D3117" i="1"/>
  <c r="E3117" i="1" s="1"/>
  <c r="D3118" i="1"/>
  <c r="E3118" i="1" s="1"/>
  <c r="D3119" i="1"/>
  <c r="E3119" i="1" s="1"/>
  <c r="D3120" i="1"/>
  <c r="D3121" i="1"/>
  <c r="E3121" i="1" s="1"/>
  <c r="D3122" i="1"/>
  <c r="E3122" i="1" s="1"/>
  <c r="D3123" i="1"/>
  <c r="E3123" i="1" s="1"/>
  <c r="D3124" i="1"/>
  <c r="E3124" i="1" s="1"/>
  <c r="D3125" i="1"/>
  <c r="E3125" i="1" s="1"/>
  <c r="D3126" i="1"/>
  <c r="E3126" i="1" s="1"/>
  <c r="D3127" i="1"/>
  <c r="E3127" i="1" s="1"/>
  <c r="D3128" i="1"/>
  <c r="E3128" i="1" s="1"/>
  <c r="D3129" i="1"/>
  <c r="E3129" i="1" s="1"/>
  <c r="D3130" i="1"/>
  <c r="E3130" i="1" s="1"/>
  <c r="D3131" i="1"/>
  <c r="E3131" i="1" s="1"/>
  <c r="D3132" i="1"/>
  <c r="E3132" i="1" s="1"/>
  <c r="D3133" i="1"/>
  <c r="E3133" i="1" s="1"/>
  <c r="D3134" i="1"/>
  <c r="E3134" i="1" s="1"/>
  <c r="D3135" i="1"/>
  <c r="E3135" i="1" s="1"/>
  <c r="D3136" i="1"/>
  <c r="E3136" i="1" s="1"/>
  <c r="D3137" i="1"/>
  <c r="E3137" i="1" s="1"/>
  <c r="D3138" i="1"/>
  <c r="E3138" i="1" s="1"/>
  <c r="D3139" i="1"/>
  <c r="E3139" i="1" s="1"/>
  <c r="D3140" i="1"/>
  <c r="E3140" i="1" s="1"/>
  <c r="D3141" i="1"/>
  <c r="E3141" i="1" s="1"/>
  <c r="D3142" i="1"/>
  <c r="E3142" i="1" s="1"/>
  <c r="D3143" i="1"/>
  <c r="E3143" i="1" s="1"/>
  <c r="D3144" i="1"/>
  <c r="E3144" i="1" s="1"/>
  <c r="D3145" i="1"/>
  <c r="E3145" i="1" s="1"/>
  <c r="D3146" i="1"/>
  <c r="E3146" i="1" s="1"/>
  <c r="D3147" i="1"/>
  <c r="E3147" i="1" s="1"/>
  <c r="D3148" i="1"/>
  <c r="E3148" i="1" s="1"/>
  <c r="D3149" i="1"/>
  <c r="E3149" i="1" s="1"/>
  <c r="D3150" i="1"/>
  <c r="E3150" i="1" s="1"/>
  <c r="D3151" i="1"/>
  <c r="E3151" i="1" s="1"/>
  <c r="D3152" i="1"/>
  <c r="E3152" i="1" s="1"/>
  <c r="D3153" i="1"/>
  <c r="E3153" i="1" s="1"/>
  <c r="D3154" i="1"/>
  <c r="E3154" i="1" s="1"/>
  <c r="D3155" i="1"/>
  <c r="E3155" i="1" s="1"/>
  <c r="D3156" i="1"/>
  <c r="E3156" i="1" s="1"/>
  <c r="D3157" i="1"/>
  <c r="E3157" i="1" s="1"/>
  <c r="D3158" i="1"/>
  <c r="E3158" i="1" s="1"/>
  <c r="D3159" i="1"/>
  <c r="E3159" i="1" s="1"/>
  <c r="D3160" i="1"/>
  <c r="D3161" i="1"/>
  <c r="E3161" i="1" s="1"/>
  <c r="D3162" i="1"/>
  <c r="E3162" i="1" s="1"/>
  <c r="D3163" i="1"/>
  <c r="E3163" i="1" s="1"/>
  <c r="D3164" i="1"/>
  <c r="E3164" i="1" s="1"/>
  <c r="D3165" i="1"/>
  <c r="E3165" i="1" s="1"/>
  <c r="D3166" i="1"/>
  <c r="E3166" i="1" s="1"/>
  <c r="D3167" i="1"/>
  <c r="E3167" i="1" s="1"/>
  <c r="D3168" i="1"/>
  <c r="E3168" i="1" s="1"/>
  <c r="D3169" i="1"/>
  <c r="E3169" i="1" s="1"/>
  <c r="D3170" i="1"/>
  <c r="E3170" i="1" s="1"/>
  <c r="D3171" i="1"/>
  <c r="E3171" i="1" s="1"/>
  <c r="D3172" i="1"/>
  <c r="E3172" i="1" s="1"/>
  <c r="D3173" i="1"/>
  <c r="D3174" i="1"/>
  <c r="E3174" i="1" s="1"/>
  <c r="D3175" i="1"/>
  <c r="E3175" i="1" s="1"/>
  <c r="D3176" i="1"/>
  <c r="E3176" i="1" s="1"/>
  <c r="D3177" i="1"/>
  <c r="E3177" i="1" s="1"/>
  <c r="D3178" i="1"/>
  <c r="E3178" i="1" s="1"/>
  <c r="D3179" i="1"/>
  <c r="E3179" i="1" s="1"/>
  <c r="D3180" i="1"/>
  <c r="D3181" i="1"/>
  <c r="E3181" i="1" s="1"/>
  <c r="D3182" i="1"/>
  <c r="E3182" i="1" s="1"/>
  <c r="D3183" i="1"/>
  <c r="E3183" i="1" s="1"/>
  <c r="D3184" i="1"/>
  <c r="E3184" i="1" s="1"/>
  <c r="D3185" i="1"/>
  <c r="E3185" i="1" s="1"/>
  <c r="D3186" i="1"/>
  <c r="E3186" i="1" s="1"/>
  <c r="D3187" i="1"/>
  <c r="E3187" i="1" s="1"/>
  <c r="D3188" i="1"/>
  <c r="E3188" i="1" s="1"/>
  <c r="D3189" i="1"/>
  <c r="E3189" i="1" s="1"/>
  <c r="D3190" i="1"/>
  <c r="E3190" i="1" s="1"/>
  <c r="D3191" i="1"/>
  <c r="E3191" i="1" s="1"/>
  <c r="D3192" i="1"/>
  <c r="E3192" i="1" s="1"/>
  <c r="D3193" i="1"/>
  <c r="E3193" i="1" s="1"/>
  <c r="D3194" i="1"/>
  <c r="E3194" i="1" s="1"/>
  <c r="D3195" i="1"/>
  <c r="E3195" i="1" s="1"/>
  <c r="D3196" i="1"/>
  <c r="E3196" i="1" s="1"/>
  <c r="D3197" i="1"/>
  <c r="E3197" i="1" s="1"/>
  <c r="D3198" i="1"/>
  <c r="E3198" i="1" s="1"/>
  <c r="D3199" i="1"/>
  <c r="E3199" i="1" s="1"/>
  <c r="D3200" i="1"/>
  <c r="E3200" i="1" s="1"/>
  <c r="D3201" i="1"/>
  <c r="E3201" i="1" s="1"/>
  <c r="D3202" i="1"/>
  <c r="E3202" i="1" s="1"/>
  <c r="D3203" i="1"/>
  <c r="E3203" i="1" s="1"/>
  <c r="D3204" i="1"/>
  <c r="E3204" i="1" s="1"/>
  <c r="D3205" i="1"/>
  <c r="E3205" i="1" s="1"/>
  <c r="D3206" i="1"/>
  <c r="E3206" i="1" s="1"/>
  <c r="D3207" i="1"/>
  <c r="E3207" i="1" s="1"/>
  <c r="D3208" i="1"/>
  <c r="E3208" i="1" s="1"/>
  <c r="D3209" i="1"/>
  <c r="E3209" i="1" s="1"/>
  <c r="D3210" i="1"/>
  <c r="E3210" i="1" s="1"/>
  <c r="D3211" i="1"/>
  <c r="E3211" i="1" s="1"/>
  <c r="D3212" i="1"/>
  <c r="E3212" i="1" s="1"/>
  <c r="D3213" i="1"/>
  <c r="E3213" i="1" s="1"/>
  <c r="D3214" i="1"/>
  <c r="E3214" i="1" s="1"/>
  <c r="D3215" i="1"/>
  <c r="E3215" i="1" s="1"/>
  <c r="D3216" i="1"/>
  <c r="E3216" i="1" s="1"/>
  <c r="D3217" i="1"/>
  <c r="E3217" i="1" s="1"/>
  <c r="D3218" i="1"/>
  <c r="E3218" i="1" s="1"/>
  <c r="D3219" i="1"/>
  <c r="E3219" i="1" s="1"/>
  <c r="D3220" i="1"/>
  <c r="E3220" i="1" s="1"/>
  <c r="D3221" i="1"/>
  <c r="E3221" i="1" s="1"/>
  <c r="D3222" i="1"/>
  <c r="E3222" i="1" s="1"/>
  <c r="D3223" i="1"/>
  <c r="E3223" i="1" s="1"/>
  <c r="D3224" i="1"/>
  <c r="E3224" i="1" s="1"/>
  <c r="D3225" i="1"/>
  <c r="E3225" i="1" s="1"/>
  <c r="D3226" i="1"/>
  <c r="E3226" i="1" s="1"/>
  <c r="D3227" i="1"/>
  <c r="E3227" i="1" s="1"/>
  <c r="D3228" i="1"/>
  <c r="E3228" i="1" s="1"/>
  <c r="D3229" i="1"/>
  <c r="E3229" i="1" s="1"/>
  <c r="D3230" i="1"/>
  <c r="E3230" i="1" s="1"/>
  <c r="D3231" i="1"/>
  <c r="E3231" i="1" s="1"/>
  <c r="D3232" i="1"/>
  <c r="D3233" i="1"/>
  <c r="D3234" i="1"/>
  <c r="E3234" i="1" s="1"/>
  <c r="D3235" i="1"/>
  <c r="E3235" i="1" s="1"/>
  <c r="D3236" i="1"/>
  <c r="E3236" i="1" s="1"/>
  <c r="D3237" i="1"/>
  <c r="E3237" i="1" s="1"/>
  <c r="D3238" i="1"/>
  <c r="E3238" i="1" s="1"/>
  <c r="D3239" i="1"/>
  <c r="E3239" i="1" s="1"/>
  <c r="D3240" i="1"/>
  <c r="D3241" i="1"/>
  <c r="E3241" i="1" s="1"/>
  <c r="D3242" i="1"/>
  <c r="E3242" i="1" s="1"/>
  <c r="D3243" i="1"/>
  <c r="E3243" i="1" s="1"/>
  <c r="D3244" i="1"/>
  <c r="D3245" i="1"/>
  <c r="E3245" i="1" s="1"/>
  <c r="D3246" i="1"/>
  <c r="E3246" i="1" s="1"/>
  <c r="D3247" i="1"/>
  <c r="E3247" i="1" s="1"/>
  <c r="D3248" i="1"/>
  <c r="E3248" i="1" s="1"/>
  <c r="D3249" i="1"/>
  <c r="E3249" i="1" s="1"/>
  <c r="D3250" i="1"/>
  <c r="E3250" i="1" s="1"/>
  <c r="D3251" i="1"/>
  <c r="E3251" i="1" s="1"/>
  <c r="D3252" i="1"/>
  <c r="D3253" i="1"/>
  <c r="E3253" i="1" s="1"/>
  <c r="D3254" i="1"/>
  <c r="E3254" i="1" s="1"/>
  <c r="D3255" i="1"/>
  <c r="E3255" i="1" s="1"/>
  <c r="D3256" i="1"/>
  <c r="E3256" i="1" s="1"/>
  <c r="D3257" i="1"/>
  <c r="E3257" i="1" s="1"/>
  <c r="D3258" i="1"/>
  <c r="E3258" i="1" s="1"/>
  <c r="D3259" i="1"/>
  <c r="E3259" i="1" s="1"/>
  <c r="D3260" i="1"/>
  <c r="E3260" i="1" s="1"/>
  <c r="D3261" i="1"/>
  <c r="E3261" i="1" s="1"/>
  <c r="D3262" i="1"/>
  <c r="E3262" i="1" s="1"/>
  <c r="D3263" i="1"/>
  <c r="E3263" i="1" s="1"/>
  <c r="D3264" i="1"/>
  <c r="E3264" i="1" s="1"/>
  <c r="D3265" i="1"/>
  <c r="E3265" i="1" s="1"/>
  <c r="D3266" i="1"/>
  <c r="E3266" i="1" s="1"/>
  <c r="D3267" i="1"/>
  <c r="E3267" i="1" s="1"/>
  <c r="D3268" i="1"/>
  <c r="E3268" i="1" s="1"/>
  <c r="D3269" i="1"/>
  <c r="E3269" i="1" s="1"/>
  <c r="D3270" i="1"/>
  <c r="E3270" i="1" s="1"/>
  <c r="D3271" i="1"/>
  <c r="E3271" i="1" s="1"/>
  <c r="D3272" i="1"/>
  <c r="E3272" i="1" s="1"/>
  <c r="D3273" i="1"/>
  <c r="E3273" i="1" s="1"/>
  <c r="D3274" i="1"/>
  <c r="E3274" i="1" s="1"/>
  <c r="D3275" i="1"/>
  <c r="E3275" i="1" s="1"/>
  <c r="D3276" i="1"/>
  <c r="E3276" i="1" s="1"/>
  <c r="D3277" i="1"/>
  <c r="E3277" i="1" s="1"/>
  <c r="D3278" i="1"/>
  <c r="E3278" i="1" s="1"/>
  <c r="D3279" i="1"/>
  <c r="E3279" i="1" s="1"/>
  <c r="D3280" i="1"/>
  <c r="E3280" i="1" s="1"/>
  <c r="D3281" i="1"/>
  <c r="E3281" i="1" s="1"/>
  <c r="D3282" i="1"/>
  <c r="E3282" i="1" s="1"/>
  <c r="D3283" i="1"/>
  <c r="E3283" i="1" s="1"/>
  <c r="D3284" i="1"/>
  <c r="E3284" i="1" s="1"/>
  <c r="D3285" i="1"/>
  <c r="E3285" i="1" s="1"/>
  <c r="D3286" i="1"/>
  <c r="E3286" i="1" s="1"/>
  <c r="D3287" i="1"/>
  <c r="E3287" i="1" s="1"/>
  <c r="D3288" i="1"/>
  <c r="E3288" i="1" s="1"/>
  <c r="D3289" i="1"/>
  <c r="E3289" i="1" s="1"/>
  <c r="D3290" i="1"/>
  <c r="E3290" i="1" s="1"/>
  <c r="D3291" i="1"/>
  <c r="E3291" i="1" s="1"/>
  <c r="D3292" i="1"/>
  <c r="E3292" i="1" s="1"/>
  <c r="D3293" i="1"/>
  <c r="E3293" i="1" s="1"/>
  <c r="D3294" i="1"/>
  <c r="E3294" i="1" s="1"/>
  <c r="D3295" i="1"/>
  <c r="E3295" i="1" s="1"/>
  <c r="D3296" i="1"/>
  <c r="E3296" i="1" s="1"/>
  <c r="D3297" i="1"/>
  <c r="E3297" i="1" s="1"/>
  <c r="D3298" i="1"/>
  <c r="E3298" i="1" s="1"/>
  <c r="D3299" i="1"/>
  <c r="E3299" i="1" s="1"/>
  <c r="D3300" i="1"/>
  <c r="D3301" i="1"/>
  <c r="E3301" i="1" s="1"/>
  <c r="D3302" i="1"/>
  <c r="E3302" i="1" s="1"/>
  <c r="D3303" i="1"/>
  <c r="E3303" i="1" s="1"/>
  <c r="D3304" i="1"/>
  <c r="E3304" i="1" s="1"/>
  <c r="D3305" i="1"/>
  <c r="E3305" i="1" s="1"/>
  <c r="D3306" i="1"/>
  <c r="E3306" i="1" s="1"/>
  <c r="D3307" i="1"/>
  <c r="E3307" i="1" s="1"/>
  <c r="D3308" i="1"/>
  <c r="E3308" i="1" s="1"/>
  <c r="D3309" i="1"/>
  <c r="E3309" i="1" s="1"/>
  <c r="D3310" i="1"/>
  <c r="E3310" i="1" s="1"/>
  <c r="D3311" i="1"/>
  <c r="E3311" i="1" s="1"/>
  <c r="D3312" i="1"/>
  <c r="E3312" i="1" s="1"/>
  <c r="D3313" i="1"/>
  <c r="E3313" i="1" s="1"/>
  <c r="D3314" i="1"/>
  <c r="E3314" i="1" s="1"/>
  <c r="D3315" i="1"/>
  <c r="E3315" i="1" s="1"/>
  <c r="D3316" i="1"/>
  <c r="E3316" i="1" s="1"/>
  <c r="D3317" i="1"/>
  <c r="E3317" i="1" s="1"/>
  <c r="D3318" i="1"/>
  <c r="E3318" i="1" s="1"/>
  <c r="D3319" i="1"/>
  <c r="E3319" i="1" s="1"/>
  <c r="D3320" i="1"/>
  <c r="E3320" i="1" s="1"/>
  <c r="D3321" i="1"/>
  <c r="E3321" i="1" s="1"/>
  <c r="D3322" i="1"/>
  <c r="E3322" i="1" s="1"/>
  <c r="D3323" i="1"/>
  <c r="E3323" i="1" s="1"/>
  <c r="D3324" i="1"/>
  <c r="E3324" i="1" s="1"/>
  <c r="D3325" i="1"/>
  <c r="E3325" i="1" s="1"/>
  <c r="D3326" i="1"/>
  <c r="E3326" i="1" s="1"/>
  <c r="D3327" i="1"/>
  <c r="E3327" i="1" s="1"/>
  <c r="D3328" i="1"/>
  <c r="E3328" i="1" s="1"/>
  <c r="D3329" i="1"/>
  <c r="E3329" i="1" s="1"/>
  <c r="D3330" i="1"/>
  <c r="E3330" i="1" s="1"/>
  <c r="D3331" i="1"/>
  <c r="E3331" i="1" s="1"/>
  <c r="D3332" i="1"/>
  <c r="E3332" i="1" s="1"/>
  <c r="D3333" i="1"/>
  <c r="E3333" i="1" s="1"/>
  <c r="D3334" i="1"/>
  <c r="E3334" i="1" s="1"/>
  <c r="D3335" i="1"/>
  <c r="E3335" i="1" s="1"/>
  <c r="D3336" i="1"/>
  <c r="E3336" i="1" s="1"/>
  <c r="D3337" i="1"/>
  <c r="E3337" i="1" s="1"/>
  <c r="D3338" i="1"/>
  <c r="E3338" i="1" s="1"/>
  <c r="D3339" i="1"/>
  <c r="E3339" i="1" s="1"/>
  <c r="D3340" i="1"/>
  <c r="D3341" i="1"/>
  <c r="D3342" i="1"/>
  <c r="E3342" i="1" s="1"/>
  <c r="D3343" i="1"/>
  <c r="E3343" i="1" s="1"/>
  <c r="D3344" i="1"/>
  <c r="E3344" i="1" s="1"/>
  <c r="D3345" i="1"/>
  <c r="E3345" i="1" s="1"/>
  <c r="D3346" i="1"/>
  <c r="E3346" i="1" s="1"/>
  <c r="D3347" i="1"/>
  <c r="E3347" i="1" s="1"/>
  <c r="D3348" i="1"/>
  <c r="E3348" i="1" s="1"/>
  <c r="D3349" i="1"/>
  <c r="E3349" i="1" s="1"/>
  <c r="D3350" i="1"/>
  <c r="E3350" i="1" s="1"/>
  <c r="D3351" i="1"/>
  <c r="E3351" i="1" s="1"/>
  <c r="D3352" i="1"/>
  <c r="E3352" i="1" s="1"/>
  <c r="D3353" i="1"/>
  <c r="E3353" i="1" s="1"/>
  <c r="D3354" i="1"/>
  <c r="E3354" i="1" s="1"/>
  <c r="D3355" i="1"/>
  <c r="E3355" i="1" s="1"/>
  <c r="D3356" i="1"/>
  <c r="E3356" i="1" s="1"/>
  <c r="D3357" i="1"/>
  <c r="E3357" i="1" s="1"/>
  <c r="D3358" i="1"/>
  <c r="E3358" i="1" s="1"/>
  <c r="D3359" i="1"/>
  <c r="E3359" i="1" s="1"/>
  <c r="D3360" i="1"/>
  <c r="E3360" i="1" s="1"/>
  <c r="D3361" i="1"/>
  <c r="E3361" i="1" s="1"/>
  <c r="D3362" i="1"/>
  <c r="E3362" i="1" s="1"/>
  <c r="D3363" i="1"/>
  <c r="E3363" i="1" s="1"/>
  <c r="D3364" i="1"/>
  <c r="E3364" i="1" s="1"/>
  <c r="D3365" i="1"/>
  <c r="E3365" i="1" s="1"/>
  <c r="D3366" i="1"/>
  <c r="E3366" i="1" s="1"/>
  <c r="D3367" i="1"/>
  <c r="E3367" i="1" s="1"/>
  <c r="D3368" i="1"/>
  <c r="E3368" i="1" s="1"/>
  <c r="D3369" i="1"/>
  <c r="E3369" i="1" s="1"/>
  <c r="D3370" i="1"/>
  <c r="E3370" i="1" s="1"/>
  <c r="D3371" i="1"/>
  <c r="E3371" i="1" s="1"/>
  <c r="D3372" i="1"/>
  <c r="D3373" i="1"/>
  <c r="E3373" i="1" s="1"/>
  <c r="D3374" i="1"/>
  <c r="E3374" i="1" s="1"/>
  <c r="D3375" i="1"/>
  <c r="E3375" i="1" s="1"/>
  <c r="D3376" i="1"/>
  <c r="E3376" i="1" s="1"/>
  <c r="D3377" i="1"/>
  <c r="E3377" i="1" s="1"/>
  <c r="D3378" i="1"/>
  <c r="E3378" i="1" s="1"/>
  <c r="D3379" i="1"/>
  <c r="E3379" i="1" s="1"/>
  <c r="D3380" i="1"/>
  <c r="E3380" i="1" s="1"/>
  <c r="D3381" i="1"/>
  <c r="E3381" i="1" s="1"/>
  <c r="D3382" i="1"/>
  <c r="E3382" i="1" s="1"/>
  <c r="D3383" i="1"/>
  <c r="E3383" i="1" s="1"/>
  <c r="D3384" i="1"/>
  <c r="D3385" i="1"/>
  <c r="E3385" i="1" s="1"/>
  <c r="D3386" i="1"/>
  <c r="E3386" i="1" s="1"/>
  <c r="D3387" i="1"/>
  <c r="E3387" i="1" s="1"/>
  <c r="D3388" i="1"/>
  <c r="E3388" i="1" s="1"/>
  <c r="D3389" i="1"/>
  <c r="E3389" i="1" s="1"/>
  <c r="D3390" i="1"/>
  <c r="E3390" i="1" s="1"/>
  <c r="D3391" i="1"/>
  <c r="E3391" i="1" s="1"/>
  <c r="D3392" i="1"/>
  <c r="E3392" i="1" s="1"/>
  <c r="D3393" i="1"/>
  <c r="E3393" i="1" s="1"/>
  <c r="D3394" i="1"/>
  <c r="E3394" i="1" s="1"/>
  <c r="D3395" i="1"/>
  <c r="E3395" i="1" s="1"/>
  <c r="D3396" i="1"/>
  <c r="E3396" i="1" s="1"/>
  <c r="D3397" i="1"/>
  <c r="E3397" i="1" s="1"/>
  <c r="D3398" i="1"/>
  <c r="E3398" i="1" s="1"/>
  <c r="D3399" i="1"/>
  <c r="E3399" i="1" s="1"/>
  <c r="D3400" i="1"/>
  <c r="E3400" i="1" s="1"/>
  <c r="D3401" i="1"/>
  <c r="E3401" i="1" s="1"/>
  <c r="D3402" i="1"/>
  <c r="E3402" i="1" s="1"/>
  <c r="D3403" i="1"/>
  <c r="E3403" i="1" s="1"/>
  <c r="D3404" i="1"/>
  <c r="E3404" i="1" s="1"/>
  <c r="D3405" i="1"/>
  <c r="E3405" i="1" s="1"/>
  <c r="D3406" i="1"/>
  <c r="E3406" i="1" s="1"/>
  <c r="D3407" i="1"/>
  <c r="E3407" i="1" s="1"/>
  <c r="D3408" i="1"/>
  <c r="E3408" i="1" s="1"/>
  <c r="D3409" i="1"/>
  <c r="E3409" i="1" s="1"/>
  <c r="D3410" i="1"/>
  <c r="E3410" i="1" s="1"/>
  <c r="D3411" i="1"/>
  <c r="E3411" i="1" s="1"/>
  <c r="D3412" i="1"/>
  <c r="D3413" i="1"/>
  <c r="E3413" i="1" s="1"/>
  <c r="D3414" i="1"/>
  <c r="E3414" i="1" s="1"/>
  <c r="D3415" i="1"/>
  <c r="E3415" i="1" s="1"/>
  <c r="D3416" i="1"/>
  <c r="E3416" i="1" s="1"/>
  <c r="D3417" i="1"/>
  <c r="E3417" i="1" s="1"/>
  <c r="D3418" i="1"/>
  <c r="E3418" i="1" s="1"/>
  <c r="D3419" i="1"/>
  <c r="E3419" i="1" s="1"/>
  <c r="D3420" i="1"/>
  <c r="E3420" i="1" s="1"/>
  <c r="D3421" i="1"/>
  <c r="E3421" i="1" s="1"/>
  <c r="D3422" i="1"/>
  <c r="E3422" i="1" s="1"/>
  <c r="D3423" i="1"/>
  <c r="E3423" i="1" s="1"/>
  <c r="D3424" i="1"/>
  <c r="D3425" i="1"/>
  <c r="E3425" i="1" s="1"/>
  <c r="D3426" i="1"/>
  <c r="E3426" i="1" s="1"/>
  <c r="D3427" i="1"/>
  <c r="E3427" i="1" s="1"/>
  <c r="D3428" i="1"/>
  <c r="E3428" i="1" s="1"/>
  <c r="D3429" i="1"/>
  <c r="E3429" i="1" s="1"/>
  <c r="D3430" i="1"/>
  <c r="E3430" i="1" s="1"/>
  <c r="D3431" i="1"/>
  <c r="E3431" i="1" s="1"/>
  <c r="D3432" i="1"/>
  <c r="D3433" i="1"/>
  <c r="E3433" i="1" s="1"/>
  <c r="D3434" i="1"/>
  <c r="E3434" i="1" s="1"/>
  <c r="D3435" i="1"/>
  <c r="E3435" i="1" s="1"/>
  <c r="D3436" i="1"/>
  <c r="E3436" i="1" s="1"/>
  <c r="D3437" i="1"/>
  <c r="E3437" i="1" s="1"/>
  <c r="D3438" i="1"/>
  <c r="E3438" i="1" s="1"/>
  <c r="D3439" i="1"/>
  <c r="E3439" i="1" s="1"/>
  <c r="D3440" i="1"/>
  <c r="E3440" i="1" s="1"/>
  <c r="D3441" i="1"/>
  <c r="E3441" i="1" s="1"/>
  <c r="D3442" i="1"/>
  <c r="E3442" i="1" s="1"/>
  <c r="D3443" i="1"/>
  <c r="E3443" i="1" s="1"/>
  <c r="D3444" i="1"/>
  <c r="E3444" i="1" s="1"/>
  <c r="D3445" i="1"/>
  <c r="E3445" i="1" s="1"/>
  <c r="D3446" i="1"/>
  <c r="E3446" i="1" s="1"/>
  <c r="D3447" i="1"/>
  <c r="E3447" i="1" s="1"/>
  <c r="D3448" i="1"/>
  <c r="E3448" i="1" s="1"/>
  <c r="D3449" i="1"/>
  <c r="E3449" i="1" s="1"/>
  <c r="D3450" i="1"/>
  <c r="E3450" i="1" s="1"/>
  <c r="D3451" i="1"/>
  <c r="E3451" i="1" s="1"/>
  <c r="D3452" i="1"/>
  <c r="E3452" i="1" s="1"/>
  <c r="D3453" i="1"/>
  <c r="E3453" i="1" s="1"/>
  <c r="D3454" i="1"/>
  <c r="E3454" i="1" s="1"/>
  <c r="D3455" i="1"/>
  <c r="E3455" i="1" s="1"/>
  <c r="D3456" i="1"/>
  <c r="E3456" i="1" s="1"/>
  <c r="D3457" i="1"/>
  <c r="E3457" i="1" s="1"/>
  <c r="D3458" i="1"/>
  <c r="E3458" i="1" s="1"/>
  <c r="D3459" i="1"/>
  <c r="E3459" i="1" s="1"/>
  <c r="D3460" i="1"/>
  <c r="E3460" i="1" s="1"/>
  <c r="D3461" i="1"/>
  <c r="E3461" i="1" s="1"/>
  <c r="D3462" i="1"/>
  <c r="E3462" i="1" s="1"/>
  <c r="D3463" i="1"/>
  <c r="E3463" i="1" s="1"/>
  <c r="D3464" i="1"/>
  <c r="E3464" i="1" s="1"/>
  <c r="D3465" i="1"/>
  <c r="E3465" i="1" s="1"/>
  <c r="D3466" i="1"/>
  <c r="E3466" i="1" s="1"/>
  <c r="D3467" i="1"/>
  <c r="E3467" i="1" s="1"/>
  <c r="D3468" i="1"/>
  <c r="E3468" i="1" s="1"/>
  <c r="D3469" i="1"/>
  <c r="E3469" i="1" s="1"/>
  <c r="D3470" i="1"/>
  <c r="E3470" i="1" s="1"/>
  <c r="D3471" i="1"/>
  <c r="E3471" i="1" s="1"/>
  <c r="D3472" i="1"/>
  <c r="D3473" i="1"/>
  <c r="E3473" i="1" s="1"/>
  <c r="D3474" i="1"/>
  <c r="E3474" i="1" s="1"/>
  <c r="D3475" i="1"/>
  <c r="E3475" i="1" s="1"/>
  <c r="D3476" i="1"/>
  <c r="E3476" i="1" s="1"/>
  <c r="D3477" i="1"/>
  <c r="E3477" i="1" s="1"/>
  <c r="D3478" i="1"/>
  <c r="E3478" i="1" s="1"/>
  <c r="D3479" i="1"/>
  <c r="E3479" i="1" s="1"/>
  <c r="D3480" i="1"/>
  <c r="E3480" i="1" s="1"/>
  <c r="D3481" i="1"/>
  <c r="E3481" i="1" s="1"/>
  <c r="D3482" i="1"/>
  <c r="E3482" i="1" s="1"/>
  <c r="D3483" i="1"/>
  <c r="E3483" i="1" s="1"/>
  <c r="D3484" i="1"/>
  <c r="E3484" i="1" s="1"/>
  <c r="D3485" i="1"/>
  <c r="E3485" i="1" s="1"/>
  <c r="D3486" i="1"/>
  <c r="E3486" i="1" s="1"/>
  <c r="D3487" i="1"/>
  <c r="E3487" i="1" s="1"/>
  <c r="D3488" i="1"/>
  <c r="E3488" i="1" s="1"/>
  <c r="D3489" i="1"/>
  <c r="E3489" i="1" s="1"/>
  <c r="D3490" i="1"/>
  <c r="E3490" i="1" s="1"/>
  <c r="D3491" i="1"/>
  <c r="E3491" i="1" s="1"/>
  <c r="D3492" i="1"/>
  <c r="E3492" i="1" s="1"/>
  <c r="D3493" i="1"/>
  <c r="E3493" i="1" s="1"/>
  <c r="D3494" i="1"/>
  <c r="E3494" i="1" s="1"/>
  <c r="D3495" i="1"/>
  <c r="E3495" i="1" s="1"/>
  <c r="D3496" i="1"/>
  <c r="E3496" i="1" s="1"/>
  <c r="D3497" i="1"/>
  <c r="E3497" i="1" s="1"/>
  <c r="D3498" i="1"/>
  <c r="E3498" i="1" s="1"/>
  <c r="D3499" i="1"/>
  <c r="E3499" i="1" s="1"/>
  <c r="D3500" i="1"/>
  <c r="E3500" i="1" s="1"/>
  <c r="D3501" i="1"/>
  <c r="E3501" i="1" s="1"/>
  <c r="D3502" i="1"/>
  <c r="E3502" i="1" s="1"/>
  <c r="D3503" i="1"/>
  <c r="E3503" i="1" s="1"/>
  <c r="D3504" i="1"/>
  <c r="E3504" i="1" s="1"/>
  <c r="D3505" i="1"/>
  <c r="E3505" i="1" s="1"/>
  <c r="D3506" i="1"/>
  <c r="E3506" i="1" s="1"/>
  <c r="D3507" i="1"/>
  <c r="E3507" i="1" s="1"/>
  <c r="D3508" i="1"/>
  <c r="E3508" i="1" s="1"/>
  <c r="D3509" i="1"/>
  <c r="E3509" i="1" s="1"/>
  <c r="D3510" i="1"/>
  <c r="E3510" i="1" s="1"/>
  <c r="D3511" i="1"/>
  <c r="E3511" i="1" s="1"/>
  <c r="D3512" i="1"/>
  <c r="E3512" i="1" s="1"/>
  <c r="D3513" i="1"/>
  <c r="E3513" i="1" s="1"/>
  <c r="D3514" i="1"/>
  <c r="E3514" i="1" s="1"/>
  <c r="D3515" i="1"/>
  <c r="E3515" i="1" s="1"/>
  <c r="D3516" i="1"/>
  <c r="E3516" i="1" s="1"/>
  <c r="D3517" i="1"/>
  <c r="E3517" i="1" s="1"/>
  <c r="D3518" i="1"/>
  <c r="E3518" i="1" s="1"/>
  <c r="D3519" i="1"/>
  <c r="E3519" i="1" s="1"/>
  <c r="D3520" i="1"/>
  <c r="D3521" i="1"/>
  <c r="E3521" i="1" s="1"/>
  <c r="D3522" i="1"/>
  <c r="E3522" i="1" s="1"/>
  <c r="D3523" i="1"/>
  <c r="E3523" i="1" s="1"/>
  <c r="D3524" i="1"/>
  <c r="E3524" i="1" s="1"/>
  <c r="D3525" i="1"/>
  <c r="E3525" i="1" s="1"/>
  <c r="D3526" i="1"/>
  <c r="E3526" i="1" s="1"/>
  <c r="D3527" i="1"/>
  <c r="E3527" i="1" s="1"/>
  <c r="D3528" i="1"/>
  <c r="E3528" i="1" s="1"/>
  <c r="D3529" i="1"/>
  <c r="E3529" i="1" s="1"/>
  <c r="D3530" i="1"/>
  <c r="E3530" i="1" s="1"/>
  <c r="D3531" i="1"/>
  <c r="E3531" i="1" s="1"/>
  <c r="D3532" i="1"/>
  <c r="D3533" i="1"/>
  <c r="E3533" i="1" s="1"/>
  <c r="D3534" i="1"/>
  <c r="E3534" i="1" s="1"/>
  <c r="D3535" i="1"/>
  <c r="E3535" i="1" s="1"/>
  <c r="D3536" i="1"/>
  <c r="E3536" i="1" s="1"/>
  <c r="D3537" i="1"/>
  <c r="E3537" i="1" s="1"/>
  <c r="D3538" i="1"/>
  <c r="E3538" i="1" s="1"/>
  <c r="D3539" i="1"/>
  <c r="E3539" i="1" s="1"/>
  <c r="D3540" i="1"/>
  <c r="D3541" i="1"/>
  <c r="E3541" i="1" s="1"/>
  <c r="D3542" i="1"/>
  <c r="E3542" i="1" s="1"/>
  <c r="D3543" i="1"/>
  <c r="E3543" i="1" s="1"/>
  <c r="D3544" i="1"/>
  <c r="E3544" i="1" s="1"/>
  <c r="D3545" i="1"/>
  <c r="E3545" i="1" s="1"/>
  <c r="D3546" i="1"/>
  <c r="E3546" i="1" s="1"/>
  <c r="D3547" i="1"/>
  <c r="E3547" i="1" s="1"/>
  <c r="D3548" i="1"/>
  <c r="E3548" i="1" s="1"/>
  <c r="D3549" i="1"/>
  <c r="E3549" i="1" s="1"/>
  <c r="D3550" i="1"/>
  <c r="E3550" i="1" s="1"/>
  <c r="D3551" i="1"/>
  <c r="E3551" i="1" s="1"/>
  <c r="D3552" i="1"/>
  <c r="D3553" i="1"/>
  <c r="E3553" i="1" s="1"/>
  <c r="D3554" i="1"/>
  <c r="E3554" i="1" s="1"/>
  <c r="D3555" i="1"/>
  <c r="E3555" i="1" s="1"/>
  <c r="D3556" i="1"/>
  <c r="E3556" i="1" s="1"/>
  <c r="D3557" i="1"/>
  <c r="E3557" i="1" s="1"/>
  <c r="D3558" i="1"/>
  <c r="E3558" i="1" s="1"/>
  <c r="D3559" i="1"/>
  <c r="E3559" i="1" s="1"/>
  <c r="D3560" i="1"/>
  <c r="E3560" i="1" s="1"/>
  <c r="D3561" i="1"/>
  <c r="E3561" i="1" s="1"/>
  <c r="D3562" i="1"/>
  <c r="E3562" i="1" s="1"/>
  <c r="D3563" i="1"/>
  <c r="E3563" i="1" s="1"/>
  <c r="D3564" i="1"/>
  <c r="E3564" i="1" s="1"/>
  <c r="D3565" i="1"/>
  <c r="E3565" i="1" s="1"/>
  <c r="D3566" i="1"/>
  <c r="E3566" i="1" s="1"/>
  <c r="D3567" i="1"/>
  <c r="E3567" i="1" s="1"/>
  <c r="D3568" i="1"/>
  <c r="E3568" i="1" s="1"/>
  <c r="D3569" i="1"/>
  <c r="E3569" i="1" s="1"/>
  <c r="D3570" i="1"/>
  <c r="E3570" i="1" s="1"/>
  <c r="D3571" i="1"/>
  <c r="E3571" i="1" s="1"/>
  <c r="D3572" i="1"/>
  <c r="E3572" i="1" s="1"/>
  <c r="D3573" i="1"/>
  <c r="E3573" i="1" s="1"/>
  <c r="D3574" i="1"/>
  <c r="E3574" i="1" s="1"/>
  <c r="D3575" i="1"/>
  <c r="E3575" i="1" s="1"/>
  <c r="D3576" i="1"/>
  <c r="E3576" i="1" s="1"/>
  <c r="D3577" i="1"/>
  <c r="E3577" i="1" s="1"/>
  <c r="D3578" i="1"/>
  <c r="E3578" i="1" s="1"/>
  <c r="D3579" i="1"/>
  <c r="E3579" i="1" s="1"/>
  <c r="D3580" i="1"/>
  <c r="E3580" i="1" s="1"/>
  <c r="D3581" i="1"/>
  <c r="E3581" i="1" s="1"/>
  <c r="D3582" i="1"/>
  <c r="E3582" i="1" s="1"/>
  <c r="D3583" i="1"/>
  <c r="E3583" i="1" s="1"/>
  <c r="D3584" i="1"/>
  <c r="E3584" i="1" s="1"/>
  <c r="D3585" i="1"/>
  <c r="E3585" i="1" s="1"/>
  <c r="D3586" i="1"/>
  <c r="E3586" i="1" s="1"/>
  <c r="D3587" i="1"/>
  <c r="E3587" i="1" s="1"/>
  <c r="D3588" i="1"/>
  <c r="E3588" i="1" s="1"/>
  <c r="D3589" i="1"/>
  <c r="E3589" i="1" s="1"/>
  <c r="D3590" i="1"/>
  <c r="E3590" i="1" s="1"/>
  <c r="D3591" i="1"/>
  <c r="E3591" i="1" s="1"/>
  <c r="D3592" i="1"/>
  <c r="D3593" i="1"/>
  <c r="E3593" i="1" s="1"/>
  <c r="D3594" i="1"/>
  <c r="E3594" i="1" s="1"/>
  <c r="D3595" i="1"/>
  <c r="E3595" i="1" s="1"/>
  <c r="D3596" i="1"/>
  <c r="E3596" i="1" s="1"/>
  <c r="D3597" i="1"/>
  <c r="E3597" i="1" s="1"/>
  <c r="D3598" i="1"/>
  <c r="E3598" i="1" s="1"/>
  <c r="D3599" i="1"/>
  <c r="E3599" i="1" s="1"/>
  <c r="D3600" i="1"/>
  <c r="E3600" i="1" s="1"/>
  <c r="D3601" i="1"/>
  <c r="E3601" i="1" s="1"/>
  <c r="D3602" i="1"/>
  <c r="E3602" i="1" s="1"/>
  <c r="D3603" i="1"/>
  <c r="E3603" i="1" s="1"/>
  <c r="D3604" i="1"/>
  <c r="E3604" i="1" s="1"/>
  <c r="D3605" i="1"/>
  <c r="E3605" i="1" s="1"/>
  <c r="D3606" i="1"/>
  <c r="E3606" i="1" s="1"/>
  <c r="D3607" i="1"/>
  <c r="E3607" i="1" s="1"/>
  <c r="D3608" i="1"/>
  <c r="E3608" i="1" s="1"/>
  <c r="D3609" i="1"/>
  <c r="E3609" i="1" s="1"/>
  <c r="D3610" i="1"/>
  <c r="E3610" i="1" s="1"/>
  <c r="D3611" i="1"/>
  <c r="E3611" i="1" s="1"/>
  <c r="D3612" i="1"/>
  <c r="E3612" i="1" s="1"/>
  <c r="D3613" i="1"/>
  <c r="E3613" i="1" s="1"/>
  <c r="D3614" i="1"/>
  <c r="E3614" i="1" s="1"/>
  <c r="D3615" i="1"/>
  <c r="E3615" i="1" s="1"/>
  <c r="D3616" i="1"/>
  <c r="E3616" i="1" s="1"/>
  <c r="D3617" i="1"/>
  <c r="E3617" i="1" s="1"/>
  <c r="D3618" i="1"/>
  <c r="E3618" i="1" s="1"/>
  <c r="D3619" i="1"/>
  <c r="E3619" i="1" s="1"/>
  <c r="D3620" i="1"/>
  <c r="E3620" i="1" s="1"/>
  <c r="D3621" i="1"/>
  <c r="E3621" i="1" s="1"/>
  <c r="D3622" i="1"/>
  <c r="E3622" i="1" s="1"/>
  <c r="D3623" i="1"/>
  <c r="E3623" i="1" s="1"/>
  <c r="D3624" i="1"/>
  <c r="D3625" i="1"/>
  <c r="D3626" i="1"/>
  <c r="E3626" i="1" s="1"/>
  <c r="D3627" i="1"/>
  <c r="E3627" i="1" s="1"/>
  <c r="D3628" i="1"/>
  <c r="E3628" i="1" s="1"/>
  <c r="D3629" i="1"/>
  <c r="E3629" i="1" s="1"/>
  <c r="D3630" i="1"/>
  <c r="E3630" i="1" s="1"/>
  <c r="D3631" i="1"/>
  <c r="E3631" i="1" s="1"/>
  <c r="D3632" i="1"/>
  <c r="E3632" i="1" s="1"/>
  <c r="D3633" i="1"/>
  <c r="E3633" i="1" s="1"/>
  <c r="D3634" i="1"/>
  <c r="E3634" i="1" s="1"/>
  <c r="D3635" i="1"/>
  <c r="E3635" i="1" s="1"/>
  <c r="D3636" i="1"/>
  <c r="E3636" i="1" s="1"/>
  <c r="D3637" i="1"/>
  <c r="E3637" i="1" s="1"/>
  <c r="D3638" i="1"/>
  <c r="E3638" i="1" s="1"/>
  <c r="D3639" i="1"/>
  <c r="E3639" i="1" s="1"/>
  <c r="D3640" i="1"/>
  <c r="E3640" i="1" s="1"/>
  <c r="D3641" i="1"/>
  <c r="E3641" i="1" s="1"/>
  <c r="D3642" i="1"/>
  <c r="E3642" i="1" s="1"/>
  <c r="D3643" i="1"/>
  <c r="E3643" i="1" s="1"/>
  <c r="D3644" i="1"/>
  <c r="E3644" i="1" s="1"/>
  <c r="D3645" i="1"/>
  <c r="E3645" i="1" s="1"/>
  <c r="D3646" i="1"/>
  <c r="E3646" i="1" s="1"/>
  <c r="D3647" i="1"/>
  <c r="E3647" i="1" s="1"/>
  <c r="D3648" i="1"/>
  <c r="E3648" i="1" s="1"/>
  <c r="D3649" i="1"/>
  <c r="E3649" i="1" s="1"/>
  <c r="D3650" i="1"/>
  <c r="E3650" i="1" s="1"/>
  <c r="D3651" i="1"/>
  <c r="E3651" i="1" s="1"/>
  <c r="D3652" i="1"/>
  <c r="D3653" i="1"/>
  <c r="E3653" i="1" s="1"/>
  <c r="D3654" i="1"/>
  <c r="E3654" i="1" s="1"/>
  <c r="D3655" i="1"/>
  <c r="E3655" i="1" s="1"/>
  <c r="D3656" i="1"/>
  <c r="E3656" i="1" s="1"/>
  <c r="D3657" i="1"/>
  <c r="E3657" i="1" s="1"/>
  <c r="D3658" i="1"/>
  <c r="E3658" i="1" s="1"/>
  <c r="D3659" i="1"/>
  <c r="E3659" i="1" s="1"/>
  <c r="D3660" i="1"/>
  <c r="D3661" i="1"/>
  <c r="E3661" i="1" s="1"/>
  <c r="D3662" i="1"/>
  <c r="E3662" i="1" s="1"/>
  <c r="D3663" i="1"/>
  <c r="E3663" i="1" s="1"/>
  <c r="D3664" i="1"/>
  <c r="E3664" i="1" s="1"/>
  <c r="D3665" i="1"/>
  <c r="E3665" i="1" s="1"/>
  <c r="D3666" i="1"/>
  <c r="E3666" i="1" s="1"/>
  <c r="D3667" i="1"/>
  <c r="E3667" i="1" s="1"/>
  <c r="D3668" i="1"/>
  <c r="E3668" i="1" s="1"/>
  <c r="D3669" i="1"/>
  <c r="E3669" i="1" s="1"/>
  <c r="D3670" i="1"/>
  <c r="E3670" i="1" s="1"/>
  <c r="D3671" i="1"/>
  <c r="E3671" i="1" s="1"/>
  <c r="D3672" i="1"/>
  <c r="D3673" i="1"/>
  <c r="E3673" i="1" s="1"/>
  <c r="D3674" i="1"/>
  <c r="E3674" i="1" s="1"/>
  <c r="D3675" i="1"/>
  <c r="E3675" i="1" s="1"/>
  <c r="D3676" i="1"/>
  <c r="E3676" i="1" s="1"/>
  <c r="D3677" i="1"/>
  <c r="E3677" i="1" s="1"/>
  <c r="D3678" i="1"/>
  <c r="E3678" i="1" s="1"/>
  <c r="D3679" i="1"/>
  <c r="E3679" i="1" s="1"/>
  <c r="D3680" i="1"/>
  <c r="E3680" i="1" s="1"/>
  <c r="D3681" i="1"/>
  <c r="E3681" i="1" s="1"/>
  <c r="D3682" i="1"/>
  <c r="E3682" i="1" s="1"/>
  <c r="D3683" i="1"/>
  <c r="E3683" i="1" s="1"/>
  <c r="D3684" i="1"/>
  <c r="E3684" i="1" s="1"/>
  <c r="D3685" i="1"/>
  <c r="E3685" i="1" s="1"/>
  <c r="D3686" i="1"/>
  <c r="E3686" i="1" s="1"/>
  <c r="D3687" i="1"/>
  <c r="E3687" i="1" s="1"/>
  <c r="D3688" i="1"/>
  <c r="E3688" i="1" s="1"/>
  <c r="D3689" i="1"/>
  <c r="E3689" i="1" s="1"/>
  <c r="D3690" i="1"/>
  <c r="E3690" i="1" s="1"/>
  <c r="D3691" i="1"/>
  <c r="E3691" i="1" s="1"/>
  <c r="D3692" i="1"/>
  <c r="E3692" i="1" s="1"/>
  <c r="D3693" i="1"/>
  <c r="E3693" i="1" s="1"/>
  <c r="D3694" i="1"/>
  <c r="E3694" i="1" s="1"/>
  <c r="D3695" i="1"/>
  <c r="E3695" i="1" s="1"/>
  <c r="D3696" i="1"/>
  <c r="E3696" i="1" s="1"/>
  <c r="D3697" i="1"/>
  <c r="E3697" i="1" s="1"/>
  <c r="D3698" i="1"/>
  <c r="E3698" i="1" s="1"/>
  <c r="D3699" i="1"/>
  <c r="E3699" i="1" s="1"/>
  <c r="D3700" i="1"/>
  <c r="D3701" i="1"/>
  <c r="D3702" i="1"/>
  <c r="E3702" i="1" s="1"/>
  <c r="D3703" i="1"/>
  <c r="E3703" i="1" s="1"/>
  <c r="D3704" i="1"/>
  <c r="E3704" i="1" s="1"/>
  <c r="D3705" i="1"/>
  <c r="E3705" i="1" s="1"/>
  <c r="D3706" i="1"/>
  <c r="E3706" i="1" s="1"/>
  <c r="D3707" i="1"/>
  <c r="E3707" i="1" s="1"/>
  <c r="D3708" i="1"/>
  <c r="E3708" i="1" s="1"/>
  <c r="D3709" i="1"/>
  <c r="E3709" i="1" s="1"/>
  <c r="D3710" i="1"/>
  <c r="E3710" i="1" s="1"/>
  <c r="D3711" i="1"/>
  <c r="E3711" i="1" s="1"/>
  <c r="D3712" i="1"/>
  <c r="D3713" i="1"/>
  <c r="E3713" i="1" s="1"/>
  <c r="D3714" i="1"/>
  <c r="E3714" i="1" s="1"/>
  <c r="D3715" i="1"/>
  <c r="E3715" i="1" s="1"/>
  <c r="D3716" i="1"/>
  <c r="E3716" i="1" s="1"/>
  <c r="D3717" i="1"/>
  <c r="E3717" i="1" s="1"/>
  <c r="D3718" i="1"/>
  <c r="E3718" i="1" s="1"/>
  <c r="D3719" i="1"/>
  <c r="E3719" i="1" s="1"/>
  <c r="D3720" i="1"/>
  <c r="D3721" i="1"/>
  <c r="E3721" i="1" s="1"/>
  <c r="D3722" i="1"/>
  <c r="E3722" i="1" s="1"/>
  <c r="D3723" i="1"/>
  <c r="E3723" i="1" s="1"/>
  <c r="D3724" i="1"/>
  <c r="E3724" i="1" s="1"/>
  <c r="D3725" i="1"/>
  <c r="E3725" i="1" s="1"/>
  <c r="D3726" i="1"/>
  <c r="E3726" i="1" s="1"/>
  <c r="D3727" i="1"/>
  <c r="E3727" i="1" s="1"/>
  <c r="D3728" i="1"/>
  <c r="E3728" i="1" s="1"/>
  <c r="D3729" i="1"/>
  <c r="E3729" i="1" s="1"/>
  <c r="D3730" i="1"/>
  <c r="E3730" i="1" s="1"/>
  <c r="D3731" i="1"/>
  <c r="E3731" i="1" s="1"/>
  <c r="D3732" i="1"/>
  <c r="D3733" i="1"/>
  <c r="E3733" i="1" s="1"/>
  <c r="D3734" i="1"/>
  <c r="E3734" i="1" s="1"/>
  <c r="D3735" i="1"/>
  <c r="E3735" i="1" s="1"/>
  <c r="D3736" i="1"/>
  <c r="E3736" i="1" s="1"/>
  <c r="D3737" i="1"/>
  <c r="E3737" i="1" s="1"/>
  <c r="D3738" i="1"/>
  <c r="E3738" i="1" s="1"/>
  <c r="D3739" i="1"/>
  <c r="E3739" i="1" s="1"/>
  <c r="D3740" i="1"/>
  <c r="E3740" i="1" s="1"/>
  <c r="D3741" i="1"/>
  <c r="E3741" i="1" s="1"/>
  <c r="D3742" i="1"/>
  <c r="E3742" i="1" s="1"/>
  <c r="D3743" i="1"/>
  <c r="E3743" i="1" s="1"/>
  <c r="D3744" i="1"/>
  <c r="E3744" i="1" s="1"/>
  <c r="D3745" i="1"/>
  <c r="E3745" i="1" s="1"/>
  <c r="D3746" i="1"/>
  <c r="E3746" i="1" s="1"/>
  <c r="D3747" i="1"/>
  <c r="E3747" i="1" s="1"/>
  <c r="D3748" i="1"/>
  <c r="E3748" i="1" s="1"/>
  <c r="D3749" i="1"/>
  <c r="E3749" i="1" s="1"/>
  <c r="D3750" i="1"/>
  <c r="E3750" i="1" s="1"/>
  <c r="D3751" i="1"/>
  <c r="E3751" i="1" s="1"/>
  <c r="D3752" i="1"/>
  <c r="E3752" i="1" s="1"/>
  <c r="D3753" i="1"/>
  <c r="E3753" i="1" s="1"/>
  <c r="D3754" i="1"/>
  <c r="E3754" i="1" s="1"/>
  <c r="D3755" i="1"/>
  <c r="E3755" i="1" s="1"/>
  <c r="D3756" i="1"/>
  <c r="E3756" i="1" s="1"/>
  <c r="D3757" i="1"/>
  <c r="E3757" i="1" s="1"/>
  <c r="D3758" i="1"/>
  <c r="E3758" i="1" s="1"/>
  <c r="D3759" i="1"/>
  <c r="E3759" i="1" s="1"/>
  <c r="D3760" i="1"/>
  <c r="D3761" i="1"/>
  <c r="E3761" i="1" s="1"/>
  <c r="D3762" i="1"/>
  <c r="E3762" i="1" s="1"/>
  <c r="D3763" i="1"/>
  <c r="E3763" i="1" s="1"/>
  <c r="D3764" i="1"/>
  <c r="E3764" i="1" s="1"/>
  <c r="D3765" i="1"/>
  <c r="E3765" i="1" s="1"/>
  <c r="D3766" i="1"/>
  <c r="E3766" i="1" s="1"/>
  <c r="D3767" i="1"/>
  <c r="E3767" i="1" s="1"/>
  <c r="D3768" i="1"/>
  <c r="E3768" i="1" s="1"/>
  <c r="D3769" i="1"/>
  <c r="E3769" i="1" s="1"/>
  <c r="D3770" i="1"/>
  <c r="E3770" i="1" s="1"/>
  <c r="D3771" i="1"/>
  <c r="E3771" i="1" s="1"/>
  <c r="D3772" i="1"/>
  <c r="E3772" i="1" s="1"/>
  <c r="D3773" i="1"/>
  <c r="E3773" i="1" s="1"/>
  <c r="D3774" i="1"/>
  <c r="E3774" i="1" s="1"/>
  <c r="D3775" i="1"/>
  <c r="E3775" i="1" s="1"/>
  <c r="D3776" i="1"/>
  <c r="E3776" i="1" s="1"/>
  <c r="D3777" i="1"/>
  <c r="E3777" i="1" s="1"/>
  <c r="D3778" i="1"/>
  <c r="E3778" i="1" s="1"/>
  <c r="D3779" i="1"/>
  <c r="E3779" i="1" s="1"/>
  <c r="D3780" i="1"/>
  <c r="E3780" i="1" s="1"/>
  <c r="D3781" i="1"/>
  <c r="E3781" i="1" s="1"/>
  <c r="D3782" i="1"/>
  <c r="E3782" i="1" s="1"/>
  <c r="D3783" i="1"/>
  <c r="E3783" i="1" s="1"/>
  <c r="D3784" i="1"/>
  <c r="E3784" i="1" s="1"/>
  <c r="D3785" i="1"/>
  <c r="E3785" i="1" s="1"/>
  <c r="D3786" i="1"/>
  <c r="E3786" i="1" s="1"/>
  <c r="D3787" i="1"/>
  <c r="E3787" i="1" s="1"/>
  <c r="D3788" i="1"/>
  <c r="E3788" i="1" s="1"/>
  <c r="D3789" i="1"/>
  <c r="E3789" i="1" s="1"/>
  <c r="D3790" i="1"/>
  <c r="E3790" i="1" s="1"/>
  <c r="D3791" i="1"/>
  <c r="E3791" i="1" s="1"/>
  <c r="D3792" i="1"/>
  <c r="D3793" i="1"/>
  <c r="E3793" i="1" s="1"/>
  <c r="D3794" i="1"/>
  <c r="E3794" i="1" s="1"/>
  <c r="D3795" i="1"/>
  <c r="E3795" i="1" s="1"/>
  <c r="D3796" i="1"/>
  <c r="E3796" i="1" s="1"/>
  <c r="D3797" i="1"/>
  <c r="E3797" i="1" s="1"/>
  <c r="D3798" i="1"/>
  <c r="E3798" i="1" s="1"/>
  <c r="D3799" i="1"/>
  <c r="E3799" i="1" s="1"/>
  <c r="D3800" i="1"/>
  <c r="E3800" i="1" s="1"/>
  <c r="D3801" i="1"/>
  <c r="E3801" i="1" s="1"/>
  <c r="D3802" i="1"/>
  <c r="E3802" i="1" s="1"/>
  <c r="D3803" i="1"/>
  <c r="E3803" i="1" s="1"/>
  <c r="D3804" i="1"/>
  <c r="E3804" i="1" s="1"/>
  <c r="D3805" i="1"/>
  <c r="E3805" i="1" s="1"/>
  <c r="D3806" i="1"/>
  <c r="E3806" i="1" s="1"/>
  <c r="D3807" i="1"/>
  <c r="E3807" i="1" s="1"/>
  <c r="D3808" i="1"/>
  <c r="E3808" i="1" s="1"/>
  <c r="D3809" i="1"/>
  <c r="E3809" i="1" s="1"/>
  <c r="D3810" i="1"/>
  <c r="E3810" i="1" s="1"/>
  <c r="D3811" i="1"/>
  <c r="E3811" i="1" s="1"/>
  <c r="D3812" i="1"/>
  <c r="E3812" i="1" s="1"/>
  <c r="D3813" i="1"/>
  <c r="E3813" i="1" s="1"/>
  <c r="D3814" i="1"/>
  <c r="E3814" i="1" s="1"/>
  <c r="D3815" i="1"/>
  <c r="E3815" i="1" s="1"/>
  <c r="D3816" i="1"/>
  <c r="E3816" i="1" s="1"/>
  <c r="D3817" i="1"/>
  <c r="E3817" i="1" s="1"/>
  <c r="D3818" i="1"/>
  <c r="E3818" i="1" s="1"/>
  <c r="D3819" i="1"/>
  <c r="E3819" i="1" s="1"/>
  <c r="D3820" i="1"/>
  <c r="D3821" i="1"/>
  <c r="E3821" i="1" s="1"/>
  <c r="D3822" i="1"/>
  <c r="E3822" i="1" s="1"/>
  <c r="D3823" i="1"/>
  <c r="E3823" i="1" s="1"/>
  <c r="D3824" i="1"/>
  <c r="E3824" i="1" s="1"/>
  <c r="D3825" i="1"/>
  <c r="E3825" i="1" s="1"/>
  <c r="D3826" i="1"/>
  <c r="E3826" i="1" s="1"/>
  <c r="D3827" i="1"/>
  <c r="E3827" i="1" s="1"/>
  <c r="D3828" i="1"/>
  <c r="E3828" i="1" s="1"/>
  <c r="D3829" i="1"/>
  <c r="E3829" i="1" s="1"/>
  <c r="D3830" i="1"/>
  <c r="E3830" i="1" s="1"/>
  <c r="D3831" i="1"/>
  <c r="E3831" i="1" s="1"/>
  <c r="D3832" i="1"/>
  <c r="D3833" i="1"/>
  <c r="E3833" i="1" s="1"/>
  <c r="D3834" i="1"/>
  <c r="E3834" i="1" s="1"/>
  <c r="D3835" i="1"/>
  <c r="E3835" i="1" s="1"/>
  <c r="D3836" i="1"/>
  <c r="E3836" i="1" s="1"/>
  <c r="D3837" i="1"/>
  <c r="E3837" i="1" s="1"/>
  <c r="D3838" i="1"/>
  <c r="E3838" i="1" s="1"/>
  <c r="D3839" i="1"/>
  <c r="E3839" i="1" s="1"/>
  <c r="D3840" i="1"/>
  <c r="E3840" i="1" s="1"/>
  <c r="D3841" i="1"/>
  <c r="E3841" i="1" s="1"/>
  <c r="D3842" i="1"/>
  <c r="E3842" i="1" s="1"/>
  <c r="D3843" i="1"/>
  <c r="E3843" i="1" s="1"/>
  <c r="D3844" i="1"/>
  <c r="E3844" i="1" s="1"/>
  <c r="D3845" i="1"/>
  <c r="E3845" i="1" s="1"/>
  <c r="D3846" i="1"/>
  <c r="E3846" i="1" s="1"/>
  <c r="D3847" i="1"/>
  <c r="E3847" i="1" s="1"/>
  <c r="D3848" i="1"/>
  <c r="E3848" i="1" s="1"/>
  <c r="D3849" i="1"/>
  <c r="E3849" i="1" s="1"/>
  <c r="D3850" i="1"/>
  <c r="E3850" i="1" s="1"/>
  <c r="D3851" i="1"/>
  <c r="E3851" i="1" s="1"/>
  <c r="D3852" i="1"/>
  <c r="E3852" i="1" s="1"/>
  <c r="D3853" i="1"/>
  <c r="E3853" i="1" s="1"/>
  <c r="D3854" i="1"/>
  <c r="E3854" i="1" s="1"/>
  <c r="D3855" i="1"/>
  <c r="E3855" i="1" s="1"/>
  <c r="D3856" i="1"/>
  <c r="E3856" i="1" s="1"/>
  <c r="D3857" i="1"/>
  <c r="E3857" i="1" s="1"/>
  <c r="D3858" i="1"/>
  <c r="E3858" i="1" s="1"/>
  <c r="D3859" i="1"/>
  <c r="E3859" i="1" s="1"/>
  <c r="D3860" i="1"/>
  <c r="E3860" i="1" s="1"/>
  <c r="D3861" i="1"/>
  <c r="E3861" i="1" s="1"/>
  <c r="D3862" i="1"/>
  <c r="E3862" i="1" s="1"/>
  <c r="D3863" i="1"/>
  <c r="E3863" i="1" s="1"/>
  <c r="D3864" i="1"/>
  <c r="E3864" i="1" s="1"/>
  <c r="D3865" i="1"/>
  <c r="E3865" i="1" s="1"/>
  <c r="D3866" i="1"/>
  <c r="E3866" i="1" s="1"/>
  <c r="D3867" i="1"/>
  <c r="E3867" i="1" s="1"/>
  <c r="D3868" i="1"/>
  <c r="E3868" i="1" s="1"/>
  <c r="D3869" i="1"/>
  <c r="E3869" i="1" s="1"/>
  <c r="D3870" i="1"/>
  <c r="E3870" i="1" s="1"/>
  <c r="D3871" i="1"/>
  <c r="E3871" i="1" s="1"/>
  <c r="D3872" i="1"/>
  <c r="E3872" i="1" s="1"/>
  <c r="D3873" i="1"/>
  <c r="E3873" i="1" s="1"/>
  <c r="D3874" i="1"/>
  <c r="E3874" i="1" s="1"/>
  <c r="D3875" i="1"/>
  <c r="E3875" i="1" s="1"/>
  <c r="D3876" i="1"/>
  <c r="E3876" i="1" s="1"/>
  <c r="D3877" i="1"/>
  <c r="E3877" i="1" s="1"/>
  <c r="D3878" i="1"/>
  <c r="E3878" i="1" s="1"/>
  <c r="D3879" i="1"/>
  <c r="E3879" i="1" s="1"/>
  <c r="D3880" i="1"/>
  <c r="E3880" i="1" s="1"/>
  <c r="D3881" i="1"/>
  <c r="E3881" i="1" s="1"/>
  <c r="D3882" i="1"/>
  <c r="E3882" i="1" s="1"/>
  <c r="D3883" i="1"/>
  <c r="E3883" i="1" s="1"/>
  <c r="D3884" i="1"/>
  <c r="E3884" i="1" s="1"/>
  <c r="D3885" i="1"/>
  <c r="E3885" i="1" s="1"/>
  <c r="D3886" i="1"/>
  <c r="E3886" i="1" s="1"/>
  <c r="D3887" i="1"/>
  <c r="E3887" i="1" s="1"/>
  <c r="D3888" i="1"/>
  <c r="E3888" i="1" s="1"/>
  <c r="D3889" i="1"/>
  <c r="E3889" i="1" s="1"/>
  <c r="D3890" i="1"/>
  <c r="E3890" i="1" s="1"/>
  <c r="D3891" i="1"/>
  <c r="E3891" i="1" s="1"/>
  <c r="D3892" i="1"/>
  <c r="E3892" i="1" s="1"/>
  <c r="D3893" i="1"/>
  <c r="E3893" i="1" s="1"/>
  <c r="D3894" i="1"/>
  <c r="E3894" i="1" s="1"/>
  <c r="D3895" i="1"/>
  <c r="E3895" i="1" s="1"/>
  <c r="D3896" i="1"/>
  <c r="E3896" i="1" s="1"/>
  <c r="D3897" i="1"/>
  <c r="E3897" i="1" s="1"/>
  <c r="D3898" i="1"/>
  <c r="E3898" i="1" s="1"/>
  <c r="D3899" i="1"/>
  <c r="E3899" i="1" s="1"/>
  <c r="D3900" i="1"/>
  <c r="D3901" i="1"/>
  <c r="E3901" i="1" s="1"/>
  <c r="D3902" i="1"/>
  <c r="E3902" i="1" s="1"/>
  <c r="D3903" i="1"/>
  <c r="E3903" i="1" s="1"/>
  <c r="D3904" i="1"/>
  <c r="E3904" i="1" s="1"/>
  <c r="D3905" i="1"/>
  <c r="E3905" i="1" s="1"/>
  <c r="D3906" i="1"/>
  <c r="E3906" i="1" s="1"/>
  <c r="D3907" i="1"/>
  <c r="E3907" i="1" s="1"/>
  <c r="D3908" i="1"/>
  <c r="E3908" i="1" s="1"/>
  <c r="D3909" i="1"/>
  <c r="E3909" i="1" s="1"/>
  <c r="D3910" i="1"/>
  <c r="E3910" i="1" s="1"/>
  <c r="D3911" i="1"/>
  <c r="E3911" i="1" s="1"/>
  <c r="D3912" i="1"/>
  <c r="D3913" i="1"/>
  <c r="D3914" i="1"/>
  <c r="E3914" i="1" s="1"/>
  <c r="D3915" i="1"/>
  <c r="E3915" i="1" s="1"/>
  <c r="D3916" i="1"/>
  <c r="E3916" i="1" s="1"/>
  <c r="D3917" i="1"/>
  <c r="E3917" i="1" s="1"/>
  <c r="D3918" i="1"/>
  <c r="E3918" i="1" s="1"/>
  <c r="D3919" i="1"/>
  <c r="E3919" i="1" s="1"/>
  <c r="D3920" i="1"/>
  <c r="E3920" i="1" s="1"/>
  <c r="D3921" i="1"/>
  <c r="E3921" i="1" s="1"/>
  <c r="D3922" i="1"/>
  <c r="E3922" i="1" s="1"/>
  <c r="D3923" i="1"/>
  <c r="E3923" i="1" s="1"/>
  <c r="D3924" i="1"/>
  <c r="E3924" i="1" s="1"/>
  <c r="D3925" i="1"/>
  <c r="E3925" i="1" s="1"/>
  <c r="D3926" i="1"/>
  <c r="E3926" i="1" s="1"/>
  <c r="D3927" i="1"/>
  <c r="E3927" i="1" s="1"/>
  <c r="D3928" i="1"/>
  <c r="E3928" i="1" s="1"/>
  <c r="D3929" i="1"/>
  <c r="E3929" i="1" s="1"/>
  <c r="D3930" i="1"/>
  <c r="E3930" i="1" s="1"/>
  <c r="D3931" i="1"/>
  <c r="E3931" i="1" s="1"/>
  <c r="D3932" i="1"/>
  <c r="E3932" i="1" s="1"/>
  <c r="D3933" i="1"/>
  <c r="E3933" i="1" s="1"/>
  <c r="D3934" i="1"/>
  <c r="E3934" i="1" s="1"/>
  <c r="D3935" i="1"/>
  <c r="E3935" i="1" s="1"/>
  <c r="D3936" i="1"/>
  <c r="E3936" i="1" s="1"/>
  <c r="D3937" i="1"/>
  <c r="E3937" i="1" s="1"/>
  <c r="D3938" i="1"/>
  <c r="E3938" i="1" s="1"/>
  <c r="D3939" i="1"/>
  <c r="E3939" i="1" s="1"/>
  <c r="D3940" i="1"/>
  <c r="D3941" i="1"/>
  <c r="E3941" i="1" s="1"/>
  <c r="D3942" i="1"/>
  <c r="E3942" i="1" s="1"/>
  <c r="D3943" i="1"/>
  <c r="E3943" i="1" s="1"/>
  <c r="D3944" i="1"/>
  <c r="E3944" i="1" s="1"/>
  <c r="D3945" i="1"/>
  <c r="E3945" i="1" s="1"/>
  <c r="D3946" i="1"/>
  <c r="E3946" i="1" s="1"/>
  <c r="D3947" i="1"/>
  <c r="E3947" i="1" s="1"/>
  <c r="D3948" i="1"/>
  <c r="E3948" i="1" s="1"/>
  <c r="D3949" i="1"/>
  <c r="E3949" i="1" s="1"/>
  <c r="D3950" i="1"/>
  <c r="E3950" i="1" s="1"/>
  <c r="D3951" i="1"/>
  <c r="E3951" i="1" s="1"/>
  <c r="D3952" i="1"/>
  <c r="D3953" i="1"/>
  <c r="E3953" i="1" s="1"/>
  <c r="D3954" i="1"/>
  <c r="E3954" i="1" s="1"/>
  <c r="D3955" i="1"/>
  <c r="E3955" i="1" s="1"/>
  <c r="D3956" i="1"/>
  <c r="E3956" i="1" s="1"/>
  <c r="D3957" i="1"/>
  <c r="E3957" i="1" s="1"/>
  <c r="D3958" i="1"/>
  <c r="E3958" i="1" s="1"/>
  <c r="D3959" i="1"/>
  <c r="E3959" i="1" s="1"/>
  <c r="D3960" i="1"/>
  <c r="D3961" i="1"/>
  <c r="E3961" i="1" s="1"/>
  <c r="D3962" i="1"/>
  <c r="E3962" i="1" s="1"/>
  <c r="D3963" i="1"/>
  <c r="E3963" i="1" s="1"/>
  <c r="D3964" i="1"/>
  <c r="E3964" i="1" s="1"/>
  <c r="D3965" i="1"/>
  <c r="E3965" i="1" s="1"/>
  <c r="D3966" i="1"/>
  <c r="E3966" i="1" s="1"/>
  <c r="D3967" i="1"/>
  <c r="E3967" i="1" s="1"/>
  <c r="D3968" i="1"/>
  <c r="E3968" i="1" s="1"/>
  <c r="D3969" i="1"/>
  <c r="E3969" i="1" s="1"/>
  <c r="D3970" i="1"/>
  <c r="E3970" i="1" s="1"/>
  <c r="D3971" i="1"/>
  <c r="E3971" i="1" s="1"/>
  <c r="D3972" i="1"/>
  <c r="D3973" i="1"/>
  <c r="E3973" i="1" s="1"/>
  <c r="D3974" i="1"/>
  <c r="E3974" i="1" s="1"/>
  <c r="D3975" i="1"/>
  <c r="E3975" i="1" s="1"/>
  <c r="D3976" i="1"/>
  <c r="E3976" i="1" s="1"/>
  <c r="D3977" i="1"/>
  <c r="E3977" i="1" s="1"/>
  <c r="D3978" i="1"/>
  <c r="E3978" i="1" s="1"/>
  <c r="D3979" i="1"/>
  <c r="E3979" i="1" s="1"/>
  <c r="D3980" i="1"/>
  <c r="E3980" i="1" s="1"/>
  <c r="D3981" i="1"/>
  <c r="E3981" i="1" s="1"/>
  <c r="D3982" i="1"/>
  <c r="E3982" i="1" s="1"/>
  <c r="D3983" i="1"/>
  <c r="E3983" i="1" s="1"/>
  <c r="D3984" i="1"/>
  <c r="E3984" i="1" s="1"/>
  <c r="D3985" i="1"/>
  <c r="E3985" i="1" s="1"/>
  <c r="D3986" i="1"/>
  <c r="E3986" i="1" s="1"/>
  <c r="D3987" i="1"/>
  <c r="E3987" i="1" s="1"/>
  <c r="D3988" i="1"/>
  <c r="E3988" i="1" s="1"/>
  <c r="D3989" i="1"/>
  <c r="E3989" i="1" s="1"/>
  <c r="D3990" i="1"/>
  <c r="E3990" i="1" s="1"/>
  <c r="D3991" i="1"/>
  <c r="E3991" i="1" s="1"/>
  <c r="D3992" i="1"/>
  <c r="E3992" i="1" s="1"/>
  <c r="D3993" i="1"/>
  <c r="E3993" i="1" s="1"/>
  <c r="D3994" i="1"/>
  <c r="E3994" i="1" s="1"/>
  <c r="D3995" i="1"/>
  <c r="E3995" i="1" s="1"/>
  <c r="D3996" i="1"/>
  <c r="E3996" i="1" s="1"/>
  <c r="D3997" i="1"/>
  <c r="E3997" i="1" s="1"/>
  <c r="D3998" i="1"/>
  <c r="E3998" i="1" s="1"/>
  <c r="D3999" i="1"/>
  <c r="E3999" i="1" s="1"/>
  <c r="D4000" i="1"/>
  <c r="D4001" i="1"/>
  <c r="E4001" i="1" s="1"/>
  <c r="D4002" i="1"/>
  <c r="E4002" i="1" s="1"/>
  <c r="D4003" i="1"/>
  <c r="E4003" i="1" s="1"/>
  <c r="D4004" i="1"/>
  <c r="E4004" i="1" s="1"/>
  <c r="D4005" i="1"/>
  <c r="E4005" i="1" s="1"/>
  <c r="D4006" i="1"/>
  <c r="E4006" i="1" s="1"/>
  <c r="D4007" i="1"/>
  <c r="E4007" i="1" s="1"/>
  <c r="D4008" i="1"/>
  <c r="E4008" i="1" s="1"/>
  <c r="D4009" i="1"/>
  <c r="E4009" i="1" s="1"/>
  <c r="D4010" i="1"/>
  <c r="E4010" i="1" s="1"/>
  <c r="D4011" i="1"/>
  <c r="E4011" i="1" s="1"/>
  <c r="D4012" i="1"/>
  <c r="E4012" i="1" s="1"/>
  <c r="D4013" i="1"/>
  <c r="E4013" i="1" s="1"/>
  <c r="D4014" i="1"/>
  <c r="E4014" i="1" s="1"/>
  <c r="D4015" i="1"/>
  <c r="E4015" i="1" s="1"/>
  <c r="D4016" i="1"/>
  <c r="E4016" i="1" s="1"/>
  <c r="D4017" i="1"/>
  <c r="E4017" i="1" s="1"/>
  <c r="D4018" i="1"/>
  <c r="E4018" i="1" s="1"/>
  <c r="D4019" i="1"/>
  <c r="E4019" i="1" s="1"/>
  <c r="D4020" i="1"/>
  <c r="D4021" i="1"/>
  <c r="E4021" i="1" s="1"/>
  <c r="D4022" i="1"/>
  <c r="E4022" i="1" s="1"/>
  <c r="D4023" i="1"/>
  <c r="E4023" i="1" s="1"/>
  <c r="D4024" i="1"/>
  <c r="E4024" i="1" s="1"/>
  <c r="D4025" i="1"/>
  <c r="E4025" i="1" s="1"/>
  <c r="D4026" i="1"/>
  <c r="E4026" i="1" s="1"/>
  <c r="D4027" i="1"/>
  <c r="E4027" i="1" s="1"/>
  <c r="D4028" i="1"/>
  <c r="E4028" i="1" s="1"/>
  <c r="D4029" i="1"/>
  <c r="E4029" i="1" s="1"/>
  <c r="D4030" i="1"/>
  <c r="E4030" i="1" s="1"/>
  <c r="D4031" i="1"/>
  <c r="E4031" i="1" s="1"/>
  <c r="D4032" i="1"/>
  <c r="D4033" i="1"/>
  <c r="E4033" i="1" s="1"/>
  <c r="D4034" i="1"/>
  <c r="E4034" i="1" s="1"/>
  <c r="D4035" i="1"/>
  <c r="E4035" i="1" s="1"/>
  <c r="D4036" i="1"/>
  <c r="E4036" i="1" s="1"/>
  <c r="D4037" i="1"/>
  <c r="E4037" i="1" s="1"/>
  <c r="D4038" i="1"/>
  <c r="E4038" i="1" s="1"/>
  <c r="D4039" i="1"/>
  <c r="E4039" i="1" s="1"/>
  <c r="D4040" i="1"/>
  <c r="E4040" i="1" s="1"/>
  <c r="D4041" i="1"/>
  <c r="E4041" i="1" s="1"/>
  <c r="D4042" i="1"/>
  <c r="E4042" i="1" s="1"/>
  <c r="D4043" i="1"/>
  <c r="E4043" i="1" s="1"/>
  <c r="D4044" i="1"/>
  <c r="E4044" i="1" s="1"/>
  <c r="D4045" i="1"/>
  <c r="E4045" i="1" s="1"/>
  <c r="D4046" i="1"/>
  <c r="E4046" i="1" s="1"/>
  <c r="D4047" i="1"/>
  <c r="E4047" i="1" s="1"/>
  <c r="D4048" i="1"/>
  <c r="E4048" i="1" s="1"/>
  <c r="D4049" i="1"/>
  <c r="E4049" i="1" s="1"/>
  <c r="D4050" i="1"/>
  <c r="E4050" i="1" s="1"/>
  <c r="D4051" i="1"/>
  <c r="E4051" i="1" s="1"/>
  <c r="D4052" i="1"/>
  <c r="E4052" i="1" s="1"/>
  <c r="D4053" i="1"/>
  <c r="E4053" i="1" s="1"/>
  <c r="D4054" i="1"/>
  <c r="E4054" i="1" s="1"/>
  <c r="D4055" i="1"/>
  <c r="E4055" i="1" s="1"/>
  <c r="D4056" i="1"/>
  <c r="E4056" i="1" s="1"/>
  <c r="D4057" i="1"/>
  <c r="E4057" i="1" s="1"/>
  <c r="D4058" i="1"/>
  <c r="E4058" i="1" s="1"/>
  <c r="D4059" i="1"/>
  <c r="E4059" i="1" s="1"/>
  <c r="D4060" i="1"/>
  <c r="D4061" i="1"/>
  <c r="D4062" i="1"/>
  <c r="E4062" i="1" s="1"/>
  <c r="D4063" i="1"/>
  <c r="E4063" i="1" s="1"/>
  <c r="D4064" i="1"/>
  <c r="E4064" i="1" s="1"/>
  <c r="D4065" i="1"/>
  <c r="E4065" i="1" s="1"/>
  <c r="D4066" i="1"/>
  <c r="E4066" i="1" s="1"/>
  <c r="D4067" i="1"/>
  <c r="E4067" i="1" s="1"/>
  <c r="D4068" i="1"/>
  <c r="E4068" i="1" s="1"/>
  <c r="D4069" i="1"/>
  <c r="E4069" i="1" s="1"/>
  <c r="D4070" i="1"/>
  <c r="E4070" i="1" s="1"/>
  <c r="D4071" i="1"/>
  <c r="E4071" i="1" s="1"/>
  <c r="D4072" i="1"/>
  <c r="E4072" i="1" s="1"/>
  <c r="D4073" i="1"/>
  <c r="E4073" i="1" s="1"/>
  <c r="D4074" i="1"/>
  <c r="E4074" i="1" s="1"/>
  <c r="D4075" i="1"/>
  <c r="E4075" i="1" s="1"/>
  <c r="D4076" i="1"/>
  <c r="E4076" i="1" s="1"/>
  <c r="D4077" i="1"/>
  <c r="E4077" i="1" s="1"/>
  <c r="D4078" i="1"/>
  <c r="E4078" i="1" s="1"/>
  <c r="D4079" i="1"/>
  <c r="E4079" i="1" s="1"/>
  <c r="D4080" i="1"/>
  <c r="E4080" i="1" s="1"/>
  <c r="D4081" i="1"/>
  <c r="E4081" i="1" s="1"/>
  <c r="D4082" i="1"/>
  <c r="E4082" i="1" s="1"/>
  <c r="D4083" i="1"/>
  <c r="E4083" i="1" s="1"/>
  <c r="D4084" i="1"/>
  <c r="E4084" i="1" s="1"/>
  <c r="D4085" i="1"/>
  <c r="E4085" i="1" s="1"/>
  <c r="D4086" i="1"/>
  <c r="E4086" i="1" s="1"/>
  <c r="D4087" i="1"/>
  <c r="E4087" i="1" s="1"/>
  <c r="D4088" i="1"/>
  <c r="E4088" i="1" s="1"/>
  <c r="D4089" i="1"/>
  <c r="E4089" i="1" s="1"/>
  <c r="D4090" i="1"/>
  <c r="E4090" i="1" s="1"/>
  <c r="D4091" i="1"/>
  <c r="E4091" i="1" s="1"/>
  <c r="D4092" i="1"/>
  <c r="D4093" i="1"/>
  <c r="E4093" i="1" s="1"/>
  <c r="D4094" i="1"/>
  <c r="E4094" i="1" s="1"/>
  <c r="D4095" i="1"/>
  <c r="E4095" i="1" s="1"/>
  <c r="D4096" i="1"/>
  <c r="E4096" i="1" s="1"/>
  <c r="D4097" i="1"/>
  <c r="E4097" i="1" s="1"/>
  <c r="D4098" i="1"/>
  <c r="E4098" i="1" s="1"/>
  <c r="D4099" i="1"/>
  <c r="E4099" i="1" s="1"/>
  <c r="D4100" i="1"/>
  <c r="E4100" i="1" s="1"/>
  <c r="D4101" i="1"/>
  <c r="E4101" i="1" s="1"/>
  <c r="D4102" i="1"/>
  <c r="E4102" i="1" s="1"/>
  <c r="D4103" i="1"/>
  <c r="E4103" i="1" s="1"/>
  <c r="D4104" i="1"/>
  <c r="E4104" i="1" s="1"/>
  <c r="D4105" i="1"/>
  <c r="E4105" i="1" s="1"/>
  <c r="D4106" i="1"/>
  <c r="E4106" i="1" s="1"/>
  <c r="D4107" i="1"/>
  <c r="E4107" i="1" s="1"/>
  <c r="D4108" i="1"/>
  <c r="E4108" i="1" s="1"/>
  <c r="D4109" i="1"/>
  <c r="E4109" i="1" s="1"/>
  <c r="D4110" i="1"/>
  <c r="E4110" i="1" s="1"/>
  <c r="D4111" i="1"/>
  <c r="E4111" i="1" s="1"/>
  <c r="D4112" i="1"/>
  <c r="E4112" i="1" s="1"/>
  <c r="D4113" i="1"/>
  <c r="E4113" i="1" s="1"/>
  <c r="D4114" i="1"/>
  <c r="E4114" i="1" s="1"/>
  <c r="D4115" i="1"/>
  <c r="E4115" i="1" s="1"/>
  <c r="D4116" i="1"/>
  <c r="E4116" i="1" s="1"/>
  <c r="D4117" i="1"/>
  <c r="E4117" i="1" s="1"/>
  <c r="D4118" i="1"/>
  <c r="E4118" i="1" s="1"/>
  <c r="D4119" i="1"/>
  <c r="E4119" i="1" s="1"/>
  <c r="D4120" i="1"/>
  <c r="D4121" i="1"/>
  <c r="E4121" i="1" s="1"/>
  <c r="D4122" i="1"/>
  <c r="E4122" i="1" s="1"/>
  <c r="D4123" i="1"/>
  <c r="E4123" i="1" s="1"/>
  <c r="D4124" i="1"/>
  <c r="E4124" i="1" s="1"/>
  <c r="D4125" i="1"/>
  <c r="E4125" i="1" s="1"/>
  <c r="D4126" i="1"/>
  <c r="E4126" i="1" s="1"/>
  <c r="D4127" i="1"/>
  <c r="E4127" i="1" s="1"/>
  <c r="D4128" i="1"/>
  <c r="E4128" i="1" s="1"/>
  <c r="D4129" i="1"/>
  <c r="E4129" i="1" s="1"/>
  <c r="D4130" i="1"/>
  <c r="E4130" i="1" s="1"/>
  <c r="D4131" i="1"/>
  <c r="E4131" i="1" s="1"/>
  <c r="D4132" i="1"/>
  <c r="D4133" i="1"/>
  <c r="E4133" i="1" s="1"/>
  <c r="D4134" i="1"/>
  <c r="E4134" i="1" s="1"/>
  <c r="D4135" i="1"/>
  <c r="E4135" i="1" s="1"/>
  <c r="D4136" i="1"/>
  <c r="E4136" i="1" s="1"/>
  <c r="D4137" i="1"/>
  <c r="E4137" i="1" s="1"/>
  <c r="D4138" i="1"/>
  <c r="E4138" i="1" s="1"/>
  <c r="D4139" i="1"/>
  <c r="E4139" i="1" s="1"/>
  <c r="D4140" i="1"/>
  <c r="E4140" i="1" s="1"/>
  <c r="D4141" i="1"/>
  <c r="E4141" i="1" s="1"/>
  <c r="D4142" i="1"/>
  <c r="E4142" i="1" s="1"/>
  <c r="D4143" i="1"/>
  <c r="E4143" i="1" s="1"/>
  <c r="D4144" i="1"/>
  <c r="E4144" i="1" s="1"/>
  <c r="D4145" i="1"/>
  <c r="E4145" i="1" s="1"/>
  <c r="D4146" i="1"/>
  <c r="E4146" i="1" s="1"/>
  <c r="D4147" i="1"/>
  <c r="E4147" i="1" s="1"/>
  <c r="D4148" i="1"/>
  <c r="E4148" i="1" s="1"/>
  <c r="D4149" i="1"/>
  <c r="E4149" i="1" s="1"/>
  <c r="D4150" i="1"/>
  <c r="E4150" i="1" s="1"/>
  <c r="D4151" i="1"/>
  <c r="E4151" i="1" s="1"/>
  <c r="D4152" i="1"/>
  <c r="D4153" i="1"/>
  <c r="E4153" i="1" s="1"/>
  <c r="D4154" i="1"/>
  <c r="E4154" i="1" s="1"/>
  <c r="D4155" i="1"/>
  <c r="E4155" i="1" s="1"/>
  <c r="D4156" i="1"/>
  <c r="E4156" i="1" s="1"/>
  <c r="D4157" i="1"/>
  <c r="E4157" i="1" s="1"/>
  <c r="D4158" i="1"/>
  <c r="E4158" i="1" s="1"/>
  <c r="D4159" i="1"/>
  <c r="E4159" i="1" s="1"/>
  <c r="D4160" i="1"/>
  <c r="E4160" i="1" s="1"/>
  <c r="D4161" i="1"/>
  <c r="E4161" i="1" s="1"/>
  <c r="D4162" i="1"/>
  <c r="E4162" i="1" s="1"/>
  <c r="D4163" i="1"/>
  <c r="E4163" i="1" s="1"/>
  <c r="D4164" i="1"/>
  <c r="E4164" i="1" s="1"/>
  <c r="D4165" i="1"/>
  <c r="E4165" i="1" s="1"/>
  <c r="D4166" i="1"/>
  <c r="E4166" i="1" s="1"/>
  <c r="D4167" i="1"/>
  <c r="E4167" i="1" s="1"/>
  <c r="D4168" i="1"/>
  <c r="E4168" i="1" s="1"/>
  <c r="D4169" i="1"/>
  <c r="E4169" i="1" s="1"/>
  <c r="D4170" i="1"/>
  <c r="E4170" i="1" s="1"/>
  <c r="D4171" i="1"/>
  <c r="E4171" i="1" s="1"/>
  <c r="D4172" i="1"/>
  <c r="E4172" i="1" s="1"/>
  <c r="D4173" i="1"/>
  <c r="E4173" i="1" s="1"/>
  <c r="D4174" i="1"/>
  <c r="E4174" i="1" s="1"/>
  <c r="D4175" i="1"/>
  <c r="E4175" i="1" s="1"/>
  <c r="D4176" i="1"/>
  <c r="E4176" i="1" s="1"/>
  <c r="D4177" i="1"/>
  <c r="E4177" i="1" s="1"/>
  <c r="D4178" i="1"/>
  <c r="E4178" i="1" s="1"/>
  <c r="D4179" i="1"/>
  <c r="E4179" i="1" s="1"/>
  <c r="D4180" i="1"/>
  <c r="E4180" i="1" s="1"/>
  <c r="D4181" i="1"/>
  <c r="E4181" i="1" s="1"/>
  <c r="D4182" i="1"/>
  <c r="E4182" i="1" s="1"/>
  <c r="D4183" i="1"/>
  <c r="E4183" i="1" s="1"/>
  <c r="D4184" i="1"/>
  <c r="E4184" i="1" s="1"/>
  <c r="D4185" i="1"/>
  <c r="E4185" i="1" s="1"/>
  <c r="D4186" i="1"/>
  <c r="E4186" i="1" s="1"/>
  <c r="D4187" i="1"/>
  <c r="E4187" i="1" s="1"/>
  <c r="D4188" i="1"/>
  <c r="E4188" i="1" s="1"/>
  <c r="D4189" i="1"/>
  <c r="E4189" i="1" s="1"/>
  <c r="D4190" i="1"/>
  <c r="E4190" i="1" s="1"/>
  <c r="D4191" i="1"/>
  <c r="E4191" i="1" s="1"/>
  <c r="D4192" i="1"/>
  <c r="D4193" i="1"/>
  <c r="E4193" i="1" s="1"/>
  <c r="D4194" i="1"/>
  <c r="E4194" i="1" s="1"/>
  <c r="D4195" i="1"/>
  <c r="E4195" i="1" s="1"/>
  <c r="D4196" i="1"/>
  <c r="E4196" i="1" s="1"/>
  <c r="D4197" i="1"/>
  <c r="E4197" i="1" s="1"/>
  <c r="D4198" i="1"/>
  <c r="E4198" i="1" s="1"/>
  <c r="D4199" i="1"/>
  <c r="E4199" i="1" s="1"/>
  <c r="D4200" i="1"/>
  <c r="E4200" i="1" s="1"/>
  <c r="D4201" i="1"/>
  <c r="E4201" i="1" s="1"/>
  <c r="D4202" i="1"/>
  <c r="E4202" i="1" s="1"/>
  <c r="D4203" i="1"/>
  <c r="E4203" i="1" s="1"/>
  <c r="D4204" i="1"/>
  <c r="E4204" i="1" s="1"/>
  <c r="D4205" i="1"/>
  <c r="E4205" i="1" s="1"/>
  <c r="D4206" i="1"/>
  <c r="E4206" i="1" s="1"/>
  <c r="D4207" i="1"/>
  <c r="E4207" i="1" s="1"/>
  <c r="D4208" i="1"/>
  <c r="E4208" i="1" s="1"/>
  <c r="D4209" i="1"/>
  <c r="E4209" i="1" s="1"/>
  <c r="D4210" i="1"/>
  <c r="E4210" i="1" s="1"/>
  <c r="D4211" i="1"/>
  <c r="E4211" i="1" s="1"/>
  <c r="D4212" i="1"/>
  <c r="E4212" i="1" s="1"/>
  <c r="D4213" i="1"/>
  <c r="E4213" i="1" s="1"/>
  <c r="D4214" i="1"/>
  <c r="E4214" i="1" s="1"/>
  <c r="D4215" i="1"/>
  <c r="E4215" i="1" s="1"/>
  <c r="D4216" i="1"/>
  <c r="E4216" i="1" s="1"/>
  <c r="D4217" i="1"/>
  <c r="E4217" i="1" s="1"/>
  <c r="D4218" i="1"/>
  <c r="E4218" i="1" s="1"/>
  <c r="D4219" i="1"/>
  <c r="E4219" i="1" s="1"/>
  <c r="D4220" i="1"/>
  <c r="E4220" i="1" s="1"/>
  <c r="D4221" i="1"/>
  <c r="E4221" i="1" s="1"/>
  <c r="D4222" i="1"/>
  <c r="E4222" i="1" s="1"/>
  <c r="D4223" i="1"/>
  <c r="E4223" i="1" s="1"/>
  <c r="D4224" i="1"/>
  <c r="E4224" i="1" s="1"/>
  <c r="D4225" i="1"/>
  <c r="E4225" i="1" s="1"/>
  <c r="D4226" i="1"/>
  <c r="E4226" i="1" s="1"/>
  <c r="D4227" i="1"/>
  <c r="E4227" i="1" s="1"/>
  <c r="D4228" i="1"/>
  <c r="E4228" i="1" s="1"/>
  <c r="D4229" i="1"/>
  <c r="E4229" i="1" s="1"/>
  <c r="D4230" i="1"/>
  <c r="E4230" i="1" s="1"/>
  <c r="D4231" i="1"/>
  <c r="E4231" i="1" s="1"/>
  <c r="D4232" i="1"/>
  <c r="E4232" i="1" s="1"/>
  <c r="D4233" i="1"/>
  <c r="E4233" i="1" s="1"/>
  <c r="D4234" i="1"/>
  <c r="E4234" i="1" s="1"/>
  <c r="D4235" i="1"/>
  <c r="E4235" i="1" s="1"/>
  <c r="D4236" i="1"/>
  <c r="E4236" i="1" s="1"/>
  <c r="D4237" i="1"/>
  <c r="E4237" i="1" s="1"/>
  <c r="D4238" i="1"/>
  <c r="E4238" i="1" s="1"/>
  <c r="D4239" i="1"/>
  <c r="E4239" i="1" s="1"/>
  <c r="D4240" i="1"/>
  <c r="E4240" i="1" s="1"/>
  <c r="D4241" i="1"/>
  <c r="E4241" i="1" s="1"/>
  <c r="D4242" i="1"/>
  <c r="E4242" i="1" s="1"/>
  <c r="D4243" i="1"/>
  <c r="E4243" i="1" s="1"/>
  <c r="D4244" i="1"/>
  <c r="E4244" i="1" s="1"/>
  <c r="D4245" i="1"/>
  <c r="E4245" i="1" s="1"/>
  <c r="D4246" i="1"/>
  <c r="E4246" i="1" s="1"/>
  <c r="D4247" i="1"/>
  <c r="E4247" i="1" s="1"/>
  <c r="D4248" i="1"/>
  <c r="E4248" i="1" s="1"/>
  <c r="D4249" i="1"/>
  <c r="E4249" i="1" s="1"/>
  <c r="D4250" i="1"/>
  <c r="E4250" i="1" s="1"/>
  <c r="D4251" i="1"/>
  <c r="E4251" i="1" s="1"/>
  <c r="D4252" i="1"/>
  <c r="D4253" i="1"/>
  <c r="E4253" i="1" s="1"/>
  <c r="D4254" i="1"/>
  <c r="E4254" i="1" s="1"/>
  <c r="D4255" i="1"/>
  <c r="E4255" i="1" s="1"/>
  <c r="D4256" i="1"/>
  <c r="E4256" i="1" s="1"/>
  <c r="D4257" i="1"/>
  <c r="E4257" i="1" s="1"/>
  <c r="D4258" i="1"/>
  <c r="E4258" i="1" s="1"/>
  <c r="D4259" i="1"/>
  <c r="E4259" i="1" s="1"/>
  <c r="D4260" i="1"/>
  <c r="D4261" i="1"/>
  <c r="E4261" i="1" s="1"/>
  <c r="D4262" i="1"/>
  <c r="E4262" i="1" s="1"/>
  <c r="D4263" i="1"/>
  <c r="E4263" i="1" s="1"/>
  <c r="D4264" i="1"/>
  <c r="E4264" i="1" s="1"/>
  <c r="D4265" i="1"/>
  <c r="E4265" i="1" s="1"/>
  <c r="D4266" i="1"/>
  <c r="E4266" i="1" s="1"/>
  <c r="D4267" i="1"/>
  <c r="E4267" i="1" s="1"/>
  <c r="D4268" i="1"/>
  <c r="E4268" i="1" s="1"/>
  <c r="D4269" i="1"/>
  <c r="E4269" i="1" s="1"/>
  <c r="D4270" i="1"/>
  <c r="E4270" i="1" s="1"/>
  <c r="D4271" i="1"/>
  <c r="E4271" i="1" s="1"/>
  <c r="D4272" i="1"/>
  <c r="D4273" i="1"/>
  <c r="E4273" i="1" s="1"/>
  <c r="D4274" i="1"/>
  <c r="E4274" i="1" s="1"/>
  <c r="D4275" i="1"/>
  <c r="E4275" i="1" s="1"/>
  <c r="D4276" i="1"/>
  <c r="E4276" i="1" s="1"/>
  <c r="D4277" i="1"/>
  <c r="E4277" i="1" s="1"/>
  <c r="D4278" i="1"/>
  <c r="E4278" i="1" s="1"/>
  <c r="D4279" i="1"/>
  <c r="E4279" i="1" s="1"/>
  <c r="D4280" i="1"/>
  <c r="E4280" i="1" s="1"/>
  <c r="D4281" i="1"/>
  <c r="E4281" i="1" s="1"/>
  <c r="D4282" i="1"/>
  <c r="E4282" i="1" s="1"/>
  <c r="D4283" i="1"/>
  <c r="E4283" i="1" s="1"/>
  <c r="D4284" i="1"/>
  <c r="E4284" i="1" s="1"/>
  <c r="D4285" i="1"/>
  <c r="E4285" i="1" s="1"/>
  <c r="D4286" i="1"/>
  <c r="E4286" i="1" s="1"/>
  <c r="D4287" i="1"/>
  <c r="E4287" i="1" s="1"/>
  <c r="D4288" i="1"/>
  <c r="E4288" i="1" s="1"/>
  <c r="D4289" i="1"/>
  <c r="E4289" i="1" s="1"/>
  <c r="D4290" i="1"/>
  <c r="E4290" i="1" s="1"/>
  <c r="D4291" i="1"/>
  <c r="E4291" i="1" s="1"/>
  <c r="D4292" i="1"/>
  <c r="E4292" i="1" s="1"/>
  <c r="D4293" i="1"/>
  <c r="E4293" i="1" s="1"/>
  <c r="D4294" i="1"/>
  <c r="E4294" i="1" s="1"/>
  <c r="D4295" i="1"/>
  <c r="E4295" i="1" s="1"/>
  <c r="D4296" i="1"/>
  <c r="E4296" i="1" s="1"/>
  <c r="D4297" i="1"/>
  <c r="E4297" i="1" s="1"/>
  <c r="D4298" i="1"/>
  <c r="E4298" i="1" s="1"/>
  <c r="D4299" i="1"/>
  <c r="E4299" i="1" s="1"/>
  <c r="D4300" i="1"/>
  <c r="E4300" i="1" s="1"/>
  <c r="D4301" i="1"/>
  <c r="E4301" i="1" s="1"/>
  <c r="D4302" i="1"/>
  <c r="E4302" i="1" s="1"/>
  <c r="D4303" i="1"/>
  <c r="E4303" i="1" s="1"/>
  <c r="D4304" i="1"/>
  <c r="E4304" i="1" s="1"/>
  <c r="D4305" i="1"/>
  <c r="E4305" i="1" s="1"/>
  <c r="D4306" i="1"/>
  <c r="E4306" i="1" s="1"/>
  <c r="D4307" i="1"/>
  <c r="E4307" i="1" s="1"/>
  <c r="D4308" i="1"/>
  <c r="E4308" i="1" s="1"/>
  <c r="D4309" i="1"/>
  <c r="E4309" i="1" s="1"/>
  <c r="D4310" i="1"/>
  <c r="E4310" i="1" s="1"/>
  <c r="D4311" i="1"/>
  <c r="E4311" i="1" s="1"/>
  <c r="D4312" i="1"/>
  <c r="E4312" i="1" s="1"/>
  <c r="D4313" i="1"/>
  <c r="E4313" i="1" s="1"/>
  <c r="D4314" i="1"/>
  <c r="E4314" i="1" s="1"/>
  <c r="D4315" i="1"/>
  <c r="E4315" i="1" s="1"/>
  <c r="D4316" i="1"/>
  <c r="E4316" i="1" s="1"/>
  <c r="D4317" i="1"/>
  <c r="E4317" i="1" s="1"/>
  <c r="D4318" i="1"/>
  <c r="E4318" i="1" s="1"/>
  <c r="D4319" i="1"/>
  <c r="E4319" i="1" s="1"/>
  <c r="D4320" i="1"/>
  <c r="E4320" i="1" s="1"/>
  <c r="D4321" i="1"/>
  <c r="E4321" i="1" s="1"/>
  <c r="D4322" i="1"/>
  <c r="E4322" i="1" s="1"/>
  <c r="D4323" i="1"/>
  <c r="E4323" i="1" s="1"/>
  <c r="D4324" i="1"/>
  <c r="E4324" i="1" s="1"/>
  <c r="D4325" i="1"/>
  <c r="E4325" i="1" s="1"/>
  <c r="D4326" i="1"/>
  <c r="E4326" i="1" s="1"/>
  <c r="D4327" i="1"/>
  <c r="E4327" i="1" s="1"/>
  <c r="D4328" i="1"/>
  <c r="E4328" i="1" s="1"/>
  <c r="D4329" i="1"/>
  <c r="E4329" i="1" s="1"/>
  <c r="D4330" i="1"/>
  <c r="E4330" i="1" s="1"/>
  <c r="D4331" i="1"/>
  <c r="E4331" i="1" s="1"/>
  <c r="D4332" i="1"/>
  <c r="D4333" i="1"/>
  <c r="E4333" i="1" s="1"/>
  <c r="D4334" i="1"/>
  <c r="E4334" i="1" s="1"/>
  <c r="D4335" i="1"/>
  <c r="E4335" i="1" s="1"/>
  <c r="D4336" i="1"/>
  <c r="E4336" i="1" s="1"/>
  <c r="D4337" i="1"/>
  <c r="E4337" i="1" s="1"/>
  <c r="D4338" i="1"/>
  <c r="E4338" i="1" s="1"/>
  <c r="D4339" i="1"/>
  <c r="E4339" i="1" s="1"/>
  <c r="D4340" i="1"/>
  <c r="E4340" i="1" s="1"/>
  <c r="D4341" i="1"/>
  <c r="E4341" i="1" s="1"/>
  <c r="D4342" i="1"/>
  <c r="E4342" i="1" s="1"/>
  <c r="D4343" i="1"/>
  <c r="E4343" i="1" s="1"/>
  <c r="D4344" i="1"/>
  <c r="E4344" i="1" s="1"/>
  <c r="D4345" i="1"/>
  <c r="E4345" i="1" s="1"/>
  <c r="D4346" i="1"/>
  <c r="E4346" i="1" s="1"/>
  <c r="D4347" i="1"/>
  <c r="E4347" i="1" s="1"/>
  <c r="D4348" i="1"/>
  <c r="E4348" i="1" s="1"/>
  <c r="D4349" i="1"/>
  <c r="E4349" i="1" s="1"/>
  <c r="D4350" i="1"/>
  <c r="E4350" i="1" s="1"/>
  <c r="D4351" i="1"/>
  <c r="E4351" i="1" s="1"/>
  <c r="D4352" i="1"/>
  <c r="E4352" i="1" s="1"/>
  <c r="D4353" i="1"/>
  <c r="E4353" i="1" s="1"/>
  <c r="D4354" i="1"/>
  <c r="E4354" i="1" s="1"/>
  <c r="D4355" i="1"/>
  <c r="E4355" i="1" s="1"/>
  <c r="D4356" i="1"/>
  <c r="E4356" i="1" s="1"/>
  <c r="D4357" i="1"/>
  <c r="E4357" i="1" s="1"/>
  <c r="D4358" i="1"/>
  <c r="E4358" i="1" s="1"/>
  <c r="D4359" i="1"/>
  <c r="E4359" i="1" s="1"/>
  <c r="D4360" i="1"/>
  <c r="E4360" i="1" s="1"/>
  <c r="D4361" i="1"/>
  <c r="E4361" i="1" s="1"/>
  <c r="D4362" i="1"/>
  <c r="E4362" i="1" s="1"/>
  <c r="D4363" i="1"/>
  <c r="E4363" i="1" s="1"/>
  <c r="D4364" i="1"/>
  <c r="E4364" i="1" s="1"/>
  <c r="D4365" i="1"/>
  <c r="E4365" i="1" s="1"/>
  <c r="D4366" i="1"/>
  <c r="E4366" i="1" s="1"/>
  <c r="D4367" i="1"/>
  <c r="E4367" i="1" s="1"/>
  <c r="D4368" i="1"/>
  <c r="E4368" i="1" s="1"/>
  <c r="D4369" i="1"/>
  <c r="E4369" i="1" s="1"/>
  <c r="D4370" i="1"/>
  <c r="E4370" i="1" s="1"/>
  <c r="D4371" i="1"/>
  <c r="E4371" i="1" s="1"/>
  <c r="D4372" i="1"/>
  <c r="D4373" i="1"/>
  <c r="E4373" i="1" s="1"/>
  <c r="D4374" i="1"/>
  <c r="E4374" i="1" s="1"/>
  <c r="D4375" i="1"/>
  <c r="E4375" i="1" s="1"/>
  <c r="D4376" i="1"/>
  <c r="E4376" i="1" s="1"/>
  <c r="D4377" i="1"/>
  <c r="E4377" i="1" s="1"/>
  <c r="D4378" i="1"/>
  <c r="E4378" i="1" s="1"/>
  <c r="D4379" i="1"/>
  <c r="E4379" i="1" s="1"/>
  <c r="D4380" i="1"/>
  <c r="D4381" i="1"/>
  <c r="E4381" i="1" s="1"/>
  <c r="D4382" i="1"/>
  <c r="E4382" i="1" s="1"/>
  <c r="D4383" i="1"/>
  <c r="E4383" i="1" s="1"/>
  <c r="D4384" i="1"/>
  <c r="E4384" i="1" s="1"/>
  <c r="D4385" i="1"/>
  <c r="E4385" i="1" s="1"/>
  <c r="D4386" i="1"/>
  <c r="E4386" i="1" s="1"/>
  <c r="D4387" i="1"/>
  <c r="E4387" i="1" s="1"/>
  <c r="D4388" i="1"/>
  <c r="E4388" i="1" s="1"/>
  <c r="D4389" i="1"/>
  <c r="E4389" i="1" s="1"/>
  <c r="D4390" i="1"/>
  <c r="E4390" i="1" s="1"/>
  <c r="D4391" i="1"/>
  <c r="E4391" i="1" s="1"/>
  <c r="D4392" i="1"/>
  <c r="D4393" i="1"/>
  <c r="E4393" i="1" s="1"/>
  <c r="D4394" i="1"/>
  <c r="E4394" i="1" s="1"/>
  <c r="D4395" i="1"/>
  <c r="E4395" i="1" s="1"/>
  <c r="D4396" i="1"/>
  <c r="E4396" i="1" s="1"/>
  <c r="D4397" i="1"/>
  <c r="E4397" i="1" s="1"/>
  <c r="D4398" i="1"/>
  <c r="E4398" i="1" s="1"/>
  <c r="D4399" i="1"/>
  <c r="E4399" i="1" s="1"/>
  <c r="D4400" i="1"/>
  <c r="E4400" i="1" s="1"/>
  <c r="D4401" i="1"/>
  <c r="E4401" i="1" s="1"/>
  <c r="D4402" i="1"/>
  <c r="E4402" i="1" s="1"/>
  <c r="D4403" i="1"/>
  <c r="E4403" i="1" s="1"/>
  <c r="D4404" i="1"/>
  <c r="E4404" i="1" s="1"/>
  <c r="D4405" i="1"/>
  <c r="E4405" i="1" s="1"/>
  <c r="D4406" i="1"/>
  <c r="E4406" i="1" s="1"/>
  <c r="D4407" i="1"/>
  <c r="E4407" i="1" s="1"/>
  <c r="D4408" i="1"/>
  <c r="E4408" i="1" s="1"/>
  <c r="D4409" i="1"/>
  <c r="E4409" i="1" s="1"/>
  <c r="D4410" i="1"/>
  <c r="E4410" i="1" s="1"/>
  <c r="D4411" i="1"/>
  <c r="E4411" i="1" s="1"/>
  <c r="D4412" i="1"/>
  <c r="E4412" i="1" s="1"/>
  <c r="D4413" i="1"/>
  <c r="E4413" i="1" s="1"/>
  <c r="D4414" i="1"/>
  <c r="E4414" i="1" s="1"/>
  <c r="D4415" i="1"/>
  <c r="E4415" i="1" s="1"/>
  <c r="D4416" i="1"/>
  <c r="E4416" i="1" s="1"/>
  <c r="D4417" i="1"/>
  <c r="E4417" i="1" s="1"/>
  <c r="D4418" i="1"/>
  <c r="E4418" i="1" s="1"/>
  <c r="D4419" i="1"/>
  <c r="E4419" i="1" s="1"/>
  <c r="D4420" i="1"/>
  <c r="D4421" i="1"/>
  <c r="E4421" i="1" s="1"/>
  <c r="D4422" i="1"/>
  <c r="E4422" i="1" s="1"/>
  <c r="D4423" i="1"/>
  <c r="E4423" i="1" s="1"/>
  <c r="D4424" i="1"/>
  <c r="E4424" i="1" s="1"/>
  <c r="D4425" i="1"/>
  <c r="E4425" i="1" s="1"/>
  <c r="D4426" i="1"/>
  <c r="E4426" i="1" s="1"/>
  <c r="D4427" i="1"/>
  <c r="E4427" i="1" s="1"/>
  <c r="D4428" i="1"/>
  <c r="E4428" i="1" s="1"/>
  <c r="D4429" i="1"/>
  <c r="E4429" i="1" s="1"/>
  <c r="D4430" i="1"/>
  <c r="E4430" i="1" s="1"/>
  <c r="D4431" i="1"/>
  <c r="E4431" i="1" s="1"/>
  <c r="D4432" i="1"/>
  <c r="E4432" i="1" s="1"/>
  <c r="D4433" i="1"/>
  <c r="E4433" i="1" s="1"/>
  <c r="D4434" i="1"/>
  <c r="E4434" i="1" s="1"/>
  <c r="D4435" i="1"/>
  <c r="E4435" i="1" s="1"/>
  <c r="D4436" i="1"/>
  <c r="E4436" i="1" s="1"/>
  <c r="D4437" i="1"/>
  <c r="E4437" i="1" s="1"/>
  <c r="D4438" i="1"/>
  <c r="E4438" i="1" s="1"/>
  <c r="D4439" i="1"/>
  <c r="E4439" i="1" s="1"/>
  <c r="D4440" i="1"/>
  <c r="D4441" i="1"/>
  <c r="E4441" i="1" s="1"/>
  <c r="D4442" i="1"/>
  <c r="E4442" i="1" s="1"/>
  <c r="D4443" i="1"/>
  <c r="E4443" i="1" s="1"/>
  <c r="D4444" i="1"/>
  <c r="E4444" i="1" s="1"/>
  <c r="D4445" i="1"/>
  <c r="E4445" i="1" s="1"/>
  <c r="D4446" i="1"/>
  <c r="E4446" i="1" s="1"/>
  <c r="D4447" i="1"/>
  <c r="E4447" i="1" s="1"/>
  <c r="D4448" i="1"/>
  <c r="E4448" i="1" s="1"/>
  <c r="D4449" i="1"/>
  <c r="E4449" i="1" s="1"/>
  <c r="D4450" i="1"/>
  <c r="E4450" i="1" s="1"/>
  <c r="D4451" i="1"/>
  <c r="E4451" i="1" s="1"/>
  <c r="D4452" i="1"/>
  <c r="E4452" i="1" s="1"/>
  <c r="D4453" i="1"/>
  <c r="E4453" i="1" s="1"/>
  <c r="D4454" i="1"/>
  <c r="E4454" i="1" s="1"/>
  <c r="D4455" i="1"/>
  <c r="E4455" i="1" s="1"/>
  <c r="D4456" i="1"/>
  <c r="E4456" i="1" s="1"/>
  <c r="D4457" i="1"/>
  <c r="E4457" i="1" s="1"/>
  <c r="D4458" i="1"/>
  <c r="E4458" i="1" s="1"/>
  <c r="D4459" i="1"/>
  <c r="E4459" i="1" s="1"/>
  <c r="D4460" i="1"/>
  <c r="E4460" i="1" s="1"/>
  <c r="D4461" i="1"/>
  <c r="E4461" i="1" s="1"/>
  <c r="D4462" i="1"/>
  <c r="E4462" i="1" s="1"/>
  <c r="D4463" i="1"/>
  <c r="E4463" i="1" s="1"/>
  <c r="D4464" i="1"/>
  <c r="E4464" i="1" s="1"/>
  <c r="D4465" i="1"/>
  <c r="E4465" i="1" s="1"/>
  <c r="D4466" i="1"/>
  <c r="E4466" i="1" s="1"/>
  <c r="D4467" i="1"/>
  <c r="E4467" i="1" s="1"/>
  <c r="D4468" i="1"/>
  <c r="E4468" i="1" s="1"/>
  <c r="D4469" i="1"/>
  <c r="E4469" i="1" s="1"/>
  <c r="D4470" i="1"/>
  <c r="E4470" i="1" s="1"/>
  <c r="D4471" i="1"/>
  <c r="E4471" i="1" s="1"/>
  <c r="D4472" i="1"/>
  <c r="E4472" i="1" s="1"/>
  <c r="D4473" i="1"/>
  <c r="E4473" i="1" s="1"/>
  <c r="D4474" i="1"/>
  <c r="E4474" i="1" s="1"/>
  <c r="D4475" i="1"/>
  <c r="E4475" i="1" s="1"/>
  <c r="D4476" i="1"/>
  <c r="E4476" i="1" s="1"/>
  <c r="D4477" i="1"/>
  <c r="E4477" i="1" s="1"/>
  <c r="D4478" i="1"/>
  <c r="E4478" i="1" s="1"/>
  <c r="D4479" i="1"/>
  <c r="E4479" i="1" s="1"/>
  <c r="D4480" i="1"/>
  <c r="E4480" i="1" s="1"/>
  <c r="D4481" i="1"/>
  <c r="E4481" i="1" s="1"/>
  <c r="D4482" i="1"/>
  <c r="E4482" i="1" s="1"/>
  <c r="D4483" i="1"/>
  <c r="E4483" i="1" s="1"/>
  <c r="D4484" i="1"/>
  <c r="E4484" i="1" s="1"/>
  <c r="D4485" i="1"/>
  <c r="E4485" i="1" s="1"/>
  <c r="D4486" i="1"/>
  <c r="E4486" i="1" s="1"/>
  <c r="D4487" i="1"/>
  <c r="E4487" i="1" s="1"/>
  <c r="D4488" i="1"/>
  <c r="E4488" i="1" s="1"/>
  <c r="D4489" i="1"/>
  <c r="E4489" i="1" s="1"/>
  <c r="D4490" i="1"/>
  <c r="E4490" i="1" s="1"/>
  <c r="D4491" i="1"/>
  <c r="E4491" i="1" s="1"/>
  <c r="D4492" i="1"/>
  <c r="E4492" i="1" s="1"/>
  <c r="D4493" i="1"/>
  <c r="E4493" i="1" s="1"/>
  <c r="D4494" i="1"/>
  <c r="E4494" i="1" s="1"/>
  <c r="D4495" i="1"/>
  <c r="E4495" i="1" s="1"/>
  <c r="D4496" i="1"/>
  <c r="E4496" i="1" s="1"/>
  <c r="D4497" i="1"/>
  <c r="E4497" i="1" s="1"/>
  <c r="D4498" i="1"/>
  <c r="E4498" i="1" s="1"/>
  <c r="D4499" i="1"/>
  <c r="E4499" i="1" s="1"/>
  <c r="D4500" i="1"/>
  <c r="E4500" i="1" s="1"/>
  <c r="D4501" i="1"/>
  <c r="E4501" i="1" s="1"/>
  <c r="D4502" i="1"/>
  <c r="E4502" i="1" s="1"/>
  <c r="D4503" i="1"/>
  <c r="E4503" i="1" s="1"/>
  <c r="D4504" i="1"/>
  <c r="E4504" i="1" s="1"/>
  <c r="D4505" i="1"/>
  <c r="E4505" i="1" s="1"/>
  <c r="D4506" i="1"/>
  <c r="E4506" i="1" s="1"/>
  <c r="D4507" i="1"/>
  <c r="E4507" i="1" s="1"/>
  <c r="D4508" i="1"/>
  <c r="E4508" i="1" s="1"/>
  <c r="D4509" i="1"/>
  <c r="E4509" i="1" s="1"/>
  <c r="D4510" i="1"/>
  <c r="E4510" i="1" s="1"/>
  <c r="D4511" i="1"/>
  <c r="E4511" i="1" s="1"/>
  <c r="D4512" i="1"/>
  <c r="D4513" i="1"/>
  <c r="E4513" i="1" s="1"/>
  <c r="D4514" i="1"/>
  <c r="E4514" i="1" s="1"/>
  <c r="D4515" i="1"/>
  <c r="E4515" i="1" s="1"/>
  <c r="D4516" i="1"/>
  <c r="E4516" i="1" s="1"/>
  <c r="D4517" i="1"/>
  <c r="E4517" i="1" s="1"/>
  <c r="D4518" i="1"/>
  <c r="E4518" i="1" s="1"/>
  <c r="D4519" i="1"/>
  <c r="E4519" i="1" s="1"/>
  <c r="D4520" i="1"/>
  <c r="E4520" i="1" s="1"/>
  <c r="D4521" i="1"/>
  <c r="E4521" i="1" s="1"/>
  <c r="D4522" i="1"/>
  <c r="E4522" i="1" s="1"/>
  <c r="D4523" i="1"/>
  <c r="E4523" i="1" s="1"/>
  <c r="D4524" i="1"/>
  <c r="E4524" i="1" s="1"/>
  <c r="D4525" i="1"/>
  <c r="E4525" i="1" s="1"/>
  <c r="D4526" i="1"/>
  <c r="E4526" i="1" s="1"/>
  <c r="D4527" i="1"/>
  <c r="E4527" i="1" s="1"/>
  <c r="D4528" i="1"/>
  <c r="E4528" i="1" s="1"/>
  <c r="D4529" i="1"/>
  <c r="E4529" i="1" s="1"/>
  <c r="D4530" i="1"/>
  <c r="E4530" i="1" s="1"/>
  <c r="D4531" i="1"/>
  <c r="E4531" i="1" s="1"/>
  <c r="D4532" i="1"/>
  <c r="E4532" i="1" s="1"/>
  <c r="D4533" i="1"/>
  <c r="E4533" i="1" s="1"/>
  <c r="D4534" i="1"/>
  <c r="E4534" i="1" s="1"/>
  <c r="D4535" i="1"/>
  <c r="E4535" i="1" s="1"/>
  <c r="D4536" i="1"/>
  <c r="E4536" i="1" s="1"/>
  <c r="D4537" i="1"/>
  <c r="E4537" i="1" s="1"/>
  <c r="D4538" i="1"/>
  <c r="E4538" i="1" s="1"/>
  <c r="D4539" i="1"/>
  <c r="E4539" i="1" s="1"/>
  <c r="D4540" i="1"/>
  <c r="E4540" i="1" s="1"/>
  <c r="D4541" i="1"/>
  <c r="E4541" i="1" s="1"/>
  <c r="D4542" i="1"/>
  <c r="E4542" i="1" s="1"/>
  <c r="D4543" i="1"/>
  <c r="E4543" i="1" s="1"/>
  <c r="D4544" i="1"/>
  <c r="E4544" i="1" s="1"/>
  <c r="D4545" i="1"/>
  <c r="E4545" i="1" s="1"/>
  <c r="D4546" i="1"/>
  <c r="E4546" i="1" s="1"/>
  <c r="D4547" i="1"/>
  <c r="E4547" i="1" s="1"/>
  <c r="D4548" i="1"/>
  <c r="E4548" i="1" s="1"/>
  <c r="D4549" i="1"/>
  <c r="E4549" i="1" s="1"/>
  <c r="D4550" i="1"/>
  <c r="E4550" i="1" s="1"/>
  <c r="D4551" i="1"/>
  <c r="E4551" i="1" s="1"/>
  <c r="D4552" i="1"/>
  <c r="E4552" i="1" s="1"/>
  <c r="D4553" i="1"/>
  <c r="E4553" i="1" s="1"/>
  <c r="D4554" i="1"/>
  <c r="E4554" i="1" s="1"/>
  <c r="D4555" i="1"/>
  <c r="E4555" i="1" s="1"/>
  <c r="D4556" i="1"/>
  <c r="E4556" i="1" s="1"/>
  <c r="D4557" i="1"/>
  <c r="E4557" i="1" s="1"/>
  <c r="D4558" i="1"/>
  <c r="E4558" i="1" s="1"/>
  <c r="D4559" i="1"/>
  <c r="E4559" i="1" s="1"/>
  <c r="D4560" i="1"/>
  <c r="D4561" i="1"/>
  <c r="E4561" i="1" s="1"/>
  <c r="D4562" i="1"/>
  <c r="E4562" i="1" s="1"/>
  <c r="D4563" i="1"/>
  <c r="E4563" i="1" s="1"/>
  <c r="D4564" i="1"/>
  <c r="E4564" i="1" s="1"/>
  <c r="D4565" i="1"/>
  <c r="E4565" i="1" s="1"/>
  <c r="D4566" i="1"/>
  <c r="E4566" i="1" s="1"/>
  <c r="D4567" i="1"/>
  <c r="E4567" i="1" s="1"/>
  <c r="D4568" i="1"/>
  <c r="E4568" i="1" s="1"/>
  <c r="D4569" i="1"/>
  <c r="E4569" i="1" s="1"/>
  <c r="D4570" i="1"/>
  <c r="E4570" i="1" s="1"/>
  <c r="D4571" i="1"/>
  <c r="E4571" i="1" s="1"/>
  <c r="D4572" i="1"/>
  <c r="D4573" i="1"/>
  <c r="E4573" i="1" s="1"/>
  <c r="D4574" i="1"/>
  <c r="E4574" i="1" s="1"/>
  <c r="D4575" i="1"/>
  <c r="E4575" i="1" s="1"/>
  <c r="D4576" i="1"/>
  <c r="E4576" i="1" s="1"/>
  <c r="D4577" i="1"/>
  <c r="E4577" i="1" s="1"/>
  <c r="D4578" i="1"/>
  <c r="E4578" i="1" s="1"/>
  <c r="D4579" i="1"/>
  <c r="E4579" i="1" s="1"/>
  <c r="D4580" i="1"/>
  <c r="E4580" i="1" s="1"/>
  <c r="D4581" i="1"/>
  <c r="E4581" i="1" s="1"/>
  <c r="D4582" i="1"/>
  <c r="E4582" i="1" s="1"/>
  <c r="D4583" i="1"/>
  <c r="E4583" i="1" s="1"/>
  <c r="D4584" i="1"/>
  <c r="E4584" i="1" s="1"/>
  <c r="D4585" i="1"/>
  <c r="E4585" i="1" s="1"/>
  <c r="D4586" i="1"/>
  <c r="E4586" i="1" s="1"/>
  <c r="D4587" i="1"/>
  <c r="E4587" i="1" s="1"/>
  <c r="D4588" i="1"/>
  <c r="E4588" i="1" s="1"/>
  <c r="D4589" i="1"/>
  <c r="E4589" i="1" s="1"/>
  <c r="D4590" i="1"/>
  <c r="E4590" i="1" s="1"/>
  <c r="D4591" i="1"/>
  <c r="E4591" i="1" s="1"/>
  <c r="D4592" i="1"/>
  <c r="E4592" i="1" s="1"/>
  <c r="D4593" i="1"/>
  <c r="E4593" i="1" s="1"/>
  <c r="D4594" i="1"/>
  <c r="E4594" i="1" s="1"/>
  <c r="D4595" i="1"/>
  <c r="E4595" i="1" s="1"/>
  <c r="D4596" i="1"/>
  <c r="E4596" i="1" s="1"/>
  <c r="D4597" i="1"/>
  <c r="E4597" i="1" s="1"/>
  <c r="D4598" i="1"/>
  <c r="E4598" i="1" s="1"/>
  <c r="D4599" i="1"/>
  <c r="E4599" i="1" s="1"/>
  <c r="D4600" i="1"/>
  <c r="E4600" i="1" s="1"/>
  <c r="D4601" i="1"/>
  <c r="E4601" i="1" s="1"/>
  <c r="D4602" i="1"/>
  <c r="E4602" i="1" s="1"/>
  <c r="D4603" i="1"/>
  <c r="E4603" i="1" s="1"/>
  <c r="D4604" i="1"/>
  <c r="E4604" i="1" s="1"/>
  <c r="D4605" i="1"/>
  <c r="E4605" i="1" s="1"/>
  <c r="D4606" i="1"/>
  <c r="E4606" i="1" s="1"/>
  <c r="D4607" i="1"/>
  <c r="E4607" i="1" s="1"/>
  <c r="D4608" i="1"/>
  <c r="E4608" i="1" s="1"/>
  <c r="D4609" i="1"/>
  <c r="E4609" i="1" s="1"/>
  <c r="D4610" i="1"/>
  <c r="E4610" i="1" s="1"/>
  <c r="D4611" i="1"/>
  <c r="E4611" i="1" s="1"/>
  <c r="D4612" i="1"/>
  <c r="D4613" i="1"/>
  <c r="E4613" i="1" s="1"/>
  <c r="D4614" i="1"/>
  <c r="E4614" i="1" s="1"/>
  <c r="D4615" i="1"/>
  <c r="E4615" i="1" s="1"/>
  <c r="D4616" i="1"/>
  <c r="E4616" i="1" s="1"/>
  <c r="D4617" i="1"/>
  <c r="E4617" i="1" s="1"/>
  <c r="D4618" i="1"/>
  <c r="E4618" i="1" s="1"/>
  <c r="D4619" i="1"/>
  <c r="E4619" i="1" s="1"/>
  <c r="D4620" i="1"/>
  <c r="E4620" i="1" s="1"/>
  <c r="D4621" i="1"/>
  <c r="E4621" i="1" s="1"/>
  <c r="D4622" i="1"/>
  <c r="E4622" i="1" s="1"/>
  <c r="D4623" i="1"/>
  <c r="E4623" i="1" s="1"/>
  <c r="D4624" i="1"/>
  <c r="E4624" i="1" s="1"/>
  <c r="D4625" i="1"/>
  <c r="E4625" i="1" s="1"/>
  <c r="D4626" i="1"/>
  <c r="E4626" i="1" s="1"/>
  <c r="D4627" i="1"/>
  <c r="E4627" i="1" s="1"/>
  <c r="D4628" i="1"/>
  <c r="E4628" i="1" s="1"/>
  <c r="D4629" i="1"/>
  <c r="E4629" i="1" s="1"/>
  <c r="D4630" i="1"/>
  <c r="E4630" i="1" s="1"/>
  <c r="D4631" i="1"/>
  <c r="E4631" i="1" s="1"/>
  <c r="D4632" i="1"/>
  <c r="D4633" i="1"/>
  <c r="E4633" i="1" s="1"/>
  <c r="D4634" i="1"/>
  <c r="E4634" i="1" s="1"/>
  <c r="D4635" i="1"/>
  <c r="E4635" i="1" s="1"/>
  <c r="D4636" i="1"/>
  <c r="E4636" i="1" s="1"/>
  <c r="D4637" i="1"/>
  <c r="E4637" i="1" s="1"/>
  <c r="D4638" i="1"/>
  <c r="E4638" i="1" s="1"/>
  <c r="D4639" i="1"/>
  <c r="E4639" i="1" s="1"/>
  <c r="D4640" i="1"/>
  <c r="E4640" i="1" s="1"/>
  <c r="D4641" i="1"/>
  <c r="E4641" i="1" s="1"/>
  <c r="D4642" i="1"/>
  <c r="E4642" i="1" s="1"/>
  <c r="D4643" i="1"/>
  <c r="E4643" i="1" s="1"/>
  <c r="D4644" i="1"/>
  <c r="E4644" i="1" s="1"/>
  <c r="D4645" i="1"/>
  <c r="E4645" i="1" s="1"/>
  <c r="D4646" i="1"/>
  <c r="E4646" i="1" s="1"/>
  <c r="D4647" i="1"/>
  <c r="E4647" i="1" s="1"/>
  <c r="D4648" i="1"/>
  <c r="E4648" i="1" s="1"/>
  <c r="D4649" i="1"/>
  <c r="E4649" i="1" s="1"/>
  <c r="D4650" i="1"/>
  <c r="E4650" i="1" s="1"/>
  <c r="D4651" i="1"/>
  <c r="E4651" i="1" s="1"/>
  <c r="D4652" i="1"/>
  <c r="E4652" i="1" s="1"/>
  <c r="D4653" i="1"/>
  <c r="E4653" i="1" s="1"/>
  <c r="D4654" i="1"/>
  <c r="E4654" i="1" s="1"/>
  <c r="D4655" i="1"/>
  <c r="E4655" i="1" s="1"/>
  <c r="D4656" i="1"/>
  <c r="E4656" i="1" s="1"/>
  <c r="D4657" i="1"/>
  <c r="E4657" i="1" s="1"/>
  <c r="D4658" i="1"/>
  <c r="E4658" i="1" s="1"/>
  <c r="D4659" i="1"/>
  <c r="E4659" i="1" s="1"/>
  <c r="D4660" i="1"/>
  <c r="D4661" i="1"/>
  <c r="E4661" i="1" s="1"/>
  <c r="D4662" i="1"/>
  <c r="E4662" i="1" s="1"/>
  <c r="D4663" i="1"/>
  <c r="E4663" i="1" s="1"/>
  <c r="D4664" i="1"/>
  <c r="E4664" i="1" s="1"/>
  <c r="D4665" i="1"/>
  <c r="E4665" i="1" s="1"/>
  <c r="D4666" i="1"/>
  <c r="E4666" i="1" s="1"/>
  <c r="D4667" i="1"/>
  <c r="E4667" i="1" s="1"/>
  <c r="D4668" i="1"/>
  <c r="E4668" i="1" s="1"/>
  <c r="D4669" i="1"/>
  <c r="E4669" i="1" s="1"/>
  <c r="D4670" i="1"/>
  <c r="E4670" i="1" s="1"/>
  <c r="D4671" i="1"/>
  <c r="E4671" i="1" s="1"/>
  <c r="D4672" i="1"/>
  <c r="D4673" i="1"/>
  <c r="E4673" i="1" s="1"/>
  <c r="D4674" i="1"/>
  <c r="E4674" i="1" s="1"/>
  <c r="D4675" i="1"/>
  <c r="E4675" i="1" s="1"/>
  <c r="D4676" i="1"/>
  <c r="E4676" i="1" s="1"/>
  <c r="D4677" i="1"/>
  <c r="E4677" i="1" s="1"/>
  <c r="D4678" i="1"/>
  <c r="E4678" i="1" s="1"/>
  <c r="D4679" i="1"/>
  <c r="E4679" i="1" s="1"/>
  <c r="D4680" i="1"/>
  <c r="E4680" i="1" s="1"/>
  <c r="D4681" i="1"/>
  <c r="E4681" i="1" s="1"/>
  <c r="D4682" i="1"/>
  <c r="E4682" i="1" s="1"/>
  <c r="D4683" i="1"/>
  <c r="E4683" i="1" s="1"/>
  <c r="D4684" i="1"/>
  <c r="E4684" i="1" s="1"/>
  <c r="D4685" i="1"/>
  <c r="E4685" i="1" s="1"/>
  <c r="D4686" i="1"/>
  <c r="E4686" i="1" s="1"/>
  <c r="D4687" i="1"/>
  <c r="E4687" i="1" s="1"/>
  <c r="D4688" i="1"/>
  <c r="E4688" i="1" s="1"/>
  <c r="D4689" i="1"/>
  <c r="E4689" i="1" s="1"/>
  <c r="D4690" i="1"/>
  <c r="E4690" i="1" s="1"/>
  <c r="D4691" i="1"/>
  <c r="E4691" i="1" s="1"/>
  <c r="D4692" i="1"/>
  <c r="D4693" i="1"/>
  <c r="E4693" i="1" s="1"/>
  <c r="D4694" i="1"/>
  <c r="E4694" i="1" s="1"/>
  <c r="D4695" i="1"/>
  <c r="E4695" i="1" s="1"/>
  <c r="D4696" i="1"/>
  <c r="E4696" i="1" s="1"/>
  <c r="D4697" i="1"/>
  <c r="E4697" i="1" s="1"/>
  <c r="D4698" i="1"/>
  <c r="E4698" i="1" s="1"/>
  <c r="D4699" i="1"/>
  <c r="E4699" i="1" s="1"/>
  <c r="D4700" i="1"/>
  <c r="E4700" i="1" s="1"/>
  <c r="D4701" i="1"/>
  <c r="E4701" i="1" s="1"/>
  <c r="D4702" i="1"/>
  <c r="E4702" i="1" s="1"/>
  <c r="D4703" i="1"/>
  <c r="E4703" i="1" s="1"/>
  <c r="D4704" i="1"/>
  <c r="E4704" i="1" s="1"/>
  <c r="D4705" i="1"/>
  <c r="E4705" i="1" s="1"/>
  <c r="D4706" i="1"/>
  <c r="E4706" i="1" s="1"/>
  <c r="D4707" i="1"/>
  <c r="E4707" i="1" s="1"/>
  <c r="D4708" i="1"/>
  <c r="E4708" i="1" s="1"/>
  <c r="D4709" i="1"/>
  <c r="E4709" i="1" s="1"/>
  <c r="D4710" i="1"/>
  <c r="E4710" i="1" s="1"/>
  <c r="D4711" i="1"/>
  <c r="E4711" i="1" s="1"/>
  <c r="D4712" i="1"/>
  <c r="E4712" i="1" s="1"/>
  <c r="D4713" i="1"/>
  <c r="E4713" i="1" s="1"/>
  <c r="D4714" i="1"/>
  <c r="E4714" i="1" s="1"/>
  <c r="D4715" i="1"/>
  <c r="E4715" i="1" s="1"/>
  <c r="D4716" i="1"/>
  <c r="E4716" i="1" s="1"/>
  <c r="D4717" i="1"/>
  <c r="E4717" i="1" s="1"/>
  <c r="D4718" i="1"/>
  <c r="E4718" i="1" s="1"/>
  <c r="D4719" i="1"/>
  <c r="E4719" i="1" s="1"/>
  <c r="D4720" i="1"/>
  <c r="E4720" i="1" s="1"/>
  <c r="D4721" i="1"/>
  <c r="E4721" i="1" s="1"/>
  <c r="D4722" i="1"/>
  <c r="E4722" i="1" s="1"/>
  <c r="D4723" i="1"/>
  <c r="E4723" i="1" s="1"/>
  <c r="D4724" i="1"/>
  <c r="E4724" i="1" s="1"/>
  <c r="D4725" i="1"/>
  <c r="E4725" i="1" s="1"/>
  <c r="D4726" i="1"/>
  <c r="E4726" i="1" s="1"/>
  <c r="D4727" i="1"/>
  <c r="E4727" i="1" s="1"/>
  <c r="D4728" i="1"/>
  <c r="E4728" i="1" s="1"/>
  <c r="D4729" i="1"/>
  <c r="E4729" i="1" s="1"/>
  <c r="D4730" i="1"/>
  <c r="E4730" i="1" s="1"/>
  <c r="D4731" i="1"/>
  <c r="E4731" i="1" s="1"/>
  <c r="D4732" i="1"/>
  <c r="D4733" i="1"/>
  <c r="E4733" i="1" s="1"/>
  <c r="D4734" i="1"/>
  <c r="E4734" i="1" s="1"/>
  <c r="D4735" i="1"/>
  <c r="E4735" i="1" s="1"/>
  <c r="D4736" i="1"/>
  <c r="E4736" i="1" s="1"/>
  <c r="D4737" i="1"/>
  <c r="E4737" i="1" s="1"/>
  <c r="D4738" i="1"/>
  <c r="E4738" i="1" s="1"/>
  <c r="D4739" i="1"/>
  <c r="E4739" i="1" s="1"/>
  <c r="D4740" i="1"/>
  <c r="E4740" i="1" s="1"/>
  <c r="D4741" i="1"/>
  <c r="E4741" i="1" s="1"/>
  <c r="D4742" i="1"/>
  <c r="E4742" i="1" s="1"/>
  <c r="D4743" i="1"/>
  <c r="E4743" i="1" s="1"/>
  <c r="D4744" i="1"/>
  <c r="E4744" i="1" s="1"/>
  <c r="D4745" i="1"/>
  <c r="E4745" i="1" s="1"/>
  <c r="D4746" i="1"/>
  <c r="E4746" i="1" s="1"/>
  <c r="D4747" i="1"/>
  <c r="E4747" i="1" s="1"/>
  <c r="D4748" i="1"/>
  <c r="E4748" i="1" s="1"/>
  <c r="D4749" i="1"/>
  <c r="E4749" i="1" s="1"/>
  <c r="D4750" i="1"/>
  <c r="E4750" i="1" s="1"/>
  <c r="D4751" i="1"/>
  <c r="E4751" i="1" s="1"/>
  <c r="D4752" i="1"/>
  <c r="E4752" i="1" s="1"/>
  <c r="D4753" i="1"/>
  <c r="E4753" i="1" s="1"/>
  <c r="D4754" i="1"/>
  <c r="E4754" i="1" s="1"/>
  <c r="D4755" i="1"/>
  <c r="E4755" i="1" s="1"/>
  <c r="D4756" i="1"/>
  <c r="E4756" i="1" s="1"/>
  <c r="D4757" i="1"/>
  <c r="E4757" i="1" s="1"/>
  <c r="D4758" i="1"/>
  <c r="E4758" i="1" s="1"/>
  <c r="D4759" i="1"/>
  <c r="E4759" i="1" s="1"/>
  <c r="D4760" i="1"/>
  <c r="E4760" i="1" s="1"/>
  <c r="D4761" i="1"/>
  <c r="E4761" i="1" s="1"/>
  <c r="D4762" i="1"/>
  <c r="E4762" i="1" s="1"/>
  <c r="D4763" i="1"/>
  <c r="E4763" i="1" s="1"/>
  <c r="D4764" i="1"/>
  <c r="E4764" i="1" s="1"/>
  <c r="D4765" i="1"/>
  <c r="E4765" i="1" s="1"/>
  <c r="D4766" i="1"/>
  <c r="E4766" i="1" s="1"/>
  <c r="D4767" i="1"/>
  <c r="E4767" i="1" s="1"/>
  <c r="D4768" i="1"/>
  <c r="E4768" i="1" s="1"/>
  <c r="D4769" i="1"/>
  <c r="E4769" i="1" s="1"/>
  <c r="D4770" i="1"/>
  <c r="E4770" i="1" s="1"/>
  <c r="D4771" i="1"/>
  <c r="E4771" i="1" s="1"/>
  <c r="D4772" i="1"/>
  <c r="E4772" i="1" s="1"/>
  <c r="D4773" i="1"/>
  <c r="E4773" i="1" s="1"/>
  <c r="D4774" i="1"/>
  <c r="E4774" i="1" s="1"/>
  <c r="D4775" i="1"/>
  <c r="E4775" i="1" s="1"/>
  <c r="D4776" i="1"/>
  <c r="E4776" i="1" s="1"/>
  <c r="D4777" i="1"/>
  <c r="E4777" i="1" s="1"/>
  <c r="D4778" i="1"/>
  <c r="E4778" i="1" s="1"/>
  <c r="D4779" i="1"/>
  <c r="E4779" i="1" s="1"/>
  <c r="D4780" i="1"/>
  <c r="E4780" i="1" s="1"/>
  <c r="D4781" i="1"/>
  <c r="E4781" i="1" s="1"/>
  <c r="D4782" i="1"/>
  <c r="E4782" i="1" s="1"/>
  <c r="D4783" i="1"/>
  <c r="E4783" i="1" s="1"/>
  <c r="D4784" i="1"/>
  <c r="E4784" i="1" s="1"/>
  <c r="D4785" i="1"/>
  <c r="E4785" i="1" s="1"/>
  <c r="D4786" i="1"/>
  <c r="E4786" i="1" s="1"/>
  <c r="D4787" i="1"/>
  <c r="E4787" i="1" s="1"/>
  <c r="D4788" i="1"/>
  <c r="E4788" i="1" s="1"/>
  <c r="D4789" i="1"/>
  <c r="E4789" i="1" s="1"/>
  <c r="D4790" i="1"/>
  <c r="E4790" i="1" s="1"/>
  <c r="D4791" i="1"/>
  <c r="E4791" i="1" s="1"/>
  <c r="D4792" i="1"/>
  <c r="D4793" i="1"/>
  <c r="E4793" i="1" s="1"/>
  <c r="D4794" i="1"/>
  <c r="E4794" i="1" s="1"/>
  <c r="D4795" i="1"/>
  <c r="E4795" i="1" s="1"/>
  <c r="D4796" i="1"/>
  <c r="E4796" i="1" s="1"/>
  <c r="D4797" i="1"/>
  <c r="E4797" i="1" s="1"/>
  <c r="D4798" i="1"/>
  <c r="E4798" i="1" s="1"/>
  <c r="D4799" i="1"/>
  <c r="E4799" i="1" s="1"/>
  <c r="D4800" i="1"/>
  <c r="E4800" i="1" s="1"/>
  <c r="D4801" i="1"/>
  <c r="E4801" i="1" s="1"/>
  <c r="D4802" i="1"/>
  <c r="E4802" i="1" s="1"/>
  <c r="D4803" i="1"/>
  <c r="E4803" i="1" s="1"/>
  <c r="D4804" i="1"/>
  <c r="E4804" i="1" s="1"/>
  <c r="D4805" i="1"/>
  <c r="E4805" i="1" s="1"/>
  <c r="D4806" i="1"/>
  <c r="E4806" i="1" s="1"/>
  <c r="D4807" i="1"/>
  <c r="E4807" i="1" s="1"/>
  <c r="D4808" i="1"/>
  <c r="E4808" i="1" s="1"/>
  <c r="D4809" i="1"/>
  <c r="E4809" i="1" s="1"/>
  <c r="D4810" i="1"/>
  <c r="E4810" i="1" s="1"/>
  <c r="D4811" i="1"/>
  <c r="E4811" i="1" s="1"/>
  <c r="D4812" i="1"/>
  <c r="E4812" i="1" s="1"/>
  <c r="D4813" i="1"/>
  <c r="E4813" i="1" s="1"/>
  <c r="D4814" i="1"/>
  <c r="E4814" i="1" s="1"/>
  <c r="D4815" i="1"/>
  <c r="E4815" i="1" s="1"/>
  <c r="D4816" i="1"/>
  <c r="E4816" i="1" s="1"/>
  <c r="D4817" i="1"/>
  <c r="E4817" i="1" s="1"/>
  <c r="D4818" i="1"/>
  <c r="E4818" i="1" s="1"/>
  <c r="D4819" i="1"/>
  <c r="E4819" i="1" s="1"/>
  <c r="D4820" i="1"/>
  <c r="E4820" i="1" s="1"/>
  <c r="D4821" i="1"/>
  <c r="E4821" i="1" s="1"/>
  <c r="D4822" i="1"/>
  <c r="E4822" i="1" s="1"/>
  <c r="D4823" i="1"/>
  <c r="E4823" i="1" s="1"/>
  <c r="D4824" i="1"/>
  <c r="E4824" i="1" s="1"/>
  <c r="D4825" i="1"/>
  <c r="E4825" i="1" s="1"/>
  <c r="D4826" i="1"/>
  <c r="E4826" i="1" s="1"/>
  <c r="D4827" i="1"/>
  <c r="E4827" i="1" s="1"/>
  <c r="D4828" i="1"/>
  <c r="E4828" i="1" s="1"/>
  <c r="D4829" i="1"/>
  <c r="E4829" i="1" s="1"/>
  <c r="D4830" i="1"/>
  <c r="E4830" i="1" s="1"/>
  <c r="D4831" i="1"/>
  <c r="E4831" i="1" s="1"/>
  <c r="D4832" i="1"/>
  <c r="E4832" i="1" s="1"/>
  <c r="D4833" i="1"/>
  <c r="E4833" i="1" s="1"/>
  <c r="D4834" i="1"/>
  <c r="E4834" i="1" s="1"/>
  <c r="D4835" i="1"/>
  <c r="E4835" i="1" s="1"/>
  <c r="D4836" i="1"/>
  <c r="E4836" i="1" s="1"/>
  <c r="D4837" i="1"/>
  <c r="E4837" i="1" s="1"/>
  <c r="D4838" i="1"/>
  <c r="E4838" i="1" s="1"/>
  <c r="D4839" i="1"/>
  <c r="E4839" i="1" s="1"/>
  <c r="D4840" i="1"/>
  <c r="E4840" i="1" s="1"/>
  <c r="D4841" i="1"/>
  <c r="E4841" i="1" s="1"/>
  <c r="D4842" i="1"/>
  <c r="E4842" i="1" s="1"/>
  <c r="D4843" i="1"/>
  <c r="E4843" i="1" s="1"/>
  <c r="D4844" i="1"/>
  <c r="E4844" i="1" s="1"/>
  <c r="D4845" i="1"/>
  <c r="E4845" i="1" s="1"/>
  <c r="D4846" i="1"/>
  <c r="E4846" i="1" s="1"/>
  <c r="D4847" i="1"/>
  <c r="E4847" i="1" s="1"/>
  <c r="D4848" i="1"/>
  <c r="E4848" i="1" s="1"/>
  <c r="D4849" i="1"/>
  <c r="E4849" i="1" s="1"/>
  <c r="D4850" i="1"/>
  <c r="E4850" i="1" s="1"/>
  <c r="D4851" i="1"/>
  <c r="E4851" i="1" s="1"/>
  <c r="D4852" i="1"/>
  <c r="D4853" i="1"/>
  <c r="E4853" i="1" s="1"/>
  <c r="D4854" i="1"/>
  <c r="E4854" i="1" s="1"/>
  <c r="D4855" i="1"/>
  <c r="E4855" i="1" s="1"/>
  <c r="D4856" i="1"/>
  <c r="E4856" i="1" s="1"/>
  <c r="D4857" i="1"/>
  <c r="E4857" i="1" s="1"/>
  <c r="D4858" i="1"/>
  <c r="E4858" i="1" s="1"/>
  <c r="D4859" i="1"/>
  <c r="E4859" i="1" s="1"/>
  <c r="D4860" i="1"/>
  <c r="E4860" i="1" s="1"/>
  <c r="D4861" i="1"/>
  <c r="E4861" i="1" s="1"/>
  <c r="D4862" i="1"/>
  <c r="E4862" i="1" s="1"/>
  <c r="D4863" i="1"/>
  <c r="E4863" i="1" s="1"/>
  <c r="D4864" i="1"/>
  <c r="E4864" i="1" s="1"/>
  <c r="D4865" i="1"/>
  <c r="E4865" i="1" s="1"/>
  <c r="D4866" i="1"/>
  <c r="E4866" i="1" s="1"/>
  <c r="D4867" i="1"/>
  <c r="E4867" i="1" s="1"/>
  <c r="D4868" i="1"/>
  <c r="E4868" i="1" s="1"/>
  <c r="D4869" i="1"/>
  <c r="E4869" i="1" s="1"/>
  <c r="D4870" i="1"/>
  <c r="E4870" i="1" s="1"/>
  <c r="D4871" i="1"/>
  <c r="E4871" i="1" s="1"/>
  <c r="D4872" i="1"/>
  <c r="E4872" i="1" s="1"/>
  <c r="D4873" i="1"/>
  <c r="E4873" i="1" s="1"/>
  <c r="D4874" i="1"/>
  <c r="E4874" i="1" s="1"/>
  <c r="D4875" i="1"/>
  <c r="E4875" i="1" s="1"/>
  <c r="D4876" i="1"/>
  <c r="E4876" i="1" s="1"/>
  <c r="D4877" i="1"/>
  <c r="E4877" i="1" s="1"/>
  <c r="D4878" i="1"/>
  <c r="E4878" i="1" s="1"/>
  <c r="D4879" i="1"/>
  <c r="E4879" i="1" s="1"/>
  <c r="D4880" i="1"/>
  <c r="E4880" i="1" s="1"/>
  <c r="D4881" i="1"/>
  <c r="E4881" i="1" s="1"/>
  <c r="D4882" i="1"/>
  <c r="E4882" i="1" s="1"/>
  <c r="D4883" i="1"/>
  <c r="E4883" i="1" s="1"/>
  <c r="D4884" i="1"/>
  <c r="E4884" i="1" s="1"/>
  <c r="D4885" i="1"/>
  <c r="E4885" i="1" s="1"/>
  <c r="D4886" i="1"/>
  <c r="E4886" i="1" s="1"/>
  <c r="D4887" i="1"/>
  <c r="E4887" i="1" s="1"/>
  <c r="D4888" i="1"/>
  <c r="E4888" i="1" s="1"/>
  <c r="D4889" i="1"/>
  <c r="E4889" i="1" s="1"/>
  <c r="D4890" i="1"/>
  <c r="E4890" i="1" s="1"/>
  <c r="D4891" i="1"/>
  <c r="E4891" i="1" s="1"/>
  <c r="D4892" i="1"/>
  <c r="E4892" i="1" s="1"/>
  <c r="D4893" i="1"/>
  <c r="E4893" i="1" s="1"/>
  <c r="D4894" i="1"/>
  <c r="E4894" i="1" s="1"/>
  <c r="D4895" i="1"/>
  <c r="E4895" i="1" s="1"/>
  <c r="D4896" i="1"/>
  <c r="E4896" i="1" s="1"/>
  <c r="D4897" i="1"/>
  <c r="E4897" i="1" s="1"/>
  <c r="D4898" i="1"/>
  <c r="E4898" i="1" s="1"/>
  <c r="D4899" i="1"/>
  <c r="E4899" i="1" s="1"/>
  <c r="D4900" i="1"/>
  <c r="E4900" i="1" s="1"/>
  <c r="D4901" i="1"/>
  <c r="E4901" i="1" s="1"/>
  <c r="D4902" i="1"/>
  <c r="E4902" i="1" s="1"/>
  <c r="D4903" i="1"/>
  <c r="E4903" i="1" s="1"/>
  <c r="D4904" i="1"/>
  <c r="E4904" i="1" s="1"/>
  <c r="D4905" i="1"/>
  <c r="E4905" i="1" s="1"/>
  <c r="D4906" i="1"/>
  <c r="E4906" i="1" s="1"/>
  <c r="D4907" i="1"/>
  <c r="E4907" i="1" s="1"/>
  <c r="D4908" i="1"/>
  <c r="E4908" i="1" s="1"/>
  <c r="D4909" i="1"/>
  <c r="E4909" i="1" s="1"/>
  <c r="D4910" i="1"/>
  <c r="E4910" i="1" s="1"/>
  <c r="D4911" i="1"/>
  <c r="E4911" i="1" s="1"/>
  <c r="D4912" i="1"/>
  <c r="E4912" i="1" s="1"/>
  <c r="D4913" i="1"/>
  <c r="E4913" i="1" s="1"/>
  <c r="D4914" i="1"/>
  <c r="E4914" i="1" s="1"/>
  <c r="D4915" i="1"/>
  <c r="E4915" i="1" s="1"/>
  <c r="D4916" i="1"/>
  <c r="E4916" i="1" s="1"/>
  <c r="D4917" i="1"/>
  <c r="E4917" i="1" s="1"/>
  <c r="D4918" i="1"/>
  <c r="E4918" i="1" s="1"/>
  <c r="D4919" i="1"/>
  <c r="E4919" i="1" s="1"/>
  <c r="D4920" i="1"/>
  <c r="E4920" i="1" s="1"/>
  <c r="D4921" i="1"/>
  <c r="E4921" i="1" s="1"/>
  <c r="D4922" i="1"/>
  <c r="E4922" i="1" s="1"/>
  <c r="D4923" i="1"/>
  <c r="E4923" i="1" s="1"/>
  <c r="D4924" i="1"/>
  <c r="E4924" i="1" s="1"/>
  <c r="D4925" i="1"/>
  <c r="E4925" i="1" s="1"/>
  <c r="D4926" i="1"/>
  <c r="E4926" i="1" s="1"/>
  <c r="D4927" i="1"/>
  <c r="E4927" i="1" s="1"/>
  <c r="D4928" i="1"/>
  <c r="E4928" i="1" s="1"/>
  <c r="D4929" i="1"/>
  <c r="E4929" i="1" s="1"/>
  <c r="D4930" i="1"/>
  <c r="E4930" i="1" s="1"/>
  <c r="D4931" i="1"/>
  <c r="E4931" i="1" s="1"/>
  <c r="D4932" i="1"/>
  <c r="E4932" i="1" s="1"/>
  <c r="D4933" i="1"/>
  <c r="E4933" i="1" s="1"/>
  <c r="D4934" i="1"/>
  <c r="E4934" i="1" s="1"/>
  <c r="D4935" i="1"/>
  <c r="E4935" i="1" s="1"/>
  <c r="D4936" i="1"/>
  <c r="E4936" i="1" s="1"/>
  <c r="D4937" i="1"/>
  <c r="E4937" i="1" s="1"/>
  <c r="D4938" i="1"/>
  <c r="E4938" i="1" s="1"/>
  <c r="D4939" i="1"/>
  <c r="E4939" i="1" s="1"/>
  <c r="D4940" i="1"/>
  <c r="E4940" i="1" s="1"/>
  <c r="D4941" i="1"/>
  <c r="E4941" i="1" s="1"/>
  <c r="D4942" i="1"/>
  <c r="E4942" i="1" s="1"/>
  <c r="D4943" i="1"/>
  <c r="E4943" i="1" s="1"/>
  <c r="D4944" i="1"/>
  <c r="E4944" i="1" s="1"/>
  <c r="D4945" i="1"/>
  <c r="E4945" i="1" s="1"/>
  <c r="D4946" i="1"/>
  <c r="E4946" i="1" s="1"/>
  <c r="D4947" i="1"/>
  <c r="E4947" i="1" s="1"/>
  <c r="D4948" i="1"/>
  <c r="E4948" i="1" s="1"/>
  <c r="D4949" i="1"/>
  <c r="E4949" i="1" s="1"/>
  <c r="D4950" i="1"/>
  <c r="E4950" i="1" s="1"/>
  <c r="D4951" i="1"/>
  <c r="E4951" i="1" s="1"/>
  <c r="D4952" i="1"/>
  <c r="E4952" i="1" s="1"/>
  <c r="D4953" i="1"/>
  <c r="E4953" i="1" s="1"/>
  <c r="D4954" i="1"/>
  <c r="E4954" i="1" s="1"/>
  <c r="D4955" i="1"/>
  <c r="E4955" i="1" s="1"/>
  <c r="D4956" i="1"/>
  <c r="E4956" i="1" s="1"/>
  <c r="D4957" i="1"/>
  <c r="E4957" i="1" s="1"/>
  <c r="D4958" i="1"/>
  <c r="E4958" i="1" s="1"/>
  <c r="D4959" i="1"/>
  <c r="E4959" i="1" s="1"/>
  <c r="D4960" i="1"/>
  <c r="E4960" i="1" s="1"/>
  <c r="D4961" i="1"/>
  <c r="E4961" i="1" s="1"/>
  <c r="D4962" i="1"/>
  <c r="E4962" i="1" s="1"/>
  <c r="D4963" i="1"/>
  <c r="E4963" i="1" s="1"/>
  <c r="D4964" i="1"/>
  <c r="E4964" i="1" s="1"/>
  <c r="D4965" i="1"/>
  <c r="E4965" i="1" s="1"/>
  <c r="D4966" i="1"/>
  <c r="E4966" i="1" s="1"/>
  <c r="D4967" i="1"/>
  <c r="E4967" i="1" s="1"/>
  <c r="D4968" i="1"/>
  <c r="E4968" i="1" s="1"/>
  <c r="D4969" i="1"/>
  <c r="E4969" i="1" s="1"/>
  <c r="D4970" i="1"/>
  <c r="E4970" i="1" s="1"/>
  <c r="D4971" i="1"/>
  <c r="E4971" i="1" s="1"/>
  <c r="D4972" i="1"/>
  <c r="E4972" i="1" s="1"/>
  <c r="D4973" i="1"/>
  <c r="E4973" i="1" s="1"/>
  <c r="D4974" i="1"/>
  <c r="E4974" i="1" s="1"/>
  <c r="D4975" i="1"/>
  <c r="E4975" i="1" s="1"/>
  <c r="D4976" i="1"/>
  <c r="E4976" i="1" s="1"/>
  <c r="D4977" i="1"/>
  <c r="E4977" i="1" s="1"/>
  <c r="D4978" i="1"/>
  <c r="E4978" i="1" s="1"/>
  <c r="D4979" i="1"/>
  <c r="E4979" i="1" s="1"/>
  <c r="D4980" i="1"/>
  <c r="E4980" i="1" s="1"/>
  <c r="D4981" i="1"/>
  <c r="E4981" i="1" s="1"/>
  <c r="D4982" i="1"/>
  <c r="E4982" i="1" s="1"/>
  <c r="D4983" i="1"/>
  <c r="E4983" i="1" s="1"/>
  <c r="D4984" i="1"/>
  <c r="E4984" i="1" s="1"/>
  <c r="D4985" i="1"/>
  <c r="E4985" i="1" s="1"/>
  <c r="D4986" i="1"/>
  <c r="E4986" i="1" s="1"/>
  <c r="D4987" i="1"/>
  <c r="E4987" i="1" s="1"/>
  <c r="D4988" i="1"/>
  <c r="E4988" i="1" s="1"/>
  <c r="D4989" i="1"/>
  <c r="E4989" i="1" s="1"/>
  <c r="D4990" i="1"/>
  <c r="E4990" i="1" s="1"/>
  <c r="D4991" i="1"/>
  <c r="E4991" i="1" s="1"/>
  <c r="D4992" i="1"/>
  <c r="D4993" i="1"/>
  <c r="E4993" i="1" s="1"/>
  <c r="D4994" i="1"/>
  <c r="E4994" i="1" s="1"/>
  <c r="D4995" i="1"/>
  <c r="E4995" i="1" s="1"/>
  <c r="D4996" i="1"/>
  <c r="E4996" i="1" s="1"/>
  <c r="D4997" i="1"/>
  <c r="E4997" i="1" s="1"/>
  <c r="D4998" i="1"/>
  <c r="E4998" i="1" s="1"/>
  <c r="D4999" i="1"/>
  <c r="E4999" i="1" s="1"/>
  <c r="D5000" i="1"/>
  <c r="E5000" i="1" s="1"/>
  <c r="D4" i="1"/>
  <c r="D5" i="1" s="1"/>
  <c r="D6" i="1" s="1"/>
  <c r="D7" i="1" s="1"/>
  <c r="D8" i="1" s="1"/>
  <c r="D9" i="1" s="1"/>
  <c r="D10" i="1" s="1"/>
  <c r="E3" i="1"/>
  <c r="E652" i="1"/>
  <c r="E772" i="1"/>
  <c r="E784" i="1"/>
  <c r="E792" i="1"/>
  <c r="E844" i="1"/>
  <c r="E864" i="1"/>
  <c r="E881" i="1"/>
  <c r="E892" i="1"/>
  <c r="E964" i="1"/>
  <c r="E984" i="1"/>
  <c r="E1060" i="1"/>
  <c r="E1072" i="1"/>
  <c r="E1080" i="1"/>
  <c r="E1141" i="1"/>
  <c r="E1144" i="1"/>
  <c r="E1164" i="1"/>
  <c r="E1200" i="1"/>
  <c r="E1240" i="1"/>
  <c r="E1252" i="1"/>
  <c r="E1253" i="1"/>
  <c r="E1260" i="1"/>
  <c r="E1284" i="1"/>
  <c r="E1312" i="1"/>
  <c r="E1324" i="1"/>
  <c r="E1360" i="1"/>
  <c r="E1361" i="1"/>
  <c r="E1372" i="1"/>
  <c r="E1380" i="1"/>
  <c r="E1421" i="1"/>
  <c r="E1492" i="1"/>
  <c r="E1493" i="1"/>
  <c r="E1505" i="1"/>
  <c r="E1524" i="1"/>
  <c r="E1540" i="1"/>
  <c r="E1552" i="1"/>
  <c r="E1553" i="1"/>
  <c r="E1560" i="1"/>
  <c r="E1573" i="1"/>
  <c r="E1600" i="1"/>
  <c r="E1644" i="1"/>
  <c r="E1660" i="1"/>
  <c r="E1661" i="1"/>
  <c r="E1672" i="1"/>
  <c r="E1680" i="1"/>
  <c r="E1692" i="1"/>
  <c r="E1721" i="1"/>
  <c r="E1753" i="1"/>
  <c r="E1781" i="1"/>
  <c r="E1792" i="1"/>
  <c r="E1872" i="1"/>
  <c r="E1912" i="1"/>
  <c r="E1924" i="1"/>
  <c r="E1932" i="1"/>
  <c r="E1960" i="1"/>
  <c r="E1961" i="1"/>
  <c r="E1992" i="1"/>
  <c r="E2004" i="1"/>
  <c r="E2021" i="1"/>
  <c r="E2044" i="1"/>
  <c r="E2052" i="1"/>
  <c r="E2100" i="1"/>
  <c r="E2172" i="1"/>
  <c r="E2200" i="1"/>
  <c r="E2225" i="1"/>
  <c r="E2232" i="1"/>
  <c r="E2260" i="1"/>
  <c r="E2285" i="1"/>
  <c r="E2292" i="1"/>
  <c r="E2320" i="1"/>
  <c r="E2332" i="1"/>
  <c r="E2340" i="1"/>
  <c r="E2345" i="1"/>
  <c r="E2352" i="1"/>
  <c r="E2364" i="1"/>
  <c r="E2392" i="1"/>
  <c r="E2401" i="1"/>
  <c r="E2412" i="1"/>
  <c r="E2440" i="1"/>
  <c r="E2441" i="1"/>
  <c r="E2465" i="1"/>
  <c r="E2472" i="1"/>
  <c r="E2473" i="1"/>
  <c r="E2501" i="1"/>
  <c r="E2520" i="1"/>
  <c r="E2532" i="1"/>
  <c r="E2560" i="1"/>
  <c r="E2572" i="1"/>
  <c r="E2580" i="1"/>
  <c r="E2632" i="1"/>
  <c r="E2640" i="1"/>
  <c r="E2652" i="1"/>
  <c r="E2692" i="1"/>
  <c r="E2700" i="1"/>
  <c r="E2704" i="1"/>
  <c r="E2724" i="1"/>
  <c r="E2740" i="1"/>
  <c r="E2741" i="1"/>
  <c r="E2801" i="1"/>
  <c r="E2820" i="1"/>
  <c r="E2833" i="1"/>
  <c r="E2860" i="1"/>
  <c r="E2872" i="1"/>
  <c r="E2884" i="1"/>
  <c r="E2885" i="1"/>
  <c r="E2892" i="1"/>
  <c r="E2920" i="1"/>
  <c r="E2921" i="1"/>
  <c r="E2933" i="1"/>
  <c r="E2940" i="1"/>
  <c r="E2952" i="1"/>
  <c r="E2992" i="1"/>
  <c r="E3040" i="1"/>
  <c r="E3041" i="1"/>
  <c r="E3064" i="1"/>
  <c r="E3084" i="1"/>
  <c r="E3100" i="1"/>
  <c r="E3120" i="1"/>
  <c r="E3160" i="1"/>
  <c r="E3173" i="1"/>
  <c r="E3180" i="1"/>
  <c r="E3232" i="1"/>
  <c r="E3233" i="1"/>
  <c r="E3240" i="1"/>
  <c r="E3244" i="1"/>
  <c r="E3252" i="1"/>
  <c r="E3300" i="1"/>
  <c r="E3340" i="1"/>
  <c r="E3341" i="1"/>
  <c r="E3372" i="1"/>
  <c r="E3384" i="1"/>
  <c r="E3412" i="1"/>
  <c r="E3424" i="1"/>
  <c r="E3432" i="1"/>
  <c r="E3472" i="1"/>
  <c r="E3520" i="1"/>
  <c r="E3532" i="1"/>
  <c r="E3540" i="1"/>
  <c r="E3552" i="1"/>
  <c r="E3592" i="1"/>
  <c r="E3624" i="1"/>
  <c r="E3625" i="1"/>
  <c r="E3652" i="1"/>
  <c r="E3660" i="1"/>
  <c r="E3672" i="1"/>
  <c r="E3700" i="1"/>
  <c r="E3701" i="1"/>
  <c r="E3712" i="1"/>
  <c r="E3720" i="1"/>
  <c r="E3732" i="1"/>
  <c r="E3760" i="1"/>
  <c r="E3792" i="1"/>
  <c r="E3820" i="1"/>
  <c r="E3832" i="1"/>
  <c r="E3900" i="1"/>
  <c r="E3912" i="1"/>
  <c r="E3913" i="1"/>
  <c r="E3940" i="1"/>
  <c r="E3952" i="1"/>
  <c r="E3960" i="1"/>
  <c r="E3972" i="1"/>
  <c r="E4000" i="1"/>
  <c r="E4020" i="1"/>
  <c r="E4032" i="1"/>
  <c r="E4060" i="1"/>
  <c r="E4061" i="1"/>
  <c r="E4092" i="1"/>
  <c r="E4120" i="1"/>
  <c r="E4132" i="1"/>
  <c r="E4152" i="1"/>
  <c r="E4192" i="1"/>
  <c r="E4252" i="1"/>
  <c r="E4260" i="1"/>
  <c r="E4272" i="1"/>
  <c r="E4332" i="1"/>
  <c r="E4372" i="1"/>
  <c r="E4380" i="1"/>
  <c r="E4392" i="1"/>
  <c r="E4420" i="1"/>
  <c r="E4440" i="1"/>
  <c r="E4512" i="1"/>
  <c r="E4560" i="1"/>
  <c r="E4572" i="1"/>
  <c r="E4612" i="1"/>
  <c r="E4632" i="1"/>
  <c r="E4660" i="1"/>
  <c r="E4672" i="1"/>
  <c r="E4692" i="1"/>
  <c r="E4732" i="1"/>
  <c r="E4792" i="1"/>
  <c r="E4852" i="1"/>
  <c r="E4992" i="1"/>
  <c r="E372" i="1" l="1"/>
  <c r="Y1" i="1"/>
  <c r="A8" i="2"/>
  <c r="E373" i="1"/>
  <c r="D376" i="1"/>
  <c r="E375" i="1"/>
  <c r="E374" i="1"/>
  <c r="D452" i="1"/>
  <c r="E451" i="1"/>
  <c r="E301" i="1"/>
  <c r="E304" i="1"/>
  <c r="D306" i="1"/>
  <c r="E305" i="1"/>
  <c r="E303" i="1"/>
  <c r="E211" i="1"/>
  <c r="E539" i="1"/>
  <c r="D213" i="1"/>
  <c r="E212" i="1"/>
  <c r="D541" i="1"/>
  <c r="E540" i="1"/>
  <c r="E538" i="1"/>
  <c r="D216" i="1"/>
  <c r="D2" i="3"/>
  <c r="I11" i="3"/>
  <c r="V3" i="1"/>
  <c r="V14" i="1"/>
  <c r="V18" i="1"/>
  <c r="V22" i="1"/>
  <c r="V26" i="1"/>
  <c r="V30" i="1"/>
  <c r="V34" i="1"/>
  <c r="V38" i="1"/>
  <c r="V42" i="1"/>
  <c r="V46" i="1"/>
  <c r="V50" i="1"/>
  <c r="V54" i="1"/>
  <c r="V58" i="1"/>
  <c r="V62" i="1"/>
  <c r="V66" i="1"/>
  <c r="V70" i="1"/>
  <c r="V74" i="1"/>
  <c r="V78" i="1"/>
  <c r="V82" i="1"/>
  <c r="V86" i="1"/>
  <c r="V90" i="1"/>
  <c r="V94" i="1"/>
  <c r="V98" i="1"/>
  <c r="V102" i="1"/>
  <c r="V106" i="1"/>
  <c r="V110" i="1"/>
  <c r="V114" i="1"/>
  <c r="V118" i="1"/>
  <c r="V122" i="1"/>
  <c r="V126" i="1"/>
  <c r="V130" i="1"/>
  <c r="V134" i="1"/>
  <c r="V138" i="1"/>
  <c r="V142" i="1"/>
  <c r="V146" i="1"/>
  <c r="V150" i="1"/>
  <c r="V154" i="1"/>
  <c r="V15" i="1"/>
  <c r="V19" i="1"/>
  <c r="V23" i="1"/>
  <c r="V27" i="1"/>
  <c r="V31" i="1"/>
  <c r="V35" i="1"/>
  <c r="V39" i="1"/>
  <c r="V43" i="1"/>
  <c r="V47" i="1"/>
  <c r="V51" i="1"/>
  <c r="V55" i="1"/>
  <c r="V59" i="1"/>
  <c r="V63" i="1"/>
  <c r="V67" i="1"/>
  <c r="V71" i="1"/>
  <c r="V75" i="1"/>
  <c r="V79" i="1"/>
  <c r="V83" i="1"/>
  <c r="V87" i="1"/>
  <c r="V91" i="1"/>
  <c r="V95" i="1"/>
  <c r="V99" i="1"/>
  <c r="V103" i="1"/>
  <c r="V107" i="1"/>
  <c r="V111" i="1"/>
  <c r="V115" i="1"/>
  <c r="V119" i="1"/>
  <c r="V123" i="1"/>
  <c r="V127" i="1"/>
  <c r="V131" i="1"/>
  <c r="V135" i="1"/>
  <c r="V139" i="1"/>
  <c r="V143" i="1"/>
  <c r="V12" i="1"/>
  <c r="V16" i="1"/>
  <c r="V20" i="1"/>
  <c r="V24" i="1"/>
  <c r="V28" i="1"/>
  <c r="V32" i="1"/>
  <c r="V36" i="1"/>
  <c r="V40" i="1"/>
  <c r="V44" i="1"/>
  <c r="V48" i="1"/>
  <c r="V52" i="1"/>
  <c r="V56" i="1"/>
  <c r="V60" i="1"/>
  <c r="V64" i="1"/>
  <c r="V68" i="1"/>
  <c r="V72" i="1"/>
  <c r="V76" i="1"/>
  <c r="V80" i="1"/>
  <c r="V84" i="1"/>
  <c r="V88" i="1"/>
  <c r="V92" i="1"/>
  <c r="V96" i="1"/>
  <c r="V100" i="1"/>
  <c r="V104" i="1"/>
  <c r="V108" i="1"/>
  <c r="V112" i="1"/>
  <c r="V116" i="1"/>
  <c r="V120" i="1"/>
  <c r="V124" i="1"/>
  <c r="V128" i="1"/>
  <c r="V132" i="1"/>
  <c r="V136" i="1"/>
  <c r="V140" i="1"/>
  <c r="V144" i="1"/>
  <c r="V148" i="1"/>
  <c r="V152" i="1"/>
  <c r="V156" i="1"/>
  <c r="V13" i="1"/>
  <c r="V17" i="1"/>
  <c r="V21" i="1"/>
  <c r="V25" i="1"/>
  <c r="V29" i="1"/>
  <c r="V33" i="1"/>
  <c r="V37" i="1"/>
  <c r="V41" i="1"/>
  <c r="V45" i="1"/>
  <c r="V49" i="1"/>
  <c r="V53" i="1"/>
  <c r="V57" i="1"/>
  <c r="V61" i="1"/>
  <c r="V65" i="1"/>
  <c r="V69" i="1"/>
  <c r="V73" i="1"/>
  <c r="V77" i="1"/>
  <c r="V81" i="1"/>
  <c r="V85" i="1"/>
  <c r="V89" i="1"/>
  <c r="V93" i="1"/>
  <c r="V97" i="1"/>
  <c r="V101" i="1"/>
  <c r="V105" i="1"/>
  <c r="V109" i="1"/>
  <c r="V113" i="1"/>
  <c r="V117" i="1"/>
  <c r="V121" i="1"/>
  <c r="V125" i="1"/>
  <c r="V129" i="1"/>
  <c r="V133" i="1"/>
  <c r="V137" i="1"/>
  <c r="V141" i="1"/>
  <c r="V145" i="1"/>
  <c r="V149" i="1"/>
  <c r="V153" i="1"/>
  <c r="V157" i="1"/>
  <c r="V161" i="1"/>
  <c r="V165" i="1"/>
  <c r="V169" i="1"/>
  <c r="V173" i="1"/>
  <c r="V177" i="1"/>
  <c r="V181" i="1"/>
  <c r="V185" i="1"/>
  <c r="V189" i="1"/>
  <c r="V193" i="1"/>
  <c r="V197" i="1"/>
  <c r="V201" i="1"/>
  <c r="V205" i="1"/>
  <c r="V209" i="1"/>
  <c r="V213" i="1"/>
  <c r="V217" i="1"/>
  <c r="V221" i="1"/>
  <c r="V225" i="1"/>
  <c r="V229" i="1"/>
  <c r="V233" i="1"/>
  <c r="V237" i="1"/>
  <c r="V241" i="1"/>
  <c r="V245" i="1"/>
  <c r="V249" i="1"/>
  <c r="V253" i="1"/>
  <c r="V257" i="1"/>
  <c r="V261" i="1"/>
  <c r="V265" i="1"/>
  <c r="V269" i="1"/>
  <c r="V273" i="1"/>
  <c r="V277" i="1"/>
  <c r="V281" i="1"/>
  <c r="V285" i="1"/>
  <c r="V289" i="1"/>
  <c r="V293" i="1"/>
  <c r="V297" i="1"/>
  <c r="V301" i="1"/>
  <c r="V305" i="1"/>
  <c r="V309" i="1"/>
  <c r="V147" i="1"/>
  <c r="V159" i="1"/>
  <c r="V164" i="1"/>
  <c r="V170" i="1"/>
  <c r="V175" i="1"/>
  <c r="V180" i="1"/>
  <c r="V186" i="1"/>
  <c r="V191" i="1"/>
  <c r="V196" i="1"/>
  <c r="V202" i="1"/>
  <c r="V207" i="1"/>
  <c r="V212" i="1"/>
  <c r="V218" i="1"/>
  <c r="V223" i="1"/>
  <c r="V228" i="1"/>
  <c r="V234" i="1"/>
  <c r="V239" i="1"/>
  <c r="V244" i="1"/>
  <c r="V250" i="1"/>
  <c r="V255" i="1"/>
  <c r="V260" i="1"/>
  <c r="V266" i="1"/>
  <c r="V271" i="1"/>
  <c r="V276" i="1"/>
  <c r="V282" i="1"/>
  <c r="V287" i="1"/>
  <c r="V292" i="1"/>
  <c r="V298" i="1"/>
  <c r="V303" i="1"/>
  <c r="V308" i="1"/>
  <c r="V313" i="1"/>
  <c r="V317" i="1"/>
  <c r="V321" i="1"/>
  <c r="V325" i="1"/>
  <c r="V329" i="1"/>
  <c r="V333" i="1"/>
  <c r="V337" i="1"/>
  <c r="V341" i="1"/>
  <c r="V345" i="1"/>
  <c r="V349" i="1"/>
  <c r="V353" i="1"/>
  <c r="V357" i="1"/>
  <c r="V361" i="1"/>
  <c r="V365" i="1"/>
  <c r="V369" i="1"/>
  <c r="V373" i="1"/>
  <c r="V377" i="1"/>
  <c r="V381" i="1"/>
  <c r="V385" i="1"/>
  <c r="V389" i="1"/>
  <c r="V393" i="1"/>
  <c r="V397" i="1"/>
  <c r="V401" i="1"/>
  <c r="V405" i="1"/>
  <c r="V409" i="1"/>
  <c r="V413" i="1"/>
  <c r="V417" i="1"/>
  <c r="V421" i="1"/>
  <c r="V425" i="1"/>
  <c r="V429" i="1"/>
  <c r="V433" i="1"/>
  <c r="V437" i="1"/>
  <c r="V441" i="1"/>
  <c r="V445" i="1"/>
  <c r="V449" i="1"/>
  <c r="V453" i="1"/>
  <c r="V457" i="1"/>
  <c r="V461" i="1"/>
  <c r="V465" i="1"/>
  <c r="V469" i="1"/>
  <c r="V473" i="1"/>
  <c r="V477" i="1"/>
  <c r="V481" i="1"/>
  <c r="V485" i="1"/>
  <c r="V489" i="1"/>
  <c r="V493" i="1"/>
  <c r="V497" i="1"/>
  <c r="V501" i="1"/>
  <c r="V505" i="1"/>
  <c r="V509" i="1"/>
  <c r="V513" i="1"/>
  <c r="V517" i="1"/>
  <c r="V521" i="1"/>
  <c r="V151" i="1"/>
  <c r="V160" i="1"/>
  <c r="V166" i="1"/>
  <c r="V171" i="1"/>
  <c r="V176" i="1"/>
  <c r="V182" i="1"/>
  <c r="V187" i="1"/>
  <c r="V192" i="1"/>
  <c r="V198" i="1"/>
  <c r="V203" i="1"/>
  <c r="V208" i="1"/>
  <c r="V214" i="1"/>
  <c r="V219" i="1"/>
  <c r="V224" i="1"/>
  <c r="V230" i="1"/>
  <c r="V235" i="1"/>
  <c r="V240" i="1"/>
  <c r="V246" i="1"/>
  <c r="V251" i="1"/>
  <c r="V256" i="1"/>
  <c r="V262" i="1"/>
  <c r="V267" i="1"/>
  <c r="V272" i="1"/>
  <c r="V278" i="1"/>
  <c r="V283" i="1"/>
  <c r="V288" i="1"/>
  <c r="V294" i="1"/>
  <c r="V299" i="1"/>
  <c r="V304" i="1"/>
  <c r="V310" i="1"/>
  <c r="V314" i="1"/>
  <c r="V318" i="1"/>
  <c r="V322" i="1"/>
  <c r="V326" i="1"/>
  <c r="V330" i="1"/>
  <c r="V334" i="1"/>
  <c r="V338" i="1"/>
  <c r="V342" i="1"/>
  <c r="V346" i="1"/>
  <c r="V350" i="1"/>
  <c r="V354" i="1"/>
  <c r="V358" i="1"/>
  <c r="V362" i="1"/>
  <c r="V366" i="1"/>
  <c r="V370" i="1"/>
  <c r="V374" i="1"/>
  <c r="V378" i="1"/>
  <c r="V382" i="1"/>
  <c r="V386" i="1"/>
  <c r="V390" i="1"/>
  <c r="V394" i="1"/>
  <c r="V398" i="1"/>
  <c r="V402" i="1"/>
  <c r="V406" i="1"/>
  <c r="V410" i="1"/>
  <c r="V414" i="1"/>
  <c r="V418" i="1"/>
  <c r="V422" i="1"/>
  <c r="V426" i="1"/>
  <c r="V430" i="1"/>
  <c r="V434" i="1"/>
  <c r="V438" i="1"/>
  <c r="V442" i="1"/>
  <c r="V446" i="1"/>
  <c r="V450" i="1"/>
  <c r="V454" i="1"/>
  <c r="V458" i="1"/>
  <c r="V462" i="1"/>
  <c r="V466" i="1"/>
  <c r="V470" i="1"/>
  <c r="V474" i="1"/>
  <c r="V478" i="1"/>
  <c r="V482" i="1"/>
  <c r="V486" i="1"/>
  <c r="V490" i="1"/>
  <c r="V494" i="1"/>
  <c r="V498" i="1"/>
  <c r="V502" i="1"/>
  <c r="V506" i="1"/>
  <c r="V510" i="1"/>
  <c r="V514" i="1"/>
  <c r="V518" i="1"/>
  <c r="V522" i="1"/>
  <c r="V526" i="1"/>
  <c r="V530" i="1"/>
  <c r="V155" i="1"/>
  <c r="V162" i="1"/>
  <c r="V167" i="1"/>
  <c r="V172" i="1"/>
  <c r="V178" i="1"/>
  <c r="V183" i="1"/>
  <c r="V188" i="1"/>
  <c r="V194" i="1"/>
  <c r="V199" i="1"/>
  <c r="V204" i="1"/>
  <c r="V210" i="1"/>
  <c r="V215" i="1"/>
  <c r="V220" i="1"/>
  <c r="V226" i="1"/>
  <c r="V231" i="1"/>
  <c r="V236" i="1"/>
  <c r="V242" i="1"/>
  <c r="V247" i="1"/>
  <c r="V252" i="1"/>
  <c r="V258" i="1"/>
  <c r="V263" i="1"/>
  <c r="V268" i="1"/>
  <c r="V274" i="1"/>
  <c r="V279" i="1"/>
  <c r="V284" i="1"/>
  <c r="V290" i="1"/>
  <c r="V295" i="1"/>
  <c r="V300" i="1"/>
  <c r="V306" i="1"/>
  <c r="V311" i="1"/>
  <c r="V315" i="1"/>
  <c r="V319" i="1"/>
  <c r="V323" i="1"/>
  <c r="V327" i="1"/>
  <c r="V331" i="1"/>
  <c r="V335" i="1"/>
  <c r="V339" i="1"/>
  <c r="V343" i="1"/>
  <c r="V347" i="1"/>
  <c r="V351" i="1"/>
  <c r="V355" i="1"/>
  <c r="V359" i="1"/>
  <c r="V363" i="1"/>
  <c r="V367" i="1"/>
  <c r="V371" i="1"/>
  <c r="V375" i="1"/>
  <c r="V379" i="1"/>
  <c r="V383" i="1"/>
  <c r="V387" i="1"/>
  <c r="V391" i="1"/>
  <c r="V395" i="1"/>
  <c r="V399" i="1"/>
  <c r="V403" i="1"/>
  <c r="V407" i="1"/>
  <c r="V411" i="1"/>
  <c r="V415" i="1"/>
  <c r="V419" i="1"/>
  <c r="V423" i="1"/>
  <c r="V427" i="1"/>
  <c r="V431" i="1"/>
  <c r="V435" i="1"/>
  <c r="V439" i="1"/>
  <c r="V443" i="1"/>
  <c r="V447" i="1"/>
  <c r="V451" i="1"/>
  <c r="V455" i="1"/>
  <c r="V459" i="1"/>
  <c r="V463" i="1"/>
  <c r="V467" i="1"/>
  <c r="V471" i="1"/>
  <c r="V475" i="1"/>
  <c r="V479" i="1"/>
  <c r="V483" i="1"/>
  <c r="V487" i="1"/>
  <c r="V491" i="1"/>
  <c r="V495" i="1"/>
  <c r="V499" i="1"/>
  <c r="V503" i="1"/>
  <c r="V507" i="1"/>
  <c r="V511" i="1"/>
  <c r="V515" i="1"/>
  <c r="V519" i="1"/>
  <c r="V523" i="1"/>
  <c r="V527" i="1"/>
  <c r="V531" i="1"/>
  <c r="V158" i="1"/>
  <c r="V163" i="1"/>
  <c r="V168" i="1"/>
  <c r="V174" i="1"/>
  <c r="V179" i="1"/>
  <c r="V184" i="1"/>
  <c r="V190" i="1"/>
  <c r="V195" i="1"/>
  <c r="V200" i="1"/>
  <c r="V206" i="1"/>
  <c r="V211" i="1"/>
  <c r="V216" i="1"/>
  <c r="V222" i="1"/>
  <c r="V227" i="1"/>
  <c r="V232" i="1"/>
  <c r="V238" i="1"/>
  <c r="V243" i="1"/>
  <c r="V248" i="1"/>
  <c r="V254" i="1"/>
  <c r="V259" i="1"/>
  <c r="V264" i="1"/>
  <c r="V270" i="1"/>
  <c r="V275" i="1"/>
  <c r="V280" i="1"/>
  <c r="V286" i="1"/>
  <c r="V291" i="1"/>
  <c r="V296" i="1"/>
  <c r="V302" i="1"/>
  <c r="V307" i="1"/>
  <c r="V312" i="1"/>
  <c r="V316" i="1"/>
  <c r="V320" i="1"/>
  <c r="V324" i="1"/>
  <c r="V328" i="1"/>
  <c r="V332" i="1"/>
  <c r="V336" i="1"/>
  <c r="V340" i="1"/>
  <c r="V344" i="1"/>
  <c r="V348" i="1"/>
  <c r="V352" i="1"/>
  <c r="V356" i="1"/>
  <c r="V360" i="1"/>
  <c r="V364" i="1"/>
  <c r="V368" i="1"/>
  <c r="V372" i="1"/>
  <c r="V376" i="1"/>
  <c r="V380" i="1"/>
  <c r="V384" i="1"/>
  <c r="V388" i="1"/>
  <c r="V392" i="1"/>
  <c r="V396" i="1"/>
  <c r="V400" i="1"/>
  <c r="V404" i="1"/>
  <c r="V408" i="1"/>
  <c r="V412" i="1"/>
  <c r="V416" i="1"/>
  <c r="V420" i="1"/>
  <c r="V424" i="1"/>
  <c r="V428" i="1"/>
  <c r="V432" i="1"/>
  <c r="V436" i="1"/>
  <c r="V440" i="1"/>
  <c r="V444" i="1"/>
  <c r="V448" i="1"/>
  <c r="V452" i="1"/>
  <c r="V456" i="1"/>
  <c r="V460" i="1"/>
  <c r="V464" i="1"/>
  <c r="V468" i="1"/>
  <c r="V472" i="1"/>
  <c r="V476" i="1"/>
  <c r="V480" i="1"/>
  <c r="V484" i="1"/>
  <c r="V488" i="1"/>
  <c r="V492" i="1"/>
  <c r="V496" i="1"/>
  <c r="V500" i="1"/>
  <c r="V504" i="1"/>
  <c r="V508" i="1"/>
  <c r="V512" i="1"/>
  <c r="V516" i="1"/>
  <c r="V520" i="1"/>
  <c r="V524" i="1"/>
  <c r="V528" i="1"/>
  <c r="V532" i="1"/>
  <c r="V536" i="1"/>
  <c r="V540" i="1"/>
  <c r="V544" i="1"/>
  <c r="V548" i="1"/>
  <c r="V552" i="1"/>
  <c r="V556" i="1"/>
  <c r="V560" i="1"/>
  <c r="V564" i="1"/>
  <c r="V568" i="1"/>
  <c r="V572" i="1"/>
  <c r="V576" i="1"/>
  <c r="V580" i="1"/>
  <c r="V584" i="1"/>
  <c r="V588" i="1"/>
  <c r="V592" i="1"/>
  <c r="V596" i="1"/>
  <c r="V600" i="1"/>
  <c r="V604" i="1"/>
  <c r="V608" i="1"/>
  <c r="V612" i="1"/>
  <c r="V616" i="1"/>
  <c r="V620" i="1"/>
  <c r="V624" i="1"/>
  <c r="V628" i="1"/>
  <c r="V632" i="1"/>
  <c r="V636" i="1"/>
  <c r="V640" i="1"/>
  <c r="V644" i="1"/>
  <c r="V648" i="1"/>
  <c r="V652" i="1"/>
  <c r="V656" i="1"/>
  <c r="V660" i="1"/>
  <c r="V664" i="1"/>
  <c r="V668" i="1"/>
  <c r="V672" i="1"/>
  <c r="V676" i="1"/>
  <c r="V680" i="1"/>
  <c r="V684" i="1"/>
  <c r="V688" i="1"/>
  <c r="V692" i="1"/>
  <c r="V696" i="1"/>
  <c r="V700" i="1"/>
  <c r="V704" i="1"/>
  <c r="V708" i="1"/>
  <c r="V712" i="1"/>
  <c r="V716" i="1"/>
  <c r="V720" i="1"/>
  <c r="V724" i="1"/>
  <c r="V728" i="1"/>
  <c r="V732" i="1"/>
  <c r="V736" i="1"/>
  <c r="V740" i="1"/>
  <c r="V744" i="1"/>
  <c r="V748" i="1"/>
  <c r="V752" i="1"/>
  <c r="V756" i="1"/>
  <c r="V760" i="1"/>
  <c r="V764" i="1"/>
  <c r="V768" i="1"/>
  <c r="V772" i="1"/>
  <c r="V776" i="1"/>
  <c r="V780" i="1"/>
  <c r="V784" i="1"/>
  <c r="V525" i="1"/>
  <c r="V535" i="1"/>
  <c r="V541" i="1"/>
  <c r="V546" i="1"/>
  <c r="V551" i="1"/>
  <c r="V557" i="1"/>
  <c r="V562" i="1"/>
  <c r="V567" i="1"/>
  <c r="V573" i="1"/>
  <c r="V578" i="1"/>
  <c r="V583" i="1"/>
  <c r="V589" i="1"/>
  <c r="V594" i="1"/>
  <c r="V599" i="1"/>
  <c r="V605" i="1"/>
  <c r="V610" i="1"/>
  <c r="V615" i="1"/>
  <c r="V621" i="1"/>
  <c r="V626" i="1"/>
  <c r="V631" i="1"/>
  <c r="V637" i="1"/>
  <c r="V642" i="1"/>
  <c r="V647" i="1"/>
  <c r="V653" i="1"/>
  <c r="V658" i="1"/>
  <c r="V663" i="1"/>
  <c r="V669" i="1"/>
  <c r="V674" i="1"/>
  <c r="V679" i="1"/>
  <c r="V685" i="1"/>
  <c r="V690" i="1"/>
  <c r="V695" i="1"/>
  <c r="V701" i="1"/>
  <c r="V706" i="1"/>
  <c r="V711" i="1"/>
  <c r="V717" i="1"/>
  <c r="V722" i="1"/>
  <c r="V727" i="1"/>
  <c r="V733" i="1"/>
  <c r="V738" i="1"/>
  <c r="V743" i="1"/>
  <c r="V749" i="1"/>
  <c r="V754" i="1"/>
  <c r="V759" i="1"/>
  <c r="V765" i="1"/>
  <c r="V770" i="1"/>
  <c r="V775" i="1"/>
  <c r="V781" i="1"/>
  <c r="V786" i="1"/>
  <c r="V790" i="1"/>
  <c r="V794" i="1"/>
  <c r="V798" i="1"/>
  <c r="V802" i="1"/>
  <c r="V806" i="1"/>
  <c r="V810" i="1"/>
  <c r="V814" i="1"/>
  <c r="V818" i="1"/>
  <c r="V822" i="1"/>
  <c r="V826" i="1"/>
  <c r="V830" i="1"/>
  <c r="V834" i="1"/>
  <c r="V838" i="1"/>
  <c r="V842" i="1"/>
  <c r="V846" i="1"/>
  <c r="V850" i="1"/>
  <c r="V854" i="1"/>
  <c r="V858" i="1"/>
  <c r="V862" i="1"/>
  <c r="V866" i="1"/>
  <c r="V870" i="1"/>
  <c r="V874" i="1"/>
  <c r="V878" i="1"/>
  <c r="V882" i="1"/>
  <c r="V886" i="1"/>
  <c r="V890" i="1"/>
  <c r="V894" i="1"/>
  <c r="V898" i="1"/>
  <c r="V902" i="1"/>
  <c r="V906" i="1"/>
  <c r="V910" i="1"/>
  <c r="V914" i="1"/>
  <c r="V918" i="1"/>
  <c r="V922" i="1"/>
  <c r="V529" i="1"/>
  <c r="V537" i="1"/>
  <c r="V542" i="1"/>
  <c r="V547" i="1"/>
  <c r="V553" i="1"/>
  <c r="V558" i="1"/>
  <c r="V563" i="1"/>
  <c r="V569" i="1"/>
  <c r="V574" i="1"/>
  <c r="V579" i="1"/>
  <c r="V585" i="1"/>
  <c r="V590" i="1"/>
  <c r="V595" i="1"/>
  <c r="V601" i="1"/>
  <c r="V606" i="1"/>
  <c r="V611" i="1"/>
  <c r="V617" i="1"/>
  <c r="V622" i="1"/>
  <c r="V627" i="1"/>
  <c r="V633" i="1"/>
  <c r="V638" i="1"/>
  <c r="V643" i="1"/>
  <c r="V649" i="1"/>
  <c r="V654" i="1"/>
  <c r="V659" i="1"/>
  <c r="V665" i="1"/>
  <c r="V670" i="1"/>
  <c r="V675" i="1"/>
  <c r="V681" i="1"/>
  <c r="V686" i="1"/>
  <c r="V691" i="1"/>
  <c r="V697" i="1"/>
  <c r="V702" i="1"/>
  <c r="V707" i="1"/>
  <c r="V713" i="1"/>
  <c r="V718" i="1"/>
  <c r="V723" i="1"/>
  <c r="V729" i="1"/>
  <c r="V734" i="1"/>
  <c r="V739" i="1"/>
  <c r="V745" i="1"/>
  <c r="V750" i="1"/>
  <c r="V755" i="1"/>
  <c r="V761" i="1"/>
  <c r="V766" i="1"/>
  <c r="V771" i="1"/>
  <c r="V777" i="1"/>
  <c r="V782" i="1"/>
  <c r="V787" i="1"/>
  <c r="V791" i="1"/>
  <c r="V795" i="1"/>
  <c r="V799" i="1"/>
  <c r="V803" i="1"/>
  <c r="V807" i="1"/>
  <c r="V811" i="1"/>
  <c r="V815" i="1"/>
  <c r="V819" i="1"/>
  <c r="V823" i="1"/>
  <c r="V827" i="1"/>
  <c r="V831" i="1"/>
  <c r="V835" i="1"/>
  <c r="V839" i="1"/>
  <c r="V843" i="1"/>
  <c r="V847" i="1"/>
  <c r="V851" i="1"/>
  <c r="V855" i="1"/>
  <c r="V859" i="1"/>
  <c r="V863" i="1"/>
  <c r="V867" i="1"/>
  <c r="V871" i="1"/>
  <c r="V875" i="1"/>
  <c r="V879" i="1"/>
  <c r="V883" i="1"/>
  <c r="V887" i="1"/>
  <c r="V891" i="1"/>
  <c r="V895" i="1"/>
  <c r="V899" i="1"/>
  <c r="V903" i="1"/>
  <c r="V907" i="1"/>
  <c r="V911" i="1"/>
  <c r="V915" i="1"/>
  <c r="V919" i="1"/>
  <c r="V923" i="1"/>
  <c r="V927" i="1"/>
  <c r="V931" i="1"/>
  <c r="V935" i="1"/>
  <c r="V939" i="1"/>
  <c r="V533" i="1"/>
  <c r="V538" i="1"/>
  <c r="V543" i="1"/>
  <c r="V549" i="1"/>
  <c r="V554" i="1"/>
  <c r="V559" i="1"/>
  <c r="V565" i="1"/>
  <c r="V570" i="1"/>
  <c r="V575" i="1"/>
  <c r="V581" i="1"/>
  <c r="V586" i="1"/>
  <c r="V591" i="1"/>
  <c r="V597" i="1"/>
  <c r="V602" i="1"/>
  <c r="V607" i="1"/>
  <c r="V613" i="1"/>
  <c r="V618" i="1"/>
  <c r="V623" i="1"/>
  <c r="V629" i="1"/>
  <c r="V634" i="1"/>
  <c r="V639" i="1"/>
  <c r="V645" i="1"/>
  <c r="V650" i="1"/>
  <c r="V655" i="1"/>
  <c r="V661" i="1"/>
  <c r="V666" i="1"/>
  <c r="V671" i="1"/>
  <c r="V677" i="1"/>
  <c r="V682" i="1"/>
  <c r="V687" i="1"/>
  <c r="V693" i="1"/>
  <c r="V698" i="1"/>
  <c r="V703" i="1"/>
  <c r="V709" i="1"/>
  <c r="V714" i="1"/>
  <c r="V719" i="1"/>
  <c r="V725" i="1"/>
  <c r="V730" i="1"/>
  <c r="V735" i="1"/>
  <c r="V741" i="1"/>
  <c r="V746" i="1"/>
  <c r="V751" i="1"/>
  <c r="V757" i="1"/>
  <c r="V762" i="1"/>
  <c r="V767" i="1"/>
  <c r="V773" i="1"/>
  <c r="V778" i="1"/>
  <c r="V783" i="1"/>
  <c r="V788" i="1"/>
  <c r="V792" i="1"/>
  <c r="V796" i="1"/>
  <c r="V800" i="1"/>
  <c r="V804" i="1"/>
  <c r="V808" i="1"/>
  <c r="V812" i="1"/>
  <c r="V816" i="1"/>
  <c r="V820" i="1"/>
  <c r="V824" i="1"/>
  <c r="V828" i="1"/>
  <c r="V832" i="1"/>
  <c r="V836" i="1"/>
  <c r="V840" i="1"/>
  <c r="V844" i="1"/>
  <c r="V848" i="1"/>
  <c r="V852" i="1"/>
  <c r="V856" i="1"/>
  <c r="V860" i="1"/>
  <c r="V864" i="1"/>
  <c r="V868" i="1"/>
  <c r="V872" i="1"/>
  <c r="V876" i="1"/>
  <c r="V880" i="1"/>
  <c r="V884" i="1"/>
  <c r="V888" i="1"/>
  <c r="V892" i="1"/>
  <c r="V896" i="1"/>
  <c r="V900" i="1"/>
  <c r="V904" i="1"/>
  <c r="V908" i="1"/>
  <c r="V912" i="1"/>
  <c r="V916" i="1"/>
  <c r="V920" i="1"/>
  <c r="V924" i="1"/>
  <c r="V928" i="1"/>
  <c r="V932" i="1"/>
  <c r="V534" i="1"/>
  <c r="V539" i="1"/>
  <c r="V545" i="1"/>
  <c r="V550" i="1"/>
  <c r="V555" i="1"/>
  <c r="V561" i="1"/>
  <c r="V566" i="1"/>
  <c r="V571" i="1"/>
  <c r="V577" i="1"/>
  <c r="V582" i="1"/>
  <c r="V587" i="1"/>
  <c r="V593" i="1"/>
  <c r="V598" i="1"/>
  <c r="V603" i="1"/>
  <c r="V609" i="1"/>
  <c r="V614" i="1"/>
  <c r="V619" i="1"/>
  <c r="V625" i="1"/>
  <c r="V630" i="1"/>
  <c r="V635" i="1"/>
  <c r="V641" i="1"/>
  <c r="V646" i="1"/>
  <c r="V651" i="1"/>
  <c r="V657" i="1"/>
  <c r="V662" i="1"/>
  <c r="V667" i="1"/>
  <c r="V673" i="1"/>
  <c r="V678" i="1"/>
  <c r="V683" i="1"/>
  <c r="V689" i="1"/>
  <c r="V694" i="1"/>
  <c r="V699" i="1"/>
  <c r="V705" i="1"/>
  <c r="V710" i="1"/>
  <c r="V715" i="1"/>
  <c r="V721" i="1"/>
  <c r="V726" i="1"/>
  <c r="V731" i="1"/>
  <c r="V737" i="1"/>
  <c r="V742" i="1"/>
  <c r="V747" i="1"/>
  <c r="V753" i="1"/>
  <c r="V758" i="1"/>
  <c r="V763" i="1"/>
  <c r="V769" i="1"/>
  <c r="V774" i="1"/>
  <c r="V779" i="1"/>
  <c r="V785" i="1"/>
  <c r="V789" i="1"/>
  <c r="V793" i="1"/>
  <c r="V797" i="1"/>
  <c r="V801" i="1"/>
  <c r="V805" i="1"/>
  <c r="V809" i="1"/>
  <c r="V813" i="1"/>
  <c r="V817" i="1"/>
  <c r="V821" i="1"/>
  <c r="V825" i="1"/>
  <c r="V829" i="1"/>
  <c r="V833" i="1"/>
  <c r="V837" i="1"/>
  <c r="V841" i="1"/>
  <c r="V845" i="1"/>
  <c r="V849" i="1"/>
  <c r="V853" i="1"/>
  <c r="V857" i="1"/>
  <c r="V861" i="1"/>
  <c r="V865" i="1"/>
  <c r="V869" i="1"/>
  <c r="V873" i="1"/>
  <c r="V877" i="1"/>
  <c r="V881" i="1"/>
  <c r="V885" i="1"/>
  <c r="V889" i="1"/>
  <c r="V893" i="1"/>
  <c r="V897" i="1"/>
  <c r="V901" i="1"/>
  <c r="V905" i="1"/>
  <c r="V909" i="1"/>
  <c r="V913" i="1"/>
  <c r="V917" i="1"/>
  <c r="V921" i="1"/>
  <c r="V925" i="1"/>
  <c r="V929" i="1"/>
  <c r="V933" i="1"/>
  <c r="V937" i="1"/>
  <c r="V941" i="1"/>
  <c r="V945" i="1"/>
  <c r="V949" i="1"/>
  <c r="V953" i="1"/>
  <c r="V957" i="1"/>
  <c r="V961" i="1"/>
  <c r="V965" i="1"/>
  <c r="V969" i="1"/>
  <c r="V973" i="1"/>
  <c r="V977" i="1"/>
  <c r="V981" i="1"/>
  <c r="V985" i="1"/>
  <c r="V989" i="1"/>
  <c r="V993" i="1"/>
  <c r="V997" i="1"/>
  <c r="V1001" i="1"/>
  <c r="V1005" i="1"/>
  <c r="V1009" i="1"/>
  <c r="V1013" i="1"/>
  <c r="V1017" i="1"/>
  <c r="V1021" i="1"/>
  <c r="V1025" i="1"/>
  <c r="V1029" i="1"/>
  <c r="V1033" i="1"/>
  <c r="V1037" i="1"/>
  <c r="V1041" i="1"/>
  <c r="V1045" i="1"/>
  <c r="V1049" i="1"/>
  <c r="V1053" i="1"/>
  <c r="V1057" i="1"/>
  <c r="V1061" i="1"/>
  <c r="V1065" i="1"/>
  <c r="V1069" i="1"/>
  <c r="V1073" i="1"/>
  <c r="V1077" i="1"/>
  <c r="V1081" i="1"/>
  <c r="V1085" i="1"/>
  <c r="V1089" i="1"/>
  <c r="V1093" i="1"/>
  <c r="V1097" i="1"/>
  <c r="V1101" i="1"/>
  <c r="V1105" i="1"/>
  <c r="V1109" i="1"/>
  <c r="V1113" i="1"/>
  <c r="V1117" i="1"/>
  <c r="V1121" i="1"/>
  <c r="V1125" i="1"/>
  <c r="V1129" i="1"/>
  <c r="V1133" i="1"/>
  <c r="V1137" i="1"/>
  <c r="V1141" i="1"/>
  <c r="V1145" i="1"/>
  <c r="V1149" i="1"/>
  <c r="V1153" i="1"/>
  <c r="V1157" i="1"/>
  <c r="V926" i="1"/>
  <c r="V938" i="1"/>
  <c r="V944" i="1"/>
  <c r="V950" i="1"/>
  <c r="V955" i="1"/>
  <c r="V960" i="1"/>
  <c r="V966" i="1"/>
  <c r="V971" i="1"/>
  <c r="V976" i="1"/>
  <c r="V982" i="1"/>
  <c r="V987" i="1"/>
  <c r="V992" i="1"/>
  <c r="V998" i="1"/>
  <c r="V1003" i="1"/>
  <c r="V1008" i="1"/>
  <c r="V1014" i="1"/>
  <c r="V1019" i="1"/>
  <c r="V1024" i="1"/>
  <c r="V1030" i="1"/>
  <c r="V1035" i="1"/>
  <c r="V1040" i="1"/>
  <c r="V1046" i="1"/>
  <c r="V1051" i="1"/>
  <c r="V1056" i="1"/>
  <c r="V1062" i="1"/>
  <c r="V1067" i="1"/>
  <c r="V1072" i="1"/>
  <c r="V1078" i="1"/>
  <c r="V1083" i="1"/>
  <c r="V1088" i="1"/>
  <c r="V1094" i="1"/>
  <c r="V1099" i="1"/>
  <c r="V1104" i="1"/>
  <c r="V1110" i="1"/>
  <c r="V1115" i="1"/>
  <c r="V1120" i="1"/>
  <c r="V1126" i="1"/>
  <c r="V1131" i="1"/>
  <c r="V1136" i="1"/>
  <c r="V1142" i="1"/>
  <c r="V1147" i="1"/>
  <c r="V1152" i="1"/>
  <c r="V1158" i="1"/>
  <c r="V1162" i="1"/>
  <c r="V1166" i="1"/>
  <c r="V1170" i="1"/>
  <c r="V1174" i="1"/>
  <c r="V1178" i="1"/>
  <c r="V1182" i="1"/>
  <c r="V1186" i="1"/>
  <c r="V1190" i="1"/>
  <c r="V1194" i="1"/>
  <c r="V1198" i="1"/>
  <c r="V1202" i="1"/>
  <c r="V1206" i="1"/>
  <c r="V1210" i="1"/>
  <c r="V1214" i="1"/>
  <c r="V1218" i="1"/>
  <c r="V1222" i="1"/>
  <c r="V1226" i="1"/>
  <c r="V1230" i="1"/>
  <c r="V1234" i="1"/>
  <c r="V1238" i="1"/>
  <c r="V1242" i="1"/>
  <c r="V1246" i="1"/>
  <c r="V1250" i="1"/>
  <c r="V1254" i="1"/>
  <c r="V1258" i="1"/>
  <c r="V1262" i="1"/>
  <c r="V1266" i="1"/>
  <c r="V1270" i="1"/>
  <c r="V1274" i="1"/>
  <c r="V1278" i="1"/>
  <c r="V1282" i="1"/>
  <c r="V1286" i="1"/>
  <c r="V1290" i="1"/>
  <c r="V1294" i="1"/>
  <c r="V1298" i="1"/>
  <c r="V1302" i="1"/>
  <c r="V1306" i="1"/>
  <c r="V1310" i="1"/>
  <c r="V1314" i="1"/>
  <c r="V1318" i="1"/>
  <c r="V1322" i="1"/>
  <c r="V1326" i="1"/>
  <c r="V930" i="1"/>
  <c r="V940" i="1"/>
  <c r="V946" i="1"/>
  <c r="V951" i="1"/>
  <c r="V956" i="1"/>
  <c r="V962" i="1"/>
  <c r="V967" i="1"/>
  <c r="V972" i="1"/>
  <c r="V978" i="1"/>
  <c r="V983" i="1"/>
  <c r="V988" i="1"/>
  <c r="V994" i="1"/>
  <c r="V999" i="1"/>
  <c r="V1004" i="1"/>
  <c r="V1010" i="1"/>
  <c r="V1015" i="1"/>
  <c r="V1020" i="1"/>
  <c r="V1026" i="1"/>
  <c r="V1031" i="1"/>
  <c r="V1036" i="1"/>
  <c r="V1042" i="1"/>
  <c r="V1047" i="1"/>
  <c r="V1052" i="1"/>
  <c r="V1058" i="1"/>
  <c r="V1063" i="1"/>
  <c r="V1068" i="1"/>
  <c r="V1074" i="1"/>
  <c r="V1079" i="1"/>
  <c r="V1084" i="1"/>
  <c r="V1090" i="1"/>
  <c r="V1095" i="1"/>
  <c r="V1100" i="1"/>
  <c r="V1106" i="1"/>
  <c r="V1111" i="1"/>
  <c r="V1116" i="1"/>
  <c r="V1122" i="1"/>
  <c r="V1127" i="1"/>
  <c r="V1132" i="1"/>
  <c r="V1138" i="1"/>
  <c r="V1143" i="1"/>
  <c r="V1148" i="1"/>
  <c r="V1154" i="1"/>
  <c r="V1159" i="1"/>
  <c r="V1163" i="1"/>
  <c r="V1167" i="1"/>
  <c r="V1171" i="1"/>
  <c r="V1175" i="1"/>
  <c r="V934" i="1"/>
  <c r="V942" i="1"/>
  <c r="V947" i="1"/>
  <c r="V952" i="1"/>
  <c r="V958" i="1"/>
  <c r="V963" i="1"/>
  <c r="V968" i="1"/>
  <c r="V974" i="1"/>
  <c r="V979" i="1"/>
  <c r="V984" i="1"/>
  <c r="V990" i="1"/>
  <c r="V995" i="1"/>
  <c r="V1000" i="1"/>
  <c r="V1006" i="1"/>
  <c r="V1011" i="1"/>
  <c r="V1016" i="1"/>
  <c r="V1022" i="1"/>
  <c r="V1027" i="1"/>
  <c r="V1032" i="1"/>
  <c r="V1038" i="1"/>
  <c r="V1043" i="1"/>
  <c r="V1048" i="1"/>
  <c r="V1054" i="1"/>
  <c r="V1059" i="1"/>
  <c r="V1064" i="1"/>
  <c r="V1070" i="1"/>
  <c r="V1075" i="1"/>
  <c r="V1080" i="1"/>
  <c r="V1086" i="1"/>
  <c r="V1091" i="1"/>
  <c r="V1096" i="1"/>
  <c r="V1102" i="1"/>
  <c r="V1107" i="1"/>
  <c r="V1112" i="1"/>
  <c r="V1118" i="1"/>
  <c r="V1123" i="1"/>
  <c r="V1128" i="1"/>
  <c r="V1134" i="1"/>
  <c r="V1139" i="1"/>
  <c r="V1144" i="1"/>
  <c r="V1150" i="1"/>
  <c r="V1155" i="1"/>
  <c r="V1160" i="1"/>
  <c r="V936" i="1"/>
  <c r="V943" i="1"/>
  <c r="V948" i="1"/>
  <c r="V954" i="1"/>
  <c r="V959" i="1"/>
  <c r="V964" i="1"/>
  <c r="V970" i="1"/>
  <c r="V975" i="1"/>
  <c r="V980" i="1"/>
  <c r="V986" i="1"/>
  <c r="V991" i="1"/>
  <c r="V996" i="1"/>
  <c r="V1002" i="1"/>
  <c r="V1007" i="1"/>
  <c r="V1012" i="1"/>
  <c r="V1018" i="1"/>
  <c r="V1023" i="1"/>
  <c r="V1028" i="1"/>
  <c r="V1034" i="1"/>
  <c r="V1039" i="1"/>
  <c r="V1044" i="1"/>
  <c r="V1050" i="1"/>
  <c r="V1055" i="1"/>
  <c r="V1060" i="1"/>
  <c r="V1066" i="1"/>
  <c r="V1071" i="1"/>
  <c r="V1076" i="1"/>
  <c r="V1082" i="1"/>
  <c r="V1087" i="1"/>
  <c r="V1092" i="1"/>
  <c r="V1098" i="1"/>
  <c r="V1103" i="1"/>
  <c r="V1108" i="1"/>
  <c r="V1114" i="1"/>
  <c r="V1119" i="1"/>
  <c r="V1124" i="1"/>
  <c r="V1130" i="1"/>
  <c r="V1135" i="1"/>
  <c r="V1140" i="1"/>
  <c r="V1146" i="1"/>
  <c r="V1151" i="1"/>
  <c r="V1156" i="1"/>
  <c r="V1161" i="1"/>
  <c r="V1165" i="1"/>
  <c r="V1169" i="1"/>
  <c r="V1173" i="1"/>
  <c r="V1177" i="1"/>
  <c r="V1181" i="1"/>
  <c r="V1185" i="1"/>
  <c r="V1189" i="1"/>
  <c r="V1193" i="1"/>
  <c r="V1197" i="1"/>
  <c r="V1201" i="1"/>
  <c r="V1205" i="1"/>
  <c r="V1209" i="1"/>
  <c r="V1213" i="1"/>
  <c r="V1217" i="1"/>
  <c r="V1221" i="1"/>
  <c r="V1225" i="1"/>
  <c r="V1229" i="1"/>
  <c r="V1233" i="1"/>
  <c r="V1237" i="1"/>
  <c r="V1241" i="1"/>
  <c r="V1245" i="1"/>
  <c r="V1249" i="1"/>
  <c r="V1253" i="1"/>
  <c r="V1257" i="1"/>
  <c r="V1261" i="1"/>
  <c r="V1265" i="1"/>
  <c r="V1269" i="1"/>
  <c r="V1273" i="1"/>
  <c r="V1277" i="1"/>
  <c r="V1281" i="1"/>
  <c r="V1285" i="1"/>
  <c r="V1289" i="1"/>
  <c r="V1293" i="1"/>
  <c r="V1297" i="1"/>
  <c r="V1301" i="1"/>
  <c r="V1305" i="1"/>
  <c r="V1309" i="1"/>
  <c r="V1313" i="1"/>
  <c r="V1317" i="1"/>
  <c r="V1321" i="1"/>
  <c r="V1325" i="1"/>
  <c r="V1329" i="1"/>
  <c r="V1333" i="1"/>
  <c r="V1337" i="1"/>
  <c r="V1341" i="1"/>
  <c r="V1345" i="1"/>
  <c r="V1349" i="1"/>
  <c r="V1353" i="1"/>
  <c r="V1357" i="1"/>
  <c r="V1361" i="1"/>
  <c r="V1365" i="1"/>
  <c r="V1369" i="1"/>
  <c r="V1373" i="1"/>
  <c r="V1377" i="1"/>
  <c r="V1381" i="1"/>
  <c r="V1385" i="1"/>
  <c r="V1389" i="1"/>
  <c r="V1393" i="1"/>
  <c r="V1397" i="1"/>
  <c r="V1401" i="1"/>
  <c r="V1405" i="1"/>
  <c r="V1409" i="1"/>
  <c r="V1413" i="1"/>
  <c r="V1417" i="1"/>
  <c r="V1421" i="1"/>
  <c r="V1425" i="1"/>
  <c r="V1429" i="1"/>
  <c r="V1433" i="1"/>
  <c r="V1164" i="1"/>
  <c r="V1179" i="1"/>
  <c r="V1187" i="1"/>
  <c r="V1195" i="1"/>
  <c r="V1203" i="1"/>
  <c r="V1211" i="1"/>
  <c r="V1219" i="1"/>
  <c r="V1227" i="1"/>
  <c r="V1235" i="1"/>
  <c r="V1243" i="1"/>
  <c r="V1251" i="1"/>
  <c r="V1259" i="1"/>
  <c r="V1267" i="1"/>
  <c r="V1275" i="1"/>
  <c r="V1283" i="1"/>
  <c r="V1291" i="1"/>
  <c r="V1299" i="1"/>
  <c r="V1307" i="1"/>
  <c r="V1315" i="1"/>
  <c r="V1323" i="1"/>
  <c r="V1330" i="1"/>
  <c r="V1335" i="1"/>
  <c r="V1340" i="1"/>
  <c r="V1346" i="1"/>
  <c r="V1351" i="1"/>
  <c r="V1356" i="1"/>
  <c r="V1362" i="1"/>
  <c r="V1367" i="1"/>
  <c r="V1372" i="1"/>
  <c r="V1378" i="1"/>
  <c r="V1383" i="1"/>
  <c r="V1388" i="1"/>
  <c r="V1394" i="1"/>
  <c r="V1399" i="1"/>
  <c r="V1404" i="1"/>
  <c r="V1410" i="1"/>
  <c r="V1415" i="1"/>
  <c r="V1420" i="1"/>
  <c r="V1426" i="1"/>
  <c r="V1431" i="1"/>
  <c r="V1436" i="1"/>
  <c r="V1440" i="1"/>
  <c r="V1444" i="1"/>
  <c r="V1448" i="1"/>
  <c r="V1452" i="1"/>
  <c r="V1456" i="1"/>
  <c r="V1460" i="1"/>
  <c r="V1464" i="1"/>
  <c r="V1468" i="1"/>
  <c r="V1472" i="1"/>
  <c r="V1476" i="1"/>
  <c r="V1480" i="1"/>
  <c r="V1484" i="1"/>
  <c r="V1488" i="1"/>
  <c r="V1492" i="1"/>
  <c r="V1496" i="1"/>
  <c r="V1500" i="1"/>
  <c r="V1504" i="1"/>
  <c r="V1508" i="1"/>
  <c r="V1512" i="1"/>
  <c r="V1516" i="1"/>
  <c r="V1520" i="1"/>
  <c r="V1524" i="1"/>
  <c r="V1528" i="1"/>
  <c r="V1532" i="1"/>
  <c r="V1536" i="1"/>
  <c r="V1540" i="1"/>
  <c r="V1544" i="1"/>
  <c r="V1548" i="1"/>
  <c r="V1552" i="1"/>
  <c r="V1556" i="1"/>
  <c r="V1560" i="1"/>
  <c r="V1564" i="1"/>
  <c r="V1568" i="1"/>
  <c r="V1572" i="1"/>
  <c r="V1576" i="1"/>
  <c r="V1580" i="1"/>
  <c r="V1584" i="1"/>
  <c r="V1588" i="1"/>
  <c r="V1592" i="1"/>
  <c r="V1596" i="1"/>
  <c r="V1600" i="1"/>
  <c r="V1604" i="1"/>
  <c r="V1608" i="1"/>
  <c r="V1612" i="1"/>
  <c r="V1616" i="1"/>
  <c r="V1620" i="1"/>
  <c r="V1624" i="1"/>
  <c r="V1628" i="1"/>
  <c r="V1632" i="1"/>
  <c r="V1636" i="1"/>
  <c r="V1640" i="1"/>
  <c r="V1644" i="1"/>
  <c r="V1648" i="1"/>
  <c r="V1652" i="1"/>
  <c r="V1656" i="1"/>
  <c r="V1660" i="1"/>
  <c r="V1664" i="1"/>
  <c r="V1668" i="1"/>
  <c r="V1672" i="1"/>
  <c r="V1676" i="1"/>
  <c r="V1680" i="1"/>
  <c r="V1684" i="1"/>
  <c r="V1688" i="1"/>
  <c r="V1692" i="1"/>
  <c r="V1696" i="1"/>
  <c r="V1700" i="1"/>
  <c r="V1704" i="1"/>
  <c r="V1708" i="1"/>
  <c r="V1712" i="1"/>
  <c r="V1716" i="1"/>
  <c r="V1720" i="1"/>
  <c r="V1724" i="1"/>
  <c r="V1728" i="1"/>
  <c r="V1732" i="1"/>
  <c r="V1736" i="1"/>
  <c r="V1740" i="1"/>
  <c r="V1744" i="1"/>
  <c r="V1748" i="1"/>
  <c r="V1752" i="1"/>
  <c r="V1756" i="1"/>
  <c r="V1168" i="1"/>
  <c r="V1180" i="1"/>
  <c r="V1188" i="1"/>
  <c r="V1196" i="1"/>
  <c r="V1204" i="1"/>
  <c r="V1212" i="1"/>
  <c r="V1220" i="1"/>
  <c r="V1228" i="1"/>
  <c r="V1236" i="1"/>
  <c r="V1244" i="1"/>
  <c r="V1252" i="1"/>
  <c r="V1260" i="1"/>
  <c r="V1268" i="1"/>
  <c r="V1276" i="1"/>
  <c r="V1284" i="1"/>
  <c r="V1292" i="1"/>
  <c r="V1300" i="1"/>
  <c r="V1308" i="1"/>
  <c r="V1316" i="1"/>
  <c r="V1324" i="1"/>
  <c r="V1331" i="1"/>
  <c r="V1336" i="1"/>
  <c r="V1342" i="1"/>
  <c r="V1347" i="1"/>
  <c r="V1352" i="1"/>
  <c r="V1358" i="1"/>
  <c r="V1363" i="1"/>
  <c r="V1368" i="1"/>
  <c r="V1374" i="1"/>
  <c r="V1379" i="1"/>
  <c r="V1384" i="1"/>
  <c r="V1390" i="1"/>
  <c r="V1395" i="1"/>
  <c r="V1400" i="1"/>
  <c r="V1406" i="1"/>
  <c r="V1411" i="1"/>
  <c r="V1416" i="1"/>
  <c r="V1422" i="1"/>
  <c r="V1427" i="1"/>
  <c r="V1432" i="1"/>
  <c r="V1437" i="1"/>
  <c r="V1441" i="1"/>
  <c r="V1445" i="1"/>
  <c r="V1449" i="1"/>
  <c r="V1453" i="1"/>
  <c r="V1457" i="1"/>
  <c r="V1461" i="1"/>
  <c r="V1465" i="1"/>
  <c r="V1469" i="1"/>
  <c r="V1473" i="1"/>
  <c r="V1477" i="1"/>
  <c r="V1481" i="1"/>
  <c r="V1485" i="1"/>
  <c r="V1489" i="1"/>
  <c r="V1493" i="1"/>
  <c r="V1497" i="1"/>
  <c r="V1501" i="1"/>
  <c r="V1505" i="1"/>
  <c r="V1509" i="1"/>
  <c r="V1513" i="1"/>
  <c r="V1517" i="1"/>
  <c r="V1521" i="1"/>
  <c r="V1525" i="1"/>
  <c r="V1529" i="1"/>
  <c r="V1533" i="1"/>
  <c r="V1537" i="1"/>
  <c r="V1541" i="1"/>
  <c r="V1545" i="1"/>
  <c r="V1549" i="1"/>
  <c r="V1553" i="1"/>
  <c r="V1557" i="1"/>
  <c r="V1561" i="1"/>
  <c r="V1565" i="1"/>
  <c r="V1569" i="1"/>
  <c r="V1573" i="1"/>
  <c r="V1577" i="1"/>
  <c r="V1581" i="1"/>
  <c r="V1585" i="1"/>
  <c r="V1589" i="1"/>
  <c r="V1593" i="1"/>
  <c r="V1597" i="1"/>
  <c r="V1601" i="1"/>
  <c r="V1605" i="1"/>
  <c r="V1609" i="1"/>
  <c r="V1613" i="1"/>
  <c r="V1617" i="1"/>
  <c r="V1621" i="1"/>
  <c r="V1625" i="1"/>
  <c r="V1629" i="1"/>
  <c r="V1633" i="1"/>
  <c r="V1637" i="1"/>
  <c r="V1641" i="1"/>
  <c r="V1645" i="1"/>
  <c r="V1649" i="1"/>
  <c r="V1653" i="1"/>
  <c r="V1657" i="1"/>
  <c r="V1661" i="1"/>
  <c r="V1665" i="1"/>
  <c r="V1669" i="1"/>
  <c r="V1673" i="1"/>
  <c r="V1677" i="1"/>
  <c r="V1681" i="1"/>
  <c r="V1685" i="1"/>
  <c r="V1689" i="1"/>
  <c r="V1693" i="1"/>
  <c r="V1697" i="1"/>
  <c r="V1701" i="1"/>
  <c r="V1705" i="1"/>
  <c r="V1709" i="1"/>
  <c r="V1713" i="1"/>
  <c r="V1717" i="1"/>
  <c r="V1721" i="1"/>
  <c r="V1725" i="1"/>
  <c r="V1729" i="1"/>
  <c r="V1733" i="1"/>
  <c r="V1737" i="1"/>
  <c r="V1741" i="1"/>
  <c r="V1745" i="1"/>
  <c r="V1749" i="1"/>
  <c r="V1172" i="1"/>
  <c r="V1183" i="1"/>
  <c r="V1191" i="1"/>
  <c r="V1199" i="1"/>
  <c r="V1207" i="1"/>
  <c r="V1215" i="1"/>
  <c r="V1223" i="1"/>
  <c r="V1231" i="1"/>
  <c r="V1239" i="1"/>
  <c r="V1247" i="1"/>
  <c r="V1255" i="1"/>
  <c r="V1263" i="1"/>
  <c r="V1271" i="1"/>
  <c r="V1279" i="1"/>
  <c r="V1287" i="1"/>
  <c r="V1295" i="1"/>
  <c r="V1303" i="1"/>
  <c r="V1311" i="1"/>
  <c r="V1319" i="1"/>
  <c r="V1327" i="1"/>
  <c r="V1332" i="1"/>
  <c r="V1338" i="1"/>
  <c r="V1343" i="1"/>
  <c r="V1348" i="1"/>
  <c r="V1354" i="1"/>
  <c r="V1359" i="1"/>
  <c r="V1364" i="1"/>
  <c r="V1370" i="1"/>
  <c r="V1375" i="1"/>
  <c r="V1380" i="1"/>
  <c r="V1386" i="1"/>
  <c r="V1391" i="1"/>
  <c r="V1396" i="1"/>
  <c r="V1402" i="1"/>
  <c r="V1407" i="1"/>
  <c r="V1412" i="1"/>
  <c r="V1418" i="1"/>
  <c r="V1423" i="1"/>
  <c r="V1428" i="1"/>
  <c r="V1434" i="1"/>
  <c r="V1438" i="1"/>
  <c r="V1442" i="1"/>
  <c r="V1446" i="1"/>
  <c r="V1450" i="1"/>
  <c r="V1454" i="1"/>
  <c r="V1458" i="1"/>
  <c r="V1462" i="1"/>
  <c r="V1466" i="1"/>
  <c r="V1470" i="1"/>
  <c r="V1474" i="1"/>
  <c r="V1478" i="1"/>
  <c r="V1482" i="1"/>
  <c r="V1486" i="1"/>
  <c r="V1490" i="1"/>
  <c r="V1494" i="1"/>
  <c r="V1498" i="1"/>
  <c r="V1502" i="1"/>
  <c r="V1506" i="1"/>
  <c r="V1510" i="1"/>
  <c r="V1514" i="1"/>
  <c r="V1518" i="1"/>
  <c r="V1522" i="1"/>
  <c r="V1526" i="1"/>
  <c r="V1530" i="1"/>
  <c r="V1534" i="1"/>
  <c r="V1538" i="1"/>
  <c r="V1542" i="1"/>
  <c r="V1546" i="1"/>
  <c r="V1550" i="1"/>
  <c r="V1554" i="1"/>
  <c r="V1558" i="1"/>
  <c r="V1562" i="1"/>
  <c r="V1566" i="1"/>
  <c r="V1570" i="1"/>
  <c r="V1574" i="1"/>
  <c r="V1578" i="1"/>
  <c r="V1582" i="1"/>
  <c r="V1586" i="1"/>
  <c r="V1590" i="1"/>
  <c r="V1594" i="1"/>
  <c r="V1598" i="1"/>
  <c r="V1602" i="1"/>
  <c r="V1606" i="1"/>
  <c r="V1610" i="1"/>
  <c r="V1614" i="1"/>
  <c r="V1618" i="1"/>
  <c r="V1622" i="1"/>
  <c r="V1626" i="1"/>
  <c r="V1630" i="1"/>
  <c r="V1634" i="1"/>
  <c r="V1638" i="1"/>
  <c r="V1642" i="1"/>
  <c r="V1646" i="1"/>
  <c r="V1650" i="1"/>
  <c r="V1654" i="1"/>
  <c r="V1658" i="1"/>
  <c r="V1662" i="1"/>
  <c r="V1666" i="1"/>
  <c r="V1670" i="1"/>
  <c r="V1674" i="1"/>
  <c r="V1678" i="1"/>
  <c r="V1682" i="1"/>
  <c r="V1686" i="1"/>
  <c r="V1690" i="1"/>
  <c r="V1694" i="1"/>
  <c r="V1698" i="1"/>
  <c r="V1702" i="1"/>
  <c r="V1706" i="1"/>
  <c r="V1710" i="1"/>
  <c r="V1714" i="1"/>
  <c r="V1718" i="1"/>
  <c r="V1722" i="1"/>
  <c r="V1726" i="1"/>
  <c r="V1730" i="1"/>
  <c r="V1734" i="1"/>
  <c r="V1738" i="1"/>
  <c r="V1176" i="1"/>
  <c r="V1184" i="1"/>
  <c r="V1192" i="1"/>
  <c r="V1200" i="1"/>
  <c r="V1208" i="1"/>
  <c r="V1216" i="1"/>
  <c r="V1224" i="1"/>
  <c r="V1232" i="1"/>
  <c r="V1240" i="1"/>
  <c r="V1248" i="1"/>
  <c r="V1256" i="1"/>
  <c r="V1264" i="1"/>
  <c r="V1272" i="1"/>
  <c r="V1280" i="1"/>
  <c r="V1288" i="1"/>
  <c r="V1296" i="1"/>
  <c r="V1304" i="1"/>
  <c r="V1312" i="1"/>
  <c r="V1320" i="1"/>
  <c r="V1328" i="1"/>
  <c r="V1334" i="1"/>
  <c r="V1339" i="1"/>
  <c r="V1344" i="1"/>
  <c r="V1350" i="1"/>
  <c r="V1355" i="1"/>
  <c r="V1360" i="1"/>
  <c r="V1366" i="1"/>
  <c r="V1371" i="1"/>
  <c r="V1376" i="1"/>
  <c r="V1382" i="1"/>
  <c r="V1387" i="1"/>
  <c r="V1392" i="1"/>
  <c r="V1398" i="1"/>
  <c r="V1403" i="1"/>
  <c r="V1408" i="1"/>
  <c r="V1414" i="1"/>
  <c r="V1419" i="1"/>
  <c r="V1424" i="1"/>
  <c r="V1430" i="1"/>
  <c r="V1435" i="1"/>
  <c r="V1439" i="1"/>
  <c r="V1443" i="1"/>
  <c r="V1447" i="1"/>
  <c r="V1451" i="1"/>
  <c r="V1455" i="1"/>
  <c r="V1459" i="1"/>
  <c r="V1463" i="1"/>
  <c r="V1467" i="1"/>
  <c r="V1471" i="1"/>
  <c r="V1475" i="1"/>
  <c r="V1479" i="1"/>
  <c r="V1483" i="1"/>
  <c r="V1487" i="1"/>
  <c r="V1491" i="1"/>
  <c r="V1495" i="1"/>
  <c r="V1499" i="1"/>
  <c r="V1503" i="1"/>
  <c r="V1507" i="1"/>
  <c r="V1511" i="1"/>
  <c r="V1515" i="1"/>
  <c r="V1519" i="1"/>
  <c r="V1523" i="1"/>
  <c r="V1527" i="1"/>
  <c r="V1531" i="1"/>
  <c r="V1535" i="1"/>
  <c r="V1539" i="1"/>
  <c r="V1543" i="1"/>
  <c r="V1547" i="1"/>
  <c r="V1551" i="1"/>
  <c r="V1555" i="1"/>
  <c r="V1559" i="1"/>
  <c r="V1563" i="1"/>
  <c r="V1567" i="1"/>
  <c r="V1571" i="1"/>
  <c r="V1575" i="1"/>
  <c r="V1579" i="1"/>
  <c r="V1583" i="1"/>
  <c r="V1587" i="1"/>
  <c r="V1591" i="1"/>
  <c r="V1595" i="1"/>
  <c r="V1599" i="1"/>
  <c r="V1603" i="1"/>
  <c r="V1607" i="1"/>
  <c r="V1611" i="1"/>
  <c r="V1615" i="1"/>
  <c r="V1619" i="1"/>
  <c r="V1623" i="1"/>
  <c r="V1627" i="1"/>
  <c r="V1631" i="1"/>
  <c r="V1635" i="1"/>
  <c r="V1639" i="1"/>
  <c r="V1643" i="1"/>
  <c r="V1647" i="1"/>
  <c r="V1651" i="1"/>
  <c r="V1655" i="1"/>
  <c r="V1659" i="1"/>
  <c r="V1663" i="1"/>
  <c r="V1667" i="1"/>
  <c r="V1671" i="1"/>
  <c r="V1675" i="1"/>
  <c r="V1679" i="1"/>
  <c r="V1683" i="1"/>
  <c r="V1687" i="1"/>
  <c r="V1691" i="1"/>
  <c r="V1695" i="1"/>
  <c r="V1699" i="1"/>
  <c r="V1703" i="1"/>
  <c r="V1707" i="1"/>
  <c r="V1711" i="1"/>
  <c r="V1715" i="1"/>
  <c r="V1719" i="1"/>
  <c r="V1723" i="1"/>
  <c r="V1727" i="1"/>
  <c r="V1731" i="1"/>
  <c r="V1735" i="1"/>
  <c r="V1739" i="1"/>
  <c r="V1743" i="1"/>
  <c r="V1747" i="1"/>
  <c r="V1751" i="1"/>
  <c r="V1755" i="1"/>
  <c r="V1759" i="1"/>
  <c r="V1763" i="1"/>
  <c r="V1767" i="1"/>
  <c r="V1771" i="1"/>
  <c r="V1775" i="1"/>
  <c r="V1779" i="1"/>
  <c r="V1783" i="1"/>
  <c r="V1787" i="1"/>
  <c r="V1791" i="1"/>
  <c r="V1795" i="1"/>
  <c r="V1799" i="1"/>
  <c r="V1803" i="1"/>
  <c r="V1807" i="1"/>
  <c r="V1811" i="1"/>
  <c r="V1815" i="1"/>
  <c r="V1819" i="1"/>
  <c r="V1823" i="1"/>
  <c r="V1827" i="1"/>
  <c r="V1831" i="1"/>
  <c r="V1835" i="1"/>
  <c r="V1839" i="1"/>
  <c r="V1843" i="1"/>
  <c r="V1847" i="1"/>
  <c r="V1851" i="1"/>
  <c r="V1855" i="1"/>
  <c r="V1859" i="1"/>
  <c r="V1863" i="1"/>
  <c r="V1867" i="1"/>
  <c r="V1871" i="1"/>
  <c r="V1875" i="1"/>
  <c r="V1879" i="1"/>
  <c r="V1883" i="1"/>
  <c r="V1887" i="1"/>
  <c r="V1891" i="1"/>
  <c r="V1895" i="1"/>
  <c r="V1899" i="1"/>
  <c r="V1903" i="1"/>
  <c r="V1907" i="1"/>
  <c r="V1911" i="1"/>
  <c r="V1915" i="1"/>
  <c r="V1919" i="1"/>
  <c r="V1923" i="1"/>
  <c r="V1927" i="1"/>
  <c r="V1931" i="1"/>
  <c r="V1935" i="1"/>
  <c r="V1939" i="1"/>
  <c r="V1943" i="1"/>
  <c r="V1947" i="1"/>
  <c r="V1951" i="1"/>
  <c r="V1955" i="1"/>
  <c r="V1742" i="1"/>
  <c r="V1754" i="1"/>
  <c r="V1761" i="1"/>
  <c r="V1766" i="1"/>
  <c r="V1772" i="1"/>
  <c r="V1777" i="1"/>
  <c r="V1782" i="1"/>
  <c r="V1788" i="1"/>
  <c r="V1793" i="1"/>
  <c r="V1798" i="1"/>
  <c r="V1804" i="1"/>
  <c r="V1809" i="1"/>
  <c r="V1814" i="1"/>
  <c r="V1820" i="1"/>
  <c r="V1825" i="1"/>
  <c r="V1830" i="1"/>
  <c r="V1836" i="1"/>
  <c r="V1841" i="1"/>
  <c r="V1846" i="1"/>
  <c r="V1852" i="1"/>
  <c r="V1857" i="1"/>
  <c r="V1862" i="1"/>
  <c r="V1868" i="1"/>
  <c r="V1873" i="1"/>
  <c r="V1878" i="1"/>
  <c r="V1884" i="1"/>
  <c r="V1889" i="1"/>
  <c r="V1894" i="1"/>
  <c r="V1900" i="1"/>
  <c r="V1905" i="1"/>
  <c r="V1910" i="1"/>
  <c r="V1916" i="1"/>
  <c r="V1921" i="1"/>
  <c r="V1926" i="1"/>
  <c r="V1932" i="1"/>
  <c r="V1937" i="1"/>
  <c r="V1942" i="1"/>
  <c r="V1948" i="1"/>
  <c r="V1953" i="1"/>
  <c r="V1958" i="1"/>
  <c r="V1962" i="1"/>
  <c r="V1966" i="1"/>
  <c r="V1970" i="1"/>
  <c r="V1974" i="1"/>
  <c r="V1978" i="1"/>
  <c r="V1982" i="1"/>
  <c r="V1986" i="1"/>
  <c r="V1990" i="1"/>
  <c r="V1994" i="1"/>
  <c r="V1998" i="1"/>
  <c r="V2002" i="1"/>
  <c r="V2006" i="1"/>
  <c r="V2010" i="1"/>
  <c r="V2014" i="1"/>
  <c r="V2018" i="1"/>
  <c r="V2022" i="1"/>
  <c r="V2026" i="1"/>
  <c r="V2030" i="1"/>
  <c r="V2034" i="1"/>
  <c r="V2038" i="1"/>
  <c r="V2042" i="1"/>
  <c r="V2046" i="1"/>
  <c r="V2050" i="1"/>
  <c r="V2054" i="1"/>
  <c r="V2058" i="1"/>
  <c r="V2062" i="1"/>
  <c r="V2066" i="1"/>
  <c r="V2070" i="1"/>
  <c r="V2074" i="1"/>
  <c r="V2078" i="1"/>
  <c r="V2082" i="1"/>
  <c r="V2086" i="1"/>
  <c r="V2090" i="1"/>
  <c r="V2094" i="1"/>
  <c r="V2098" i="1"/>
  <c r="V2102" i="1"/>
  <c r="V2106" i="1"/>
  <c r="V2110" i="1"/>
  <c r="V2114" i="1"/>
  <c r="V2118" i="1"/>
  <c r="V2122" i="1"/>
  <c r="V2126" i="1"/>
  <c r="V2130" i="1"/>
  <c r="V2134" i="1"/>
  <c r="V2138" i="1"/>
  <c r="V2142" i="1"/>
  <c r="V2146" i="1"/>
  <c r="V2150" i="1"/>
  <c r="V2154" i="1"/>
  <c r="V2158" i="1"/>
  <c r="V2162" i="1"/>
  <c r="V2166" i="1"/>
  <c r="V2170" i="1"/>
  <c r="V2174" i="1"/>
  <c r="V2178" i="1"/>
  <c r="V2182" i="1"/>
  <c r="V2186" i="1"/>
  <c r="V2190" i="1"/>
  <c r="V2194" i="1"/>
  <c r="V2198" i="1"/>
  <c r="V2202" i="1"/>
  <c r="V2206" i="1"/>
  <c r="V2210" i="1"/>
  <c r="V2214" i="1"/>
  <c r="V2218" i="1"/>
  <c r="V2222" i="1"/>
  <c r="V2226" i="1"/>
  <c r="V2230" i="1"/>
  <c r="V2234" i="1"/>
  <c r="V2238" i="1"/>
  <c r="V2242" i="1"/>
  <c r="V2246" i="1"/>
  <c r="V2250" i="1"/>
  <c r="V2254" i="1"/>
  <c r="V2258" i="1"/>
  <c r="V2262" i="1"/>
  <c r="V2266" i="1"/>
  <c r="V2270" i="1"/>
  <c r="V2274" i="1"/>
  <c r="V2278" i="1"/>
  <c r="V2282" i="1"/>
  <c r="V2286" i="1"/>
  <c r="V2290" i="1"/>
  <c r="V2294" i="1"/>
  <c r="V2298" i="1"/>
  <c r="V2302" i="1"/>
  <c r="V2306" i="1"/>
  <c r="V2310" i="1"/>
  <c r="V2314" i="1"/>
  <c r="V2318" i="1"/>
  <c r="V2322" i="1"/>
  <c r="V2326" i="1"/>
  <c r="V2330" i="1"/>
  <c r="V2334" i="1"/>
  <c r="V2338" i="1"/>
  <c r="V2342" i="1"/>
  <c r="V2346" i="1"/>
  <c r="V2350" i="1"/>
  <c r="V2354" i="1"/>
  <c r="V2358" i="1"/>
  <c r="V2362" i="1"/>
  <c r="V2366" i="1"/>
  <c r="V2370" i="1"/>
  <c r="V2374" i="1"/>
  <c r="V2378" i="1"/>
  <c r="V2382" i="1"/>
  <c r="V2386" i="1"/>
  <c r="V2390" i="1"/>
  <c r="V2394" i="1"/>
  <c r="V2398" i="1"/>
  <c r="V2402" i="1"/>
  <c r="V2406" i="1"/>
  <c r="V2410" i="1"/>
  <c r="V2414" i="1"/>
  <c r="V2418" i="1"/>
  <c r="V2422" i="1"/>
  <c r="V2426" i="1"/>
  <c r="V2430" i="1"/>
  <c r="V2434" i="1"/>
  <c r="V2438" i="1"/>
  <c r="V2442" i="1"/>
  <c r="V2446" i="1"/>
  <c r="V2450" i="1"/>
  <c r="V2454" i="1"/>
  <c r="V2458" i="1"/>
  <c r="V2462" i="1"/>
  <c r="V2466" i="1"/>
  <c r="V2470" i="1"/>
  <c r="V2474" i="1"/>
  <c r="V2478" i="1"/>
  <c r="V1746" i="1"/>
  <c r="V1757" i="1"/>
  <c r="V1762" i="1"/>
  <c r="V1768" i="1"/>
  <c r="V1773" i="1"/>
  <c r="V1778" i="1"/>
  <c r="V1784" i="1"/>
  <c r="V1789" i="1"/>
  <c r="V1794" i="1"/>
  <c r="V1800" i="1"/>
  <c r="V1805" i="1"/>
  <c r="V1810" i="1"/>
  <c r="V1816" i="1"/>
  <c r="V1821" i="1"/>
  <c r="V1826" i="1"/>
  <c r="V1832" i="1"/>
  <c r="V1837" i="1"/>
  <c r="V1842" i="1"/>
  <c r="V1848" i="1"/>
  <c r="V1853" i="1"/>
  <c r="V1858" i="1"/>
  <c r="V1864" i="1"/>
  <c r="V1869" i="1"/>
  <c r="V1874" i="1"/>
  <c r="V1880" i="1"/>
  <c r="V1885" i="1"/>
  <c r="V1890" i="1"/>
  <c r="V1896" i="1"/>
  <c r="V1901" i="1"/>
  <c r="V1906" i="1"/>
  <c r="V1912" i="1"/>
  <c r="V1917" i="1"/>
  <c r="V1922" i="1"/>
  <c r="V1928" i="1"/>
  <c r="V1933" i="1"/>
  <c r="V1938" i="1"/>
  <c r="V1944" i="1"/>
  <c r="V1949" i="1"/>
  <c r="V1954" i="1"/>
  <c r="V1959" i="1"/>
  <c r="V1963" i="1"/>
  <c r="V1967" i="1"/>
  <c r="V1971" i="1"/>
  <c r="V1975" i="1"/>
  <c r="V1979" i="1"/>
  <c r="V1983" i="1"/>
  <c r="V1987" i="1"/>
  <c r="V1991" i="1"/>
  <c r="V1995" i="1"/>
  <c r="V1999" i="1"/>
  <c r="V2003" i="1"/>
  <c r="V2007" i="1"/>
  <c r="V2011" i="1"/>
  <c r="V2015" i="1"/>
  <c r="V2019" i="1"/>
  <c r="V2023" i="1"/>
  <c r="V2027" i="1"/>
  <c r="V2031" i="1"/>
  <c r="V2035" i="1"/>
  <c r="V2039" i="1"/>
  <c r="V2043" i="1"/>
  <c r="V2047" i="1"/>
  <c r="V2051" i="1"/>
  <c r="V2055" i="1"/>
  <c r="V2059" i="1"/>
  <c r="V2063" i="1"/>
  <c r="V2067" i="1"/>
  <c r="V2071" i="1"/>
  <c r="V2075" i="1"/>
  <c r="V2079" i="1"/>
  <c r="V2083" i="1"/>
  <c r="V2087" i="1"/>
  <c r="V2091" i="1"/>
  <c r="V2095" i="1"/>
  <c r="V2099" i="1"/>
  <c r="V2103" i="1"/>
  <c r="V2107" i="1"/>
  <c r="V2111" i="1"/>
  <c r="V2115" i="1"/>
  <c r="V2119" i="1"/>
  <c r="V2123" i="1"/>
  <c r="V2127" i="1"/>
  <c r="V2131" i="1"/>
  <c r="V2135" i="1"/>
  <c r="V2139" i="1"/>
  <c r="V2143" i="1"/>
  <c r="V2147" i="1"/>
  <c r="V2151" i="1"/>
  <c r="V2155" i="1"/>
  <c r="V2159" i="1"/>
  <c r="V2163" i="1"/>
  <c r="V2167" i="1"/>
  <c r="V2171" i="1"/>
  <c r="V2175" i="1"/>
  <c r="V2179" i="1"/>
  <c r="V2183" i="1"/>
  <c r="V2187" i="1"/>
  <c r="V2191" i="1"/>
  <c r="V2195" i="1"/>
  <c r="V2199" i="1"/>
  <c r="V2203" i="1"/>
  <c r="V2207" i="1"/>
  <c r="V2211" i="1"/>
  <c r="V2215" i="1"/>
  <c r="V2219" i="1"/>
  <c r="V2223" i="1"/>
  <c r="V2227" i="1"/>
  <c r="V2231" i="1"/>
  <c r="V2235" i="1"/>
  <c r="V2239" i="1"/>
  <c r="V2243" i="1"/>
  <c r="V2247" i="1"/>
  <c r="V2251" i="1"/>
  <c r="V2255" i="1"/>
  <c r="V2259" i="1"/>
  <c r="V2263" i="1"/>
  <c r="V2267" i="1"/>
  <c r="V2271" i="1"/>
  <c r="V2275" i="1"/>
  <c r="V2279" i="1"/>
  <c r="V2283" i="1"/>
  <c r="V2287" i="1"/>
  <c r="V2291" i="1"/>
  <c r="V2295" i="1"/>
  <c r="V2299" i="1"/>
  <c r="V2303" i="1"/>
  <c r="V2307" i="1"/>
  <c r="V2311" i="1"/>
  <c r="V2315" i="1"/>
  <c r="V2319" i="1"/>
  <c r="V2323" i="1"/>
  <c r="V2327" i="1"/>
  <c r="V2331" i="1"/>
  <c r="V2335" i="1"/>
  <c r="V2339" i="1"/>
  <c r="V2343" i="1"/>
  <c r="V2347" i="1"/>
  <c r="V2351" i="1"/>
  <c r="V2355" i="1"/>
  <c r="V2359" i="1"/>
  <c r="V2363" i="1"/>
  <c r="V2367" i="1"/>
  <c r="V2371" i="1"/>
  <c r="V2375" i="1"/>
  <c r="V2379" i="1"/>
  <c r="V2383" i="1"/>
  <c r="V2387" i="1"/>
  <c r="V2391" i="1"/>
  <c r="V2395" i="1"/>
  <c r="V2399" i="1"/>
  <c r="V2403" i="1"/>
  <c r="V2407" i="1"/>
  <c r="V2411" i="1"/>
  <c r="V2415" i="1"/>
  <c r="V2419" i="1"/>
  <c r="V2423" i="1"/>
  <c r="V2427" i="1"/>
  <c r="V2431" i="1"/>
  <c r="V2435" i="1"/>
  <c r="V2439" i="1"/>
  <c r="V1750" i="1"/>
  <c r="V1758" i="1"/>
  <c r="V1764" i="1"/>
  <c r="V1769" i="1"/>
  <c r="V1774" i="1"/>
  <c r="V1780" i="1"/>
  <c r="V1785" i="1"/>
  <c r="V1790" i="1"/>
  <c r="V1796" i="1"/>
  <c r="V1801" i="1"/>
  <c r="V1806" i="1"/>
  <c r="V1812" i="1"/>
  <c r="V1817" i="1"/>
  <c r="V1822" i="1"/>
  <c r="V1828" i="1"/>
  <c r="V1833" i="1"/>
  <c r="V1838" i="1"/>
  <c r="V1844" i="1"/>
  <c r="V1849" i="1"/>
  <c r="V1854" i="1"/>
  <c r="V1860" i="1"/>
  <c r="V1865" i="1"/>
  <c r="V1870" i="1"/>
  <c r="V1876" i="1"/>
  <c r="V1881" i="1"/>
  <c r="V1886" i="1"/>
  <c r="V1892" i="1"/>
  <c r="V1897" i="1"/>
  <c r="V1902" i="1"/>
  <c r="V1908" i="1"/>
  <c r="V1913" i="1"/>
  <c r="V1918" i="1"/>
  <c r="V1924" i="1"/>
  <c r="V1929" i="1"/>
  <c r="V1934" i="1"/>
  <c r="V1940" i="1"/>
  <c r="V1945" i="1"/>
  <c r="V1950" i="1"/>
  <c r="V1956" i="1"/>
  <c r="V1960" i="1"/>
  <c r="V1964" i="1"/>
  <c r="V1968" i="1"/>
  <c r="V1972" i="1"/>
  <c r="V1976" i="1"/>
  <c r="V1980" i="1"/>
  <c r="V1984" i="1"/>
  <c r="V1988" i="1"/>
  <c r="V1992" i="1"/>
  <c r="V1996" i="1"/>
  <c r="V2000" i="1"/>
  <c r="V2004" i="1"/>
  <c r="V2008" i="1"/>
  <c r="V2012" i="1"/>
  <c r="V2016" i="1"/>
  <c r="V2020" i="1"/>
  <c r="V2024" i="1"/>
  <c r="V2028" i="1"/>
  <c r="V2032" i="1"/>
  <c r="V2036" i="1"/>
  <c r="V2040" i="1"/>
  <c r="V2044" i="1"/>
  <c r="V2048" i="1"/>
  <c r="V2052" i="1"/>
  <c r="V2056" i="1"/>
  <c r="V2060" i="1"/>
  <c r="V2064" i="1"/>
  <c r="V2068" i="1"/>
  <c r="V2072" i="1"/>
  <c r="V2076" i="1"/>
  <c r="V2080" i="1"/>
  <c r="V2084" i="1"/>
  <c r="V2088" i="1"/>
  <c r="V2092" i="1"/>
  <c r="V2096" i="1"/>
  <c r="V2100" i="1"/>
  <c r="V2104" i="1"/>
  <c r="V2108" i="1"/>
  <c r="V2112" i="1"/>
  <c r="V2116" i="1"/>
  <c r="V2120" i="1"/>
  <c r="V2124" i="1"/>
  <c r="V2128" i="1"/>
  <c r="V2132" i="1"/>
  <c r="V2136" i="1"/>
  <c r="V2140" i="1"/>
  <c r="V2144" i="1"/>
  <c r="V2148" i="1"/>
  <c r="V2152" i="1"/>
  <c r="V2156" i="1"/>
  <c r="V2160" i="1"/>
  <c r="V2164" i="1"/>
  <c r="V2168" i="1"/>
  <c r="V2172" i="1"/>
  <c r="V2176" i="1"/>
  <c r="V2180" i="1"/>
  <c r="V2184" i="1"/>
  <c r="V2188" i="1"/>
  <c r="V2192" i="1"/>
  <c r="V2196" i="1"/>
  <c r="V2200" i="1"/>
  <c r="V2204" i="1"/>
  <c r="V2208" i="1"/>
  <c r="V2212" i="1"/>
  <c r="V2216" i="1"/>
  <c r="V2220" i="1"/>
  <c r="V2224" i="1"/>
  <c r="V2228" i="1"/>
  <c r="V2232" i="1"/>
  <c r="V2236" i="1"/>
  <c r="V2240" i="1"/>
  <c r="V2244" i="1"/>
  <c r="V2248" i="1"/>
  <c r="V2252" i="1"/>
  <c r="V2256" i="1"/>
  <c r="V2260" i="1"/>
  <c r="V2264" i="1"/>
  <c r="V2268" i="1"/>
  <c r="V2272" i="1"/>
  <c r="V2276" i="1"/>
  <c r="V2280" i="1"/>
  <c r="V2284" i="1"/>
  <c r="V2288" i="1"/>
  <c r="V2292" i="1"/>
  <c r="V2296" i="1"/>
  <c r="V2300" i="1"/>
  <c r="V2304" i="1"/>
  <c r="V2308" i="1"/>
  <c r="V2312" i="1"/>
  <c r="V2316" i="1"/>
  <c r="V2320" i="1"/>
  <c r="V2324" i="1"/>
  <c r="V2328" i="1"/>
  <c r="V2332" i="1"/>
  <c r="V2336" i="1"/>
  <c r="V2340" i="1"/>
  <c r="V2344" i="1"/>
  <c r="V2348" i="1"/>
  <c r="V2352" i="1"/>
  <c r="V2356" i="1"/>
  <c r="V2360" i="1"/>
  <c r="V2364" i="1"/>
  <c r="V2368" i="1"/>
  <c r="V2372" i="1"/>
  <c r="V2376" i="1"/>
  <c r="V2380" i="1"/>
  <c r="V2384" i="1"/>
  <c r="V2388" i="1"/>
  <c r="V2392" i="1"/>
  <c r="V2396" i="1"/>
  <c r="V2400" i="1"/>
  <c r="V2404" i="1"/>
  <c r="V2408" i="1"/>
  <c r="V2412" i="1"/>
  <c r="V2416" i="1"/>
  <c r="V2420" i="1"/>
  <c r="V2424" i="1"/>
  <c r="V2428" i="1"/>
  <c r="V2432" i="1"/>
  <c r="V2436" i="1"/>
  <c r="V1753" i="1"/>
  <c r="V1760" i="1"/>
  <c r="V1765" i="1"/>
  <c r="V1770" i="1"/>
  <c r="V1776" i="1"/>
  <c r="V1781" i="1"/>
  <c r="V1786" i="1"/>
  <c r="V1792" i="1"/>
  <c r="V1797" i="1"/>
  <c r="V1802" i="1"/>
  <c r="V1808" i="1"/>
  <c r="V1813" i="1"/>
  <c r="V1818" i="1"/>
  <c r="V1824" i="1"/>
  <c r="V1829" i="1"/>
  <c r="V1834" i="1"/>
  <c r="V1840" i="1"/>
  <c r="V1845" i="1"/>
  <c r="V1850" i="1"/>
  <c r="V1856" i="1"/>
  <c r="V1861" i="1"/>
  <c r="V1866" i="1"/>
  <c r="V1872" i="1"/>
  <c r="V1877" i="1"/>
  <c r="V1882" i="1"/>
  <c r="V1888" i="1"/>
  <c r="V1893" i="1"/>
  <c r="V1898" i="1"/>
  <c r="V1904" i="1"/>
  <c r="V1909" i="1"/>
  <c r="V1914" i="1"/>
  <c r="V1920" i="1"/>
  <c r="V1925" i="1"/>
  <c r="V1930" i="1"/>
  <c r="V1936" i="1"/>
  <c r="V1941" i="1"/>
  <c r="V1946" i="1"/>
  <c r="V1952" i="1"/>
  <c r="V1957" i="1"/>
  <c r="V1961" i="1"/>
  <c r="V1965" i="1"/>
  <c r="V1969" i="1"/>
  <c r="V1973" i="1"/>
  <c r="V1977" i="1"/>
  <c r="V1981" i="1"/>
  <c r="V1985" i="1"/>
  <c r="V1989" i="1"/>
  <c r="V1993" i="1"/>
  <c r="V1997" i="1"/>
  <c r="V2001" i="1"/>
  <c r="V2005" i="1"/>
  <c r="V2009" i="1"/>
  <c r="V2013" i="1"/>
  <c r="V2017" i="1"/>
  <c r="V2021" i="1"/>
  <c r="V2025" i="1"/>
  <c r="V2029" i="1"/>
  <c r="V2033" i="1"/>
  <c r="V2037" i="1"/>
  <c r="V2041" i="1"/>
  <c r="V2045" i="1"/>
  <c r="V2049" i="1"/>
  <c r="V2053" i="1"/>
  <c r="V2057" i="1"/>
  <c r="V2061" i="1"/>
  <c r="V2065" i="1"/>
  <c r="V2069" i="1"/>
  <c r="V2073" i="1"/>
  <c r="V2077" i="1"/>
  <c r="V2081" i="1"/>
  <c r="V2085" i="1"/>
  <c r="V2089" i="1"/>
  <c r="V2093" i="1"/>
  <c r="V2097" i="1"/>
  <c r="V2101" i="1"/>
  <c r="V2105" i="1"/>
  <c r="V2109" i="1"/>
  <c r="V2113" i="1"/>
  <c r="V2117" i="1"/>
  <c r="V2121" i="1"/>
  <c r="V2125" i="1"/>
  <c r="V2129" i="1"/>
  <c r="V2133" i="1"/>
  <c r="V2137" i="1"/>
  <c r="V2141" i="1"/>
  <c r="V2145" i="1"/>
  <c r="V2149" i="1"/>
  <c r="V2153" i="1"/>
  <c r="V2157" i="1"/>
  <c r="V2161" i="1"/>
  <c r="V2165" i="1"/>
  <c r="V2169" i="1"/>
  <c r="V2173" i="1"/>
  <c r="V2177" i="1"/>
  <c r="V2181" i="1"/>
  <c r="V2185" i="1"/>
  <c r="V2189" i="1"/>
  <c r="V2193" i="1"/>
  <c r="V2197" i="1"/>
  <c r="V2201" i="1"/>
  <c r="V2205" i="1"/>
  <c r="V2209" i="1"/>
  <c r="V2213" i="1"/>
  <c r="V2217" i="1"/>
  <c r="V2221" i="1"/>
  <c r="V2225" i="1"/>
  <c r="V2229" i="1"/>
  <c r="V2233" i="1"/>
  <c r="V2237" i="1"/>
  <c r="V2241" i="1"/>
  <c r="V2245" i="1"/>
  <c r="V2249" i="1"/>
  <c r="V2253" i="1"/>
  <c r="V2257" i="1"/>
  <c r="V2261" i="1"/>
  <c r="V2265" i="1"/>
  <c r="V2269" i="1"/>
  <c r="V2273" i="1"/>
  <c r="V2277" i="1"/>
  <c r="V2281" i="1"/>
  <c r="V2285" i="1"/>
  <c r="V2289" i="1"/>
  <c r="V2293" i="1"/>
  <c r="V2297" i="1"/>
  <c r="V2301" i="1"/>
  <c r="V2305" i="1"/>
  <c r="V2309" i="1"/>
  <c r="V2313" i="1"/>
  <c r="V2317" i="1"/>
  <c r="V2321" i="1"/>
  <c r="V2325" i="1"/>
  <c r="V2329" i="1"/>
  <c r="V2333" i="1"/>
  <c r="V2337" i="1"/>
  <c r="V2341" i="1"/>
  <c r="V2345" i="1"/>
  <c r="V2349" i="1"/>
  <c r="V2353" i="1"/>
  <c r="V2357" i="1"/>
  <c r="V2361" i="1"/>
  <c r="V2365" i="1"/>
  <c r="V2369" i="1"/>
  <c r="V2373" i="1"/>
  <c r="V2377" i="1"/>
  <c r="V2381" i="1"/>
  <c r="V2385" i="1"/>
  <c r="V2389" i="1"/>
  <c r="V2393" i="1"/>
  <c r="V2397" i="1"/>
  <c r="V2401" i="1"/>
  <c r="V2405" i="1"/>
  <c r="V2409" i="1"/>
  <c r="V2413" i="1"/>
  <c r="V2417" i="1"/>
  <c r="V2421" i="1"/>
  <c r="V2425" i="1"/>
  <c r="V2429" i="1"/>
  <c r="V2433" i="1"/>
  <c r="V2437" i="1"/>
  <c r="V2441" i="1"/>
  <c r="V2445" i="1"/>
  <c r="V2449" i="1"/>
  <c r="V2453" i="1"/>
  <c r="V2457" i="1"/>
  <c r="V2461" i="1"/>
  <c r="V2465" i="1"/>
  <c r="V2469" i="1"/>
  <c r="V2473" i="1"/>
  <c r="V2477" i="1"/>
  <c r="V2481" i="1"/>
  <c r="V2485" i="1"/>
  <c r="V2489" i="1"/>
  <c r="V2493" i="1"/>
  <c r="V2497" i="1"/>
  <c r="V2501" i="1"/>
  <c r="V2505" i="1"/>
  <c r="V2509" i="1"/>
  <c r="V2513" i="1"/>
  <c r="V2517" i="1"/>
  <c r="V2521" i="1"/>
  <c r="V2525" i="1"/>
  <c r="V2529" i="1"/>
  <c r="V2533" i="1"/>
  <c r="V2537" i="1"/>
  <c r="V2541" i="1"/>
  <c r="V2545" i="1"/>
  <c r="V2549" i="1"/>
  <c r="V2553" i="1"/>
  <c r="V2557" i="1"/>
  <c r="V2561" i="1"/>
  <c r="V2565" i="1"/>
  <c r="V2569" i="1"/>
  <c r="V2573" i="1"/>
  <c r="V2577" i="1"/>
  <c r="V2581" i="1"/>
  <c r="V2585" i="1"/>
  <c r="V2589" i="1"/>
  <c r="V2593" i="1"/>
  <c r="V2597" i="1"/>
  <c r="V2601" i="1"/>
  <c r="V2605" i="1"/>
  <c r="V2609" i="1"/>
  <c r="V2613" i="1"/>
  <c r="V2617" i="1"/>
  <c r="V2621" i="1"/>
  <c r="V2625" i="1"/>
  <c r="V2629" i="1"/>
  <c r="V2633" i="1"/>
  <c r="V2637" i="1"/>
  <c r="V2641" i="1"/>
  <c r="V2645" i="1"/>
  <c r="V2649" i="1"/>
  <c r="V2653" i="1"/>
  <c r="V2657" i="1"/>
  <c r="V2661" i="1"/>
  <c r="V2665" i="1"/>
  <c r="V2669" i="1"/>
  <c r="V2673" i="1"/>
  <c r="V2677" i="1"/>
  <c r="V2681" i="1"/>
  <c r="V2440" i="1"/>
  <c r="V2448" i="1"/>
  <c r="V2456" i="1"/>
  <c r="V2464" i="1"/>
  <c r="V2472" i="1"/>
  <c r="V2480" i="1"/>
  <c r="V2486" i="1"/>
  <c r="V2491" i="1"/>
  <c r="V2496" i="1"/>
  <c r="V2502" i="1"/>
  <c r="V2507" i="1"/>
  <c r="V2512" i="1"/>
  <c r="V2518" i="1"/>
  <c r="V2523" i="1"/>
  <c r="V2528" i="1"/>
  <c r="V2534" i="1"/>
  <c r="V2539" i="1"/>
  <c r="V2544" i="1"/>
  <c r="V2550" i="1"/>
  <c r="V2555" i="1"/>
  <c r="V2560" i="1"/>
  <c r="V2566" i="1"/>
  <c r="V2571" i="1"/>
  <c r="V2576" i="1"/>
  <c r="V2582" i="1"/>
  <c r="V2587" i="1"/>
  <c r="V2592" i="1"/>
  <c r="V2598" i="1"/>
  <c r="V2603" i="1"/>
  <c r="V2608" i="1"/>
  <c r="V2614" i="1"/>
  <c r="V2619" i="1"/>
  <c r="V2624" i="1"/>
  <c r="V2630" i="1"/>
  <c r="V2635" i="1"/>
  <c r="V2640" i="1"/>
  <c r="V2646" i="1"/>
  <c r="V2651" i="1"/>
  <c r="V2656" i="1"/>
  <c r="V2662" i="1"/>
  <c r="V2667" i="1"/>
  <c r="V2672" i="1"/>
  <c r="V2678" i="1"/>
  <c r="V2683" i="1"/>
  <c r="V2687" i="1"/>
  <c r="V2691" i="1"/>
  <c r="V2695" i="1"/>
  <c r="V2699" i="1"/>
  <c r="V2703" i="1"/>
  <c r="V2707" i="1"/>
  <c r="V2711" i="1"/>
  <c r="V2715" i="1"/>
  <c r="V2719" i="1"/>
  <c r="V2723" i="1"/>
  <c r="V2727" i="1"/>
  <c r="V2731" i="1"/>
  <c r="V2735" i="1"/>
  <c r="V2739" i="1"/>
  <c r="V2743" i="1"/>
  <c r="V2747" i="1"/>
  <c r="V2751" i="1"/>
  <c r="V2755" i="1"/>
  <c r="V2759" i="1"/>
  <c r="V2763" i="1"/>
  <c r="V2767" i="1"/>
  <c r="V2771" i="1"/>
  <c r="V2775" i="1"/>
  <c r="V2779" i="1"/>
  <c r="V2783" i="1"/>
  <c r="V2787" i="1"/>
  <c r="V2791" i="1"/>
  <c r="V2795" i="1"/>
  <c r="V2799" i="1"/>
  <c r="V2803" i="1"/>
  <c r="V2807" i="1"/>
  <c r="V2811" i="1"/>
  <c r="V2815" i="1"/>
  <c r="V2819" i="1"/>
  <c r="V2823" i="1"/>
  <c r="V2827" i="1"/>
  <c r="V2831" i="1"/>
  <c r="V2835" i="1"/>
  <c r="V2839" i="1"/>
  <c r="V2843" i="1"/>
  <c r="V2847" i="1"/>
  <c r="V2851" i="1"/>
  <c r="V2855" i="1"/>
  <c r="V2859" i="1"/>
  <c r="V2863" i="1"/>
  <c r="V2867" i="1"/>
  <c r="V2871" i="1"/>
  <c r="V2875" i="1"/>
  <c r="V2879" i="1"/>
  <c r="V2883" i="1"/>
  <c r="V2887" i="1"/>
  <c r="V2891" i="1"/>
  <c r="V2895" i="1"/>
  <c r="V2899" i="1"/>
  <c r="V2903" i="1"/>
  <c r="V2907" i="1"/>
  <c r="V2911" i="1"/>
  <c r="V2915" i="1"/>
  <c r="V2919" i="1"/>
  <c r="V2923" i="1"/>
  <c r="V2927" i="1"/>
  <c r="V2931" i="1"/>
  <c r="V2935" i="1"/>
  <c r="V2939" i="1"/>
  <c r="V2943" i="1"/>
  <c r="V2947" i="1"/>
  <c r="V2951" i="1"/>
  <c r="V2955" i="1"/>
  <c r="V2959" i="1"/>
  <c r="V2963" i="1"/>
  <c r="V2967" i="1"/>
  <c r="V2971" i="1"/>
  <c r="V2975" i="1"/>
  <c r="V2979" i="1"/>
  <c r="V2983" i="1"/>
  <c r="V2987" i="1"/>
  <c r="V2991" i="1"/>
  <c r="V2995" i="1"/>
  <c r="V2999" i="1"/>
  <c r="V3003" i="1"/>
  <c r="V3007" i="1"/>
  <c r="V3011" i="1"/>
  <c r="V3015" i="1"/>
  <c r="V3019" i="1"/>
  <c r="V3023" i="1"/>
  <c r="V3027" i="1"/>
  <c r="V3031" i="1"/>
  <c r="V3035" i="1"/>
  <c r="V3039" i="1"/>
  <c r="V3043" i="1"/>
  <c r="V3047" i="1"/>
  <c r="V3051" i="1"/>
  <c r="V3055" i="1"/>
  <c r="V3059" i="1"/>
  <c r="V3063" i="1"/>
  <c r="V3067" i="1"/>
  <c r="V3071" i="1"/>
  <c r="V3075" i="1"/>
  <c r="V3079" i="1"/>
  <c r="V3083" i="1"/>
  <c r="V3087" i="1"/>
  <c r="V3091" i="1"/>
  <c r="V3095" i="1"/>
  <c r="V3099" i="1"/>
  <c r="V3103" i="1"/>
  <c r="V3107" i="1"/>
  <c r="V3111" i="1"/>
  <c r="V3115" i="1"/>
  <c r="V3119" i="1"/>
  <c r="V3123" i="1"/>
  <c r="V3127" i="1"/>
  <c r="V3131" i="1"/>
  <c r="V3135" i="1"/>
  <c r="V3139" i="1"/>
  <c r="V3143" i="1"/>
  <c r="V3147" i="1"/>
  <c r="V3151" i="1"/>
  <c r="V3155" i="1"/>
  <c r="V3159" i="1"/>
  <c r="V3163" i="1"/>
  <c r="V3167" i="1"/>
  <c r="V3171" i="1"/>
  <c r="V3175" i="1"/>
  <c r="V3179" i="1"/>
  <c r="V3183" i="1"/>
  <c r="V3187" i="1"/>
  <c r="V3191" i="1"/>
  <c r="V3195" i="1"/>
  <c r="V3199" i="1"/>
  <c r="V3203" i="1"/>
  <c r="V3207" i="1"/>
  <c r="V3211" i="1"/>
  <c r="V3215" i="1"/>
  <c r="V3219" i="1"/>
  <c r="V2443" i="1"/>
  <c r="V2451" i="1"/>
  <c r="V2459" i="1"/>
  <c r="V2467" i="1"/>
  <c r="V2475" i="1"/>
  <c r="V2482" i="1"/>
  <c r="V2487" i="1"/>
  <c r="V2492" i="1"/>
  <c r="V2498" i="1"/>
  <c r="V2503" i="1"/>
  <c r="V2508" i="1"/>
  <c r="V2514" i="1"/>
  <c r="V2519" i="1"/>
  <c r="V2524" i="1"/>
  <c r="V2530" i="1"/>
  <c r="V2535" i="1"/>
  <c r="V2540" i="1"/>
  <c r="V2546" i="1"/>
  <c r="V2551" i="1"/>
  <c r="V2556" i="1"/>
  <c r="V2562" i="1"/>
  <c r="V2567" i="1"/>
  <c r="V2572" i="1"/>
  <c r="V2578" i="1"/>
  <c r="V2583" i="1"/>
  <c r="V2588" i="1"/>
  <c r="V2594" i="1"/>
  <c r="V2599" i="1"/>
  <c r="V2604" i="1"/>
  <c r="V2610" i="1"/>
  <c r="V2615" i="1"/>
  <c r="V2620" i="1"/>
  <c r="V2626" i="1"/>
  <c r="V2631" i="1"/>
  <c r="V2636" i="1"/>
  <c r="V2642" i="1"/>
  <c r="V2647" i="1"/>
  <c r="V2652" i="1"/>
  <c r="V2658" i="1"/>
  <c r="V2663" i="1"/>
  <c r="V2668" i="1"/>
  <c r="V2674" i="1"/>
  <c r="V2679" i="1"/>
  <c r="V2684" i="1"/>
  <c r="V2688" i="1"/>
  <c r="V2692" i="1"/>
  <c r="V2696" i="1"/>
  <c r="V2700" i="1"/>
  <c r="V2704" i="1"/>
  <c r="V2708" i="1"/>
  <c r="V2712" i="1"/>
  <c r="V2716" i="1"/>
  <c r="V2720" i="1"/>
  <c r="V2724" i="1"/>
  <c r="V2728" i="1"/>
  <c r="V2732" i="1"/>
  <c r="V2736" i="1"/>
  <c r="V2740" i="1"/>
  <c r="V2744" i="1"/>
  <c r="V2748" i="1"/>
  <c r="V2752" i="1"/>
  <c r="V2756" i="1"/>
  <c r="V2760" i="1"/>
  <c r="V2764" i="1"/>
  <c r="V2768" i="1"/>
  <c r="V2772" i="1"/>
  <c r="V2776" i="1"/>
  <c r="V2780" i="1"/>
  <c r="V2784" i="1"/>
  <c r="V2788" i="1"/>
  <c r="V2792" i="1"/>
  <c r="V2796" i="1"/>
  <c r="V2800" i="1"/>
  <c r="V2804" i="1"/>
  <c r="V2808" i="1"/>
  <c r="V2812" i="1"/>
  <c r="V2816" i="1"/>
  <c r="V2820" i="1"/>
  <c r="V2824" i="1"/>
  <c r="V2828" i="1"/>
  <c r="V2832" i="1"/>
  <c r="V2836" i="1"/>
  <c r="V2840" i="1"/>
  <c r="V2844" i="1"/>
  <c r="V2848" i="1"/>
  <c r="V2852" i="1"/>
  <c r="V2856" i="1"/>
  <c r="V2860" i="1"/>
  <c r="V2864" i="1"/>
  <c r="V2868" i="1"/>
  <c r="V2872" i="1"/>
  <c r="V2876" i="1"/>
  <c r="V2880" i="1"/>
  <c r="V2884" i="1"/>
  <c r="V2888" i="1"/>
  <c r="V2892" i="1"/>
  <c r="V2896" i="1"/>
  <c r="V2900" i="1"/>
  <c r="V2904" i="1"/>
  <c r="V2908" i="1"/>
  <c r="V2912" i="1"/>
  <c r="V2916" i="1"/>
  <c r="V2920" i="1"/>
  <c r="V2924" i="1"/>
  <c r="V2928" i="1"/>
  <c r="V2932" i="1"/>
  <c r="V2936" i="1"/>
  <c r="V2940" i="1"/>
  <c r="V2944" i="1"/>
  <c r="V2948" i="1"/>
  <c r="V2952" i="1"/>
  <c r="V2956" i="1"/>
  <c r="V2960" i="1"/>
  <c r="V2964" i="1"/>
  <c r="V2968" i="1"/>
  <c r="V2972" i="1"/>
  <c r="V2976" i="1"/>
  <c r="V2980" i="1"/>
  <c r="V2984" i="1"/>
  <c r="V2988" i="1"/>
  <c r="V2992" i="1"/>
  <c r="V2996" i="1"/>
  <c r="V3000" i="1"/>
  <c r="V3004" i="1"/>
  <c r="V3008" i="1"/>
  <c r="V3012" i="1"/>
  <c r="V3016" i="1"/>
  <c r="V3020" i="1"/>
  <c r="V3024" i="1"/>
  <c r="V3028" i="1"/>
  <c r="V3032" i="1"/>
  <c r="V3036" i="1"/>
  <c r="V3040" i="1"/>
  <c r="V3044" i="1"/>
  <c r="V3048" i="1"/>
  <c r="V3052" i="1"/>
  <c r="V3056" i="1"/>
  <c r="V3060" i="1"/>
  <c r="V3064" i="1"/>
  <c r="V3068" i="1"/>
  <c r="V3072" i="1"/>
  <c r="V3076" i="1"/>
  <c r="V3080" i="1"/>
  <c r="V3084" i="1"/>
  <c r="V3088" i="1"/>
  <c r="V3092" i="1"/>
  <c r="V3096" i="1"/>
  <c r="V3100" i="1"/>
  <c r="V3104" i="1"/>
  <c r="V3108" i="1"/>
  <c r="V3112" i="1"/>
  <c r="V3116" i="1"/>
  <c r="V3120" i="1"/>
  <c r="V3124" i="1"/>
  <c r="V3128" i="1"/>
  <c r="V3132" i="1"/>
  <c r="V3136" i="1"/>
  <c r="V3140" i="1"/>
  <c r="V3144" i="1"/>
  <c r="V3148" i="1"/>
  <c r="V3152" i="1"/>
  <c r="V3156" i="1"/>
  <c r="V3160" i="1"/>
  <c r="V3164" i="1"/>
  <c r="V3168" i="1"/>
  <c r="V3172" i="1"/>
  <c r="V3176" i="1"/>
  <c r="V3180" i="1"/>
  <c r="V3184" i="1"/>
  <c r="V3188" i="1"/>
  <c r="V2444" i="1"/>
  <c r="V2452" i="1"/>
  <c r="V2460" i="1"/>
  <c r="V2468" i="1"/>
  <c r="V2476" i="1"/>
  <c r="V2483" i="1"/>
  <c r="V2488" i="1"/>
  <c r="V2494" i="1"/>
  <c r="V2499" i="1"/>
  <c r="V2504" i="1"/>
  <c r="V2510" i="1"/>
  <c r="V2515" i="1"/>
  <c r="V2520" i="1"/>
  <c r="V2526" i="1"/>
  <c r="V2531" i="1"/>
  <c r="V2536" i="1"/>
  <c r="V2542" i="1"/>
  <c r="V2547" i="1"/>
  <c r="V2552" i="1"/>
  <c r="V2558" i="1"/>
  <c r="V2563" i="1"/>
  <c r="V2568" i="1"/>
  <c r="V2574" i="1"/>
  <c r="V2579" i="1"/>
  <c r="V2584" i="1"/>
  <c r="V2590" i="1"/>
  <c r="V2595" i="1"/>
  <c r="V2600" i="1"/>
  <c r="V2606" i="1"/>
  <c r="V2611" i="1"/>
  <c r="V2616" i="1"/>
  <c r="V2622" i="1"/>
  <c r="V2627" i="1"/>
  <c r="V2632" i="1"/>
  <c r="V2638" i="1"/>
  <c r="V2643" i="1"/>
  <c r="V2648" i="1"/>
  <c r="V2654" i="1"/>
  <c r="V2659" i="1"/>
  <c r="V2664" i="1"/>
  <c r="V2670" i="1"/>
  <c r="V2675" i="1"/>
  <c r="V2680" i="1"/>
  <c r="V2685" i="1"/>
  <c r="V2689" i="1"/>
  <c r="V2693" i="1"/>
  <c r="V2697" i="1"/>
  <c r="V2701" i="1"/>
  <c r="V2705" i="1"/>
  <c r="V2709" i="1"/>
  <c r="V2713" i="1"/>
  <c r="V2717" i="1"/>
  <c r="V2721" i="1"/>
  <c r="V2725" i="1"/>
  <c r="V2729" i="1"/>
  <c r="V2733" i="1"/>
  <c r="V2737" i="1"/>
  <c r="V2741" i="1"/>
  <c r="V2745" i="1"/>
  <c r="V2749" i="1"/>
  <c r="V2753" i="1"/>
  <c r="V2757" i="1"/>
  <c r="V2761" i="1"/>
  <c r="V2765" i="1"/>
  <c r="V2769" i="1"/>
  <c r="V2773" i="1"/>
  <c r="V2777" i="1"/>
  <c r="V2781" i="1"/>
  <c r="V2785" i="1"/>
  <c r="V2789" i="1"/>
  <c r="V2793" i="1"/>
  <c r="V2797" i="1"/>
  <c r="V2801" i="1"/>
  <c r="V2805" i="1"/>
  <c r="V2809" i="1"/>
  <c r="V2813" i="1"/>
  <c r="V2817" i="1"/>
  <c r="V2821" i="1"/>
  <c r="V2825" i="1"/>
  <c r="V2829" i="1"/>
  <c r="V2833" i="1"/>
  <c r="V2837" i="1"/>
  <c r="V2841" i="1"/>
  <c r="V2845" i="1"/>
  <c r="V2849" i="1"/>
  <c r="V2853" i="1"/>
  <c r="V2857" i="1"/>
  <c r="V2861" i="1"/>
  <c r="V2865" i="1"/>
  <c r="V2869" i="1"/>
  <c r="V2873" i="1"/>
  <c r="V2877" i="1"/>
  <c r="V2881" i="1"/>
  <c r="V2885" i="1"/>
  <c r="V2889" i="1"/>
  <c r="V2893" i="1"/>
  <c r="V2897" i="1"/>
  <c r="V2901" i="1"/>
  <c r="V2905" i="1"/>
  <c r="V2909" i="1"/>
  <c r="V2913" i="1"/>
  <c r="V2917" i="1"/>
  <c r="V2921" i="1"/>
  <c r="V2925" i="1"/>
  <c r="V2929" i="1"/>
  <c r="V2933" i="1"/>
  <c r="V2937" i="1"/>
  <c r="V2941" i="1"/>
  <c r="V2945" i="1"/>
  <c r="V2949" i="1"/>
  <c r="V2953" i="1"/>
  <c r="V2957" i="1"/>
  <c r="V2961" i="1"/>
  <c r="V2965" i="1"/>
  <c r="V2969" i="1"/>
  <c r="V2973" i="1"/>
  <c r="V2977" i="1"/>
  <c r="V2981" i="1"/>
  <c r="V2985" i="1"/>
  <c r="V2989" i="1"/>
  <c r="V2993" i="1"/>
  <c r="V2997" i="1"/>
  <c r="V3001" i="1"/>
  <c r="V3005" i="1"/>
  <c r="V3009" i="1"/>
  <c r="V3013" i="1"/>
  <c r="V3017" i="1"/>
  <c r="V3021" i="1"/>
  <c r="V3025" i="1"/>
  <c r="V3029" i="1"/>
  <c r="V3033" i="1"/>
  <c r="V3037" i="1"/>
  <c r="V3041" i="1"/>
  <c r="V3045" i="1"/>
  <c r="V3049" i="1"/>
  <c r="V3053" i="1"/>
  <c r="V3057" i="1"/>
  <c r="V3061" i="1"/>
  <c r="V3065" i="1"/>
  <c r="V3069" i="1"/>
  <c r="V3073" i="1"/>
  <c r="V3077" i="1"/>
  <c r="V3081" i="1"/>
  <c r="V3085" i="1"/>
  <c r="V3089" i="1"/>
  <c r="V3093" i="1"/>
  <c r="V3097" i="1"/>
  <c r="V3101" i="1"/>
  <c r="V3105" i="1"/>
  <c r="V3109" i="1"/>
  <c r="V3113" i="1"/>
  <c r="V3117" i="1"/>
  <c r="V3121" i="1"/>
  <c r="V3125" i="1"/>
  <c r="V3129" i="1"/>
  <c r="V3133" i="1"/>
  <c r="V3137" i="1"/>
  <c r="V3141" i="1"/>
  <c r="V3145" i="1"/>
  <c r="V3149" i="1"/>
  <c r="V3153" i="1"/>
  <c r="V3157" i="1"/>
  <c r="V3161" i="1"/>
  <c r="V3165" i="1"/>
  <c r="V3169" i="1"/>
  <c r="V3173" i="1"/>
  <c r="V3177" i="1"/>
  <c r="V2447" i="1"/>
  <c r="V2455" i="1"/>
  <c r="V2463" i="1"/>
  <c r="V2471" i="1"/>
  <c r="V2479" i="1"/>
  <c r="V2484" i="1"/>
  <c r="V2490" i="1"/>
  <c r="V2495" i="1"/>
  <c r="V2500" i="1"/>
  <c r="V2506" i="1"/>
  <c r="V2511" i="1"/>
  <c r="V2516" i="1"/>
  <c r="V2522" i="1"/>
  <c r="V2527" i="1"/>
  <c r="V2532" i="1"/>
  <c r="V2538" i="1"/>
  <c r="V2543" i="1"/>
  <c r="V2548" i="1"/>
  <c r="V2554" i="1"/>
  <c r="V2559" i="1"/>
  <c r="V2564" i="1"/>
  <c r="V2570" i="1"/>
  <c r="V2575" i="1"/>
  <c r="V2580" i="1"/>
  <c r="V2586" i="1"/>
  <c r="V2591" i="1"/>
  <c r="V2596" i="1"/>
  <c r="V2602" i="1"/>
  <c r="V2607" i="1"/>
  <c r="V2612" i="1"/>
  <c r="V2618" i="1"/>
  <c r="V2623" i="1"/>
  <c r="V2628" i="1"/>
  <c r="V2634" i="1"/>
  <c r="V2639" i="1"/>
  <c r="V2644" i="1"/>
  <c r="V2650" i="1"/>
  <c r="V2655" i="1"/>
  <c r="V2660" i="1"/>
  <c r="V2666" i="1"/>
  <c r="V2671" i="1"/>
  <c r="V2676" i="1"/>
  <c r="V2682" i="1"/>
  <c r="V2686" i="1"/>
  <c r="V2690" i="1"/>
  <c r="V2694" i="1"/>
  <c r="V2698" i="1"/>
  <c r="V2702" i="1"/>
  <c r="V2706" i="1"/>
  <c r="V2710" i="1"/>
  <c r="V2714" i="1"/>
  <c r="V2718" i="1"/>
  <c r="V2722" i="1"/>
  <c r="V2726" i="1"/>
  <c r="V2730" i="1"/>
  <c r="V2734" i="1"/>
  <c r="V2738" i="1"/>
  <c r="V2742" i="1"/>
  <c r="V2746" i="1"/>
  <c r="V2750" i="1"/>
  <c r="V2754" i="1"/>
  <c r="V2758" i="1"/>
  <c r="V2762" i="1"/>
  <c r="V2766" i="1"/>
  <c r="V2770" i="1"/>
  <c r="V2774" i="1"/>
  <c r="V2778" i="1"/>
  <c r="V2782" i="1"/>
  <c r="V2786" i="1"/>
  <c r="V2790" i="1"/>
  <c r="V2794" i="1"/>
  <c r="V2798" i="1"/>
  <c r="V2802" i="1"/>
  <c r="V2806" i="1"/>
  <c r="V2810" i="1"/>
  <c r="V2814" i="1"/>
  <c r="V2818" i="1"/>
  <c r="V2822" i="1"/>
  <c r="V2826" i="1"/>
  <c r="V2830" i="1"/>
  <c r="V2834" i="1"/>
  <c r="V2838" i="1"/>
  <c r="V2842" i="1"/>
  <c r="V2846" i="1"/>
  <c r="V2850" i="1"/>
  <c r="V2854" i="1"/>
  <c r="V2858" i="1"/>
  <c r="V2862" i="1"/>
  <c r="V2866" i="1"/>
  <c r="V2870" i="1"/>
  <c r="V2874" i="1"/>
  <c r="V2878" i="1"/>
  <c r="V2882" i="1"/>
  <c r="V2886" i="1"/>
  <c r="V2890" i="1"/>
  <c r="V2894" i="1"/>
  <c r="V2898" i="1"/>
  <c r="V2902" i="1"/>
  <c r="V2906" i="1"/>
  <c r="V2910" i="1"/>
  <c r="V2914" i="1"/>
  <c r="V2918" i="1"/>
  <c r="V2922" i="1"/>
  <c r="V2926" i="1"/>
  <c r="V2930" i="1"/>
  <c r="V2934" i="1"/>
  <c r="V2938" i="1"/>
  <c r="V2942" i="1"/>
  <c r="V2946" i="1"/>
  <c r="V2950" i="1"/>
  <c r="V2954" i="1"/>
  <c r="V2958" i="1"/>
  <c r="V2962" i="1"/>
  <c r="V2966" i="1"/>
  <c r="V2970" i="1"/>
  <c r="V2974" i="1"/>
  <c r="V2978" i="1"/>
  <c r="V2982" i="1"/>
  <c r="V2986" i="1"/>
  <c r="V2990" i="1"/>
  <c r="V2994" i="1"/>
  <c r="V2998" i="1"/>
  <c r="V3002" i="1"/>
  <c r="V3006" i="1"/>
  <c r="V3010" i="1"/>
  <c r="V3014" i="1"/>
  <c r="V3018" i="1"/>
  <c r="V3022" i="1"/>
  <c r="V3026" i="1"/>
  <c r="V3030" i="1"/>
  <c r="V3034" i="1"/>
  <c r="V3038" i="1"/>
  <c r="V3042" i="1"/>
  <c r="V3046" i="1"/>
  <c r="V3050" i="1"/>
  <c r="V3054" i="1"/>
  <c r="V3058" i="1"/>
  <c r="V3062" i="1"/>
  <c r="V3066" i="1"/>
  <c r="V3070" i="1"/>
  <c r="V3074" i="1"/>
  <c r="V3078" i="1"/>
  <c r="V3082" i="1"/>
  <c r="V3086" i="1"/>
  <c r="V3090" i="1"/>
  <c r="V3094" i="1"/>
  <c r="V3098" i="1"/>
  <c r="V3102" i="1"/>
  <c r="V3106" i="1"/>
  <c r="V3110" i="1"/>
  <c r="V3114" i="1"/>
  <c r="V3118" i="1"/>
  <c r="V3122" i="1"/>
  <c r="V3126" i="1"/>
  <c r="V3130" i="1"/>
  <c r="V3134" i="1"/>
  <c r="V3138" i="1"/>
  <c r="V3142" i="1"/>
  <c r="V3146" i="1"/>
  <c r="V3150" i="1"/>
  <c r="V3154" i="1"/>
  <c r="V3158" i="1"/>
  <c r="V3162" i="1"/>
  <c r="V3166" i="1"/>
  <c r="V3170" i="1"/>
  <c r="V3174" i="1"/>
  <c r="V3178" i="1"/>
  <c r="V3182" i="1"/>
  <c r="V3186" i="1"/>
  <c r="V3190" i="1"/>
  <c r="V3194" i="1"/>
  <c r="V3198" i="1"/>
  <c r="V3202" i="1"/>
  <c r="V3206" i="1"/>
  <c r="V3210" i="1"/>
  <c r="V3214" i="1"/>
  <c r="V3218" i="1"/>
  <c r="V3222" i="1"/>
  <c r="V3226" i="1"/>
  <c r="V3230" i="1"/>
  <c r="V3234" i="1"/>
  <c r="V3238" i="1"/>
  <c r="V3242" i="1"/>
  <c r="V3246" i="1"/>
  <c r="V3250" i="1"/>
  <c r="V3254" i="1"/>
  <c r="V3258" i="1"/>
  <c r="V3262" i="1"/>
  <c r="V3266" i="1"/>
  <c r="V3270" i="1"/>
  <c r="V3274" i="1"/>
  <c r="V3278" i="1"/>
  <c r="V3282" i="1"/>
  <c r="V3286" i="1"/>
  <c r="V3290" i="1"/>
  <c r="V3294" i="1"/>
  <c r="V3298" i="1"/>
  <c r="V3302" i="1"/>
  <c r="V3306" i="1"/>
  <c r="V3310" i="1"/>
  <c r="V3314" i="1"/>
  <c r="V3318" i="1"/>
  <c r="V3322" i="1"/>
  <c r="V3326" i="1"/>
  <c r="V3330" i="1"/>
  <c r="V3334" i="1"/>
  <c r="V3338" i="1"/>
  <c r="V3181" i="1"/>
  <c r="V3193" i="1"/>
  <c r="V3201" i="1"/>
  <c r="V3209" i="1"/>
  <c r="V3217" i="1"/>
  <c r="V3224" i="1"/>
  <c r="V3229" i="1"/>
  <c r="V3235" i="1"/>
  <c r="V3240" i="1"/>
  <c r="V3245" i="1"/>
  <c r="V3251" i="1"/>
  <c r="V3256" i="1"/>
  <c r="V3261" i="1"/>
  <c r="V3267" i="1"/>
  <c r="V3272" i="1"/>
  <c r="V3277" i="1"/>
  <c r="V3283" i="1"/>
  <c r="V3288" i="1"/>
  <c r="V3293" i="1"/>
  <c r="V3299" i="1"/>
  <c r="V3304" i="1"/>
  <c r="V3309" i="1"/>
  <c r="V3315" i="1"/>
  <c r="V3320" i="1"/>
  <c r="V3325" i="1"/>
  <c r="V3331" i="1"/>
  <c r="V3336" i="1"/>
  <c r="V3341" i="1"/>
  <c r="V3345" i="1"/>
  <c r="V3349" i="1"/>
  <c r="V3353" i="1"/>
  <c r="V3357" i="1"/>
  <c r="V3361" i="1"/>
  <c r="V3365" i="1"/>
  <c r="V3369" i="1"/>
  <c r="V3373" i="1"/>
  <c r="V3377" i="1"/>
  <c r="V3381" i="1"/>
  <c r="V3385" i="1"/>
  <c r="V3389" i="1"/>
  <c r="V3393" i="1"/>
  <c r="V3397" i="1"/>
  <c r="V3401" i="1"/>
  <c r="V3405" i="1"/>
  <c r="V3409" i="1"/>
  <c r="V3413" i="1"/>
  <c r="V3417" i="1"/>
  <c r="V3421" i="1"/>
  <c r="V3425" i="1"/>
  <c r="V3429" i="1"/>
  <c r="V3433" i="1"/>
  <c r="V3437" i="1"/>
  <c r="V3441" i="1"/>
  <c r="V3445" i="1"/>
  <c r="V3449" i="1"/>
  <c r="V3453" i="1"/>
  <c r="V3457" i="1"/>
  <c r="V3461" i="1"/>
  <c r="V3465" i="1"/>
  <c r="V3469" i="1"/>
  <c r="V3473" i="1"/>
  <c r="V3477" i="1"/>
  <c r="V3481" i="1"/>
  <c r="V3485" i="1"/>
  <c r="V3489" i="1"/>
  <c r="V3493" i="1"/>
  <c r="V3497" i="1"/>
  <c r="V3501" i="1"/>
  <c r="V3505" i="1"/>
  <c r="V3509" i="1"/>
  <c r="V3513" i="1"/>
  <c r="V3517" i="1"/>
  <c r="V3521" i="1"/>
  <c r="V3525" i="1"/>
  <c r="V3529" i="1"/>
  <c r="V3533" i="1"/>
  <c r="V3537" i="1"/>
  <c r="V3541" i="1"/>
  <c r="V3545" i="1"/>
  <c r="V3549" i="1"/>
  <c r="V3553" i="1"/>
  <c r="V3557" i="1"/>
  <c r="V3561" i="1"/>
  <c r="V3565" i="1"/>
  <c r="V3569" i="1"/>
  <c r="V3573" i="1"/>
  <c r="V3577" i="1"/>
  <c r="V3581" i="1"/>
  <c r="V3585" i="1"/>
  <c r="V3589" i="1"/>
  <c r="V3593" i="1"/>
  <c r="V3597" i="1"/>
  <c r="V3601" i="1"/>
  <c r="V3605" i="1"/>
  <c r="V3609" i="1"/>
  <c r="V3613" i="1"/>
  <c r="V3617" i="1"/>
  <c r="V3621" i="1"/>
  <c r="V3625" i="1"/>
  <c r="V3629" i="1"/>
  <c r="V3633" i="1"/>
  <c r="V3637" i="1"/>
  <c r="V3641" i="1"/>
  <c r="V3645" i="1"/>
  <c r="V3649" i="1"/>
  <c r="V3653" i="1"/>
  <c r="V3657" i="1"/>
  <c r="V3661" i="1"/>
  <c r="V3665" i="1"/>
  <c r="V3669" i="1"/>
  <c r="V3673" i="1"/>
  <c r="V3677" i="1"/>
  <c r="V3681" i="1"/>
  <c r="V3685" i="1"/>
  <c r="V3689" i="1"/>
  <c r="V3693" i="1"/>
  <c r="V3697" i="1"/>
  <c r="V3701" i="1"/>
  <c r="V3705" i="1"/>
  <c r="V3709" i="1"/>
  <c r="V3713" i="1"/>
  <c r="V3717" i="1"/>
  <c r="V3721" i="1"/>
  <c r="V3725" i="1"/>
  <c r="V3729" i="1"/>
  <c r="V3733" i="1"/>
  <c r="V3737" i="1"/>
  <c r="V3741" i="1"/>
  <c r="V3745" i="1"/>
  <c r="V3749" i="1"/>
  <c r="V3753" i="1"/>
  <c r="V3757" i="1"/>
  <c r="V3761" i="1"/>
  <c r="V3765" i="1"/>
  <c r="V3769" i="1"/>
  <c r="V3773" i="1"/>
  <c r="V3777" i="1"/>
  <c r="V3781" i="1"/>
  <c r="V3785" i="1"/>
  <c r="V3789" i="1"/>
  <c r="V3793" i="1"/>
  <c r="V3797" i="1"/>
  <c r="V3801" i="1"/>
  <c r="V3805" i="1"/>
  <c r="V3809" i="1"/>
  <c r="V3813" i="1"/>
  <c r="V3817" i="1"/>
  <c r="V3821" i="1"/>
  <c r="V3825" i="1"/>
  <c r="V3829" i="1"/>
  <c r="V3833" i="1"/>
  <c r="V3837" i="1"/>
  <c r="V3841" i="1"/>
  <c r="V3845" i="1"/>
  <c r="V3849" i="1"/>
  <c r="V3853" i="1"/>
  <c r="V3857" i="1"/>
  <c r="V3861" i="1"/>
  <c r="V3865" i="1"/>
  <c r="V3869" i="1"/>
  <c r="V3873" i="1"/>
  <c r="V3877" i="1"/>
  <c r="V3881" i="1"/>
  <c r="V3885" i="1"/>
  <c r="V3889" i="1"/>
  <c r="V3893" i="1"/>
  <c r="V3897" i="1"/>
  <c r="V3901" i="1"/>
  <c r="V3905" i="1"/>
  <c r="V3909" i="1"/>
  <c r="V3913" i="1"/>
  <c r="V3917" i="1"/>
  <c r="V3921" i="1"/>
  <c r="V3925" i="1"/>
  <c r="V3929" i="1"/>
  <c r="V3933" i="1"/>
  <c r="V3937" i="1"/>
  <c r="V3941" i="1"/>
  <c r="V3945" i="1"/>
  <c r="V3949" i="1"/>
  <c r="V3953" i="1"/>
  <c r="V3957" i="1"/>
  <c r="V3961" i="1"/>
  <c r="V3965" i="1"/>
  <c r="V3969" i="1"/>
  <c r="V3973" i="1"/>
  <c r="V3977" i="1"/>
  <c r="V3981" i="1"/>
  <c r="V3985" i="1"/>
  <c r="V3989" i="1"/>
  <c r="V3993" i="1"/>
  <c r="V3997" i="1"/>
  <c r="V4001" i="1"/>
  <c r="V4005" i="1"/>
  <c r="V4009" i="1"/>
  <c r="V4013" i="1"/>
  <c r="V4017" i="1"/>
  <c r="V4021" i="1"/>
  <c r="V4025" i="1"/>
  <c r="V4029" i="1"/>
  <c r="V4033" i="1"/>
  <c r="V4037" i="1"/>
  <c r="V4041" i="1"/>
  <c r="V4045" i="1"/>
  <c r="V4049" i="1"/>
  <c r="V4053" i="1"/>
  <c r="V4057" i="1"/>
  <c r="V4061" i="1"/>
  <c r="V4065" i="1"/>
  <c r="V4069" i="1"/>
  <c r="V4073" i="1"/>
  <c r="V4077" i="1"/>
  <c r="V4081" i="1"/>
  <c r="V4085" i="1"/>
  <c r="V4089" i="1"/>
  <c r="V4093" i="1"/>
  <c r="V4097" i="1"/>
  <c r="V4101" i="1"/>
  <c r="V4105" i="1"/>
  <c r="V4109" i="1"/>
  <c r="V4113" i="1"/>
  <c r="V4117" i="1"/>
  <c r="V4121" i="1"/>
  <c r="V4125" i="1"/>
  <c r="V4129" i="1"/>
  <c r="V3185" i="1"/>
  <c r="V3196" i="1"/>
  <c r="V3204" i="1"/>
  <c r="V3212" i="1"/>
  <c r="V3220" i="1"/>
  <c r="V3225" i="1"/>
  <c r="V3231" i="1"/>
  <c r="V3236" i="1"/>
  <c r="V3241" i="1"/>
  <c r="V3247" i="1"/>
  <c r="V3252" i="1"/>
  <c r="V3257" i="1"/>
  <c r="V3263" i="1"/>
  <c r="V3268" i="1"/>
  <c r="V3273" i="1"/>
  <c r="V3279" i="1"/>
  <c r="V3284" i="1"/>
  <c r="V3289" i="1"/>
  <c r="V3295" i="1"/>
  <c r="V3300" i="1"/>
  <c r="V3305" i="1"/>
  <c r="V3311" i="1"/>
  <c r="V3316" i="1"/>
  <c r="V3321" i="1"/>
  <c r="V3327" i="1"/>
  <c r="V3332" i="1"/>
  <c r="V3337" i="1"/>
  <c r="V3342" i="1"/>
  <c r="V3346" i="1"/>
  <c r="V3350" i="1"/>
  <c r="V3354" i="1"/>
  <c r="V3358" i="1"/>
  <c r="V3362" i="1"/>
  <c r="V3366" i="1"/>
  <c r="V3370" i="1"/>
  <c r="V3374" i="1"/>
  <c r="V3378" i="1"/>
  <c r="V3382" i="1"/>
  <c r="V3386" i="1"/>
  <c r="V3390" i="1"/>
  <c r="V3394" i="1"/>
  <c r="V3398" i="1"/>
  <c r="V3402" i="1"/>
  <c r="V3406" i="1"/>
  <c r="V3410" i="1"/>
  <c r="V3414" i="1"/>
  <c r="V3418" i="1"/>
  <c r="V3422" i="1"/>
  <c r="V3426" i="1"/>
  <c r="V3430" i="1"/>
  <c r="V3434" i="1"/>
  <c r="V3438" i="1"/>
  <c r="V3442" i="1"/>
  <c r="V3446" i="1"/>
  <c r="V3450" i="1"/>
  <c r="V3454" i="1"/>
  <c r="V3458" i="1"/>
  <c r="V3462" i="1"/>
  <c r="V3466" i="1"/>
  <c r="V3470" i="1"/>
  <c r="V3474" i="1"/>
  <c r="V3478" i="1"/>
  <c r="V3482" i="1"/>
  <c r="V3486" i="1"/>
  <c r="V3490" i="1"/>
  <c r="V3494" i="1"/>
  <c r="V3498" i="1"/>
  <c r="V3502" i="1"/>
  <c r="V3506" i="1"/>
  <c r="V3510" i="1"/>
  <c r="V3514" i="1"/>
  <c r="V3518" i="1"/>
  <c r="V3522" i="1"/>
  <c r="V3526" i="1"/>
  <c r="V3530" i="1"/>
  <c r="V3534" i="1"/>
  <c r="V3538" i="1"/>
  <c r="V3542" i="1"/>
  <c r="V3546" i="1"/>
  <c r="V3550" i="1"/>
  <c r="V3554" i="1"/>
  <c r="V3558" i="1"/>
  <c r="V3562" i="1"/>
  <c r="V3566" i="1"/>
  <c r="V3570" i="1"/>
  <c r="V3574" i="1"/>
  <c r="V3578" i="1"/>
  <c r="V3582" i="1"/>
  <c r="V3586" i="1"/>
  <c r="V3590" i="1"/>
  <c r="V3594" i="1"/>
  <c r="V3598" i="1"/>
  <c r="V3602" i="1"/>
  <c r="V3606" i="1"/>
  <c r="V3610" i="1"/>
  <c r="V3614" i="1"/>
  <c r="V3618" i="1"/>
  <c r="V3622" i="1"/>
  <c r="V3626" i="1"/>
  <c r="V3630" i="1"/>
  <c r="V3634" i="1"/>
  <c r="V3638" i="1"/>
  <c r="V3642" i="1"/>
  <c r="V3646" i="1"/>
  <c r="V3650" i="1"/>
  <c r="V3654" i="1"/>
  <c r="V3658" i="1"/>
  <c r="V3662" i="1"/>
  <c r="V3666" i="1"/>
  <c r="V3670" i="1"/>
  <c r="V3674" i="1"/>
  <c r="V3678" i="1"/>
  <c r="V3682" i="1"/>
  <c r="V3686" i="1"/>
  <c r="V3690" i="1"/>
  <c r="V3694" i="1"/>
  <c r="V3698" i="1"/>
  <c r="V3702" i="1"/>
  <c r="V3706" i="1"/>
  <c r="V3710" i="1"/>
  <c r="V3714" i="1"/>
  <c r="V3718" i="1"/>
  <c r="V3722" i="1"/>
  <c r="V3726" i="1"/>
  <c r="V3730" i="1"/>
  <c r="V3734" i="1"/>
  <c r="V3738" i="1"/>
  <c r="V3742" i="1"/>
  <c r="V3746" i="1"/>
  <c r="V3750" i="1"/>
  <c r="V3754" i="1"/>
  <c r="V3758" i="1"/>
  <c r="V3762" i="1"/>
  <c r="V3766" i="1"/>
  <c r="V3770" i="1"/>
  <c r="V3774" i="1"/>
  <c r="V3778" i="1"/>
  <c r="V3782" i="1"/>
  <c r="V3786" i="1"/>
  <c r="V3790" i="1"/>
  <c r="V3794" i="1"/>
  <c r="V3798" i="1"/>
  <c r="V3802" i="1"/>
  <c r="V3806" i="1"/>
  <c r="V3810" i="1"/>
  <c r="V3814" i="1"/>
  <c r="V3818" i="1"/>
  <c r="V3822" i="1"/>
  <c r="V3826" i="1"/>
  <c r="V3830" i="1"/>
  <c r="V3834" i="1"/>
  <c r="V3838" i="1"/>
  <c r="V3842" i="1"/>
  <c r="V3846" i="1"/>
  <c r="V3850" i="1"/>
  <c r="V3854" i="1"/>
  <c r="V3858" i="1"/>
  <c r="V3862" i="1"/>
  <c r="V3866" i="1"/>
  <c r="V3870" i="1"/>
  <c r="V3874" i="1"/>
  <c r="V3878" i="1"/>
  <c r="V3882" i="1"/>
  <c r="V3886" i="1"/>
  <c r="V3890" i="1"/>
  <c r="V3894" i="1"/>
  <c r="V3898" i="1"/>
  <c r="V3902" i="1"/>
  <c r="V3906" i="1"/>
  <c r="V3910" i="1"/>
  <c r="V3914" i="1"/>
  <c r="V3918" i="1"/>
  <c r="V3922" i="1"/>
  <c r="V3926" i="1"/>
  <c r="V3930" i="1"/>
  <c r="V3189" i="1"/>
  <c r="V3197" i="1"/>
  <c r="V3205" i="1"/>
  <c r="V3213" i="1"/>
  <c r="V3221" i="1"/>
  <c r="V3227" i="1"/>
  <c r="V3232" i="1"/>
  <c r="V3237" i="1"/>
  <c r="V3243" i="1"/>
  <c r="V3248" i="1"/>
  <c r="V3253" i="1"/>
  <c r="V3259" i="1"/>
  <c r="V3264" i="1"/>
  <c r="V3269" i="1"/>
  <c r="V3275" i="1"/>
  <c r="V3280" i="1"/>
  <c r="V3285" i="1"/>
  <c r="V3291" i="1"/>
  <c r="V3296" i="1"/>
  <c r="V3301" i="1"/>
  <c r="V3307" i="1"/>
  <c r="V3312" i="1"/>
  <c r="V3317" i="1"/>
  <c r="V3323" i="1"/>
  <c r="V3328" i="1"/>
  <c r="V3333" i="1"/>
  <c r="V3339" i="1"/>
  <c r="V3343" i="1"/>
  <c r="V3347" i="1"/>
  <c r="V3351" i="1"/>
  <c r="V3355" i="1"/>
  <c r="V3359" i="1"/>
  <c r="V3363" i="1"/>
  <c r="V3367" i="1"/>
  <c r="V3371" i="1"/>
  <c r="V3375" i="1"/>
  <c r="V3379" i="1"/>
  <c r="V3383" i="1"/>
  <c r="V3387" i="1"/>
  <c r="V3391" i="1"/>
  <c r="V3395" i="1"/>
  <c r="V3399" i="1"/>
  <c r="V3403" i="1"/>
  <c r="V3407" i="1"/>
  <c r="V3411" i="1"/>
  <c r="V3415" i="1"/>
  <c r="V3419" i="1"/>
  <c r="V3423" i="1"/>
  <c r="V3427" i="1"/>
  <c r="V3431" i="1"/>
  <c r="V3435" i="1"/>
  <c r="V3439" i="1"/>
  <c r="V3443" i="1"/>
  <c r="V3447" i="1"/>
  <c r="V3451" i="1"/>
  <c r="V3455" i="1"/>
  <c r="V3459" i="1"/>
  <c r="V3463" i="1"/>
  <c r="V3467" i="1"/>
  <c r="V3471" i="1"/>
  <c r="V3475" i="1"/>
  <c r="V3479" i="1"/>
  <c r="V3483" i="1"/>
  <c r="V3487" i="1"/>
  <c r="V3491" i="1"/>
  <c r="V3495" i="1"/>
  <c r="V3499" i="1"/>
  <c r="V3503" i="1"/>
  <c r="V3507" i="1"/>
  <c r="V3511" i="1"/>
  <c r="V3515" i="1"/>
  <c r="V3519" i="1"/>
  <c r="V3523" i="1"/>
  <c r="V3527" i="1"/>
  <c r="V3531" i="1"/>
  <c r="V3535" i="1"/>
  <c r="V3539" i="1"/>
  <c r="V3543" i="1"/>
  <c r="V3547" i="1"/>
  <c r="V3551" i="1"/>
  <c r="V3555" i="1"/>
  <c r="V3559" i="1"/>
  <c r="V3563" i="1"/>
  <c r="V3567" i="1"/>
  <c r="V3571" i="1"/>
  <c r="V3575" i="1"/>
  <c r="V3579" i="1"/>
  <c r="V3583" i="1"/>
  <c r="V3587" i="1"/>
  <c r="V3591" i="1"/>
  <c r="V3595" i="1"/>
  <c r="V3599" i="1"/>
  <c r="V3603" i="1"/>
  <c r="V3607" i="1"/>
  <c r="V3611" i="1"/>
  <c r="V3615" i="1"/>
  <c r="V3619" i="1"/>
  <c r="V3623" i="1"/>
  <c r="V3627" i="1"/>
  <c r="V3631" i="1"/>
  <c r="V3635" i="1"/>
  <c r="V3639" i="1"/>
  <c r="V3643" i="1"/>
  <c r="V3647" i="1"/>
  <c r="V3651" i="1"/>
  <c r="V3655" i="1"/>
  <c r="V3659" i="1"/>
  <c r="V3663" i="1"/>
  <c r="V3667" i="1"/>
  <c r="V3671" i="1"/>
  <c r="V3675" i="1"/>
  <c r="V3679" i="1"/>
  <c r="V3683" i="1"/>
  <c r="V3687" i="1"/>
  <c r="V3691" i="1"/>
  <c r="V3695" i="1"/>
  <c r="V3699" i="1"/>
  <c r="V3703" i="1"/>
  <c r="V3707" i="1"/>
  <c r="V3711" i="1"/>
  <c r="V3715" i="1"/>
  <c r="V3719" i="1"/>
  <c r="V3723" i="1"/>
  <c r="V3727" i="1"/>
  <c r="V3731" i="1"/>
  <c r="V3735" i="1"/>
  <c r="V3739" i="1"/>
  <c r="V3743" i="1"/>
  <c r="V3747" i="1"/>
  <c r="V3751" i="1"/>
  <c r="V3755" i="1"/>
  <c r="V3759" i="1"/>
  <c r="V3763" i="1"/>
  <c r="V3767" i="1"/>
  <c r="V3771" i="1"/>
  <c r="V3775" i="1"/>
  <c r="V3779" i="1"/>
  <c r="V3783" i="1"/>
  <c r="V3787" i="1"/>
  <c r="V3791" i="1"/>
  <c r="V3795" i="1"/>
  <c r="V3799" i="1"/>
  <c r="V3803" i="1"/>
  <c r="V3807" i="1"/>
  <c r="V3811" i="1"/>
  <c r="V3815" i="1"/>
  <c r="V3819" i="1"/>
  <c r="V3823" i="1"/>
  <c r="V3827" i="1"/>
  <c r="V3831" i="1"/>
  <c r="V3835" i="1"/>
  <c r="V3839" i="1"/>
  <c r="V3843" i="1"/>
  <c r="V3847" i="1"/>
  <c r="V3851" i="1"/>
  <c r="V3855" i="1"/>
  <c r="V3859" i="1"/>
  <c r="V3863" i="1"/>
  <c r="V3867" i="1"/>
  <c r="V3871" i="1"/>
  <c r="V3875" i="1"/>
  <c r="V3879" i="1"/>
  <c r="V3883" i="1"/>
  <c r="V3887" i="1"/>
  <c r="V3891" i="1"/>
  <c r="V3895" i="1"/>
  <c r="V3899" i="1"/>
  <c r="V3903" i="1"/>
  <c r="V3907" i="1"/>
  <c r="V3911" i="1"/>
  <c r="V3192" i="1"/>
  <c r="V3200" i="1"/>
  <c r="V3208" i="1"/>
  <c r="V3216" i="1"/>
  <c r="V3223" i="1"/>
  <c r="V3228" i="1"/>
  <c r="V3233" i="1"/>
  <c r="V3239" i="1"/>
  <c r="V3244" i="1"/>
  <c r="V3249" i="1"/>
  <c r="V3255" i="1"/>
  <c r="V3260" i="1"/>
  <c r="V3265" i="1"/>
  <c r="V3271" i="1"/>
  <c r="V3276" i="1"/>
  <c r="V3281" i="1"/>
  <c r="V3287" i="1"/>
  <c r="V3292" i="1"/>
  <c r="V3297" i="1"/>
  <c r="V3303" i="1"/>
  <c r="V3308" i="1"/>
  <c r="V3313" i="1"/>
  <c r="V3319" i="1"/>
  <c r="V3324" i="1"/>
  <c r="V3329" i="1"/>
  <c r="V3335" i="1"/>
  <c r="V3340" i="1"/>
  <c r="V3344" i="1"/>
  <c r="V3348" i="1"/>
  <c r="V3352" i="1"/>
  <c r="V3356" i="1"/>
  <c r="V3360" i="1"/>
  <c r="V3364" i="1"/>
  <c r="V3368" i="1"/>
  <c r="V3372" i="1"/>
  <c r="V3376" i="1"/>
  <c r="V3380" i="1"/>
  <c r="V3384" i="1"/>
  <c r="V3388" i="1"/>
  <c r="V3392" i="1"/>
  <c r="V3396" i="1"/>
  <c r="V3400" i="1"/>
  <c r="V3404" i="1"/>
  <c r="V3408" i="1"/>
  <c r="V3412" i="1"/>
  <c r="V3416" i="1"/>
  <c r="V3420" i="1"/>
  <c r="V3424" i="1"/>
  <c r="V3428" i="1"/>
  <c r="V3432" i="1"/>
  <c r="V3436" i="1"/>
  <c r="V3440" i="1"/>
  <c r="V3444" i="1"/>
  <c r="V3448" i="1"/>
  <c r="V3452" i="1"/>
  <c r="V3456" i="1"/>
  <c r="V3460" i="1"/>
  <c r="V3464" i="1"/>
  <c r="V3468" i="1"/>
  <c r="V3472" i="1"/>
  <c r="V3476" i="1"/>
  <c r="V3480" i="1"/>
  <c r="V3484" i="1"/>
  <c r="V3488" i="1"/>
  <c r="V3492" i="1"/>
  <c r="V3496" i="1"/>
  <c r="V3500" i="1"/>
  <c r="V3504" i="1"/>
  <c r="V3508" i="1"/>
  <c r="V3512" i="1"/>
  <c r="V3516" i="1"/>
  <c r="V3520" i="1"/>
  <c r="V3524" i="1"/>
  <c r="V3528" i="1"/>
  <c r="V3532" i="1"/>
  <c r="V3536" i="1"/>
  <c r="V3540" i="1"/>
  <c r="V3544" i="1"/>
  <c r="V3548" i="1"/>
  <c r="V3552" i="1"/>
  <c r="V3556" i="1"/>
  <c r="V3560" i="1"/>
  <c r="V3564" i="1"/>
  <c r="V3568" i="1"/>
  <c r="V3572" i="1"/>
  <c r="V3576" i="1"/>
  <c r="V3580" i="1"/>
  <c r="V3584" i="1"/>
  <c r="V3588" i="1"/>
  <c r="V3592" i="1"/>
  <c r="V3596" i="1"/>
  <c r="V3600" i="1"/>
  <c r="V3604" i="1"/>
  <c r="V3608" i="1"/>
  <c r="V3612" i="1"/>
  <c r="V3616" i="1"/>
  <c r="V3620" i="1"/>
  <c r="V3624" i="1"/>
  <c r="V3628" i="1"/>
  <c r="V3632" i="1"/>
  <c r="V3636" i="1"/>
  <c r="V3640" i="1"/>
  <c r="V3644" i="1"/>
  <c r="V3648" i="1"/>
  <c r="V3652" i="1"/>
  <c r="V3656" i="1"/>
  <c r="V3660" i="1"/>
  <c r="V3664" i="1"/>
  <c r="V3668" i="1"/>
  <c r="V3672" i="1"/>
  <c r="V3676" i="1"/>
  <c r="V3680" i="1"/>
  <c r="V3684" i="1"/>
  <c r="V3688" i="1"/>
  <c r="V3692" i="1"/>
  <c r="V3696" i="1"/>
  <c r="V3700" i="1"/>
  <c r="V3704" i="1"/>
  <c r="V3708" i="1"/>
  <c r="V3712" i="1"/>
  <c r="V3716" i="1"/>
  <c r="V3720" i="1"/>
  <c r="V3724" i="1"/>
  <c r="V3728" i="1"/>
  <c r="V3732" i="1"/>
  <c r="V3736" i="1"/>
  <c r="V3740" i="1"/>
  <c r="V3744" i="1"/>
  <c r="V3748" i="1"/>
  <c r="V3752" i="1"/>
  <c r="V3756" i="1"/>
  <c r="V3760" i="1"/>
  <c r="V3764" i="1"/>
  <c r="V3768" i="1"/>
  <c r="V3772" i="1"/>
  <c r="V3776" i="1"/>
  <c r="V3780" i="1"/>
  <c r="V3784" i="1"/>
  <c r="V3788" i="1"/>
  <c r="V3792" i="1"/>
  <c r="V3796" i="1"/>
  <c r="V3800" i="1"/>
  <c r="V3804" i="1"/>
  <c r="V3808" i="1"/>
  <c r="V3812" i="1"/>
  <c r="V3816" i="1"/>
  <c r="V3820" i="1"/>
  <c r="V3824" i="1"/>
  <c r="V3828" i="1"/>
  <c r="V3832" i="1"/>
  <c r="V3836" i="1"/>
  <c r="V3840" i="1"/>
  <c r="V3844" i="1"/>
  <c r="V3848" i="1"/>
  <c r="V3852" i="1"/>
  <c r="V3856" i="1"/>
  <c r="V3860" i="1"/>
  <c r="V3864" i="1"/>
  <c r="V3868" i="1"/>
  <c r="V3872" i="1"/>
  <c r="V3876" i="1"/>
  <c r="V3880" i="1"/>
  <c r="V3884" i="1"/>
  <c r="V3888" i="1"/>
  <c r="V3892" i="1"/>
  <c r="V3896" i="1"/>
  <c r="V3900" i="1"/>
  <c r="V3904" i="1"/>
  <c r="V3908" i="1"/>
  <c r="V3912" i="1"/>
  <c r="V3916" i="1"/>
  <c r="V3920" i="1"/>
  <c r="V3924" i="1"/>
  <c r="V3928" i="1"/>
  <c r="V3932" i="1"/>
  <c r="V3936" i="1"/>
  <c r="V3940" i="1"/>
  <c r="V3944" i="1"/>
  <c r="V3948" i="1"/>
  <c r="V3952" i="1"/>
  <c r="V3956" i="1"/>
  <c r="V3960" i="1"/>
  <c r="V3964" i="1"/>
  <c r="V3968" i="1"/>
  <c r="V3972" i="1"/>
  <c r="V3976" i="1"/>
  <c r="V3980" i="1"/>
  <c r="V3984" i="1"/>
  <c r="V3988" i="1"/>
  <c r="V3992" i="1"/>
  <c r="V3996" i="1"/>
  <c r="V4000" i="1"/>
  <c r="V4004" i="1"/>
  <c r="V4008" i="1"/>
  <c r="V4012" i="1"/>
  <c r="V4016" i="1"/>
  <c r="V4020" i="1"/>
  <c r="V4024" i="1"/>
  <c r="V4028" i="1"/>
  <c r="V4032" i="1"/>
  <c r="V4036" i="1"/>
  <c r="V4040" i="1"/>
  <c r="V4044" i="1"/>
  <c r="V4048" i="1"/>
  <c r="V4052" i="1"/>
  <c r="V4056" i="1"/>
  <c r="V4060" i="1"/>
  <c r="V4064" i="1"/>
  <c r="V4068" i="1"/>
  <c r="V4072" i="1"/>
  <c r="V4076" i="1"/>
  <c r="V4080" i="1"/>
  <c r="V4084" i="1"/>
  <c r="V4088" i="1"/>
  <c r="V4092" i="1"/>
  <c r="V4096" i="1"/>
  <c r="V4100" i="1"/>
  <c r="V4104" i="1"/>
  <c r="V4108" i="1"/>
  <c r="V4112" i="1"/>
  <c r="V4116" i="1"/>
  <c r="V4120" i="1"/>
  <c r="V4124" i="1"/>
  <c r="V4128" i="1"/>
  <c r="V3915" i="1"/>
  <c r="V3931" i="1"/>
  <c r="V3939" i="1"/>
  <c r="V3947" i="1"/>
  <c r="V3955" i="1"/>
  <c r="V3963" i="1"/>
  <c r="V3971" i="1"/>
  <c r="V3979" i="1"/>
  <c r="V3987" i="1"/>
  <c r="V3995" i="1"/>
  <c r="V4003" i="1"/>
  <c r="V4011" i="1"/>
  <c r="V4019" i="1"/>
  <c r="V4027" i="1"/>
  <c r="V4035" i="1"/>
  <c r="V4043" i="1"/>
  <c r="V4051" i="1"/>
  <c r="V4059" i="1"/>
  <c r="V4067" i="1"/>
  <c r="V4075" i="1"/>
  <c r="V4083" i="1"/>
  <c r="V4091" i="1"/>
  <c r="V4099" i="1"/>
  <c r="V4107" i="1"/>
  <c r="V4115" i="1"/>
  <c r="V4123" i="1"/>
  <c r="V4131" i="1"/>
  <c r="V4135" i="1"/>
  <c r="V4139" i="1"/>
  <c r="V4143" i="1"/>
  <c r="V4147" i="1"/>
  <c r="V4151" i="1"/>
  <c r="V4155" i="1"/>
  <c r="V4159" i="1"/>
  <c r="V4163" i="1"/>
  <c r="V4167" i="1"/>
  <c r="V4171" i="1"/>
  <c r="V4175" i="1"/>
  <c r="V4179" i="1"/>
  <c r="V4183" i="1"/>
  <c r="V4187" i="1"/>
  <c r="V4191" i="1"/>
  <c r="V4195" i="1"/>
  <c r="V4199" i="1"/>
  <c r="V4203" i="1"/>
  <c r="V4207" i="1"/>
  <c r="V4211" i="1"/>
  <c r="V4215" i="1"/>
  <c r="V4219" i="1"/>
  <c r="V4223" i="1"/>
  <c r="V4227" i="1"/>
  <c r="V4231" i="1"/>
  <c r="V4235" i="1"/>
  <c r="V4239" i="1"/>
  <c r="V4243" i="1"/>
  <c r="V4247" i="1"/>
  <c r="V4251" i="1"/>
  <c r="V4255" i="1"/>
  <c r="V4259" i="1"/>
  <c r="V4263" i="1"/>
  <c r="V4267" i="1"/>
  <c r="V4271" i="1"/>
  <c r="V4275" i="1"/>
  <c r="V4279" i="1"/>
  <c r="V4283" i="1"/>
  <c r="V4287" i="1"/>
  <c r="V4291" i="1"/>
  <c r="V4295" i="1"/>
  <c r="V4299" i="1"/>
  <c r="V4303" i="1"/>
  <c r="V4307" i="1"/>
  <c r="V4311" i="1"/>
  <c r="V4315" i="1"/>
  <c r="V4319" i="1"/>
  <c r="V4323" i="1"/>
  <c r="V4327" i="1"/>
  <c r="V4331" i="1"/>
  <c r="V4335" i="1"/>
  <c r="V4339" i="1"/>
  <c r="V4343" i="1"/>
  <c r="V4347" i="1"/>
  <c r="V4351" i="1"/>
  <c r="V4355" i="1"/>
  <c r="V4359" i="1"/>
  <c r="V4363" i="1"/>
  <c r="V4367" i="1"/>
  <c r="V4371" i="1"/>
  <c r="V4375" i="1"/>
  <c r="V4379" i="1"/>
  <c r="V4383" i="1"/>
  <c r="V4387" i="1"/>
  <c r="V4391" i="1"/>
  <c r="V4395" i="1"/>
  <c r="V4399" i="1"/>
  <c r="V4403" i="1"/>
  <c r="V4407" i="1"/>
  <c r="V4411" i="1"/>
  <c r="V4415" i="1"/>
  <c r="V4419" i="1"/>
  <c r="V4423" i="1"/>
  <c r="V4427" i="1"/>
  <c r="V4431" i="1"/>
  <c r="V4435" i="1"/>
  <c r="V4439" i="1"/>
  <c r="V4443" i="1"/>
  <c r="V4447" i="1"/>
  <c r="V4451" i="1"/>
  <c r="V4455" i="1"/>
  <c r="V4459" i="1"/>
  <c r="V4463" i="1"/>
  <c r="V4467" i="1"/>
  <c r="V4471" i="1"/>
  <c r="V4475" i="1"/>
  <c r="V4479" i="1"/>
  <c r="V4483" i="1"/>
  <c r="V4487" i="1"/>
  <c r="V4491" i="1"/>
  <c r="V4495" i="1"/>
  <c r="V4499" i="1"/>
  <c r="V4503" i="1"/>
  <c r="V4507" i="1"/>
  <c r="V4511" i="1"/>
  <c r="V4515" i="1"/>
  <c r="V4519" i="1"/>
  <c r="V4523" i="1"/>
  <c r="V4527" i="1"/>
  <c r="V4531" i="1"/>
  <c r="V4535" i="1"/>
  <c r="V4539" i="1"/>
  <c r="V4543" i="1"/>
  <c r="V4547" i="1"/>
  <c r="V4551" i="1"/>
  <c r="V4555" i="1"/>
  <c r="V4559" i="1"/>
  <c r="V4563" i="1"/>
  <c r="V4567" i="1"/>
  <c r="V4571" i="1"/>
  <c r="V4575" i="1"/>
  <c r="V4579" i="1"/>
  <c r="V4583" i="1"/>
  <c r="V4587" i="1"/>
  <c r="V4591" i="1"/>
  <c r="V4595" i="1"/>
  <c r="V4599" i="1"/>
  <c r="V4603" i="1"/>
  <c r="V4607" i="1"/>
  <c r="V4611" i="1"/>
  <c r="V4615" i="1"/>
  <c r="V4619" i="1"/>
  <c r="V4623" i="1"/>
  <c r="V4627" i="1"/>
  <c r="V4631" i="1"/>
  <c r="V4635" i="1"/>
  <c r="V4639" i="1"/>
  <c r="V4643" i="1"/>
  <c r="V4647" i="1"/>
  <c r="V4651" i="1"/>
  <c r="V4655" i="1"/>
  <c r="V4659" i="1"/>
  <c r="V4663" i="1"/>
  <c r="V4667" i="1"/>
  <c r="V4671" i="1"/>
  <c r="V4675" i="1"/>
  <c r="V4679" i="1"/>
  <c r="V4683" i="1"/>
  <c r="V4687" i="1"/>
  <c r="V4691" i="1"/>
  <c r="V4695" i="1"/>
  <c r="V4699" i="1"/>
  <c r="V4703" i="1"/>
  <c r="V4707" i="1"/>
  <c r="V4711" i="1"/>
  <c r="V4715" i="1"/>
  <c r="V4719" i="1"/>
  <c r="V4723" i="1"/>
  <c r="V4727" i="1"/>
  <c r="V4731" i="1"/>
  <c r="V4735" i="1"/>
  <c r="V4739" i="1"/>
  <c r="V4743" i="1"/>
  <c r="V4747" i="1"/>
  <c r="V4751" i="1"/>
  <c r="V4755" i="1"/>
  <c r="V4759" i="1"/>
  <c r="V4763" i="1"/>
  <c r="V4767" i="1"/>
  <c r="V4771" i="1"/>
  <c r="V4775" i="1"/>
  <c r="V4779" i="1"/>
  <c r="V4783" i="1"/>
  <c r="V4787" i="1"/>
  <c r="V4791" i="1"/>
  <c r="V4795" i="1"/>
  <c r="V4799" i="1"/>
  <c r="V4803" i="1"/>
  <c r="V4807" i="1"/>
  <c r="V4811" i="1"/>
  <c r="V4815" i="1"/>
  <c r="V4819" i="1"/>
  <c r="V4823" i="1"/>
  <c r="V4827" i="1"/>
  <c r="V4831" i="1"/>
  <c r="V4835" i="1"/>
  <c r="V4839" i="1"/>
  <c r="V4843" i="1"/>
  <c r="V4847" i="1"/>
  <c r="V4851" i="1"/>
  <c r="V4855" i="1"/>
  <c r="V4859" i="1"/>
  <c r="V4863" i="1"/>
  <c r="V4867" i="1"/>
  <c r="V4871" i="1"/>
  <c r="V4875" i="1"/>
  <c r="V4879" i="1"/>
  <c r="V4883" i="1"/>
  <c r="V4887" i="1"/>
  <c r="V4891" i="1"/>
  <c r="V4895" i="1"/>
  <c r="V4899" i="1"/>
  <c r="V4903" i="1"/>
  <c r="V4907" i="1"/>
  <c r="V4911" i="1"/>
  <c r="V4915" i="1"/>
  <c r="V4919" i="1"/>
  <c r="V4923" i="1"/>
  <c r="V4927" i="1"/>
  <c r="V4931" i="1"/>
  <c r="V4935" i="1"/>
  <c r="V4939" i="1"/>
  <c r="V4943" i="1"/>
  <c r="V4947" i="1"/>
  <c r="V4951" i="1"/>
  <c r="V4955" i="1"/>
  <c r="V4959" i="1"/>
  <c r="V4963" i="1"/>
  <c r="V4967" i="1"/>
  <c r="V4971" i="1"/>
  <c r="V4975" i="1"/>
  <c r="V4979" i="1"/>
  <c r="V4983" i="1"/>
  <c r="V4987" i="1"/>
  <c r="V4991" i="1"/>
  <c r="V4995" i="1"/>
  <c r="V4999" i="1"/>
  <c r="V3919" i="1"/>
  <c r="V3934" i="1"/>
  <c r="V3942" i="1"/>
  <c r="V3950" i="1"/>
  <c r="V3958" i="1"/>
  <c r="V3966" i="1"/>
  <c r="V3974" i="1"/>
  <c r="V3982" i="1"/>
  <c r="V3990" i="1"/>
  <c r="V3998" i="1"/>
  <c r="V4006" i="1"/>
  <c r="V4014" i="1"/>
  <c r="V4022" i="1"/>
  <c r="V4030" i="1"/>
  <c r="V4038" i="1"/>
  <c r="V4046" i="1"/>
  <c r="V4054" i="1"/>
  <c r="V4062" i="1"/>
  <c r="V4070" i="1"/>
  <c r="V4078" i="1"/>
  <c r="V4086" i="1"/>
  <c r="V4094" i="1"/>
  <c r="V4102" i="1"/>
  <c r="V4110" i="1"/>
  <c r="V4118" i="1"/>
  <c r="V4126" i="1"/>
  <c r="V4132" i="1"/>
  <c r="V4136" i="1"/>
  <c r="V4140" i="1"/>
  <c r="V4144" i="1"/>
  <c r="V4148" i="1"/>
  <c r="V4152" i="1"/>
  <c r="V4156" i="1"/>
  <c r="V4160" i="1"/>
  <c r="V4164" i="1"/>
  <c r="V4168" i="1"/>
  <c r="V4172" i="1"/>
  <c r="V4176" i="1"/>
  <c r="V4180" i="1"/>
  <c r="V4184" i="1"/>
  <c r="V4188" i="1"/>
  <c r="V4192" i="1"/>
  <c r="V4196" i="1"/>
  <c r="V4200" i="1"/>
  <c r="V4204" i="1"/>
  <c r="V4208" i="1"/>
  <c r="V4212" i="1"/>
  <c r="V4216" i="1"/>
  <c r="V4220" i="1"/>
  <c r="V4224" i="1"/>
  <c r="V4228" i="1"/>
  <c r="V4232" i="1"/>
  <c r="V4236" i="1"/>
  <c r="V4240" i="1"/>
  <c r="V4244" i="1"/>
  <c r="V4248" i="1"/>
  <c r="V4252" i="1"/>
  <c r="V4256" i="1"/>
  <c r="V4260" i="1"/>
  <c r="V4264" i="1"/>
  <c r="V4268" i="1"/>
  <c r="V4272" i="1"/>
  <c r="V4276" i="1"/>
  <c r="V4280" i="1"/>
  <c r="V4284" i="1"/>
  <c r="V4288" i="1"/>
  <c r="V4292" i="1"/>
  <c r="V4296" i="1"/>
  <c r="V4300" i="1"/>
  <c r="V4304" i="1"/>
  <c r="V4308" i="1"/>
  <c r="V4312" i="1"/>
  <c r="V4316" i="1"/>
  <c r="V4320" i="1"/>
  <c r="V4324" i="1"/>
  <c r="V4328" i="1"/>
  <c r="V4332" i="1"/>
  <c r="V4336" i="1"/>
  <c r="V4340" i="1"/>
  <c r="V4344" i="1"/>
  <c r="V4348" i="1"/>
  <c r="V4352" i="1"/>
  <c r="V4356" i="1"/>
  <c r="V4360" i="1"/>
  <c r="V4364" i="1"/>
  <c r="V4368" i="1"/>
  <c r="V4372" i="1"/>
  <c r="V4376" i="1"/>
  <c r="V4380" i="1"/>
  <c r="V4384" i="1"/>
  <c r="V4388" i="1"/>
  <c r="V4392" i="1"/>
  <c r="V4396" i="1"/>
  <c r="V4400" i="1"/>
  <c r="V4404" i="1"/>
  <c r="V4408" i="1"/>
  <c r="V4412" i="1"/>
  <c r="V4416" i="1"/>
  <c r="V4420" i="1"/>
  <c r="V4424" i="1"/>
  <c r="V4428" i="1"/>
  <c r="V4432" i="1"/>
  <c r="V4436" i="1"/>
  <c r="V4440" i="1"/>
  <c r="V4444" i="1"/>
  <c r="V4448" i="1"/>
  <c r="V4452" i="1"/>
  <c r="V4456" i="1"/>
  <c r="V4460" i="1"/>
  <c r="V4464" i="1"/>
  <c r="V4468" i="1"/>
  <c r="V4472" i="1"/>
  <c r="V4476" i="1"/>
  <c r="V4480" i="1"/>
  <c r="V4484" i="1"/>
  <c r="V4488" i="1"/>
  <c r="V4492" i="1"/>
  <c r="V4496" i="1"/>
  <c r="V4500" i="1"/>
  <c r="V4504" i="1"/>
  <c r="V4508" i="1"/>
  <c r="V4512" i="1"/>
  <c r="V4516" i="1"/>
  <c r="V4520" i="1"/>
  <c r="V4524" i="1"/>
  <c r="V4528" i="1"/>
  <c r="V4532" i="1"/>
  <c r="V4536" i="1"/>
  <c r="V4540" i="1"/>
  <c r="V4544" i="1"/>
  <c r="V4548" i="1"/>
  <c r="V4552" i="1"/>
  <c r="V4556" i="1"/>
  <c r="V4560" i="1"/>
  <c r="V4564" i="1"/>
  <c r="V4568" i="1"/>
  <c r="V4572" i="1"/>
  <c r="V4576" i="1"/>
  <c r="V4580" i="1"/>
  <c r="V4584" i="1"/>
  <c r="V4588" i="1"/>
  <c r="V4592" i="1"/>
  <c r="V4596" i="1"/>
  <c r="V4600" i="1"/>
  <c r="V4604" i="1"/>
  <c r="V4608" i="1"/>
  <c r="V4612" i="1"/>
  <c r="V4616" i="1"/>
  <c r="V4620" i="1"/>
  <c r="V4624" i="1"/>
  <c r="V4628" i="1"/>
  <c r="V4632" i="1"/>
  <c r="V4636" i="1"/>
  <c r="V4640" i="1"/>
  <c r="V4644" i="1"/>
  <c r="V4648" i="1"/>
  <c r="V4652" i="1"/>
  <c r="V4656" i="1"/>
  <c r="V4660" i="1"/>
  <c r="V4664" i="1"/>
  <c r="V4668" i="1"/>
  <c r="V4672" i="1"/>
  <c r="V4676" i="1"/>
  <c r="V4680" i="1"/>
  <c r="V4684" i="1"/>
  <c r="V4688" i="1"/>
  <c r="V4692" i="1"/>
  <c r="V4696" i="1"/>
  <c r="V4700" i="1"/>
  <c r="V4704" i="1"/>
  <c r="V4708" i="1"/>
  <c r="V4712" i="1"/>
  <c r="V4716" i="1"/>
  <c r="V4720" i="1"/>
  <c r="V4724" i="1"/>
  <c r="V4728" i="1"/>
  <c r="V4732" i="1"/>
  <c r="V4736" i="1"/>
  <c r="V4740" i="1"/>
  <c r="V4744" i="1"/>
  <c r="V4748" i="1"/>
  <c r="V4752" i="1"/>
  <c r="V4756" i="1"/>
  <c r="V4760" i="1"/>
  <c r="V4764" i="1"/>
  <c r="V4768" i="1"/>
  <c r="V4772" i="1"/>
  <c r="V4776" i="1"/>
  <c r="V4780" i="1"/>
  <c r="V4784" i="1"/>
  <c r="V4788" i="1"/>
  <c r="V4792" i="1"/>
  <c r="V4796" i="1"/>
  <c r="V4800" i="1"/>
  <c r="V4804" i="1"/>
  <c r="V4808" i="1"/>
  <c r="V4812" i="1"/>
  <c r="V4816" i="1"/>
  <c r="V4820" i="1"/>
  <c r="V4824" i="1"/>
  <c r="V4828" i="1"/>
  <c r="V4832" i="1"/>
  <c r="V4836" i="1"/>
  <c r="V4840" i="1"/>
  <c r="V4844" i="1"/>
  <c r="V4848" i="1"/>
  <c r="V4852" i="1"/>
  <c r="V4856" i="1"/>
  <c r="V4860" i="1"/>
  <c r="V4864" i="1"/>
  <c r="V4868" i="1"/>
  <c r="V4872" i="1"/>
  <c r="V4876" i="1"/>
  <c r="V4880" i="1"/>
  <c r="V4884" i="1"/>
  <c r="V4888" i="1"/>
  <c r="V4892" i="1"/>
  <c r="V4896" i="1"/>
  <c r="V4900" i="1"/>
  <c r="V4904" i="1"/>
  <c r="V4908" i="1"/>
  <c r="V4912" i="1"/>
  <c r="V4916" i="1"/>
  <c r="V4920" i="1"/>
  <c r="V4924" i="1"/>
  <c r="V4928" i="1"/>
  <c r="V4932" i="1"/>
  <c r="V4936" i="1"/>
  <c r="V4940" i="1"/>
  <c r="V4944" i="1"/>
  <c r="V4948" i="1"/>
  <c r="V4952" i="1"/>
  <c r="V4956" i="1"/>
  <c r="V4960" i="1"/>
  <c r="V4964" i="1"/>
  <c r="V4968" i="1"/>
  <c r="V4972" i="1"/>
  <c r="V4976" i="1"/>
  <c r="V4980" i="1"/>
  <c r="V4984" i="1"/>
  <c r="V4988" i="1"/>
  <c r="V4992" i="1"/>
  <c r="V4996" i="1"/>
  <c r="V5000" i="1"/>
  <c r="V3923" i="1"/>
  <c r="V3935" i="1"/>
  <c r="V3943" i="1"/>
  <c r="V3951" i="1"/>
  <c r="V3959" i="1"/>
  <c r="V3967" i="1"/>
  <c r="V3975" i="1"/>
  <c r="V3983" i="1"/>
  <c r="V3991" i="1"/>
  <c r="V3999" i="1"/>
  <c r="V4007" i="1"/>
  <c r="V4015" i="1"/>
  <c r="V4023" i="1"/>
  <c r="V4031" i="1"/>
  <c r="V4039" i="1"/>
  <c r="V4047" i="1"/>
  <c r="V4055" i="1"/>
  <c r="V4063" i="1"/>
  <c r="V4071" i="1"/>
  <c r="V4079" i="1"/>
  <c r="V4087" i="1"/>
  <c r="V4095" i="1"/>
  <c r="V4103" i="1"/>
  <c r="V4111" i="1"/>
  <c r="V4119" i="1"/>
  <c r="V4127" i="1"/>
  <c r="V4133" i="1"/>
  <c r="V4137" i="1"/>
  <c r="V4141" i="1"/>
  <c r="V4145" i="1"/>
  <c r="V4149" i="1"/>
  <c r="V4153" i="1"/>
  <c r="V4157" i="1"/>
  <c r="V4161" i="1"/>
  <c r="V4165" i="1"/>
  <c r="V4169" i="1"/>
  <c r="V4173" i="1"/>
  <c r="V4177" i="1"/>
  <c r="V4181" i="1"/>
  <c r="V4185" i="1"/>
  <c r="V4189" i="1"/>
  <c r="V4193" i="1"/>
  <c r="V4197" i="1"/>
  <c r="V4201" i="1"/>
  <c r="V4205" i="1"/>
  <c r="V4209" i="1"/>
  <c r="V4213" i="1"/>
  <c r="V4217" i="1"/>
  <c r="V4221" i="1"/>
  <c r="V4225" i="1"/>
  <c r="V4229" i="1"/>
  <c r="V4233" i="1"/>
  <c r="V4237" i="1"/>
  <c r="V4241" i="1"/>
  <c r="V4245" i="1"/>
  <c r="V4249" i="1"/>
  <c r="V4253" i="1"/>
  <c r="V4257" i="1"/>
  <c r="V4261" i="1"/>
  <c r="V4265" i="1"/>
  <c r="V4269" i="1"/>
  <c r="V4273" i="1"/>
  <c r="V4277" i="1"/>
  <c r="V4281" i="1"/>
  <c r="V4285" i="1"/>
  <c r="V4289" i="1"/>
  <c r="V4293" i="1"/>
  <c r="V4297" i="1"/>
  <c r="V4301" i="1"/>
  <c r="V4305" i="1"/>
  <c r="V4309" i="1"/>
  <c r="V4313" i="1"/>
  <c r="V4317" i="1"/>
  <c r="V4321" i="1"/>
  <c r="V4325" i="1"/>
  <c r="V4329" i="1"/>
  <c r="V4333" i="1"/>
  <c r="V4337" i="1"/>
  <c r="V4341" i="1"/>
  <c r="V4345" i="1"/>
  <c r="V4349" i="1"/>
  <c r="V4353" i="1"/>
  <c r="V4357" i="1"/>
  <c r="V4361" i="1"/>
  <c r="V4365" i="1"/>
  <c r="V4369" i="1"/>
  <c r="V4373" i="1"/>
  <c r="V4377" i="1"/>
  <c r="V4381" i="1"/>
  <c r="V4385" i="1"/>
  <c r="V4389" i="1"/>
  <c r="V4393" i="1"/>
  <c r="V4397" i="1"/>
  <c r="V4401" i="1"/>
  <c r="V4405" i="1"/>
  <c r="V4409" i="1"/>
  <c r="V4413" i="1"/>
  <c r="V4417" i="1"/>
  <c r="V4421" i="1"/>
  <c r="V4425" i="1"/>
  <c r="V4429" i="1"/>
  <c r="V4433" i="1"/>
  <c r="V4437" i="1"/>
  <c r="V4441" i="1"/>
  <c r="V4445" i="1"/>
  <c r="V4449" i="1"/>
  <c r="V4453" i="1"/>
  <c r="V4457" i="1"/>
  <c r="V4461" i="1"/>
  <c r="V4465" i="1"/>
  <c r="V4469" i="1"/>
  <c r="V4473" i="1"/>
  <c r="V4477" i="1"/>
  <c r="V4481" i="1"/>
  <c r="V4485" i="1"/>
  <c r="V4489" i="1"/>
  <c r="V4493" i="1"/>
  <c r="V4497" i="1"/>
  <c r="V4501" i="1"/>
  <c r="V4505" i="1"/>
  <c r="V4509" i="1"/>
  <c r="V4513" i="1"/>
  <c r="V4517" i="1"/>
  <c r="V4521" i="1"/>
  <c r="V4525" i="1"/>
  <c r="V4529" i="1"/>
  <c r="V4533" i="1"/>
  <c r="V4537" i="1"/>
  <c r="V4541" i="1"/>
  <c r="V4545" i="1"/>
  <c r="V4549" i="1"/>
  <c r="V4553" i="1"/>
  <c r="V4557" i="1"/>
  <c r="V4561" i="1"/>
  <c r="V4565" i="1"/>
  <c r="V4569" i="1"/>
  <c r="V4573" i="1"/>
  <c r="V4577" i="1"/>
  <c r="V4581" i="1"/>
  <c r="V4585" i="1"/>
  <c r="V4589" i="1"/>
  <c r="V4593" i="1"/>
  <c r="V4597" i="1"/>
  <c r="V4601" i="1"/>
  <c r="V4605" i="1"/>
  <c r="V4609" i="1"/>
  <c r="V4613" i="1"/>
  <c r="V4617" i="1"/>
  <c r="V4621" i="1"/>
  <c r="V4625" i="1"/>
  <c r="V4629" i="1"/>
  <c r="V4633" i="1"/>
  <c r="V4637" i="1"/>
  <c r="V4641" i="1"/>
  <c r="V4645" i="1"/>
  <c r="V4649" i="1"/>
  <c r="V4653" i="1"/>
  <c r="V4657" i="1"/>
  <c r="V4661" i="1"/>
  <c r="V4665" i="1"/>
  <c r="V4669" i="1"/>
  <c r="V4673" i="1"/>
  <c r="V4677" i="1"/>
  <c r="V4681" i="1"/>
  <c r="V4685" i="1"/>
  <c r="V4689" i="1"/>
  <c r="V4693" i="1"/>
  <c r="V4697" i="1"/>
  <c r="V4701" i="1"/>
  <c r="V4705" i="1"/>
  <c r="V4709" i="1"/>
  <c r="V4713" i="1"/>
  <c r="V4717" i="1"/>
  <c r="V4721" i="1"/>
  <c r="V4725" i="1"/>
  <c r="V4729" i="1"/>
  <c r="V4733" i="1"/>
  <c r="V4737" i="1"/>
  <c r="V4741" i="1"/>
  <c r="V4745" i="1"/>
  <c r="V4749" i="1"/>
  <c r="V4753" i="1"/>
  <c r="V4757" i="1"/>
  <c r="V4761" i="1"/>
  <c r="V4765" i="1"/>
  <c r="V4769" i="1"/>
  <c r="V4773" i="1"/>
  <c r="V4777" i="1"/>
  <c r="V4781" i="1"/>
  <c r="V4785" i="1"/>
  <c r="V4789" i="1"/>
  <c r="V4793" i="1"/>
  <c r="V4797" i="1"/>
  <c r="V4801" i="1"/>
  <c r="V4805" i="1"/>
  <c r="V4809" i="1"/>
  <c r="V4813" i="1"/>
  <c r="V4817" i="1"/>
  <c r="V4821" i="1"/>
  <c r="V4825" i="1"/>
  <c r="V4829" i="1"/>
  <c r="V4833" i="1"/>
  <c r="V4837" i="1"/>
  <c r="V4841" i="1"/>
  <c r="V4845" i="1"/>
  <c r="V4849" i="1"/>
  <c r="V4853" i="1"/>
  <c r="V4857" i="1"/>
  <c r="V4861" i="1"/>
  <c r="V4865" i="1"/>
  <c r="V4869" i="1"/>
  <c r="V4873" i="1"/>
  <c r="V4877" i="1"/>
  <c r="V4881" i="1"/>
  <c r="V4885" i="1"/>
  <c r="V4889" i="1"/>
  <c r="V4893" i="1"/>
  <c r="V4897" i="1"/>
  <c r="V4901" i="1"/>
  <c r="V4905" i="1"/>
  <c r="V4909" i="1"/>
  <c r="V4913" i="1"/>
  <c r="V4917" i="1"/>
  <c r="V4921" i="1"/>
  <c r="V4925" i="1"/>
  <c r="V4929" i="1"/>
  <c r="V4933" i="1"/>
  <c r="V4937" i="1"/>
  <c r="V4941" i="1"/>
  <c r="V4945" i="1"/>
  <c r="V4949" i="1"/>
  <c r="V4953" i="1"/>
  <c r="V4957" i="1"/>
  <c r="V4961" i="1"/>
  <c r="V4965" i="1"/>
  <c r="V4969" i="1"/>
  <c r="V4973" i="1"/>
  <c r="V4977" i="1"/>
  <c r="V4981" i="1"/>
  <c r="V4985" i="1"/>
  <c r="V4989" i="1"/>
  <c r="V4993" i="1"/>
  <c r="V4997" i="1"/>
  <c r="V3927" i="1"/>
  <c r="V3938" i="1"/>
  <c r="V3946" i="1"/>
  <c r="V3954" i="1"/>
  <c r="V3962" i="1"/>
  <c r="V3970" i="1"/>
  <c r="V3978" i="1"/>
  <c r="V3986" i="1"/>
  <c r="V3994" i="1"/>
  <c r="V4002" i="1"/>
  <c r="V4010" i="1"/>
  <c r="V4018" i="1"/>
  <c r="V4026" i="1"/>
  <c r="V4034" i="1"/>
  <c r="V4042" i="1"/>
  <c r="V4050" i="1"/>
  <c r="V4058" i="1"/>
  <c r="V4066" i="1"/>
  <c r="V4074" i="1"/>
  <c r="V4082" i="1"/>
  <c r="V4090" i="1"/>
  <c r="V4098" i="1"/>
  <c r="V4106" i="1"/>
  <c r="V4114" i="1"/>
  <c r="V4122" i="1"/>
  <c r="V4130" i="1"/>
  <c r="V4134" i="1"/>
  <c r="V4138" i="1"/>
  <c r="V4142" i="1"/>
  <c r="V4146" i="1"/>
  <c r="V4150" i="1"/>
  <c r="V4154" i="1"/>
  <c r="V4158" i="1"/>
  <c r="V4162" i="1"/>
  <c r="V4166" i="1"/>
  <c r="V4170" i="1"/>
  <c r="V4174" i="1"/>
  <c r="V4178" i="1"/>
  <c r="V4182" i="1"/>
  <c r="V4186" i="1"/>
  <c r="V4190" i="1"/>
  <c r="V4194" i="1"/>
  <c r="V4198" i="1"/>
  <c r="V4202" i="1"/>
  <c r="V4206" i="1"/>
  <c r="V4210" i="1"/>
  <c r="V4214" i="1"/>
  <c r="V4218" i="1"/>
  <c r="V4222" i="1"/>
  <c r="V4226" i="1"/>
  <c r="V4230" i="1"/>
  <c r="V4234" i="1"/>
  <c r="V4238" i="1"/>
  <c r="V4242" i="1"/>
  <c r="V4246" i="1"/>
  <c r="V4250" i="1"/>
  <c r="V4254" i="1"/>
  <c r="V4258" i="1"/>
  <c r="V4262" i="1"/>
  <c r="V4266" i="1"/>
  <c r="V4270" i="1"/>
  <c r="V4274" i="1"/>
  <c r="V4278" i="1"/>
  <c r="V4282" i="1"/>
  <c r="V4286" i="1"/>
  <c r="V4290" i="1"/>
  <c r="V4294" i="1"/>
  <c r="V4298" i="1"/>
  <c r="V4302" i="1"/>
  <c r="V4306" i="1"/>
  <c r="V4310" i="1"/>
  <c r="V4314" i="1"/>
  <c r="V4318" i="1"/>
  <c r="V4322" i="1"/>
  <c r="V4326" i="1"/>
  <c r="V4330" i="1"/>
  <c r="V4334" i="1"/>
  <c r="V4338" i="1"/>
  <c r="V4342" i="1"/>
  <c r="V4346" i="1"/>
  <c r="V4350" i="1"/>
  <c r="V4354" i="1"/>
  <c r="V4358" i="1"/>
  <c r="V4362" i="1"/>
  <c r="V4366" i="1"/>
  <c r="V4370" i="1"/>
  <c r="V4374" i="1"/>
  <c r="V4378" i="1"/>
  <c r="V4382" i="1"/>
  <c r="V4386" i="1"/>
  <c r="V4390" i="1"/>
  <c r="V4394" i="1"/>
  <c r="V4398" i="1"/>
  <c r="V4402" i="1"/>
  <c r="V4406" i="1"/>
  <c r="V4410" i="1"/>
  <c r="V4414" i="1"/>
  <c r="V4418" i="1"/>
  <c r="V4422" i="1"/>
  <c r="V4426" i="1"/>
  <c r="V4430" i="1"/>
  <c r="V4434" i="1"/>
  <c r="V4438" i="1"/>
  <c r="V4442" i="1"/>
  <c r="V4446" i="1"/>
  <c r="V4450" i="1"/>
  <c r="V4454" i="1"/>
  <c r="V4458" i="1"/>
  <c r="V4462" i="1"/>
  <c r="V4466" i="1"/>
  <c r="V4470" i="1"/>
  <c r="V4474" i="1"/>
  <c r="V4478" i="1"/>
  <c r="V4482" i="1"/>
  <c r="V4486" i="1"/>
  <c r="V4490" i="1"/>
  <c r="V4494" i="1"/>
  <c r="V4498" i="1"/>
  <c r="V4502" i="1"/>
  <c r="V4506" i="1"/>
  <c r="V4510" i="1"/>
  <c r="V4514" i="1"/>
  <c r="V4518" i="1"/>
  <c r="V4522" i="1"/>
  <c r="V4526" i="1"/>
  <c r="V4530" i="1"/>
  <c r="V4534" i="1"/>
  <c r="V4538" i="1"/>
  <c r="V4542" i="1"/>
  <c r="V4546" i="1"/>
  <c r="V4550" i="1"/>
  <c r="V4554" i="1"/>
  <c r="V4558" i="1"/>
  <c r="V4562" i="1"/>
  <c r="V4566" i="1"/>
  <c r="V4570" i="1"/>
  <c r="V4574" i="1"/>
  <c r="V4578" i="1"/>
  <c r="V4582" i="1"/>
  <c r="V4586" i="1"/>
  <c r="V4590" i="1"/>
  <c r="V4594" i="1"/>
  <c r="V4598" i="1"/>
  <c r="V4602" i="1"/>
  <c r="V4606" i="1"/>
  <c r="V4610" i="1"/>
  <c r="V4614" i="1"/>
  <c r="V4618" i="1"/>
  <c r="V4622" i="1"/>
  <c r="V4626" i="1"/>
  <c r="V4630" i="1"/>
  <c r="V4634" i="1"/>
  <c r="V4638" i="1"/>
  <c r="V4642" i="1"/>
  <c r="V4646" i="1"/>
  <c r="V4650" i="1"/>
  <c r="V4654" i="1"/>
  <c r="V4658" i="1"/>
  <c r="V4662" i="1"/>
  <c r="V4666" i="1"/>
  <c r="V4670" i="1"/>
  <c r="V4674" i="1"/>
  <c r="V4678" i="1"/>
  <c r="V4682" i="1"/>
  <c r="V4686" i="1"/>
  <c r="V4690" i="1"/>
  <c r="V4694" i="1"/>
  <c r="V4698" i="1"/>
  <c r="V4702" i="1"/>
  <c r="V4706" i="1"/>
  <c r="V4710" i="1"/>
  <c r="V4714" i="1"/>
  <c r="V4718" i="1"/>
  <c r="V4722" i="1"/>
  <c r="V4726" i="1"/>
  <c r="V4730" i="1"/>
  <c r="V4734" i="1"/>
  <c r="V4738" i="1"/>
  <c r="V4742" i="1"/>
  <c r="V4746" i="1"/>
  <c r="V4750" i="1"/>
  <c r="V4754" i="1"/>
  <c r="V4758" i="1"/>
  <c r="V4762" i="1"/>
  <c r="V4766" i="1"/>
  <c r="V4770" i="1"/>
  <c r="V4774" i="1"/>
  <c r="V4778" i="1"/>
  <c r="V4782" i="1"/>
  <c r="V4786" i="1"/>
  <c r="V4790" i="1"/>
  <c r="V4794" i="1"/>
  <c r="V4798" i="1"/>
  <c r="V4802" i="1"/>
  <c r="V4806" i="1"/>
  <c r="V4810" i="1"/>
  <c r="V4814" i="1"/>
  <c r="V4818" i="1"/>
  <c r="V4822" i="1"/>
  <c r="V4826" i="1"/>
  <c r="V4830" i="1"/>
  <c r="V4834" i="1"/>
  <c r="V4838" i="1"/>
  <c r="V4842" i="1"/>
  <c r="V4846" i="1"/>
  <c r="V4850" i="1"/>
  <c r="V4854" i="1"/>
  <c r="V4858" i="1"/>
  <c r="V4862" i="1"/>
  <c r="V4866" i="1"/>
  <c r="V4870" i="1"/>
  <c r="V4874" i="1"/>
  <c r="V4878" i="1"/>
  <c r="V4882" i="1"/>
  <c r="V4886" i="1"/>
  <c r="V4890" i="1"/>
  <c r="V4894" i="1"/>
  <c r="V4898" i="1"/>
  <c r="V4902" i="1"/>
  <c r="V4906" i="1"/>
  <c r="V4910" i="1"/>
  <c r="V4914" i="1"/>
  <c r="V4918" i="1"/>
  <c r="V4922" i="1"/>
  <c r="V4926" i="1"/>
  <c r="V4930" i="1"/>
  <c r="V4934" i="1"/>
  <c r="V4938" i="1"/>
  <c r="V4942" i="1"/>
  <c r="V4946" i="1"/>
  <c r="V4950" i="1"/>
  <c r="V4954" i="1"/>
  <c r="V4958" i="1"/>
  <c r="V4962" i="1"/>
  <c r="V4966" i="1"/>
  <c r="V4970" i="1"/>
  <c r="V4974" i="1"/>
  <c r="V4978" i="1"/>
  <c r="V4982" i="1"/>
  <c r="V4986" i="1"/>
  <c r="V4990" i="1"/>
  <c r="V4994" i="1"/>
  <c r="V4998" i="1"/>
  <c r="V4" i="1"/>
  <c r="V8" i="1"/>
  <c r="V5" i="1"/>
  <c r="V9" i="1"/>
  <c r="V6" i="1"/>
  <c r="V10" i="1"/>
  <c r="V7" i="1"/>
  <c r="V11" i="1"/>
  <c r="S11" i="1"/>
  <c r="S111" i="1"/>
  <c r="S115" i="1"/>
  <c r="S119" i="1"/>
  <c r="S123" i="1"/>
  <c r="S127" i="1"/>
  <c r="S131" i="1"/>
  <c r="S135" i="1"/>
  <c r="S139" i="1"/>
  <c r="S143" i="1"/>
  <c r="S147" i="1"/>
  <c r="S151" i="1"/>
  <c r="S155" i="1"/>
  <c r="S159" i="1"/>
  <c r="S163" i="1"/>
  <c r="S167" i="1"/>
  <c r="S171" i="1"/>
  <c r="S175" i="1"/>
  <c r="S179" i="1"/>
  <c r="S183" i="1"/>
  <c r="S187" i="1"/>
  <c r="S191" i="1"/>
  <c r="S195" i="1"/>
  <c r="S199" i="1"/>
  <c r="S203" i="1"/>
  <c r="S207" i="1"/>
  <c r="S211" i="1"/>
  <c r="S215" i="1"/>
  <c r="S219" i="1"/>
  <c r="S223" i="1"/>
  <c r="S227" i="1"/>
  <c r="S231" i="1"/>
  <c r="S235" i="1"/>
  <c r="S239" i="1"/>
  <c r="S243" i="1"/>
  <c r="S247" i="1"/>
  <c r="S251" i="1"/>
  <c r="S255" i="1"/>
  <c r="S259" i="1"/>
  <c r="S263" i="1"/>
  <c r="S267" i="1"/>
  <c r="S271" i="1"/>
  <c r="S275" i="1"/>
  <c r="S279" i="1"/>
  <c r="S283" i="1"/>
  <c r="S287" i="1"/>
  <c r="S291" i="1"/>
  <c r="S295" i="1"/>
  <c r="S299" i="1"/>
  <c r="S303" i="1"/>
  <c r="S307" i="1"/>
  <c r="S311" i="1"/>
  <c r="S315" i="1"/>
  <c r="S319" i="1"/>
  <c r="S323" i="1"/>
  <c r="S327" i="1"/>
  <c r="S331" i="1"/>
  <c r="S335" i="1"/>
  <c r="S339" i="1"/>
  <c r="S343" i="1"/>
  <c r="S108" i="1"/>
  <c r="S112" i="1"/>
  <c r="S116" i="1"/>
  <c r="S120" i="1"/>
  <c r="S124" i="1"/>
  <c r="S128" i="1"/>
  <c r="S132" i="1"/>
  <c r="S136" i="1"/>
  <c r="S140" i="1"/>
  <c r="S144" i="1"/>
  <c r="S148" i="1"/>
  <c r="S152" i="1"/>
  <c r="S156" i="1"/>
  <c r="S160" i="1"/>
  <c r="S164" i="1"/>
  <c r="S168" i="1"/>
  <c r="S172" i="1"/>
  <c r="S176" i="1"/>
  <c r="S180" i="1"/>
  <c r="S184" i="1"/>
  <c r="S188" i="1"/>
  <c r="S192" i="1"/>
  <c r="S196" i="1"/>
  <c r="S200" i="1"/>
  <c r="S204" i="1"/>
  <c r="S208" i="1"/>
  <c r="S212" i="1"/>
  <c r="S216" i="1"/>
  <c r="S220" i="1"/>
  <c r="S224" i="1"/>
  <c r="S228" i="1"/>
  <c r="S232" i="1"/>
  <c r="S236" i="1"/>
  <c r="S240" i="1"/>
  <c r="S244" i="1"/>
  <c r="S248" i="1"/>
  <c r="S252" i="1"/>
  <c r="S256" i="1"/>
  <c r="S260" i="1"/>
  <c r="S264" i="1"/>
  <c r="S268" i="1"/>
  <c r="S272" i="1"/>
  <c r="S276" i="1"/>
  <c r="S280" i="1"/>
  <c r="S284" i="1"/>
  <c r="S288" i="1"/>
  <c r="S292" i="1"/>
  <c r="S296" i="1"/>
  <c r="S300" i="1"/>
  <c r="S304" i="1"/>
  <c r="S308" i="1"/>
  <c r="S312" i="1"/>
  <c r="S316" i="1"/>
  <c r="S320" i="1"/>
  <c r="S324" i="1"/>
  <c r="S328" i="1"/>
  <c r="S332" i="1"/>
  <c r="S336" i="1"/>
  <c r="S340" i="1"/>
  <c r="S109" i="1"/>
  <c r="S113" i="1"/>
  <c r="S117" i="1"/>
  <c r="S121" i="1"/>
  <c r="S125" i="1"/>
  <c r="S129" i="1"/>
  <c r="S133" i="1"/>
  <c r="S137" i="1"/>
  <c r="S141" i="1"/>
  <c r="S145" i="1"/>
  <c r="S149" i="1"/>
  <c r="S153" i="1"/>
  <c r="S157" i="1"/>
  <c r="S161" i="1"/>
  <c r="S165" i="1"/>
  <c r="S169" i="1"/>
  <c r="S173" i="1"/>
  <c r="S177" i="1"/>
  <c r="S181" i="1"/>
  <c r="S185" i="1"/>
  <c r="S189" i="1"/>
  <c r="S193" i="1"/>
  <c r="S197" i="1"/>
  <c r="S201" i="1"/>
  <c r="S205" i="1"/>
  <c r="S209" i="1"/>
  <c r="S213" i="1"/>
  <c r="S217" i="1"/>
  <c r="S221" i="1"/>
  <c r="S225" i="1"/>
  <c r="S229" i="1"/>
  <c r="S233" i="1"/>
  <c r="S237" i="1"/>
  <c r="S241" i="1"/>
  <c r="S245" i="1"/>
  <c r="S249" i="1"/>
  <c r="S253" i="1"/>
  <c r="S257" i="1"/>
  <c r="S261" i="1"/>
  <c r="S265" i="1"/>
  <c r="S269" i="1"/>
  <c r="S273" i="1"/>
  <c r="S277" i="1"/>
  <c r="S281" i="1"/>
  <c r="S285" i="1"/>
  <c r="S289" i="1"/>
  <c r="S293" i="1"/>
  <c r="S297" i="1"/>
  <c r="S301" i="1"/>
  <c r="S305" i="1"/>
  <c r="S309" i="1"/>
  <c r="S313" i="1"/>
  <c r="S317" i="1"/>
  <c r="S321" i="1"/>
  <c r="S325" i="1"/>
  <c r="S329" i="1"/>
  <c r="S333" i="1"/>
  <c r="S337" i="1"/>
  <c r="S341" i="1"/>
  <c r="S10" i="1"/>
  <c r="S110" i="1"/>
  <c r="S114" i="1"/>
  <c r="S118" i="1"/>
  <c r="S122" i="1"/>
  <c r="S126" i="1"/>
  <c r="S130" i="1"/>
  <c r="S134" i="1"/>
  <c r="S138" i="1"/>
  <c r="S142" i="1"/>
  <c r="S146" i="1"/>
  <c r="S150" i="1"/>
  <c r="S154" i="1"/>
  <c r="S158" i="1"/>
  <c r="S162" i="1"/>
  <c r="S166" i="1"/>
  <c r="S170" i="1"/>
  <c r="S174" i="1"/>
  <c r="S178" i="1"/>
  <c r="S182" i="1"/>
  <c r="S186" i="1"/>
  <c r="S190" i="1"/>
  <c r="S194" i="1"/>
  <c r="S198" i="1"/>
  <c r="S202" i="1"/>
  <c r="S206" i="1"/>
  <c r="S210" i="1"/>
  <c r="S214" i="1"/>
  <c r="S218" i="1"/>
  <c r="S222" i="1"/>
  <c r="S226" i="1"/>
  <c r="S230" i="1"/>
  <c r="S234" i="1"/>
  <c r="S238" i="1"/>
  <c r="S242" i="1"/>
  <c r="S246" i="1"/>
  <c r="S250" i="1"/>
  <c r="S254" i="1"/>
  <c r="S258" i="1"/>
  <c r="S262" i="1"/>
  <c r="S266" i="1"/>
  <c r="S270" i="1"/>
  <c r="S274" i="1"/>
  <c r="S278" i="1"/>
  <c r="S282" i="1"/>
  <c r="S286" i="1"/>
  <c r="S290" i="1"/>
  <c r="S294" i="1"/>
  <c r="S298" i="1"/>
  <c r="S302" i="1"/>
  <c r="S306" i="1"/>
  <c r="S310" i="1"/>
  <c r="S314" i="1"/>
  <c r="S318" i="1"/>
  <c r="S322" i="1"/>
  <c r="S326" i="1"/>
  <c r="S330" i="1"/>
  <c r="S334" i="1"/>
  <c r="S338" i="1"/>
  <c r="S342" i="1"/>
  <c r="S347" i="1"/>
  <c r="S351" i="1"/>
  <c r="S355" i="1"/>
  <c r="S359" i="1"/>
  <c r="S363" i="1"/>
  <c r="S367" i="1"/>
  <c r="S371" i="1"/>
  <c r="S375" i="1"/>
  <c r="S379" i="1"/>
  <c r="S391" i="1"/>
  <c r="S395" i="1"/>
  <c r="S411" i="1"/>
  <c r="S415" i="1"/>
  <c r="S419" i="1"/>
  <c r="S423" i="1"/>
  <c r="S443" i="1"/>
  <c r="S455" i="1"/>
  <c r="S463" i="1"/>
  <c r="S483" i="1"/>
  <c r="S499" i="1"/>
  <c r="S535" i="1"/>
  <c r="S539" i="1"/>
  <c r="S543" i="1"/>
  <c r="S555" i="1"/>
  <c r="S567" i="1"/>
  <c r="S571" i="1"/>
  <c r="S575" i="1"/>
  <c r="S579" i="1"/>
  <c r="S583" i="1"/>
  <c r="S587" i="1"/>
  <c r="S591" i="1"/>
  <c r="S599" i="1"/>
  <c r="S603" i="1"/>
  <c r="S607" i="1"/>
  <c r="S611" i="1"/>
  <c r="S615" i="1"/>
  <c r="S619" i="1"/>
  <c r="S623" i="1"/>
  <c r="S627" i="1"/>
  <c r="S631" i="1"/>
  <c r="S635" i="1"/>
  <c r="S643" i="1"/>
  <c r="S647" i="1"/>
  <c r="S651" i="1"/>
  <c r="S655" i="1"/>
  <c r="S659" i="1"/>
  <c r="S663" i="1"/>
  <c r="S667" i="1"/>
  <c r="S671" i="1"/>
  <c r="S675" i="1"/>
  <c r="S679" i="1"/>
  <c r="S683" i="1"/>
  <c r="S344" i="1"/>
  <c r="S348" i="1"/>
  <c r="S352" i="1"/>
  <c r="S356" i="1"/>
  <c r="S360" i="1"/>
  <c r="S364" i="1"/>
  <c r="S368" i="1"/>
  <c r="S376" i="1"/>
  <c r="S384" i="1"/>
  <c r="S388" i="1"/>
  <c r="S392" i="1"/>
  <c r="S404" i="1"/>
  <c r="S416" i="1"/>
  <c r="S420" i="1"/>
  <c r="S444" i="1"/>
  <c r="S448" i="1"/>
  <c r="S476" i="1"/>
  <c r="S488" i="1"/>
  <c r="S496" i="1"/>
  <c r="S500" i="1"/>
  <c r="S512" i="1"/>
  <c r="S536" i="1"/>
  <c r="S540" i="1"/>
  <c r="S544" i="1"/>
  <c r="S548" i="1"/>
  <c r="S568" i="1"/>
  <c r="S580" i="1"/>
  <c r="S584" i="1"/>
  <c r="S588" i="1"/>
  <c r="S592" i="1"/>
  <c r="S600" i="1"/>
  <c r="S604" i="1"/>
  <c r="S612" i="1"/>
  <c r="S616" i="1"/>
  <c r="S620" i="1"/>
  <c r="S624" i="1"/>
  <c r="S628" i="1"/>
  <c r="S632" i="1"/>
  <c r="S640" i="1"/>
  <c r="S644" i="1"/>
  <c r="S648" i="1"/>
  <c r="S652" i="1"/>
  <c r="S656" i="1"/>
  <c r="S660" i="1"/>
  <c r="S664" i="1"/>
  <c r="S668" i="1"/>
  <c r="S672" i="1"/>
  <c r="S676" i="1"/>
  <c r="S680" i="1"/>
  <c r="S684" i="1"/>
  <c r="S345" i="1"/>
  <c r="S349" i="1"/>
  <c r="S353" i="1"/>
  <c r="S357" i="1"/>
  <c r="S361" i="1"/>
  <c r="S365" i="1"/>
  <c r="S369" i="1"/>
  <c r="S373" i="1"/>
  <c r="S377" i="1"/>
  <c r="S381" i="1"/>
  <c r="S385" i="1"/>
  <c r="S389" i="1"/>
  <c r="S393" i="1"/>
  <c r="S401" i="1"/>
  <c r="S413" i="1"/>
  <c r="S425" i="1"/>
  <c r="S429" i="1"/>
  <c r="S433" i="1"/>
  <c r="S437" i="1"/>
  <c r="S441" i="1"/>
  <c r="S445" i="1"/>
  <c r="S453" i="1"/>
  <c r="S477" i="1"/>
  <c r="S489" i="1"/>
  <c r="S501" i="1"/>
  <c r="S505" i="1"/>
  <c r="S525" i="1"/>
  <c r="S541" i="1"/>
  <c r="S545" i="1"/>
  <c r="S549" i="1"/>
  <c r="S557" i="1"/>
  <c r="S561" i="1"/>
  <c r="S565" i="1"/>
  <c r="S569" i="1"/>
  <c r="S573" i="1"/>
  <c r="S577" i="1"/>
  <c r="S581" i="1"/>
  <c r="S585" i="1"/>
  <c r="S589" i="1"/>
  <c r="S593" i="1"/>
  <c r="S601" i="1"/>
  <c r="S609" i="1"/>
  <c r="S617" i="1"/>
  <c r="S621" i="1"/>
  <c r="S625" i="1"/>
  <c r="S629" i="1"/>
  <c r="S633" i="1"/>
  <c r="S641" i="1"/>
  <c r="S645" i="1"/>
  <c r="S649" i="1"/>
  <c r="S653" i="1"/>
  <c r="S657" i="1"/>
  <c r="S661" i="1"/>
  <c r="S665" i="1"/>
  <c r="S669" i="1"/>
  <c r="S673" i="1"/>
  <c r="S677" i="1"/>
  <c r="S681" i="1"/>
  <c r="S346" i="1"/>
  <c r="S350" i="1"/>
  <c r="S354" i="1"/>
  <c r="S358" i="1"/>
  <c r="S362" i="1"/>
  <c r="S366" i="1"/>
  <c r="S370" i="1"/>
  <c r="S374" i="1"/>
  <c r="S378" i="1"/>
  <c r="S390" i="1"/>
  <c r="S394" i="1"/>
  <c r="S402" i="1"/>
  <c r="S410" i="1"/>
  <c r="S418" i="1"/>
  <c r="S438" i="1"/>
  <c r="S446" i="1"/>
  <c r="S454" i="1"/>
  <c r="S470" i="1"/>
  <c r="S486" i="1"/>
  <c r="S506" i="1"/>
  <c r="S510" i="1"/>
  <c r="S522" i="1"/>
  <c r="S530" i="1"/>
  <c r="S542" i="1"/>
  <c r="S550" i="1"/>
  <c r="S558" i="1"/>
  <c r="S562" i="1"/>
  <c r="S566" i="1"/>
  <c r="S570" i="1"/>
  <c r="S574" i="1"/>
  <c r="S578" i="1"/>
  <c r="S582" i="1"/>
  <c r="S590" i="1"/>
  <c r="S602" i="1"/>
  <c r="S610" i="1"/>
  <c r="S618" i="1"/>
  <c r="S622" i="1"/>
  <c r="S626" i="1"/>
  <c r="S630" i="1"/>
  <c r="S634" i="1"/>
  <c r="S642" i="1"/>
  <c r="S650" i="1"/>
  <c r="S654" i="1"/>
  <c r="S658" i="1"/>
  <c r="S662" i="1"/>
  <c r="S666" i="1"/>
  <c r="S670" i="1"/>
  <c r="S674" i="1"/>
  <c r="S678" i="1"/>
  <c r="S682" i="1"/>
  <c r="S688" i="1"/>
  <c r="S692" i="1"/>
  <c r="S696" i="1"/>
  <c r="S700" i="1"/>
  <c r="S704" i="1"/>
  <c r="S708" i="1"/>
  <c r="S712" i="1"/>
  <c r="S716" i="1"/>
  <c r="S720" i="1"/>
  <c r="S724" i="1"/>
  <c r="S728" i="1"/>
  <c r="S732" i="1"/>
  <c r="S736" i="1"/>
  <c r="S740" i="1"/>
  <c r="S744" i="1"/>
  <c r="S748" i="1"/>
  <c r="S752" i="1"/>
  <c r="S756" i="1"/>
  <c r="S760" i="1"/>
  <c r="S764" i="1"/>
  <c r="S768" i="1"/>
  <c r="S772" i="1"/>
  <c r="S776" i="1"/>
  <c r="S780" i="1"/>
  <c r="S784" i="1"/>
  <c r="S788" i="1"/>
  <c r="S792" i="1"/>
  <c r="S796" i="1"/>
  <c r="S800" i="1"/>
  <c r="S804" i="1"/>
  <c r="S808" i="1"/>
  <c r="S812" i="1"/>
  <c r="S816" i="1"/>
  <c r="S820" i="1"/>
  <c r="S824" i="1"/>
  <c r="S828" i="1"/>
  <c r="S832" i="1"/>
  <c r="S836" i="1"/>
  <c r="S840" i="1"/>
  <c r="S844" i="1"/>
  <c r="S848" i="1"/>
  <c r="S852" i="1"/>
  <c r="S856" i="1"/>
  <c r="S860" i="1"/>
  <c r="S864" i="1"/>
  <c r="S868" i="1"/>
  <c r="S872" i="1"/>
  <c r="S876" i="1"/>
  <c r="S880" i="1"/>
  <c r="S884" i="1"/>
  <c r="S888" i="1"/>
  <c r="S892" i="1"/>
  <c r="S896" i="1"/>
  <c r="S900" i="1"/>
  <c r="S904" i="1"/>
  <c r="S908" i="1"/>
  <c r="S912" i="1"/>
  <c r="S916" i="1"/>
  <c r="S920" i="1"/>
  <c r="S924" i="1"/>
  <c r="S928" i="1"/>
  <c r="S932" i="1"/>
  <c r="S936" i="1"/>
  <c r="S940" i="1"/>
  <c r="S944" i="1"/>
  <c r="S948" i="1"/>
  <c r="S952" i="1"/>
  <c r="S956" i="1"/>
  <c r="S960" i="1"/>
  <c r="S964" i="1"/>
  <c r="S968" i="1"/>
  <c r="S972" i="1"/>
  <c r="S976" i="1"/>
  <c r="S980" i="1"/>
  <c r="S984" i="1"/>
  <c r="S988" i="1"/>
  <c r="S992" i="1"/>
  <c r="S996" i="1"/>
  <c r="S1000" i="1"/>
  <c r="S1004" i="1"/>
  <c r="S1008" i="1"/>
  <c r="S1012" i="1"/>
  <c r="S1016" i="1"/>
  <c r="S1020" i="1"/>
  <c r="S1024" i="1"/>
  <c r="S685" i="1"/>
  <c r="S689" i="1"/>
  <c r="S693" i="1"/>
  <c r="S697" i="1"/>
  <c r="S701" i="1"/>
  <c r="S705" i="1"/>
  <c r="S709" i="1"/>
  <c r="S713" i="1"/>
  <c r="S717" i="1"/>
  <c r="S721" i="1"/>
  <c r="S725" i="1"/>
  <c r="S729" i="1"/>
  <c r="S733" i="1"/>
  <c r="S737" i="1"/>
  <c r="S741" i="1"/>
  <c r="S745" i="1"/>
  <c r="S749" i="1"/>
  <c r="S753" i="1"/>
  <c r="S757" i="1"/>
  <c r="S761" i="1"/>
  <c r="S765" i="1"/>
  <c r="S769" i="1"/>
  <c r="S773" i="1"/>
  <c r="S777" i="1"/>
  <c r="S781" i="1"/>
  <c r="S785" i="1"/>
  <c r="S789" i="1"/>
  <c r="S793" i="1"/>
  <c r="S797" i="1"/>
  <c r="S801" i="1"/>
  <c r="S805" i="1"/>
  <c r="S809" i="1"/>
  <c r="S813" i="1"/>
  <c r="S817" i="1"/>
  <c r="S821" i="1"/>
  <c r="S825" i="1"/>
  <c r="S829" i="1"/>
  <c r="S833" i="1"/>
  <c r="S837" i="1"/>
  <c r="S841" i="1"/>
  <c r="S845" i="1"/>
  <c r="S849" i="1"/>
  <c r="S853" i="1"/>
  <c r="S857" i="1"/>
  <c r="S861" i="1"/>
  <c r="S865" i="1"/>
  <c r="S869" i="1"/>
  <c r="S873" i="1"/>
  <c r="S877" i="1"/>
  <c r="S881" i="1"/>
  <c r="S885" i="1"/>
  <c r="S889" i="1"/>
  <c r="S893" i="1"/>
  <c r="S897" i="1"/>
  <c r="S901" i="1"/>
  <c r="S905" i="1"/>
  <c r="S909" i="1"/>
  <c r="S913" i="1"/>
  <c r="S917" i="1"/>
  <c r="S921" i="1"/>
  <c r="S925" i="1"/>
  <c r="S929" i="1"/>
  <c r="S933" i="1"/>
  <c r="S937" i="1"/>
  <c r="S941" i="1"/>
  <c r="S945" i="1"/>
  <c r="S949" i="1"/>
  <c r="S953" i="1"/>
  <c r="S957" i="1"/>
  <c r="S961" i="1"/>
  <c r="S965" i="1"/>
  <c r="S969" i="1"/>
  <c r="S973" i="1"/>
  <c r="S977" i="1"/>
  <c r="S981" i="1"/>
  <c r="S985" i="1"/>
  <c r="S989" i="1"/>
  <c r="S993" i="1"/>
  <c r="S997" i="1"/>
  <c r="S1001" i="1"/>
  <c r="S1005" i="1"/>
  <c r="S1009" i="1"/>
  <c r="S1013" i="1"/>
  <c r="S1017" i="1"/>
  <c r="S1021" i="1"/>
  <c r="S1025" i="1"/>
  <c r="S1029" i="1"/>
  <c r="S1033" i="1"/>
  <c r="S1037" i="1"/>
  <c r="S686" i="1"/>
  <c r="S690" i="1"/>
  <c r="S694" i="1"/>
  <c r="S698" i="1"/>
  <c r="S702" i="1"/>
  <c r="S706" i="1"/>
  <c r="S710" i="1"/>
  <c r="S714" i="1"/>
  <c r="S718" i="1"/>
  <c r="S722" i="1"/>
  <c r="S726" i="1"/>
  <c r="S730" i="1"/>
  <c r="S734" i="1"/>
  <c r="S738" i="1"/>
  <c r="S742" i="1"/>
  <c r="S746" i="1"/>
  <c r="S750" i="1"/>
  <c r="S754" i="1"/>
  <c r="S758" i="1"/>
  <c r="S762" i="1"/>
  <c r="S766" i="1"/>
  <c r="S770" i="1"/>
  <c r="S774" i="1"/>
  <c r="S778" i="1"/>
  <c r="S782" i="1"/>
  <c r="S786" i="1"/>
  <c r="S790" i="1"/>
  <c r="S794" i="1"/>
  <c r="S798" i="1"/>
  <c r="S802" i="1"/>
  <c r="S806" i="1"/>
  <c r="S810" i="1"/>
  <c r="S814" i="1"/>
  <c r="S818" i="1"/>
  <c r="S822" i="1"/>
  <c r="S826" i="1"/>
  <c r="S830" i="1"/>
  <c r="S834" i="1"/>
  <c r="S838" i="1"/>
  <c r="S842" i="1"/>
  <c r="S846" i="1"/>
  <c r="S850" i="1"/>
  <c r="S854" i="1"/>
  <c r="S858" i="1"/>
  <c r="S862" i="1"/>
  <c r="S866" i="1"/>
  <c r="S870" i="1"/>
  <c r="S874" i="1"/>
  <c r="S878" i="1"/>
  <c r="S882" i="1"/>
  <c r="S886" i="1"/>
  <c r="S890" i="1"/>
  <c r="S894" i="1"/>
  <c r="S898" i="1"/>
  <c r="S902" i="1"/>
  <c r="S906" i="1"/>
  <c r="S910" i="1"/>
  <c r="S914" i="1"/>
  <c r="S918" i="1"/>
  <c r="S922" i="1"/>
  <c r="S926" i="1"/>
  <c r="S930" i="1"/>
  <c r="S934" i="1"/>
  <c r="S938" i="1"/>
  <c r="S942" i="1"/>
  <c r="S946" i="1"/>
  <c r="S950" i="1"/>
  <c r="S954" i="1"/>
  <c r="S958" i="1"/>
  <c r="S962" i="1"/>
  <c r="S966" i="1"/>
  <c r="S970" i="1"/>
  <c r="S974" i="1"/>
  <c r="S978" i="1"/>
  <c r="S982" i="1"/>
  <c r="S986" i="1"/>
  <c r="S990" i="1"/>
  <c r="S994" i="1"/>
  <c r="S998" i="1"/>
  <c r="S1002" i="1"/>
  <c r="S1006" i="1"/>
  <c r="S1010" i="1"/>
  <c r="S1014" i="1"/>
  <c r="S1018" i="1"/>
  <c r="S1022" i="1"/>
  <c r="S687" i="1"/>
  <c r="S691" i="1"/>
  <c r="S695" i="1"/>
  <c r="S699" i="1"/>
  <c r="S703" i="1"/>
  <c r="S707" i="1"/>
  <c r="S711" i="1"/>
  <c r="S715" i="1"/>
  <c r="S719" i="1"/>
  <c r="S723" i="1"/>
  <c r="S727" i="1"/>
  <c r="S731" i="1"/>
  <c r="S735" i="1"/>
  <c r="S739" i="1"/>
  <c r="S743" i="1"/>
  <c r="S747" i="1"/>
  <c r="S751" i="1"/>
  <c r="S755" i="1"/>
  <c r="S759" i="1"/>
  <c r="S763" i="1"/>
  <c r="S767" i="1"/>
  <c r="S771" i="1"/>
  <c r="S775" i="1"/>
  <c r="S779" i="1"/>
  <c r="S783" i="1"/>
  <c r="S787" i="1"/>
  <c r="S791" i="1"/>
  <c r="S795" i="1"/>
  <c r="S799" i="1"/>
  <c r="S803" i="1"/>
  <c r="S807" i="1"/>
  <c r="S811" i="1"/>
  <c r="S815" i="1"/>
  <c r="S819" i="1"/>
  <c r="S823" i="1"/>
  <c r="S827" i="1"/>
  <c r="S831" i="1"/>
  <c r="S835" i="1"/>
  <c r="S839" i="1"/>
  <c r="S843" i="1"/>
  <c r="S847" i="1"/>
  <c r="S851" i="1"/>
  <c r="S855" i="1"/>
  <c r="S859" i="1"/>
  <c r="S863" i="1"/>
  <c r="S867" i="1"/>
  <c r="S871" i="1"/>
  <c r="S875" i="1"/>
  <c r="S879" i="1"/>
  <c r="S883" i="1"/>
  <c r="S887" i="1"/>
  <c r="S891" i="1"/>
  <c r="S895" i="1"/>
  <c r="S899" i="1"/>
  <c r="S903" i="1"/>
  <c r="S907" i="1"/>
  <c r="S911" i="1"/>
  <c r="S915" i="1"/>
  <c r="S919" i="1"/>
  <c r="S923" i="1"/>
  <c r="S927" i="1"/>
  <c r="S931" i="1"/>
  <c r="S935" i="1"/>
  <c r="S939" i="1"/>
  <c r="S943" i="1"/>
  <c r="S947" i="1"/>
  <c r="S951" i="1"/>
  <c r="S955" i="1"/>
  <c r="S959" i="1"/>
  <c r="S963" i="1"/>
  <c r="S967" i="1"/>
  <c r="S971" i="1"/>
  <c r="S975" i="1"/>
  <c r="S979" i="1"/>
  <c r="S983" i="1"/>
  <c r="S987" i="1"/>
  <c r="S991" i="1"/>
  <c r="S995" i="1"/>
  <c r="S999" i="1"/>
  <c r="S1003" i="1"/>
  <c r="S1007" i="1"/>
  <c r="S1011" i="1"/>
  <c r="S1015" i="1"/>
  <c r="S1019" i="1"/>
  <c r="S1023" i="1"/>
  <c r="S1030" i="1"/>
  <c r="S1035" i="1"/>
  <c r="S1040" i="1"/>
  <c r="S1044" i="1"/>
  <c r="S1048" i="1"/>
  <c r="S1052" i="1"/>
  <c r="S1056" i="1"/>
  <c r="S1060" i="1"/>
  <c r="S1064" i="1"/>
  <c r="S1068" i="1"/>
  <c r="S1072" i="1"/>
  <c r="S1076" i="1"/>
  <c r="S1080" i="1"/>
  <c r="S1084" i="1"/>
  <c r="S1088" i="1"/>
  <c r="S1092" i="1"/>
  <c r="S1096" i="1"/>
  <c r="S1100" i="1"/>
  <c r="S1104" i="1"/>
  <c r="S1108" i="1"/>
  <c r="S1112" i="1"/>
  <c r="S1116" i="1"/>
  <c r="S1120" i="1"/>
  <c r="S1124" i="1"/>
  <c r="S1128" i="1"/>
  <c r="S1132" i="1"/>
  <c r="S1136" i="1"/>
  <c r="S1140" i="1"/>
  <c r="S1144" i="1"/>
  <c r="S1148" i="1"/>
  <c r="S1152" i="1"/>
  <c r="S1156" i="1"/>
  <c r="S1160" i="1"/>
  <c r="S1164" i="1"/>
  <c r="S1168" i="1"/>
  <c r="S1172" i="1"/>
  <c r="S1176" i="1"/>
  <c r="S1180" i="1"/>
  <c r="S1184" i="1"/>
  <c r="S1188" i="1"/>
  <c r="S1192" i="1"/>
  <c r="S1196" i="1"/>
  <c r="S1200" i="1"/>
  <c r="S1204" i="1"/>
  <c r="S1208" i="1"/>
  <c r="S1212" i="1"/>
  <c r="S1216" i="1"/>
  <c r="S1220" i="1"/>
  <c r="S1224" i="1"/>
  <c r="S1228" i="1"/>
  <c r="S1232" i="1"/>
  <c r="S1236" i="1"/>
  <c r="S1240" i="1"/>
  <c r="S1244" i="1"/>
  <c r="S1248" i="1"/>
  <c r="S1252" i="1"/>
  <c r="S1256" i="1"/>
  <c r="S1260" i="1"/>
  <c r="S1264" i="1"/>
  <c r="S1268" i="1"/>
  <c r="S1272" i="1"/>
  <c r="S1276" i="1"/>
  <c r="S1280" i="1"/>
  <c r="S1284" i="1"/>
  <c r="S1288" i="1"/>
  <c r="S1292" i="1"/>
  <c r="S1296" i="1"/>
  <c r="S1300" i="1"/>
  <c r="S1304" i="1"/>
  <c r="S1308" i="1"/>
  <c r="S1312" i="1"/>
  <c r="S1316" i="1"/>
  <c r="S1320" i="1"/>
  <c r="S1324" i="1"/>
  <c r="S1328" i="1"/>
  <c r="S1332" i="1"/>
  <c r="S1336" i="1"/>
  <c r="S1340" i="1"/>
  <c r="S1344" i="1"/>
  <c r="S1348" i="1"/>
  <c r="S1352" i="1"/>
  <c r="S1356" i="1"/>
  <c r="S1360" i="1"/>
  <c r="S1364" i="1"/>
  <c r="S1368" i="1"/>
  <c r="S1026" i="1"/>
  <c r="S1031" i="1"/>
  <c r="S1036" i="1"/>
  <c r="S1041" i="1"/>
  <c r="S1045" i="1"/>
  <c r="S1049" i="1"/>
  <c r="S1053" i="1"/>
  <c r="S1057" i="1"/>
  <c r="S1061" i="1"/>
  <c r="S1065" i="1"/>
  <c r="S1069" i="1"/>
  <c r="S1073" i="1"/>
  <c r="S1077" i="1"/>
  <c r="S1081" i="1"/>
  <c r="S1085" i="1"/>
  <c r="S1089" i="1"/>
  <c r="S1093" i="1"/>
  <c r="S1097" i="1"/>
  <c r="S1101" i="1"/>
  <c r="S1105" i="1"/>
  <c r="S1109" i="1"/>
  <c r="S1113" i="1"/>
  <c r="S1117" i="1"/>
  <c r="S1121" i="1"/>
  <c r="S1125" i="1"/>
  <c r="S1129" i="1"/>
  <c r="S1133" i="1"/>
  <c r="S1137" i="1"/>
  <c r="S1141" i="1"/>
  <c r="S1145" i="1"/>
  <c r="S1149" i="1"/>
  <c r="S1153" i="1"/>
  <c r="S1157" i="1"/>
  <c r="S1161" i="1"/>
  <c r="S1165" i="1"/>
  <c r="S1169" i="1"/>
  <c r="S1173" i="1"/>
  <c r="S1177" i="1"/>
  <c r="S1181" i="1"/>
  <c r="S1185" i="1"/>
  <c r="S1189" i="1"/>
  <c r="S1193" i="1"/>
  <c r="S1197" i="1"/>
  <c r="S1201" i="1"/>
  <c r="S1205" i="1"/>
  <c r="S1209" i="1"/>
  <c r="S1213" i="1"/>
  <c r="S1217" i="1"/>
  <c r="S1221" i="1"/>
  <c r="S1225" i="1"/>
  <c r="S1229" i="1"/>
  <c r="S1233" i="1"/>
  <c r="S1237" i="1"/>
  <c r="S1241" i="1"/>
  <c r="S1245" i="1"/>
  <c r="S1249" i="1"/>
  <c r="S1253" i="1"/>
  <c r="S1257" i="1"/>
  <c r="S1261" i="1"/>
  <c r="S1265" i="1"/>
  <c r="S1269" i="1"/>
  <c r="S1273" i="1"/>
  <c r="S1277" i="1"/>
  <c r="S1281" i="1"/>
  <c r="S1285" i="1"/>
  <c r="S1289" i="1"/>
  <c r="S1293" i="1"/>
  <c r="S1297" i="1"/>
  <c r="S1301" i="1"/>
  <c r="S1305" i="1"/>
  <c r="S1309" i="1"/>
  <c r="S1313" i="1"/>
  <c r="S1317" i="1"/>
  <c r="S1321" i="1"/>
  <c r="S1325" i="1"/>
  <c r="S1329" i="1"/>
  <c r="S1333" i="1"/>
  <c r="S1337" i="1"/>
  <c r="S1341" i="1"/>
  <c r="S1345" i="1"/>
  <c r="S1349" i="1"/>
  <c r="S1353" i="1"/>
  <c r="S1357" i="1"/>
  <c r="S1361" i="1"/>
  <c r="S1365" i="1"/>
  <c r="S1369" i="1"/>
  <c r="S1373" i="1"/>
  <c r="S1027" i="1"/>
  <c r="S1032" i="1"/>
  <c r="S1038" i="1"/>
  <c r="S1042" i="1"/>
  <c r="S1046" i="1"/>
  <c r="S1050" i="1"/>
  <c r="S1054" i="1"/>
  <c r="S1058" i="1"/>
  <c r="S1062" i="1"/>
  <c r="S1066" i="1"/>
  <c r="S1070" i="1"/>
  <c r="S1074" i="1"/>
  <c r="S1078" i="1"/>
  <c r="S1082" i="1"/>
  <c r="S1086" i="1"/>
  <c r="S1090" i="1"/>
  <c r="S1094" i="1"/>
  <c r="S1098" i="1"/>
  <c r="S1102" i="1"/>
  <c r="S1106" i="1"/>
  <c r="S1110" i="1"/>
  <c r="S1114" i="1"/>
  <c r="S1118" i="1"/>
  <c r="S1122" i="1"/>
  <c r="S1126" i="1"/>
  <c r="S1130" i="1"/>
  <c r="S1134" i="1"/>
  <c r="S1138" i="1"/>
  <c r="S1142" i="1"/>
  <c r="S1146" i="1"/>
  <c r="S1150" i="1"/>
  <c r="S1154" i="1"/>
  <c r="S1158" i="1"/>
  <c r="S1162" i="1"/>
  <c r="S1166" i="1"/>
  <c r="S1170" i="1"/>
  <c r="S1174" i="1"/>
  <c r="S1178" i="1"/>
  <c r="S1182" i="1"/>
  <c r="S1186" i="1"/>
  <c r="S1190" i="1"/>
  <c r="S1194" i="1"/>
  <c r="S1198" i="1"/>
  <c r="S1202" i="1"/>
  <c r="S1206" i="1"/>
  <c r="S1210" i="1"/>
  <c r="S1214" i="1"/>
  <c r="S1218" i="1"/>
  <c r="S1222" i="1"/>
  <c r="S1226" i="1"/>
  <c r="S1230" i="1"/>
  <c r="S1234" i="1"/>
  <c r="S1238" i="1"/>
  <c r="S1242" i="1"/>
  <c r="S1246" i="1"/>
  <c r="S1250" i="1"/>
  <c r="S1254" i="1"/>
  <c r="S1258" i="1"/>
  <c r="S1262" i="1"/>
  <c r="S1266" i="1"/>
  <c r="S1270" i="1"/>
  <c r="S1274" i="1"/>
  <c r="S1278" i="1"/>
  <c r="S1282" i="1"/>
  <c r="S1286" i="1"/>
  <c r="S1290" i="1"/>
  <c r="S1294" i="1"/>
  <c r="S1298" i="1"/>
  <c r="S1302" i="1"/>
  <c r="S1306" i="1"/>
  <c r="S1310" i="1"/>
  <c r="S1314" i="1"/>
  <c r="S1318" i="1"/>
  <c r="S1322" i="1"/>
  <c r="S1326" i="1"/>
  <c r="S1330" i="1"/>
  <c r="S1334" i="1"/>
  <c r="S1338" i="1"/>
  <c r="S1342" i="1"/>
  <c r="S1346" i="1"/>
  <c r="S1350" i="1"/>
  <c r="S1354" i="1"/>
  <c r="S1358" i="1"/>
  <c r="S1362" i="1"/>
  <c r="S1366" i="1"/>
  <c r="S1370" i="1"/>
  <c r="S1028" i="1"/>
  <c r="S1034" i="1"/>
  <c r="S1039" i="1"/>
  <c r="S1043" i="1"/>
  <c r="S1047" i="1"/>
  <c r="S1051" i="1"/>
  <c r="S1055" i="1"/>
  <c r="S1059" i="1"/>
  <c r="S1063" i="1"/>
  <c r="S1067" i="1"/>
  <c r="S1071" i="1"/>
  <c r="S1075" i="1"/>
  <c r="S1079" i="1"/>
  <c r="S1083" i="1"/>
  <c r="S1087" i="1"/>
  <c r="S1091" i="1"/>
  <c r="S1095" i="1"/>
  <c r="S1099" i="1"/>
  <c r="S1103" i="1"/>
  <c r="S1107" i="1"/>
  <c r="S1111" i="1"/>
  <c r="S1115" i="1"/>
  <c r="S1119" i="1"/>
  <c r="S1123" i="1"/>
  <c r="S1127" i="1"/>
  <c r="S1131" i="1"/>
  <c r="S1135" i="1"/>
  <c r="S1139" i="1"/>
  <c r="S1143" i="1"/>
  <c r="S1147" i="1"/>
  <c r="S1151" i="1"/>
  <c r="S1155" i="1"/>
  <c r="S1159" i="1"/>
  <c r="S1163" i="1"/>
  <c r="S1167" i="1"/>
  <c r="S1171" i="1"/>
  <c r="S1175" i="1"/>
  <c r="S1179" i="1"/>
  <c r="S1183" i="1"/>
  <c r="S1187" i="1"/>
  <c r="S1191" i="1"/>
  <c r="S1195" i="1"/>
  <c r="S1199" i="1"/>
  <c r="S1203" i="1"/>
  <c r="S1207" i="1"/>
  <c r="S1211" i="1"/>
  <c r="S1215" i="1"/>
  <c r="S1219" i="1"/>
  <c r="S1223" i="1"/>
  <c r="S1227" i="1"/>
  <c r="S1231" i="1"/>
  <c r="S1235" i="1"/>
  <c r="S1239" i="1"/>
  <c r="S1243" i="1"/>
  <c r="S1247" i="1"/>
  <c r="S1251" i="1"/>
  <c r="S1255" i="1"/>
  <c r="S1259" i="1"/>
  <c r="S1263" i="1"/>
  <c r="S1267" i="1"/>
  <c r="S1271" i="1"/>
  <c r="S1275" i="1"/>
  <c r="S1279" i="1"/>
  <c r="S1283" i="1"/>
  <c r="S1287" i="1"/>
  <c r="S1291" i="1"/>
  <c r="S1295" i="1"/>
  <c r="S1299" i="1"/>
  <c r="S1303" i="1"/>
  <c r="S1307" i="1"/>
  <c r="S1311" i="1"/>
  <c r="S1315" i="1"/>
  <c r="S1319" i="1"/>
  <c r="S1323" i="1"/>
  <c r="S1327" i="1"/>
  <c r="S1331" i="1"/>
  <c r="S1335" i="1"/>
  <c r="S1339" i="1"/>
  <c r="S1343" i="1"/>
  <c r="S1347" i="1"/>
  <c r="S1351" i="1"/>
  <c r="S1355" i="1"/>
  <c r="S1359" i="1"/>
  <c r="S1363" i="1"/>
  <c r="S1367" i="1"/>
  <c r="S1371" i="1"/>
  <c r="S1376" i="1"/>
  <c r="S1380" i="1"/>
  <c r="S1384" i="1"/>
  <c r="S1388" i="1"/>
  <c r="S1392" i="1"/>
  <c r="S1396" i="1"/>
  <c r="S1400" i="1"/>
  <c r="S1404" i="1"/>
  <c r="S1408" i="1"/>
  <c r="S1412" i="1"/>
  <c r="S1416" i="1"/>
  <c r="S1420" i="1"/>
  <c r="S1424" i="1"/>
  <c r="S1428" i="1"/>
  <c r="S1432" i="1"/>
  <c r="S1436" i="1"/>
  <c r="S1440" i="1"/>
  <c r="S1444" i="1"/>
  <c r="S1448" i="1"/>
  <c r="S1452" i="1"/>
  <c r="S1456" i="1"/>
  <c r="S1460" i="1"/>
  <c r="S1464" i="1"/>
  <c r="S1468" i="1"/>
  <c r="S1472" i="1"/>
  <c r="S1476" i="1"/>
  <c r="S1480" i="1"/>
  <c r="S1484" i="1"/>
  <c r="S1488" i="1"/>
  <c r="S1492" i="1"/>
  <c r="S1496" i="1"/>
  <c r="S1500" i="1"/>
  <c r="S1504" i="1"/>
  <c r="S1508" i="1"/>
  <c r="S1512" i="1"/>
  <c r="S1516" i="1"/>
  <c r="S1520" i="1"/>
  <c r="S1524" i="1"/>
  <c r="S1528" i="1"/>
  <c r="S1532" i="1"/>
  <c r="S1536" i="1"/>
  <c r="S1540" i="1"/>
  <c r="S1544" i="1"/>
  <c r="S1548" i="1"/>
  <c r="S1552" i="1"/>
  <c r="S1556" i="1"/>
  <c r="S1560" i="1"/>
  <c r="S1564" i="1"/>
  <c r="S1568" i="1"/>
  <c r="S1572" i="1"/>
  <c r="S1576" i="1"/>
  <c r="S1580" i="1"/>
  <c r="S1584" i="1"/>
  <c r="S1588" i="1"/>
  <c r="S1592" i="1"/>
  <c r="S1596" i="1"/>
  <c r="S1600" i="1"/>
  <c r="S1604" i="1"/>
  <c r="S1608" i="1"/>
  <c r="S1612" i="1"/>
  <c r="S1616" i="1"/>
  <c r="S1620" i="1"/>
  <c r="S1624" i="1"/>
  <c r="S1628" i="1"/>
  <c r="S1632" i="1"/>
  <c r="S1636" i="1"/>
  <c r="S1640" i="1"/>
  <c r="S1644" i="1"/>
  <c r="S1648" i="1"/>
  <c r="S1652" i="1"/>
  <c r="S1656" i="1"/>
  <c r="S1660" i="1"/>
  <c r="S1664" i="1"/>
  <c r="S1668" i="1"/>
  <c r="S1672" i="1"/>
  <c r="S1676" i="1"/>
  <c r="S1680" i="1"/>
  <c r="S1684" i="1"/>
  <c r="S1688" i="1"/>
  <c r="S1692" i="1"/>
  <c r="S1696" i="1"/>
  <c r="S1700" i="1"/>
  <c r="S1704" i="1"/>
  <c r="S1708" i="1"/>
  <c r="S1712" i="1"/>
  <c r="S1716" i="1"/>
  <c r="S1720" i="1"/>
  <c r="S1724" i="1"/>
  <c r="S1728" i="1"/>
  <c r="S1732" i="1"/>
  <c r="S1736" i="1"/>
  <c r="S1740" i="1"/>
  <c r="S1744" i="1"/>
  <c r="S1748" i="1"/>
  <c r="S1752" i="1"/>
  <c r="S1756" i="1"/>
  <c r="S1760" i="1"/>
  <c r="S1764" i="1"/>
  <c r="S1768" i="1"/>
  <c r="S1772" i="1"/>
  <c r="S1776" i="1"/>
  <c r="S1780" i="1"/>
  <c r="S1784" i="1"/>
  <c r="S1788" i="1"/>
  <c r="S1792" i="1"/>
  <c r="S1796" i="1"/>
  <c r="S1800" i="1"/>
  <c r="S1804" i="1"/>
  <c r="S1808" i="1"/>
  <c r="S1812" i="1"/>
  <c r="S1816" i="1"/>
  <c r="S1820" i="1"/>
  <c r="S1824" i="1"/>
  <c r="S1828" i="1"/>
  <c r="S1832" i="1"/>
  <c r="S1836" i="1"/>
  <c r="S1840" i="1"/>
  <c r="S1844" i="1"/>
  <c r="S1848" i="1"/>
  <c r="S1852" i="1"/>
  <c r="S1856" i="1"/>
  <c r="S1860" i="1"/>
  <c r="S1864" i="1"/>
  <c r="S1868" i="1"/>
  <c r="S1872" i="1"/>
  <c r="S1876" i="1"/>
  <c r="S1880" i="1"/>
  <c r="S1884" i="1"/>
  <c r="S1888" i="1"/>
  <c r="S1892" i="1"/>
  <c r="S1896" i="1"/>
  <c r="S1900" i="1"/>
  <c r="S1904" i="1"/>
  <c r="S1908" i="1"/>
  <c r="S1912" i="1"/>
  <c r="S1916" i="1"/>
  <c r="S1920" i="1"/>
  <c r="S1924" i="1"/>
  <c r="S1928" i="1"/>
  <c r="S1932" i="1"/>
  <c r="S1936" i="1"/>
  <c r="S1940" i="1"/>
  <c r="S1944" i="1"/>
  <c r="S1948" i="1"/>
  <c r="S1952" i="1"/>
  <c r="S1956" i="1"/>
  <c r="S1960" i="1"/>
  <c r="S1964" i="1"/>
  <c r="S1968" i="1"/>
  <c r="S1972" i="1"/>
  <c r="S1976" i="1"/>
  <c r="S1980" i="1"/>
  <c r="S1984" i="1"/>
  <c r="S1988" i="1"/>
  <c r="S1992" i="1"/>
  <c r="S1996" i="1"/>
  <c r="S2000" i="1"/>
  <c r="S2004" i="1"/>
  <c r="S2008" i="1"/>
  <c r="S2012" i="1"/>
  <c r="S2016" i="1"/>
  <c r="S2020" i="1"/>
  <c r="S2024" i="1"/>
  <c r="S2028" i="1"/>
  <c r="S2032" i="1"/>
  <c r="S2036" i="1"/>
  <c r="S1372" i="1"/>
  <c r="S1377" i="1"/>
  <c r="S1381" i="1"/>
  <c r="S1385" i="1"/>
  <c r="S1389" i="1"/>
  <c r="S1393" i="1"/>
  <c r="S1397" i="1"/>
  <c r="S1401" i="1"/>
  <c r="S1405" i="1"/>
  <c r="S1409" i="1"/>
  <c r="S1413" i="1"/>
  <c r="S1417" i="1"/>
  <c r="S1421" i="1"/>
  <c r="S1425" i="1"/>
  <c r="S1429" i="1"/>
  <c r="S1433" i="1"/>
  <c r="S1437" i="1"/>
  <c r="S1441" i="1"/>
  <c r="S1445" i="1"/>
  <c r="S1449" i="1"/>
  <c r="S1453" i="1"/>
  <c r="S1457" i="1"/>
  <c r="S1461" i="1"/>
  <c r="S1465" i="1"/>
  <c r="S1469" i="1"/>
  <c r="S1473" i="1"/>
  <c r="S1477" i="1"/>
  <c r="S1481" i="1"/>
  <c r="S1485" i="1"/>
  <c r="S1489" i="1"/>
  <c r="S1493" i="1"/>
  <c r="S1497" i="1"/>
  <c r="S1501" i="1"/>
  <c r="S1505" i="1"/>
  <c r="S1509" i="1"/>
  <c r="S1513" i="1"/>
  <c r="S1517" i="1"/>
  <c r="S1521" i="1"/>
  <c r="S1525" i="1"/>
  <c r="S1529" i="1"/>
  <c r="S1533" i="1"/>
  <c r="S1537" i="1"/>
  <c r="S1541" i="1"/>
  <c r="S1545" i="1"/>
  <c r="S1549" i="1"/>
  <c r="S1553" i="1"/>
  <c r="S1557" i="1"/>
  <c r="S1561" i="1"/>
  <c r="S1565" i="1"/>
  <c r="S1569" i="1"/>
  <c r="S1573" i="1"/>
  <c r="S1577" i="1"/>
  <c r="S1581" i="1"/>
  <c r="S1585" i="1"/>
  <c r="S1589" i="1"/>
  <c r="S1593" i="1"/>
  <c r="S1597" i="1"/>
  <c r="S1601" i="1"/>
  <c r="S1605" i="1"/>
  <c r="S1609" i="1"/>
  <c r="S1613" i="1"/>
  <c r="S1617" i="1"/>
  <c r="S1621" i="1"/>
  <c r="S1625" i="1"/>
  <c r="S1629" i="1"/>
  <c r="S1633" i="1"/>
  <c r="S1637" i="1"/>
  <c r="S1641" i="1"/>
  <c r="S1645" i="1"/>
  <c r="S1649" i="1"/>
  <c r="S1653" i="1"/>
  <c r="S1657" i="1"/>
  <c r="S1661" i="1"/>
  <c r="S1665" i="1"/>
  <c r="S1669" i="1"/>
  <c r="S1673" i="1"/>
  <c r="S1677" i="1"/>
  <c r="S1681" i="1"/>
  <c r="S1685" i="1"/>
  <c r="S1689" i="1"/>
  <c r="S1693" i="1"/>
  <c r="S1697" i="1"/>
  <c r="S1701" i="1"/>
  <c r="S1705" i="1"/>
  <c r="S1709" i="1"/>
  <c r="S1713" i="1"/>
  <c r="S1717" i="1"/>
  <c r="S1721" i="1"/>
  <c r="S1725" i="1"/>
  <c r="S1729" i="1"/>
  <c r="S1733" i="1"/>
  <c r="S1737" i="1"/>
  <c r="S1741" i="1"/>
  <c r="S1745" i="1"/>
  <c r="S1749" i="1"/>
  <c r="S1753" i="1"/>
  <c r="S1757" i="1"/>
  <c r="S1761" i="1"/>
  <c r="S1765" i="1"/>
  <c r="S1769" i="1"/>
  <c r="S1773" i="1"/>
  <c r="S1777" i="1"/>
  <c r="S1781" i="1"/>
  <c r="S1785" i="1"/>
  <c r="S1789" i="1"/>
  <c r="S1793" i="1"/>
  <c r="S1797" i="1"/>
  <c r="S1801" i="1"/>
  <c r="S1805" i="1"/>
  <c r="S1809" i="1"/>
  <c r="S1813" i="1"/>
  <c r="S1817" i="1"/>
  <c r="S1821" i="1"/>
  <c r="S1825" i="1"/>
  <c r="S1829" i="1"/>
  <c r="S1833" i="1"/>
  <c r="S1837" i="1"/>
  <c r="S1841" i="1"/>
  <c r="S1845" i="1"/>
  <c r="S1849" i="1"/>
  <c r="S1853" i="1"/>
  <c r="S1857" i="1"/>
  <c r="S1861" i="1"/>
  <c r="S1865" i="1"/>
  <c r="S1869" i="1"/>
  <c r="S1873" i="1"/>
  <c r="S1877" i="1"/>
  <c r="S1881" i="1"/>
  <c r="S1885" i="1"/>
  <c r="S1889" i="1"/>
  <c r="S1893" i="1"/>
  <c r="S1897" i="1"/>
  <c r="S1901" i="1"/>
  <c r="S1905" i="1"/>
  <c r="S1909" i="1"/>
  <c r="S1913" i="1"/>
  <c r="S1917" i="1"/>
  <c r="S1921" i="1"/>
  <c r="S1925" i="1"/>
  <c r="S1929" i="1"/>
  <c r="S1933" i="1"/>
  <c r="S1937" i="1"/>
  <c r="S1941" i="1"/>
  <c r="S1945" i="1"/>
  <c r="S1949" i="1"/>
  <c r="S1953" i="1"/>
  <c r="S1957" i="1"/>
  <c r="S1961" i="1"/>
  <c r="S1965" i="1"/>
  <c r="S1969" i="1"/>
  <c r="S1973" i="1"/>
  <c r="S1977" i="1"/>
  <c r="S1981" i="1"/>
  <c r="S1985" i="1"/>
  <c r="S1989" i="1"/>
  <c r="S1993" i="1"/>
  <c r="S1997" i="1"/>
  <c r="S2001" i="1"/>
  <c r="S2005" i="1"/>
  <c r="S2009" i="1"/>
  <c r="S2013" i="1"/>
  <c r="S2017" i="1"/>
  <c r="S2021" i="1"/>
  <c r="S2025" i="1"/>
  <c r="S2029" i="1"/>
  <c r="S2033" i="1"/>
  <c r="S2037" i="1"/>
  <c r="S2041" i="1"/>
  <c r="S2045" i="1"/>
  <c r="S2049" i="1"/>
  <c r="S1374" i="1"/>
  <c r="S1378" i="1"/>
  <c r="S1382" i="1"/>
  <c r="S1386" i="1"/>
  <c r="S1390" i="1"/>
  <c r="S1394" i="1"/>
  <c r="S1398" i="1"/>
  <c r="S1402" i="1"/>
  <c r="S1406" i="1"/>
  <c r="S1410" i="1"/>
  <c r="S1414" i="1"/>
  <c r="S1418" i="1"/>
  <c r="S1422" i="1"/>
  <c r="S1426" i="1"/>
  <c r="S1430" i="1"/>
  <c r="S1434" i="1"/>
  <c r="S1438" i="1"/>
  <c r="S1442" i="1"/>
  <c r="S1446" i="1"/>
  <c r="S1450" i="1"/>
  <c r="S1454" i="1"/>
  <c r="S1458" i="1"/>
  <c r="S1462" i="1"/>
  <c r="S1466" i="1"/>
  <c r="S1470" i="1"/>
  <c r="S1474" i="1"/>
  <c r="S1478" i="1"/>
  <c r="S1482" i="1"/>
  <c r="S1486" i="1"/>
  <c r="S1490" i="1"/>
  <c r="S1494" i="1"/>
  <c r="S1498" i="1"/>
  <c r="S1502" i="1"/>
  <c r="S1506" i="1"/>
  <c r="S1510" i="1"/>
  <c r="S1514" i="1"/>
  <c r="S1518" i="1"/>
  <c r="S1522" i="1"/>
  <c r="S1526" i="1"/>
  <c r="S1530" i="1"/>
  <c r="S1534" i="1"/>
  <c r="S1538" i="1"/>
  <c r="S1542" i="1"/>
  <c r="S1546" i="1"/>
  <c r="S1550" i="1"/>
  <c r="S1554" i="1"/>
  <c r="S1558" i="1"/>
  <c r="S1562" i="1"/>
  <c r="S1566" i="1"/>
  <c r="S1570" i="1"/>
  <c r="S1574" i="1"/>
  <c r="S1578" i="1"/>
  <c r="S1582" i="1"/>
  <c r="S1586" i="1"/>
  <c r="S1590" i="1"/>
  <c r="S1594" i="1"/>
  <c r="S1598" i="1"/>
  <c r="S1602" i="1"/>
  <c r="S1606" i="1"/>
  <c r="S1610" i="1"/>
  <c r="S1614" i="1"/>
  <c r="S1618" i="1"/>
  <c r="S1622" i="1"/>
  <c r="S1626" i="1"/>
  <c r="S1630" i="1"/>
  <c r="S1634" i="1"/>
  <c r="S1638" i="1"/>
  <c r="S1642" i="1"/>
  <c r="S1646" i="1"/>
  <c r="S1650" i="1"/>
  <c r="S1654" i="1"/>
  <c r="S1658" i="1"/>
  <c r="S1662" i="1"/>
  <c r="S1666" i="1"/>
  <c r="S1670" i="1"/>
  <c r="S1674" i="1"/>
  <c r="S1678" i="1"/>
  <c r="S1682" i="1"/>
  <c r="S1686" i="1"/>
  <c r="S1690" i="1"/>
  <c r="S1694" i="1"/>
  <c r="S1698" i="1"/>
  <c r="S1702" i="1"/>
  <c r="S1706" i="1"/>
  <c r="S1710" i="1"/>
  <c r="S1714" i="1"/>
  <c r="S1718" i="1"/>
  <c r="S1722" i="1"/>
  <c r="S1726" i="1"/>
  <c r="S1730" i="1"/>
  <c r="S1734" i="1"/>
  <c r="S1738" i="1"/>
  <c r="S1742" i="1"/>
  <c r="S1746" i="1"/>
  <c r="S1750" i="1"/>
  <c r="S1754" i="1"/>
  <c r="S1758" i="1"/>
  <c r="S1762" i="1"/>
  <c r="S1766" i="1"/>
  <c r="S1770" i="1"/>
  <c r="S1774" i="1"/>
  <c r="S1778" i="1"/>
  <c r="S1782" i="1"/>
  <c r="S1786" i="1"/>
  <c r="S1790" i="1"/>
  <c r="S1794" i="1"/>
  <c r="S1798" i="1"/>
  <c r="S1802" i="1"/>
  <c r="S1806" i="1"/>
  <c r="S1810" i="1"/>
  <c r="S1814" i="1"/>
  <c r="S1818" i="1"/>
  <c r="S1822" i="1"/>
  <c r="S1826" i="1"/>
  <c r="S1830" i="1"/>
  <c r="S1834" i="1"/>
  <c r="S1838" i="1"/>
  <c r="S1842" i="1"/>
  <c r="S1846" i="1"/>
  <c r="S1850" i="1"/>
  <c r="S1854" i="1"/>
  <c r="S1858" i="1"/>
  <c r="S1862" i="1"/>
  <c r="S1866" i="1"/>
  <c r="S1870" i="1"/>
  <c r="S1874" i="1"/>
  <c r="S1878" i="1"/>
  <c r="S1882" i="1"/>
  <c r="S1886" i="1"/>
  <c r="S1890" i="1"/>
  <c r="S1894" i="1"/>
  <c r="S1898" i="1"/>
  <c r="S1902" i="1"/>
  <c r="S1906" i="1"/>
  <c r="S1910" i="1"/>
  <c r="S1914" i="1"/>
  <c r="S1918" i="1"/>
  <c r="S1922" i="1"/>
  <c r="S1926" i="1"/>
  <c r="S1930" i="1"/>
  <c r="S1934" i="1"/>
  <c r="S1938" i="1"/>
  <c r="S1942" i="1"/>
  <c r="S1946" i="1"/>
  <c r="S1950" i="1"/>
  <c r="S1954" i="1"/>
  <c r="S1958" i="1"/>
  <c r="S1962" i="1"/>
  <c r="S1966" i="1"/>
  <c r="S1970" i="1"/>
  <c r="S1974" i="1"/>
  <c r="S1978" i="1"/>
  <c r="S1982" i="1"/>
  <c r="S1986" i="1"/>
  <c r="S1990" i="1"/>
  <c r="S1994" i="1"/>
  <c r="S1998" i="1"/>
  <c r="S2002" i="1"/>
  <c r="S2006" i="1"/>
  <c r="S2010" i="1"/>
  <c r="S2014" i="1"/>
  <c r="S2018" i="1"/>
  <c r="S2022" i="1"/>
  <c r="S2026" i="1"/>
  <c r="S1375" i="1"/>
  <c r="S1379" i="1"/>
  <c r="S1383" i="1"/>
  <c r="S1387" i="1"/>
  <c r="S1391" i="1"/>
  <c r="S1395" i="1"/>
  <c r="S1399" i="1"/>
  <c r="S1403" i="1"/>
  <c r="S1407" i="1"/>
  <c r="S1411" i="1"/>
  <c r="S1415" i="1"/>
  <c r="S1419" i="1"/>
  <c r="S1423" i="1"/>
  <c r="S1427" i="1"/>
  <c r="S1431" i="1"/>
  <c r="S1435" i="1"/>
  <c r="S1439" i="1"/>
  <c r="S1443" i="1"/>
  <c r="S1447" i="1"/>
  <c r="S1451" i="1"/>
  <c r="S1455" i="1"/>
  <c r="S1459" i="1"/>
  <c r="S1463" i="1"/>
  <c r="S1467" i="1"/>
  <c r="S1471" i="1"/>
  <c r="S1475" i="1"/>
  <c r="S1479" i="1"/>
  <c r="S1483" i="1"/>
  <c r="S1487" i="1"/>
  <c r="S1491" i="1"/>
  <c r="S1495" i="1"/>
  <c r="S1499" i="1"/>
  <c r="S1503" i="1"/>
  <c r="S1507" i="1"/>
  <c r="S1511" i="1"/>
  <c r="S1515" i="1"/>
  <c r="S1519" i="1"/>
  <c r="S1523" i="1"/>
  <c r="S1527" i="1"/>
  <c r="S1531" i="1"/>
  <c r="S1535" i="1"/>
  <c r="S1539" i="1"/>
  <c r="S1543" i="1"/>
  <c r="S1547" i="1"/>
  <c r="S1551" i="1"/>
  <c r="S1555" i="1"/>
  <c r="S1559" i="1"/>
  <c r="S1563" i="1"/>
  <c r="S1567" i="1"/>
  <c r="S1571" i="1"/>
  <c r="S1575" i="1"/>
  <c r="S1579" i="1"/>
  <c r="S1583" i="1"/>
  <c r="S1587" i="1"/>
  <c r="S1591" i="1"/>
  <c r="S1595" i="1"/>
  <c r="S1599" i="1"/>
  <c r="S1603" i="1"/>
  <c r="S1607" i="1"/>
  <c r="S1611" i="1"/>
  <c r="S1615" i="1"/>
  <c r="S1619" i="1"/>
  <c r="S1623" i="1"/>
  <c r="S1627" i="1"/>
  <c r="S1631" i="1"/>
  <c r="S1635" i="1"/>
  <c r="S1639" i="1"/>
  <c r="S1643" i="1"/>
  <c r="S1647" i="1"/>
  <c r="S1651" i="1"/>
  <c r="S1655" i="1"/>
  <c r="S1659" i="1"/>
  <c r="S1663" i="1"/>
  <c r="S1667" i="1"/>
  <c r="S1671" i="1"/>
  <c r="S1675" i="1"/>
  <c r="S1679" i="1"/>
  <c r="S1683" i="1"/>
  <c r="S1687" i="1"/>
  <c r="S1691" i="1"/>
  <c r="S1695" i="1"/>
  <c r="S1699" i="1"/>
  <c r="S1703" i="1"/>
  <c r="S1707" i="1"/>
  <c r="S1711" i="1"/>
  <c r="S1715" i="1"/>
  <c r="S1719" i="1"/>
  <c r="S1723" i="1"/>
  <c r="S1727" i="1"/>
  <c r="S1731" i="1"/>
  <c r="S1735" i="1"/>
  <c r="S1739" i="1"/>
  <c r="S1743" i="1"/>
  <c r="S1747" i="1"/>
  <c r="S1751" i="1"/>
  <c r="S1755" i="1"/>
  <c r="S1759" i="1"/>
  <c r="S1763" i="1"/>
  <c r="S1767" i="1"/>
  <c r="S1771" i="1"/>
  <c r="S1775" i="1"/>
  <c r="S1779" i="1"/>
  <c r="S1783" i="1"/>
  <c r="S1787" i="1"/>
  <c r="S1791" i="1"/>
  <c r="S1795" i="1"/>
  <c r="S1799" i="1"/>
  <c r="S1803" i="1"/>
  <c r="S1807" i="1"/>
  <c r="S1811" i="1"/>
  <c r="S1815" i="1"/>
  <c r="S1819" i="1"/>
  <c r="S1823" i="1"/>
  <c r="S1827" i="1"/>
  <c r="S1831" i="1"/>
  <c r="S1835" i="1"/>
  <c r="S1839" i="1"/>
  <c r="S1843" i="1"/>
  <c r="S1847" i="1"/>
  <c r="S1851" i="1"/>
  <c r="S1855" i="1"/>
  <c r="S1859" i="1"/>
  <c r="S1863" i="1"/>
  <c r="S1867" i="1"/>
  <c r="S1871" i="1"/>
  <c r="S1875" i="1"/>
  <c r="S1879" i="1"/>
  <c r="S1883" i="1"/>
  <c r="S1887" i="1"/>
  <c r="S1891" i="1"/>
  <c r="S1895" i="1"/>
  <c r="S1899" i="1"/>
  <c r="S1903" i="1"/>
  <c r="S1907" i="1"/>
  <c r="S1911" i="1"/>
  <c r="S1915" i="1"/>
  <c r="S1919" i="1"/>
  <c r="S1923" i="1"/>
  <c r="S1927" i="1"/>
  <c r="S1931" i="1"/>
  <c r="S1935" i="1"/>
  <c r="S1939" i="1"/>
  <c r="S1943" i="1"/>
  <c r="S1947" i="1"/>
  <c r="S1951" i="1"/>
  <c r="S1955" i="1"/>
  <c r="S1959" i="1"/>
  <c r="S1963" i="1"/>
  <c r="S1967" i="1"/>
  <c r="S1971" i="1"/>
  <c r="S1975" i="1"/>
  <c r="S1979" i="1"/>
  <c r="S1983" i="1"/>
  <c r="S1987" i="1"/>
  <c r="S1991" i="1"/>
  <c r="S1995" i="1"/>
  <c r="S1999" i="1"/>
  <c r="S2003" i="1"/>
  <c r="S2007" i="1"/>
  <c r="S2011" i="1"/>
  <c r="S2015" i="1"/>
  <c r="S2019" i="1"/>
  <c r="S2023" i="1"/>
  <c r="S2027" i="1"/>
  <c r="S2031" i="1"/>
  <c r="S2038" i="1"/>
  <c r="S2043" i="1"/>
  <c r="S2048" i="1"/>
  <c r="S2053" i="1"/>
  <c r="S2057" i="1"/>
  <c r="S2061" i="1"/>
  <c r="S2065" i="1"/>
  <c r="S2069" i="1"/>
  <c r="S2073" i="1"/>
  <c r="S2077" i="1"/>
  <c r="S2081" i="1"/>
  <c r="S2085" i="1"/>
  <c r="S2089" i="1"/>
  <c r="S2093" i="1"/>
  <c r="S2097" i="1"/>
  <c r="S2101" i="1"/>
  <c r="S2105" i="1"/>
  <c r="S2109" i="1"/>
  <c r="S2113" i="1"/>
  <c r="S2117" i="1"/>
  <c r="S2121" i="1"/>
  <c r="S2125" i="1"/>
  <c r="S2129" i="1"/>
  <c r="S2133" i="1"/>
  <c r="S2137" i="1"/>
  <c r="S2141" i="1"/>
  <c r="S2145" i="1"/>
  <c r="S2149" i="1"/>
  <c r="S2153" i="1"/>
  <c r="S2157" i="1"/>
  <c r="S2161" i="1"/>
  <c r="S2165" i="1"/>
  <c r="S2169" i="1"/>
  <c r="S2173" i="1"/>
  <c r="S2177" i="1"/>
  <c r="S2181" i="1"/>
  <c r="S2185" i="1"/>
  <c r="S2189" i="1"/>
  <c r="S2193" i="1"/>
  <c r="S2197" i="1"/>
  <c r="S2201" i="1"/>
  <c r="S2205" i="1"/>
  <c r="S2209" i="1"/>
  <c r="S2213" i="1"/>
  <c r="S2217" i="1"/>
  <c r="S2221" i="1"/>
  <c r="S2225" i="1"/>
  <c r="S2229" i="1"/>
  <c r="S2233" i="1"/>
  <c r="S2237" i="1"/>
  <c r="S2241" i="1"/>
  <c r="S2245" i="1"/>
  <c r="S2249" i="1"/>
  <c r="S2253" i="1"/>
  <c r="S2257" i="1"/>
  <c r="S2261" i="1"/>
  <c r="S2265" i="1"/>
  <c r="S2269" i="1"/>
  <c r="S2273" i="1"/>
  <c r="S2277" i="1"/>
  <c r="S2281" i="1"/>
  <c r="S2285" i="1"/>
  <c r="S2289" i="1"/>
  <c r="S2293" i="1"/>
  <c r="S2297" i="1"/>
  <c r="S2301" i="1"/>
  <c r="S2305" i="1"/>
  <c r="S2309" i="1"/>
  <c r="S2313" i="1"/>
  <c r="S2317" i="1"/>
  <c r="S2321" i="1"/>
  <c r="S2325" i="1"/>
  <c r="S2329" i="1"/>
  <c r="S2333" i="1"/>
  <c r="S2337" i="1"/>
  <c r="S2341" i="1"/>
  <c r="S2345" i="1"/>
  <c r="S2349" i="1"/>
  <c r="S2353" i="1"/>
  <c r="S2357" i="1"/>
  <c r="S2361" i="1"/>
  <c r="S2365" i="1"/>
  <c r="S2369" i="1"/>
  <c r="S2373" i="1"/>
  <c r="S2377" i="1"/>
  <c r="S2381" i="1"/>
  <c r="S2385" i="1"/>
  <c r="S2389" i="1"/>
  <c r="S2393" i="1"/>
  <c r="S2397" i="1"/>
  <c r="S2401" i="1"/>
  <c r="S2405" i="1"/>
  <c r="S2409" i="1"/>
  <c r="S2413" i="1"/>
  <c r="S2417" i="1"/>
  <c r="S2421" i="1"/>
  <c r="S2425" i="1"/>
  <c r="S2429" i="1"/>
  <c r="S2433" i="1"/>
  <c r="S2437" i="1"/>
  <c r="S2441" i="1"/>
  <c r="S2445" i="1"/>
  <c r="S2449" i="1"/>
  <c r="S2453" i="1"/>
  <c r="S2457" i="1"/>
  <c r="S2461" i="1"/>
  <c r="S2465" i="1"/>
  <c r="S2469" i="1"/>
  <c r="S2473" i="1"/>
  <c r="S2477" i="1"/>
  <c r="S2481" i="1"/>
  <c r="S2485" i="1"/>
  <c r="S2489" i="1"/>
  <c r="S2493" i="1"/>
  <c r="S2497" i="1"/>
  <c r="S2501" i="1"/>
  <c r="S2505" i="1"/>
  <c r="S2509" i="1"/>
  <c r="S2513" i="1"/>
  <c r="S2517" i="1"/>
  <c r="S2521" i="1"/>
  <c r="S2525" i="1"/>
  <c r="S2529" i="1"/>
  <c r="S2533" i="1"/>
  <c r="S2537" i="1"/>
  <c r="S2541" i="1"/>
  <c r="S2545" i="1"/>
  <c r="S2549" i="1"/>
  <c r="S2553" i="1"/>
  <c r="S2557" i="1"/>
  <c r="S2561" i="1"/>
  <c r="S2565" i="1"/>
  <c r="S2569" i="1"/>
  <c r="S2573" i="1"/>
  <c r="S2577" i="1"/>
  <c r="S2581" i="1"/>
  <c r="S2585" i="1"/>
  <c r="S2589" i="1"/>
  <c r="S2593" i="1"/>
  <c r="S2597" i="1"/>
  <c r="S2601" i="1"/>
  <c r="S2605" i="1"/>
  <c r="S2609" i="1"/>
  <c r="S2613" i="1"/>
  <c r="S2617" i="1"/>
  <c r="S2621" i="1"/>
  <c r="S2625" i="1"/>
  <c r="S2629" i="1"/>
  <c r="S2633" i="1"/>
  <c r="S2637" i="1"/>
  <c r="S2641" i="1"/>
  <c r="S2645" i="1"/>
  <c r="S2649" i="1"/>
  <c r="S2653" i="1"/>
  <c r="S2657" i="1"/>
  <c r="S2661" i="1"/>
  <c r="S2665" i="1"/>
  <c r="S2669" i="1"/>
  <c r="S2673" i="1"/>
  <c r="S2677" i="1"/>
  <c r="S2681" i="1"/>
  <c r="S2685" i="1"/>
  <c r="S2689" i="1"/>
  <c r="S2693" i="1"/>
  <c r="S2697" i="1"/>
  <c r="S2701" i="1"/>
  <c r="S2705" i="1"/>
  <c r="S2709" i="1"/>
  <c r="S2713" i="1"/>
  <c r="S2717" i="1"/>
  <c r="S2030" i="1"/>
  <c r="S2039" i="1"/>
  <c r="S2044" i="1"/>
  <c r="S2050" i="1"/>
  <c r="S2054" i="1"/>
  <c r="S2058" i="1"/>
  <c r="S2062" i="1"/>
  <c r="S2066" i="1"/>
  <c r="S2070" i="1"/>
  <c r="S2074" i="1"/>
  <c r="S2078" i="1"/>
  <c r="S2082" i="1"/>
  <c r="S2086" i="1"/>
  <c r="S2090" i="1"/>
  <c r="S2094" i="1"/>
  <c r="S2098" i="1"/>
  <c r="S2102" i="1"/>
  <c r="S2106" i="1"/>
  <c r="S2110" i="1"/>
  <c r="S2114" i="1"/>
  <c r="S2118" i="1"/>
  <c r="S2122" i="1"/>
  <c r="S2126" i="1"/>
  <c r="S2130" i="1"/>
  <c r="S2134" i="1"/>
  <c r="S2138" i="1"/>
  <c r="S2142" i="1"/>
  <c r="S2146" i="1"/>
  <c r="S2150" i="1"/>
  <c r="S2154" i="1"/>
  <c r="S2158" i="1"/>
  <c r="S2162" i="1"/>
  <c r="S2166" i="1"/>
  <c r="S2170" i="1"/>
  <c r="S2174" i="1"/>
  <c r="S2178" i="1"/>
  <c r="S2182" i="1"/>
  <c r="S2186" i="1"/>
  <c r="S2190" i="1"/>
  <c r="S2194" i="1"/>
  <c r="S2198" i="1"/>
  <c r="S2202" i="1"/>
  <c r="S2206" i="1"/>
  <c r="S2210" i="1"/>
  <c r="S2214" i="1"/>
  <c r="S2218" i="1"/>
  <c r="S2222" i="1"/>
  <c r="S2226" i="1"/>
  <c r="S2230" i="1"/>
  <c r="S2234" i="1"/>
  <c r="S2238" i="1"/>
  <c r="S2242" i="1"/>
  <c r="S2246" i="1"/>
  <c r="S2250" i="1"/>
  <c r="S2254" i="1"/>
  <c r="S2258" i="1"/>
  <c r="S2262" i="1"/>
  <c r="S2266" i="1"/>
  <c r="S2270" i="1"/>
  <c r="S2274" i="1"/>
  <c r="S2278" i="1"/>
  <c r="S2282" i="1"/>
  <c r="S2286" i="1"/>
  <c r="S2290" i="1"/>
  <c r="S2294" i="1"/>
  <c r="S2298" i="1"/>
  <c r="S2302" i="1"/>
  <c r="S2306" i="1"/>
  <c r="S2310" i="1"/>
  <c r="S2314" i="1"/>
  <c r="S2318" i="1"/>
  <c r="S2322" i="1"/>
  <c r="S2326" i="1"/>
  <c r="S2330" i="1"/>
  <c r="S2334" i="1"/>
  <c r="S2338" i="1"/>
  <c r="S2342" i="1"/>
  <c r="S2346" i="1"/>
  <c r="S2350" i="1"/>
  <c r="S2354" i="1"/>
  <c r="S2358" i="1"/>
  <c r="S2362" i="1"/>
  <c r="S2366" i="1"/>
  <c r="S2370" i="1"/>
  <c r="S2374" i="1"/>
  <c r="S2378" i="1"/>
  <c r="S2382" i="1"/>
  <c r="S2386" i="1"/>
  <c r="S2390" i="1"/>
  <c r="S2394" i="1"/>
  <c r="S2398" i="1"/>
  <c r="S2402" i="1"/>
  <c r="S2406" i="1"/>
  <c r="S2410" i="1"/>
  <c r="S2414" i="1"/>
  <c r="S2418" i="1"/>
  <c r="S2422" i="1"/>
  <c r="S2426" i="1"/>
  <c r="S2430" i="1"/>
  <c r="S2434" i="1"/>
  <c r="S2438" i="1"/>
  <c r="S2442" i="1"/>
  <c r="S2446" i="1"/>
  <c r="S2450" i="1"/>
  <c r="S2454" i="1"/>
  <c r="S2458" i="1"/>
  <c r="S2462" i="1"/>
  <c r="S2466" i="1"/>
  <c r="S2470" i="1"/>
  <c r="S2474" i="1"/>
  <c r="S2478" i="1"/>
  <c r="S2482" i="1"/>
  <c r="S2486" i="1"/>
  <c r="S2490" i="1"/>
  <c r="S2494" i="1"/>
  <c r="S2498" i="1"/>
  <c r="S2502" i="1"/>
  <c r="S2506" i="1"/>
  <c r="S2510" i="1"/>
  <c r="S2514" i="1"/>
  <c r="S2518" i="1"/>
  <c r="S2522" i="1"/>
  <c r="S2526" i="1"/>
  <c r="S2530" i="1"/>
  <c r="S2534" i="1"/>
  <c r="S2538" i="1"/>
  <c r="S2542" i="1"/>
  <c r="S2546" i="1"/>
  <c r="S2550" i="1"/>
  <c r="S2554" i="1"/>
  <c r="S2558" i="1"/>
  <c r="S2562" i="1"/>
  <c r="S2566" i="1"/>
  <c r="S2570" i="1"/>
  <c r="S2574" i="1"/>
  <c r="S2578" i="1"/>
  <c r="S2582" i="1"/>
  <c r="S2586" i="1"/>
  <c r="S2590" i="1"/>
  <c r="S2594" i="1"/>
  <c r="S2598" i="1"/>
  <c r="S2602" i="1"/>
  <c r="S2606" i="1"/>
  <c r="S2610" i="1"/>
  <c r="S2614" i="1"/>
  <c r="S2618" i="1"/>
  <c r="S2622" i="1"/>
  <c r="S2626" i="1"/>
  <c r="S2630" i="1"/>
  <c r="S2634" i="1"/>
  <c r="S2638" i="1"/>
  <c r="S2642" i="1"/>
  <c r="S2646" i="1"/>
  <c r="S2650" i="1"/>
  <c r="S2654" i="1"/>
  <c r="S2658" i="1"/>
  <c r="S2662" i="1"/>
  <c r="S2666" i="1"/>
  <c r="S2670" i="1"/>
  <c r="S2674" i="1"/>
  <c r="S2678" i="1"/>
  <c r="S2682" i="1"/>
  <c r="S2686" i="1"/>
  <c r="S2690" i="1"/>
  <c r="S2694" i="1"/>
  <c r="S2698" i="1"/>
  <c r="S2702" i="1"/>
  <c r="S2706" i="1"/>
  <c r="S2710" i="1"/>
  <c r="S2714" i="1"/>
  <c r="S2718" i="1"/>
  <c r="S2034" i="1"/>
  <c r="S2040" i="1"/>
  <c r="S2046" i="1"/>
  <c r="S2051" i="1"/>
  <c r="S2055" i="1"/>
  <c r="S2059" i="1"/>
  <c r="S2063" i="1"/>
  <c r="S2067" i="1"/>
  <c r="S2071" i="1"/>
  <c r="S2075" i="1"/>
  <c r="S2079" i="1"/>
  <c r="S2083" i="1"/>
  <c r="S2087" i="1"/>
  <c r="S2091" i="1"/>
  <c r="S2095" i="1"/>
  <c r="S2099" i="1"/>
  <c r="S2103" i="1"/>
  <c r="S2107" i="1"/>
  <c r="S2111" i="1"/>
  <c r="S2115" i="1"/>
  <c r="S2119" i="1"/>
  <c r="S2123" i="1"/>
  <c r="S2127" i="1"/>
  <c r="S2131" i="1"/>
  <c r="S2135" i="1"/>
  <c r="S2139" i="1"/>
  <c r="S2143" i="1"/>
  <c r="S2147" i="1"/>
  <c r="S2151" i="1"/>
  <c r="S2155" i="1"/>
  <c r="S2159" i="1"/>
  <c r="S2163" i="1"/>
  <c r="S2167" i="1"/>
  <c r="S2171" i="1"/>
  <c r="S2175" i="1"/>
  <c r="S2179" i="1"/>
  <c r="S2183" i="1"/>
  <c r="S2187" i="1"/>
  <c r="S2191" i="1"/>
  <c r="S2195" i="1"/>
  <c r="S2199" i="1"/>
  <c r="S2203" i="1"/>
  <c r="S2207" i="1"/>
  <c r="S2211" i="1"/>
  <c r="S2215" i="1"/>
  <c r="S2219" i="1"/>
  <c r="S2223" i="1"/>
  <c r="S2227" i="1"/>
  <c r="S2231" i="1"/>
  <c r="S2235" i="1"/>
  <c r="S2239" i="1"/>
  <c r="S2243" i="1"/>
  <c r="S2247" i="1"/>
  <c r="S2251" i="1"/>
  <c r="S2255" i="1"/>
  <c r="S2259" i="1"/>
  <c r="S2263" i="1"/>
  <c r="S2267" i="1"/>
  <c r="S2271" i="1"/>
  <c r="S2275" i="1"/>
  <c r="S2279" i="1"/>
  <c r="S2283" i="1"/>
  <c r="S2287" i="1"/>
  <c r="S2291" i="1"/>
  <c r="S2295" i="1"/>
  <c r="S2299" i="1"/>
  <c r="S2303" i="1"/>
  <c r="S2307" i="1"/>
  <c r="S2311" i="1"/>
  <c r="S2315" i="1"/>
  <c r="S2319" i="1"/>
  <c r="S2323" i="1"/>
  <c r="S2327" i="1"/>
  <c r="S2331" i="1"/>
  <c r="S2335" i="1"/>
  <c r="S2339" i="1"/>
  <c r="S2343" i="1"/>
  <c r="S2347" i="1"/>
  <c r="S2351" i="1"/>
  <c r="S2355" i="1"/>
  <c r="S2359" i="1"/>
  <c r="S2363" i="1"/>
  <c r="S2367" i="1"/>
  <c r="S2371" i="1"/>
  <c r="S2375" i="1"/>
  <c r="S2379" i="1"/>
  <c r="S2383" i="1"/>
  <c r="S2387" i="1"/>
  <c r="S2391" i="1"/>
  <c r="S2395" i="1"/>
  <c r="S2399" i="1"/>
  <c r="S2403" i="1"/>
  <c r="S2407" i="1"/>
  <c r="S2411" i="1"/>
  <c r="S2415" i="1"/>
  <c r="S2419" i="1"/>
  <c r="S2423" i="1"/>
  <c r="S2427" i="1"/>
  <c r="S2431" i="1"/>
  <c r="S2435" i="1"/>
  <c r="S2439" i="1"/>
  <c r="S2443" i="1"/>
  <c r="S2447" i="1"/>
  <c r="S2451" i="1"/>
  <c r="S2455" i="1"/>
  <c r="S2459" i="1"/>
  <c r="S2463" i="1"/>
  <c r="S2467" i="1"/>
  <c r="S2471" i="1"/>
  <c r="S2475" i="1"/>
  <c r="S2479" i="1"/>
  <c r="S2483" i="1"/>
  <c r="S2487" i="1"/>
  <c r="S2491" i="1"/>
  <c r="S2495" i="1"/>
  <c r="S2499" i="1"/>
  <c r="S2503" i="1"/>
  <c r="S2507" i="1"/>
  <c r="S2511" i="1"/>
  <c r="S2515" i="1"/>
  <c r="S2519" i="1"/>
  <c r="S2523" i="1"/>
  <c r="S2527" i="1"/>
  <c r="S2531" i="1"/>
  <c r="S2535" i="1"/>
  <c r="S2539" i="1"/>
  <c r="S2543" i="1"/>
  <c r="S2547" i="1"/>
  <c r="S2551" i="1"/>
  <c r="S2555" i="1"/>
  <c r="S2559" i="1"/>
  <c r="S2563" i="1"/>
  <c r="S2567" i="1"/>
  <c r="S2571" i="1"/>
  <c r="S2575" i="1"/>
  <c r="S2579" i="1"/>
  <c r="S2583" i="1"/>
  <c r="S2587" i="1"/>
  <c r="S2591" i="1"/>
  <c r="S2595" i="1"/>
  <c r="S2599" i="1"/>
  <c r="S2603" i="1"/>
  <c r="S2607" i="1"/>
  <c r="S2611" i="1"/>
  <c r="S2615" i="1"/>
  <c r="S2619" i="1"/>
  <c r="S2623" i="1"/>
  <c r="S2627" i="1"/>
  <c r="S2631" i="1"/>
  <c r="S2635" i="1"/>
  <c r="S2639" i="1"/>
  <c r="S2643" i="1"/>
  <c r="S2647" i="1"/>
  <c r="S2651" i="1"/>
  <c r="S2655" i="1"/>
  <c r="S2659" i="1"/>
  <c r="S2663" i="1"/>
  <c r="S2667" i="1"/>
  <c r="S2671" i="1"/>
  <c r="S2675" i="1"/>
  <c r="S2679" i="1"/>
  <c r="S2683" i="1"/>
  <c r="S2687" i="1"/>
  <c r="S2691" i="1"/>
  <c r="S2695" i="1"/>
  <c r="S2699" i="1"/>
  <c r="S2703" i="1"/>
  <c r="S2707" i="1"/>
  <c r="S2711" i="1"/>
  <c r="S2715" i="1"/>
  <c r="S2035" i="1"/>
  <c r="S2042" i="1"/>
  <c r="S2047" i="1"/>
  <c r="S2052" i="1"/>
  <c r="S2056" i="1"/>
  <c r="S2060" i="1"/>
  <c r="S2064" i="1"/>
  <c r="S2068" i="1"/>
  <c r="S2072" i="1"/>
  <c r="S2076" i="1"/>
  <c r="S2080" i="1"/>
  <c r="S2084" i="1"/>
  <c r="S2088" i="1"/>
  <c r="S2092" i="1"/>
  <c r="S2096" i="1"/>
  <c r="S2100" i="1"/>
  <c r="S2104" i="1"/>
  <c r="S2108" i="1"/>
  <c r="S2112" i="1"/>
  <c r="S2116" i="1"/>
  <c r="S2120" i="1"/>
  <c r="S2124" i="1"/>
  <c r="S2128" i="1"/>
  <c r="S2132" i="1"/>
  <c r="S2136" i="1"/>
  <c r="S2140" i="1"/>
  <c r="S2144" i="1"/>
  <c r="S2148" i="1"/>
  <c r="S2152" i="1"/>
  <c r="S2156" i="1"/>
  <c r="S2160" i="1"/>
  <c r="S2164" i="1"/>
  <c r="S2168" i="1"/>
  <c r="S2172" i="1"/>
  <c r="S2176" i="1"/>
  <c r="S2180" i="1"/>
  <c r="S2184" i="1"/>
  <c r="S2188" i="1"/>
  <c r="S2192" i="1"/>
  <c r="S2196" i="1"/>
  <c r="S2200" i="1"/>
  <c r="S2204" i="1"/>
  <c r="S2208" i="1"/>
  <c r="S2212" i="1"/>
  <c r="S2216" i="1"/>
  <c r="S2220" i="1"/>
  <c r="S2224" i="1"/>
  <c r="S2228" i="1"/>
  <c r="S2232" i="1"/>
  <c r="S2236" i="1"/>
  <c r="S2240" i="1"/>
  <c r="S2244" i="1"/>
  <c r="S2248" i="1"/>
  <c r="S2252" i="1"/>
  <c r="S2256" i="1"/>
  <c r="S2260" i="1"/>
  <c r="S2264" i="1"/>
  <c r="S2268" i="1"/>
  <c r="S2272" i="1"/>
  <c r="S2276" i="1"/>
  <c r="S2280" i="1"/>
  <c r="S2284" i="1"/>
  <c r="S2288" i="1"/>
  <c r="S2292" i="1"/>
  <c r="S2296" i="1"/>
  <c r="S2300" i="1"/>
  <c r="S2304" i="1"/>
  <c r="S2308" i="1"/>
  <c r="S2312" i="1"/>
  <c r="S2316" i="1"/>
  <c r="S2320" i="1"/>
  <c r="S2324" i="1"/>
  <c r="S2328" i="1"/>
  <c r="S2332" i="1"/>
  <c r="S2336" i="1"/>
  <c r="S2340" i="1"/>
  <c r="S2344" i="1"/>
  <c r="S2348" i="1"/>
  <c r="S2352" i="1"/>
  <c r="S2356" i="1"/>
  <c r="S2360" i="1"/>
  <c r="S2364" i="1"/>
  <c r="S2368" i="1"/>
  <c r="S2372" i="1"/>
  <c r="S2376" i="1"/>
  <c r="S2380" i="1"/>
  <c r="S2384" i="1"/>
  <c r="S2388" i="1"/>
  <c r="S2392" i="1"/>
  <c r="S2396" i="1"/>
  <c r="S2400" i="1"/>
  <c r="S2404" i="1"/>
  <c r="S2408" i="1"/>
  <c r="S2412" i="1"/>
  <c r="S2416" i="1"/>
  <c r="S2420" i="1"/>
  <c r="S2424" i="1"/>
  <c r="S2428" i="1"/>
  <c r="S2432" i="1"/>
  <c r="S2436" i="1"/>
  <c r="S2440" i="1"/>
  <c r="S2444" i="1"/>
  <c r="S2448" i="1"/>
  <c r="S2452" i="1"/>
  <c r="S2456" i="1"/>
  <c r="S2460" i="1"/>
  <c r="S2464" i="1"/>
  <c r="S2468" i="1"/>
  <c r="S2472" i="1"/>
  <c r="S2476" i="1"/>
  <c r="S2480" i="1"/>
  <c r="S2484" i="1"/>
  <c r="S2488" i="1"/>
  <c r="S2492" i="1"/>
  <c r="S2496" i="1"/>
  <c r="S2500" i="1"/>
  <c r="S2504" i="1"/>
  <c r="S2508" i="1"/>
  <c r="S2512" i="1"/>
  <c r="S2516" i="1"/>
  <c r="S2520" i="1"/>
  <c r="S2524" i="1"/>
  <c r="S2528" i="1"/>
  <c r="S2532" i="1"/>
  <c r="S2536" i="1"/>
  <c r="S2540" i="1"/>
  <c r="S2544" i="1"/>
  <c r="S2548" i="1"/>
  <c r="S2552" i="1"/>
  <c r="S2556" i="1"/>
  <c r="S2560" i="1"/>
  <c r="S2564" i="1"/>
  <c r="S2568" i="1"/>
  <c r="S2572" i="1"/>
  <c r="S2576" i="1"/>
  <c r="S2580" i="1"/>
  <c r="S2584" i="1"/>
  <c r="S2588" i="1"/>
  <c r="S2592" i="1"/>
  <c r="S2596" i="1"/>
  <c r="S2600" i="1"/>
  <c r="S2604" i="1"/>
  <c r="S2608" i="1"/>
  <c r="S2612" i="1"/>
  <c r="S2616" i="1"/>
  <c r="S2620" i="1"/>
  <c r="S2624" i="1"/>
  <c r="S2628" i="1"/>
  <c r="S2632" i="1"/>
  <c r="S2636" i="1"/>
  <c r="S2640" i="1"/>
  <c r="S2644" i="1"/>
  <c r="S2648" i="1"/>
  <c r="S2652" i="1"/>
  <c r="S2656" i="1"/>
  <c r="S2660" i="1"/>
  <c r="S2664" i="1"/>
  <c r="S2668" i="1"/>
  <c r="S2672" i="1"/>
  <c r="S2676" i="1"/>
  <c r="S2680" i="1"/>
  <c r="S2684" i="1"/>
  <c r="S2688" i="1"/>
  <c r="S2692" i="1"/>
  <c r="S2696" i="1"/>
  <c r="S2700" i="1"/>
  <c r="S2704" i="1"/>
  <c r="S2708" i="1"/>
  <c r="S2712" i="1"/>
  <c r="S2716" i="1"/>
  <c r="S2722" i="1"/>
  <c r="S2726" i="1"/>
  <c r="S2730" i="1"/>
  <c r="S2734" i="1"/>
  <c r="S2738" i="1"/>
  <c r="S2742" i="1"/>
  <c r="S2746" i="1"/>
  <c r="S2750" i="1"/>
  <c r="S2754" i="1"/>
  <c r="S2758" i="1"/>
  <c r="S2762" i="1"/>
  <c r="S2766" i="1"/>
  <c r="S2770" i="1"/>
  <c r="S2774" i="1"/>
  <c r="S2778" i="1"/>
  <c r="S2782" i="1"/>
  <c r="S2786" i="1"/>
  <c r="S2790" i="1"/>
  <c r="S2794" i="1"/>
  <c r="S2798" i="1"/>
  <c r="S2802" i="1"/>
  <c r="S2806" i="1"/>
  <c r="S2810" i="1"/>
  <c r="S2814" i="1"/>
  <c r="S2818" i="1"/>
  <c r="S2822" i="1"/>
  <c r="S2826" i="1"/>
  <c r="S2830" i="1"/>
  <c r="S2834" i="1"/>
  <c r="S2838" i="1"/>
  <c r="S2842" i="1"/>
  <c r="S2846" i="1"/>
  <c r="S2850" i="1"/>
  <c r="S2854" i="1"/>
  <c r="S2858" i="1"/>
  <c r="S2862" i="1"/>
  <c r="S2866" i="1"/>
  <c r="S2870" i="1"/>
  <c r="S2874" i="1"/>
  <c r="S2878" i="1"/>
  <c r="S2882" i="1"/>
  <c r="S2886" i="1"/>
  <c r="S2890" i="1"/>
  <c r="S2894" i="1"/>
  <c r="S2898" i="1"/>
  <c r="S2902" i="1"/>
  <c r="S2906" i="1"/>
  <c r="S2910" i="1"/>
  <c r="S2914" i="1"/>
  <c r="S2918" i="1"/>
  <c r="S2922" i="1"/>
  <c r="S2926" i="1"/>
  <c r="S2930" i="1"/>
  <c r="S2934" i="1"/>
  <c r="S2938" i="1"/>
  <c r="S2942" i="1"/>
  <c r="S2946" i="1"/>
  <c r="S2950" i="1"/>
  <c r="S2954" i="1"/>
  <c r="S2958" i="1"/>
  <c r="S2962" i="1"/>
  <c r="S2966" i="1"/>
  <c r="S2970" i="1"/>
  <c r="S2974" i="1"/>
  <c r="S2978" i="1"/>
  <c r="S2982" i="1"/>
  <c r="S2986" i="1"/>
  <c r="S2990" i="1"/>
  <c r="S2994" i="1"/>
  <c r="S2998" i="1"/>
  <c r="S3002" i="1"/>
  <c r="S3006" i="1"/>
  <c r="S3010" i="1"/>
  <c r="S3014" i="1"/>
  <c r="S3018" i="1"/>
  <c r="S3022" i="1"/>
  <c r="S3026" i="1"/>
  <c r="S3030" i="1"/>
  <c r="S3034" i="1"/>
  <c r="S3038" i="1"/>
  <c r="S3042" i="1"/>
  <c r="S3046" i="1"/>
  <c r="S3050" i="1"/>
  <c r="S3054" i="1"/>
  <c r="S3058" i="1"/>
  <c r="S3062" i="1"/>
  <c r="S3066" i="1"/>
  <c r="S3070" i="1"/>
  <c r="S3074" i="1"/>
  <c r="S3078" i="1"/>
  <c r="S3082" i="1"/>
  <c r="S3086" i="1"/>
  <c r="S3090" i="1"/>
  <c r="S3094" i="1"/>
  <c r="S3098" i="1"/>
  <c r="S3102" i="1"/>
  <c r="S3106" i="1"/>
  <c r="S3110" i="1"/>
  <c r="S3114" i="1"/>
  <c r="S3118" i="1"/>
  <c r="S3122" i="1"/>
  <c r="S3126" i="1"/>
  <c r="S3130" i="1"/>
  <c r="S3134" i="1"/>
  <c r="S3138" i="1"/>
  <c r="S3142" i="1"/>
  <c r="S3146" i="1"/>
  <c r="S3150" i="1"/>
  <c r="S3154" i="1"/>
  <c r="S3158" i="1"/>
  <c r="S3162" i="1"/>
  <c r="S3166" i="1"/>
  <c r="S3170" i="1"/>
  <c r="S3174" i="1"/>
  <c r="S3178" i="1"/>
  <c r="S3182" i="1"/>
  <c r="S3186" i="1"/>
  <c r="S3190" i="1"/>
  <c r="S3194" i="1"/>
  <c r="S3198" i="1"/>
  <c r="S3202" i="1"/>
  <c r="S3206" i="1"/>
  <c r="S3210" i="1"/>
  <c r="S3214" i="1"/>
  <c r="S3218" i="1"/>
  <c r="S3222" i="1"/>
  <c r="S3226" i="1"/>
  <c r="S3230" i="1"/>
  <c r="S3234" i="1"/>
  <c r="S3238" i="1"/>
  <c r="S3242" i="1"/>
  <c r="S3246" i="1"/>
  <c r="S3250" i="1"/>
  <c r="S3254" i="1"/>
  <c r="S3258" i="1"/>
  <c r="S3262" i="1"/>
  <c r="S3266" i="1"/>
  <c r="S3270" i="1"/>
  <c r="S3274" i="1"/>
  <c r="S3278" i="1"/>
  <c r="S3282" i="1"/>
  <c r="S3286" i="1"/>
  <c r="S3290" i="1"/>
  <c r="S3294" i="1"/>
  <c r="S3298" i="1"/>
  <c r="S3302" i="1"/>
  <c r="S3306" i="1"/>
  <c r="S3310" i="1"/>
  <c r="S3314" i="1"/>
  <c r="S3318" i="1"/>
  <c r="S3322" i="1"/>
  <c r="S3326" i="1"/>
  <c r="S3330" i="1"/>
  <c r="S3334" i="1"/>
  <c r="S3338" i="1"/>
  <c r="S3342" i="1"/>
  <c r="S3346" i="1"/>
  <c r="S3350" i="1"/>
  <c r="S3354" i="1"/>
  <c r="S3358" i="1"/>
  <c r="S3362" i="1"/>
  <c r="S3366" i="1"/>
  <c r="S3370" i="1"/>
  <c r="S3374" i="1"/>
  <c r="S3378" i="1"/>
  <c r="S3382" i="1"/>
  <c r="S3386" i="1"/>
  <c r="S3390" i="1"/>
  <c r="S3394" i="1"/>
  <c r="S3398" i="1"/>
  <c r="S2719" i="1"/>
  <c r="S2723" i="1"/>
  <c r="S2727" i="1"/>
  <c r="S2731" i="1"/>
  <c r="S2735" i="1"/>
  <c r="S2739" i="1"/>
  <c r="S2743" i="1"/>
  <c r="S2747" i="1"/>
  <c r="S2751" i="1"/>
  <c r="S2755" i="1"/>
  <c r="S2759" i="1"/>
  <c r="S2763" i="1"/>
  <c r="S2767" i="1"/>
  <c r="S2771" i="1"/>
  <c r="S2775" i="1"/>
  <c r="S2779" i="1"/>
  <c r="S2783" i="1"/>
  <c r="S2787" i="1"/>
  <c r="S2791" i="1"/>
  <c r="S2795" i="1"/>
  <c r="S2799" i="1"/>
  <c r="S2803" i="1"/>
  <c r="S2807" i="1"/>
  <c r="S2811" i="1"/>
  <c r="S2815" i="1"/>
  <c r="S2819" i="1"/>
  <c r="S2823" i="1"/>
  <c r="S2827" i="1"/>
  <c r="S2831" i="1"/>
  <c r="S2835" i="1"/>
  <c r="S2839" i="1"/>
  <c r="S2843" i="1"/>
  <c r="S2847" i="1"/>
  <c r="S2851" i="1"/>
  <c r="S2855" i="1"/>
  <c r="S2859" i="1"/>
  <c r="S2863" i="1"/>
  <c r="S2867" i="1"/>
  <c r="S2871" i="1"/>
  <c r="S2875" i="1"/>
  <c r="S2879" i="1"/>
  <c r="S2883" i="1"/>
  <c r="S2887" i="1"/>
  <c r="S2891" i="1"/>
  <c r="S2895" i="1"/>
  <c r="S2899" i="1"/>
  <c r="S2903" i="1"/>
  <c r="S2907" i="1"/>
  <c r="S2911" i="1"/>
  <c r="S2915" i="1"/>
  <c r="S2919" i="1"/>
  <c r="S2923" i="1"/>
  <c r="S2927" i="1"/>
  <c r="S2931" i="1"/>
  <c r="S2935" i="1"/>
  <c r="S2939" i="1"/>
  <c r="S2943" i="1"/>
  <c r="S2947" i="1"/>
  <c r="S2951" i="1"/>
  <c r="S2955" i="1"/>
  <c r="S2959" i="1"/>
  <c r="S2963" i="1"/>
  <c r="S2967" i="1"/>
  <c r="S2971" i="1"/>
  <c r="S2975" i="1"/>
  <c r="S2979" i="1"/>
  <c r="S2983" i="1"/>
  <c r="S2987" i="1"/>
  <c r="S2991" i="1"/>
  <c r="S2995" i="1"/>
  <c r="S2999" i="1"/>
  <c r="S3003" i="1"/>
  <c r="S3007" i="1"/>
  <c r="S3011" i="1"/>
  <c r="S3015" i="1"/>
  <c r="S3019" i="1"/>
  <c r="S3023" i="1"/>
  <c r="S3027" i="1"/>
  <c r="S3031" i="1"/>
  <c r="S3035" i="1"/>
  <c r="S3039" i="1"/>
  <c r="S3043" i="1"/>
  <c r="S3047" i="1"/>
  <c r="S3051" i="1"/>
  <c r="S3055" i="1"/>
  <c r="S3059" i="1"/>
  <c r="S3063" i="1"/>
  <c r="S3067" i="1"/>
  <c r="S3071" i="1"/>
  <c r="S3075" i="1"/>
  <c r="S3079" i="1"/>
  <c r="S3083" i="1"/>
  <c r="S3087" i="1"/>
  <c r="S3091" i="1"/>
  <c r="S3095" i="1"/>
  <c r="S3099" i="1"/>
  <c r="S3103" i="1"/>
  <c r="S3107" i="1"/>
  <c r="S3111" i="1"/>
  <c r="S3115" i="1"/>
  <c r="S3119" i="1"/>
  <c r="S3123" i="1"/>
  <c r="S3127" i="1"/>
  <c r="S3131" i="1"/>
  <c r="S3135" i="1"/>
  <c r="S3139" i="1"/>
  <c r="S3143" i="1"/>
  <c r="S3147" i="1"/>
  <c r="S3151" i="1"/>
  <c r="S3155" i="1"/>
  <c r="S3159" i="1"/>
  <c r="S3163" i="1"/>
  <c r="S3167" i="1"/>
  <c r="S3171" i="1"/>
  <c r="S3175" i="1"/>
  <c r="S3179" i="1"/>
  <c r="S3183" i="1"/>
  <c r="S3187" i="1"/>
  <c r="S3191" i="1"/>
  <c r="S3195" i="1"/>
  <c r="S3199" i="1"/>
  <c r="S3203" i="1"/>
  <c r="S3207" i="1"/>
  <c r="S3211" i="1"/>
  <c r="S3215" i="1"/>
  <c r="S3219" i="1"/>
  <c r="S3223" i="1"/>
  <c r="S3227" i="1"/>
  <c r="S3231" i="1"/>
  <c r="S3235" i="1"/>
  <c r="S3239" i="1"/>
  <c r="S3243" i="1"/>
  <c r="S3247" i="1"/>
  <c r="S3251" i="1"/>
  <c r="S3255" i="1"/>
  <c r="S3259" i="1"/>
  <c r="S3263" i="1"/>
  <c r="S3267" i="1"/>
  <c r="S3271" i="1"/>
  <c r="S3275" i="1"/>
  <c r="S3279" i="1"/>
  <c r="S3283" i="1"/>
  <c r="S3287" i="1"/>
  <c r="S3291" i="1"/>
  <c r="S3295" i="1"/>
  <c r="S3299" i="1"/>
  <c r="S3303" i="1"/>
  <c r="S3307" i="1"/>
  <c r="S3311" i="1"/>
  <c r="S3315" i="1"/>
  <c r="S3319" i="1"/>
  <c r="S3323" i="1"/>
  <c r="S3327" i="1"/>
  <c r="S3331" i="1"/>
  <c r="S3335" i="1"/>
  <c r="S3339" i="1"/>
  <c r="S3343" i="1"/>
  <c r="S3347" i="1"/>
  <c r="S3351" i="1"/>
  <c r="S3355" i="1"/>
  <c r="S3359" i="1"/>
  <c r="S3363" i="1"/>
  <c r="S3367" i="1"/>
  <c r="S3371" i="1"/>
  <c r="S3375" i="1"/>
  <c r="S3379" i="1"/>
  <c r="S3383" i="1"/>
  <c r="S3387" i="1"/>
  <c r="S3391" i="1"/>
  <c r="S3395" i="1"/>
  <c r="S3399" i="1"/>
  <c r="S3403" i="1"/>
  <c r="S3407" i="1"/>
  <c r="S2720" i="1"/>
  <c r="S2724" i="1"/>
  <c r="S2728" i="1"/>
  <c r="S2732" i="1"/>
  <c r="S2736" i="1"/>
  <c r="S2740" i="1"/>
  <c r="S2744" i="1"/>
  <c r="S2748" i="1"/>
  <c r="S2752" i="1"/>
  <c r="S2756" i="1"/>
  <c r="S2760" i="1"/>
  <c r="S2764" i="1"/>
  <c r="S2768" i="1"/>
  <c r="S2772" i="1"/>
  <c r="S2776" i="1"/>
  <c r="S2780" i="1"/>
  <c r="S2784" i="1"/>
  <c r="S2788" i="1"/>
  <c r="S2792" i="1"/>
  <c r="S2796" i="1"/>
  <c r="S2800" i="1"/>
  <c r="S2804" i="1"/>
  <c r="S2808" i="1"/>
  <c r="S2812" i="1"/>
  <c r="S2816" i="1"/>
  <c r="S2820" i="1"/>
  <c r="S2824" i="1"/>
  <c r="S2828" i="1"/>
  <c r="S2832" i="1"/>
  <c r="S2836" i="1"/>
  <c r="S2840" i="1"/>
  <c r="S2844" i="1"/>
  <c r="S2848" i="1"/>
  <c r="S2852" i="1"/>
  <c r="S2856" i="1"/>
  <c r="S2860" i="1"/>
  <c r="S2864" i="1"/>
  <c r="S2868" i="1"/>
  <c r="S2872" i="1"/>
  <c r="S2876" i="1"/>
  <c r="S2880" i="1"/>
  <c r="S2884" i="1"/>
  <c r="S2888" i="1"/>
  <c r="S2892" i="1"/>
  <c r="S2896" i="1"/>
  <c r="S2900" i="1"/>
  <c r="S2904" i="1"/>
  <c r="S2908" i="1"/>
  <c r="S2912" i="1"/>
  <c r="S2916" i="1"/>
  <c r="S2920" i="1"/>
  <c r="S2924" i="1"/>
  <c r="S2928" i="1"/>
  <c r="S2932" i="1"/>
  <c r="S2936" i="1"/>
  <c r="S2940" i="1"/>
  <c r="S2944" i="1"/>
  <c r="S2948" i="1"/>
  <c r="S2952" i="1"/>
  <c r="S2956" i="1"/>
  <c r="S2960" i="1"/>
  <c r="S2964" i="1"/>
  <c r="S2968" i="1"/>
  <c r="S2972" i="1"/>
  <c r="S2976" i="1"/>
  <c r="S2980" i="1"/>
  <c r="S2984" i="1"/>
  <c r="S2988" i="1"/>
  <c r="S2992" i="1"/>
  <c r="S2996" i="1"/>
  <c r="S3000" i="1"/>
  <c r="S3004" i="1"/>
  <c r="S3008" i="1"/>
  <c r="S3012" i="1"/>
  <c r="S3016" i="1"/>
  <c r="S3020" i="1"/>
  <c r="S3024" i="1"/>
  <c r="S3028" i="1"/>
  <c r="S3032" i="1"/>
  <c r="S3036" i="1"/>
  <c r="S3040" i="1"/>
  <c r="S3044" i="1"/>
  <c r="S3048" i="1"/>
  <c r="S3052" i="1"/>
  <c r="S3056" i="1"/>
  <c r="S3060" i="1"/>
  <c r="S3064" i="1"/>
  <c r="S3068" i="1"/>
  <c r="S3072" i="1"/>
  <c r="S3076" i="1"/>
  <c r="S3080" i="1"/>
  <c r="S3084" i="1"/>
  <c r="S3088" i="1"/>
  <c r="S3092" i="1"/>
  <c r="S3096" i="1"/>
  <c r="S3100" i="1"/>
  <c r="S3104" i="1"/>
  <c r="S3108" i="1"/>
  <c r="S3112" i="1"/>
  <c r="S3116" i="1"/>
  <c r="S3120" i="1"/>
  <c r="S3124" i="1"/>
  <c r="S3128" i="1"/>
  <c r="S3132" i="1"/>
  <c r="S3136" i="1"/>
  <c r="S3140" i="1"/>
  <c r="S3144" i="1"/>
  <c r="S3148" i="1"/>
  <c r="S3152" i="1"/>
  <c r="S3156" i="1"/>
  <c r="S3160" i="1"/>
  <c r="S3164" i="1"/>
  <c r="S3168" i="1"/>
  <c r="S3172" i="1"/>
  <c r="S3176" i="1"/>
  <c r="S3180" i="1"/>
  <c r="S3184" i="1"/>
  <c r="S3188" i="1"/>
  <c r="S3192" i="1"/>
  <c r="S3196" i="1"/>
  <c r="S3200" i="1"/>
  <c r="S3204" i="1"/>
  <c r="S3208" i="1"/>
  <c r="S3212" i="1"/>
  <c r="S3216" i="1"/>
  <c r="S3220" i="1"/>
  <c r="S3224" i="1"/>
  <c r="S3228" i="1"/>
  <c r="S3232" i="1"/>
  <c r="S3236" i="1"/>
  <c r="S3240" i="1"/>
  <c r="S3244" i="1"/>
  <c r="S3248" i="1"/>
  <c r="S3252" i="1"/>
  <c r="S3256" i="1"/>
  <c r="S3260" i="1"/>
  <c r="S3264" i="1"/>
  <c r="S3268" i="1"/>
  <c r="S3272" i="1"/>
  <c r="S3276" i="1"/>
  <c r="S3280" i="1"/>
  <c r="S3284" i="1"/>
  <c r="S3288" i="1"/>
  <c r="S3292" i="1"/>
  <c r="S3296" i="1"/>
  <c r="S3300" i="1"/>
  <c r="S3304" i="1"/>
  <c r="S3308" i="1"/>
  <c r="S3312" i="1"/>
  <c r="S3316" i="1"/>
  <c r="S3320" i="1"/>
  <c r="S3324" i="1"/>
  <c r="S3328" i="1"/>
  <c r="S3332" i="1"/>
  <c r="S3336" i="1"/>
  <c r="S3340" i="1"/>
  <c r="S3344" i="1"/>
  <c r="S3348" i="1"/>
  <c r="S3352" i="1"/>
  <c r="S3356" i="1"/>
  <c r="S3360" i="1"/>
  <c r="S3364" i="1"/>
  <c r="S3368" i="1"/>
  <c r="S3372" i="1"/>
  <c r="S3376" i="1"/>
  <c r="S3380" i="1"/>
  <c r="S2721" i="1"/>
  <c r="S2725" i="1"/>
  <c r="S2729" i="1"/>
  <c r="S2733" i="1"/>
  <c r="S2737" i="1"/>
  <c r="S2741" i="1"/>
  <c r="S2745" i="1"/>
  <c r="S2749" i="1"/>
  <c r="S2753" i="1"/>
  <c r="S2757" i="1"/>
  <c r="S2761" i="1"/>
  <c r="S2765" i="1"/>
  <c r="S2769" i="1"/>
  <c r="S2773" i="1"/>
  <c r="S2777" i="1"/>
  <c r="S2781" i="1"/>
  <c r="S2785" i="1"/>
  <c r="S2789" i="1"/>
  <c r="S2793" i="1"/>
  <c r="S2797" i="1"/>
  <c r="S2801" i="1"/>
  <c r="S2805" i="1"/>
  <c r="S2809" i="1"/>
  <c r="S2813" i="1"/>
  <c r="S2817" i="1"/>
  <c r="S2821" i="1"/>
  <c r="S2825" i="1"/>
  <c r="S2829" i="1"/>
  <c r="S2833" i="1"/>
  <c r="S2837" i="1"/>
  <c r="S2841" i="1"/>
  <c r="S2845" i="1"/>
  <c r="S2849" i="1"/>
  <c r="S2853" i="1"/>
  <c r="S2857" i="1"/>
  <c r="S2861" i="1"/>
  <c r="S2865" i="1"/>
  <c r="S2869" i="1"/>
  <c r="S2873" i="1"/>
  <c r="S2877" i="1"/>
  <c r="S2881" i="1"/>
  <c r="S2885" i="1"/>
  <c r="S2889" i="1"/>
  <c r="S2893" i="1"/>
  <c r="S2897" i="1"/>
  <c r="S2901" i="1"/>
  <c r="S2905" i="1"/>
  <c r="S2909" i="1"/>
  <c r="S2913" i="1"/>
  <c r="S2917" i="1"/>
  <c r="S2921" i="1"/>
  <c r="S2925" i="1"/>
  <c r="S2929" i="1"/>
  <c r="S2933" i="1"/>
  <c r="S2937" i="1"/>
  <c r="S2941" i="1"/>
  <c r="S2945" i="1"/>
  <c r="S2949" i="1"/>
  <c r="S2953" i="1"/>
  <c r="S2957" i="1"/>
  <c r="S2961" i="1"/>
  <c r="S2965" i="1"/>
  <c r="S2969" i="1"/>
  <c r="S2973" i="1"/>
  <c r="S2977" i="1"/>
  <c r="S2981" i="1"/>
  <c r="S2985" i="1"/>
  <c r="S2989" i="1"/>
  <c r="S2993" i="1"/>
  <c r="S2997" i="1"/>
  <c r="S3001" i="1"/>
  <c r="S3005" i="1"/>
  <c r="S3009" i="1"/>
  <c r="S3013" i="1"/>
  <c r="S3017" i="1"/>
  <c r="S3021" i="1"/>
  <c r="S3025" i="1"/>
  <c r="S3029" i="1"/>
  <c r="S3033" i="1"/>
  <c r="S3037" i="1"/>
  <c r="S3041" i="1"/>
  <c r="S3045" i="1"/>
  <c r="S3049" i="1"/>
  <c r="S3053" i="1"/>
  <c r="S3057" i="1"/>
  <c r="S3061" i="1"/>
  <c r="S3065" i="1"/>
  <c r="S3069" i="1"/>
  <c r="S3073" i="1"/>
  <c r="S3077" i="1"/>
  <c r="S3081" i="1"/>
  <c r="S3085" i="1"/>
  <c r="S3089" i="1"/>
  <c r="S3093" i="1"/>
  <c r="S3097" i="1"/>
  <c r="S3101" i="1"/>
  <c r="S3105" i="1"/>
  <c r="S3109" i="1"/>
  <c r="S3113" i="1"/>
  <c r="S3117" i="1"/>
  <c r="S3121" i="1"/>
  <c r="S3125" i="1"/>
  <c r="S3129" i="1"/>
  <c r="S3133" i="1"/>
  <c r="S3137" i="1"/>
  <c r="S3141" i="1"/>
  <c r="S3145" i="1"/>
  <c r="S3149" i="1"/>
  <c r="S3153" i="1"/>
  <c r="S3157" i="1"/>
  <c r="S3161" i="1"/>
  <c r="S3165" i="1"/>
  <c r="S3169" i="1"/>
  <c r="S3173" i="1"/>
  <c r="S3177" i="1"/>
  <c r="S3181" i="1"/>
  <c r="S3185" i="1"/>
  <c r="S3189" i="1"/>
  <c r="S3193" i="1"/>
  <c r="S3197" i="1"/>
  <c r="S3201" i="1"/>
  <c r="S3205" i="1"/>
  <c r="S3209" i="1"/>
  <c r="S3213" i="1"/>
  <c r="S3217" i="1"/>
  <c r="S3221" i="1"/>
  <c r="S3225" i="1"/>
  <c r="S3229" i="1"/>
  <c r="S3233" i="1"/>
  <c r="S3237" i="1"/>
  <c r="S3241" i="1"/>
  <c r="S3245" i="1"/>
  <c r="S3249" i="1"/>
  <c r="S3253" i="1"/>
  <c r="S3257" i="1"/>
  <c r="S3261" i="1"/>
  <c r="S3265" i="1"/>
  <c r="S3269" i="1"/>
  <c r="S3273" i="1"/>
  <c r="S3277" i="1"/>
  <c r="S3281" i="1"/>
  <c r="S3285" i="1"/>
  <c r="S3289" i="1"/>
  <c r="S3293" i="1"/>
  <c r="S3297" i="1"/>
  <c r="S3301" i="1"/>
  <c r="S3305" i="1"/>
  <c r="S3309" i="1"/>
  <c r="S3313" i="1"/>
  <c r="S3317" i="1"/>
  <c r="S3321" i="1"/>
  <c r="S3325" i="1"/>
  <c r="S3329" i="1"/>
  <c r="S3333" i="1"/>
  <c r="S3337" i="1"/>
  <c r="S3341" i="1"/>
  <c r="S3345" i="1"/>
  <c r="S3349" i="1"/>
  <c r="S3353" i="1"/>
  <c r="S3357" i="1"/>
  <c r="S3361" i="1"/>
  <c r="S3377" i="1"/>
  <c r="S3388" i="1"/>
  <c r="S3396" i="1"/>
  <c r="S3402" i="1"/>
  <c r="S3408" i="1"/>
  <c r="S3412" i="1"/>
  <c r="S3416" i="1"/>
  <c r="S3420" i="1"/>
  <c r="S3424" i="1"/>
  <c r="S3428" i="1"/>
  <c r="S3432" i="1"/>
  <c r="S3436" i="1"/>
  <c r="S3440" i="1"/>
  <c r="S3444" i="1"/>
  <c r="S3448" i="1"/>
  <c r="S3452" i="1"/>
  <c r="S3456" i="1"/>
  <c r="S3460" i="1"/>
  <c r="S3464" i="1"/>
  <c r="S3468" i="1"/>
  <c r="S3472" i="1"/>
  <c r="S3476" i="1"/>
  <c r="S3480" i="1"/>
  <c r="S3484" i="1"/>
  <c r="S3488" i="1"/>
  <c r="S3492" i="1"/>
  <c r="S3496" i="1"/>
  <c r="S3500" i="1"/>
  <c r="S3504" i="1"/>
  <c r="S3508" i="1"/>
  <c r="S3512" i="1"/>
  <c r="S3516" i="1"/>
  <c r="S3520" i="1"/>
  <c r="S3524" i="1"/>
  <c r="S3528" i="1"/>
  <c r="S3532" i="1"/>
  <c r="S3536" i="1"/>
  <c r="S3540" i="1"/>
  <c r="S3544" i="1"/>
  <c r="S3548" i="1"/>
  <c r="S3552" i="1"/>
  <c r="S3556" i="1"/>
  <c r="S3560" i="1"/>
  <c r="S3564" i="1"/>
  <c r="S3568" i="1"/>
  <c r="S3572" i="1"/>
  <c r="S3576" i="1"/>
  <c r="S3580" i="1"/>
  <c r="S3584" i="1"/>
  <c r="S3588" i="1"/>
  <c r="S3592" i="1"/>
  <c r="S3596" i="1"/>
  <c r="S3600" i="1"/>
  <c r="S3604" i="1"/>
  <c r="S3608" i="1"/>
  <c r="S3612" i="1"/>
  <c r="S3616" i="1"/>
  <c r="S3620" i="1"/>
  <c r="S3624" i="1"/>
  <c r="S3628" i="1"/>
  <c r="S3632" i="1"/>
  <c r="S3636" i="1"/>
  <c r="S3640" i="1"/>
  <c r="S3644" i="1"/>
  <c r="S3648" i="1"/>
  <c r="S3652" i="1"/>
  <c r="S3656" i="1"/>
  <c r="S3660" i="1"/>
  <c r="S3664" i="1"/>
  <c r="S3668" i="1"/>
  <c r="S3672" i="1"/>
  <c r="S3676" i="1"/>
  <c r="S3680" i="1"/>
  <c r="S3684" i="1"/>
  <c r="S3688" i="1"/>
  <c r="S3692" i="1"/>
  <c r="S3696" i="1"/>
  <c r="S3700" i="1"/>
  <c r="S3704" i="1"/>
  <c r="S3708" i="1"/>
  <c r="S3712" i="1"/>
  <c r="S3716" i="1"/>
  <c r="S3720" i="1"/>
  <c r="S3724" i="1"/>
  <c r="S3728" i="1"/>
  <c r="S3732" i="1"/>
  <c r="S3736" i="1"/>
  <c r="S3740" i="1"/>
  <c r="S3744" i="1"/>
  <c r="S3748" i="1"/>
  <c r="S3752" i="1"/>
  <c r="S3756" i="1"/>
  <c r="S3760" i="1"/>
  <c r="S3764" i="1"/>
  <c r="S3768" i="1"/>
  <c r="S3772" i="1"/>
  <c r="S3776" i="1"/>
  <c r="S3780" i="1"/>
  <c r="S3784" i="1"/>
  <c r="S3788" i="1"/>
  <c r="S3792" i="1"/>
  <c r="S3796" i="1"/>
  <c r="S3800" i="1"/>
  <c r="S3804" i="1"/>
  <c r="S3808" i="1"/>
  <c r="S3812" i="1"/>
  <c r="S3816" i="1"/>
  <c r="S3820" i="1"/>
  <c r="S3824" i="1"/>
  <c r="S3828" i="1"/>
  <c r="S3832" i="1"/>
  <c r="S3836" i="1"/>
  <c r="S3840" i="1"/>
  <c r="S3844" i="1"/>
  <c r="S3848" i="1"/>
  <c r="S3852" i="1"/>
  <c r="S3856" i="1"/>
  <c r="S3860" i="1"/>
  <c r="S3864" i="1"/>
  <c r="S3868" i="1"/>
  <c r="S3872" i="1"/>
  <c r="S3876" i="1"/>
  <c r="S3880" i="1"/>
  <c r="S3884" i="1"/>
  <c r="S3888" i="1"/>
  <c r="S3892" i="1"/>
  <c r="S3896" i="1"/>
  <c r="S3900" i="1"/>
  <c r="S3904" i="1"/>
  <c r="S3908" i="1"/>
  <c r="S3912" i="1"/>
  <c r="S3916" i="1"/>
  <c r="S3920" i="1"/>
  <c r="S3924" i="1"/>
  <c r="S3928" i="1"/>
  <c r="S3932" i="1"/>
  <c r="S3936" i="1"/>
  <c r="S3940" i="1"/>
  <c r="S3944" i="1"/>
  <c r="S3948" i="1"/>
  <c r="S3952" i="1"/>
  <c r="S3956" i="1"/>
  <c r="S3960" i="1"/>
  <c r="S3964" i="1"/>
  <c r="S3968" i="1"/>
  <c r="S3972" i="1"/>
  <c r="S3976" i="1"/>
  <c r="S3980" i="1"/>
  <c r="S3984" i="1"/>
  <c r="S3988" i="1"/>
  <c r="S3992" i="1"/>
  <c r="S3996" i="1"/>
  <c r="S4000" i="1"/>
  <c r="S4004" i="1"/>
  <c r="S4008" i="1"/>
  <c r="S4012" i="1"/>
  <c r="S4016" i="1"/>
  <c r="S4020" i="1"/>
  <c r="S4024" i="1"/>
  <c r="S4028" i="1"/>
  <c r="S4032" i="1"/>
  <c r="S4036" i="1"/>
  <c r="S4040" i="1"/>
  <c r="S4044" i="1"/>
  <c r="S4048" i="1"/>
  <c r="S4052" i="1"/>
  <c r="S4056" i="1"/>
  <c r="S4060" i="1"/>
  <c r="S4064" i="1"/>
  <c r="S4068" i="1"/>
  <c r="S3365" i="1"/>
  <c r="S3381" i="1"/>
  <c r="S3389" i="1"/>
  <c r="S3397" i="1"/>
  <c r="S3404" i="1"/>
  <c r="S3409" i="1"/>
  <c r="S3413" i="1"/>
  <c r="S3417" i="1"/>
  <c r="S3421" i="1"/>
  <c r="S3425" i="1"/>
  <c r="S3429" i="1"/>
  <c r="S3433" i="1"/>
  <c r="S3437" i="1"/>
  <c r="S3441" i="1"/>
  <c r="S3445" i="1"/>
  <c r="S3449" i="1"/>
  <c r="S3453" i="1"/>
  <c r="S3457" i="1"/>
  <c r="S3461" i="1"/>
  <c r="S3465" i="1"/>
  <c r="S3469" i="1"/>
  <c r="S3473" i="1"/>
  <c r="S3477" i="1"/>
  <c r="S3481" i="1"/>
  <c r="S3485" i="1"/>
  <c r="S3489" i="1"/>
  <c r="S3493" i="1"/>
  <c r="S3497" i="1"/>
  <c r="S3501" i="1"/>
  <c r="S3505" i="1"/>
  <c r="S3509" i="1"/>
  <c r="S3513" i="1"/>
  <c r="S3517" i="1"/>
  <c r="S3521" i="1"/>
  <c r="S3525" i="1"/>
  <c r="S3529" i="1"/>
  <c r="S3533" i="1"/>
  <c r="S3537" i="1"/>
  <c r="S3541" i="1"/>
  <c r="S3545" i="1"/>
  <c r="S3549" i="1"/>
  <c r="S3553" i="1"/>
  <c r="S3557" i="1"/>
  <c r="S3561" i="1"/>
  <c r="S3565" i="1"/>
  <c r="S3569" i="1"/>
  <c r="S3573" i="1"/>
  <c r="S3577" i="1"/>
  <c r="S3581" i="1"/>
  <c r="S3585" i="1"/>
  <c r="S3589" i="1"/>
  <c r="S3593" i="1"/>
  <c r="S3597" i="1"/>
  <c r="S3601" i="1"/>
  <c r="S3605" i="1"/>
  <c r="S3609" i="1"/>
  <c r="S3613" i="1"/>
  <c r="S3617" i="1"/>
  <c r="S3621" i="1"/>
  <c r="S3625" i="1"/>
  <c r="S3629" i="1"/>
  <c r="S3633" i="1"/>
  <c r="S3637" i="1"/>
  <c r="S3641" i="1"/>
  <c r="S3645" i="1"/>
  <c r="S3649" i="1"/>
  <c r="S3653" i="1"/>
  <c r="S3657" i="1"/>
  <c r="S3661" i="1"/>
  <c r="S3665" i="1"/>
  <c r="S3669" i="1"/>
  <c r="S3673" i="1"/>
  <c r="S3677" i="1"/>
  <c r="S3681" i="1"/>
  <c r="S3685" i="1"/>
  <c r="S3689" i="1"/>
  <c r="S3693" i="1"/>
  <c r="S3697" i="1"/>
  <c r="S3701" i="1"/>
  <c r="S3705" i="1"/>
  <c r="S3709" i="1"/>
  <c r="S3713" i="1"/>
  <c r="S3717" i="1"/>
  <c r="S3721" i="1"/>
  <c r="S3725" i="1"/>
  <c r="S3729" i="1"/>
  <c r="S3733" i="1"/>
  <c r="S3737" i="1"/>
  <c r="S3741" i="1"/>
  <c r="S3745" i="1"/>
  <c r="S3749" i="1"/>
  <c r="S3753" i="1"/>
  <c r="S3757" i="1"/>
  <c r="S3761" i="1"/>
  <c r="S3765" i="1"/>
  <c r="S3769" i="1"/>
  <c r="S3773" i="1"/>
  <c r="S3777" i="1"/>
  <c r="S3781" i="1"/>
  <c r="S3785" i="1"/>
  <c r="S3789" i="1"/>
  <c r="S3793" i="1"/>
  <c r="S3797" i="1"/>
  <c r="S3801" i="1"/>
  <c r="S3805" i="1"/>
  <c r="S3809" i="1"/>
  <c r="S3813" i="1"/>
  <c r="S3817" i="1"/>
  <c r="S3821" i="1"/>
  <c r="S3825" i="1"/>
  <c r="S3829" i="1"/>
  <c r="S3833" i="1"/>
  <c r="S3837" i="1"/>
  <c r="S3841" i="1"/>
  <c r="S3845" i="1"/>
  <c r="S3849" i="1"/>
  <c r="S3853" i="1"/>
  <c r="S3857" i="1"/>
  <c r="S3861" i="1"/>
  <c r="S3865" i="1"/>
  <c r="S3869" i="1"/>
  <c r="S3873" i="1"/>
  <c r="S3877" i="1"/>
  <c r="S3881" i="1"/>
  <c r="S3885" i="1"/>
  <c r="S3889" i="1"/>
  <c r="S3893" i="1"/>
  <c r="S3897" i="1"/>
  <c r="S3901" i="1"/>
  <c r="S3905" i="1"/>
  <c r="S3909" i="1"/>
  <c r="S3913" i="1"/>
  <c r="S3917" i="1"/>
  <c r="S3921" i="1"/>
  <c r="S3925" i="1"/>
  <c r="S3929" i="1"/>
  <c r="S3933" i="1"/>
  <c r="S3937" i="1"/>
  <c r="S3941" i="1"/>
  <c r="S3945" i="1"/>
  <c r="S3949" i="1"/>
  <c r="S3953" i="1"/>
  <c r="S3957" i="1"/>
  <c r="S3961" i="1"/>
  <c r="S3965" i="1"/>
  <c r="S3969" i="1"/>
  <c r="S3973" i="1"/>
  <c r="S3977" i="1"/>
  <c r="S3981" i="1"/>
  <c r="S3985" i="1"/>
  <c r="S3989" i="1"/>
  <c r="S3993" i="1"/>
  <c r="S3997" i="1"/>
  <c r="S4001" i="1"/>
  <c r="S4005" i="1"/>
  <c r="S4009" i="1"/>
  <c r="S4013" i="1"/>
  <c r="S4017" i="1"/>
  <c r="S4021" i="1"/>
  <c r="S4025" i="1"/>
  <c r="S4029" i="1"/>
  <c r="S4033" i="1"/>
  <c r="S4037" i="1"/>
  <c r="S4041" i="1"/>
  <c r="S4045" i="1"/>
  <c r="S4049" i="1"/>
  <c r="S4053" i="1"/>
  <c r="S4057" i="1"/>
  <c r="S4061" i="1"/>
  <c r="S4065" i="1"/>
  <c r="S4069" i="1"/>
  <c r="S3369" i="1"/>
  <c r="S3384" i="1"/>
  <c r="S3392" i="1"/>
  <c r="S3400" i="1"/>
  <c r="S3405" i="1"/>
  <c r="S3410" i="1"/>
  <c r="S3414" i="1"/>
  <c r="S3418" i="1"/>
  <c r="S3422" i="1"/>
  <c r="S3426" i="1"/>
  <c r="S3430" i="1"/>
  <c r="S3434" i="1"/>
  <c r="S3438" i="1"/>
  <c r="S3442" i="1"/>
  <c r="S3446" i="1"/>
  <c r="S3450" i="1"/>
  <c r="S3454" i="1"/>
  <c r="S3458" i="1"/>
  <c r="S3462" i="1"/>
  <c r="S3466" i="1"/>
  <c r="S3470" i="1"/>
  <c r="S3474" i="1"/>
  <c r="S3478" i="1"/>
  <c r="S3482" i="1"/>
  <c r="S3486" i="1"/>
  <c r="S3490" i="1"/>
  <c r="S3494" i="1"/>
  <c r="S3498" i="1"/>
  <c r="S3502" i="1"/>
  <c r="S3506" i="1"/>
  <c r="S3510" i="1"/>
  <c r="S3514" i="1"/>
  <c r="S3518" i="1"/>
  <c r="S3522" i="1"/>
  <c r="S3526" i="1"/>
  <c r="S3530" i="1"/>
  <c r="S3534" i="1"/>
  <c r="S3538" i="1"/>
  <c r="S3542" i="1"/>
  <c r="S3546" i="1"/>
  <c r="S3550" i="1"/>
  <c r="S3554" i="1"/>
  <c r="S3558" i="1"/>
  <c r="S3562" i="1"/>
  <c r="S3566" i="1"/>
  <c r="S3570" i="1"/>
  <c r="S3574" i="1"/>
  <c r="S3578" i="1"/>
  <c r="S3582" i="1"/>
  <c r="S3586" i="1"/>
  <c r="S3590" i="1"/>
  <c r="S3594" i="1"/>
  <c r="S3598" i="1"/>
  <c r="S3602" i="1"/>
  <c r="S3606" i="1"/>
  <c r="S3610" i="1"/>
  <c r="S3614" i="1"/>
  <c r="S3618" i="1"/>
  <c r="S3622" i="1"/>
  <c r="S3626" i="1"/>
  <c r="S3630" i="1"/>
  <c r="S3634" i="1"/>
  <c r="S3638" i="1"/>
  <c r="S3642" i="1"/>
  <c r="S3646" i="1"/>
  <c r="S3650" i="1"/>
  <c r="S3654" i="1"/>
  <c r="S3658" i="1"/>
  <c r="S3662" i="1"/>
  <c r="S3666" i="1"/>
  <c r="S3670" i="1"/>
  <c r="S3674" i="1"/>
  <c r="S3678" i="1"/>
  <c r="S3682" i="1"/>
  <c r="S3686" i="1"/>
  <c r="S3690" i="1"/>
  <c r="S3694" i="1"/>
  <c r="S3698" i="1"/>
  <c r="S3702" i="1"/>
  <c r="S3706" i="1"/>
  <c r="S3710" i="1"/>
  <c r="S3714" i="1"/>
  <c r="S3718" i="1"/>
  <c r="S3722" i="1"/>
  <c r="S3726" i="1"/>
  <c r="S3730" i="1"/>
  <c r="S3734" i="1"/>
  <c r="S3738" i="1"/>
  <c r="S3742" i="1"/>
  <c r="S3746" i="1"/>
  <c r="S3750" i="1"/>
  <c r="S3754" i="1"/>
  <c r="S3758" i="1"/>
  <c r="S3762" i="1"/>
  <c r="S3766" i="1"/>
  <c r="S3770" i="1"/>
  <c r="S3774" i="1"/>
  <c r="S3778" i="1"/>
  <c r="S3782" i="1"/>
  <c r="S3786" i="1"/>
  <c r="S3790" i="1"/>
  <c r="S3794" i="1"/>
  <c r="S3798" i="1"/>
  <c r="S3802" i="1"/>
  <c r="S3806" i="1"/>
  <c r="S3810" i="1"/>
  <c r="S3814" i="1"/>
  <c r="S3818" i="1"/>
  <c r="S3822" i="1"/>
  <c r="S3826" i="1"/>
  <c r="S3830" i="1"/>
  <c r="S3834" i="1"/>
  <c r="S3838" i="1"/>
  <c r="S3842" i="1"/>
  <c r="S3846" i="1"/>
  <c r="S3850" i="1"/>
  <c r="S3854" i="1"/>
  <c r="S3858" i="1"/>
  <c r="S3862" i="1"/>
  <c r="S3866" i="1"/>
  <c r="S3870" i="1"/>
  <c r="S3874" i="1"/>
  <c r="S3878" i="1"/>
  <c r="S3882" i="1"/>
  <c r="S3886" i="1"/>
  <c r="S3890" i="1"/>
  <c r="S3894" i="1"/>
  <c r="S3898" i="1"/>
  <c r="S3902" i="1"/>
  <c r="S3906" i="1"/>
  <c r="S3910" i="1"/>
  <c r="S3914" i="1"/>
  <c r="S3918" i="1"/>
  <c r="S3922" i="1"/>
  <c r="S3926" i="1"/>
  <c r="S3930" i="1"/>
  <c r="S3934" i="1"/>
  <c r="S3938" i="1"/>
  <c r="S3942" i="1"/>
  <c r="S3946" i="1"/>
  <c r="S3950" i="1"/>
  <c r="S3954" i="1"/>
  <c r="S3958" i="1"/>
  <c r="S3962" i="1"/>
  <c r="S3966" i="1"/>
  <c r="S3970" i="1"/>
  <c r="S3974" i="1"/>
  <c r="S3978" i="1"/>
  <c r="S3982" i="1"/>
  <c r="S3986" i="1"/>
  <c r="S3990" i="1"/>
  <c r="S3994" i="1"/>
  <c r="S3998" i="1"/>
  <c r="S4002" i="1"/>
  <c r="S4006" i="1"/>
  <c r="S4010" i="1"/>
  <c r="S4014" i="1"/>
  <c r="S4018" i="1"/>
  <c r="S4022" i="1"/>
  <c r="S4026" i="1"/>
  <c r="S4030" i="1"/>
  <c r="S4034" i="1"/>
  <c r="S4038" i="1"/>
  <c r="S4042" i="1"/>
  <c r="S4046" i="1"/>
  <c r="S4050" i="1"/>
  <c r="S4054" i="1"/>
  <c r="S4058" i="1"/>
  <c r="S4062" i="1"/>
  <c r="S4066" i="1"/>
  <c r="S4070" i="1"/>
  <c r="S3373" i="1"/>
  <c r="S3385" i="1"/>
  <c r="S3393" i="1"/>
  <c r="S3401" i="1"/>
  <c r="S3406" i="1"/>
  <c r="S3411" i="1"/>
  <c r="S3415" i="1"/>
  <c r="S3419" i="1"/>
  <c r="S3423" i="1"/>
  <c r="S3427" i="1"/>
  <c r="S3431" i="1"/>
  <c r="S3435" i="1"/>
  <c r="S3439" i="1"/>
  <c r="S3443" i="1"/>
  <c r="S3447" i="1"/>
  <c r="S3451" i="1"/>
  <c r="S3455" i="1"/>
  <c r="S3459" i="1"/>
  <c r="S3463" i="1"/>
  <c r="S3467" i="1"/>
  <c r="S3471" i="1"/>
  <c r="S3475" i="1"/>
  <c r="S3479" i="1"/>
  <c r="S3483" i="1"/>
  <c r="S3487" i="1"/>
  <c r="S3491" i="1"/>
  <c r="S3495" i="1"/>
  <c r="S3499" i="1"/>
  <c r="S3503" i="1"/>
  <c r="S3507" i="1"/>
  <c r="S3511" i="1"/>
  <c r="S3515" i="1"/>
  <c r="S3519" i="1"/>
  <c r="S3523" i="1"/>
  <c r="S3527" i="1"/>
  <c r="S3531" i="1"/>
  <c r="S3535" i="1"/>
  <c r="S3539" i="1"/>
  <c r="S3543" i="1"/>
  <c r="S3547" i="1"/>
  <c r="S3551" i="1"/>
  <c r="S3555" i="1"/>
  <c r="S3559" i="1"/>
  <c r="S3563" i="1"/>
  <c r="S3567" i="1"/>
  <c r="S3571" i="1"/>
  <c r="S3575" i="1"/>
  <c r="S3579" i="1"/>
  <c r="S3583" i="1"/>
  <c r="S3587" i="1"/>
  <c r="S3591" i="1"/>
  <c r="S3595" i="1"/>
  <c r="S3599" i="1"/>
  <c r="S3603" i="1"/>
  <c r="S3607" i="1"/>
  <c r="S3611" i="1"/>
  <c r="S3615" i="1"/>
  <c r="S3619" i="1"/>
  <c r="S3623" i="1"/>
  <c r="S3627" i="1"/>
  <c r="S3631" i="1"/>
  <c r="S3635" i="1"/>
  <c r="S3639" i="1"/>
  <c r="S3643" i="1"/>
  <c r="S3647" i="1"/>
  <c r="S3651" i="1"/>
  <c r="S3655" i="1"/>
  <c r="S3659" i="1"/>
  <c r="S3663" i="1"/>
  <c r="S3667" i="1"/>
  <c r="S3671" i="1"/>
  <c r="S3675" i="1"/>
  <c r="S3679" i="1"/>
  <c r="S3683" i="1"/>
  <c r="S3687" i="1"/>
  <c r="S3691" i="1"/>
  <c r="S3695" i="1"/>
  <c r="S3699" i="1"/>
  <c r="S3703" i="1"/>
  <c r="S3707" i="1"/>
  <c r="S3711" i="1"/>
  <c r="S3715" i="1"/>
  <c r="S3719" i="1"/>
  <c r="S3723" i="1"/>
  <c r="S3727" i="1"/>
  <c r="S3731" i="1"/>
  <c r="S3735" i="1"/>
  <c r="S3739" i="1"/>
  <c r="S3743" i="1"/>
  <c r="S3747" i="1"/>
  <c r="S3751" i="1"/>
  <c r="S3755" i="1"/>
  <c r="S3759" i="1"/>
  <c r="S3763" i="1"/>
  <c r="S3767" i="1"/>
  <c r="S3771" i="1"/>
  <c r="S3775" i="1"/>
  <c r="S3779" i="1"/>
  <c r="S3783" i="1"/>
  <c r="S3787" i="1"/>
  <c r="S3791" i="1"/>
  <c r="S3795" i="1"/>
  <c r="S3799" i="1"/>
  <c r="S3803" i="1"/>
  <c r="S3807" i="1"/>
  <c r="S3811" i="1"/>
  <c r="S3815" i="1"/>
  <c r="S3819" i="1"/>
  <c r="S3823" i="1"/>
  <c r="S3827" i="1"/>
  <c r="S3831" i="1"/>
  <c r="S3835" i="1"/>
  <c r="S3839" i="1"/>
  <c r="S3843" i="1"/>
  <c r="S3847" i="1"/>
  <c r="S3851" i="1"/>
  <c r="S3855" i="1"/>
  <c r="S3859" i="1"/>
  <c r="S3863" i="1"/>
  <c r="S3867" i="1"/>
  <c r="S3871" i="1"/>
  <c r="S3875" i="1"/>
  <c r="S3879" i="1"/>
  <c r="S3883" i="1"/>
  <c r="S3887" i="1"/>
  <c r="S3891" i="1"/>
  <c r="S3895" i="1"/>
  <c r="S3899" i="1"/>
  <c r="S3903" i="1"/>
  <c r="S3907" i="1"/>
  <c r="S3911" i="1"/>
  <c r="S3915" i="1"/>
  <c r="S3919" i="1"/>
  <c r="S3923" i="1"/>
  <c r="S3927" i="1"/>
  <c r="S3931" i="1"/>
  <c r="S3935" i="1"/>
  <c r="S3939" i="1"/>
  <c r="S3943" i="1"/>
  <c r="S3947" i="1"/>
  <c r="S3951" i="1"/>
  <c r="S3955" i="1"/>
  <c r="S3959" i="1"/>
  <c r="S3963" i="1"/>
  <c r="S3967" i="1"/>
  <c r="S3971" i="1"/>
  <c r="S3975" i="1"/>
  <c r="S3979" i="1"/>
  <c r="S3983" i="1"/>
  <c r="S3987" i="1"/>
  <c r="S3991" i="1"/>
  <c r="S3995" i="1"/>
  <c r="S3999" i="1"/>
  <c r="S4003" i="1"/>
  <c r="S4007" i="1"/>
  <c r="S4011" i="1"/>
  <c r="S4015" i="1"/>
  <c r="S4019" i="1"/>
  <c r="S4023" i="1"/>
  <c r="S4027" i="1"/>
  <c r="S4031" i="1"/>
  <c r="S4035" i="1"/>
  <c r="S4039" i="1"/>
  <c r="S4043" i="1"/>
  <c r="S4047" i="1"/>
  <c r="S4051" i="1"/>
  <c r="S4055" i="1"/>
  <c r="S4059" i="1"/>
  <c r="S4063" i="1"/>
  <c r="S4067" i="1"/>
  <c r="S4074" i="1"/>
  <c r="S4078" i="1"/>
  <c r="S4082" i="1"/>
  <c r="S4086" i="1"/>
  <c r="S4090" i="1"/>
  <c r="S4094" i="1"/>
  <c r="S4098" i="1"/>
  <c r="S4102" i="1"/>
  <c r="S4106" i="1"/>
  <c r="S4110" i="1"/>
  <c r="S4114" i="1"/>
  <c r="S4118" i="1"/>
  <c r="S4122" i="1"/>
  <c r="S4126" i="1"/>
  <c r="S4130" i="1"/>
  <c r="S4134" i="1"/>
  <c r="S4138" i="1"/>
  <c r="S4142" i="1"/>
  <c r="S4146" i="1"/>
  <c r="S4150" i="1"/>
  <c r="S4154" i="1"/>
  <c r="S4158" i="1"/>
  <c r="S4162" i="1"/>
  <c r="S4166" i="1"/>
  <c r="S4170" i="1"/>
  <c r="S4174" i="1"/>
  <c r="S4178" i="1"/>
  <c r="S4182" i="1"/>
  <c r="S4186" i="1"/>
  <c r="S4190" i="1"/>
  <c r="S4194" i="1"/>
  <c r="S4198" i="1"/>
  <c r="S4202" i="1"/>
  <c r="S4206" i="1"/>
  <c r="S4210" i="1"/>
  <c r="S4214" i="1"/>
  <c r="S4218" i="1"/>
  <c r="S4222" i="1"/>
  <c r="S4226" i="1"/>
  <c r="S4230" i="1"/>
  <c r="S4234" i="1"/>
  <c r="S4238" i="1"/>
  <c r="S4242" i="1"/>
  <c r="S4246" i="1"/>
  <c r="S4250" i="1"/>
  <c r="S4254" i="1"/>
  <c r="S4258" i="1"/>
  <c r="S4262" i="1"/>
  <c r="S4266" i="1"/>
  <c r="S4270" i="1"/>
  <c r="S4274" i="1"/>
  <c r="S4278" i="1"/>
  <c r="S4282" i="1"/>
  <c r="S4286" i="1"/>
  <c r="S4290" i="1"/>
  <c r="S4294" i="1"/>
  <c r="S4298" i="1"/>
  <c r="S4302" i="1"/>
  <c r="S4306" i="1"/>
  <c r="S4310" i="1"/>
  <c r="S4314" i="1"/>
  <c r="S4318" i="1"/>
  <c r="S4322" i="1"/>
  <c r="S4326" i="1"/>
  <c r="S4330" i="1"/>
  <c r="S4334" i="1"/>
  <c r="S4338" i="1"/>
  <c r="S4342" i="1"/>
  <c r="S4346" i="1"/>
  <c r="S4350" i="1"/>
  <c r="S4354" i="1"/>
  <c r="S4358" i="1"/>
  <c r="S4362" i="1"/>
  <c r="S4366" i="1"/>
  <c r="S4370" i="1"/>
  <c r="S4374" i="1"/>
  <c r="S4378" i="1"/>
  <c r="S4382" i="1"/>
  <c r="S4386" i="1"/>
  <c r="S4390" i="1"/>
  <c r="S4394" i="1"/>
  <c r="S4398" i="1"/>
  <c r="S4402" i="1"/>
  <c r="S4406" i="1"/>
  <c r="S4410" i="1"/>
  <c r="S4414" i="1"/>
  <c r="S4418" i="1"/>
  <c r="S4422" i="1"/>
  <c r="S4426" i="1"/>
  <c r="S4430" i="1"/>
  <c r="S4434" i="1"/>
  <c r="S4438" i="1"/>
  <c r="S4442" i="1"/>
  <c r="S4446" i="1"/>
  <c r="S4450" i="1"/>
  <c r="S4454" i="1"/>
  <c r="S4458" i="1"/>
  <c r="S4462" i="1"/>
  <c r="S4466" i="1"/>
  <c r="S4470" i="1"/>
  <c r="S4474" i="1"/>
  <c r="S4478" i="1"/>
  <c r="S4482" i="1"/>
  <c r="S4486" i="1"/>
  <c r="S4490" i="1"/>
  <c r="S4494" i="1"/>
  <c r="S4498" i="1"/>
  <c r="S4502" i="1"/>
  <c r="S4506" i="1"/>
  <c r="S4510" i="1"/>
  <c r="S4514" i="1"/>
  <c r="S4518" i="1"/>
  <c r="S4522" i="1"/>
  <c r="S4526" i="1"/>
  <c r="S4530" i="1"/>
  <c r="S4534" i="1"/>
  <c r="S4538" i="1"/>
  <c r="S4542" i="1"/>
  <c r="S4546" i="1"/>
  <c r="S4550" i="1"/>
  <c r="S4554" i="1"/>
  <c r="S4558" i="1"/>
  <c r="S4562" i="1"/>
  <c r="S4566" i="1"/>
  <c r="S4570" i="1"/>
  <c r="S4574" i="1"/>
  <c r="S4578" i="1"/>
  <c r="S4582" i="1"/>
  <c r="S4586" i="1"/>
  <c r="S4590" i="1"/>
  <c r="S4594" i="1"/>
  <c r="S4598" i="1"/>
  <c r="S4602" i="1"/>
  <c r="S4606" i="1"/>
  <c r="S4610" i="1"/>
  <c r="S4614" i="1"/>
  <c r="S4618" i="1"/>
  <c r="S4622" i="1"/>
  <c r="S4626" i="1"/>
  <c r="S4630" i="1"/>
  <c r="S4634" i="1"/>
  <c r="S4638" i="1"/>
  <c r="S4642" i="1"/>
  <c r="S4646" i="1"/>
  <c r="S4650" i="1"/>
  <c r="S4654" i="1"/>
  <c r="S4658" i="1"/>
  <c r="S4662" i="1"/>
  <c r="S4666" i="1"/>
  <c r="S4670" i="1"/>
  <c r="S4674" i="1"/>
  <c r="S4678" i="1"/>
  <c r="S4682" i="1"/>
  <c r="S4686" i="1"/>
  <c r="S4690" i="1"/>
  <c r="S4694" i="1"/>
  <c r="S4698" i="1"/>
  <c r="S4702" i="1"/>
  <c r="S4706" i="1"/>
  <c r="S4710" i="1"/>
  <c r="S4714" i="1"/>
  <c r="S4718" i="1"/>
  <c r="S4722" i="1"/>
  <c r="S4726" i="1"/>
  <c r="S4730" i="1"/>
  <c r="S4734" i="1"/>
  <c r="S4738" i="1"/>
  <c r="S4742" i="1"/>
  <c r="S4746" i="1"/>
  <c r="S4750" i="1"/>
  <c r="S4754" i="1"/>
  <c r="S4758" i="1"/>
  <c r="S4762" i="1"/>
  <c r="S4766" i="1"/>
  <c r="S4770" i="1"/>
  <c r="S4774" i="1"/>
  <c r="S4778" i="1"/>
  <c r="S4782" i="1"/>
  <c r="S4786" i="1"/>
  <c r="S4790" i="1"/>
  <c r="S4794" i="1"/>
  <c r="S4798" i="1"/>
  <c r="S4802" i="1"/>
  <c r="S4806" i="1"/>
  <c r="S4810" i="1"/>
  <c r="S4814" i="1"/>
  <c r="S4818" i="1"/>
  <c r="S4822" i="1"/>
  <c r="S4826" i="1"/>
  <c r="S4830" i="1"/>
  <c r="S4834" i="1"/>
  <c r="S4838" i="1"/>
  <c r="S4842" i="1"/>
  <c r="S4846" i="1"/>
  <c r="S4850" i="1"/>
  <c r="S4854" i="1"/>
  <c r="S4858" i="1"/>
  <c r="S4862" i="1"/>
  <c r="S4866" i="1"/>
  <c r="S4870" i="1"/>
  <c r="S4874" i="1"/>
  <c r="S4878" i="1"/>
  <c r="S4882" i="1"/>
  <c r="S4886" i="1"/>
  <c r="S4890" i="1"/>
  <c r="S4894" i="1"/>
  <c r="S4898" i="1"/>
  <c r="S4902" i="1"/>
  <c r="S4906" i="1"/>
  <c r="S4910" i="1"/>
  <c r="S4914" i="1"/>
  <c r="S4918" i="1"/>
  <c r="S4922" i="1"/>
  <c r="S4926" i="1"/>
  <c r="S4930" i="1"/>
  <c r="S4934" i="1"/>
  <c r="S4938" i="1"/>
  <c r="S4942" i="1"/>
  <c r="S4946" i="1"/>
  <c r="S4950" i="1"/>
  <c r="S4954" i="1"/>
  <c r="S4958" i="1"/>
  <c r="S4962" i="1"/>
  <c r="S4966" i="1"/>
  <c r="S4970" i="1"/>
  <c r="S4974" i="1"/>
  <c r="S4978" i="1"/>
  <c r="S4982" i="1"/>
  <c r="S4986" i="1"/>
  <c r="S4990" i="1"/>
  <c r="S4994" i="1"/>
  <c r="S4998" i="1"/>
  <c r="S4071" i="1"/>
  <c r="S4075" i="1"/>
  <c r="S4079" i="1"/>
  <c r="S4083" i="1"/>
  <c r="S4087" i="1"/>
  <c r="S4091" i="1"/>
  <c r="S4095" i="1"/>
  <c r="S4099" i="1"/>
  <c r="S4103" i="1"/>
  <c r="S4107" i="1"/>
  <c r="S4111" i="1"/>
  <c r="S4115" i="1"/>
  <c r="S4119" i="1"/>
  <c r="S4123" i="1"/>
  <c r="S4127" i="1"/>
  <c r="S4131" i="1"/>
  <c r="S4135" i="1"/>
  <c r="S4139" i="1"/>
  <c r="S4143" i="1"/>
  <c r="S4147" i="1"/>
  <c r="S4151" i="1"/>
  <c r="S4155" i="1"/>
  <c r="S4159" i="1"/>
  <c r="S4163" i="1"/>
  <c r="S4167" i="1"/>
  <c r="S4171" i="1"/>
  <c r="S4175" i="1"/>
  <c r="S4179" i="1"/>
  <c r="S4183" i="1"/>
  <c r="S4187" i="1"/>
  <c r="S4191" i="1"/>
  <c r="S4195" i="1"/>
  <c r="S4199" i="1"/>
  <c r="S4203" i="1"/>
  <c r="S4207" i="1"/>
  <c r="S4211" i="1"/>
  <c r="S4215" i="1"/>
  <c r="S4219" i="1"/>
  <c r="S4223" i="1"/>
  <c r="S4227" i="1"/>
  <c r="S4231" i="1"/>
  <c r="S4235" i="1"/>
  <c r="S4239" i="1"/>
  <c r="S4243" i="1"/>
  <c r="S4247" i="1"/>
  <c r="S4251" i="1"/>
  <c r="S4255" i="1"/>
  <c r="S4259" i="1"/>
  <c r="S4263" i="1"/>
  <c r="S4267" i="1"/>
  <c r="S4271" i="1"/>
  <c r="S4275" i="1"/>
  <c r="S4279" i="1"/>
  <c r="S4283" i="1"/>
  <c r="S4287" i="1"/>
  <c r="S4291" i="1"/>
  <c r="S4295" i="1"/>
  <c r="S4299" i="1"/>
  <c r="S4303" i="1"/>
  <c r="S4307" i="1"/>
  <c r="S4311" i="1"/>
  <c r="S4315" i="1"/>
  <c r="S4319" i="1"/>
  <c r="S4323" i="1"/>
  <c r="S4327" i="1"/>
  <c r="S4331" i="1"/>
  <c r="S4335" i="1"/>
  <c r="S4339" i="1"/>
  <c r="S4343" i="1"/>
  <c r="S4347" i="1"/>
  <c r="S4351" i="1"/>
  <c r="S4355" i="1"/>
  <c r="S4359" i="1"/>
  <c r="S4363" i="1"/>
  <c r="S4367" i="1"/>
  <c r="S4371" i="1"/>
  <c r="S4375" i="1"/>
  <c r="S4379" i="1"/>
  <c r="S4383" i="1"/>
  <c r="S4387" i="1"/>
  <c r="S4391" i="1"/>
  <c r="S4395" i="1"/>
  <c r="S4399" i="1"/>
  <c r="S4403" i="1"/>
  <c r="S4407" i="1"/>
  <c r="S4411" i="1"/>
  <c r="S4415" i="1"/>
  <c r="S4419" i="1"/>
  <c r="S4423" i="1"/>
  <c r="S4427" i="1"/>
  <c r="S4431" i="1"/>
  <c r="S4435" i="1"/>
  <c r="S4439" i="1"/>
  <c r="S4443" i="1"/>
  <c r="S4447" i="1"/>
  <c r="S4451" i="1"/>
  <c r="S4455" i="1"/>
  <c r="S4459" i="1"/>
  <c r="S4463" i="1"/>
  <c r="S4467" i="1"/>
  <c r="S4471" i="1"/>
  <c r="S4475" i="1"/>
  <c r="S4479" i="1"/>
  <c r="S4483" i="1"/>
  <c r="S4487" i="1"/>
  <c r="S4491" i="1"/>
  <c r="S4495" i="1"/>
  <c r="S4499" i="1"/>
  <c r="S4503" i="1"/>
  <c r="S4507" i="1"/>
  <c r="S4511" i="1"/>
  <c r="S4515" i="1"/>
  <c r="S4519" i="1"/>
  <c r="S4523" i="1"/>
  <c r="S4527" i="1"/>
  <c r="S4531" i="1"/>
  <c r="S4535" i="1"/>
  <c r="S4539" i="1"/>
  <c r="S4543" i="1"/>
  <c r="S4547" i="1"/>
  <c r="S4551" i="1"/>
  <c r="S4555" i="1"/>
  <c r="S4559" i="1"/>
  <c r="S4563" i="1"/>
  <c r="S4567" i="1"/>
  <c r="S4571" i="1"/>
  <c r="S4575" i="1"/>
  <c r="S4579" i="1"/>
  <c r="S4583" i="1"/>
  <c r="S4587" i="1"/>
  <c r="S4591" i="1"/>
  <c r="S4595" i="1"/>
  <c r="S4599" i="1"/>
  <c r="S4603" i="1"/>
  <c r="S4607" i="1"/>
  <c r="S4611" i="1"/>
  <c r="S4615" i="1"/>
  <c r="S4619" i="1"/>
  <c r="S4623" i="1"/>
  <c r="S4627" i="1"/>
  <c r="S4631" i="1"/>
  <c r="S4635" i="1"/>
  <c r="S4639" i="1"/>
  <c r="S4643" i="1"/>
  <c r="S4647" i="1"/>
  <c r="S4651" i="1"/>
  <c r="S4655" i="1"/>
  <c r="S4659" i="1"/>
  <c r="S4663" i="1"/>
  <c r="S4667" i="1"/>
  <c r="S4671" i="1"/>
  <c r="S4675" i="1"/>
  <c r="S4679" i="1"/>
  <c r="S4683" i="1"/>
  <c r="S4687" i="1"/>
  <c r="S4691" i="1"/>
  <c r="S4695" i="1"/>
  <c r="S4699" i="1"/>
  <c r="S4703" i="1"/>
  <c r="S4707" i="1"/>
  <c r="S4711" i="1"/>
  <c r="S4715" i="1"/>
  <c r="S4719" i="1"/>
  <c r="S4723" i="1"/>
  <c r="S4727" i="1"/>
  <c r="S4731" i="1"/>
  <c r="S4735" i="1"/>
  <c r="S4739" i="1"/>
  <c r="S4743" i="1"/>
  <c r="S4747" i="1"/>
  <c r="S4751" i="1"/>
  <c r="S4755" i="1"/>
  <c r="S4759" i="1"/>
  <c r="S4763" i="1"/>
  <c r="S4767" i="1"/>
  <c r="S4771" i="1"/>
  <c r="S4775" i="1"/>
  <c r="S4779" i="1"/>
  <c r="S4783" i="1"/>
  <c r="S4787" i="1"/>
  <c r="S4791" i="1"/>
  <c r="S4795" i="1"/>
  <c r="S4799" i="1"/>
  <c r="S4803" i="1"/>
  <c r="S4807" i="1"/>
  <c r="S4811" i="1"/>
  <c r="S4815" i="1"/>
  <c r="S4819" i="1"/>
  <c r="S4823" i="1"/>
  <c r="S4827" i="1"/>
  <c r="S4831" i="1"/>
  <c r="S4835" i="1"/>
  <c r="S4839" i="1"/>
  <c r="S4843" i="1"/>
  <c r="S4847" i="1"/>
  <c r="S4851" i="1"/>
  <c r="S4855" i="1"/>
  <c r="S4859" i="1"/>
  <c r="S4863" i="1"/>
  <c r="S4867" i="1"/>
  <c r="S4871" i="1"/>
  <c r="S4875" i="1"/>
  <c r="S4879" i="1"/>
  <c r="S4883" i="1"/>
  <c r="S4887" i="1"/>
  <c r="S4891" i="1"/>
  <c r="S4895" i="1"/>
  <c r="S4899" i="1"/>
  <c r="S4903" i="1"/>
  <c r="S4907" i="1"/>
  <c r="S4911" i="1"/>
  <c r="S4915" i="1"/>
  <c r="S4919" i="1"/>
  <c r="S4923" i="1"/>
  <c r="S4927" i="1"/>
  <c r="S4931" i="1"/>
  <c r="S4935" i="1"/>
  <c r="S4939" i="1"/>
  <c r="S4943" i="1"/>
  <c r="S4947" i="1"/>
  <c r="S4951" i="1"/>
  <c r="S4955" i="1"/>
  <c r="S4959" i="1"/>
  <c r="S4963" i="1"/>
  <c r="S4967" i="1"/>
  <c r="S4971" i="1"/>
  <c r="S4975" i="1"/>
  <c r="S4979" i="1"/>
  <c r="S4983" i="1"/>
  <c r="S4987" i="1"/>
  <c r="S4991" i="1"/>
  <c r="S4995" i="1"/>
  <c r="S4999" i="1"/>
  <c r="S4072" i="1"/>
  <c r="S4076" i="1"/>
  <c r="S4080" i="1"/>
  <c r="S4084" i="1"/>
  <c r="S4088" i="1"/>
  <c r="S4092" i="1"/>
  <c r="S4096" i="1"/>
  <c r="S4100" i="1"/>
  <c r="S4104" i="1"/>
  <c r="S4108" i="1"/>
  <c r="S4112" i="1"/>
  <c r="S4116" i="1"/>
  <c r="S4120" i="1"/>
  <c r="S4124" i="1"/>
  <c r="S4128" i="1"/>
  <c r="S4132" i="1"/>
  <c r="S4136" i="1"/>
  <c r="S4140" i="1"/>
  <c r="S4144" i="1"/>
  <c r="S4148" i="1"/>
  <c r="S4152" i="1"/>
  <c r="S4156" i="1"/>
  <c r="S4160" i="1"/>
  <c r="S4164" i="1"/>
  <c r="S4168" i="1"/>
  <c r="S4172" i="1"/>
  <c r="S4176" i="1"/>
  <c r="S4180" i="1"/>
  <c r="S4184" i="1"/>
  <c r="S4188" i="1"/>
  <c r="S4192" i="1"/>
  <c r="S4196" i="1"/>
  <c r="S4200" i="1"/>
  <c r="S4204" i="1"/>
  <c r="S4208" i="1"/>
  <c r="S4212" i="1"/>
  <c r="S4216" i="1"/>
  <c r="S4220" i="1"/>
  <c r="S4224" i="1"/>
  <c r="S4228" i="1"/>
  <c r="S4232" i="1"/>
  <c r="S4236" i="1"/>
  <c r="S4240" i="1"/>
  <c r="S4244" i="1"/>
  <c r="S4248" i="1"/>
  <c r="S4252" i="1"/>
  <c r="S4256" i="1"/>
  <c r="S4260" i="1"/>
  <c r="S4264" i="1"/>
  <c r="S4268" i="1"/>
  <c r="S4272" i="1"/>
  <c r="S4276" i="1"/>
  <c r="S4280" i="1"/>
  <c r="S4284" i="1"/>
  <c r="S4288" i="1"/>
  <c r="S4292" i="1"/>
  <c r="S4296" i="1"/>
  <c r="S4300" i="1"/>
  <c r="S4304" i="1"/>
  <c r="S4308" i="1"/>
  <c r="S4312" i="1"/>
  <c r="S4316" i="1"/>
  <c r="S4320" i="1"/>
  <c r="S4324" i="1"/>
  <c r="S4328" i="1"/>
  <c r="S4332" i="1"/>
  <c r="S4336" i="1"/>
  <c r="S4340" i="1"/>
  <c r="S4344" i="1"/>
  <c r="S4348" i="1"/>
  <c r="S4352" i="1"/>
  <c r="S4356" i="1"/>
  <c r="S4360" i="1"/>
  <c r="S4364" i="1"/>
  <c r="S4368" i="1"/>
  <c r="S4372" i="1"/>
  <c r="S4376" i="1"/>
  <c r="S4380" i="1"/>
  <c r="S4384" i="1"/>
  <c r="S4388" i="1"/>
  <c r="S4392" i="1"/>
  <c r="S4396" i="1"/>
  <c r="S4400" i="1"/>
  <c r="S4404" i="1"/>
  <c r="S4408" i="1"/>
  <c r="S4412" i="1"/>
  <c r="S4416" i="1"/>
  <c r="S4420" i="1"/>
  <c r="S4424" i="1"/>
  <c r="S4428" i="1"/>
  <c r="S4432" i="1"/>
  <c r="S4436" i="1"/>
  <c r="S4440" i="1"/>
  <c r="S4444" i="1"/>
  <c r="S4448" i="1"/>
  <c r="S4452" i="1"/>
  <c r="S4456" i="1"/>
  <c r="S4460" i="1"/>
  <c r="S4464" i="1"/>
  <c r="S4468" i="1"/>
  <c r="S4472" i="1"/>
  <c r="S4476" i="1"/>
  <c r="S4480" i="1"/>
  <c r="S4484" i="1"/>
  <c r="S4488" i="1"/>
  <c r="S4492" i="1"/>
  <c r="S4496" i="1"/>
  <c r="S4500" i="1"/>
  <c r="S4504" i="1"/>
  <c r="S4508" i="1"/>
  <c r="S4512" i="1"/>
  <c r="S4516" i="1"/>
  <c r="S4520" i="1"/>
  <c r="S4524" i="1"/>
  <c r="S4528" i="1"/>
  <c r="S4532" i="1"/>
  <c r="S4536" i="1"/>
  <c r="S4540" i="1"/>
  <c r="S4544" i="1"/>
  <c r="S4548" i="1"/>
  <c r="S4552" i="1"/>
  <c r="S4556" i="1"/>
  <c r="S4560" i="1"/>
  <c r="S4564" i="1"/>
  <c r="S4568" i="1"/>
  <c r="S4572" i="1"/>
  <c r="S4576" i="1"/>
  <c r="S4580" i="1"/>
  <c r="S4584" i="1"/>
  <c r="S4588" i="1"/>
  <c r="S4592" i="1"/>
  <c r="S4596" i="1"/>
  <c r="S4600" i="1"/>
  <c r="S4604" i="1"/>
  <c r="S4608" i="1"/>
  <c r="S4612" i="1"/>
  <c r="S4616" i="1"/>
  <c r="S4620" i="1"/>
  <c r="S4624" i="1"/>
  <c r="S4628" i="1"/>
  <c r="S4632" i="1"/>
  <c r="S4636" i="1"/>
  <c r="S4640" i="1"/>
  <c r="S4644" i="1"/>
  <c r="S4648" i="1"/>
  <c r="S4652" i="1"/>
  <c r="S4656" i="1"/>
  <c r="S4660" i="1"/>
  <c r="S4664" i="1"/>
  <c r="S4668" i="1"/>
  <c r="S4672" i="1"/>
  <c r="S4676" i="1"/>
  <c r="S4680" i="1"/>
  <c r="S4684" i="1"/>
  <c r="S4688" i="1"/>
  <c r="S4692" i="1"/>
  <c r="S4696" i="1"/>
  <c r="S4700" i="1"/>
  <c r="S4704" i="1"/>
  <c r="S4708" i="1"/>
  <c r="S4712" i="1"/>
  <c r="S4716" i="1"/>
  <c r="S4720" i="1"/>
  <c r="S4724" i="1"/>
  <c r="S4728" i="1"/>
  <c r="S4732" i="1"/>
  <c r="S4736" i="1"/>
  <c r="S4740" i="1"/>
  <c r="S4744" i="1"/>
  <c r="S4748" i="1"/>
  <c r="S4752" i="1"/>
  <c r="S4756" i="1"/>
  <c r="S4760" i="1"/>
  <c r="S4764" i="1"/>
  <c r="S4768" i="1"/>
  <c r="S4772" i="1"/>
  <c r="S4776" i="1"/>
  <c r="S4780" i="1"/>
  <c r="S4784" i="1"/>
  <c r="S4788" i="1"/>
  <c r="S4792" i="1"/>
  <c r="S4796" i="1"/>
  <c r="S4800" i="1"/>
  <c r="S4804" i="1"/>
  <c r="S4808" i="1"/>
  <c r="S4812" i="1"/>
  <c r="S4816" i="1"/>
  <c r="S4820" i="1"/>
  <c r="S4824" i="1"/>
  <c r="S4828" i="1"/>
  <c r="S4832" i="1"/>
  <c r="S4836" i="1"/>
  <c r="S4840" i="1"/>
  <c r="S4844" i="1"/>
  <c r="S4848" i="1"/>
  <c r="S4852" i="1"/>
  <c r="S4856" i="1"/>
  <c r="S4860" i="1"/>
  <c r="S4864" i="1"/>
  <c r="S4868" i="1"/>
  <c r="S4872" i="1"/>
  <c r="S4876" i="1"/>
  <c r="S4880" i="1"/>
  <c r="S4884" i="1"/>
  <c r="S4888" i="1"/>
  <c r="S4892" i="1"/>
  <c r="S4896" i="1"/>
  <c r="S4900" i="1"/>
  <c r="S4904" i="1"/>
  <c r="S4908" i="1"/>
  <c r="S4912" i="1"/>
  <c r="S4916" i="1"/>
  <c r="S4920" i="1"/>
  <c r="S4924" i="1"/>
  <c r="S4928" i="1"/>
  <c r="S4932" i="1"/>
  <c r="S4936" i="1"/>
  <c r="S4940" i="1"/>
  <c r="S4944" i="1"/>
  <c r="S4948" i="1"/>
  <c r="S4952" i="1"/>
  <c r="S4956" i="1"/>
  <c r="S4960" i="1"/>
  <c r="S4964" i="1"/>
  <c r="S4968" i="1"/>
  <c r="S4972" i="1"/>
  <c r="S4976" i="1"/>
  <c r="S4980" i="1"/>
  <c r="S4984" i="1"/>
  <c r="S4988" i="1"/>
  <c r="S4992" i="1"/>
  <c r="S4996" i="1"/>
  <c r="S5000" i="1"/>
  <c r="S4073" i="1"/>
  <c r="S4077" i="1"/>
  <c r="S4081" i="1"/>
  <c r="S4085" i="1"/>
  <c r="S4089" i="1"/>
  <c r="S4093" i="1"/>
  <c r="S4097" i="1"/>
  <c r="S4101" i="1"/>
  <c r="S4105" i="1"/>
  <c r="S4109" i="1"/>
  <c r="S4113" i="1"/>
  <c r="S4117" i="1"/>
  <c r="S4121" i="1"/>
  <c r="S4125" i="1"/>
  <c r="S4129" i="1"/>
  <c r="S4133" i="1"/>
  <c r="S4137" i="1"/>
  <c r="S4141" i="1"/>
  <c r="S4145" i="1"/>
  <c r="S4149" i="1"/>
  <c r="S4153" i="1"/>
  <c r="S4157" i="1"/>
  <c r="S4161" i="1"/>
  <c r="S4165" i="1"/>
  <c r="S4169" i="1"/>
  <c r="S4173" i="1"/>
  <c r="S4177" i="1"/>
  <c r="S4181" i="1"/>
  <c r="S4185" i="1"/>
  <c r="S4189" i="1"/>
  <c r="S4193" i="1"/>
  <c r="S4197" i="1"/>
  <c r="S4201" i="1"/>
  <c r="S4205" i="1"/>
  <c r="S4209" i="1"/>
  <c r="S4213" i="1"/>
  <c r="S4217" i="1"/>
  <c r="S4221" i="1"/>
  <c r="S4225" i="1"/>
  <c r="S4229" i="1"/>
  <c r="S4233" i="1"/>
  <c r="S4237" i="1"/>
  <c r="S4241" i="1"/>
  <c r="S4245" i="1"/>
  <c r="S4249" i="1"/>
  <c r="S4253" i="1"/>
  <c r="S4257" i="1"/>
  <c r="S4261" i="1"/>
  <c r="S4265" i="1"/>
  <c r="S4269" i="1"/>
  <c r="S4273" i="1"/>
  <c r="S4277" i="1"/>
  <c r="S4281" i="1"/>
  <c r="S4285" i="1"/>
  <c r="S4289" i="1"/>
  <c r="S4293" i="1"/>
  <c r="S4297" i="1"/>
  <c r="S4301" i="1"/>
  <c r="S4305" i="1"/>
  <c r="S4309" i="1"/>
  <c r="S4313" i="1"/>
  <c r="S4317" i="1"/>
  <c r="S4321" i="1"/>
  <c r="S4325" i="1"/>
  <c r="S4329" i="1"/>
  <c r="S4333" i="1"/>
  <c r="S4337" i="1"/>
  <c r="S4341" i="1"/>
  <c r="S4345" i="1"/>
  <c r="S4349" i="1"/>
  <c r="S4353" i="1"/>
  <c r="S4357" i="1"/>
  <c r="S4361" i="1"/>
  <c r="S4365" i="1"/>
  <c r="S4369" i="1"/>
  <c r="S4373" i="1"/>
  <c r="S4377" i="1"/>
  <c r="S4381" i="1"/>
  <c r="S4385" i="1"/>
  <c r="S4389" i="1"/>
  <c r="S4393" i="1"/>
  <c r="S4397" i="1"/>
  <c r="S4401" i="1"/>
  <c r="S4405" i="1"/>
  <c r="S4409" i="1"/>
  <c r="S4413" i="1"/>
  <c r="S4417" i="1"/>
  <c r="S4421" i="1"/>
  <c r="S4425" i="1"/>
  <c r="S4429" i="1"/>
  <c r="S4433" i="1"/>
  <c r="S4437" i="1"/>
  <c r="S4441" i="1"/>
  <c r="S4445" i="1"/>
  <c r="S4449" i="1"/>
  <c r="S4453" i="1"/>
  <c r="S4457" i="1"/>
  <c r="S4461" i="1"/>
  <c r="S4465" i="1"/>
  <c r="S4469" i="1"/>
  <c r="S4473" i="1"/>
  <c r="S4477" i="1"/>
  <c r="S4481" i="1"/>
  <c r="S4485" i="1"/>
  <c r="S4489" i="1"/>
  <c r="S4493" i="1"/>
  <c r="S4497" i="1"/>
  <c r="S4501" i="1"/>
  <c r="S4505" i="1"/>
  <c r="S4509" i="1"/>
  <c r="S4513" i="1"/>
  <c r="S4517" i="1"/>
  <c r="S4521" i="1"/>
  <c r="S4525" i="1"/>
  <c r="S4529" i="1"/>
  <c r="S4533" i="1"/>
  <c r="S4537" i="1"/>
  <c r="S4541" i="1"/>
  <c r="S4545" i="1"/>
  <c r="S4549" i="1"/>
  <c r="S4553" i="1"/>
  <c r="S4557" i="1"/>
  <c r="S4561" i="1"/>
  <c r="S4565" i="1"/>
  <c r="S4569" i="1"/>
  <c r="S4573" i="1"/>
  <c r="S4577" i="1"/>
  <c r="S4581" i="1"/>
  <c r="S4585" i="1"/>
  <c r="S4589" i="1"/>
  <c r="S4593" i="1"/>
  <c r="S4597" i="1"/>
  <c r="S4601" i="1"/>
  <c r="S4605" i="1"/>
  <c r="S4609" i="1"/>
  <c r="S4613" i="1"/>
  <c r="S4617" i="1"/>
  <c r="S4621" i="1"/>
  <c r="S4625" i="1"/>
  <c r="S4629" i="1"/>
  <c r="S4633" i="1"/>
  <c r="S4637" i="1"/>
  <c r="S4641" i="1"/>
  <c r="S4645" i="1"/>
  <c r="S4649" i="1"/>
  <c r="S4653" i="1"/>
  <c r="S4657" i="1"/>
  <c r="S4661" i="1"/>
  <c r="S4665" i="1"/>
  <c r="S4669" i="1"/>
  <c r="S4673" i="1"/>
  <c r="S4677" i="1"/>
  <c r="S4681" i="1"/>
  <c r="S4685" i="1"/>
  <c r="S4689" i="1"/>
  <c r="S4693" i="1"/>
  <c r="S4697" i="1"/>
  <c r="S4701" i="1"/>
  <c r="S4705" i="1"/>
  <c r="S4709" i="1"/>
  <c r="S4713" i="1"/>
  <c r="S4717" i="1"/>
  <c r="S4721" i="1"/>
  <c r="S4725" i="1"/>
  <c r="S4729" i="1"/>
  <c r="S4733" i="1"/>
  <c r="S4737" i="1"/>
  <c r="S4741" i="1"/>
  <c r="S4745" i="1"/>
  <c r="S4749" i="1"/>
  <c r="S4753" i="1"/>
  <c r="S4757" i="1"/>
  <c r="S4761" i="1"/>
  <c r="S4765" i="1"/>
  <c r="S4769" i="1"/>
  <c r="S4773" i="1"/>
  <c r="S4777" i="1"/>
  <c r="S4781" i="1"/>
  <c r="S4785" i="1"/>
  <c r="S4789" i="1"/>
  <c r="S4793" i="1"/>
  <c r="S4797" i="1"/>
  <c r="S4801" i="1"/>
  <c r="S4805" i="1"/>
  <c r="S4809" i="1"/>
  <c r="S4813" i="1"/>
  <c r="S4817" i="1"/>
  <c r="S4821" i="1"/>
  <c r="S4825" i="1"/>
  <c r="S4829" i="1"/>
  <c r="S4833" i="1"/>
  <c r="S4837" i="1"/>
  <c r="S4841" i="1"/>
  <c r="S4845" i="1"/>
  <c r="S4849" i="1"/>
  <c r="S4853" i="1"/>
  <c r="S4857" i="1"/>
  <c r="S4861" i="1"/>
  <c r="S4865" i="1"/>
  <c r="S4869" i="1"/>
  <c r="S4873" i="1"/>
  <c r="S4877" i="1"/>
  <c r="S4881" i="1"/>
  <c r="S4885" i="1"/>
  <c r="S4889" i="1"/>
  <c r="S4893" i="1"/>
  <c r="S4897" i="1"/>
  <c r="S4901" i="1"/>
  <c r="S4905" i="1"/>
  <c r="S4909" i="1"/>
  <c r="S4913" i="1"/>
  <c r="S4917" i="1"/>
  <c r="S4921" i="1"/>
  <c r="S4925" i="1"/>
  <c r="S4929" i="1"/>
  <c r="S4933" i="1"/>
  <c r="S4937" i="1"/>
  <c r="S4941" i="1"/>
  <c r="S4945" i="1"/>
  <c r="S4949" i="1"/>
  <c r="S4953" i="1"/>
  <c r="S4957" i="1"/>
  <c r="S4961" i="1"/>
  <c r="S4965" i="1"/>
  <c r="S4969" i="1"/>
  <c r="S4973" i="1"/>
  <c r="S4977" i="1"/>
  <c r="S4981" i="1"/>
  <c r="S4985" i="1"/>
  <c r="S4989" i="1"/>
  <c r="S4993" i="1"/>
  <c r="S4997" i="1"/>
  <c r="C3" i="1"/>
  <c r="S3" i="1" s="1"/>
  <c r="D11" i="1"/>
  <c r="E10" i="1"/>
  <c r="E4" i="1"/>
  <c r="N11" i="3" l="1"/>
  <c r="M11" i="3"/>
  <c r="D377" i="1"/>
  <c r="E376" i="1"/>
  <c r="D453" i="1"/>
  <c r="E452" i="1"/>
  <c r="D307" i="1"/>
  <c r="E306" i="1"/>
  <c r="D214" i="1"/>
  <c r="E213" i="1"/>
  <c r="D542" i="1"/>
  <c r="E541" i="1"/>
  <c r="D217" i="1"/>
  <c r="E216" i="1"/>
  <c r="Q11" i="3"/>
  <c r="P11" i="3"/>
  <c r="E11" i="3"/>
  <c r="D11" i="3"/>
  <c r="C4" i="1"/>
  <c r="C5" i="1" s="1"/>
  <c r="I12" i="3"/>
  <c r="B11" i="3"/>
  <c r="E11" i="1"/>
  <c r="D12" i="1"/>
  <c r="E5" i="1"/>
  <c r="F11" i="3" l="1"/>
  <c r="M12" i="3"/>
  <c r="N12" i="3"/>
  <c r="D378" i="1"/>
  <c r="E377" i="1"/>
  <c r="D454" i="1"/>
  <c r="E453" i="1"/>
  <c r="C6" i="1"/>
  <c r="S5" i="1"/>
  <c r="D308" i="1"/>
  <c r="E307" i="1"/>
  <c r="S8" i="1"/>
  <c r="D215" i="1"/>
  <c r="E215" i="1" s="1"/>
  <c r="E214" i="1"/>
  <c r="D543" i="1"/>
  <c r="E542" i="1"/>
  <c r="S372" i="1"/>
  <c r="S451" i="1"/>
  <c r="S452" i="1"/>
  <c r="D218" i="1"/>
  <c r="E217" i="1"/>
  <c r="S4" i="1"/>
  <c r="S9" i="1"/>
  <c r="Q12" i="3"/>
  <c r="P12" i="3"/>
  <c r="D12" i="3"/>
  <c r="E12" i="3"/>
  <c r="T11" i="3"/>
  <c r="R11" i="3"/>
  <c r="S11" i="3"/>
  <c r="S93" i="1"/>
  <c r="S101" i="1"/>
  <c r="S102" i="1"/>
  <c r="S92" i="1"/>
  <c r="S91" i="1"/>
  <c r="S98" i="1"/>
  <c r="S78" i="1"/>
  <c r="S103" i="1"/>
  <c r="S79" i="1"/>
  <c r="S88" i="1"/>
  <c r="S95" i="1"/>
  <c r="S104" i="1"/>
  <c r="S106" i="1"/>
  <c r="S87" i="1"/>
  <c r="S105" i="1"/>
  <c r="S96" i="1"/>
  <c r="S46" i="1"/>
  <c r="S89" i="1"/>
  <c r="S86" i="1"/>
  <c r="S107" i="1"/>
  <c r="S80" i="1"/>
  <c r="S85" i="1"/>
  <c r="S81" i="1"/>
  <c r="S90" i="1"/>
  <c r="S100" i="1"/>
  <c r="S99" i="1"/>
  <c r="S97" i="1"/>
  <c r="S94" i="1"/>
  <c r="S82" i="1"/>
  <c r="S84" i="1"/>
  <c r="S83" i="1"/>
  <c r="I13" i="3"/>
  <c r="B12" i="3"/>
  <c r="D13" i="1"/>
  <c r="E12" i="1"/>
  <c r="E6" i="1"/>
  <c r="F12" i="3" l="1"/>
  <c r="N13" i="3"/>
  <c r="M13" i="3"/>
  <c r="D379" i="1"/>
  <c r="E378" i="1"/>
  <c r="C7" i="1"/>
  <c r="C8" i="1" s="1"/>
  <c r="C9" i="1" s="1"/>
  <c r="C10" i="1" s="1"/>
  <c r="C11" i="1" s="1"/>
  <c r="C12" i="1" s="1"/>
  <c r="C13" i="1" s="1"/>
  <c r="C14" i="1" s="1"/>
  <c r="S6" i="1"/>
  <c r="D455" i="1"/>
  <c r="E454" i="1"/>
  <c r="D309" i="1"/>
  <c r="E308" i="1"/>
  <c r="S69" i="1"/>
  <c r="S68" i="1"/>
  <c r="S28" i="1"/>
  <c r="D544" i="1"/>
  <c r="E543" i="1"/>
  <c r="S380" i="1"/>
  <c r="S456" i="1"/>
  <c r="D219" i="1"/>
  <c r="E218" i="1"/>
  <c r="C11" i="3"/>
  <c r="Q13" i="3"/>
  <c r="P13" i="3"/>
  <c r="E13" i="3"/>
  <c r="D13" i="3"/>
  <c r="S12" i="3"/>
  <c r="T12" i="3"/>
  <c r="R12" i="3"/>
  <c r="I14" i="3"/>
  <c r="B13" i="3"/>
  <c r="D14" i="1"/>
  <c r="E13" i="1"/>
  <c r="E7" i="1"/>
  <c r="F13" i="3" l="1"/>
  <c r="M14" i="3"/>
  <c r="N14" i="3"/>
  <c r="S12" i="1"/>
  <c r="C15" i="1"/>
  <c r="S14" i="1"/>
  <c r="S13" i="1"/>
  <c r="S7" i="1"/>
  <c r="D380" i="1"/>
  <c r="E379" i="1"/>
  <c r="D456" i="1"/>
  <c r="E455" i="1"/>
  <c r="D310" i="1"/>
  <c r="E309" i="1"/>
  <c r="D545" i="1"/>
  <c r="E544" i="1"/>
  <c r="S382" i="1"/>
  <c r="S457" i="1"/>
  <c r="D220" i="1"/>
  <c r="E219" i="1"/>
  <c r="C12" i="3"/>
  <c r="Q14" i="3"/>
  <c r="P14" i="3"/>
  <c r="E14" i="3"/>
  <c r="D14" i="3"/>
  <c r="S13" i="3"/>
  <c r="R13" i="3"/>
  <c r="T13" i="3"/>
  <c r="B14" i="3"/>
  <c r="I15" i="3"/>
  <c r="E14" i="1"/>
  <c r="D15" i="1"/>
  <c r="E8" i="1"/>
  <c r="E9" i="1"/>
  <c r="F14" i="3" l="1"/>
  <c r="N15" i="3"/>
  <c r="M15" i="3"/>
  <c r="C16" i="1"/>
  <c r="S15" i="1"/>
  <c r="D381" i="1"/>
  <c r="E380" i="1"/>
  <c r="S29" i="1"/>
  <c r="D457" i="1"/>
  <c r="E456" i="1"/>
  <c r="D311" i="1"/>
  <c r="E310" i="1"/>
  <c r="D546" i="1"/>
  <c r="E545" i="1"/>
  <c r="S383" i="1"/>
  <c r="S458" i="1"/>
  <c r="D221" i="1"/>
  <c r="E220" i="1"/>
  <c r="C13" i="3"/>
  <c r="Q15" i="3"/>
  <c r="P15" i="3"/>
  <c r="E15" i="3"/>
  <c r="D15" i="3"/>
  <c r="S14" i="3"/>
  <c r="T14" i="3"/>
  <c r="R14" i="3"/>
  <c r="B15" i="3"/>
  <c r="I16" i="3"/>
  <c r="D16" i="1"/>
  <c r="E15" i="1"/>
  <c r="F15" i="3" l="1"/>
  <c r="N16" i="3"/>
  <c r="M16" i="3"/>
  <c r="C17" i="1"/>
  <c r="S16" i="1"/>
  <c r="D382" i="1"/>
  <c r="E381" i="1"/>
  <c r="D458" i="1"/>
  <c r="E457" i="1"/>
  <c r="D312" i="1"/>
  <c r="E311" i="1"/>
  <c r="D547" i="1"/>
  <c r="E546" i="1"/>
  <c r="S386" i="1"/>
  <c r="D222" i="1"/>
  <c r="E221" i="1"/>
  <c r="C14" i="3"/>
  <c r="Q16" i="3"/>
  <c r="P16" i="3"/>
  <c r="D16" i="3"/>
  <c r="E16" i="3"/>
  <c r="S15" i="3"/>
  <c r="R15" i="3"/>
  <c r="T15" i="3"/>
  <c r="I17" i="3"/>
  <c r="B16" i="3"/>
  <c r="D17" i="1"/>
  <c r="E16" i="1"/>
  <c r="C18" i="1" l="1"/>
  <c r="C19" i="1" s="1"/>
  <c r="S17" i="1"/>
  <c r="F16" i="3"/>
  <c r="M17" i="3"/>
  <c r="N17" i="3"/>
  <c r="S18" i="1"/>
  <c r="D383" i="1"/>
  <c r="E382" i="1"/>
  <c r="D459" i="1"/>
  <c r="E458" i="1"/>
  <c r="D313" i="1"/>
  <c r="E312" i="1"/>
  <c r="D548" i="1"/>
  <c r="E547" i="1"/>
  <c r="S387" i="1"/>
  <c r="S460" i="1"/>
  <c r="D223" i="1"/>
  <c r="E222" i="1"/>
  <c r="C15" i="3"/>
  <c r="Q17" i="3"/>
  <c r="P17" i="3"/>
  <c r="E17" i="3"/>
  <c r="D17" i="3"/>
  <c r="S16" i="3"/>
  <c r="T16" i="3"/>
  <c r="R16" i="3"/>
  <c r="B17" i="3"/>
  <c r="I18" i="3"/>
  <c r="D18" i="1"/>
  <c r="E17" i="1"/>
  <c r="F17" i="3" l="1"/>
  <c r="N18" i="3"/>
  <c r="M18" i="3"/>
  <c r="S19" i="1"/>
  <c r="C20" i="1"/>
  <c r="D384" i="1"/>
  <c r="E383" i="1"/>
  <c r="D460" i="1"/>
  <c r="E459" i="1"/>
  <c r="D314" i="1"/>
  <c r="E313" i="1"/>
  <c r="D549" i="1"/>
  <c r="E548" i="1"/>
  <c r="S396" i="1"/>
  <c r="S461" i="1"/>
  <c r="D224" i="1"/>
  <c r="E223" i="1"/>
  <c r="C16" i="3"/>
  <c r="Q18" i="3"/>
  <c r="P18" i="3"/>
  <c r="E18" i="3"/>
  <c r="D18" i="3"/>
  <c r="S17" i="3"/>
  <c r="R17" i="3"/>
  <c r="T17" i="3"/>
  <c r="B18" i="3"/>
  <c r="I19" i="3"/>
  <c r="D19" i="1"/>
  <c r="E18" i="1"/>
  <c r="F18" i="3" l="1"/>
  <c r="M19" i="3"/>
  <c r="N19" i="3"/>
  <c r="S20" i="1"/>
  <c r="C21" i="1"/>
  <c r="D385" i="1"/>
  <c r="E384" i="1"/>
  <c r="D461" i="1"/>
  <c r="E460" i="1"/>
  <c r="D315" i="1"/>
  <c r="E314" i="1"/>
  <c r="D550" i="1"/>
  <c r="E549" i="1"/>
  <c r="S397" i="1"/>
  <c r="S462" i="1"/>
  <c r="D225" i="1"/>
  <c r="E224" i="1"/>
  <c r="C17" i="3"/>
  <c r="Q19" i="3"/>
  <c r="P19" i="3"/>
  <c r="E19" i="3"/>
  <c r="D19" i="3"/>
  <c r="S18" i="3"/>
  <c r="T18" i="3"/>
  <c r="R18" i="3"/>
  <c r="I20" i="3"/>
  <c r="B19" i="3"/>
  <c r="D20" i="1"/>
  <c r="E19" i="1"/>
  <c r="C22" i="1" l="1"/>
  <c r="C23" i="1" s="1"/>
  <c r="S21" i="1"/>
  <c r="F19" i="3"/>
  <c r="N20" i="3"/>
  <c r="M20" i="3"/>
  <c r="S22" i="1"/>
  <c r="D386" i="1"/>
  <c r="E385" i="1"/>
  <c r="D462" i="1"/>
  <c r="E461" i="1"/>
  <c r="D316" i="1"/>
  <c r="E315" i="1"/>
  <c r="D551" i="1"/>
  <c r="E550" i="1"/>
  <c r="S398" i="1"/>
  <c r="D226" i="1"/>
  <c r="E225" i="1"/>
  <c r="C18" i="3"/>
  <c r="Q20" i="3"/>
  <c r="P20" i="3"/>
  <c r="D20" i="3"/>
  <c r="E20" i="3"/>
  <c r="S19" i="3"/>
  <c r="T19" i="3"/>
  <c r="R19" i="3"/>
  <c r="I21" i="3"/>
  <c r="B20" i="3"/>
  <c r="D21" i="1"/>
  <c r="E20" i="1"/>
  <c r="F20" i="3" l="1"/>
  <c r="N21" i="3"/>
  <c r="M21" i="3"/>
  <c r="C24" i="1"/>
  <c r="S23" i="1"/>
  <c r="D387" i="1"/>
  <c r="E386" i="1"/>
  <c r="D463" i="1"/>
  <c r="E462" i="1"/>
  <c r="D317" i="1"/>
  <c r="E316" i="1"/>
  <c r="D552" i="1"/>
  <c r="E551" i="1"/>
  <c r="S399" i="1"/>
  <c r="S464" i="1"/>
  <c r="D227" i="1"/>
  <c r="E226" i="1"/>
  <c r="C19" i="3"/>
  <c r="Q21" i="3"/>
  <c r="P21" i="3"/>
  <c r="E21" i="3"/>
  <c r="D21" i="3"/>
  <c r="S20" i="3"/>
  <c r="T20" i="3"/>
  <c r="R20" i="3"/>
  <c r="I22" i="3"/>
  <c r="B21" i="3"/>
  <c r="D22" i="1"/>
  <c r="E21" i="1"/>
  <c r="C25" i="1" l="1"/>
  <c r="C26" i="1" s="1"/>
  <c r="S24" i="1"/>
  <c r="F21" i="3"/>
  <c r="N22" i="3"/>
  <c r="M22" i="3"/>
  <c r="S25" i="1"/>
  <c r="D388" i="1"/>
  <c r="E387" i="1"/>
  <c r="D464" i="1"/>
  <c r="E463" i="1"/>
  <c r="D318" i="1"/>
  <c r="E317" i="1"/>
  <c r="D553" i="1"/>
  <c r="E552" i="1"/>
  <c r="S400" i="1"/>
  <c r="S465" i="1"/>
  <c r="D228" i="1"/>
  <c r="E227" i="1"/>
  <c r="C20" i="3"/>
  <c r="Q22" i="3"/>
  <c r="P22" i="3"/>
  <c r="E22" i="3"/>
  <c r="D22" i="3"/>
  <c r="S21" i="3"/>
  <c r="R21" i="3"/>
  <c r="T21" i="3"/>
  <c r="I23" i="3"/>
  <c r="B22" i="3"/>
  <c r="E22" i="1"/>
  <c r="D23" i="1"/>
  <c r="C27" i="1" l="1"/>
  <c r="C28" i="1" s="1"/>
  <c r="C29" i="1" s="1"/>
  <c r="C30" i="1" s="1"/>
  <c r="S26" i="1"/>
  <c r="F22" i="3"/>
  <c r="M23" i="3"/>
  <c r="N23" i="3"/>
  <c r="D389" i="1"/>
  <c r="E388" i="1"/>
  <c r="D465" i="1"/>
  <c r="E464" i="1"/>
  <c r="D319" i="1"/>
  <c r="E318" i="1"/>
  <c r="D554" i="1"/>
  <c r="E553" i="1"/>
  <c r="S403" i="1"/>
  <c r="S466" i="1"/>
  <c r="D229" i="1"/>
  <c r="E228" i="1"/>
  <c r="C21" i="3"/>
  <c r="Q23" i="3"/>
  <c r="P23" i="3"/>
  <c r="D23" i="3"/>
  <c r="E23" i="3"/>
  <c r="S22" i="3"/>
  <c r="T22" i="3"/>
  <c r="R22" i="3"/>
  <c r="I24" i="3"/>
  <c r="B23" i="3"/>
  <c r="E23" i="1"/>
  <c r="D24" i="1"/>
  <c r="S27" i="1" l="1"/>
  <c r="F23" i="3"/>
  <c r="M24" i="3"/>
  <c r="N24" i="3"/>
  <c r="C31" i="1"/>
  <c r="S30" i="1"/>
  <c r="D390" i="1"/>
  <c r="E389" i="1"/>
  <c r="D466" i="1"/>
  <c r="E465" i="1"/>
  <c r="D320" i="1"/>
  <c r="E319" i="1"/>
  <c r="D555" i="1"/>
  <c r="E554" i="1"/>
  <c r="S405" i="1"/>
  <c r="S467" i="1"/>
  <c r="S469" i="1"/>
  <c r="D230" i="1"/>
  <c r="E229" i="1"/>
  <c r="C22" i="3"/>
  <c r="Q24" i="3"/>
  <c r="P24" i="3"/>
  <c r="E24" i="3"/>
  <c r="D24" i="3"/>
  <c r="S23" i="3"/>
  <c r="T23" i="3"/>
  <c r="R23" i="3"/>
  <c r="B24" i="3"/>
  <c r="I25" i="3"/>
  <c r="E24" i="1"/>
  <c r="D25" i="1"/>
  <c r="F24" i="3" l="1"/>
  <c r="M25" i="3"/>
  <c r="N25" i="3"/>
  <c r="C32" i="1"/>
  <c r="S31" i="1"/>
  <c r="D391" i="1"/>
  <c r="E390" i="1"/>
  <c r="D467" i="1"/>
  <c r="E466" i="1"/>
  <c r="D321" i="1"/>
  <c r="E320" i="1"/>
  <c r="D556" i="1"/>
  <c r="E555" i="1"/>
  <c r="S406" i="1"/>
  <c r="S468" i="1"/>
  <c r="S471" i="1"/>
  <c r="D231" i="1"/>
  <c r="E230" i="1"/>
  <c r="C23" i="3"/>
  <c r="Q25" i="3"/>
  <c r="P25" i="3"/>
  <c r="E25" i="3"/>
  <c r="D25" i="3"/>
  <c r="S24" i="3"/>
  <c r="T24" i="3"/>
  <c r="R24" i="3"/>
  <c r="B25" i="3"/>
  <c r="I26" i="3"/>
  <c r="E25" i="1"/>
  <c r="D26" i="1"/>
  <c r="F25" i="3" l="1"/>
  <c r="N26" i="3"/>
  <c r="M26" i="3"/>
  <c r="C33" i="1"/>
  <c r="S32" i="1"/>
  <c r="D392" i="1"/>
  <c r="E391" i="1"/>
  <c r="D468" i="1"/>
  <c r="E467" i="1"/>
  <c r="D322" i="1"/>
  <c r="E321" i="1"/>
  <c r="D557" i="1"/>
  <c r="E556" i="1"/>
  <c r="S407" i="1"/>
  <c r="S472" i="1"/>
  <c r="S474" i="1"/>
  <c r="D232" i="1"/>
  <c r="E231" i="1"/>
  <c r="C24" i="3"/>
  <c r="Q26" i="3"/>
  <c r="P26" i="3"/>
  <c r="E26" i="3"/>
  <c r="D26" i="3"/>
  <c r="S25" i="3"/>
  <c r="R25" i="3"/>
  <c r="T25" i="3"/>
  <c r="B26" i="3"/>
  <c r="I27" i="3"/>
  <c r="E26" i="1"/>
  <c r="D27" i="1"/>
  <c r="F26" i="3" l="1"/>
  <c r="N27" i="3"/>
  <c r="M27" i="3"/>
  <c r="C34" i="1"/>
  <c r="S33" i="1"/>
  <c r="D393" i="1"/>
  <c r="E392" i="1"/>
  <c r="D469" i="1"/>
  <c r="E468" i="1"/>
  <c r="D323" i="1"/>
  <c r="E322" i="1"/>
  <c r="D558" i="1"/>
  <c r="E557" i="1"/>
  <c r="S408" i="1"/>
  <c r="S473" i="1"/>
  <c r="S475" i="1"/>
  <c r="D233" i="1"/>
  <c r="E232" i="1"/>
  <c r="C25" i="3"/>
  <c r="Q27" i="3"/>
  <c r="P27" i="3"/>
  <c r="D27" i="3"/>
  <c r="E27" i="3"/>
  <c r="S26" i="3"/>
  <c r="T26" i="3"/>
  <c r="R26" i="3"/>
  <c r="I28" i="3"/>
  <c r="B27" i="3"/>
  <c r="E27" i="1"/>
  <c r="D28" i="1"/>
  <c r="F27" i="3" l="1"/>
  <c r="N28" i="3"/>
  <c r="M28" i="3"/>
  <c r="C35" i="1"/>
  <c r="S34" i="1"/>
  <c r="D394" i="1"/>
  <c r="E393" i="1"/>
  <c r="D470" i="1"/>
  <c r="E469" i="1"/>
  <c r="D324" i="1"/>
  <c r="E323" i="1"/>
  <c r="D559" i="1"/>
  <c r="E558" i="1"/>
  <c r="S409" i="1"/>
  <c r="S478" i="1"/>
  <c r="S480" i="1"/>
  <c r="D234" i="1"/>
  <c r="E233" i="1"/>
  <c r="C26" i="3"/>
  <c r="Q28" i="3"/>
  <c r="P28" i="3"/>
  <c r="D28" i="3"/>
  <c r="E28" i="3"/>
  <c r="S27" i="3"/>
  <c r="T27" i="3"/>
  <c r="R27" i="3"/>
  <c r="B28" i="3"/>
  <c r="I29" i="3"/>
  <c r="E28" i="1"/>
  <c r="D29" i="1"/>
  <c r="F28" i="3" l="1"/>
  <c r="M29" i="3"/>
  <c r="N29" i="3"/>
  <c r="C36" i="1"/>
  <c r="S35" i="1"/>
  <c r="D395" i="1"/>
  <c r="E394" i="1"/>
  <c r="D471" i="1"/>
  <c r="E470" i="1"/>
  <c r="D325" i="1"/>
  <c r="E324" i="1"/>
  <c r="D560" i="1"/>
  <c r="E559" i="1"/>
  <c r="S412" i="1"/>
  <c r="S479" i="1"/>
  <c r="S481" i="1"/>
  <c r="D235" i="1"/>
  <c r="E234" i="1"/>
  <c r="C27" i="3"/>
  <c r="Q29" i="3"/>
  <c r="P29" i="3"/>
  <c r="E29" i="3"/>
  <c r="D29" i="3"/>
  <c r="S28" i="3"/>
  <c r="T28" i="3"/>
  <c r="R28" i="3"/>
  <c r="I30" i="3"/>
  <c r="B29" i="3"/>
  <c r="E29" i="1"/>
  <c r="D30" i="1"/>
  <c r="F29" i="3" l="1"/>
  <c r="M30" i="3"/>
  <c r="N30" i="3"/>
  <c r="C37" i="1"/>
  <c r="S36" i="1"/>
  <c r="D396" i="1"/>
  <c r="E395" i="1"/>
  <c r="D472" i="1"/>
  <c r="E471" i="1"/>
  <c r="D326" i="1"/>
  <c r="E325" i="1"/>
  <c r="D561" i="1"/>
  <c r="E560" i="1"/>
  <c r="S414" i="1"/>
  <c r="S482" i="1"/>
  <c r="D236" i="1"/>
  <c r="E235" i="1"/>
  <c r="C28" i="3"/>
  <c r="Q30" i="3"/>
  <c r="P30" i="3"/>
  <c r="E30" i="3"/>
  <c r="D30" i="3"/>
  <c r="S29" i="3"/>
  <c r="R29" i="3"/>
  <c r="T29" i="3"/>
  <c r="I31" i="3"/>
  <c r="B30" i="3"/>
  <c r="E30" i="1"/>
  <c r="D31" i="1"/>
  <c r="F30" i="3" l="1"/>
  <c r="N31" i="3"/>
  <c r="M31" i="3"/>
  <c r="C38" i="1"/>
  <c r="S37" i="1"/>
  <c r="D397" i="1"/>
  <c r="E396" i="1"/>
  <c r="D473" i="1"/>
  <c r="E472" i="1"/>
  <c r="D327" i="1"/>
  <c r="E326" i="1"/>
  <c r="D562" i="1"/>
  <c r="E561" i="1"/>
  <c r="S417" i="1"/>
  <c r="S484" i="1"/>
  <c r="S487" i="1"/>
  <c r="D237" i="1"/>
  <c r="E236" i="1"/>
  <c r="C29" i="3"/>
  <c r="Q31" i="3"/>
  <c r="P31" i="3"/>
  <c r="D31" i="3"/>
  <c r="E31" i="3"/>
  <c r="S30" i="3"/>
  <c r="T30" i="3"/>
  <c r="R30" i="3"/>
  <c r="I32" i="3"/>
  <c r="B31" i="3"/>
  <c r="E31" i="1"/>
  <c r="D32" i="1"/>
  <c r="F31" i="3" l="1"/>
  <c r="N32" i="3"/>
  <c r="M32" i="3"/>
  <c r="C39" i="1"/>
  <c r="S38" i="1"/>
  <c r="D398" i="1"/>
  <c r="E397" i="1"/>
  <c r="D474" i="1"/>
  <c r="E473" i="1"/>
  <c r="D328" i="1"/>
  <c r="E327" i="1"/>
  <c r="D563" i="1"/>
  <c r="E562" i="1"/>
  <c r="S421" i="1"/>
  <c r="S485" i="1"/>
  <c r="S490" i="1"/>
  <c r="D238" i="1"/>
  <c r="E237" i="1"/>
  <c r="C30" i="3"/>
  <c r="Q32" i="3"/>
  <c r="P32" i="3"/>
  <c r="D32" i="3"/>
  <c r="E32" i="3"/>
  <c r="S31" i="3"/>
  <c r="R31" i="3"/>
  <c r="T31" i="3"/>
  <c r="I33" i="3"/>
  <c r="B32" i="3"/>
  <c r="E32" i="1"/>
  <c r="D33" i="1"/>
  <c r="F32" i="3" l="1"/>
  <c r="C40" i="1"/>
  <c r="S39" i="1"/>
  <c r="M33" i="3"/>
  <c r="N33" i="3"/>
  <c r="D399" i="1"/>
  <c r="E398" i="1"/>
  <c r="D475" i="1"/>
  <c r="E474" i="1"/>
  <c r="D329" i="1"/>
  <c r="E328" i="1"/>
  <c r="D564" i="1"/>
  <c r="E563" i="1"/>
  <c r="S422" i="1"/>
  <c r="S491" i="1"/>
  <c r="S498" i="1"/>
  <c r="D239" i="1"/>
  <c r="E238" i="1"/>
  <c r="C31" i="3"/>
  <c r="Q33" i="3"/>
  <c r="P33" i="3"/>
  <c r="E33" i="3"/>
  <c r="D33" i="3"/>
  <c r="S32" i="3"/>
  <c r="T32" i="3"/>
  <c r="R32" i="3"/>
  <c r="I34" i="3"/>
  <c r="B33" i="3"/>
  <c r="E33" i="1"/>
  <c r="D34" i="1"/>
  <c r="C41" i="1" l="1"/>
  <c r="S40" i="1"/>
  <c r="F33" i="3"/>
  <c r="N34" i="3"/>
  <c r="M34" i="3"/>
  <c r="D400" i="1"/>
  <c r="E399" i="1"/>
  <c r="D476" i="1"/>
  <c r="E475" i="1"/>
  <c r="D330" i="1"/>
  <c r="E329" i="1"/>
  <c r="D565" i="1"/>
  <c r="E564" i="1"/>
  <c r="S424" i="1"/>
  <c r="S492" i="1"/>
  <c r="S502" i="1"/>
  <c r="D240" i="1"/>
  <c r="E239" i="1"/>
  <c r="C32" i="3"/>
  <c r="Q34" i="3"/>
  <c r="P34" i="3"/>
  <c r="E34" i="3"/>
  <c r="D34" i="3"/>
  <c r="S33" i="3"/>
  <c r="R33" i="3"/>
  <c r="T33" i="3"/>
  <c r="B34" i="3"/>
  <c r="I35" i="3"/>
  <c r="E34" i="1"/>
  <c r="D35" i="1"/>
  <c r="C42" i="1" l="1"/>
  <c r="S41" i="1"/>
  <c r="F34" i="3"/>
  <c r="M35" i="3"/>
  <c r="N35" i="3"/>
  <c r="D401" i="1"/>
  <c r="E400" i="1"/>
  <c r="D477" i="1"/>
  <c r="E476" i="1"/>
  <c r="D331" i="1"/>
  <c r="E330" i="1"/>
  <c r="D566" i="1"/>
  <c r="E565" i="1"/>
  <c r="S426" i="1"/>
  <c r="S493" i="1"/>
  <c r="S509" i="1"/>
  <c r="D241" i="1"/>
  <c r="E240" i="1"/>
  <c r="C33" i="3"/>
  <c r="Q35" i="3"/>
  <c r="P35" i="3"/>
  <c r="D35" i="3"/>
  <c r="E35" i="3"/>
  <c r="S34" i="3"/>
  <c r="T34" i="3"/>
  <c r="R34" i="3"/>
  <c r="I36" i="3"/>
  <c r="B35" i="3"/>
  <c r="E35" i="1"/>
  <c r="D36" i="1"/>
  <c r="C43" i="1" l="1"/>
  <c r="S42" i="1"/>
  <c r="F35" i="3"/>
  <c r="N36" i="3"/>
  <c r="M36" i="3"/>
  <c r="D402" i="1"/>
  <c r="E401" i="1"/>
  <c r="D478" i="1"/>
  <c r="E477" i="1"/>
  <c r="D332" i="1"/>
  <c r="E331" i="1"/>
  <c r="D567" i="1"/>
  <c r="E566" i="1"/>
  <c r="S427" i="1"/>
  <c r="S494" i="1"/>
  <c r="S513" i="1"/>
  <c r="D242" i="1"/>
  <c r="E241" i="1"/>
  <c r="C34" i="3"/>
  <c r="Q36" i="3"/>
  <c r="P36" i="3"/>
  <c r="E36" i="3"/>
  <c r="D36" i="3"/>
  <c r="S35" i="3"/>
  <c r="T35" i="3"/>
  <c r="R35" i="3"/>
  <c r="I37" i="3"/>
  <c r="B36" i="3"/>
  <c r="E36" i="1"/>
  <c r="D37" i="1"/>
  <c r="C44" i="1" l="1"/>
  <c r="S43" i="1"/>
  <c r="F36" i="3"/>
  <c r="N37" i="3"/>
  <c r="M37" i="3"/>
  <c r="D403" i="1"/>
  <c r="E402" i="1"/>
  <c r="D479" i="1"/>
  <c r="E478" i="1"/>
  <c r="D333" i="1"/>
  <c r="E332" i="1"/>
  <c r="D568" i="1"/>
  <c r="E567" i="1"/>
  <c r="S428" i="1"/>
  <c r="S495" i="1"/>
  <c r="S514" i="1"/>
  <c r="D243" i="1"/>
  <c r="E242" i="1"/>
  <c r="C35" i="3"/>
  <c r="S36" i="3"/>
  <c r="T36" i="3"/>
  <c r="R36" i="3"/>
  <c r="Q37" i="3"/>
  <c r="P37" i="3"/>
  <c r="D37" i="3"/>
  <c r="E37" i="3"/>
  <c r="B37" i="3"/>
  <c r="I38" i="3"/>
  <c r="E37" i="1"/>
  <c r="D38" i="1"/>
  <c r="C45" i="1" l="1"/>
  <c r="S44" i="1"/>
  <c r="S48" i="1"/>
  <c r="F37" i="3"/>
  <c r="N38" i="3"/>
  <c r="M38" i="3"/>
  <c r="D404" i="1"/>
  <c r="E403" i="1"/>
  <c r="D480" i="1"/>
  <c r="E479" i="1"/>
  <c r="D334" i="1"/>
  <c r="E333" i="1"/>
  <c r="D569" i="1"/>
  <c r="E568" i="1"/>
  <c r="S430" i="1"/>
  <c r="S497" i="1"/>
  <c r="S519" i="1"/>
  <c r="D244" i="1"/>
  <c r="E243" i="1"/>
  <c r="C36" i="3"/>
  <c r="S37" i="3"/>
  <c r="R37" i="3"/>
  <c r="T37" i="3"/>
  <c r="Q38" i="3"/>
  <c r="P38" i="3"/>
  <c r="E38" i="3"/>
  <c r="D38" i="3"/>
  <c r="I39" i="3"/>
  <c r="B38" i="3"/>
  <c r="E38" i="1"/>
  <c r="D39" i="1"/>
  <c r="C46" i="1" l="1"/>
  <c r="C47" i="1" s="1"/>
  <c r="S45" i="1"/>
  <c r="F38" i="3"/>
  <c r="M39" i="3"/>
  <c r="N39" i="3"/>
  <c r="D405" i="1"/>
  <c r="E404" i="1"/>
  <c r="D481" i="1"/>
  <c r="E480" i="1"/>
  <c r="D335" i="1"/>
  <c r="E334" i="1"/>
  <c r="D570" i="1"/>
  <c r="E569" i="1"/>
  <c r="S431" i="1"/>
  <c r="S503" i="1"/>
  <c r="S523" i="1"/>
  <c r="D245" i="1"/>
  <c r="E244" i="1"/>
  <c r="C37" i="3"/>
  <c r="S38" i="3"/>
  <c r="T38" i="3"/>
  <c r="R38" i="3"/>
  <c r="Q39" i="3"/>
  <c r="P39" i="3"/>
  <c r="D39" i="3"/>
  <c r="E39" i="3"/>
  <c r="K35" i="3"/>
  <c r="I40" i="3"/>
  <c r="B39" i="3"/>
  <c r="E39" i="1"/>
  <c r="D40" i="1"/>
  <c r="C48" i="1" l="1"/>
  <c r="C49" i="1" s="1"/>
  <c r="S47" i="1"/>
  <c r="F39" i="3"/>
  <c r="M40" i="3"/>
  <c r="N40" i="3"/>
  <c r="D406" i="1"/>
  <c r="E405" i="1"/>
  <c r="D482" i="1"/>
  <c r="E481" i="1"/>
  <c r="D336" i="1"/>
  <c r="E335" i="1"/>
  <c r="D571" i="1"/>
  <c r="E570" i="1"/>
  <c r="S432" i="1"/>
  <c r="S504" i="1"/>
  <c r="S527" i="1"/>
  <c r="D246" i="1"/>
  <c r="E245" i="1"/>
  <c r="C38" i="3"/>
  <c r="S39" i="3"/>
  <c r="T39" i="3"/>
  <c r="R39" i="3"/>
  <c r="Q40" i="3"/>
  <c r="P40" i="3"/>
  <c r="E40" i="3"/>
  <c r="D40" i="3"/>
  <c r="K36" i="3"/>
  <c r="J36" i="3" s="1"/>
  <c r="A36" i="3" s="1"/>
  <c r="B40" i="3"/>
  <c r="I41" i="3"/>
  <c r="E40" i="1"/>
  <c r="D41" i="1"/>
  <c r="S49" i="1" l="1"/>
  <c r="C50" i="1"/>
  <c r="F40" i="3"/>
  <c r="I42" i="3"/>
  <c r="I43" i="3" s="1"/>
  <c r="M41" i="3"/>
  <c r="N41" i="3"/>
  <c r="D407" i="1"/>
  <c r="E406" i="1"/>
  <c r="D483" i="1"/>
  <c r="E482" i="1"/>
  <c r="D337" i="1"/>
  <c r="E336" i="1"/>
  <c r="D572" i="1"/>
  <c r="E571" i="1"/>
  <c r="S434" i="1"/>
  <c r="S507" i="1"/>
  <c r="S532" i="1"/>
  <c r="D247" i="1"/>
  <c r="E246" i="1"/>
  <c r="C39" i="3"/>
  <c r="S40" i="3"/>
  <c r="T40" i="3"/>
  <c r="R40" i="3"/>
  <c r="Q41" i="3"/>
  <c r="P41" i="3"/>
  <c r="E41" i="3"/>
  <c r="D41" i="3"/>
  <c r="K37" i="3"/>
  <c r="J37" i="3" s="1"/>
  <c r="A37" i="3" s="1"/>
  <c r="B41" i="3"/>
  <c r="E41" i="1"/>
  <c r="D42" i="1"/>
  <c r="K38" i="3" s="1"/>
  <c r="C51" i="1" l="1"/>
  <c r="S50" i="1"/>
  <c r="D42" i="3"/>
  <c r="F41" i="3"/>
  <c r="E42" i="3"/>
  <c r="Q42" i="3"/>
  <c r="R42" i="3" s="1"/>
  <c r="B42" i="3"/>
  <c r="K42" i="3"/>
  <c r="P42" i="3"/>
  <c r="N43" i="3"/>
  <c r="M43" i="3"/>
  <c r="N42" i="3"/>
  <c r="M42" i="3"/>
  <c r="D408" i="1"/>
  <c r="E407" i="1"/>
  <c r="D484" i="1"/>
  <c r="E483" i="1"/>
  <c r="D338" i="1"/>
  <c r="E337" i="1"/>
  <c r="D573" i="1"/>
  <c r="E572" i="1"/>
  <c r="I44" i="3"/>
  <c r="P43" i="3"/>
  <c r="Q43" i="3"/>
  <c r="B43" i="3"/>
  <c r="E43" i="3"/>
  <c r="D43" i="3"/>
  <c r="K43" i="3"/>
  <c r="S435" i="1"/>
  <c r="S508" i="1"/>
  <c r="S534" i="1"/>
  <c r="D248" i="1"/>
  <c r="E247" i="1"/>
  <c r="C40" i="3"/>
  <c r="S41" i="3"/>
  <c r="R41" i="3"/>
  <c r="T41" i="3"/>
  <c r="J38" i="3"/>
  <c r="A38" i="3" s="1"/>
  <c r="E42" i="1"/>
  <c r="D43" i="1"/>
  <c r="K39" i="3" s="1"/>
  <c r="J39" i="3" s="1"/>
  <c r="A39" i="3" s="1"/>
  <c r="C52" i="1" l="1"/>
  <c r="S51" i="1"/>
  <c r="F42" i="3"/>
  <c r="F43" i="3"/>
  <c r="S42" i="3"/>
  <c r="T42" i="3"/>
  <c r="N44" i="3"/>
  <c r="M44" i="3"/>
  <c r="D409" i="1"/>
  <c r="E408" i="1"/>
  <c r="D485" i="1"/>
  <c r="E484" i="1"/>
  <c r="D339" i="1"/>
  <c r="E338" i="1"/>
  <c r="D574" i="1"/>
  <c r="E573" i="1"/>
  <c r="C42" i="3"/>
  <c r="D44" i="3"/>
  <c r="K44" i="3"/>
  <c r="I45" i="3"/>
  <c r="P44" i="3"/>
  <c r="Q44" i="3"/>
  <c r="B44" i="3"/>
  <c r="E44" i="3"/>
  <c r="J43" i="3"/>
  <c r="A43" i="3" s="1"/>
  <c r="S43" i="3"/>
  <c r="T43" i="3"/>
  <c r="R43" i="3"/>
  <c r="C43" i="3" s="1"/>
  <c r="S436" i="1"/>
  <c r="S511" i="1"/>
  <c r="D249" i="1"/>
  <c r="E248" i="1"/>
  <c r="C41" i="3"/>
  <c r="E43" i="1"/>
  <c r="D44" i="1"/>
  <c r="K40" i="3" s="1"/>
  <c r="C53" i="1" l="1"/>
  <c r="S52" i="1"/>
  <c r="S55" i="1"/>
  <c r="F44" i="3"/>
  <c r="N45" i="3"/>
  <c r="M45" i="3"/>
  <c r="D410" i="1"/>
  <c r="E409" i="1"/>
  <c r="D486" i="1"/>
  <c r="E485" i="1"/>
  <c r="D340" i="1"/>
  <c r="E339" i="1"/>
  <c r="D575" i="1"/>
  <c r="E574" i="1"/>
  <c r="R44" i="3"/>
  <c r="S44" i="3"/>
  <c r="T44" i="3"/>
  <c r="C44" i="3" s="1"/>
  <c r="Q45" i="3"/>
  <c r="E45" i="3"/>
  <c r="B45" i="3"/>
  <c r="D45" i="3"/>
  <c r="K45" i="3"/>
  <c r="I46" i="3"/>
  <c r="P45" i="3"/>
  <c r="J44" i="3"/>
  <c r="A44" i="3" s="1"/>
  <c r="S439" i="1"/>
  <c r="S515" i="1"/>
  <c r="D250" i="1"/>
  <c r="E249" i="1"/>
  <c r="J40" i="3"/>
  <c r="A40" i="3" s="1"/>
  <c r="E44" i="1"/>
  <c r="D45" i="1"/>
  <c r="K41" i="3" s="1"/>
  <c r="C54" i="1" l="1"/>
  <c r="S53" i="1"/>
  <c r="S57" i="1"/>
  <c r="F45" i="3"/>
  <c r="M46" i="3"/>
  <c r="N46" i="3"/>
  <c r="D411" i="1"/>
  <c r="E410" i="1"/>
  <c r="D487" i="1"/>
  <c r="E486" i="1"/>
  <c r="D341" i="1"/>
  <c r="E340" i="1"/>
  <c r="D576" i="1"/>
  <c r="E575" i="1"/>
  <c r="S45" i="3"/>
  <c r="R45" i="3"/>
  <c r="C45" i="3" s="1"/>
  <c r="T45" i="3"/>
  <c r="J41" i="3"/>
  <c r="A41" i="3" s="1"/>
  <c r="J42" i="3"/>
  <c r="A42" i="3" s="1"/>
  <c r="B46" i="3"/>
  <c r="D46" i="3"/>
  <c r="K46" i="3"/>
  <c r="P46" i="3"/>
  <c r="E46" i="3"/>
  <c r="I47" i="3"/>
  <c r="Q46" i="3"/>
  <c r="J45" i="3"/>
  <c r="A45" i="3" s="1"/>
  <c r="S440" i="1"/>
  <c r="S516" i="1"/>
  <c r="D251" i="1"/>
  <c r="E250" i="1"/>
  <c r="E45" i="1"/>
  <c r="D46" i="1"/>
  <c r="C55" i="1" l="1"/>
  <c r="C56" i="1" s="1"/>
  <c r="S54" i="1"/>
  <c r="F46" i="3"/>
  <c r="N47" i="3"/>
  <c r="M47" i="3"/>
  <c r="D412" i="1"/>
  <c r="E411" i="1"/>
  <c r="D488" i="1"/>
  <c r="E487" i="1"/>
  <c r="D342" i="1"/>
  <c r="E341" i="1"/>
  <c r="D577" i="1"/>
  <c r="E576" i="1"/>
  <c r="E47" i="3"/>
  <c r="P47" i="3"/>
  <c r="B47" i="3"/>
  <c r="D47" i="3"/>
  <c r="K47" i="3"/>
  <c r="J47" i="3" s="1"/>
  <c r="A47" i="3" s="1"/>
  <c r="I48" i="3"/>
  <c r="Q47" i="3"/>
  <c r="S46" i="3"/>
  <c r="R46" i="3"/>
  <c r="T46" i="3"/>
  <c r="J46" i="3"/>
  <c r="A46" i="3" s="1"/>
  <c r="S442" i="1"/>
  <c r="S517" i="1"/>
  <c r="D252" i="1"/>
  <c r="E251" i="1"/>
  <c r="E46" i="1"/>
  <c r="D47" i="1"/>
  <c r="S56" i="1" l="1"/>
  <c r="C57" i="1"/>
  <c r="C58" i="1" s="1"/>
  <c r="S60" i="1"/>
  <c r="F47" i="3"/>
  <c r="M48" i="3"/>
  <c r="N48" i="3"/>
  <c r="D413" i="1"/>
  <c r="E412" i="1"/>
  <c r="D489" i="1"/>
  <c r="E488" i="1"/>
  <c r="D343" i="1"/>
  <c r="E342" i="1"/>
  <c r="D578" i="1"/>
  <c r="E577" i="1"/>
  <c r="C46" i="3"/>
  <c r="R47" i="3"/>
  <c r="S47" i="3"/>
  <c r="T47" i="3"/>
  <c r="E48" i="3"/>
  <c r="I49" i="3"/>
  <c r="Q48" i="3"/>
  <c r="D48" i="3"/>
  <c r="K48" i="3"/>
  <c r="J48" i="3" s="1"/>
  <c r="A48" i="3" s="1"/>
  <c r="P48" i="3"/>
  <c r="B48" i="3"/>
  <c r="C47" i="3"/>
  <c r="S447" i="1"/>
  <c r="S518" i="1"/>
  <c r="D253" i="1"/>
  <c r="E252" i="1"/>
  <c r="E47" i="1"/>
  <c r="D48" i="1"/>
  <c r="S58" i="1" l="1"/>
  <c r="C59" i="1"/>
  <c r="F48" i="3"/>
  <c r="M49" i="3"/>
  <c r="N49" i="3"/>
  <c r="D414" i="1"/>
  <c r="E413" i="1"/>
  <c r="D490" i="1"/>
  <c r="E489" i="1"/>
  <c r="D344" i="1"/>
  <c r="E343" i="1"/>
  <c r="C48" i="3"/>
  <c r="D579" i="1"/>
  <c r="E578" i="1"/>
  <c r="S48" i="3"/>
  <c r="T48" i="3"/>
  <c r="R48" i="3"/>
  <c r="I50" i="3"/>
  <c r="P49" i="3"/>
  <c r="B49" i="3"/>
  <c r="D49" i="3"/>
  <c r="Q49" i="3"/>
  <c r="E49" i="3"/>
  <c r="K49" i="3"/>
  <c r="J49" i="3" s="1"/>
  <c r="A49" i="3" s="1"/>
  <c r="S449" i="1"/>
  <c r="S520" i="1"/>
  <c r="D254" i="1"/>
  <c r="E253" i="1"/>
  <c r="E48" i="1"/>
  <c r="D49" i="1"/>
  <c r="C60" i="1" l="1"/>
  <c r="C61" i="1" s="1"/>
  <c r="S59" i="1"/>
  <c r="S63" i="1"/>
  <c r="F49" i="3"/>
  <c r="N50" i="3"/>
  <c r="M50" i="3"/>
  <c r="D415" i="1"/>
  <c r="E414" i="1"/>
  <c r="D491" i="1"/>
  <c r="E490" i="1"/>
  <c r="D345" i="1"/>
  <c r="E344" i="1"/>
  <c r="D580" i="1"/>
  <c r="E579" i="1"/>
  <c r="R49" i="3"/>
  <c r="T49" i="3"/>
  <c r="S49" i="3"/>
  <c r="K50" i="3"/>
  <c r="J50" i="3" s="1"/>
  <c r="A50" i="3" s="1"/>
  <c r="P50" i="3"/>
  <c r="Q50" i="3"/>
  <c r="B50" i="3"/>
  <c r="D50" i="3"/>
  <c r="E50" i="3"/>
  <c r="I51" i="3"/>
  <c r="S450" i="1"/>
  <c r="S521" i="1"/>
  <c r="D255" i="1"/>
  <c r="E254" i="1"/>
  <c r="E49" i="1"/>
  <c r="D50" i="1"/>
  <c r="S61" i="1" l="1"/>
  <c r="C62" i="1"/>
  <c r="S64" i="1"/>
  <c r="F50" i="3"/>
  <c r="M51" i="3"/>
  <c r="N51" i="3"/>
  <c r="D416" i="1"/>
  <c r="E415" i="1"/>
  <c r="D492" i="1"/>
  <c r="E491" i="1"/>
  <c r="D346" i="1"/>
  <c r="E345" i="1"/>
  <c r="D581" i="1"/>
  <c r="E580" i="1"/>
  <c r="C49" i="3"/>
  <c r="T50" i="3"/>
  <c r="R50" i="3"/>
  <c r="S50" i="3"/>
  <c r="I52" i="3"/>
  <c r="P51" i="3"/>
  <c r="Q51" i="3"/>
  <c r="B51" i="3"/>
  <c r="E51" i="3"/>
  <c r="D51" i="3"/>
  <c r="K51" i="3"/>
  <c r="S459" i="1"/>
  <c r="S524" i="1"/>
  <c r="D256" i="1"/>
  <c r="E255" i="1"/>
  <c r="E50" i="1"/>
  <c r="D51" i="1"/>
  <c r="C63" i="1" l="1"/>
  <c r="C64" i="1" s="1"/>
  <c r="C65" i="1" s="1"/>
  <c r="C66" i="1" s="1"/>
  <c r="S62" i="1"/>
  <c r="S65" i="1"/>
  <c r="F51" i="3"/>
  <c r="N52" i="3"/>
  <c r="M52" i="3"/>
  <c r="D417" i="1"/>
  <c r="E416" i="1"/>
  <c r="D493" i="1"/>
  <c r="E492" i="1"/>
  <c r="D347" i="1"/>
  <c r="E346" i="1"/>
  <c r="C50" i="3"/>
  <c r="D582" i="1"/>
  <c r="E581" i="1"/>
  <c r="D52" i="3"/>
  <c r="K52" i="3"/>
  <c r="J52" i="3" s="1"/>
  <c r="A52" i="3" s="1"/>
  <c r="I53" i="3"/>
  <c r="P52" i="3"/>
  <c r="Q52" i="3"/>
  <c r="B52" i="3"/>
  <c r="E52" i="3"/>
  <c r="S51" i="3"/>
  <c r="T51" i="3"/>
  <c r="R51" i="3"/>
  <c r="J51" i="3"/>
  <c r="A51" i="3" s="1"/>
  <c r="S526" i="1"/>
  <c r="D257" i="1"/>
  <c r="E256" i="1"/>
  <c r="E51" i="1"/>
  <c r="D52" i="1"/>
  <c r="C67" i="1" l="1"/>
  <c r="S66" i="1"/>
  <c r="F52" i="3"/>
  <c r="N53" i="3"/>
  <c r="M53" i="3"/>
  <c r="D418" i="1"/>
  <c r="E417" i="1"/>
  <c r="D494" i="1"/>
  <c r="E493" i="1"/>
  <c r="C51" i="3"/>
  <c r="D348" i="1"/>
  <c r="E347" i="1"/>
  <c r="D583" i="1"/>
  <c r="E582" i="1"/>
  <c r="B53" i="3"/>
  <c r="D53" i="3"/>
  <c r="K53" i="3"/>
  <c r="J53" i="3" s="1"/>
  <c r="A53" i="3" s="1"/>
  <c r="I54" i="3"/>
  <c r="P53" i="3"/>
  <c r="Q53" i="3"/>
  <c r="E53" i="3"/>
  <c r="R52" i="3"/>
  <c r="S52" i="3"/>
  <c r="T52" i="3"/>
  <c r="S528" i="1"/>
  <c r="D258" i="1"/>
  <c r="E257" i="1"/>
  <c r="E52" i="1"/>
  <c r="D53" i="1"/>
  <c r="C68" i="1" l="1"/>
  <c r="C69" i="1" s="1"/>
  <c r="C70" i="1" s="1"/>
  <c r="S67" i="1"/>
  <c r="F53" i="3"/>
  <c r="N54" i="3"/>
  <c r="M54" i="3"/>
  <c r="D419" i="1"/>
  <c r="E418" i="1"/>
  <c r="D495" i="1"/>
  <c r="E494" i="1"/>
  <c r="D349" i="1"/>
  <c r="E348" i="1"/>
  <c r="C52" i="3"/>
  <c r="D584" i="1"/>
  <c r="E583" i="1"/>
  <c r="R53" i="3"/>
  <c r="S53" i="3"/>
  <c r="T53" i="3"/>
  <c r="E54" i="3"/>
  <c r="I55" i="3"/>
  <c r="K54" i="3"/>
  <c r="P54" i="3"/>
  <c r="Q54" i="3"/>
  <c r="B54" i="3"/>
  <c r="D54" i="3"/>
  <c r="S529" i="1"/>
  <c r="D259" i="1"/>
  <c r="E258" i="1"/>
  <c r="E53" i="1"/>
  <c r="D54" i="1"/>
  <c r="S70" i="1" l="1"/>
  <c r="C71" i="1"/>
  <c r="F54" i="3"/>
  <c r="M55" i="3"/>
  <c r="N55" i="3"/>
  <c r="D420" i="1"/>
  <c r="E419" i="1"/>
  <c r="D496" i="1"/>
  <c r="E495" i="1"/>
  <c r="D350" i="1"/>
  <c r="E349" i="1"/>
  <c r="C53" i="3"/>
  <c r="D585" i="1"/>
  <c r="E584" i="1"/>
  <c r="T54" i="3"/>
  <c r="R54" i="3"/>
  <c r="S54" i="3"/>
  <c r="B55" i="3"/>
  <c r="E55" i="3"/>
  <c r="D55" i="3"/>
  <c r="K55" i="3"/>
  <c r="J55" i="3" s="1"/>
  <c r="A55" i="3" s="1"/>
  <c r="I56" i="3"/>
  <c r="P55" i="3"/>
  <c r="Q55" i="3"/>
  <c r="J54" i="3"/>
  <c r="A54" i="3" s="1"/>
  <c r="S531" i="1"/>
  <c r="D260" i="1"/>
  <c r="E259" i="1"/>
  <c r="E54" i="1"/>
  <c r="D55" i="1"/>
  <c r="C72" i="1" l="1"/>
  <c r="S71" i="1"/>
  <c r="F55" i="3"/>
  <c r="N56" i="3"/>
  <c r="M56" i="3"/>
  <c r="C54" i="3"/>
  <c r="D421" i="1"/>
  <c r="E420" i="1"/>
  <c r="D497" i="1"/>
  <c r="E496" i="1"/>
  <c r="D351" i="1"/>
  <c r="E350" i="1"/>
  <c r="D586" i="1"/>
  <c r="E585" i="1"/>
  <c r="I57" i="3"/>
  <c r="P56" i="3"/>
  <c r="Q56" i="3"/>
  <c r="B56" i="3"/>
  <c r="E56" i="3"/>
  <c r="D56" i="3"/>
  <c r="K56" i="3"/>
  <c r="J56" i="3" s="1"/>
  <c r="A56" i="3" s="1"/>
  <c r="T55" i="3"/>
  <c r="R55" i="3"/>
  <c r="C55" i="3" s="1"/>
  <c r="S55" i="3"/>
  <c r="S533" i="1"/>
  <c r="D261" i="1"/>
  <c r="E260" i="1"/>
  <c r="E55" i="1"/>
  <c r="D56" i="1"/>
  <c r="C73" i="1" l="1"/>
  <c r="S72" i="1"/>
  <c r="S75" i="1"/>
  <c r="F56" i="3"/>
  <c r="M57" i="3"/>
  <c r="N57" i="3"/>
  <c r="D422" i="1"/>
  <c r="E421" i="1"/>
  <c r="D498" i="1"/>
  <c r="E497" i="1"/>
  <c r="D352" i="1"/>
  <c r="E351" i="1"/>
  <c r="D587" i="1"/>
  <c r="E586" i="1"/>
  <c r="R56" i="3"/>
  <c r="S56" i="3"/>
  <c r="T56" i="3"/>
  <c r="C56" i="3" s="1"/>
  <c r="B57" i="3"/>
  <c r="D57" i="3"/>
  <c r="P57" i="3"/>
  <c r="I58" i="3"/>
  <c r="E57" i="3"/>
  <c r="Q57" i="3"/>
  <c r="K57" i="3"/>
  <c r="J57" i="3" s="1"/>
  <c r="A57" i="3" s="1"/>
  <c r="S537" i="1"/>
  <c r="D262" i="1"/>
  <c r="E261" i="1"/>
  <c r="E56" i="1"/>
  <c r="D57" i="1"/>
  <c r="C74" i="1" l="1"/>
  <c r="S73" i="1"/>
  <c r="F57" i="3"/>
  <c r="N58" i="3"/>
  <c r="M58" i="3"/>
  <c r="D423" i="1"/>
  <c r="E422" i="1"/>
  <c r="D499" i="1"/>
  <c r="E498" i="1"/>
  <c r="D353" i="1"/>
  <c r="E352" i="1"/>
  <c r="D588" i="1"/>
  <c r="E587" i="1"/>
  <c r="R57" i="3"/>
  <c r="S57" i="3"/>
  <c r="T57" i="3"/>
  <c r="P58" i="3"/>
  <c r="Q58" i="3"/>
  <c r="B58" i="3"/>
  <c r="D58" i="3"/>
  <c r="E58" i="3"/>
  <c r="I59" i="3"/>
  <c r="K58" i="3"/>
  <c r="S538" i="1"/>
  <c r="D263" i="1"/>
  <c r="E262" i="1"/>
  <c r="E57" i="1"/>
  <c r="D58" i="1"/>
  <c r="C75" i="1" l="1"/>
  <c r="C76" i="1" s="1"/>
  <c r="S74" i="1"/>
  <c r="F58" i="3"/>
  <c r="N59" i="3"/>
  <c r="M59" i="3"/>
  <c r="D424" i="1"/>
  <c r="E423" i="1"/>
  <c r="D500" i="1"/>
  <c r="E499" i="1"/>
  <c r="D354" i="1"/>
  <c r="E353" i="1"/>
  <c r="C57" i="3"/>
  <c r="D589" i="1"/>
  <c r="E588" i="1"/>
  <c r="R58" i="3"/>
  <c r="T58" i="3"/>
  <c r="S58" i="3"/>
  <c r="J58" i="3"/>
  <c r="A58" i="3" s="1"/>
  <c r="D59" i="3"/>
  <c r="K59" i="3"/>
  <c r="J59" i="3" s="1"/>
  <c r="A59" i="3" s="1"/>
  <c r="I60" i="3"/>
  <c r="P59" i="3"/>
  <c r="Q59" i="3"/>
  <c r="B59" i="3"/>
  <c r="E59" i="3"/>
  <c r="S546" i="1"/>
  <c r="D264" i="1"/>
  <c r="E263" i="1"/>
  <c r="E58" i="1"/>
  <c r="D59" i="1"/>
  <c r="S76" i="1" l="1"/>
  <c r="C77" i="1"/>
  <c r="F59" i="3"/>
  <c r="N60" i="3"/>
  <c r="M60" i="3"/>
  <c r="D425" i="1"/>
  <c r="E424" i="1"/>
  <c r="D501" i="1"/>
  <c r="E500" i="1"/>
  <c r="D355" i="1"/>
  <c r="E354" i="1"/>
  <c r="C58" i="3"/>
  <c r="D590" i="1"/>
  <c r="E589" i="1"/>
  <c r="D60" i="3"/>
  <c r="P60" i="3"/>
  <c r="I61" i="3"/>
  <c r="Q60" i="3"/>
  <c r="B60" i="3"/>
  <c r="E60" i="3"/>
  <c r="K60" i="3"/>
  <c r="J60" i="3" s="1"/>
  <c r="A60" i="3" s="1"/>
  <c r="S59" i="3"/>
  <c r="T59" i="3"/>
  <c r="R59" i="3"/>
  <c r="S547" i="1"/>
  <c r="D265" i="1"/>
  <c r="E264" i="1"/>
  <c r="E59" i="1"/>
  <c r="D60" i="1"/>
  <c r="C78" i="1" l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S77" i="1"/>
  <c r="F60" i="3"/>
  <c r="M61" i="3"/>
  <c r="N61" i="3"/>
  <c r="D426" i="1"/>
  <c r="E425" i="1"/>
  <c r="D502" i="1"/>
  <c r="E501" i="1"/>
  <c r="D356" i="1"/>
  <c r="E355" i="1"/>
  <c r="C59" i="3"/>
  <c r="D591" i="1"/>
  <c r="E590" i="1"/>
  <c r="E61" i="3"/>
  <c r="I62" i="3"/>
  <c r="K61" i="3"/>
  <c r="J61" i="3" s="1"/>
  <c r="A61" i="3" s="1"/>
  <c r="Q61" i="3"/>
  <c r="P61" i="3"/>
  <c r="B61" i="3"/>
  <c r="D61" i="3"/>
  <c r="R60" i="3"/>
  <c r="S60" i="3"/>
  <c r="T60" i="3"/>
  <c r="S551" i="1"/>
  <c r="D266" i="1"/>
  <c r="E265" i="1"/>
  <c r="E60" i="1"/>
  <c r="D61" i="1"/>
  <c r="F61" i="3" l="1"/>
  <c r="M62" i="3"/>
  <c r="N62" i="3"/>
  <c r="D427" i="1"/>
  <c r="E426" i="1"/>
  <c r="D503" i="1"/>
  <c r="E502" i="1"/>
  <c r="D357" i="1"/>
  <c r="E356" i="1"/>
  <c r="C60" i="3"/>
  <c r="D592" i="1"/>
  <c r="E591" i="1"/>
  <c r="P62" i="3"/>
  <c r="Q62" i="3"/>
  <c r="B62" i="3"/>
  <c r="D62" i="3"/>
  <c r="E62" i="3"/>
  <c r="I63" i="3"/>
  <c r="K62" i="3"/>
  <c r="R61" i="3"/>
  <c r="T61" i="3"/>
  <c r="S61" i="3"/>
  <c r="C553" i="1"/>
  <c r="S552" i="1"/>
  <c r="D267" i="1"/>
  <c r="E266" i="1"/>
  <c r="E61" i="1"/>
  <c r="D62" i="1"/>
  <c r="F62" i="3" l="1"/>
  <c r="N63" i="3"/>
  <c r="M63" i="3"/>
  <c r="D428" i="1"/>
  <c r="E427" i="1"/>
  <c r="D504" i="1"/>
  <c r="E503" i="1"/>
  <c r="D358" i="1"/>
  <c r="E357" i="1"/>
  <c r="C61" i="3"/>
  <c r="D593" i="1"/>
  <c r="E592" i="1"/>
  <c r="D63" i="3"/>
  <c r="P63" i="3"/>
  <c r="Q63" i="3"/>
  <c r="I64" i="3"/>
  <c r="B63" i="3"/>
  <c r="K63" i="3"/>
  <c r="J63" i="3" s="1"/>
  <c r="A63" i="3" s="1"/>
  <c r="E63" i="3"/>
  <c r="S62" i="3"/>
  <c r="C62" i="3" s="1"/>
  <c r="T62" i="3"/>
  <c r="R62" i="3"/>
  <c r="J62" i="3"/>
  <c r="A62" i="3" s="1"/>
  <c r="C554" i="1"/>
  <c r="S553" i="1"/>
  <c r="D268" i="1"/>
  <c r="E267" i="1"/>
  <c r="E62" i="1"/>
  <c r="D63" i="1"/>
  <c r="F63" i="3" l="1"/>
  <c r="M64" i="3"/>
  <c r="N64" i="3"/>
  <c r="D429" i="1"/>
  <c r="E428" i="1"/>
  <c r="D505" i="1"/>
  <c r="E504" i="1"/>
  <c r="D359" i="1"/>
  <c r="E358" i="1"/>
  <c r="D594" i="1"/>
  <c r="E593" i="1"/>
  <c r="Q64" i="3"/>
  <c r="D64" i="3"/>
  <c r="E64" i="3"/>
  <c r="I65" i="3"/>
  <c r="K64" i="3"/>
  <c r="P64" i="3"/>
  <c r="B64" i="3"/>
  <c r="T63" i="3"/>
  <c r="R63" i="3"/>
  <c r="C63" i="3" s="1"/>
  <c r="S63" i="3"/>
  <c r="C555" i="1"/>
  <c r="C556" i="1" s="1"/>
  <c r="S554" i="1"/>
  <c r="D269" i="1"/>
  <c r="E268" i="1"/>
  <c r="E63" i="1"/>
  <c r="D64" i="1"/>
  <c r="F64" i="3" l="1"/>
  <c r="M65" i="3"/>
  <c r="N65" i="3"/>
  <c r="D430" i="1"/>
  <c r="E429" i="1"/>
  <c r="D506" i="1"/>
  <c r="E505" i="1"/>
  <c r="D360" i="1"/>
  <c r="E359" i="1"/>
  <c r="D595" i="1"/>
  <c r="E594" i="1"/>
  <c r="B65" i="3"/>
  <c r="P65" i="3"/>
  <c r="D65" i="3"/>
  <c r="E65" i="3"/>
  <c r="K65" i="3"/>
  <c r="I66" i="3"/>
  <c r="Q65" i="3"/>
  <c r="J64" i="3"/>
  <c r="A64" i="3" s="1"/>
  <c r="T64" i="3"/>
  <c r="S64" i="3"/>
  <c r="R64" i="3"/>
  <c r="C64" i="3" s="1"/>
  <c r="C557" i="1"/>
  <c r="C558" i="1" s="1"/>
  <c r="C559" i="1" s="1"/>
  <c r="S556" i="1"/>
  <c r="D270" i="1"/>
  <c r="E269" i="1"/>
  <c r="E64" i="1"/>
  <c r="D65" i="1"/>
  <c r="F65" i="3" l="1"/>
  <c r="N66" i="3"/>
  <c r="M66" i="3"/>
  <c r="D431" i="1"/>
  <c r="E430" i="1"/>
  <c r="D507" i="1"/>
  <c r="E506" i="1"/>
  <c r="D361" i="1"/>
  <c r="E360" i="1"/>
  <c r="D596" i="1"/>
  <c r="E595" i="1"/>
  <c r="J65" i="3"/>
  <c r="A65" i="3" s="1"/>
  <c r="K66" i="3"/>
  <c r="P66" i="3"/>
  <c r="Q66" i="3"/>
  <c r="B66" i="3"/>
  <c r="E66" i="3"/>
  <c r="I67" i="3"/>
  <c r="D66" i="3"/>
  <c r="S65" i="3"/>
  <c r="R65" i="3"/>
  <c r="T65" i="3"/>
  <c r="C560" i="1"/>
  <c r="S559" i="1"/>
  <c r="D271" i="1"/>
  <c r="E270" i="1"/>
  <c r="E65" i="1"/>
  <c r="D66" i="1"/>
  <c r="F66" i="3" l="1"/>
  <c r="M67" i="3"/>
  <c r="N67" i="3"/>
  <c r="D432" i="1"/>
  <c r="E431" i="1"/>
  <c r="D508" i="1"/>
  <c r="E507" i="1"/>
  <c r="D362" i="1"/>
  <c r="E361" i="1"/>
  <c r="D597" i="1"/>
  <c r="E596" i="1"/>
  <c r="C65" i="3"/>
  <c r="B67" i="3"/>
  <c r="E67" i="3"/>
  <c r="K67" i="3"/>
  <c r="J67" i="3" s="1"/>
  <c r="A67" i="3" s="1"/>
  <c r="P67" i="3"/>
  <c r="I68" i="3"/>
  <c r="Q67" i="3"/>
  <c r="D67" i="3"/>
  <c r="R66" i="3"/>
  <c r="C66" i="3" s="1"/>
  <c r="T66" i="3"/>
  <c r="S66" i="3"/>
  <c r="J66" i="3"/>
  <c r="A66" i="3" s="1"/>
  <c r="C561" i="1"/>
  <c r="C562" i="1" s="1"/>
  <c r="C563" i="1" s="1"/>
  <c r="S560" i="1"/>
  <c r="D272" i="1"/>
  <c r="E271" i="1"/>
  <c r="E66" i="1"/>
  <c r="D67" i="1"/>
  <c r="F67" i="3" l="1"/>
  <c r="N68" i="3"/>
  <c r="M68" i="3"/>
  <c r="D433" i="1"/>
  <c r="E432" i="1"/>
  <c r="D509" i="1"/>
  <c r="E508" i="1"/>
  <c r="D363" i="1"/>
  <c r="E362" i="1"/>
  <c r="D598" i="1"/>
  <c r="E597" i="1"/>
  <c r="E68" i="3"/>
  <c r="K68" i="3"/>
  <c r="J68" i="3" s="1"/>
  <c r="A68" i="3" s="1"/>
  <c r="B68" i="3"/>
  <c r="P68" i="3"/>
  <c r="Q68" i="3"/>
  <c r="D68" i="3"/>
  <c r="I69" i="3"/>
  <c r="S67" i="3"/>
  <c r="R67" i="3"/>
  <c r="T67" i="3"/>
  <c r="C564" i="1"/>
  <c r="S563" i="1"/>
  <c r="D273" i="1"/>
  <c r="E272" i="1"/>
  <c r="E67" i="1"/>
  <c r="D68" i="1"/>
  <c r="F68" i="3" l="1"/>
  <c r="N69" i="3"/>
  <c r="M69" i="3"/>
  <c r="D434" i="1"/>
  <c r="E433" i="1"/>
  <c r="D510" i="1"/>
  <c r="E509" i="1"/>
  <c r="D364" i="1"/>
  <c r="E363" i="1"/>
  <c r="D599" i="1"/>
  <c r="E598" i="1"/>
  <c r="C67" i="3"/>
  <c r="S68" i="3"/>
  <c r="T68" i="3"/>
  <c r="R68" i="3"/>
  <c r="C68" i="3" s="1"/>
  <c r="D69" i="3"/>
  <c r="E69" i="3"/>
  <c r="I70" i="3"/>
  <c r="K69" i="3"/>
  <c r="J69" i="3" s="1"/>
  <c r="A69" i="3" s="1"/>
  <c r="B69" i="3"/>
  <c r="Q69" i="3"/>
  <c r="P69" i="3"/>
  <c r="C565" i="1"/>
  <c r="C566" i="1" s="1"/>
  <c r="C567" i="1" s="1"/>
  <c r="C568" i="1" s="1"/>
  <c r="C569" i="1" s="1"/>
  <c r="C570" i="1" s="1"/>
  <c r="C571" i="1" s="1"/>
  <c r="C572" i="1" s="1"/>
  <c r="S564" i="1"/>
  <c r="D274" i="1"/>
  <c r="E273" i="1"/>
  <c r="E68" i="1"/>
  <c r="D69" i="1"/>
  <c r="F69" i="3" l="1"/>
  <c r="N70" i="3"/>
  <c r="M70" i="3"/>
  <c r="D435" i="1"/>
  <c r="E434" i="1"/>
  <c r="D511" i="1"/>
  <c r="E510" i="1"/>
  <c r="D365" i="1"/>
  <c r="E364" i="1"/>
  <c r="D600" i="1"/>
  <c r="E599" i="1"/>
  <c r="S69" i="3"/>
  <c r="T69" i="3"/>
  <c r="R69" i="3"/>
  <c r="I71" i="3"/>
  <c r="E70" i="3"/>
  <c r="D70" i="3"/>
  <c r="B70" i="3"/>
  <c r="K70" i="3"/>
  <c r="J70" i="3" s="1"/>
  <c r="A70" i="3" s="1"/>
  <c r="P70" i="3"/>
  <c r="Q70" i="3"/>
  <c r="C573" i="1"/>
  <c r="C574" i="1" s="1"/>
  <c r="C575" i="1" s="1"/>
  <c r="C576" i="1" s="1"/>
  <c r="S572" i="1"/>
  <c r="D275" i="1"/>
  <c r="E274" i="1"/>
  <c r="E69" i="1"/>
  <c r="D70" i="1"/>
  <c r="F70" i="3" l="1"/>
  <c r="M71" i="3"/>
  <c r="N71" i="3"/>
  <c r="D436" i="1"/>
  <c r="E435" i="1"/>
  <c r="D512" i="1"/>
  <c r="E511" i="1"/>
  <c r="C69" i="3"/>
  <c r="D366" i="1"/>
  <c r="E365" i="1"/>
  <c r="D601" i="1"/>
  <c r="E600" i="1"/>
  <c r="R70" i="3"/>
  <c r="S70" i="3"/>
  <c r="T70" i="3"/>
  <c r="D71" i="3"/>
  <c r="I72" i="3"/>
  <c r="K71" i="3"/>
  <c r="Q71" i="3"/>
  <c r="E71" i="3"/>
  <c r="B71" i="3"/>
  <c r="P71" i="3"/>
  <c r="C577" i="1"/>
  <c r="C578" i="1" s="1"/>
  <c r="C579" i="1" s="1"/>
  <c r="C580" i="1" s="1"/>
  <c r="C581" i="1" s="1"/>
  <c r="C582" i="1" s="1"/>
  <c r="C583" i="1" s="1"/>
  <c r="C584" i="1" s="1"/>
  <c r="C585" i="1" s="1"/>
  <c r="C586" i="1" s="1"/>
  <c r="S576" i="1"/>
  <c r="D276" i="1"/>
  <c r="E275" i="1"/>
  <c r="E70" i="1"/>
  <c r="D71" i="1"/>
  <c r="F71" i="3" l="1"/>
  <c r="N72" i="3"/>
  <c r="M72" i="3"/>
  <c r="C70" i="3"/>
  <c r="D437" i="1"/>
  <c r="E436" i="1"/>
  <c r="D513" i="1"/>
  <c r="E512" i="1"/>
  <c r="D367" i="1"/>
  <c r="E366" i="1"/>
  <c r="D602" i="1"/>
  <c r="E601" i="1"/>
  <c r="T71" i="3"/>
  <c r="R71" i="3"/>
  <c r="S71" i="3"/>
  <c r="P72" i="3"/>
  <c r="D72" i="3"/>
  <c r="E72" i="3"/>
  <c r="Q72" i="3"/>
  <c r="B72" i="3"/>
  <c r="K72" i="3"/>
  <c r="J72" i="3" s="1"/>
  <c r="A72" i="3" s="1"/>
  <c r="I73" i="3"/>
  <c r="J71" i="3"/>
  <c r="A71" i="3" s="1"/>
  <c r="C587" i="1"/>
  <c r="C588" i="1" s="1"/>
  <c r="C589" i="1" s="1"/>
  <c r="C590" i="1" s="1"/>
  <c r="C591" i="1" s="1"/>
  <c r="C592" i="1" s="1"/>
  <c r="C593" i="1" s="1"/>
  <c r="C594" i="1" s="1"/>
  <c r="S586" i="1"/>
  <c r="D277" i="1"/>
  <c r="E276" i="1"/>
  <c r="E71" i="1"/>
  <c r="D72" i="1"/>
  <c r="F72" i="3" l="1"/>
  <c r="M73" i="3"/>
  <c r="N73" i="3"/>
  <c r="D438" i="1"/>
  <c r="E437" i="1"/>
  <c r="D514" i="1"/>
  <c r="E513" i="1"/>
  <c r="C71" i="3"/>
  <c r="D368" i="1"/>
  <c r="E367" i="1"/>
  <c r="D603" i="1"/>
  <c r="E602" i="1"/>
  <c r="Q73" i="3"/>
  <c r="D73" i="3"/>
  <c r="B73" i="3"/>
  <c r="I74" i="3"/>
  <c r="P73" i="3"/>
  <c r="E73" i="3"/>
  <c r="K73" i="3"/>
  <c r="J73" i="3" s="1"/>
  <c r="A73" i="3" s="1"/>
  <c r="R72" i="3"/>
  <c r="T72" i="3"/>
  <c r="S72" i="3"/>
  <c r="C595" i="1"/>
  <c r="S594" i="1"/>
  <c r="D278" i="1"/>
  <c r="E277" i="1"/>
  <c r="E72" i="1"/>
  <c r="D73" i="1"/>
  <c r="F73" i="3" l="1"/>
  <c r="N74" i="3"/>
  <c r="M74" i="3"/>
  <c r="D439" i="1"/>
  <c r="E438" i="1"/>
  <c r="D515" i="1"/>
  <c r="E514" i="1"/>
  <c r="D369" i="1"/>
  <c r="E368" i="1"/>
  <c r="C72" i="3"/>
  <c r="D604" i="1"/>
  <c r="E603" i="1"/>
  <c r="D74" i="3"/>
  <c r="E74" i="3"/>
  <c r="K74" i="3"/>
  <c r="B74" i="3"/>
  <c r="Q74" i="3"/>
  <c r="P74" i="3"/>
  <c r="I75" i="3"/>
  <c r="R73" i="3"/>
  <c r="T73" i="3"/>
  <c r="S73" i="3"/>
  <c r="C596" i="1"/>
  <c r="S595" i="1"/>
  <c r="D279" i="1"/>
  <c r="E278" i="1"/>
  <c r="E73" i="1"/>
  <c r="D74" i="1"/>
  <c r="F74" i="3" l="1"/>
  <c r="N75" i="3"/>
  <c r="M75" i="3"/>
  <c r="D440" i="1"/>
  <c r="E439" i="1"/>
  <c r="D516" i="1"/>
  <c r="E515" i="1"/>
  <c r="D370" i="1"/>
  <c r="E369" i="1"/>
  <c r="C73" i="3"/>
  <c r="D605" i="1"/>
  <c r="E604" i="1"/>
  <c r="S74" i="3"/>
  <c r="R74" i="3"/>
  <c r="T74" i="3"/>
  <c r="B75" i="3"/>
  <c r="P75" i="3"/>
  <c r="D75" i="3"/>
  <c r="I76" i="3"/>
  <c r="K75" i="3"/>
  <c r="J75" i="3" s="1"/>
  <c r="A75" i="3" s="1"/>
  <c r="E75" i="3"/>
  <c r="Q75" i="3"/>
  <c r="C74" i="3"/>
  <c r="J74" i="3"/>
  <c r="A74" i="3" s="1"/>
  <c r="C597" i="1"/>
  <c r="S596" i="1"/>
  <c r="D280" i="1"/>
  <c r="E279" i="1"/>
  <c r="E74" i="1"/>
  <c r="D75" i="1"/>
  <c r="F75" i="3" l="1"/>
  <c r="N76" i="3"/>
  <c r="M76" i="3"/>
  <c r="D441" i="1"/>
  <c r="E440" i="1"/>
  <c r="D517" i="1"/>
  <c r="E516" i="1"/>
  <c r="D371" i="1"/>
  <c r="E371" i="1" s="1"/>
  <c r="E370" i="1"/>
  <c r="D606" i="1"/>
  <c r="E605" i="1"/>
  <c r="S75" i="3"/>
  <c r="T75" i="3"/>
  <c r="R75" i="3"/>
  <c r="P76" i="3"/>
  <c r="B76" i="3"/>
  <c r="Q76" i="3"/>
  <c r="E76" i="3"/>
  <c r="D76" i="3"/>
  <c r="I77" i="3"/>
  <c r="K76" i="3"/>
  <c r="C598" i="1"/>
  <c r="S597" i="1"/>
  <c r="D281" i="1"/>
  <c r="E280" i="1"/>
  <c r="E75" i="1"/>
  <c r="D76" i="1"/>
  <c r="F76" i="3" l="1"/>
  <c r="N77" i="3"/>
  <c r="M77" i="3"/>
  <c r="D442" i="1"/>
  <c r="E441" i="1"/>
  <c r="D518" i="1"/>
  <c r="E517" i="1"/>
  <c r="C75" i="3"/>
  <c r="D607" i="1"/>
  <c r="E606" i="1"/>
  <c r="S76" i="3"/>
  <c r="T76" i="3"/>
  <c r="R76" i="3"/>
  <c r="J76" i="3"/>
  <c r="A76" i="3" s="1"/>
  <c r="D77" i="3"/>
  <c r="K77" i="3"/>
  <c r="J77" i="3" s="1"/>
  <c r="A77" i="3" s="1"/>
  <c r="P77" i="3"/>
  <c r="I78" i="3"/>
  <c r="Q77" i="3"/>
  <c r="B77" i="3"/>
  <c r="E77" i="3"/>
  <c r="C599" i="1"/>
  <c r="C600" i="1" s="1"/>
  <c r="C601" i="1" s="1"/>
  <c r="C602" i="1" s="1"/>
  <c r="C603" i="1" s="1"/>
  <c r="C604" i="1" s="1"/>
  <c r="C605" i="1" s="1"/>
  <c r="S598" i="1"/>
  <c r="D282" i="1"/>
  <c r="E281" i="1"/>
  <c r="E76" i="1"/>
  <c r="D77" i="1"/>
  <c r="F77" i="3" l="1"/>
  <c r="M78" i="3"/>
  <c r="N78" i="3"/>
  <c r="C76" i="3"/>
  <c r="D443" i="1"/>
  <c r="E442" i="1"/>
  <c r="D519" i="1"/>
  <c r="E518" i="1"/>
  <c r="D608" i="1"/>
  <c r="E607" i="1"/>
  <c r="R77" i="3"/>
  <c r="S77" i="3"/>
  <c r="T77" i="3"/>
  <c r="P78" i="3"/>
  <c r="Q78" i="3"/>
  <c r="E78" i="3"/>
  <c r="I79" i="3"/>
  <c r="D78" i="3"/>
  <c r="B78" i="3"/>
  <c r="K78" i="3"/>
  <c r="C606" i="1"/>
  <c r="S605" i="1"/>
  <c r="D283" i="1"/>
  <c r="E282" i="1"/>
  <c r="E77" i="1"/>
  <c r="D78" i="1"/>
  <c r="E78" i="1" s="1"/>
  <c r="F78" i="3" l="1"/>
  <c r="N79" i="3"/>
  <c r="M79" i="3"/>
  <c r="C77" i="3"/>
  <c r="D444" i="1"/>
  <c r="E443" i="1"/>
  <c r="D520" i="1"/>
  <c r="E519" i="1"/>
  <c r="D609" i="1"/>
  <c r="E608" i="1"/>
  <c r="Q79" i="3"/>
  <c r="P79" i="3"/>
  <c r="B79" i="3"/>
  <c r="D79" i="3"/>
  <c r="I80" i="3"/>
  <c r="K79" i="3"/>
  <c r="E79" i="3"/>
  <c r="R78" i="3"/>
  <c r="S78" i="3"/>
  <c r="T78" i="3"/>
  <c r="J78" i="3"/>
  <c r="A78" i="3" s="1"/>
  <c r="C607" i="1"/>
  <c r="C608" i="1" s="1"/>
  <c r="S606" i="1"/>
  <c r="D284" i="1"/>
  <c r="E283" i="1"/>
  <c r="D79" i="1"/>
  <c r="F79" i="3" l="1"/>
  <c r="N80" i="3"/>
  <c r="M80" i="3"/>
  <c r="C78" i="3"/>
  <c r="D445" i="1"/>
  <c r="E444" i="1"/>
  <c r="D521" i="1"/>
  <c r="E520" i="1"/>
  <c r="D610" i="1"/>
  <c r="E609" i="1"/>
  <c r="Q80" i="3"/>
  <c r="I81" i="3"/>
  <c r="E80" i="3"/>
  <c r="K80" i="3"/>
  <c r="J80" i="3" s="1"/>
  <c r="A80" i="3" s="1"/>
  <c r="B80" i="3"/>
  <c r="P80" i="3"/>
  <c r="D80" i="3"/>
  <c r="S79" i="3"/>
  <c r="R79" i="3"/>
  <c r="T79" i="3"/>
  <c r="J79" i="3"/>
  <c r="A79" i="3" s="1"/>
  <c r="C609" i="1"/>
  <c r="C610" i="1" s="1"/>
  <c r="C611" i="1" s="1"/>
  <c r="C612" i="1" s="1"/>
  <c r="C613" i="1" s="1"/>
  <c r="S608" i="1"/>
  <c r="D285" i="1"/>
  <c r="E284" i="1"/>
  <c r="E79" i="1"/>
  <c r="D80" i="1"/>
  <c r="F80" i="3" l="1"/>
  <c r="M81" i="3"/>
  <c r="N81" i="3"/>
  <c r="D446" i="1"/>
  <c r="E445" i="1"/>
  <c r="D522" i="1"/>
  <c r="E521" i="1"/>
  <c r="D611" i="1"/>
  <c r="E610" i="1"/>
  <c r="C79" i="3"/>
  <c r="Q81" i="3"/>
  <c r="E81" i="3"/>
  <c r="B81" i="3"/>
  <c r="D81" i="3"/>
  <c r="K81" i="3"/>
  <c r="I82" i="3"/>
  <c r="P81" i="3"/>
  <c r="T80" i="3"/>
  <c r="S80" i="3"/>
  <c r="R80" i="3"/>
  <c r="C80" i="3"/>
  <c r="C614" i="1"/>
  <c r="S613" i="1"/>
  <c r="D286" i="1"/>
  <c r="E285" i="1"/>
  <c r="E80" i="1"/>
  <c r="D81" i="1"/>
  <c r="F81" i="3" l="1"/>
  <c r="N82" i="3"/>
  <c r="M82" i="3"/>
  <c r="D447" i="1"/>
  <c r="E446" i="1"/>
  <c r="D523" i="1"/>
  <c r="E522" i="1"/>
  <c r="D612" i="1"/>
  <c r="E611" i="1"/>
  <c r="S81" i="3"/>
  <c r="T81" i="3"/>
  <c r="R81" i="3"/>
  <c r="C81" i="3" s="1"/>
  <c r="K82" i="3"/>
  <c r="P82" i="3"/>
  <c r="D82" i="3"/>
  <c r="Q82" i="3"/>
  <c r="E82" i="3"/>
  <c r="I83" i="3"/>
  <c r="B82" i="3"/>
  <c r="J81" i="3"/>
  <c r="A81" i="3" s="1"/>
  <c r="C615" i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S614" i="1"/>
  <c r="D287" i="1"/>
  <c r="E286" i="1"/>
  <c r="D82" i="1"/>
  <c r="E81" i="1"/>
  <c r="F82" i="3" l="1"/>
  <c r="M83" i="3"/>
  <c r="N83" i="3"/>
  <c r="D448" i="1"/>
  <c r="E447" i="1"/>
  <c r="D524" i="1"/>
  <c r="E523" i="1"/>
  <c r="D613" i="1"/>
  <c r="E612" i="1"/>
  <c r="S82" i="3"/>
  <c r="T82" i="3"/>
  <c r="R82" i="3"/>
  <c r="C82" i="3" s="1"/>
  <c r="K83" i="3"/>
  <c r="J83" i="3" s="1"/>
  <c r="A83" i="3" s="1"/>
  <c r="D83" i="3"/>
  <c r="P83" i="3"/>
  <c r="I84" i="3"/>
  <c r="Q83" i="3"/>
  <c r="B83" i="3"/>
  <c r="E83" i="3"/>
  <c r="J82" i="3"/>
  <c r="A82" i="3" s="1"/>
  <c r="C637" i="1"/>
  <c r="S636" i="1"/>
  <c r="D288" i="1"/>
  <c r="E287" i="1"/>
  <c r="E82" i="1"/>
  <c r="D83" i="1"/>
  <c r="K11" i="3" s="1"/>
  <c r="J11" i="3" s="1"/>
  <c r="A11" i="3" s="1"/>
  <c r="F83" i="3" l="1"/>
  <c r="N84" i="3"/>
  <c r="M84" i="3"/>
  <c r="D449" i="1"/>
  <c r="E448" i="1"/>
  <c r="D525" i="1"/>
  <c r="E524" i="1"/>
  <c r="D614" i="1"/>
  <c r="E613" i="1"/>
  <c r="C83" i="3"/>
  <c r="S83" i="3"/>
  <c r="R83" i="3"/>
  <c r="T83" i="3"/>
  <c r="E84" i="3"/>
  <c r="I85" i="3"/>
  <c r="K84" i="3"/>
  <c r="J84" i="3" s="1"/>
  <c r="A84" i="3" s="1"/>
  <c r="P84" i="3"/>
  <c r="Q84" i="3"/>
  <c r="B84" i="3"/>
  <c r="D84" i="3"/>
  <c r="C638" i="1"/>
  <c r="S637" i="1"/>
  <c r="D289" i="1"/>
  <c r="E288" i="1"/>
  <c r="E83" i="1"/>
  <c r="D84" i="1"/>
  <c r="K12" i="3" s="1"/>
  <c r="J12" i="3" s="1"/>
  <c r="A12" i="3" s="1"/>
  <c r="F84" i="3" l="1"/>
  <c r="N85" i="3"/>
  <c r="M85" i="3"/>
  <c r="D450" i="1"/>
  <c r="E450" i="1" s="1"/>
  <c r="E449" i="1"/>
  <c r="D526" i="1"/>
  <c r="E525" i="1"/>
  <c r="D615" i="1"/>
  <c r="E614" i="1"/>
  <c r="C84" i="3"/>
  <c r="R84" i="3"/>
  <c r="T84" i="3"/>
  <c r="S84" i="3"/>
  <c r="Q85" i="3"/>
  <c r="E85" i="3"/>
  <c r="B85" i="3"/>
  <c r="D85" i="3"/>
  <c r="K85" i="3"/>
  <c r="J85" i="3" s="1"/>
  <c r="A85" i="3" s="1"/>
  <c r="I86" i="3"/>
  <c r="F86" i="3" s="1"/>
  <c r="P85" i="3"/>
  <c r="C639" i="1"/>
  <c r="S638" i="1"/>
  <c r="D290" i="1"/>
  <c r="E289" i="1"/>
  <c r="E84" i="1"/>
  <c r="D85" i="1"/>
  <c r="K13" i="3" s="1"/>
  <c r="J13" i="3" s="1"/>
  <c r="A13" i="3" s="1"/>
  <c r="F85" i="3" l="1"/>
  <c r="N86" i="3"/>
  <c r="M86" i="3"/>
  <c r="D527" i="1"/>
  <c r="E526" i="1"/>
  <c r="C85" i="3"/>
  <c r="D616" i="1"/>
  <c r="E615" i="1"/>
  <c r="P86" i="3"/>
  <c r="Q86" i="3"/>
  <c r="D86" i="3"/>
  <c r="E86" i="3"/>
  <c r="I87" i="3"/>
  <c r="F87" i="3" s="1"/>
  <c r="K86" i="3"/>
  <c r="B86" i="3"/>
  <c r="S85" i="3"/>
  <c r="T85" i="3"/>
  <c r="R85" i="3"/>
  <c r="C640" i="1"/>
  <c r="C641" i="1" s="1"/>
  <c r="C642" i="1" s="1"/>
  <c r="C643" i="1" s="1"/>
  <c r="C644" i="1" s="1"/>
  <c r="C645" i="1" s="1"/>
  <c r="C646" i="1" s="1"/>
  <c r="S639" i="1"/>
  <c r="D291" i="1"/>
  <c r="E290" i="1"/>
  <c r="D86" i="1"/>
  <c r="E85" i="1"/>
  <c r="M87" i="3" l="1"/>
  <c r="N87" i="3"/>
  <c r="D528" i="1"/>
  <c r="E527" i="1"/>
  <c r="D617" i="1"/>
  <c r="E616" i="1"/>
  <c r="J86" i="3"/>
  <c r="A86" i="3" s="1"/>
  <c r="K87" i="3"/>
  <c r="P87" i="3"/>
  <c r="Q87" i="3"/>
  <c r="I88" i="3"/>
  <c r="F88" i="3" s="1"/>
  <c r="E87" i="3"/>
  <c r="B87" i="3"/>
  <c r="D87" i="3"/>
  <c r="T86" i="3"/>
  <c r="R86" i="3"/>
  <c r="S86" i="3"/>
  <c r="C647" i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4802" i="1" s="1"/>
  <c r="C4803" i="1" s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L1" i="2" s="1"/>
  <c r="L2" i="2" s="1"/>
  <c r="S646" i="1"/>
  <c r="D292" i="1"/>
  <c r="E291" i="1"/>
  <c r="K14" i="3"/>
  <c r="J14" i="3" s="1"/>
  <c r="A14" i="3" s="1"/>
  <c r="E86" i="1"/>
  <c r="D87" i="1"/>
  <c r="M88" i="3" l="1"/>
  <c r="N88" i="3"/>
  <c r="D529" i="1"/>
  <c r="E528" i="1"/>
  <c r="D618" i="1"/>
  <c r="E617" i="1"/>
  <c r="C86" i="3"/>
  <c r="I89" i="3"/>
  <c r="F89" i="3" s="1"/>
  <c r="Q88" i="3"/>
  <c r="D88" i="3"/>
  <c r="B88" i="3"/>
  <c r="K88" i="3"/>
  <c r="J88" i="3" s="1"/>
  <c r="A88" i="3" s="1"/>
  <c r="P88" i="3"/>
  <c r="E88" i="3"/>
  <c r="R87" i="3"/>
  <c r="C87" i="3" s="1"/>
  <c r="T87" i="3"/>
  <c r="S87" i="3"/>
  <c r="J87" i="3"/>
  <c r="A87" i="3" s="1"/>
  <c r="K1" i="2"/>
  <c r="L3" i="2"/>
  <c r="D293" i="1"/>
  <c r="E292" i="1"/>
  <c r="K15" i="3"/>
  <c r="J15" i="3" s="1"/>
  <c r="A15" i="3" s="1"/>
  <c r="E87" i="1"/>
  <c r="D88" i="1"/>
  <c r="M89" i="3" l="1"/>
  <c r="N89" i="3"/>
  <c r="D530" i="1"/>
  <c r="E529" i="1"/>
  <c r="D619" i="1"/>
  <c r="E618" i="1"/>
  <c r="E89" i="3"/>
  <c r="B89" i="3"/>
  <c r="P89" i="3"/>
  <c r="K89" i="3"/>
  <c r="J89" i="3" s="1"/>
  <c r="A89" i="3" s="1"/>
  <c r="Q89" i="3"/>
  <c r="I90" i="3"/>
  <c r="F90" i="3" s="1"/>
  <c r="D89" i="3"/>
  <c r="T88" i="3"/>
  <c r="R88" i="3"/>
  <c r="C88" i="3" s="1"/>
  <c r="S88" i="3"/>
  <c r="I3" i="2"/>
  <c r="H10" i="2" s="1"/>
  <c r="D3" i="2"/>
  <c r="D294" i="1"/>
  <c r="E293" i="1"/>
  <c r="K16" i="3"/>
  <c r="J16" i="3" s="1"/>
  <c r="A16" i="3" s="1"/>
  <c r="E88" i="1"/>
  <c r="D89" i="1"/>
  <c r="N90" i="3" l="1"/>
  <c r="M90" i="3"/>
  <c r="D531" i="1"/>
  <c r="E530" i="1"/>
  <c r="D620" i="1"/>
  <c r="E619" i="1"/>
  <c r="C89" i="3"/>
  <c r="D90" i="3"/>
  <c r="B90" i="3"/>
  <c r="E90" i="3"/>
  <c r="I91" i="3"/>
  <c r="F91" i="3" s="1"/>
  <c r="K90" i="3"/>
  <c r="J90" i="3" s="1"/>
  <c r="A90" i="3" s="1"/>
  <c r="P90" i="3"/>
  <c r="Q90" i="3"/>
  <c r="S89" i="3"/>
  <c r="R89" i="3"/>
  <c r="T89" i="3"/>
  <c r="K9" i="2"/>
  <c r="L9" i="2" s="1"/>
  <c r="H11" i="2"/>
  <c r="D295" i="1"/>
  <c r="E294" i="1"/>
  <c r="K17" i="3"/>
  <c r="J17" i="3" s="1"/>
  <c r="A17" i="3" s="1"/>
  <c r="D90" i="1"/>
  <c r="K18" i="3" s="1"/>
  <c r="E89" i="1"/>
  <c r="N91" i="3" l="1"/>
  <c r="M91" i="3"/>
  <c r="D532" i="1"/>
  <c r="E531" i="1"/>
  <c r="D621" i="1"/>
  <c r="E620" i="1"/>
  <c r="C90" i="3"/>
  <c r="T90" i="3"/>
  <c r="R90" i="3"/>
  <c r="S90" i="3"/>
  <c r="B91" i="3"/>
  <c r="E91" i="3"/>
  <c r="D91" i="3"/>
  <c r="K91" i="3"/>
  <c r="J91" i="3" s="1"/>
  <c r="A91" i="3" s="1"/>
  <c r="Q91" i="3"/>
  <c r="I92" i="3"/>
  <c r="F92" i="3" s="1"/>
  <c r="P91" i="3"/>
  <c r="L11" i="2"/>
  <c r="H12" i="2"/>
  <c r="A11" i="2"/>
  <c r="E11" i="2"/>
  <c r="D11" i="2"/>
  <c r="C11" i="2"/>
  <c r="B11" i="2"/>
  <c r="K10" i="2"/>
  <c r="D296" i="1"/>
  <c r="E295" i="1"/>
  <c r="J18" i="3"/>
  <c r="A18" i="3" s="1"/>
  <c r="E90" i="1"/>
  <c r="D91" i="1"/>
  <c r="K19" i="3" s="1"/>
  <c r="J19" i="3" s="1"/>
  <c r="A19" i="3" s="1"/>
  <c r="N92" i="3" l="1"/>
  <c r="M92" i="3"/>
  <c r="D533" i="1"/>
  <c r="E532" i="1"/>
  <c r="D622" i="1"/>
  <c r="E621" i="1"/>
  <c r="T91" i="3"/>
  <c r="R91" i="3"/>
  <c r="C91" i="3" s="1"/>
  <c r="S91" i="3"/>
  <c r="I93" i="3"/>
  <c r="F93" i="3" s="1"/>
  <c r="P92" i="3"/>
  <c r="Q92" i="3"/>
  <c r="B92" i="3"/>
  <c r="E92" i="3"/>
  <c r="D92" i="3"/>
  <c r="K92" i="3"/>
  <c r="K11" i="2"/>
  <c r="J11" i="2" s="1"/>
  <c r="F11" i="2" s="1"/>
  <c r="E12" i="2"/>
  <c r="A12" i="2"/>
  <c r="L12" i="2"/>
  <c r="K12" i="2" s="1"/>
  <c r="J12" i="2" s="1"/>
  <c r="F12" i="2" s="1"/>
  <c r="B12" i="2"/>
  <c r="H13" i="2"/>
  <c r="C12" i="2"/>
  <c r="D12" i="2"/>
  <c r="D297" i="1"/>
  <c r="E296" i="1"/>
  <c r="E91" i="1"/>
  <c r="D92" i="1"/>
  <c r="K20" i="3" s="1"/>
  <c r="J20" i="3" s="1"/>
  <c r="A20" i="3" s="1"/>
  <c r="M93" i="3" l="1"/>
  <c r="N93" i="3"/>
  <c r="D534" i="1"/>
  <c r="E533" i="1"/>
  <c r="D623" i="1"/>
  <c r="E622" i="1"/>
  <c r="T92" i="3"/>
  <c r="R92" i="3"/>
  <c r="S92" i="3"/>
  <c r="C92" i="3"/>
  <c r="J92" i="3"/>
  <c r="A92" i="3" s="1"/>
  <c r="B93" i="3"/>
  <c r="D93" i="3"/>
  <c r="K93" i="3"/>
  <c r="J93" i="3" s="1"/>
  <c r="A93" i="3" s="1"/>
  <c r="P93" i="3"/>
  <c r="I94" i="3"/>
  <c r="F94" i="3" s="1"/>
  <c r="Q93" i="3"/>
  <c r="E93" i="3"/>
  <c r="D13" i="2"/>
  <c r="L13" i="2"/>
  <c r="B13" i="2"/>
  <c r="C13" i="2"/>
  <c r="A13" i="2"/>
  <c r="H14" i="2"/>
  <c r="E13" i="2"/>
  <c r="D298" i="1"/>
  <c r="E297" i="1"/>
  <c r="E92" i="1"/>
  <c r="D93" i="1"/>
  <c r="M94" i="3" l="1"/>
  <c r="N94" i="3"/>
  <c r="D535" i="1"/>
  <c r="E534" i="1"/>
  <c r="D624" i="1"/>
  <c r="E623" i="1"/>
  <c r="C93" i="3"/>
  <c r="P94" i="3"/>
  <c r="Q94" i="3"/>
  <c r="D94" i="3"/>
  <c r="B94" i="3"/>
  <c r="I95" i="3"/>
  <c r="F95" i="3" s="1"/>
  <c r="K94" i="3"/>
  <c r="J94" i="3" s="1"/>
  <c r="A94" i="3" s="1"/>
  <c r="E94" i="3"/>
  <c r="R93" i="3"/>
  <c r="T93" i="3"/>
  <c r="S93" i="3"/>
  <c r="D14" i="2"/>
  <c r="H15" i="2"/>
  <c r="L14" i="2"/>
  <c r="B14" i="2"/>
  <c r="C14" i="2"/>
  <c r="A14" i="2"/>
  <c r="E14" i="2"/>
  <c r="K13" i="2"/>
  <c r="J13" i="2" s="1"/>
  <c r="F13" i="2" s="1"/>
  <c r="D299" i="1"/>
  <c r="E298" i="1"/>
  <c r="K21" i="3"/>
  <c r="J21" i="3" s="1"/>
  <c r="A21" i="3" s="1"/>
  <c r="E93" i="1"/>
  <c r="D94" i="1"/>
  <c r="N95" i="3" l="1"/>
  <c r="M95" i="3"/>
  <c r="D536" i="1"/>
  <c r="E535" i="1"/>
  <c r="D625" i="1"/>
  <c r="E624" i="1"/>
  <c r="D95" i="3"/>
  <c r="K95" i="3"/>
  <c r="J95" i="3" s="1"/>
  <c r="A95" i="3" s="1"/>
  <c r="Q95" i="3"/>
  <c r="B95" i="3"/>
  <c r="I96" i="3"/>
  <c r="F96" i="3" s="1"/>
  <c r="P95" i="3"/>
  <c r="E95" i="3"/>
  <c r="T94" i="3"/>
  <c r="R94" i="3"/>
  <c r="S94" i="3"/>
  <c r="C94" i="3"/>
  <c r="A15" i="2"/>
  <c r="C15" i="2"/>
  <c r="B15" i="2"/>
  <c r="E15" i="2"/>
  <c r="L15" i="2"/>
  <c r="D15" i="2"/>
  <c r="H16" i="2"/>
  <c r="K14" i="2"/>
  <c r="J14" i="2" s="1"/>
  <c r="F14" i="2" s="1"/>
  <c r="D300" i="1"/>
  <c r="E300" i="1" s="1"/>
  <c r="E299" i="1"/>
  <c r="K22" i="3"/>
  <c r="J22" i="3" s="1"/>
  <c r="A22" i="3" s="1"/>
  <c r="E94" i="1"/>
  <c r="D95" i="1"/>
  <c r="N96" i="3" l="1"/>
  <c r="M96" i="3"/>
  <c r="D537" i="1"/>
  <c r="E537" i="1" s="1"/>
  <c r="E536" i="1"/>
  <c r="C95" i="3"/>
  <c r="D626" i="1"/>
  <c r="E625" i="1"/>
  <c r="S95" i="3"/>
  <c r="T95" i="3"/>
  <c r="R95" i="3"/>
  <c r="D96" i="3"/>
  <c r="K96" i="3"/>
  <c r="J96" i="3" s="1"/>
  <c r="A96" i="3" s="1"/>
  <c r="Q96" i="3"/>
  <c r="B96" i="3"/>
  <c r="I97" i="3"/>
  <c r="F97" i="3" s="1"/>
  <c r="P96" i="3"/>
  <c r="E96" i="3"/>
  <c r="K15" i="2"/>
  <c r="J15" i="2" s="1"/>
  <c r="F15" i="2" s="1"/>
  <c r="H17" i="2"/>
  <c r="E16" i="2"/>
  <c r="L16" i="2"/>
  <c r="K16" i="2" s="1"/>
  <c r="J16" i="2" s="1"/>
  <c r="F16" i="2" s="1"/>
  <c r="A16" i="2"/>
  <c r="C16" i="2"/>
  <c r="D16" i="2"/>
  <c r="B16" i="2"/>
  <c r="K23" i="3"/>
  <c r="J23" i="3" s="1"/>
  <c r="A23" i="3" s="1"/>
  <c r="E95" i="1"/>
  <c r="D96" i="1"/>
  <c r="M97" i="3" l="1"/>
  <c r="N97" i="3"/>
  <c r="D627" i="1"/>
  <c r="E626" i="1"/>
  <c r="C96" i="3"/>
  <c r="R96" i="3"/>
  <c r="S96" i="3"/>
  <c r="T96" i="3"/>
  <c r="B97" i="3"/>
  <c r="D97" i="3"/>
  <c r="K97" i="3"/>
  <c r="I98" i="3"/>
  <c r="F98" i="3" s="1"/>
  <c r="P97" i="3"/>
  <c r="Q97" i="3"/>
  <c r="E97" i="3"/>
  <c r="D17" i="2"/>
  <c r="C17" i="2"/>
  <c r="H18" i="2"/>
  <c r="A17" i="2"/>
  <c r="L17" i="2"/>
  <c r="K17" i="2" s="1"/>
  <c r="J17" i="2" s="1"/>
  <c r="F17" i="2" s="1"/>
  <c r="B17" i="2"/>
  <c r="E17" i="2"/>
  <c r="K24" i="3"/>
  <c r="J24" i="3" s="1"/>
  <c r="A24" i="3" s="1"/>
  <c r="E96" i="1"/>
  <c r="D97" i="1"/>
  <c r="K25" i="3" s="1"/>
  <c r="N98" i="3" l="1"/>
  <c r="M98" i="3"/>
  <c r="D628" i="1"/>
  <c r="E627" i="1"/>
  <c r="C97" i="3"/>
  <c r="K98" i="3"/>
  <c r="Q98" i="3"/>
  <c r="D98" i="3"/>
  <c r="I99" i="3"/>
  <c r="F99" i="3" s="1"/>
  <c r="P98" i="3"/>
  <c r="B98" i="3"/>
  <c r="E98" i="3"/>
  <c r="R97" i="3"/>
  <c r="S97" i="3"/>
  <c r="T97" i="3"/>
  <c r="J97" i="3"/>
  <c r="A97" i="3" s="1"/>
  <c r="E18" i="2"/>
  <c r="D18" i="2"/>
  <c r="B18" i="2"/>
  <c r="L18" i="2"/>
  <c r="K18" i="2" s="1"/>
  <c r="J18" i="2" s="1"/>
  <c r="F18" i="2" s="1"/>
  <c r="C18" i="2"/>
  <c r="A18" i="2"/>
  <c r="H19" i="2"/>
  <c r="J25" i="3"/>
  <c r="A25" i="3" s="1"/>
  <c r="D98" i="1"/>
  <c r="K26" i="3" s="1"/>
  <c r="J26" i="3" s="1"/>
  <c r="A26" i="3" s="1"/>
  <c r="E97" i="1"/>
  <c r="M99" i="3" l="1"/>
  <c r="N99" i="3"/>
  <c r="C98" i="3"/>
  <c r="D629" i="1"/>
  <c r="E628" i="1"/>
  <c r="J98" i="3"/>
  <c r="A98" i="3" s="1"/>
  <c r="S98" i="3"/>
  <c r="T98" i="3"/>
  <c r="R98" i="3"/>
  <c r="D99" i="3"/>
  <c r="K99" i="3"/>
  <c r="B99" i="3"/>
  <c r="I100" i="3"/>
  <c r="F100" i="3" s="1"/>
  <c r="P99" i="3"/>
  <c r="Q99" i="3"/>
  <c r="E99" i="3"/>
  <c r="D19" i="2"/>
  <c r="A19" i="2"/>
  <c r="L19" i="2"/>
  <c r="K19" i="2" s="1"/>
  <c r="J19" i="2" s="1"/>
  <c r="F19" i="2" s="1"/>
  <c r="C19" i="2"/>
  <c r="H20" i="2"/>
  <c r="E19" i="2"/>
  <c r="B19" i="2"/>
  <c r="E98" i="1"/>
  <c r="D99" i="1"/>
  <c r="K27" i="3" s="1"/>
  <c r="J27" i="3" s="1"/>
  <c r="A27" i="3" s="1"/>
  <c r="N100" i="3" l="1"/>
  <c r="M100" i="3"/>
  <c r="D630" i="1"/>
  <c r="E629" i="1"/>
  <c r="C99" i="3"/>
  <c r="D100" i="3"/>
  <c r="K100" i="3"/>
  <c r="I101" i="3"/>
  <c r="F101" i="3" s="1"/>
  <c r="P100" i="3"/>
  <c r="Q100" i="3"/>
  <c r="B100" i="3"/>
  <c r="E100" i="3"/>
  <c r="S99" i="3"/>
  <c r="T99" i="3"/>
  <c r="R99" i="3"/>
  <c r="J99" i="3"/>
  <c r="A99" i="3" s="1"/>
  <c r="E20" i="2"/>
  <c r="D20" i="2"/>
  <c r="H21" i="2"/>
  <c r="L20" i="2"/>
  <c r="K20" i="2" s="1"/>
  <c r="J20" i="2" s="1"/>
  <c r="F20" i="2" s="1"/>
  <c r="A20" i="2"/>
  <c r="C20" i="2"/>
  <c r="B20" i="2"/>
  <c r="E99" i="1"/>
  <c r="D100" i="1"/>
  <c r="N101" i="3" l="1"/>
  <c r="M101" i="3"/>
  <c r="D631" i="1"/>
  <c r="E630" i="1"/>
  <c r="C100" i="3"/>
  <c r="B101" i="3"/>
  <c r="D101" i="3"/>
  <c r="K101" i="3"/>
  <c r="J101" i="3" s="1"/>
  <c r="A101" i="3" s="1"/>
  <c r="P101" i="3"/>
  <c r="I102" i="3"/>
  <c r="F102" i="3" s="1"/>
  <c r="Q101" i="3"/>
  <c r="E101" i="3"/>
  <c r="J100" i="3"/>
  <c r="A100" i="3" s="1"/>
  <c r="R100" i="3"/>
  <c r="S100" i="3"/>
  <c r="T100" i="3"/>
  <c r="L21" i="2"/>
  <c r="K21" i="2" s="1"/>
  <c r="J21" i="2" s="1"/>
  <c r="F21" i="2" s="1"/>
  <c r="A21" i="2"/>
  <c r="E21" i="2"/>
  <c r="C21" i="2"/>
  <c r="H22" i="2"/>
  <c r="D21" i="2"/>
  <c r="B21" i="2"/>
  <c r="K28" i="3"/>
  <c r="E100" i="1"/>
  <c r="D101" i="1"/>
  <c r="K29" i="3" s="1"/>
  <c r="N102" i="3" l="1"/>
  <c r="M102" i="3"/>
  <c r="D632" i="1"/>
  <c r="E631" i="1"/>
  <c r="R101" i="3"/>
  <c r="S101" i="3"/>
  <c r="T101" i="3"/>
  <c r="C101" i="3"/>
  <c r="K102" i="3"/>
  <c r="J102" i="3" s="1"/>
  <c r="A102" i="3" s="1"/>
  <c r="Q102" i="3"/>
  <c r="D102" i="3"/>
  <c r="P102" i="3"/>
  <c r="B102" i="3"/>
  <c r="E102" i="3"/>
  <c r="I103" i="3"/>
  <c r="F103" i="3" s="1"/>
  <c r="E22" i="2"/>
  <c r="H23" i="2"/>
  <c r="D22" i="2"/>
  <c r="C22" i="2"/>
  <c r="A22" i="2"/>
  <c r="L22" i="2"/>
  <c r="K22" i="2" s="1"/>
  <c r="J22" i="2" s="1"/>
  <c r="F22" i="2" s="1"/>
  <c r="B22" i="2"/>
  <c r="J28" i="3"/>
  <c r="A28" i="3" s="1"/>
  <c r="J29" i="3"/>
  <c r="A29" i="3" s="1"/>
  <c r="D102" i="1"/>
  <c r="K30" i="3" s="1"/>
  <c r="J30" i="3" s="1"/>
  <c r="A30" i="3" s="1"/>
  <c r="E101" i="1"/>
  <c r="M103" i="3" l="1"/>
  <c r="N103" i="3"/>
  <c r="D633" i="1"/>
  <c r="E632" i="1"/>
  <c r="D103" i="3"/>
  <c r="B103" i="3"/>
  <c r="Q103" i="3"/>
  <c r="E103" i="3"/>
  <c r="I104" i="3"/>
  <c r="F104" i="3" s="1"/>
  <c r="K103" i="3"/>
  <c r="P103" i="3"/>
  <c r="C102" i="3"/>
  <c r="S102" i="3"/>
  <c r="T102" i="3"/>
  <c r="R102" i="3"/>
  <c r="L23" i="2"/>
  <c r="K23" i="2" s="1"/>
  <c r="J23" i="2" s="1"/>
  <c r="F23" i="2" s="1"/>
  <c r="A23" i="2"/>
  <c r="E23" i="2"/>
  <c r="H24" i="2"/>
  <c r="B24" i="2" s="1"/>
  <c r="C23" i="2"/>
  <c r="D23" i="2"/>
  <c r="B23" i="2"/>
  <c r="E102" i="1"/>
  <c r="D103" i="1"/>
  <c r="K31" i="3" s="1"/>
  <c r="J31" i="3" s="1"/>
  <c r="A31" i="3" s="1"/>
  <c r="M104" i="3" l="1"/>
  <c r="N104" i="3"/>
  <c r="C103" i="3"/>
  <c r="D634" i="1"/>
  <c r="E633" i="1"/>
  <c r="S103" i="3"/>
  <c r="R103" i="3"/>
  <c r="T103" i="3"/>
  <c r="J103" i="3"/>
  <c r="A103" i="3" s="1"/>
  <c r="Q104" i="3"/>
  <c r="D104" i="3"/>
  <c r="E104" i="3"/>
  <c r="B104" i="3"/>
  <c r="I105" i="3"/>
  <c r="F105" i="3" s="1"/>
  <c r="P104" i="3"/>
  <c r="K104" i="3"/>
  <c r="A24" i="2"/>
  <c r="E24" i="2"/>
  <c r="D24" i="2"/>
  <c r="L24" i="2"/>
  <c r="K24" i="2" s="1"/>
  <c r="J24" i="2" s="1"/>
  <c r="F24" i="2" s="1"/>
  <c r="C24" i="2"/>
  <c r="H25" i="2"/>
  <c r="E103" i="1"/>
  <c r="D104" i="1"/>
  <c r="K32" i="3" s="1"/>
  <c r="J32" i="3" s="1"/>
  <c r="A32" i="3" s="1"/>
  <c r="M105" i="3" l="1"/>
  <c r="N105" i="3"/>
  <c r="C104" i="3"/>
  <c r="D635" i="1"/>
  <c r="E634" i="1"/>
  <c r="B105" i="3"/>
  <c r="I106" i="3"/>
  <c r="F106" i="3" s="1"/>
  <c r="E105" i="3"/>
  <c r="D105" i="3"/>
  <c r="K105" i="3"/>
  <c r="J105" i="3" s="1"/>
  <c r="A105" i="3" s="1"/>
  <c r="Q105" i="3"/>
  <c r="P105" i="3"/>
  <c r="T104" i="3"/>
  <c r="R104" i="3"/>
  <c r="S104" i="3"/>
  <c r="J104" i="3"/>
  <c r="A104" i="3" s="1"/>
  <c r="C25" i="2"/>
  <c r="E25" i="2"/>
  <c r="D25" i="2"/>
  <c r="L25" i="2"/>
  <c r="K25" i="2" s="1"/>
  <c r="J25" i="2" s="1"/>
  <c r="F25" i="2" s="1"/>
  <c r="H26" i="2"/>
  <c r="A25" i="2"/>
  <c r="E104" i="1"/>
  <c r="D105" i="1"/>
  <c r="N106" i="3" l="1"/>
  <c r="M106" i="3"/>
  <c r="D636" i="1"/>
  <c r="E635" i="1"/>
  <c r="P106" i="3"/>
  <c r="Q106" i="3"/>
  <c r="D106" i="3"/>
  <c r="E106" i="3"/>
  <c r="I107" i="3"/>
  <c r="F107" i="3" s="1"/>
  <c r="B106" i="3"/>
  <c r="K106" i="3"/>
  <c r="C105" i="3"/>
  <c r="T105" i="3"/>
  <c r="R105" i="3"/>
  <c r="S105" i="3"/>
  <c r="H27" i="2"/>
  <c r="A26" i="2"/>
  <c r="L26" i="2"/>
  <c r="K26" i="2" s="1"/>
  <c r="J26" i="2" s="1"/>
  <c r="F26" i="2" s="1"/>
  <c r="C26" i="2"/>
  <c r="D26" i="2"/>
  <c r="E26" i="2"/>
  <c r="B25" i="2"/>
  <c r="K33" i="3"/>
  <c r="E105" i="1"/>
  <c r="D106" i="1"/>
  <c r="N107" i="3" l="1"/>
  <c r="M107" i="3"/>
  <c r="D637" i="1"/>
  <c r="E636" i="1"/>
  <c r="T106" i="3"/>
  <c r="S106" i="3"/>
  <c r="R106" i="3"/>
  <c r="J106" i="3"/>
  <c r="A106" i="3" s="1"/>
  <c r="E107" i="3"/>
  <c r="B107" i="3"/>
  <c r="P107" i="3"/>
  <c r="K107" i="3"/>
  <c r="D107" i="3"/>
  <c r="I108" i="3"/>
  <c r="F108" i="3" s="1"/>
  <c r="Q107" i="3"/>
  <c r="C106" i="3"/>
  <c r="A27" i="2"/>
  <c r="D27" i="2"/>
  <c r="L27" i="2"/>
  <c r="K27" i="2" s="1"/>
  <c r="J27" i="2" s="1"/>
  <c r="F27" i="2" s="1"/>
  <c r="H28" i="2"/>
  <c r="E27" i="2"/>
  <c r="C27" i="2"/>
  <c r="B27" i="2"/>
  <c r="B26" i="2"/>
  <c r="K34" i="3"/>
  <c r="J35" i="3" s="1"/>
  <c r="A35" i="3" s="1"/>
  <c r="J33" i="3"/>
  <c r="A33" i="3" s="1"/>
  <c r="E106" i="1"/>
  <c r="D107" i="1"/>
  <c r="N108" i="3" l="1"/>
  <c r="M108" i="3"/>
  <c r="D638" i="1"/>
  <c r="E637" i="1"/>
  <c r="T107" i="3"/>
  <c r="S107" i="3"/>
  <c r="R107" i="3"/>
  <c r="Q108" i="3"/>
  <c r="I109" i="3"/>
  <c r="F109" i="3" s="1"/>
  <c r="K108" i="3"/>
  <c r="J108" i="3" s="1"/>
  <c r="A108" i="3" s="1"/>
  <c r="B108" i="3"/>
  <c r="D108" i="3"/>
  <c r="E108" i="3"/>
  <c r="P108" i="3"/>
  <c r="C107" i="3"/>
  <c r="J107" i="3"/>
  <c r="A107" i="3" s="1"/>
  <c r="E28" i="2"/>
  <c r="H29" i="2"/>
  <c r="A28" i="2"/>
  <c r="B28" i="2"/>
  <c r="D28" i="2"/>
  <c r="C28" i="2"/>
  <c r="L28" i="2"/>
  <c r="K28" i="2" s="1"/>
  <c r="J28" i="2" s="1"/>
  <c r="F28" i="2" s="1"/>
  <c r="J34" i="3"/>
  <c r="A34" i="3" s="1"/>
  <c r="E107" i="1"/>
  <c r="D108" i="1"/>
  <c r="N109" i="3" l="1"/>
  <c r="M109" i="3"/>
  <c r="C108" i="3"/>
  <c r="D639" i="1"/>
  <c r="E638" i="1"/>
  <c r="E109" i="3"/>
  <c r="I110" i="3"/>
  <c r="F110" i="3" s="1"/>
  <c r="K109" i="3"/>
  <c r="J109" i="3" s="1"/>
  <c r="A109" i="3" s="1"/>
  <c r="Q109" i="3"/>
  <c r="P109" i="3"/>
  <c r="D109" i="3"/>
  <c r="B109" i="3"/>
  <c r="T108" i="3"/>
  <c r="R108" i="3"/>
  <c r="S108" i="3"/>
  <c r="H30" i="2"/>
  <c r="E29" i="2"/>
  <c r="B29" i="2"/>
  <c r="L29" i="2"/>
  <c r="K29" i="2" s="1"/>
  <c r="J29" i="2" s="1"/>
  <c r="F29" i="2" s="1"/>
  <c r="C29" i="2"/>
  <c r="A29" i="2"/>
  <c r="D29" i="2"/>
  <c r="D109" i="1"/>
  <c r="E108" i="1"/>
  <c r="M110" i="3" l="1"/>
  <c r="N110" i="3"/>
  <c r="D640" i="1"/>
  <c r="E639" i="1"/>
  <c r="T109" i="3"/>
  <c r="R109" i="3"/>
  <c r="S109" i="3"/>
  <c r="C109" i="3"/>
  <c r="K110" i="3"/>
  <c r="D110" i="3"/>
  <c r="I111" i="3"/>
  <c r="F111" i="3" s="1"/>
  <c r="Q110" i="3"/>
  <c r="P110" i="3"/>
  <c r="E110" i="3"/>
  <c r="B110" i="3"/>
  <c r="C30" i="2"/>
  <c r="D30" i="2"/>
  <c r="B30" i="2"/>
  <c r="H31" i="2"/>
  <c r="E30" i="2"/>
  <c r="A30" i="2"/>
  <c r="L30" i="2"/>
  <c r="K30" i="2" s="1"/>
  <c r="J30" i="2" s="1"/>
  <c r="F30" i="2" s="1"/>
  <c r="E109" i="1"/>
  <c r="D110" i="1"/>
  <c r="N111" i="3" l="1"/>
  <c r="M111" i="3"/>
  <c r="D641" i="1"/>
  <c r="E640" i="1"/>
  <c r="D111" i="3"/>
  <c r="P111" i="3"/>
  <c r="K111" i="3"/>
  <c r="J111" i="3" s="1"/>
  <c r="A111" i="3" s="1"/>
  <c r="I112" i="3"/>
  <c r="F112" i="3" s="1"/>
  <c r="Q111" i="3"/>
  <c r="E111" i="3"/>
  <c r="B111" i="3"/>
  <c r="J110" i="3"/>
  <c r="A110" i="3" s="1"/>
  <c r="C110" i="3"/>
  <c r="S110" i="3"/>
  <c r="R110" i="3"/>
  <c r="T110" i="3"/>
  <c r="E31" i="2"/>
  <c r="B31" i="2"/>
  <c r="H32" i="2"/>
  <c r="A31" i="2"/>
  <c r="C31" i="2"/>
  <c r="D31" i="2"/>
  <c r="L31" i="2"/>
  <c r="K31" i="2" s="1"/>
  <c r="J31" i="2" s="1"/>
  <c r="F31" i="2" s="1"/>
  <c r="E110" i="1"/>
  <c r="D111" i="1"/>
  <c r="M112" i="3" l="1"/>
  <c r="N112" i="3"/>
  <c r="D642" i="1"/>
  <c r="E641" i="1"/>
  <c r="R111" i="3"/>
  <c r="S111" i="3"/>
  <c r="T111" i="3"/>
  <c r="I113" i="3"/>
  <c r="F113" i="3" s="1"/>
  <c r="Q112" i="3"/>
  <c r="D112" i="3"/>
  <c r="K112" i="3"/>
  <c r="J112" i="3" s="1"/>
  <c r="A112" i="3" s="1"/>
  <c r="B112" i="3"/>
  <c r="P112" i="3"/>
  <c r="E112" i="3"/>
  <c r="C111" i="3"/>
  <c r="E32" i="2"/>
  <c r="C32" i="2"/>
  <c r="A32" i="2"/>
  <c r="B32" i="2"/>
  <c r="L32" i="2"/>
  <c r="K32" i="2" s="1"/>
  <c r="J32" i="2" s="1"/>
  <c r="F32" i="2" s="1"/>
  <c r="D32" i="2"/>
  <c r="H33" i="2"/>
  <c r="D112" i="1"/>
  <c r="E111" i="1"/>
  <c r="M113" i="3" l="1"/>
  <c r="N113" i="3"/>
  <c r="D643" i="1"/>
  <c r="E642" i="1"/>
  <c r="R112" i="3"/>
  <c r="S112" i="3"/>
  <c r="T112" i="3"/>
  <c r="K113" i="3"/>
  <c r="J113" i="3" s="1"/>
  <c r="A113" i="3" s="1"/>
  <c r="I114" i="3"/>
  <c r="F114" i="3" s="1"/>
  <c r="D113" i="3"/>
  <c r="P113" i="3"/>
  <c r="B113" i="3"/>
  <c r="E113" i="3"/>
  <c r="Q113" i="3"/>
  <c r="A33" i="2"/>
  <c r="H34" i="2"/>
  <c r="D33" i="2"/>
  <c r="B33" i="2"/>
  <c r="C33" i="2"/>
  <c r="E33" i="2"/>
  <c r="L33" i="2"/>
  <c r="K33" i="2" s="1"/>
  <c r="J33" i="2" s="1"/>
  <c r="F33" i="2" s="1"/>
  <c r="E112" i="1"/>
  <c r="D113" i="1"/>
  <c r="N114" i="3" l="1"/>
  <c r="M114" i="3"/>
  <c r="D644" i="1"/>
  <c r="E643" i="1"/>
  <c r="C112" i="3"/>
  <c r="T113" i="3"/>
  <c r="S113" i="3"/>
  <c r="R113" i="3"/>
  <c r="C113" i="3"/>
  <c r="K114" i="3"/>
  <c r="J114" i="3" s="1"/>
  <c r="A114" i="3" s="1"/>
  <c r="Q114" i="3"/>
  <c r="B114" i="3"/>
  <c r="E114" i="3"/>
  <c r="D114" i="3"/>
  <c r="I115" i="3"/>
  <c r="F115" i="3" s="1"/>
  <c r="P114" i="3"/>
  <c r="L34" i="2"/>
  <c r="K34" i="2" s="1"/>
  <c r="J34" i="2" s="1"/>
  <c r="F34" i="2" s="1"/>
  <c r="D34" i="2"/>
  <c r="C34" i="2"/>
  <c r="A34" i="2"/>
  <c r="E34" i="2"/>
  <c r="B34" i="2"/>
  <c r="H35" i="2"/>
  <c r="E113" i="1"/>
  <c r="D114" i="1"/>
  <c r="M115" i="3" l="1"/>
  <c r="N115" i="3"/>
  <c r="D645" i="1"/>
  <c r="E644" i="1"/>
  <c r="I116" i="3"/>
  <c r="F116" i="3" s="1"/>
  <c r="E115" i="3"/>
  <c r="D115" i="3"/>
  <c r="B115" i="3"/>
  <c r="Q115" i="3"/>
  <c r="K115" i="3"/>
  <c r="J115" i="3" s="1"/>
  <c r="A115" i="3" s="1"/>
  <c r="P115" i="3"/>
  <c r="S114" i="3"/>
  <c r="T114" i="3"/>
  <c r="R114" i="3"/>
  <c r="C114" i="3"/>
  <c r="C35" i="2"/>
  <c r="H36" i="2"/>
  <c r="D35" i="2"/>
  <c r="A35" i="2"/>
  <c r="E35" i="2"/>
  <c r="B35" i="2"/>
  <c r="L35" i="2"/>
  <c r="D115" i="1"/>
  <c r="E114" i="1"/>
  <c r="N116" i="3" l="1"/>
  <c r="M116" i="3"/>
  <c r="D646" i="1"/>
  <c r="E645" i="1"/>
  <c r="S115" i="3"/>
  <c r="T115" i="3"/>
  <c r="R115" i="3"/>
  <c r="C115" i="3" s="1"/>
  <c r="Q116" i="3"/>
  <c r="K116" i="3"/>
  <c r="B116" i="3"/>
  <c r="D116" i="3"/>
  <c r="P116" i="3"/>
  <c r="I117" i="3"/>
  <c r="F117" i="3" s="1"/>
  <c r="E116" i="3"/>
  <c r="K35" i="2"/>
  <c r="J35" i="2" s="1"/>
  <c r="F35" i="2" s="1"/>
  <c r="H37" i="2"/>
  <c r="A36" i="2"/>
  <c r="C36" i="2"/>
  <c r="L36" i="2"/>
  <c r="K36" i="2" s="1"/>
  <c r="J36" i="2" s="1"/>
  <c r="F36" i="2" s="1"/>
  <c r="D36" i="2"/>
  <c r="B36" i="2"/>
  <c r="E36" i="2"/>
  <c r="E115" i="1"/>
  <c r="D116" i="1"/>
  <c r="N117" i="3" l="1"/>
  <c r="M117" i="3"/>
  <c r="D647" i="1"/>
  <c r="E646" i="1"/>
  <c r="Q117" i="3"/>
  <c r="I118" i="3"/>
  <c r="F118" i="3" s="1"/>
  <c r="D117" i="3"/>
  <c r="E117" i="3"/>
  <c r="B117" i="3"/>
  <c r="K117" i="3"/>
  <c r="J117" i="3" s="1"/>
  <c r="A117" i="3" s="1"/>
  <c r="P117" i="3"/>
  <c r="T116" i="3"/>
  <c r="R116" i="3"/>
  <c r="S116" i="3"/>
  <c r="J116" i="3"/>
  <c r="A116" i="3" s="1"/>
  <c r="D37" i="2"/>
  <c r="A37" i="2"/>
  <c r="H38" i="2"/>
  <c r="C37" i="2"/>
  <c r="E37" i="2"/>
  <c r="B37" i="2"/>
  <c r="L37" i="2"/>
  <c r="K37" i="2" s="1"/>
  <c r="J37" i="2" s="1"/>
  <c r="F37" i="2" s="1"/>
  <c r="D117" i="1"/>
  <c r="E116" i="1"/>
  <c r="N118" i="3" l="1"/>
  <c r="M118" i="3"/>
  <c r="C117" i="3"/>
  <c r="D648" i="1"/>
  <c r="E647" i="1"/>
  <c r="C116" i="3"/>
  <c r="B118" i="3"/>
  <c r="E118" i="3"/>
  <c r="K118" i="3"/>
  <c r="P118" i="3"/>
  <c r="D118" i="3"/>
  <c r="I119" i="3"/>
  <c r="F119" i="3" s="1"/>
  <c r="Q118" i="3"/>
  <c r="T117" i="3"/>
  <c r="R117" i="3"/>
  <c r="S117" i="3"/>
  <c r="A38" i="2"/>
  <c r="H39" i="2"/>
  <c r="B38" i="2"/>
  <c r="C38" i="2"/>
  <c r="D38" i="2"/>
  <c r="L38" i="2"/>
  <c r="K38" i="2" s="1"/>
  <c r="J38" i="2" s="1"/>
  <c r="F38" i="2" s="1"/>
  <c r="E38" i="2"/>
  <c r="E117" i="1"/>
  <c r="D118" i="1"/>
  <c r="M119" i="3" l="1"/>
  <c r="N119" i="3"/>
  <c r="D649" i="1"/>
  <c r="E649" i="1" s="1"/>
  <c r="E648" i="1"/>
  <c r="C118" i="3"/>
  <c r="T118" i="3"/>
  <c r="S118" i="3"/>
  <c r="R118" i="3"/>
  <c r="I120" i="3"/>
  <c r="F120" i="3" s="1"/>
  <c r="E119" i="3"/>
  <c r="Q119" i="3"/>
  <c r="D119" i="3"/>
  <c r="K119" i="3"/>
  <c r="B119" i="3"/>
  <c r="P119" i="3"/>
  <c r="J118" i="3"/>
  <c r="A118" i="3" s="1"/>
  <c r="D39" i="2"/>
  <c r="L39" i="2"/>
  <c r="K39" i="2" s="1"/>
  <c r="J39" i="2" s="1"/>
  <c r="F39" i="2" s="1"/>
  <c r="B39" i="2"/>
  <c r="A39" i="2"/>
  <c r="C39" i="2"/>
  <c r="E39" i="2"/>
  <c r="H40" i="2"/>
  <c r="D119" i="1"/>
  <c r="E118" i="1"/>
  <c r="M120" i="3" l="1"/>
  <c r="N120" i="3"/>
  <c r="J119" i="3"/>
  <c r="A119" i="3" s="1"/>
  <c r="K120" i="3"/>
  <c r="D120" i="3"/>
  <c r="Q120" i="3"/>
  <c r="P120" i="3"/>
  <c r="B120" i="3"/>
  <c r="E120" i="3"/>
  <c r="I121" i="3"/>
  <c r="F121" i="3" s="1"/>
  <c r="R119" i="3"/>
  <c r="S119" i="3"/>
  <c r="T119" i="3"/>
  <c r="D40" i="2"/>
  <c r="B40" i="2"/>
  <c r="H41" i="2"/>
  <c r="E40" i="2"/>
  <c r="A40" i="2"/>
  <c r="L40" i="2"/>
  <c r="K40" i="2" s="1"/>
  <c r="J40" i="2" s="1"/>
  <c r="F40" i="2" s="1"/>
  <c r="C40" i="2"/>
  <c r="E119" i="1"/>
  <c r="D120" i="1"/>
  <c r="M121" i="3" l="1"/>
  <c r="N121" i="3"/>
  <c r="C119" i="3"/>
  <c r="K121" i="3"/>
  <c r="J121" i="3" s="1"/>
  <c r="A121" i="3" s="1"/>
  <c r="D121" i="3"/>
  <c r="I122" i="3"/>
  <c r="F122" i="3" s="1"/>
  <c r="B121" i="3"/>
  <c r="P121" i="3"/>
  <c r="Q121" i="3"/>
  <c r="E121" i="3"/>
  <c r="R120" i="3"/>
  <c r="T120" i="3"/>
  <c r="S120" i="3"/>
  <c r="J120" i="3"/>
  <c r="A120" i="3" s="1"/>
  <c r="D41" i="2"/>
  <c r="L41" i="2"/>
  <c r="K41" i="2" s="1"/>
  <c r="J41" i="2" s="1"/>
  <c r="F41" i="2" s="1"/>
  <c r="A41" i="2"/>
  <c r="H42" i="2"/>
  <c r="E41" i="2"/>
  <c r="B41" i="2"/>
  <c r="C41" i="2"/>
  <c r="E120" i="1"/>
  <c r="D121" i="1"/>
  <c r="N122" i="3" l="1"/>
  <c r="M122" i="3"/>
  <c r="C120" i="3"/>
  <c r="C121" i="3"/>
  <c r="T121" i="3"/>
  <c r="S121" i="3"/>
  <c r="R121" i="3"/>
  <c r="I123" i="3"/>
  <c r="F123" i="3" s="1"/>
  <c r="P122" i="3"/>
  <c r="K122" i="3"/>
  <c r="J122" i="3" s="1"/>
  <c r="A122" i="3" s="1"/>
  <c r="B122" i="3"/>
  <c r="Q122" i="3"/>
  <c r="D122" i="3"/>
  <c r="E122" i="3"/>
  <c r="B42" i="2"/>
  <c r="E42" i="2"/>
  <c r="L42" i="2"/>
  <c r="K42" i="2" s="1"/>
  <c r="J42" i="2" s="1"/>
  <c r="F42" i="2" s="1"/>
  <c r="H43" i="2"/>
  <c r="D42" i="2"/>
  <c r="A42" i="2"/>
  <c r="C42" i="2"/>
  <c r="E121" i="1"/>
  <c r="D122" i="1"/>
  <c r="N123" i="3" l="1"/>
  <c r="M123" i="3"/>
  <c r="S122" i="3"/>
  <c r="R122" i="3"/>
  <c r="T122" i="3"/>
  <c r="C122" i="3"/>
  <c r="D123" i="3"/>
  <c r="E123" i="3"/>
  <c r="B123" i="3"/>
  <c r="P123" i="3"/>
  <c r="Q123" i="3"/>
  <c r="A123" i="3"/>
  <c r="K123" i="3"/>
  <c r="I124" i="3"/>
  <c r="F124" i="3" s="1"/>
  <c r="L43" i="2"/>
  <c r="K43" i="2" s="1"/>
  <c r="J43" i="2" s="1"/>
  <c r="F43" i="2" s="1"/>
  <c r="D43" i="2"/>
  <c r="A43" i="2"/>
  <c r="E43" i="2"/>
  <c r="C43" i="2"/>
  <c r="H44" i="2"/>
  <c r="B43" i="2"/>
  <c r="E122" i="1"/>
  <c r="D123" i="1"/>
  <c r="N124" i="3" l="1"/>
  <c r="M124" i="3"/>
  <c r="C123" i="3"/>
  <c r="Q124" i="3"/>
  <c r="P124" i="3"/>
  <c r="A124" i="3"/>
  <c r="I125" i="3"/>
  <c r="F125" i="3" s="1"/>
  <c r="D124" i="3"/>
  <c r="B124" i="3"/>
  <c r="E124" i="3"/>
  <c r="K124" i="3"/>
  <c r="J124" i="3" s="1"/>
  <c r="R123" i="3"/>
  <c r="T123" i="3"/>
  <c r="S123" i="3"/>
  <c r="J123" i="3"/>
  <c r="E44" i="2"/>
  <c r="C44" i="2"/>
  <c r="H45" i="2"/>
  <c r="D44" i="2"/>
  <c r="B44" i="2"/>
  <c r="L44" i="2"/>
  <c r="K44" i="2" s="1"/>
  <c r="J44" i="2" s="1"/>
  <c r="F44" i="2" s="1"/>
  <c r="A44" i="2"/>
  <c r="D124" i="1"/>
  <c r="E123" i="1"/>
  <c r="M125" i="3" l="1"/>
  <c r="N125" i="3"/>
  <c r="C124" i="3"/>
  <c r="K125" i="3"/>
  <c r="J125" i="3" s="1"/>
  <c r="B125" i="3"/>
  <c r="Q125" i="3"/>
  <c r="P125" i="3"/>
  <c r="A125" i="3"/>
  <c r="D125" i="3"/>
  <c r="E125" i="3"/>
  <c r="I126" i="3"/>
  <c r="F126" i="3" s="1"/>
  <c r="T124" i="3"/>
  <c r="S124" i="3"/>
  <c r="R124" i="3"/>
  <c r="H46" i="2"/>
  <c r="E45" i="2"/>
  <c r="A45" i="2"/>
  <c r="L45" i="2"/>
  <c r="C45" i="2"/>
  <c r="B45" i="2"/>
  <c r="D45" i="2"/>
  <c r="D125" i="1"/>
  <c r="E124" i="1"/>
  <c r="M126" i="3" l="1"/>
  <c r="N126" i="3"/>
  <c r="R125" i="3"/>
  <c r="T125" i="3"/>
  <c r="S125" i="3"/>
  <c r="Q126" i="3"/>
  <c r="E126" i="3"/>
  <c r="I127" i="3"/>
  <c r="F127" i="3" s="1"/>
  <c r="P126" i="3"/>
  <c r="D126" i="3"/>
  <c r="A126" i="3"/>
  <c r="K126" i="3"/>
  <c r="B126" i="3"/>
  <c r="C125" i="3"/>
  <c r="A46" i="2"/>
  <c r="C46" i="2"/>
  <c r="D46" i="2"/>
  <c r="B46" i="2"/>
  <c r="H47" i="2"/>
  <c r="E46" i="2"/>
  <c r="L46" i="2"/>
  <c r="K45" i="2"/>
  <c r="J45" i="2" s="1"/>
  <c r="F45" i="2" s="1"/>
  <c r="E125" i="1"/>
  <c r="D126" i="1"/>
  <c r="N127" i="3" l="1"/>
  <c r="M127" i="3"/>
  <c r="C126" i="3"/>
  <c r="S126" i="3"/>
  <c r="R126" i="3"/>
  <c r="T126" i="3"/>
  <c r="I128" i="3"/>
  <c r="F128" i="3" s="1"/>
  <c r="A127" i="3"/>
  <c r="E127" i="3"/>
  <c r="K127" i="3"/>
  <c r="J127" i="3" s="1"/>
  <c r="Q127" i="3"/>
  <c r="B127" i="3"/>
  <c r="P127" i="3"/>
  <c r="D127" i="3"/>
  <c r="J126" i="3"/>
  <c r="C47" i="2"/>
  <c r="B47" i="2"/>
  <c r="E47" i="2"/>
  <c r="A47" i="2"/>
  <c r="L47" i="2"/>
  <c r="H48" i="2"/>
  <c r="D47" i="2"/>
  <c r="K46" i="2"/>
  <c r="J46" i="2" s="1"/>
  <c r="F46" i="2" s="1"/>
  <c r="E126" i="1"/>
  <c r="D127" i="1"/>
  <c r="M128" i="3" l="1"/>
  <c r="N128" i="3"/>
  <c r="C127" i="3"/>
  <c r="R127" i="3"/>
  <c r="S127" i="3"/>
  <c r="T127" i="3"/>
  <c r="B128" i="3"/>
  <c r="A128" i="3"/>
  <c r="D128" i="3"/>
  <c r="E128" i="3"/>
  <c r="K128" i="3"/>
  <c r="J128" i="3" s="1"/>
  <c r="I129" i="3"/>
  <c r="F129" i="3" s="1"/>
  <c r="Q128" i="3"/>
  <c r="P128" i="3"/>
  <c r="C48" i="2"/>
  <c r="D48" i="2"/>
  <c r="L48" i="2"/>
  <c r="H49" i="2"/>
  <c r="A48" i="2"/>
  <c r="B48" i="2"/>
  <c r="E48" i="2"/>
  <c r="K47" i="2"/>
  <c r="J47" i="2" s="1"/>
  <c r="F47" i="2" s="1"/>
  <c r="E127" i="1"/>
  <c r="D128" i="1"/>
  <c r="M129" i="3" l="1"/>
  <c r="N129" i="3"/>
  <c r="T128" i="3"/>
  <c r="R128" i="3"/>
  <c r="S128" i="3"/>
  <c r="I130" i="3"/>
  <c r="F130" i="3" s="1"/>
  <c r="Q129" i="3"/>
  <c r="B129" i="3"/>
  <c r="K129" i="3"/>
  <c r="J129" i="3" s="1"/>
  <c r="A129" i="3"/>
  <c r="D129" i="3"/>
  <c r="E129" i="3"/>
  <c r="P129" i="3"/>
  <c r="C128" i="3"/>
  <c r="L49" i="2"/>
  <c r="B49" i="2"/>
  <c r="D49" i="2"/>
  <c r="C49" i="2"/>
  <c r="A49" i="2"/>
  <c r="H50" i="2"/>
  <c r="E49" i="2"/>
  <c r="K48" i="2"/>
  <c r="J48" i="2" s="1"/>
  <c r="F48" i="2" s="1"/>
  <c r="D129" i="1"/>
  <c r="E128" i="1"/>
  <c r="N130" i="3" l="1"/>
  <c r="M130" i="3"/>
  <c r="C129" i="3"/>
  <c r="S129" i="3"/>
  <c r="R129" i="3"/>
  <c r="T129" i="3"/>
  <c r="I131" i="3"/>
  <c r="F131" i="3" s="1"/>
  <c r="E130" i="3"/>
  <c r="B130" i="3"/>
  <c r="A130" i="3"/>
  <c r="D130" i="3"/>
  <c r="K130" i="3"/>
  <c r="J130" i="3" s="1"/>
  <c r="P130" i="3"/>
  <c r="Q130" i="3"/>
  <c r="C50" i="2"/>
  <c r="B50" i="2"/>
  <c r="L50" i="2"/>
  <c r="E50" i="2"/>
  <c r="D50" i="2"/>
  <c r="H51" i="2"/>
  <c r="A50" i="2"/>
  <c r="K49" i="2"/>
  <c r="J49" i="2" s="1"/>
  <c r="F49" i="2" s="1"/>
  <c r="D130" i="1"/>
  <c r="E129" i="1"/>
  <c r="M131" i="3" l="1"/>
  <c r="N131" i="3"/>
  <c r="T130" i="3"/>
  <c r="R130" i="3"/>
  <c r="S130" i="3"/>
  <c r="I132" i="3"/>
  <c r="F132" i="3" s="1"/>
  <c r="D131" i="3"/>
  <c r="A131" i="3"/>
  <c r="Q131" i="3"/>
  <c r="K131" i="3"/>
  <c r="J131" i="3" s="1"/>
  <c r="B131" i="3"/>
  <c r="P131" i="3"/>
  <c r="E131" i="3"/>
  <c r="C130" i="3"/>
  <c r="K50" i="2"/>
  <c r="J50" i="2" s="1"/>
  <c r="F50" i="2" s="1"/>
  <c r="E51" i="2"/>
  <c r="C51" i="2"/>
  <c r="D51" i="2"/>
  <c r="L51" i="2"/>
  <c r="H52" i="2"/>
  <c r="A51" i="2"/>
  <c r="B51" i="2"/>
  <c r="E130" i="1"/>
  <c r="D131" i="1"/>
  <c r="N132" i="3" l="1"/>
  <c r="M132" i="3"/>
  <c r="C131" i="3"/>
  <c r="T131" i="3"/>
  <c r="R131" i="3"/>
  <c r="S131" i="3"/>
  <c r="E132" i="3"/>
  <c r="B132" i="3"/>
  <c r="Q132" i="3"/>
  <c r="P132" i="3"/>
  <c r="I133" i="3"/>
  <c r="F133" i="3" s="1"/>
  <c r="K132" i="3"/>
  <c r="A132" i="3"/>
  <c r="D132" i="3"/>
  <c r="B52" i="2"/>
  <c r="D52" i="2"/>
  <c r="L52" i="2"/>
  <c r="H53" i="2"/>
  <c r="C52" i="2"/>
  <c r="E52" i="2"/>
  <c r="A52" i="2"/>
  <c r="K51" i="2"/>
  <c r="J51" i="2" s="1"/>
  <c r="F51" i="2" s="1"/>
  <c r="E131" i="1"/>
  <c r="D132" i="1"/>
  <c r="N133" i="3" l="1"/>
  <c r="M133" i="3"/>
  <c r="C132" i="3"/>
  <c r="E133" i="3"/>
  <c r="B133" i="3"/>
  <c r="P133" i="3"/>
  <c r="A133" i="3"/>
  <c r="K133" i="3"/>
  <c r="J133" i="3" s="1"/>
  <c r="D133" i="3"/>
  <c r="I134" i="3"/>
  <c r="F134" i="3" s="1"/>
  <c r="Q133" i="3"/>
  <c r="T132" i="3"/>
  <c r="S132" i="3"/>
  <c r="R132" i="3"/>
  <c r="J132" i="3"/>
  <c r="B53" i="2"/>
  <c r="E53" i="2"/>
  <c r="H54" i="2"/>
  <c r="D53" i="2"/>
  <c r="C53" i="2"/>
  <c r="L53" i="2"/>
  <c r="A53" i="2"/>
  <c r="K52" i="2"/>
  <c r="J52" i="2" s="1"/>
  <c r="F52" i="2" s="1"/>
  <c r="D133" i="1"/>
  <c r="E132" i="1"/>
  <c r="N134" i="3" l="1"/>
  <c r="M134" i="3"/>
  <c r="K134" i="3"/>
  <c r="J134" i="3" s="1"/>
  <c r="A134" i="3"/>
  <c r="I135" i="3"/>
  <c r="F135" i="3" s="1"/>
  <c r="E134" i="3"/>
  <c r="Q134" i="3"/>
  <c r="B134" i="3"/>
  <c r="D134" i="3"/>
  <c r="P134" i="3"/>
  <c r="C133" i="3"/>
  <c r="S133" i="3"/>
  <c r="R133" i="3"/>
  <c r="T133" i="3"/>
  <c r="L54" i="2"/>
  <c r="D54" i="2"/>
  <c r="C54" i="2"/>
  <c r="H55" i="2"/>
  <c r="E54" i="2"/>
  <c r="A54" i="2"/>
  <c r="B54" i="2"/>
  <c r="K53" i="2"/>
  <c r="J53" i="2" s="1"/>
  <c r="F53" i="2" s="1"/>
  <c r="D134" i="1"/>
  <c r="E133" i="1"/>
  <c r="M135" i="3" l="1"/>
  <c r="N135" i="3"/>
  <c r="C134" i="3"/>
  <c r="Q135" i="3"/>
  <c r="K135" i="3"/>
  <c r="J135" i="3" s="1"/>
  <c r="B135" i="3"/>
  <c r="E135" i="3"/>
  <c r="A135" i="3"/>
  <c r="P135" i="3"/>
  <c r="I136" i="3"/>
  <c r="F136" i="3" s="1"/>
  <c r="D135" i="3"/>
  <c r="R134" i="3"/>
  <c r="S134" i="3"/>
  <c r="T134" i="3"/>
  <c r="K54" i="2"/>
  <c r="J54" i="2" s="1"/>
  <c r="F54" i="2" s="1"/>
  <c r="L55" i="2"/>
  <c r="E55" i="2"/>
  <c r="B55" i="2"/>
  <c r="D55" i="2"/>
  <c r="H56" i="2"/>
  <c r="A55" i="2"/>
  <c r="C55" i="2"/>
  <c r="D135" i="1"/>
  <c r="E134" i="1"/>
  <c r="N136" i="3" l="1"/>
  <c r="M136" i="3"/>
  <c r="C135" i="3"/>
  <c r="A136" i="3"/>
  <c r="B136" i="3"/>
  <c r="I137" i="3"/>
  <c r="F137" i="3" s="1"/>
  <c r="E136" i="3"/>
  <c r="Q136" i="3"/>
  <c r="K136" i="3"/>
  <c r="J136" i="3" s="1"/>
  <c r="P136" i="3"/>
  <c r="D136" i="3"/>
  <c r="R135" i="3"/>
  <c r="S135" i="3"/>
  <c r="T135" i="3"/>
  <c r="A56" i="2"/>
  <c r="H57" i="2"/>
  <c r="B56" i="2"/>
  <c r="E56" i="2"/>
  <c r="L56" i="2"/>
  <c r="D56" i="2"/>
  <c r="C56" i="2"/>
  <c r="K55" i="2"/>
  <c r="J55" i="2" s="1"/>
  <c r="F55" i="2" s="1"/>
  <c r="D136" i="1"/>
  <c r="E135" i="1"/>
  <c r="M137" i="3" l="1"/>
  <c r="N137" i="3"/>
  <c r="D137" i="3"/>
  <c r="B137" i="3"/>
  <c r="E137" i="3"/>
  <c r="K137" i="3"/>
  <c r="I138" i="3"/>
  <c r="F138" i="3" s="1"/>
  <c r="P137" i="3"/>
  <c r="A137" i="3"/>
  <c r="Q137" i="3"/>
  <c r="R136" i="3"/>
  <c r="S136" i="3"/>
  <c r="T136" i="3"/>
  <c r="C136" i="3"/>
  <c r="L57" i="2"/>
  <c r="C57" i="2"/>
  <c r="B57" i="2"/>
  <c r="A57" i="2"/>
  <c r="D57" i="2"/>
  <c r="F57" i="2"/>
  <c r="E57" i="2"/>
  <c r="H58" i="2"/>
  <c r="K56" i="2"/>
  <c r="J56" i="2" s="1"/>
  <c r="F56" i="2" s="1"/>
  <c r="D137" i="1"/>
  <c r="E136" i="1"/>
  <c r="N138" i="3" l="1"/>
  <c r="M138" i="3"/>
  <c r="S137" i="3"/>
  <c r="T137" i="3"/>
  <c r="R137" i="3"/>
  <c r="C137" i="3"/>
  <c r="A138" i="3"/>
  <c r="I139" i="3"/>
  <c r="F139" i="3" s="1"/>
  <c r="D138" i="3"/>
  <c r="E138" i="3"/>
  <c r="K138" i="3"/>
  <c r="J138" i="3" s="1"/>
  <c r="B138" i="3"/>
  <c r="Q138" i="3"/>
  <c r="P138" i="3"/>
  <c r="J137" i="3"/>
  <c r="H59" i="2"/>
  <c r="D58" i="2"/>
  <c r="C58" i="2"/>
  <c r="L58" i="2"/>
  <c r="E58" i="2"/>
  <c r="F58" i="2"/>
  <c r="A58" i="2"/>
  <c r="B58" i="2"/>
  <c r="J57" i="2"/>
  <c r="K57" i="2"/>
  <c r="D138" i="1"/>
  <c r="E137" i="1"/>
  <c r="N139" i="3" l="1"/>
  <c r="M139" i="3"/>
  <c r="C138" i="3"/>
  <c r="B139" i="3"/>
  <c r="D139" i="3"/>
  <c r="P139" i="3"/>
  <c r="I140" i="3"/>
  <c r="F140" i="3" s="1"/>
  <c r="E139" i="3"/>
  <c r="K139" i="3"/>
  <c r="Q139" i="3"/>
  <c r="A139" i="3"/>
  <c r="R138" i="3"/>
  <c r="S138" i="3"/>
  <c r="T138" i="3"/>
  <c r="B59" i="2"/>
  <c r="E59" i="2"/>
  <c r="F59" i="2"/>
  <c r="D59" i="2"/>
  <c r="C59" i="2"/>
  <c r="A59" i="2"/>
  <c r="L59" i="2"/>
  <c r="H60" i="2"/>
  <c r="J58" i="2"/>
  <c r="K58" i="2"/>
  <c r="D139" i="1"/>
  <c r="E138" i="1"/>
  <c r="N140" i="3" l="1"/>
  <c r="M140" i="3"/>
  <c r="C139" i="3"/>
  <c r="P140" i="3"/>
  <c r="Q140" i="3"/>
  <c r="E140" i="3"/>
  <c r="B140" i="3"/>
  <c r="A140" i="3"/>
  <c r="I141" i="3"/>
  <c r="F141" i="3" s="1"/>
  <c r="D140" i="3"/>
  <c r="K140" i="3"/>
  <c r="J139" i="3"/>
  <c r="R139" i="3"/>
  <c r="S139" i="3"/>
  <c r="T139" i="3"/>
  <c r="B60" i="2"/>
  <c r="F60" i="2"/>
  <c r="C60" i="2"/>
  <c r="E60" i="2"/>
  <c r="D60" i="2"/>
  <c r="L60" i="2"/>
  <c r="A60" i="2"/>
  <c r="H61" i="2"/>
  <c r="J59" i="2"/>
  <c r="K59" i="2"/>
  <c r="D140" i="1"/>
  <c r="E139" i="1"/>
  <c r="N141" i="3" l="1"/>
  <c r="M141" i="3"/>
  <c r="C140" i="3"/>
  <c r="D141" i="3"/>
  <c r="K141" i="3"/>
  <c r="A141" i="3"/>
  <c r="E141" i="3"/>
  <c r="I142" i="3"/>
  <c r="F142" i="3" s="1"/>
  <c r="Q141" i="3"/>
  <c r="B141" i="3"/>
  <c r="P141" i="3"/>
  <c r="J140" i="3"/>
  <c r="S140" i="3"/>
  <c r="T140" i="3"/>
  <c r="R140" i="3"/>
  <c r="D61" i="2"/>
  <c r="L61" i="2"/>
  <c r="B61" i="2"/>
  <c r="A61" i="2"/>
  <c r="E61" i="2"/>
  <c r="C61" i="2"/>
  <c r="F61" i="2"/>
  <c r="H62" i="2"/>
  <c r="J60" i="2"/>
  <c r="K60" i="2"/>
  <c r="D141" i="1"/>
  <c r="E140" i="1"/>
  <c r="M142" i="3" l="1"/>
  <c r="N142" i="3"/>
  <c r="C141" i="3"/>
  <c r="D142" i="3"/>
  <c r="K142" i="3"/>
  <c r="J142" i="3" s="1"/>
  <c r="P142" i="3"/>
  <c r="B142" i="3"/>
  <c r="Q142" i="3"/>
  <c r="A142" i="3"/>
  <c r="I143" i="3"/>
  <c r="F143" i="3" s="1"/>
  <c r="E142" i="3"/>
  <c r="S141" i="3"/>
  <c r="R141" i="3"/>
  <c r="T141" i="3"/>
  <c r="J141" i="3"/>
  <c r="J61" i="2"/>
  <c r="K61" i="2"/>
  <c r="B62" i="2"/>
  <c r="H63" i="2"/>
  <c r="E62" i="2"/>
  <c r="A62" i="2"/>
  <c r="C62" i="2"/>
  <c r="L62" i="2"/>
  <c r="D62" i="2"/>
  <c r="F62" i="2"/>
  <c r="D142" i="1"/>
  <c r="E141" i="1"/>
  <c r="N143" i="3" l="1"/>
  <c r="M143" i="3"/>
  <c r="T142" i="3"/>
  <c r="S142" i="3"/>
  <c r="R142" i="3"/>
  <c r="B143" i="3"/>
  <c r="E143" i="3"/>
  <c r="D143" i="3"/>
  <c r="P143" i="3"/>
  <c r="A143" i="3"/>
  <c r="K143" i="3"/>
  <c r="Q143" i="3"/>
  <c r="I144" i="3"/>
  <c r="F144" i="3" s="1"/>
  <c r="C142" i="3"/>
  <c r="J62" i="2"/>
  <c r="K62" i="2"/>
  <c r="L63" i="2"/>
  <c r="C63" i="2"/>
  <c r="B63" i="2"/>
  <c r="F63" i="2"/>
  <c r="A63" i="2"/>
  <c r="E63" i="2"/>
  <c r="D63" i="2"/>
  <c r="H64" i="2"/>
  <c r="D143" i="1"/>
  <c r="E142" i="1"/>
  <c r="N144" i="3" l="1"/>
  <c r="M144" i="3"/>
  <c r="A144" i="3"/>
  <c r="D144" i="3"/>
  <c r="Q144" i="3"/>
  <c r="I145" i="3"/>
  <c r="F145" i="3" s="1"/>
  <c r="E144" i="3"/>
  <c r="K144" i="3"/>
  <c r="J144" i="3" s="1"/>
  <c r="P144" i="3"/>
  <c r="B144" i="3"/>
  <c r="R143" i="3"/>
  <c r="S143" i="3"/>
  <c r="T143" i="3"/>
  <c r="C143" i="3"/>
  <c r="J143" i="3"/>
  <c r="D64" i="2"/>
  <c r="C64" i="2"/>
  <c r="E64" i="2"/>
  <c r="B64" i="2"/>
  <c r="H65" i="2"/>
  <c r="F64" i="2"/>
  <c r="L64" i="2"/>
  <c r="A64" i="2"/>
  <c r="J63" i="2"/>
  <c r="K63" i="2"/>
  <c r="D144" i="1"/>
  <c r="E143" i="1"/>
  <c r="M145" i="3" l="1"/>
  <c r="N145" i="3"/>
  <c r="T144" i="3"/>
  <c r="R144" i="3"/>
  <c r="S144" i="3"/>
  <c r="C144" i="3"/>
  <c r="D145" i="3"/>
  <c r="E145" i="3"/>
  <c r="B145" i="3"/>
  <c r="I146" i="3"/>
  <c r="F146" i="3" s="1"/>
  <c r="P145" i="3"/>
  <c r="K145" i="3"/>
  <c r="A145" i="3"/>
  <c r="Q145" i="3"/>
  <c r="C65" i="2"/>
  <c r="E65" i="2"/>
  <c r="A65" i="2"/>
  <c r="L65" i="2"/>
  <c r="F65" i="2"/>
  <c r="D65" i="2"/>
  <c r="B65" i="2"/>
  <c r="H66" i="2"/>
  <c r="J64" i="2"/>
  <c r="K64" i="2"/>
  <c r="D145" i="1"/>
  <c r="E144" i="1"/>
  <c r="N146" i="3" l="1"/>
  <c r="M146" i="3"/>
  <c r="S145" i="3"/>
  <c r="R145" i="3"/>
  <c r="T145" i="3"/>
  <c r="I147" i="3"/>
  <c r="F147" i="3" s="1"/>
  <c r="E146" i="3"/>
  <c r="K146" i="3"/>
  <c r="J146" i="3" s="1"/>
  <c r="A146" i="3"/>
  <c r="D146" i="3"/>
  <c r="B146" i="3"/>
  <c r="P146" i="3"/>
  <c r="Q146" i="3"/>
  <c r="C145" i="3"/>
  <c r="J145" i="3"/>
  <c r="E66" i="2"/>
  <c r="D66" i="2"/>
  <c r="A66" i="2"/>
  <c r="L66" i="2"/>
  <c r="B66" i="2"/>
  <c r="H67" i="2"/>
  <c r="C66" i="2"/>
  <c r="F66" i="2"/>
  <c r="J65" i="2"/>
  <c r="K65" i="2"/>
  <c r="D146" i="1"/>
  <c r="E145" i="1"/>
  <c r="M147" i="3" l="1"/>
  <c r="N147" i="3"/>
  <c r="C146" i="3"/>
  <c r="R146" i="3"/>
  <c r="S146" i="3"/>
  <c r="T146" i="3"/>
  <c r="I148" i="3"/>
  <c r="F148" i="3" s="1"/>
  <c r="D147" i="3"/>
  <c r="A147" i="3"/>
  <c r="E147" i="3"/>
  <c r="Q147" i="3"/>
  <c r="K147" i="3"/>
  <c r="B147" i="3"/>
  <c r="P147" i="3"/>
  <c r="H68" i="2"/>
  <c r="L67" i="2"/>
  <c r="C67" i="2"/>
  <c r="F67" i="2"/>
  <c r="D67" i="2"/>
  <c r="B67" i="2"/>
  <c r="A67" i="2"/>
  <c r="E67" i="2"/>
  <c r="J66" i="2"/>
  <c r="K66" i="2"/>
  <c r="D147" i="1"/>
  <c r="E146" i="1"/>
  <c r="N148" i="3" l="1"/>
  <c r="M148" i="3"/>
  <c r="C147" i="3"/>
  <c r="T147" i="3"/>
  <c r="R147" i="3"/>
  <c r="S147" i="3"/>
  <c r="E148" i="3"/>
  <c r="B148" i="3"/>
  <c r="I149" i="3"/>
  <c r="F149" i="3" s="1"/>
  <c r="D148" i="3"/>
  <c r="K148" i="3"/>
  <c r="J148" i="3" s="1"/>
  <c r="Q148" i="3"/>
  <c r="P148" i="3"/>
  <c r="A148" i="3"/>
  <c r="J147" i="3"/>
  <c r="J67" i="2"/>
  <c r="K67" i="2"/>
  <c r="F68" i="2"/>
  <c r="C68" i="2"/>
  <c r="B68" i="2"/>
  <c r="A68" i="2"/>
  <c r="E68" i="2"/>
  <c r="D68" i="2"/>
  <c r="L68" i="2"/>
  <c r="H69" i="2"/>
  <c r="D148" i="1"/>
  <c r="E147" i="1"/>
  <c r="N149" i="3" l="1"/>
  <c r="M149" i="3"/>
  <c r="C148" i="3"/>
  <c r="D149" i="3"/>
  <c r="K149" i="3"/>
  <c r="Q149" i="3"/>
  <c r="I150" i="3"/>
  <c r="F150" i="3" s="1"/>
  <c r="P149" i="3"/>
  <c r="A149" i="3"/>
  <c r="B149" i="3"/>
  <c r="E149" i="3"/>
  <c r="T148" i="3"/>
  <c r="S148" i="3"/>
  <c r="R148" i="3"/>
  <c r="D69" i="2"/>
  <c r="C69" i="2"/>
  <c r="E69" i="2"/>
  <c r="L69" i="2"/>
  <c r="B69" i="2"/>
  <c r="H70" i="2"/>
  <c r="F69" i="2"/>
  <c r="A69" i="2"/>
  <c r="J68" i="2"/>
  <c r="K68" i="2"/>
  <c r="D149" i="1"/>
  <c r="E148" i="1"/>
  <c r="N150" i="3" l="1"/>
  <c r="M150" i="3"/>
  <c r="D150" i="3"/>
  <c r="K150" i="3"/>
  <c r="J150" i="3" s="1"/>
  <c r="Q150" i="3"/>
  <c r="B150" i="3"/>
  <c r="I151" i="3"/>
  <c r="F151" i="3" s="1"/>
  <c r="P150" i="3"/>
  <c r="A150" i="3"/>
  <c r="E150" i="3"/>
  <c r="S149" i="3"/>
  <c r="T149" i="3"/>
  <c r="R149" i="3"/>
  <c r="C149" i="3"/>
  <c r="J149" i="3"/>
  <c r="J69" i="2"/>
  <c r="K69" i="2"/>
  <c r="C70" i="2"/>
  <c r="A70" i="2"/>
  <c r="B70" i="2"/>
  <c r="E70" i="2"/>
  <c r="F70" i="2"/>
  <c r="L70" i="2"/>
  <c r="D70" i="2"/>
  <c r="H71" i="2"/>
  <c r="D150" i="1"/>
  <c r="E149" i="1"/>
  <c r="M151" i="3" l="1"/>
  <c r="N151" i="3"/>
  <c r="C150" i="3"/>
  <c r="R150" i="3"/>
  <c r="S150" i="3"/>
  <c r="T150" i="3"/>
  <c r="B151" i="3"/>
  <c r="D151" i="3"/>
  <c r="K151" i="3"/>
  <c r="J151" i="3" s="1"/>
  <c r="I152" i="3"/>
  <c r="F152" i="3" s="1"/>
  <c r="P151" i="3"/>
  <c r="A151" i="3"/>
  <c r="Q151" i="3"/>
  <c r="E151" i="3"/>
  <c r="J70" i="2"/>
  <c r="K70" i="2"/>
  <c r="B71" i="2"/>
  <c r="H72" i="2"/>
  <c r="C71" i="2"/>
  <c r="F71" i="2"/>
  <c r="D71" i="2"/>
  <c r="L71" i="2"/>
  <c r="A71" i="2"/>
  <c r="E71" i="2"/>
  <c r="D151" i="1"/>
  <c r="E150" i="1"/>
  <c r="N152" i="3" l="1"/>
  <c r="M152" i="3"/>
  <c r="C151" i="3"/>
  <c r="K152" i="3"/>
  <c r="B152" i="3"/>
  <c r="P152" i="3"/>
  <c r="Q152" i="3"/>
  <c r="D152" i="3"/>
  <c r="A152" i="3"/>
  <c r="E152" i="3"/>
  <c r="I153" i="3"/>
  <c r="F153" i="3" s="1"/>
  <c r="R151" i="3"/>
  <c r="S151" i="3"/>
  <c r="T151" i="3"/>
  <c r="J71" i="2"/>
  <c r="K71" i="2"/>
  <c r="F72" i="2"/>
  <c r="E72" i="2"/>
  <c r="A72" i="2"/>
  <c r="B72" i="2"/>
  <c r="L72" i="2"/>
  <c r="C72" i="2"/>
  <c r="H73" i="2"/>
  <c r="D72" i="2"/>
  <c r="D152" i="1"/>
  <c r="E151" i="1"/>
  <c r="M153" i="3" l="1"/>
  <c r="N153" i="3"/>
  <c r="D153" i="3"/>
  <c r="K153" i="3"/>
  <c r="J153" i="3" s="1"/>
  <c r="B153" i="3"/>
  <c r="I154" i="3"/>
  <c r="F154" i="3" s="1"/>
  <c r="P153" i="3"/>
  <c r="Q153" i="3"/>
  <c r="A153" i="3"/>
  <c r="E153" i="3"/>
  <c r="R152" i="3"/>
  <c r="S152" i="3"/>
  <c r="T152" i="3"/>
  <c r="C152" i="3"/>
  <c r="J152" i="3"/>
  <c r="D73" i="2"/>
  <c r="F73" i="2"/>
  <c r="C73" i="2"/>
  <c r="H74" i="2"/>
  <c r="A73" i="2"/>
  <c r="L73" i="2"/>
  <c r="B73" i="2"/>
  <c r="E73" i="2"/>
  <c r="J72" i="2"/>
  <c r="K72" i="2"/>
  <c r="D153" i="1"/>
  <c r="E152" i="1"/>
  <c r="N154" i="3" l="1"/>
  <c r="M154" i="3"/>
  <c r="S153" i="3"/>
  <c r="T153" i="3"/>
  <c r="R153" i="3"/>
  <c r="C153" i="3"/>
  <c r="D154" i="3"/>
  <c r="K154" i="3"/>
  <c r="J154" i="3" s="1"/>
  <c r="P154" i="3"/>
  <c r="A154" i="3"/>
  <c r="B154" i="3"/>
  <c r="I155" i="3"/>
  <c r="F155" i="3" s="1"/>
  <c r="Q154" i="3"/>
  <c r="E154" i="3"/>
  <c r="C74" i="2"/>
  <c r="D74" i="2"/>
  <c r="A74" i="2"/>
  <c r="H75" i="2"/>
  <c r="B74" i="2"/>
  <c r="F74" i="2"/>
  <c r="L74" i="2"/>
  <c r="E74" i="2"/>
  <c r="J73" i="2"/>
  <c r="K73" i="2"/>
  <c r="D154" i="1"/>
  <c r="E153" i="1"/>
  <c r="N155" i="3" l="1"/>
  <c r="M155" i="3"/>
  <c r="R154" i="3"/>
  <c r="S154" i="3"/>
  <c r="T154" i="3"/>
  <c r="C154" i="3"/>
  <c r="B155" i="3"/>
  <c r="D155" i="3"/>
  <c r="K155" i="3"/>
  <c r="I156" i="3"/>
  <c r="F156" i="3" s="1"/>
  <c r="P155" i="3"/>
  <c r="A155" i="3"/>
  <c r="Q155" i="3"/>
  <c r="E155" i="3"/>
  <c r="F75" i="2"/>
  <c r="B75" i="2"/>
  <c r="A75" i="2"/>
  <c r="E75" i="2"/>
  <c r="H76" i="2"/>
  <c r="C75" i="2"/>
  <c r="D75" i="2"/>
  <c r="L75" i="2"/>
  <c r="J74" i="2"/>
  <c r="K74" i="2"/>
  <c r="D155" i="1"/>
  <c r="E154" i="1"/>
  <c r="N156" i="3" l="1"/>
  <c r="M156" i="3"/>
  <c r="C155" i="3"/>
  <c r="E156" i="3"/>
  <c r="I157" i="3"/>
  <c r="F157" i="3" s="1"/>
  <c r="K156" i="3"/>
  <c r="J156" i="3" s="1"/>
  <c r="P156" i="3"/>
  <c r="Q156" i="3"/>
  <c r="A156" i="3"/>
  <c r="B156" i="3"/>
  <c r="D156" i="3"/>
  <c r="J155" i="3"/>
  <c r="R155" i="3"/>
  <c r="S155" i="3"/>
  <c r="T155" i="3"/>
  <c r="J75" i="2"/>
  <c r="K75" i="2"/>
  <c r="A76" i="2"/>
  <c r="E76" i="2"/>
  <c r="C76" i="2"/>
  <c r="B76" i="2"/>
  <c r="H77" i="2"/>
  <c r="D76" i="2"/>
  <c r="F76" i="2"/>
  <c r="L76" i="2"/>
  <c r="D156" i="1"/>
  <c r="E155" i="1"/>
  <c r="M157" i="3" l="1"/>
  <c r="N157" i="3"/>
  <c r="T156" i="3"/>
  <c r="R156" i="3"/>
  <c r="S156" i="3"/>
  <c r="A157" i="3"/>
  <c r="B157" i="3"/>
  <c r="E157" i="3"/>
  <c r="D157" i="3"/>
  <c r="K157" i="3"/>
  <c r="J157" i="3" s="1"/>
  <c r="I158" i="3"/>
  <c r="F158" i="3" s="1"/>
  <c r="P157" i="3"/>
  <c r="Q157" i="3"/>
  <c r="C156" i="3"/>
  <c r="C77" i="2"/>
  <c r="E77" i="2"/>
  <c r="L77" i="2"/>
  <c r="F77" i="2"/>
  <c r="B77" i="2"/>
  <c r="H78" i="2"/>
  <c r="A77" i="2"/>
  <c r="D77" i="2"/>
  <c r="J76" i="2"/>
  <c r="K76" i="2"/>
  <c r="D157" i="1"/>
  <c r="E156" i="1"/>
  <c r="M158" i="3" l="1"/>
  <c r="N158" i="3"/>
  <c r="I159" i="3"/>
  <c r="F159" i="3" s="1"/>
  <c r="P158" i="3"/>
  <c r="Q158" i="3"/>
  <c r="B158" i="3"/>
  <c r="A158" i="3"/>
  <c r="E158" i="3"/>
  <c r="D158" i="3"/>
  <c r="K158" i="3"/>
  <c r="T157" i="3"/>
  <c r="R157" i="3"/>
  <c r="S157" i="3"/>
  <c r="C157" i="3"/>
  <c r="B78" i="2"/>
  <c r="D78" i="2"/>
  <c r="C78" i="2"/>
  <c r="F78" i="2"/>
  <c r="L78" i="2"/>
  <c r="H79" i="2"/>
  <c r="A78" i="2"/>
  <c r="E78" i="2"/>
  <c r="J77" i="2"/>
  <c r="K77" i="2"/>
  <c r="D158" i="1"/>
  <c r="E157" i="1"/>
  <c r="N159" i="3" l="1"/>
  <c r="M159" i="3"/>
  <c r="T158" i="3"/>
  <c r="R158" i="3"/>
  <c r="S158" i="3"/>
  <c r="C158" i="3"/>
  <c r="J158" i="3"/>
  <c r="B159" i="3"/>
  <c r="D159" i="3"/>
  <c r="K159" i="3"/>
  <c r="J159" i="3" s="1"/>
  <c r="I160" i="3"/>
  <c r="F160" i="3" s="1"/>
  <c r="P159" i="3"/>
  <c r="A159" i="3"/>
  <c r="E159" i="3"/>
  <c r="Q159" i="3"/>
  <c r="J78" i="2"/>
  <c r="K78" i="2"/>
  <c r="H80" i="2"/>
  <c r="E79" i="2"/>
  <c r="F79" i="2"/>
  <c r="D79" i="2"/>
  <c r="C79" i="2"/>
  <c r="B79" i="2"/>
  <c r="L79" i="2"/>
  <c r="A79" i="2"/>
  <c r="D159" i="1"/>
  <c r="E158" i="1"/>
  <c r="N160" i="3" l="1"/>
  <c r="M160" i="3"/>
  <c r="C159" i="3"/>
  <c r="R159" i="3"/>
  <c r="S159" i="3"/>
  <c r="T159" i="3"/>
  <c r="P160" i="3"/>
  <c r="Q160" i="3"/>
  <c r="A160" i="3"/>
  <c r="B160" i="3"/>
  <c r="D160" i="3"/>
  <c r="E160" i="3"/>
  <c r="I161" i="3"/>
  <c r="F161" i="3" s="1"/>
  <c r="K160" i="3"/>
  <c r="J79" i="2"/>
  <c r="K79" i="2"/>
  <c r="E80" i="2"/>
  <c r="H81" i="2"/>
  <c r="B80" i="2"/>
  <c r="L80" i="2"/>
  <c r="D80" i="2"/>
  <c r="A80" i="2"/>
  <c r="F80" i="2"/>
  <c r="C80" i="2"/>
  <c r="D160" i="1"/>
  <c r="E159" i="1"/>
  <c r="M161" i="3" l="1"/>
  <c r="N161" i="3"/>
  <c r="C160" i="3"/>
  <c r="A161" i="3"/>
  <c r="B161" i="3"/>
  <c r="E161" i="3"/>
  <c r="D161" i="3"/>
  <c r="K161" i="3"/>
  <c r="J161" i="3" s="1"/>
  <c r="I162" i="3"/>
  <c r="F162" i="3" s="1"/>
  <c r="P161" i="3"/>
  <c r="Q161" i="3"/>
  <c r="T160" i="3"/>
  <c r="R160" i="3"/>
  <c r="S160" i="3"/>
  <c r="J160" i="3"/>
  <c r="H82" i="2"/>
  <c r="B81" i="2"/>
  <c r="F81" i="2"/>
  <c r="A81" i="2"/>
  <c r="E81" i="2"/>
  <c r="C81" i="2"/>
  <c r="D81" i="2"/>
  <c r="L81" i="2"/>
  <c r="J80" i="2"/>
  <c r="K80" i="2"/>
  <c r="D161" i="1"/>
  <c r="E160" i="1"/>
  <c r="N162" i="3" l="1"/>
  <c r="M162" i="3"/>
  <c r="T161" i="3"/>
  <c r="R161" i="3"/>
  <c r="S161" i="3"/>
  <c r="C161" i="3"/>
  <c r="B162" i="3"/>
  <c r="K162" i="3"/>
  <c r="I163" i="3"/>
  <c r="F163" i="3" s="1"/>
  <c r="D162" i="3"/>
  <c r="E162" i="3"/>
  <c r="A162" i="3"/>
  <c r="Q162" i="3"/>
  <c r="P162" i="3"/>
  <c r="D82" i="2"/>
  <c r="C82" i="2"/>
  <c r="E82" i="2"/>
  <c r="B82" i="2"/>
  <c r="F82" i="2"/>
  <c r="H83" i="2"/>
  <c r="L82" i="2"/>
  <c r="A82" i="2"/>
  <c r="J81" i="2"/>
  <c r="K81" i="2"/>
  <c r="D162" i="1"/>
  <c r="E161" i="1"/>
  <c r="M163" i="3" l="1"/>
  <c r="N163" i="3"/>
  <c r="C162" i="3"/>
  <c r="J162" i="3"/>
  <c r="R162" i="3"/>
  <c r="T162" i="3"/>
  <c r="S162" i="3"/>
  <c r="K163" i="3"/>
  <c r="Q163" i="3"/>
  <c r="P163" i="3"/>
  <c r="B163" i="3"/>
  <c r="A163" i="3"/>
  <c r="I164" i="3"/>
  <c r="F164" i="3" s="1"/>
  <c r="E163" i="3"/>
  <c r="D163" i="3"/>
  <c r="H84" i="2"/>
  <c r="C83" i="2"/>
  <c r="A83" i="2"/>
  <c r="D83" i="2"/>
  <c r="F83" i="2"/>
  <c r="L83" i="2"/>
  <c r="B83" i="2"/>
  <c r="E83" i="2"/>
  <c r="J82" i="2"/>
  <c r="K82" i="2"/>
  <c r="D163" i="1"/>
  <c r="E162" i="1"/>
  <c r="N164" i="3" l="1"/>
  <c r="M164" i="3"/>
  <c r="C163" i="3"/>
  <c r="A164" i="3"/>
  <c r="D164" i="3"/>
  <c r="E164" i="3"/>
  <c r="I165" i="3"/>
  <c r="F165" i="3" s="1"/>
  <c r="Q164" i="3"/>
  <c r="K164" i="3"/>
  <c r="J164" i="3" s="1"/>
  <c r="B164" i="3"/>
  <c r="P164" i="3"/>
  <c r="R163" i="3"/>
  <c r="T163" i="3"/>
  <c r="S163" i="3"/>
  <c r="J163" i="3"/>
  <c r="J83" i="2"/>
  <c r="K83" i="2"/>
  <c r="A84" i="2"/>
  <c r="B84" i="2"/>
  <c r="F84" i="2"/>
  <c r="D84" i="2"/>
  <c r="E84" i="2"/>
  <c r="H85" i="2"/>
  <c r="C84" i="2"/>
  <c r="L84" i="2"/>
  <c r="D164" i="1"/>
  <c r="E163" i="1"/>
  <c r="N165" i="3" l="1"/>
  <c r="M165" i="3"/>
  <c r="S164" i="3"/>
  <c r="R164" i="3"/>
  <c r="T164" i="3"/>
  <c r="C164" i="3"/>
  <c r="B165" i="3"/>
  <c r="Q165" i="3"/>
  <c r="D165" i="3"/>
  <c r="A165" i="3"/>
  <c r="E165" i="3"/>
  <c r="I166" i="3"/>
  <c r="F166" i="3" s="1"/>
  <c r="K165" i="3"/>
  <c r="P165" i="3"/>
  <c r="J84" i="2"/>
  <c r="K84" i="2"/>
  <c r="F85" i="2"/>
  <c r="L85" i="2"/>
  <c r="A85" i="2"/>
  <c r="B85" i="2"/>
  <c r="D85" i="2"/>
  <c r="E85" i="2"/>
  <c r="C85" i="2"/>
  <c r="H86" i="2"/>
  <c r="D165" i="1"/>
  <c r="E164" i="1"/>
  <c r="N166" i="3" l="1"/>
  <c r="M166" i="3"/>
  <c r="C165" i="3"/>
  <c r="J165" i="3"/>
  <c r="I167" i="3"/>
  <c r="F167" i="3" s="1"/>
  <c r="Q166" i="3"/>
  <c r="A166" i="3"/>
  <c r="B166" i="3"/>
  <c r="E166" i="3"/>
  <c r="K166" i="3"/>
  <c r="J166" i="3" s="1"/>
  <c r="P166" i="3"/>
  <c r="D166" i="3"/>
  <c r="T165" i="3"/>
  <c r="S165" i="3"/>
  <c r="R165" i="3"/>
  <c r="J85" i="2"/>
  <c r="K85" i="2"/>
  <c r="E86" i="2"/>
  <c r="A86" i="2"/>
  <c r="H87" i="2"/>
  <c r="B86" i="2"/>
  <c r="F86" i="2"/>
  <c r="C86" i="2"/>
  <c r="L86" i="2"/>
  <c r="D86" i="2"/>
  <c r="D166" i="1"/>
  <c r="E165" i="1"/>
  <c r="M167" i="3" l="1"/>
  <c r="N167" i="3"/>
  <c r="C166" i="3"/>
  <c r="B167" i="3"/>
  <c r="A167" i="3"/>
  <c r="D167" i="3"/>
  <c r="E167" i="3"/>
  <c r="I168" i="3"/>
  <c r="F168" i="3" s="1"/>
  <c r="K167" i="3"/>
  <c r="Q167" i="3"/>
  <c r="P167" i="3"/>
  <c r="R166" i="3"/>
  <c r="S166" i="3"/>
  <c r="T166" i="3"/>
  <c r="J86" i="2"/>
  <c r="K86" i="2"/>
  <c r="A87" i="2"/>
  <c r="L87" i="2"/>
  <c r="F87" i="2"/>
  <c r="E87" i="2"/>
  <c r="H88" i="2"/>
  <c r="D87" i="2"/>
  <c r="C87" i="2"/>
  <c r="B87" i="2"/>
  <c r="D167" i="1"/>
  <c r="E166" i="1"/>
  <c r="M168" i="3" l="1"/>
  <c r="N168" i="3"/>
  <c r="C167" i="3"/>
  <c r="K168" i="3"/>
  <c r="P168" i="3"/>
  <c r="Q168" i="3"/>
  <c r="A168" i="3"/>
  <c r="D168" i="3"/>
  <c r="B168" i="3"/>
  <c r="E168" i="3"/>
  <c r="I169" i="3"/>
  <c r="F169" i="3" s="1"/>
  <c r="J167" i="3"/>
  <c r="T167" i="3"/>
  <c r="R167" i="3"/>
  <c r="S167" i="3"/>
  <c r="J87" i="2"/>
  <c r="K87" i="2"/>
  <c r="D88" i="2"/>
  <c r="E88" i="2"/>
  <c r="B88" i="2"/>
  <c r="H89" i="2"/>
  <c r="C88" i="2"/>
  <c r="A88" i="2"/>
  <c r="F88" i="2"/>
  <c r="L88" i="2"/>
  <c r="D168" i="1"/>
  <c r="E167" i="1"/>
  <c r="M169" i="3" l="1"/>
  <c r="N169" i="3"/>
  <c r="I170" i="3"/>
  <c r="F170" i="3" s="1"/>
  <c r="Q169" i="3"/>
  <c r="D169" i="3"/>
  <c r="E169" i="3"/>
  <c r="A169" i="3"/>
  <c r="B169" i="3"/>
  <c r="P169" i="3"/>
  <c r="K169" i="3"/>
  <c r="J169" i="3" s="1"/>
  <c r="T168" i="3"/>
  <c r="S168" i="3"/>
  <c r="R168" i="3"/>
  <c r="C168" i="3"/>
  <c r="J168" i="3"/>
  <c r="J88" i="2"/>
  <c r="K88" i="2"/>
  <c r="B89" i="2"/>
  <c r="A89" i="2"/>
  <c r="H90" i="2"/>
  <c r="F89" i="2"/>
  <c r="E89" i="2"/>
  <c r="C89" i="2"/>
  <c r="L89" i="2"/>
  <c r="D89" i="2"/>
  <c r="D169" i="1"/>
  <c r="E168" i="1"/>
  <c r="N170" i="3" l="1"/>
  <c r="M170" i="3"/>
  <c r="C169" i="3"/>
  <c r="S169" i="3"/>
  <c r="R169" i="3"/>
  <c r="T169" i="3"/>
  <c r="B170" i="3"/>
  <c r="A170" i="3"/>
  <c r="K170" i="3"/>
  <c r="P170" i="3"/>
  <c r="E170" i="3"/>
  <c r="I171" i="3"/>
  <c r="F171" i="3" s="1"/>
  <c r="Q170" i="3"/>
  <c r="D170" i="3"/>
  <c r="J89" i="2"/>
  <c r="K89" i="2"/>
  <c r="D90" i="2"/>
  <c r="B90" i="2"/>
  <c r="H91" i="2"/>
  <c r="E90" i="2"/>
  <c r="C90" i="2"/>
  <c r="F90" i="2"/>
  <c r="A90" i="2"/>
  <c r="L90" i="2"/>
  <c r="D170" i="1"/>
  <c r="E169" i="1"/>
  <c r="N171" i="3" l="1"/>
  <c r="M171" i="3"/>
  <c r="T170" i="3"/>
  <c r="R170" i="3"/>
  <c r="S170" i="3"/>
  <c r="C170" i="3"/>
  <c r="A171" i="3"/>
  <c r="D171" i="3"/>
  <c r="E171" i="3"/>
  <c r="B171" i="3"/>
  <c r="K171" i="3"/>
  <c r="Q171" i="3"/>
  <c r="P171" i="3"/>
  <c r="I172" i="3"/>
  <c r="F172" i="3" s="1"/>
  <c r="J170" i="3"/>
  <c r="J90" i="2"/>
  <c r="K90" i="2"/>
  <c r="D91" i="2"/>
  <c r="C91" i="2"/>
  <c r="H92" i="2"/>
  <c r="L91" i="2"/>
  <c r="A91" i="2"/>
  <c r="E91" i="2"/>
  <c r="F91" i="2"/>
  <c r="B91" i="2"/>
  <c r="D171" i="1"/>
  <c r="E170" i="1"/>
  <c r="N172" i="3" l="1"/>
  <c r="M172" i="3"/>
  <c r="S171" i="3"/>
  <c r="R171" i="3"/>
  <c r="T171" i="3"/>
  <c r="D172" i="3"/>
  <c r="A172" i="3"/>
  <c r="K172" i="3"/>
  <c r="J172" i="3" s="1"/>
  <c r="I173" i="3"/>
  <c r="F173" i="3" s="1"/>
  <c r="Q172" i="3"/>
  <c r="E172" i="3"/>
  <c r="B172" i="3"/>
  <c r="P172" i="3"/>
  <c r="J171" i="3"/>
  <c r="C171" i="3"/>
  <c r="J91" i="2"/>
  <c r="K91" i="2"/>
  <c r="A92" i="2"/>
  <c r="C92" i="2"/>
  <c r="E92" i="2"/>
  <c r="B92" i="2"/>
  <c r="L92" i="2"/>
  <c r="H93" i="2"/>
  <c r="D92" i="2"/>
  <c r="F92" i="2"/>
  <c r="D172" i="1"/>
  <c r="E171" i="1"/>
  <c r="N173" i="3" l="1"/>
  <c r="M173" i="3"/>
  <c r="C172" i="3"/>
  <c r="Q173" i="3"/>
  <c r="E173" i="3"/>
  <c r="B173" i="3"/>
  <c r="D173" i="3"/>
  <c r="P173" i="3"/>
  <c r="K173" i="3"/>
  <c r="J173" i="3" s="1"/>
  <c r="A173" i="3"/>
  <c r="I174" i="3"/>
  <c r="F174" i="3" s="1"/>
  <c r="R172" i="3"/>
  <c r="T172" i="3"/>
  <c r="S172" i="3"/>
  <c r="D93" i="2"/>
  <c r="C93" i="2"/>
  <c r="L93" i="2"/>
  <c r="F93" i="2"/>
  <c r="H94" i="2"/>
  <c r="A93" i="2"/>
  <c r="E93" i="2"/>
  <c r="B93" i="2"/>
  <c r="J92" i="2"/>
  <c r="K92" i="2"/>
  <c r="D173" i="1"/>
  <c r="E172" i="1"/>
  <c r="M174" i="3" l="1"/>
  <c r="N174" i="3"/>
  <c r="C173" i="3"/>
  <c r="B174" i="3"/>
  <c r="P174" i="3"/>
  <c r="E174" i="3"/>
  <c r="I175" i="3"/>
  <c r="F175" i="3" s="1"/>
  <c r="A174" i="3"/>
  <c r="D174" i="3"/>
  <c r="Q174" i="3"/>
  <c r="K174" i="3"/>
  <c r="R173" i="3"/>
  <c r="S173" i="3"/>
  <c r="T173" i="3"/>
  <c r="J93" i="2"/>
  <c r="K93" i="2"/>
  <c r="D94" i="2"/>
  <c r="L94" i="2"/>
  <c r="E94" i="2"/>
  <c r="A94" i="2"/>
  <c r="F94" i="2"/>
  <c r="C94" i="2"/>
  <c r="B94" i="2"/>
  <c r="H95" i="2"/>
  <c r="D174" i="1"/>
  <c r="E173" i="1"/>
  <c r="N175" i="3" l="1"/>
  <c r="M175" i="3"/>
  <c r="C174" i="3"/>
  <c r="R174" i="3"/>
  <c r="S174" i="3"/>
  <c r="T174" i="3"/>
  <c r="P175" i="3"/>
  <c r="D175" i="3"/>
  <c r="A175" i="3"/>
  <c r="B175" i="3"/>
  <c r="E175" i="3"/>
  <c r="Q175" i="3"/>
  <c r="K175" i="3"/>
  <c r="I176" i="3"/>
  <c r="F176" i="3" s="1"/>
  <c r="J174" i="3"/>
  <c r="B95" i="2"/>
  <c r="F95" i="2"/>
  <c r="E95" i="2"/>
  <c r="C95" i="2"/>
  <c r="A95" i="2"/>
  <c r="L95" i="2"/>
  <c r="H96" i="2"/>
  <c r="D95" i="2"/>
  <c r="J94" i="2"/>
  <c r="K94" i="2"/>
  <c r="D175" i="1"/>
  <c r="E174" i="1"/>
  <c r="M176" i="3" l="1"/>
  <c r="N176" i="3"/>
  <c r="C175" i="3"/>
  <c r="A176" i="3"/>
  <c r="K176" i="3"/>
  <c r="J176" i="3" s="1"/>
  <c r="Q176" i="3"/>
  <c r="D176" i="3"/>
  <c r="B176" i="3"/>
  <c r="E176" i="3"/>
  <c r="I177" i="3"/>
  <c r="F177" i="3" s="1"/>
  <c r="P176" i="3"/>
  <c r="J175" i="3"/>
  <c r="T175" i="3"/>
  <c r="R175" i="3"/>
  <c r="S175" i="3"/>
  <c r="J95" i="2"/>
  <c r="K95" i="2"/>
  <c r="B96" i="2"/>
  <c r="L96" i="2"/>
  <c r="H97" i="2"/>
  <c r="F96" i="2"/>
  <c r="D96" i="2"/>
  <c r="A96" i="2"/>
  <c r="C96" i="2"/>
  <c r="E96" i="2"/>
  <c r="D176" i="1"/>
  <c r="E175" i="1"/>
  <c r="M177" i="3" l="1"/>
  <c r="N177" i="3"/>
  <c r="B177" i="3"/>
  <c r="Q177" i="3"/>
  <c r="A177" i="3"/>
  <c r="P177" i="3"/>
  <c r="D177" i="3"/>
  <c r="E177" i="3"/>
  <c r="I178" i="3"/>
  <c r="F178" i="3" s="1"/>
  <c r="K177" i="3"/>
  <c r="J177" i="3" s="1"/>
  <c r="S176" i="3"/>
  <c r="T176" i="3"/>
  <c r="R176" i="3"/>
  <c r="C176" i="3"/>
  <c r="J96" i="2"/>
  <c r="K96" i="2"/>
  <c r="B97" i="2"/>
  <c r="F97" i="2"/>
  <c r="A97" i="2"/>
  <c r="H98" i="2"/>
  <c r="L97" i="2"/>
  <c r="D97" i="2"/>
  <c r="E97" i="2"/>
  <c r="C97" i="2"/>
  <c r="D177" i="1"/>
  <c r="E176" i="1"/>
  <c r="N178" i="3" l="1"/>
  <c r="M178" i="3"/>
  <c r="S177" i="3"/>
  <c r="T177" i="3"/>
  <c r="R177" i="3"/>
  <c r="B178" i="3"/>
  <c r="D178" i="3"/>
  <c r="K178" i="3"/>
  <c r="J178" i="3" s="1"/>
  <c r="I179" i="3"/>
  <c r="F179" i="3" s="1"/>
  <c r="P178" i="3"/>
  <c r="A178" i="3"/>
  <c r="Q178" i="3"/>
  <c r="E178" i="3"/>
  <c r="C177" i="3"/>
  <c r="J97" i="2"/>
  <c r="K97" i="2"/>
  <c r="A98" i="2"/>
  <c r="C98" i="2"/>
  <c r="B98" i="2"/>
  <c r="H99" i="2"/>
  <c r="D98" i="2"/>
  <c r="E98" i="2"/>
  <c r="F98" i="2"/>
  <c r="L98" i="2"/>
  <c r="D178" i="1"/>
  <c r="E177" i="1"/>
  <c r="M179" i="3" l="1"/>
  <c r="N179" i="3"/>
  <c r="C178" i="3"/>
  <c r="R178" i="3"/>
  <c r="S178" i="3"/>
  <c r="T178" i="3"/>
  <c r="K179" i="3"/>
  <c r="P179" i="3"/>
  <c r="Q179" i="3"/>
  <c r="A179" i="3"/>
  <c r="B179" i="3"/>
  <c r="D179" i="3"/>
  <c r="E179" i="3"/>
  <c r="I180" i="3"/>
  <c r="F180" i="3" s="1"/>
  <c r="J98" i="2"/>
  <c r="K98" i="2"/>
  <c r="L99" i="2"/>
  <c r="A99" i="2"/>
  <c r="H100" i="2"/>
  <c r="B99" i="2"/>
  <c r="D99" i="2"/>
  <c r="E99" i="2"/>
  <c r="C99" i="2"/>
  <c r="F99" i="2"/>
  <c r="D179" i="1"/>
  <c r="E178" i="1"/>
  <c r="N180" i="3" l="1"/>
  <c r="M180" i="3"/>
  <c r="C179" i="3"/>
  <c r="D180" i="3"/>
  <c r="K180" i="3"/>
  <c r="J180" i="3" s="1"/>
  <c r="I181" i="3"/>
  <c r="F181" i="3" s="1"/>
  <c r="P180" i="3"/>
  <c r="Q180" i="3"/>
  <c r="A180" i="3"/>
  <c r="B180" i="3"/>
  <c r="E180" i="3"/>
  <c r="J179" i="3"/>
  <c r="S179" i="3"/>
  <c r="T179" i="3"/>
  <c r="R179" i="3"/>
  <c r="F100" i="2"/>
  <c r="D100" i="2"/>
  <c r="A100" i="2"/>
  <c r="L100" i="2"/>
  <c r="C100" i="2"/>
  <c r="E100" i="2"/>
  <c r="B100" i="2"/>
  <c r="H101" i="2"/>
  <c r="J99" i="2"/>
  <c r="K99" i="2"/>
  <c r="D180" i="1"/>
  <c r="E179" i="1"/>
  <c r="N181" i="3" l="1"/>
  <c r="M181" i="3"/>
  <c r="D181" i="3"/>
  <c r="K181" i="3"/>
  <c r="J181" i="3" s="1"/>
  <c r="I182" i="3"/>
  <c r="F182" i="3" s="1"/>
  <c r="P181" i="3"/>
  <c r="Q181" i="3"/>
  <c r="A181" i="3"/>
  <c r="B181" i="3"/>
  <c r="E181" i="3"/>
  <c r="S180" i="3"/>
  <c r="T180" i="3"/>
  <c r="R180" i="3"/>
  <c r="C180" i="3"/>
  <c r="E101" i="2"/>
  <c r="L101" i="2"/>
  <c r="F101" i="2"/>
  <c r="C101" i="2"/>
  <c r="H102" i="2"/>
  <c r="D101" i="2"/>
  <c r="A101" i="2"/>
  <c r="B101" i="2"/>
  <c r="J100" i="2"/>
  <c r="K100" i="2"/>
  <c r="D181" i="1"/>
  <c r="E180" i="1"/>
  <c r="N182" i="3" l="1"/>
  <c r="M182" i="3"/>
  <c r="B182" i="3"/>
  <c r="D182" i="3"/>
  <c r="K182" i="3"/>
  <c r="J182" i="3" s="1"/>
  <c r="I183" i="3"/>
  <c r="F183" i="3" s="1"/>
  <c r="P182" i="3"/>
  <c r="A182" i="3"/>
  <c r="Q182" i="3"/>
  <c r="E182" i="3"/>
  <c r="R181" i="3"/>
  <c r="S181" i="3"/>
  <c r="T181" i="3"/>
  <c r="C181" i="3"/>
  <c r="L102" i="2"/>
  <c r="D102" i="2"/>
  <c r="B102" i="2"/>
  <c r="H103" i="2"/>
  <c r="A102" i="2"/>
  <c r="E102" i="2"/>
  <c r="C102" i="2"/>
  <c r="F102" i="2"/>
  <c r="J101" i="2"/>
  <c r="K101" i="2"/>
  <c r="D182" i="1"/>
  <c r="E181" i="1"/>
  <c r="M183" i="3" l="1"/>
  <c r="N183" i="3"/>
  <c r="C182" i="3"/>
  <c r="R182" i="3"/>
  <c r="S182" i="3"/>
  <c r="T182" i="3"/>
  <c r="K183" i="3"/>
  <c r="P183" i="3"/>
  <c r="Q183" i="3"/>
  <c r="A183" i="3"/>
  <c r="B183" i="3"/>
  <c r="D183" i="3"/>
  <c r="E183" i="3"/>
  <c r="I184" i="3"/>
  <c r="F184" i="3" s="1"/>
  <c r="J102" i="2"/>
  <c r="K102" i="2"/>
  <c r="L103" i="2"/>
  <c r="B103" i="2"/>
  <c r="E103" i="2"/>
  <c r="D103" i="2"/>
  <c r="C103" i="2"/>
  <c r="A103" i="2"/>
  <c r="H104" i="2"/>
  <c r="F103" i="2"/>
  <c r="D183" i="1"/>
  <c r="E182" i="1"/>
  <c r="N184" i="3" l="1"/>
  <c r="M184" i="3"/>
  <c r="E184" i="3"/>
  <c r="D184" i="3"/>
  <c r="K184" i="3"/>
  <c r="J184" i="3" s="1"/>
  <c r="I185" i="3"/>
  <c r="F185" i="3" s="1"/>
  <c r="P184" i="3"/>
  <c r="Q184" i="3"/>
  <c r="A184" i="3"/>
  <c r="B184" i="3"/>
  <c r="J183" i="3"/>
  <c r="R183" i="3"/>
  <c r="S183" i="3"/>
  <c r="T183" i="3"/>
  <c r="C183" i="3"/>
  <c r="J103" i="2"/>
  <c r="K103" i="2"/>
  <c r="F104" i="2"/>
  <c r="E104" i="2"/>
  <c r="L104" i="2"/>
  <c r="C104" i="2"/>
  <c r="H105" i="2"/>
  <c r="D104" i="2"/>
  <c r="B104" i="2"/>
  <c r="A104" i="2"/>
  <c r="D184" i="1"/>
  <c r="E183" i="1"/>
  <c r="M185" i="3" l="1"/>
  <c r="N185" i="3"/>
  <c r="C184" i="3"/>
  <c r="S184" i="3"/>
  <c r="T184" i="3"/>
  <c r="R184" i="3"/>
  <c r="D185" i="3"/>
  <c r="K185" i="3"/>
  <c r="J185" i="3" s="1"/>
  <c r="I186" i="3"/>
  <c r="F186" i="3" s="1"/>
  <c r="P185" i="3"/>
  <c r="Q185" i="3"/>
  <c r="A185" i="3"/>
  <c r="B185" i="3"/>
  <c r="E185" i="3"/>
  <c r="L105" i="2"/>
  <c r="D105" i="2"/>
  <c r="H106" i="2"/>
  <c r="A105" i="2"/>
  <c r="F105" i="2"/>
  <c r="E105" i="2"/>
  <c r="C105" i="2"/>
  <c r="B105" i="2"/>
  <c r="J104" i="2"/>
  <c r="K104" i="2"/>
  <c r="D185" i="1"/>
  <c r="E184" i="1"/>
  <c r="M186" i="3" l="1"/>
  <c r="N186" i="3"/>
  <c r="B186" i="3"/>
  <c r="D186" i="3"/>
  <c r="K186" i="3"/>
  <c r="J186" i="3" s="1"/>
  <c r="I187" i="3"/>
  <c r="F187" i="3" s="1"/>
  <c r="P186" i="3"/>
  <c r="A186" i="3"/>
  <c r="Q186" i="3"/>
  <c r="E186" i="3"/>
  <c r="R185" i="3"/>
  <c r="S185" i="3"/>
  <c r="T185" i="3"/>
  <c r="C185" i="3"/>
  <c r="A106" i="2"/>
  <c r="C106" i="2"/>
  <c r="D106" i="2"/>
  <c r="E106" i="2"/>
  <c r="H107" i="2"/>
  <c r="L106" i="2"/>
  <c r="F106" i="2"/>
  <c r="B106" i="2"/>
  <c r="J105" i="2"/>
  <c r="K105" i="2"/>
  <c r="D186" i="1"/>
  <c r="E185" i="1"/>
  <c r="N187" i="3" l="1"/>
  <c r="M187" i="3"/>
  <c r="C186" i="3"/>
  <c r="R186" i="3"/>
  <c r="S186" i="3"/>
  <c r="T186" i="3"/>
  <c r="K187" i="3"/>
  <c r="P187" i="3"/>
  <c r="Q187" i="3"/>
  <c r="A187" i="3"/>
  <c r="B187" i="3"/>
  <c r="D187" i="3"/>
  <c r="E187" i="3"/>
  <c r="I188" i="3"/>
  <c r="F188" i="3" s="1"/>
  <c r="J106" i="2"/>
  <c r="K106" i="2"/>
  <c r="H108" i="2"/>
  <c r="E107" i="2"/>
  <c r="A107" i="2"/>
  <c r="L107" i="2"/>
  <c r="D107" i="2"/>
  <c r="F107" i="2"/>
  <c r="C107" i="2"/>
  <c r="B107" i="2"/>
  <c r="D187" i="1"/>
  <c r="E186" i="1"/>
  <c r="M188" i="3" l="1"/>
  <c r="N188" i="3"/>
  <c r="D188" i="3"/>
  <c r="K188" i="3"/>
  <c r="J188" i="3" s="1"/>
  <c r="I189" i="3"/>
  <c r="F189" i="3" s="1"/>
  <c r="P188" i="3"/>
  <c r="Q188" i="3"/>
  <c r="A188" i="3"/>
  <c r="B188" i="3"/>
  <c r="E188" i="3"/>
  <c r="J187" i="3"/>
  <c r="R187" i="3"/>
  <c r="S187" i="3"/>
  <c r="T187" i="3"/>
  <c r="C187" i="3"/>
  <c r="A108" i="2"/>
  <c r="E108" i="2"/>
  <c r="L108" i="2"/>
  <c r="F108" i="2"/>
  <c r="C108" i="2"/>
  <c r="D108" i="2"/>
  <c r="B108" i="2"/>
  <c r="H109" i="2"/>
  <c r="J107" i="2"/>
  <c r="K107" i="2"/>
  <c r="D188" i="1"/>
  <c r="E187" i="1"/>
  <c r="N189" i="3" l="1"/>
  <c r="M189" i="3"/>
  <c r="D189" i="3"/>
  <c r="K189" i="3"/>
  <c r="J189" i="3" s="1"/>
  <c r="I190" i="3"/>
  <c r="F190" i="3" s="1"/>
  <c r="P189" i="3"/>
  <c r="Q189" i="3"/>
  <c r="A189" i="3"/>
  <c r="B189" i="3"/>
  <c r="E189" i="3"/>
  <c r="S188" i="3"/>
  <c r="T188" i="3"/>
  <c r="R188" i="3"/>
  <c r="C188" i="3"/>
  <c r="A109" i="2"/>
  <c r="F109" i="2"/>
  <c r="E109" i="2"/>
  <c r="L109" i="2"/>
  <c r="B109" i="2"/>
  <c r="H110" i="2"/>
  <c r="C109" i="2"/>
  <c r="D109" i="2"/>
  <c r="J108" i="2"/>
  <c r="K108" i="2"/>
  <c r="D189" i="1"/>
  <c r="E188" i="1"/>
  <c r="N190" i="3" l="1"/>
  <c r="M190" i="3"/>
  <c r="B190" i="3"/>
  <c r="D190" i="3"/>
  <c r="K190" i="3"/>
  <c r="J190" i="3" s="1"/>
  <c r="I191" i="3"/>
  <c r="F191" i="3" s="1"/>
  <c r="P190" i="3"/>
  <c r="A190" i="3"/>
  <c r="Q190" i="3"/>
  <c r="E190" i="3"/>
  <c r="R189" i="3"/>
  <c r="S189" i="3"/>
  <c r="T189" i="3"/>
  <c r="C189" i="3"/>
  <c r="J109" i="2"/>
  <c r="K109" i="2"/>
  <c r="F110" i="2"/>
  <c r="B110" i="2"/>
  <c r="L110" i="2"/>
  <c r="A110" i="2"/>
  <c r="D110" i="2"/>
  <c r="E110" i="2"/>
  <c r="C110" i="2"/>
  <c r="H111" i="2"/>
  <c r="D190" i="1"/>
  <c r="E189" i="1"/>
  <c r="M191" i="3" l="1"/>
  <c r="N191" i="3"/>
  <c r="C190" i="3"/>
  <c r="R190" i="3"/>
  <c r="S190" i="3"/>
  <c r="T190" i="3"/>
  <c r="K191" i="3"/>
  <c r="P191" i="3"/>
  <c r="Q191" i="3"/>
  <c r="A191" i="3"/>
  <c r="B191" i="3"/>
  <c r="D191" i="3"/>
  <c r="E191" i="3"/>
  <c r="I192" i="3"/>
  <c r="F192" i="3" s="1"/>
  <c r="J110" i="2"/>
  <c r="K110" i="2"/>
  <c r="D111" i="2"/>
  <c r="F111" i="2"/>
  <c r="H112" i="2"/>
  <c r="A111" i="2"/>
  <c r="B111" i="2"/>
  <c r="C111" i="2"/>
  <c r="E111" i="2"/>
  <c r="L111" i="2"/>
  <c r="D191" i="1"/>
  <c r="E190" i="1"/>
  <c r="N192" i="3" l="1"/>
  <c r="M192" i="3"/>
  <c r="C191" i="3"/>
  <c r="D192" i="3"/>
  <c r="K192" i="3"/>
  <c r="J192" i="3" s="1"/>
  <c r="I193" i="3"/>
  <c r="F193" i="3" s="1"/>
  <c r="P192" i="3"/>
  <c r="Q192" i="3"/>
  <c r="A192" i="3"/>
  <c r="B192" i="3"/>
  <c r="E192" i="3"/>
  <c r="J191" i="3"/>
  <c r="R191" i="3"/>
  <c r="S191" i="3"/>
  <c r="T191" i="3"/>
  <c r="J111" i="2"/>
  <c r="K111" i="2"/>
  <c r="L112" i="2"/>
  <c r="C112" i="2"/>
  <c r="F112" i="2"/>
  <c r="H113" i="2"/>
  <c r="A112" i="2"/>
  <c r="B112" i="2"/>
  <c r="E112" i="2"/>
  <c r="D112" i="2"/>
  <c r="D192" i="1"/>
  <c r="E191" i="1"/>
  <c r="N193" i="3" l="1"/>
  <c r="M193" i="3"/>
  <c r="E193" i="3"/>
  <c r="D193" i="3"/>
  <c r="K193" i="3"/>
  <c r="J193" i="3" s="1"/>
  <c r="I194" i="3"/>
  <c r="F194" i="3" s="1"/>
  <c r="P193" i="3"/>
  <c r="Q193" i="3"/>
  <c r="A193" i="3"/>
  <c r="B193" i="3"/>
  <c r="S192" i="3"/>
  <c r="T192" i="3"/>
  <c r="R192" i="3"/>
  <c r="C192" i="3"/>
  <c r="J112" i="2"/>
  <c r="K112" i="2"/>
  <c r="L113" i="2"/>
  <c r="F113" i="2"/>
  <c r="C113" i="2"/>
  <c r="D113" i="2"/>
  <c r="H114" i="2"/>
  <c r="B113" i="2"/>
  <c r="A113" i="2"/>
  <c r="E113" i="2"/>
  <c r="D193" i="1"/>
  <c r="E192" i="1"/>
  <c r="M194" i="3" l="1"/>
  <c r="N194" i="3"/>
  <c r="C193" i="3"/>
  <c r="R193" i="3"/>
  <c r="S193" i="3"/>
  <c r="T193" i="3"/>
  <c r="B194" i="3"/>
  <c r="D194" i="3"/>
  <c r="K194" i="3"/>
  <c r="J194" i="3" s="1"/>
  <c r="I195" i="3"/>
  <c r="F195" i="3" s="1"/>
  <c r="P194" i="3"/>
  <c r="Q194" i="3"/>
  <c r="E194" i="3"/>
  <c r="A194" i="3"/>
  <c r="F114" i="2"/>
  <c r="B114" i="2"/>
  <c r="C114" i="2"/>
  <c r="A114" i="2"/>
  <c r="D114" i="2"/>
  <c r="L114" i="2"/>
  <c r="H115" i="2"/>
  <c r="E114" i="2"/>
  <c r="J113" i="2"/>
  <c r="K113" i="2"/>
  <c r="D194" i="1"/>
  <c r="E193" i="1"/>
  <c r="N195" i="3" l="1"/>
  <c r="M195" i="3"/>
  <c r="R194" i="3"/>
  <c r="S194" i="3"/>
  <c r="T194" i="3"/>
  <c r="C194" i="3"/>
  <c r="E195" i="3"/>
  <c r="I196" i="3"/>
  <c r="F196" i="3" s="1"/>
  <c r="K195" i="3"/>
  <c r="J195" i="3" s="1"/>
  <c r="P195" i="3"/>
  <c r="Q195" i="3"/>
  <c r="A195" i="3"/>
  <c r="B195" i="3"/>
  <c r="D195" i="3"/>
  <c r="C115" i="2"/>
  <c r="B115" i="2"/>
  <c r="D115" i="2"/>
  <c r="H116" i="2"/>
  <c r="E115" i="2"/>
  <c r="L115" i="2"/>
  <c r="F115" i="2"/>
  <c r="A115" i="2"/>
  <c r="J114" i="2"/>
  <c r="K114" i="2"/>
  <c r="D195" i="1"/>
  <c r="E194" i="1"/>
  <c r="M196" i="3" l="1"/>
  <c r="N196" i="3"/>
  <c r="R195" i="3"/>
  <c r="S195" i="3"/>
  <c r="T195" i="3"/>
  <c r="E196" i="3"/>
  <c r="D196" i="3"/>
  <c r="K196" i="3"/>
  <c r="J196" i="3" s="1"/>
  <c r="A196" i="3"/>
  <c r="I197" i="3"/>
  <c r="F197" i="3" s="1"/>
  <c r="P196" i="3"/>
  <c r="Q196" i="3"/>
  <c r="B196" i="3"/>
  <c r="C195" i="3"/>
  <c r="J115" i="2"/>
  <c r="K115" i="2"/>
  <c r="C116" i="2"/>
  <c r="B116" i="2"/>
  <c r="A116" i="2"/>
  <c r="L116" i="2"/>
  <c r="E116" i="2"/>
  <c r="H117" i="2"/>
  <c r="F116" i="2"/>
  <c r="D116" i="2"/>
  <c r="D196" i="1"/>
  <c r="E195" i="1"/>
  <c r="N197" i="3" l="1"/>
  <c r="M197" i="3"/>
  <c r="S196" i="3"/>
  <c r="T196" i="3"/>
  <c r="R196" i="3"/>
  <c r="C196" i="3"/>
  <c r="K197" i="3"/>
  <c r="J197" i="3" s="1"/>
  <c r="I198" i="3"/>
  <c r="F198" i="3" s="1"/>
  <c r="P197" i="3"/>
  <c r="Q197" i="3"/>
  <c r="A197" i="3"/>
  <c r="B197" i="3"/>
  <c r="D197" i="3"/>
  <c r="E197" i="3"/>
  <c r="J116" i="2"/>
  <c r="K116" i="2"/>
  <c r="D117" i="2"/>
  <c r="A117" i="2"/>
  <c r="E117" i="2"/>
  <c r="F117" i="2"/>
  <c r="B117" i="2"/>
  <c r="C117" i="2"/>
  <c r="H118" i="2"/>
  <c r="L117" i="2"/>
  <c r="D197" i="1"/>
  <c r="E196" i="1"/>
  <c r="N198" i="3" l="1"/>
  <c r="M198" i="3"/>
  <c r="C197" i="3"/>
  <c r="S197" i="3"/>
  <c r="T197" i="3"/>
  <c r="R197" i="3"/>
  <c r="I199" i="3"/>
  <c r="F199" i="3" s="1"/>
  <c r="P198" i="3"/>
  <c r="A198" i="3"/>
  <c r="D198" i="3"/>
  <c r="Q198" i="3"/>
  <c r="E198" i="3"/>
  <c r="B198" i="3"/>
  <c r="K198" i="3"/>
  <c r="J117" i="2"/>
  <c r="K117" i="2"/>
  <c r="H119" i="2"/>
  <c r="B118" i="2"/>
  <c r="C118" i="2"/>
  <c r="L118" i="2"/>
  <c r="E118" i="2"/>
  <c r="D118" i="2"/>
  <c r="A118" i="2"/>
  <c r="F118" i="2"/>
  <c r="D198" i="1"/>
  <c r="E197" i="1"/>
  <c r="N199" i="3" l="1"/>
  <c r="M199" i="3"/>
  <c r="A199" i="3"/>
  <c r="B199" i="3"/>
  <c r="D199" i="3"/>
  <c r="K199" i="3"/>
  <c r="P199" i="3"/>
  <c r="E199" i="3"/>
  <c r="I200" i="3"/>
  <c r="F200" i="3" s="1"/>
  <c r="Q199" i="3"/>
  <c r="T198" i="3"/>
  <c r="R198" i="3"/>
  <c r="S198" i="3"/>
  <c r="C198" i="3"/>
  <c r="J198" i="3"/>
  <c r="B119" i="2"/>
  <c r="E119" i="2"/>
  <c r="D119" i="2"/>
  <c r="L119" i="2"/>
  <c r="H120" i="2"/>
  <c r="A119" i="2"/>
  <c r="C119" i="2"/>
  <c r="F119" i="2"/>
  <c r="J118" i="2"/>
  <c r="K118" i="2"/>
  <c r="D199" i="1"/>
  <c r="E198" i="1"/>
  <c r="N200" i="3" l="1"/>
  <c r="M200" i="3"/>
  <c r="R199" i="3"/>
  <c r="T199" i="3"/>
  <c r="S199" i="3"/>
  <c r="C199" i="3"/>
  <c r="E200" i="3"/>
  <c r="I201" i="3"/>
  <c r="F201" i="3" s="1"/>
  <c r="P200" i="3"/>
  <c r="Q200" i="3"/>
  <c r="A200" i="3"/>
  <c r="B200" i="3"/>
  <c r="D200" i="3"/>
  <c r="K200" i="3"/>
  <c r="J200" i="3" s="1"/>
  <c r="J199" i="3"/>
  <c r="J119" i="2"/>
  <c r="K119" i="2"/>
  <c r="A120" i="2"/>
  <c r="C120" i="2"/>
  <c r="F120" i="2"/>
  <c r="B120" i="2"/>
  <c r="D120" i="2"/>
  <c r="L120" i="2"/>
  <c r="E120" i="2"/>
  <c r="H121" i="2"/>
  <c r="D200" i="1"/>
  <c r="E199" i="1"/>
  <c r="N201" i="3" l="1"/>
  <c r="M201" i="3"/>
  <c r="C200" i="3"/>
  <c r="A201" i="3"/>
  <c r="B201" i="3"/>
  <c r="D201" i="3"/>
  <c r="K201" i="3"/>
  <c r="J201" i="3" s="1"/>
  <c r="I202" i="3"/>
  <c r="F202" i="3" s="1"/>
  <c r="P201" i="3"/>
  <c r="Q201" i="3"/>
  <c r="E201" i="3"/>
  <c r="R200" i="3"/>
  <c r="S200" i="3"/>
  <c r="T200" i="3"/>
  <c r="J120" i="2"/>
  <c r="K120" i="2"/>
  <c r="F121" i="2"/>
  <c r="A121" i="2"/>
  <c r="H122" i="2"/>
  <c r="L121" i="2"/>
  <c r="E121" i="2"/>
  <c r="C121" i="2"/>
  <c r="D121" i="2"/>
  <c r="B121" i="2"/>
  <c r="D201" i="1"/>
  <c r="E200" i="1"/>
  <c r="M202" i="3" l="1"/>
  <c r="N202" i="3"/>
  <c r="C201" i="3"/>
  <c r="T201" i="3"/>
  <c r="R201" i="3"/>
  <c r="S201" i="3"/>
  <c r="A202" i="3"/>
  <c r="B202" i="3"/>
  <c r="D202" i="3"/>
  <c r="K202" i="3"/>
  <c r="J202" i="3" s="1"/>
  <c r="Q202" i="3"/>
  <c r="E202" i="3"/>
  <c r="I203" i="3"/>
  <c r="F203" i="3" s="1"/>
  <c r="P202" i="3"/>
  <c r="D122" i="2"/>
  <c r="E122" i="2"/>
  <c r="B122" i="2"/>
  <c r="A122" i="2"/>
  <c r="H123" i="2"/>
  <c r="L122" i="2"/>
  <c r="C122" i="2"/>
  <c r="F122" i="2"/>
  <c r="J121" i="2"/>
  <c r="K121" i="2"/>
  <c r="D202" i="1"/>
  <c r="E201" i="1"/>
  <c r="N203" i="3" l="1"/>
  <c r="M203" i="3"/>
  <c r="C202" i="3"/>
  <c r="R202" i="3"/>
  <c r="S202" i="3"/>
  <c r="T202" i="3"/>
  <c r="K203" i="3"/>
  <c r="J203" i="3" s="1"/>
  <c r="P203" i="3"/>
  <c r="Q203" i="3"/>
  <c r="A203" i="3"/>
  <c r="B203" i="3"/>
  <c r="D203" i="3"/>
  <c r="E203" i="3"/>
  <c r="I204" i="3"/>
  <c r="F204" i="3" s="1"/>
  <c r="J122" i="2"/>
  <c r="K122" i="2"/>
  <c r="B123" i="2"/>
  <c r="C123" i="2"/>
  <c r="E123" i="2"/>
  <c r="D123" i="2"/>
  <c r="H124" i="2"/>
  <c r="A123" i="2"/>
  <c r="L123" i="2"/>
  <c r="F123" i="2"/>
  <c r="D203" i="1"/>
  <c r="E202" i="1"/>
  <c r="M204" i="3" l="1"/>
  <c r="N204" i="3"/>
  <c r="D204" i="3"/>
  <c r="K204" i="3"/>
  <c r="J204" i="3" s="1"/>
  <c r="I205" i="3"/>
  <c r="F205" i="3" s="1"/>
  <c r="P204" i="3"/>
  <c r="Q204" i="3"/>
  <c r="E204" i="3"/>
  <c r="A204" i="3"/>
  <c r="B204" i="3"/>
  <c r="S203" i="3"/>
  <c r="R203" i="3"/>
  <c r="T203" i="3"/>
  <c r="C203" i="3"/>
  <c r="J123" i="2"/>
  <c r="K123" i="2"/>
  <c r="F124" i="2"/>
  <c r="B124" i="2"/>
  <c r="D124" i="2"/>
  <c r="H125" i="2"/>
  <c r="C124" i="2"/>
  <c r="E124" i="2"/>
  <c r="A124" i="2"/>
  <c r="L124" i="2"/>
  <c r="D204" i="1"/>
  <c r="E203" i="1"/>
  <c r="N205" i="3" l="1"/>
  <c r="M205" i="3"/>
  <c r="I206" i="3"/>
  <c r="F206" i="3" s="1"/>
  <c r="P205" i="3"/>
  <c r="Q205" i="3"/>
  <c r="B205" i="3"/>
  <c r="A205" i="3"/>
  <c r="E205" i="3"/>
  <c r="D205" i="3"/>
  <c r="K205" i="3"/>
  <c r="J205" i="3" s="1"/>
  <c r="T204" i="3"/>
  <c r="R204" i="3"/>
  <c r="S204" i="3"/>
  <c r="C204" i="3"/>
  <c r="J124" i="2"/>
  <c r="K124" i="2"/>
  <c r="D125" i="2"/>
  <c r="L125" i="2"/>
  <c r="C125" i="2"/>
  <c r="H126" i="2"/>
  <c r="A125" i="2"/>
  <c r="E125" i="2"/>
  <c r="F125" i="2"/>
  <c r="B125" i="2"/>
  <c r="D205" i="1"/>
  <c r="E204" i="1"/>
  <c r="N206" i="3" l="1"/>
  <c r="M206" i="3"/>
  <c r="T205" i="3"/>
  <c r="R205" i="3"/>
  <c r="S205" i="3"/>
  <c r="C205" i="3"/>
  <c r="E206" i="3"/>
  <c r="Q206" i="3"/>
  <c r="K206" i="3"/>
  <c r="J206" i="3" s="1"/>
  <c r="B206" i="3"/>
  <c r="D206" i="3"/>
  <c r="P206" i="3"/>
  <c r="A206" i="3"/>
  <c r="I207" i="3"/>
  <c r="F207" i="3" s="1"/>
  <c r="J125" i="2"/>
  <c r="K125" i="2"/>
  <c r="B126" i="2"/>
  <c r="F126" i="2"/>
  <c r="L126" i="2"/>
  <c r="C126" i="2"/>
  <c r="H127" i="2"/>
  <c r="E126" i="2"/>
  <c r="A126" i="2"/>
  <c r="D126" i="2"/>
  <c r="D206" i="1"/>
  <c r="E205" i="1"/>
  <c r="M207" i="3" l="1"/>
  <c r="N207" i="3"/>
  <c r="C206" i="3"/>
  <c r="R206" i="3"/>
  <c r="S206" i="3"/>
  <c r="T206" i="3"/>
  <c r="K207" i="3"/>
  <c r="P207" i="3"/>
  <c r="Q207" i="3"/>
  <c r="E207" i="3"/>
  <c r="I208" i="3"/>
  <c r="F208" i="3" s="1"/>
  <c r="A207" i="3"/>
  <c r="B207" i="3"/>
  <c r="D207" i="3"/>
  <c r="A127" i="2"/>
  <c r="H128" i="2"/>
  <c r="E127" i="2"/>
  <c r="C127" i="2"/>
  <c r="F127" i="2"/>
  <c r="L127" i="2"/>
  <c r="D127" i="2"/>
  <c r="B127" i="2"/>
  <c r="J126" i="2"/>
  <c r="K126" i="2"/>
  <c r="D207" i="1"/>
  <c r="E206" i="1"/>
  <c r="N208" i="3" l="1"/>
  <c r="M208" i="3"/>
  <c r="C207" i="3"/>
  <c r="K208" i="3"/>
  <c r="J208" i="3" s="1"/>
  <c r="P208" i="3"/>
  <c r="D208" i="3"/>
  <c r="B208" i="3"/>
  <c r="I209" i="3"/>
  <c r="F209" i="3" s="1"/>
  <c r="Q208" i="3"/>
  <c r="A208" i="3"/>
  <c r="E208" i="3"/>
  <c r="J207" i="3"/>
  <c r="T207" i="3"/>
  <c r="S207" i="3"/>
  <c r="R207" i="3"/>
  <c r="J127" i="2"/>
  <c r="K127" i="2"/>
  <c r="C128" i="2"/>
  <c r="H129" i="2"/>
  <c r="L128" i="2"/>
  <c r="E128" i="2"/>
  <c r="D128" i="2"/>
  <c r="F128" i="2"/>
  <c r="B128" i="2"/>
  <c r="A128" i="2"/>
  <c r="D208" i="1"/>
  <c r="E207" i="1"/>
  <c r="N209" i="3" l="1"/>
  <c r="M209" i="3"/>
  <c r="S208" i="3"/>
  <c r="R208" i="3"/>
  <c r="T208" i="3"/>
  <c r="Q209" i="3"/>
  <c r="D209" i="3"/>
  <c r="B209" i="3"/>
  <c r="I210" i="3"/>
  <c r="F210" i="3" s="1"/>
  <c r="E209" i="3"/>
  <c r="K209" i="3"/>
  <c r="A209" i="3"/>
  <c r="P209" i="3"/>
  <c r="C208" i="3"/>
  <c r="A129" i="2"/>
  <c r="C129" i="2"/>
  <c r="D129" i="2"/>
  <c r="B129" i="2"/>
  <c r="H130" i="2"/>
  <c r="E129" i="2"/>
  <c r="L129" i="2"/>
  <c r="F129" i="2"/>
  <c r="J128" i="2"/>
  <c r="K128" i="2"/>
  <c r="D209" i="1"/>
  <c r="E208" i="1"/>
  <c r="M210" i="3" l="1"/>
  <c r="N210" i="3"/>
  <c r="C209" i="3"/>
  <c r="R209" i="3"/>
  <c r="S209" i="3"/>
  <c r="T209" i="3"/>
  <c r="E210" i="3"/>
  <c r="D210" i="3"/>
  <c r="K210" i="3"/>
  <c r="J210" i="3" s="1"/>
  <c r="Q210" i="3"/>
  <c r="P210" i="3"/>
  <c r="B210" i="3"/>
  <c r="A210" i="3"/>
  <c r="I211" i="3"/>
  <c r="F211" i="3" s="1"/>
  <c r="J209" i="3"/>
  <c r="E130" i="2"/>
  <c r="B130" i="2"/>
  <c r="D130" i="2"/>
  <c r="F130" i="2"/>
  <c r="H131" i="2"/>
  <c r="L130" i="2"/>
  <c r="A130" i="2"/>
  <c r="C130" i="2"/>
  <c r="J129" i="2"/>
  <c r="K129" i="2"/>
  <c r="D210" i="1"/>
  <c r="E210" i="1" s="1"/>
  <c r="E209" i="1"/>
  <c r="N211" i="3" l="1"/>
  <c r="M211" i="3"/>
  <c r="C210" i="3"/>
  <c r="K211" i="3"/>
  <c r="P211" i="3"/>
  <c r="A211" i="3"/>
  <c r="D211" i="3"/>
  <c r="B211" i="3"/>
  <c r="E211" i="3"/>
  <c r="I212" i="3"/>
  <c r="F212" i="3" s="1"/>
  <c r="Q211" i="3"/>
  <c r="T210" i="3"/>
  <c r="R210" i="3"/>
  <c r="S210" i="3"/>
  <c r="J130" i="2"/>
  <c r="K130" i="2"/>
  <c r="B131" i="2"/>
  <c r="L131" i="2"/>
  <c r="F131" i="2"/>
  <c r="A131" i="2"/>
  <c r="C131" i="2"/>
  <c r="E131" i="2"/>
  <c r="D131" i="2"/>
  <c r="H132" i="2"/>
  <c r="M212" i="3" l="1"/>
  <c r="N212" i="3"/>
  <c r="R211" i="3"/>
  <c r="T211" i="3"/>
  <c r="S211" i="3"/>
  <c r="J211" i="3"/>
  <c r="D212" i="3"/>
  <c r="B212" i="3"/>
  <c r="I213" i="3"/>
  <c r="F213" i="3" s="1"/>
  <c r="Q212" i="3"/>
  <c r="E212" i="3"/>
  <c r="A212" i="3"/>
  <c r="P212" i="3"/>
  <c r="K212" i="3"/>
  <c r="J212" i="3" s="1"/>
  <c r="C211" i="3"/>
  <c r="J131" i="2"/>
  <c r="K131" i="2"/>
  <c r="D132" i="2"/>
  <c r="H133" i="2"/>
  <c r="C132" i="2"/>
  <c r="F132" i="2"/>
  <c r="A132" i="2"/>
  <c r="B132" i="2"/>
  <c r="E132" i="2"/>
  <c r="L132" i="2"/>
  <c r="N213" i="3" l="1"/>
  <c r="M213" i="3"/>
  <c r="C212" i="3"/>
  <c r="R212" i="3"/>
  <c r="T212" i="3"/>
  <c r="S212" i="3"/>
  <c r="B213" i="3"/>
  <c r="D213" i="3"/>
  <c r="A213" i="3"/>
  <c r="E213" i="3"/>
  <c r="Q213" i="3"/>
  <c r="P213" i="3"/>
  <c r="I214" i="3"/>
  <c r="F214" i="3" s="1"/>
  <c r="K213" i="3"/>
  <c r="J213" i="3" s="1"/>
  <c r="J132" i="2"/>
  <c r="K132" i="2"/>
  <c r="E133" i="2"/>
  <c r="L133" i="2"/>
  <c r="A133" i="2"/>
  <c r="F133" i="2"/>
  <c r="D133" i="2"/>
  <c r="H134" i="2"/>
  <c r="B133" i="2"/>
  <c r="C133" i="2"/>
  <c r="N214" i="3" l="1"/>
  <c r="M214" i="3"/>
  <c r="C213" i="3"/>
  <c r="E214" i="3"/>
  <c r="Q214" i="3"/>
  <c r="P214" i="3"/>
  <c r="D214" i="3"/>
  <c r="A214" i="3"/>
  <c r="B214" i="3"/>
  <c r="K214" i="3"/>
  <c r="I215" i="3"/>
  <c r="F215" i="3" s="1"/>
  <c r="S213" i="3"/>
  <c r="T213" i="3"/>
  <c r="R213" i="3"/>
  <c r="J133" i="2"/>
  <c r="K133" i="2"/>
  <c r="C134" i="2"/>
  <c r="E134" i="2"/>
  <c r="D134" i="2"/>
  <c r="F134" i="2"/>
  <c r="H135" i="2"/>
  <c r="L134" i="2"/>
  <c r="B134" i="2"/>
  <c r="A134" i="2"/>
  <c r="N215" i="3" l="1"/>
  <c r="M215" i="3"/>
  <c r="C214" i="3"/>
  <c r="E215" i="3"/>
  <c r="I216" i="3"/>
  <c r="F216" i="3" s="1"/>
  <c r="A215" i="3"/>
  <c r="K215" i="3"/>
  <c r="D215" i="3"/>
  <c r="B215" i="3"/>
  <c r="P215" i="3"/>
  <c r="Q215" i="3"/>
  <c r="S214" i="3"/>
  <c r="T214" i="3"/>
  <c r="R214" i="3"/>
  <c r="J214" i="3"/>
  <c r="J134" i="2"/>
  <c r="K134" i="2"/>
  <c r="C135" i="2"/>
  <c r="E135" i="2"/>
  <c r="H136" i="2"/>
  <c r="D135" i="2"/>
  <c r="A135" i="2"/>
  <c r="B135" i="2"/>
  <c r="F135" i="2"/>
  <c r="L135" i="2"/>
  <c r="N216" i="3" l="1"/>
  <c r="M216" i="3"/>
  <c r="C215" i="3"/>
  <c r="R215" i="3"/>
  <c r="S215" i="3"/>
  <c r="T215" i="3"/>
  <c r="E216" i="3"/>
  <c r="B216" i="3"/>
  <c r="K216" i="3"/>
  <c r="J216" i="3" s="1"/>
  <c r="P216" i="3"/>
  <c r="A216" i="3"/>
  <c r="D216" i="3"/>
  <c r="Q216" i="3"/>
  <c r="I217" i="3"/>
  <c r="F217" i="3" s="1"/>
  <c r="J215" i="3"/>
  <c r="J135" i="2"/>
  <c r="K135" i="2"/>
  <c r="C136" i="2"/>
  <c r="B136" i="2"/>
  <c r="L136" i="2"/>
  <c r="E136" i="2"/>
  <c r="A136" i="2"/>
  <c r="H137" i="2"/>
  <c r="D136" i="2"/>
  <c r="F136" i="2"/>
  <c r="N217" i="3" l="1"/>
  <c r="M217" i="3"/>
  <c r="S216" i="3"/>
  <c r="T216" i="3"/>
  <c r="R216" i="3"/>
  <c r="C216" i="3"/>
  <c r="B217" i="3"/>
  <c r="D217" i="3"/>
  <c r="P217" i="3"/>
  <c r="K217" i="3"/>
  <c r="I218" i="3"/>
  <c r="F218" i="3" s="1"/>
  <c r="E217" i="3"/>
  <c r="Q217" i="3"/>
  <c r="A217" i="3"/>
  <c r="J136" i="2"/>
  <c r="K136" i="2"/>
  <c r="C137" i="2"/>
  <c r="E137" i="2"/>
  <c r="B137" i="2"/>
  <c r="L137" i="2"/>
  <c r="H138" i="2"/>
  <c r="D137" i="2"/>
  <c r="F137" i="2"/>
  <c r="A137" i="2"/>
  <c r="M218" i="3" l="1"/>
  <c r="N218" i="3"/>
  <c r="T217" i="3"/>
  <c r="S217" i="3"/>
  <c r="R217" i="3"/>
  <c r="J217" i="3"/>
  <c r="C217" i="3"/>
  <c r="E218" i="3"/>
  <c r="I219" i="3"/>
  <c r="F219" i="3" s="1"/>
  <c r="B218" i="3"/>
  <c r="A218" i="3"/>
  <c r="Q218" i="3"/>
  <c r="K218" i="3"/>
  <c r="D218" i="3"/>
  <c r="P218" i="3"/>
  <c r="D138" i="2"/>
  <c r="F138" i="2"/>
  <c r="A138" i="2"/>
  <c r="L138" i="2"/>
  <c r="E138" i="2"/>
  <c r="H139" i="2"/>
  <c r="C138" i="2"/>
  <c r="B138" i="2"/>
  <c r="J137" i="2"/>
  <c r="K137" i="2"/>
  <c r="N219" i="3" l="1"/>
  <c r="M219" i="3"/>
  <c r="C218" i="3"/>
  <c r="J218" i="3"/>
  <c r="B219" i="3"/>
  <c r="E219" i="3"/>
  <c r="P219" i="3"/>
  <c r="D219" i="3"/>
  <c r="K219" i="3"/>
  <c r="A219" i="3"/>
  <c r="I220" i="3"/>
  <c r="F220" i="3" s="1"/>
  <c r="Q219" i="3"/>
  <c r="T218" i="3"/>
  <c r="R218" i="3"/>
  <c r="S218" i="3"/>
  <c r="J138" i="2"/>
  <c r="K138" i="2"/>
  <c r="B139" i="2"/>
  <c r="A139" i="2"/>
  <c r="C139" i="2"/>
  <c r="F139" i="2"/>
  <c r="L139" i="2"/>
  <c r="E139" i="2"/>
  <c r="D139" i="2"/>
  <c r="H140" i="2"/>
  <c r="M220" i="3" l="1"/>
  <c r="N220" i="3"/>
  <c r="T219" i="3"/>
  <c r="S219" i="3"/>
  <c r="R219" i="3"/>
  <c r="Q220" i="3"/>
  <c r="P220" i="3"/>
  <c r="A220" i="3"/>
  <c r="I221" i="3"/>
  <c r="F221" i="3" s="1"/>
  <c r="E220" i="3"/>
  <c r="D220" i="3"/>
  <c r="B220" i="3"/>
  <c r="K220" i="3"/>
  <c r="C219" i="3"/>
  <c r="J219" i="3"/>
  <c r="E140" i="2"/>
  <c r="A140" i="2"/>
  <c r="L140" i="2"/>
  <c r="F140" i="2"/>
  <c r="H141" i="2"/>
  <c r="C140" i="2"/>
  <c r="D140" i="2"/>
  <c r="B140" i="2"/>
  <c r="J139" i="2"/>
  <c r="K139" i="2"/>
  <c r="N221" i="3" l="1"/>
  <c r="M221" i="3"/>
  <c r="C220" i="3"/>
  <c r="P221" i="3"/>
  <c r="B221" i="3"/>
  <c r="A221" i="3"/>
  <c r="K221" i="3"/>
  <c r="I222" i="3"/>
  <c r="F222" i="3" s="1"/>
  <c r="E221" i="3"/>
  <c r="Q221" i="3"/>
  <c r="D221" i="3"/>
  <c r="S220" i="3"/>
  <c r="R220" i="3"/>
  <c r="T220" i="3"/>
  <c r="J220" i="3"/>
  <c r="B141" i="2"/>
  <c r="L141" i="2"/>
  <c r="A141" i="2"/>
  <c r="D141" i="2"/>
  <c r="H142" i="2"/>
  <c r="F141" i="2"/>
  <c r="E141" i="2"/>
  <c r="C141" i="2"/>
  <c r="J140" i="2"/>
  <c r="K140" i="2"/>
  <c r="N222" i="3" l="1"/>
  <c r="M222" i="3"/>
  <c r="C221" i="3"/>
  <c r="R221" i="3"/>
  <c r="T221" i="3"/>
  <c r="S221" i="3"/>
  <c r="J221" i="3"/>
  <c r="I223" i="3"/>
  <c r="F223" i="3" s="1"/>
  <c r="P222" i="3"/>
  <c r="Q222" i="3"/>
  <c r="E222" i="3"/>
  <c r="A222" i="3"/>
  <c r="B222" i="3"/>
  <c r="D222" i="3"/>
  <c r="K222" i="3"/>
  <c r="A142" i="2"/>
  <c r="E142" i="2"/>
  <c r="D142" i="2"/>
  <c r="B142" i="2"/>
  <c r="C142" i="2"/>
  <c r="H143" i="2"/>
  <c r="F142" i="2"/>
  <c r="L142" i="2"/>
  <c r="J141" i="2"/>
  <c r="K141" i="2"/>
  <c r="M223" i="3" l="1"/>
  <c r="N223" i="3"/>
  <c r="C222" i="3"/>
  <c r="T222" i="3"/>
  <c r="R222" i="3"/>
  <c r="S222" i="3"/>
  <c r="E223" i="3"/>
  <c r="I224" i="3"/>
  <c r="F224" i="3" s="1"/>
  <c r="K223" i="3"/>
  <c r="J223" i="3" s="1"/>
  <c r="B223" i="3"/>
  <c r="P223" i="3"/>
  <c r="Q223" i="3"/>
  <c r="A223" i="3"/>
  <c r="D223" i="3"/>
  <c r="J222" i="3"/>
  <c r="J142" i="2"/>
  <c r="K142" i="2"/>
  <c r="F143" i="2"/>
  <c r="D143" i="2"/>
  <c r="A143" i="2"/>
  <c r="H144" i="2"/>
  <c r="E143" i="2"/>
  <c r="L143" i="2"/>
  <c r="C143" i="2"/>
  <c r="B143" i="2"/>
  <c r="N224" i="3" l="1"/>
  <c r="M224" i="3"/>
  <c r="S223" i="3"/>
  <c r="T223" i="3"/>
  <c r="R223" i="3"/>
  <c r="C223" i="3"/>
  <c r="D224" i="3"/>
  <c r="K224" i="3"/>
  <c r="J224" i="3" s="1"/>
  <c r="A224" i="3"/>
  <c r="B224" i="3"/>
  <c r="I225" i="3"/>
  <c r="F225" i="3" s="1"/>
  <c r="P224" i="3"/>
  <c r="E224" i="3"/>
  <c r="Q224" i="3"/>
  <c r="J143" i="2"/>
  <c r="K143" i="2"/>
  <c r="E144" i="2"/>
  <c r="C144" i="2"/>
  <c r="D144" i="2"/>
  <c r="F144" i="2"/>
  <c r="B144" i="2"/>
  <c r="H145" i="2"/>
  <c r="A144" i="2"/>
  <c r="L144" i="2"/>
  <c r="M225" i="3" l="1"/>
  <c r="N225" i="3"/>
  <c r="C224" i="3"/>
  <c r="S224" i="3"/>
  <c r="T224" i="3"/>
  <c r="R224" i="3"/>
  <c r="D225" i="3"/>
  <c r="K225" i="3"/>
  <c r="J225" i="3" s="1"/>
  <c r="I226" i="3"/>
  <c r="F226" i="3" s="1"/>
  <c r="P225" i="3"/>
  <c r="Q225" i="3"/>
  <c r="E225" i="3"/>
  <c r="A225" i="3"/>
  <c r="B225" i="3"/>
  <c r="J144" i="2"/>
  <c r="K144" i="2"/>
  <c r="E145" i="2"/>
  <c r="L145" i="2"/>
  <c r="A145" i="2"/>
  <c r="B145" i="2"/>
  <c r="C145" i="2"/>
  <c r="F145" i="2"/>
  <c r="H146" i="2"/>
  <c r="D145" i="2"/>
  <c r="M226" i="3" l="1"/>
  <c r="N226" i="3"/>
  <c r="C225" i="3"/>
  <c r="T225" i="3"/>
  <c r="R225" i="3"/>
  <c r="S225" i="3"/>
  <c r="B226" i="3"/>
  <c r="D226" i="3"/>
  <c r="K226" i="3"/>
  <c r="J226" i="3" s="1"/>
  <c r="A226" i="3"/>
  <c r="Q226" i="3"/>
  <c r="E226" i="3"/>
  <c r="I227" i="3"/>
  <c r="F227" i="3" s="1"/>
  <c r="P226" i="3"/>
  <c r="J145" i="2"/>
  <c r="K145" i="2"/>
  <c r="C146" i="2"/>
  <c r="B146" i="2"/>
  <c r="L146" i="2"/>
  <c r="F146" i="2"/>
  <c r="E146" i="2"/>
  <c r="A146" i="2"/>
  <c r="H147" i="2"/>
  <c r="D146" i="2"/>
  <c r="N227" i="3" l="1"/>
  <c r="M227" i="3"/>
  <c r="C226" i="3"/>
  <c r="R226" i="3"/>
  <c r="S226" i="3"/>
  <c r="T226" i="3"/>
  <c r="P227" i="3"/>
  <c r="Q227" i="3"/>
  <c r="B227" i="3"/>
  <c r="D227" i="3"/>
  <c r="A227" i="3"/>
  <c r="E227" i="3"/>
  <c r="I228" i="3"/>
  <c r="F228" i="3" s="1"/>
  <c r="K227" i="3"/>
  <c r="E147" i="2"/>
  <c r="C147" i="2"/>
  <c r="L147" i="2"/>
  <c r="H148" i="2"/>
  <c r="A147" i="2"/>
  <c r="B147" i="2"/>
  <c r="F147" i="2"/>
  <c r="D147" i="2"/>
  <c r="J146" i="2"/>
  <c r="K146" i="2"/>
  <c r="M228" i="3" l="1"/>
  <c r="N228" i="3"/>
  <c r="C227" i="3"/>
  <c r="T227" i="3"/>
  <c r="R227" i="3"/>
  <c r="S227" i="3"/>
  <c r="A228" i="3"/>
  <c r="B228" i="3"/>
  <c r="E228" i="3"/>
  <c r="D228" i="3"/>
  <c r="K228" i="3"/>
  <c r="I229" i="3"/>
  <c r="F229" i="3" s="1"/>
  <c r="P228" i="3"/>
  <c r="Q228" i="3"/>
  <c r="J227" i="3"/>
  <c r="D148" i="2"/>
  <c r="E148" i="2"/>
  <c r="H149" i="2"/>
  <c r="A148" i="2"/>
  <c r="L148" i="2"/>
  <c r="F148" i="2"/>
  <c r="B148" i="2"/>
  <c r="C148" i="2"/>
  <c r="J147" i="2"/>
  <c r="K147" i="2"/>
  <c r="N229" i="3" l="1"/>
  <c r="M229" i="3"/>
  <c r="A229" i="3"/>
  <c r="B229" i="3"/>
  <c r="E229" i="3"/>
  <c r="D229" i="3"/>
  <c r="K229" i="3"/>
  <c r="J229" i="3" s="1"/>
  <c r="I230" i="3"/>
  <c r="F230" i="3" s="1"/>
  <c r="P229" i="3"/>
  <c r="Q229" i="3"/>
  <c r="R228" i="3"/>
  <c r="S228" i="3"/>
  <c r="T228" i="3"/>
  <c r="C228" i="3"/>
  <c r="J228" i="3"/>
  <c r="D149" i="2"/>
  <c r="B149" i="2"/>
  <c r="L149" i="2"/>
  <c r="C149" i="2"/>
  <c r="F149" i="2"/>
  <c r="A149" i="2"/>
  <c r="H150" i="2"/>
  <c r="E149" i="2"/>
  <c r="J148" i="2"/>
  <c r="K148" i="2"/>
  <c r="N230" i="3" l="1"/>
  <c r="M230" i="3"/>
  <c r="Q230" i="3"/>
  <c r="B230" i="3"/>
  <c r="D230" i="3"/>
  <c r="K230" i="3"/>
  <c r="J230" i="3" s="1"/>
  <c r="E230" i="3"/>
  <c r="I231" i="3"/>
  <c r="F231" i="3" s="1"/>
  <c r="P230" i="3"/>
  <c r="A230" i="3"/>
  <c r="R229" i="3"/>
  <c r="S229" i="3"/>
  <c r="T229" i="3"/>
  <c r="C229" i="3"/>
  <c r="J149" i="2"/>
  <c r="K149" i="2"/>
  <c r="H151" i="2"/>
  <c r="L150" i="2"/>
  <c r="E150" i="2"/>
  <c r="C150" i="2"/>
  <c r="F150" i="2"/>
  <c r="D150" i="2"/>
  <c r="B150" i="2"/>
  <c r="A150" i="2"/>
  <c r="N231" i="3" l="1"/>
  <c r="M231" i="3"/>
  <c r="C230" i="3"/>
  <c r="A231" i="3"/>
  <c r="B231" i="3"/>
  <c r="D231" i="3"/>
  <c r="E231" i="3"/>
  <c r="K231" i="3"/>
  <c r="P231" i="3"/>
  <c r="Q231" i="3"/>
  <c r="I232" i="3"/>
  <c r="F232" i="3" s="1"/>
  <c r="T230" i="3"/>
  <c r="R230" i="3"/>
  <c r="S230" i="3"/>
  <c r="J150" i="2"/>
  <c r="K150" i="2"/>
  <c r="F151" i="2"/>
  <c r="E151" i="2"/>
  <c r="A151" i="2"/>
  <c r="L151" i="2"/>
  <c r="D151" i="2"/>
  <c r="B151" i="2"/>
  <c r="C151" i="2"/>
  <c r="H152" i="2"/>
  <c r="N232" i="3" l="1"/>
  <c r="M232" i="3"/>
  <c r="C231" i="3"/>
  <c r="E232" i="3"/>
  <c r="D232" i="3"/>
  <c r="K232" i="3"/>
  <c r="I233" i="3"/>
  <c r="F233" i="3" s="1"/>
  <c r="P232" i="3"/>
  <c r="Q232" i="3"/>
  <c r="A232" i="3"/>
  <c r="B232" i="3"/>
  <c r="R231" i="3"/>
  <c r="S231" i="3"/>
  <c r="T231" i="3"/>
  <c r="J231" i="3"/>
  <c r="C152" i="2"/>
  <c r="F152" i="2"/>
  <c r="A152" i="2"/>
  <c r="L152" i="2"/>
  <c r="B152" i="2"/>
  <c r="E152" i="2"/>
  <c r="H153" i="2"/>
  <c r="D152" i="2"/>
  <c r="J151" i="2"/>
  <c r="K151" i="2"/>
  <c r="M233" i="3" l="1"/>
  <c r="N233" i="3"/>
  <c r="C232" i="3"/>
  <c r="T232" i="3"/>
  <c r="R232" i="3"/>
  <c r="S232" i="3"/>
  <c r="J232" i="3"/>
  <c r="I234" i="3"/>
  <c r="F234" i="3" s="1"/>
  <c r="P233" i="3"/>
  <c r="Q233" i="3"/>
  <c r="A233" i="3"/>
  <c r="B233" i="3"/>
  <c r="E233" i="3"/>
  <c r="D233" i="3"/>
  <c r="K233" i="3"/>
  <c r="H154" i="2"/>
  <c r="B153" i="2"/>
  <c r="C153" i="2"/>
  <c r="A153" i="2"/>
  <c r="E153" i="2"/>
  <c r="D153" i="2"/>
  <c r="L153" i="2"/>
  <c r="F153" i="2"/>
  <c r="J152" i="2"/>
  <c r="K152" i="2"/>
  <c r="M234" i="3" l="1"/>
  <c r="N234" i="3"/>
  <c r="Q234" i="3"/>
  <c r="E234" i="3"/>
  <c r="B234" i="3"/>
  <c r="D234" i="3"/>
  <c r="K234" i="3"/>
  <c r="I235" i="3"/>
  <c r="F235" i="3" s="1"/>
  <c r="P234" i="3"/>
  <c r="A234" i="3"/>
  <c r="S233" i="3"/>
  <c r="R233" i="3"/>
  <c r="T233" i="3"/>
  <c r="J233" i="3"/>
  <c r="C233" i="3"/>
  <c r="D154" i="2"/>
  <c r="B154" i="2"/>
  <c r="F154" i="2"/>
  <c r="L154" i="2"/>
  <c r="E154" i="2"/>
  <c r="A154" i="2"/>
  <c r="C154" i="2"/>
  <c r="H155" i="2"/>
  <c r="J153" i="2"/>
  <c r="K153" i="2"/>
  <c r="N235" i="3" l="1"/>
  <c r="M235" i="3"/>
  <c r="C234" i="3"/>
  <c r="E235" i="3"/>
  <c r="I236" i="3"/>
  <c r="F236" i="3" s="1"/>
  <c r="K235" i="3"/>
  <c r="J235" i="3" s="1"/>
  <c r="Q235" i="3"/>
  <c r="A235" i="3"/>
  <c r="D235" i="3"/>
  <c r="P235" i="3"/>
  <c r="B235" i="3"/>
  <c r="R234" i="3"/>
  <c r="S234" i="3"/>
  <c r="T234" i="3"/>
  <c r="J234" i="3"/>
  <c r="H156" i="2"/>
  <c r="E155" i="2"/>
  <c r="B155" i="2"/>
  <c r="C155" i="2"/>
  <c r="F155" i="2"/>
  <c r="D155" i="2"/>
  <c r="L155" i="2"/>
  <c r="A155" i="2"/>
  <c r="J154" i="2"/>
  <c r="K154" i="2"/>
  <c r="M236" i="3" l="1"/>
  <c r="N236" i="3"/>
  <c r="I237" i="3"/>
  <c r="F237" i="3" s="1"/>
  <c r="P236" i="3"/>
  <c r="A236" i="3"/>
  <c r="B236" i="3"/>
  <c r="E236" i="3"/>
  <c r="D236" i="3"/>
  <c r="K236" i="3"/>
  <c r="Q236" i="3"/>
  <c r="T235" i="3"/>
  <c r="R235" i="3"/>
  <c r="S235" i="3"/>
  <c r="C235" i="3"/>
  <c r="E156" i="2"/>
  <c r="H157" i="2"/>
  <c r="F156" i="2"/>
  <c r="B156" i="2"/>
  <c r="L156" i="2"/>
  <c r="A156" i="2"/>
  <c r="D156" i="2"/>
  <c r="C156" i="2"/>
  <c r="J155" i="2"/>
  <c r="K155" i="2"/>
  <c r="N237" i="3" l="1"/>
  <c r="M237" i="3"/>
  <c r="I238" i="3"/>
  <c r="F238" i="3" s="1"/>
  <c r="P237" i="3"/>
  <c r="Q237" i="3"/>
  <c r="B237" i="3"/>
  <c r="E237" i="3"/>
  <c r="D237" i="3"/>
  <c r="K237" i="3"/>
  <c r="J237" i="3" s="1"/>
  <c r="A237" i="3"/>
  <c r="T236" i="3"/>
  <c r="R236" i="3"/>
  <c r="S236" i="3"/>
  <c r="C236" i="3"/>
  <c r="J236" i="3"/>
  <c r="F157" i="2"/>
  <c r="D157" i="2"/>
  <c r="C157" i="2"/>
  <c r="B157" i="2"/>
  <c r="H158" i="2"/>
  <c r="L157" i="2"/>
  <c r="A157" i="2"/>
  <c r="E157" i="2"/>
  <c r="J156" i="2"/>
  <c r="K156" i="2"/>
  <c r="N238" i="3" l="1"/>
  <c r="M238" i="3"/>
  <c r="T237" i="3"/>
  <c r="S237" i="3"/>
  <c r="R237" i="3"/>
  <c r="C237" i="3"/>
  <c r="A238" i="3"/>
  <c r="Q238" i="3"/>
  <c r="E238" i="3"/>
  <c r="B238" i="3"/>
  <c r="K238" i="3"/>
  <c r="I239" i="3"/>
  <c r="F239" i="3" s="1"/>
  <c r="D238" i="3"/>
  <c r="P238" i="3"/>
  <c r="J157" i="2"/>
  <c r="K157" i="2"/>
  <c r="A158" i="2"/>
  <c r="D158" i="2"/>
  <c r="F158" i="2"/>
  <c r="H159" i="2"/>
  <c r="E158" i="2"/>
  <c r="C158" i="2"/>
  <c r="B158" i="2"/>
  <c r="L158" i="2"/>
  <c r="M239" i="3" l="1"/>
  <c r="N239" i="3"/>
  <c r="A239" i="3"/>
  <c r="I240" i="3"/>
  <c r="F240" i="3" s="1"/>
  <c r="E239" i="3"/>
  <c r="K239" i="3"/>
  <c r="J239" i="3" s="1"/>
  <c r="P239" i="3"/>
  <c r="Q239" i="3"/>
  <c r="B239" i="3"/>
  <c r="D239" i="3"/>
  <c r="T238" i="3"/>
  <c r="R238" i="3"/>
  <c r="S238" i="3"/>
  <c r="C238" i="3"/>
  <c r="J238" i="3"/>
  <c r="H160" i="2"/>
  <c r="D159" i="2"/>
  <c r="B159" i="2"/>
  <c r="E159" i="2"/>
  <c r="L159" i="2"/>
  <c r="A159" i="2"/>
  <c r="C159" i="2"/>
  <c r="F159" i="2"/>
  <c r="J158" i="2"/>
  <c r="K158" i="2"/>
  <c r="N240" i="3" l="1"/>
  <c r="M240" i="3"/>
  <c r="C239" i="3"/>
  <c r="A240" i="3"/>
  <c r="B240" i="3"/>
  <c r="D240" i="3"/>
  <c r="K240" i="3"/>
  <c r="J240" i="3" s="1"/>
  <c r="I241" i="3"/>
  <c r="F241" i="3" s="1"/>
  <c r="P240" i="3"/>
  <c r="Q240" i="3"/>
  <c r="E240" i="3"/>
  <c r="R239" i="3"/>
  <c r="S239" i="3"/>
  <c r="T239" i="3"/>
  <c r="J159" i="2"/>
  <c r="K159" i="2"/>
  <c r="E160" i="2"/>
  <c r="C160" i="2"/>
  <c r="D160" i="2"/>
  <c r="H161" i="2"/>
  <c r="F160" i="2"/>
  <c r="B160" i="2"/>
  <c r="L160" i="2"/>
  <c r="A160" i="2"/>
  <c r="N241" i="3" l="1"/>
  <c r="M241" i="3"/>
  <c r="C240" i="3"/>
  <c r="A241" i="3"/>
  <c r="B241" i="3"/>
  <c r="K241" i="3"/>
  <c r="J241" i="3" s="1"/>
  <c r="D241" i="3"/>
  <c r="I242" i="3"/>
  <c r="F242" i="3" s="1"/>
  <c r="P241" i="3"/>
  <c r="Q241" i="3"/>
  <c r="E241" i="3"/>
  <c r="R240" i="3"/>
  <c r="S240" i="3"/>
  <c r="T240" i="3"/>
  <c r="A161" i="2"/>
  <c r="E161" i="2"/>
  <c r="F161" i="2"/>
  <c r="B161" i="2"/>
  <c r="C161" i="2"/>
  <c r="L161" i="2"/>
  <c r="D161" i="2"/>
  <c r="H162" i="2"/>
  <c r="J160" i="2"/>
  <c r="K160" i="2"/>
  <c r="M242" i="3" l="1"/>
  <c r="N242" i="3"/>
  <c r="C241" i="3"/>
  <c r="T241" i="3"/>
  <c r="R241" i="3"/>
  <c r="S241" i="3"/>
  <c r="I243" i="3"/>
  <c r="F243" i="3" s="1"/>
  <c r="A242" i="3"/>
  <c r="Q242" i="3"/>
  <c r="E242" i="3"/>
  <c r="B242" i="3"/>
  <c r="D242" i="3"/>
  <c r="K242" i="3"/>
  <c r="P242" i="3"/>
  <c r="D162" i="2"/>
  <c r="A162" i="2"/>
  <c r="E162" i="2"/>
  <c r="F162" i="2"/>
  <c r="B162" i="2"/>
  <c r="C162" i="2"/>
  <c r="H163" i="2"/>
  <c r="L162" i="2"/>
  <c r="J161" i="2"/>
  <c r="K161" i="2"/>
  <c r="N243" i="3" l="1"/>
  <c r="M243" i="3"/>
  <c r="C242" i="3"/>
  <c r="E243" i="3"/>
  <c r="I244" i="3"/>
  <c r="F244" i="3" s="1"/>
  <c r="P243" i="3"/>
  <c r="Q243" i="3"/>
  <c r="A243" i="3"/>
  <c r="B243" i="3"/>
  <c r="D243" i="3"/>
  <c r="K243" i="3"/>
  <c r="S242" i="3"/>
  <c r="T242" i="3"/>
  <c r="R242" i="3"/>
  <c r="J242" i="3"/>
  <c r="J162" i="2"/>
  <c r="K162" i="2"/>
  <c r="L163" i="2"/>
  <c r="F163" i="2"/>
  <c r="C163" i="2"/>
  <c r="H164" i="2"/>
  <c r="E163" i="2"/>
  <c r="A163" i="2"/>
  <c r="B163" i="2"/>
  <c r="D163" i="2"/>
  <c r="M244" i="3" l="1"/>
  <c r="N244" i="3"/>
  <c r="S243" i="3"/>
  <c r="T243" i="3"/>
  <c r="R243" i="3"/>
  <c r="C243" i="3"/>
  <c r="J243" i="3"/>
  <c r="D244" i="3"/>
  <c r="K244" i="3"/>
  <c r="J244" i="3" s="1"/>
  <c r="I245" i="3"/>
  <c r="F245" i="3" s="1"/>
  <c r="P244" i="3"/>
  <c r="Q244" i="3"/>
  <c r="A244" i="3"/>
  <c r="B244" i="3"/>
  <c r="E244" i="3"/>
  <c r="J163" i="2"/>
  <c r="K163" i="2"/>
  <c r="D164" i="2"/>
  <c r="A164" i="2"/>
  <c r="C164" i="2"/>
  <c r="E164" i="2"/>
  <c r="L164" i="2"/>
  <c r="F164" i="2"/>
  <c r="B164" i="2"/>
  <c r="H165" i="2"/>
  <c r="N245" i="3" l="1"/>
  <c r="M245" i="3"/>
  <c r="C244" i="3"/>
  <c r="A245" i="3"/>
  <c r="B245" i="3"/>
  <c r="E245" i="3"/>
  <c r="D245" i="3"/>
  <c r="K245" i="3"/>
  <c r="J245" i="3" s="1"/>
  <c r="I246" i="3"/>
  <c r="F246" i="3" s="1"/>
  <c r="P245" i="3"/>
  <c r="Q245" i="3"/>
  <c r="R244" i="3"/>
  <c r="S244" i="3"/>
  <c r="T244" i="3"/>
  <c r="J164" i="2"/>
  <c r="K164" i="2"/>
  <c r="A165" i="2"/>
  <c r="B165" i="2"/>
  <c r="L165" i="2"/>
  <c r="F165" i="2"/>
  <c r="E165" i="2"/>
  <c r="D165" i="2"/>
  <c r="C165" i="2"/>
  <c r="H166" i="2"/>
  <c r="N246" i="3" l="1"/>
  <c r="M246" i="3"/>
  <c r="Q246" i="3"/>
  <c r="E246" i="3"/>
  <c r="B246" i="3"/>
  <c r="K246" i="3"/>
  <c r="J246" i="3" s="1"/>
  <c r="P246" i="3"/>
  <c r="D246" i="3"/>
  <c r="I247" i="3"/>
  <c r="F247" i="3" s="1"/>
  <c r="A246" i="3"/>
  <c r="R245" i="3"/>
  <c r="S245" i="3"/>
  <c r="T245" i="3"/>
  <c r="C245" i="3"/>
  <c r="E166" i="2"/>
  <c r="D166" i="2"/>
  <c r="H167" i="2"/>
  <c r="F166" i="2"/>
  <c r="B166" i="2"/>
  <c r="L166" i="2"/>
  <c r="C166" i="2"/>
  <c r="A166" i="2"/>
  <c r="J165" i="2"/>
  <c r="K165" i="2"/>
  <c r="N247" i="3" l="1"/>
  <c r="M247" i="3"/>
  <c r="C246" i="3"/>
  <c r="E247" i="3"/>
  <c r="K247" i="3"/>
  <c r="J247" i="3" s="1"/>
  <c r="A247" i="3"/>
  <c r="B247" i="3"/>
  <c r="D247" i="3"/>
  <c r="I248" i="3"/>
  <c r="F248" i="3" s="1"/>
  <c r="P247" i="3"/>
  <c r="Q247" i="3"/>
  <c r="R246" i="3"/>
  <c r="T246" i="3"/>
  <c r="S246" i="3"/>
  <c r="L167" i="2"/>
  <c r="F167" i="2"/>
  <c r="A167" i="2"/>
  <c r="B167" i="2"/>
  <c r="H168" i="2"/>
  <c r="E167" i="2"/>
  <c r="D167" i="2"/>
  <c r="C167" i="2"/>
  <c r="J166" i="2"/>
  <c r="K166" i="2"/>
  <c r="N248" i="3" l="1"/>
  <c r="M248" i="3"/>
  <c r="D248" i="3"/>
  <c r="K248" i="3"/>
  <c r="J248" i="3" s="1"/>
  <c r="I249" i="3"/>
  <c r="F249" i="3" s="1"/>
  <c r="P248" i="3"/>
  <c r="Q248" i="3"/>
  <c r="A248" i="3"/>
  <c r="B248" i="3"/>
  <c r="E248" i="3"/>
  <c r="S247" i="3"/>
  <c r="T247" i="3"/>
  <c r="R247" i="3"/>
  <c r="C247" i="3"/>
  <c r="J167" i="2"/>
  <c r="K167" i="2"/>
  <c r="E168" i="2"/>
  <c r="B168" i="2"/>
  <c r="H169" i="2"/>
  <c r="D168" i="2"/>
  <c r="C168" i="2"/>
  <c r="L168" i="2"/>
  <c r="A168" i="2"/>
  <c r="F168" i="2"/>
  <c r="M249" i="3" l="1"/>
  <c r="N249" i="3"/>
  <c r="E249" i="3"/>
  <c r="P249" i="3"/>
  <c r="D249" i="3"/>
  <c r="K249" i="3"/>
  <c r="J249" i="3" s="1"/>
  <c r="I250" i="3"/>
  <c r="F250" i="3" s="1"/>
  <c r="Q249" i="3"/>
  <c r="A249" i="3"/>
  <c r="B249" i="3"/>
  <c r="S248" i="3"/>
  <c r="T248" i="3"/>
  <c r="R248" i="3"/>
  <c r="C248" i="3"/>
  <c r="B169" i="2"/>
  <c r="A169" i="2"/>
  <c r="D169" i="2"/>
  <c r="F169" i="2"/>
  <c r="C169" i="2"/>
  <c r="E169" i="2"/>
  <c r="L169" i="2"/>
  <c r="H170" i="2"/>
  <c r="J168" i="2"/>
  <c r="K168" i="2"/>
  <c r="M250" i="3" l="1"/>
  <c r="N250" i="3"/>
  <c r="C249" i="3"/>
  <c r="R249" i="3"/>
  <c r="S249" i="3"/>
  <c r="T249" i="3"/>
  <c r="Q250" i="3"/>
  <c r="E250" i="3"/>
  <c r="B250" i="3"/>
  <c r="D250" i="3"/>
  <c r="K250" i="3"/>
  <c r="J250" i="3" s="1"/>
  <c r="I251" i="3"/>
  <c r="F251" i="3" s="1"/>
  <c r="P250" i="3"/>
  <c r="A250" i="3"/>
  <c r="J169" i="2"/>
  <c r="K169" i="2"/>
  <c r="L170" i="2"/>
  <c r="E170" i="2"/>
  <c r="D170" i="2"/>
  <c r="B170" i="2"/>
  <c r="A170" i="2"/>
  <c r="C170" i="2"/>
  <c r="H171" i="2"/>
  <c r="F170" i="2"/>
  <c r="N251" i="3" l="1"/>
  <c r="M251" i="3"/>
  <c r="C250" i="3"/>
  <c r="R250" i="3"/>
  <c r="S250" i="3"/>
  <c r="T250" i="3"/>
  <c r="E251" i="3"/>
  <c r="I252" i="3"/>
  <c r="F252" i="3" s="1"/>
  <c r="K251" i="3"/>
  <c r="J251" i="3" s="1"/>
  <c r="P251" i="3"/>
  <c r="Q251" i="3"/>
  <c r="A251" i="3"/>
  <c r="B251" i="3"/>
  <c r="D251" i="3"/>
  <c r="J170" i="2"/>
  <c r="K170" i="2"/>
  <c r="B171" i="2"/>
  <c r="F171" i="2"/>
  <c r="H172" i="2"/>
  <c r="A171" i="2"/>
  <c r="D171" i="2"/>
  <c r="L171" i="2"/>
  <c r="C171" i="2"/>
  <c r="E171" i="2"/>
  <c r="M252" i="3" l="1"/>
  <c r="N252" i="3"/>
  <c r="C251" i="3"/>
  <c r="T251" i="3"/>
  <c r="S251" i="3"/>
  <c r="R251" i="3"/>
  <c r="I253" i="3"/>
  <c r="F253" i="3" s="1"/>
  <c r="P252" i="3"/>
  <c r="A252" i="3"/>
  <c r="B252" i="3"/>
  <c r="E252" i="3"/>
  <c r="D252" i="3"/>
  <c r="K252" i="3"/>
  <c r="J252" i="3" s="1"/>
  <c r="Q252" i="3"/>
  <c r="F172" i="2"/>
  <c r="A172" i="2"/>
  <c r="H173" i="2"/>
  <c r="L172" i="2"/>
  <c r="C172" i="2"/>
  <c r="E172" i="2"/>
  <c r="D172" i="2"/>
  <c r="B172" i="2"/>
  <c r="J171" i="2"/>
  <c r="K171" i="2"/>
  <c r="N253" i="3" l="1"/>
  <c r="M253" i="3"/>
  <c r="S252" i="3"/>
  <c r="T252" i="3"/>
  <c r="R252" i="3"/>
  <c r="C252" i="3"/>
  <c r="D253" i="3"/>
  <c r="A253" i="3"/>
  <c r="I254" i="3"/>
  <c r="F254" i="3" s="1"/>
  <c r="Q253" i="3"/>
  <c r="E253" i="3"/>
  <c r="P253" i="3"/>
  <c r="B253" i="3"/>
  <c r="K253" i="3"/>
  <c r="J172" i="2"/>
  <c r="K172" i="2"/>
  <c r="F173" i="2"/>
  <c r="D173" i="2"/>
  <c r="L173" i="2"/>
  <c r="B173" i="2"/>
  <c r="A173" i="2"/>
  <c r="H174" i="2"/>
  <c r="C173" i="2"/>
  <c r="E173" i="2"/>
  <c r="N254" i="3" l="1"/>
  <c r="M254" i="3"/>
  <c r="T253" i="3"/>
  <c r="R253" i="3"/>
  <c r="S253" i="3"/>
  <c r="C253" i="3"/>
  <c r="Q254" i="3"/>
  <c r="P254" i="3"/>
  <c r="A254" i="3"/>
  <c r="E254" i="3"/>
  <c r="D254" i="3"/>
  <c r="B254" i="3"/>
  <c r="K254" i="3"/>
  <c r="J254" i="3" s="1"/>
  <c r="I255" i="3"/>
  <c r="F255" i="3" s="1"/>
  <c r="J253" i="3"/>
  <c r="J173" i="2"/>
  <c r="K173" i="2"/>
  <c r="F174" i="2"/>
  <c r="C174" i="2"/>
  <c r="B174" i="2"/>
  <c r="E174" i="2"/>
  <c r="L174" i="2"/>
  <c r="D174" i="2"/>
  <c r="A174" i="2"/>
  <c r="H175" i="2"/>
  <c r="M255" i="3" l="1"/>
  <c r="N255" i="3"/>
  <c r="R254" i="3"/>
  <c r="S254" i="3"/>
  <c r="T254" i="3"/>
  <c r="P255" i="3"/>
  <c r="Q255" i="3"/>
  <c r="E255" i="3"/>
  <c r="I256" i="3"/>
  <c r="F256" i="3" s="1"/>
  <c r="K255" i="3"/>
  <c r="A255" i="3"/>
  <c r="B255" i="3"/>
  <c r="D255" i="3"/>
  <c r="C254" i="3"/>
  <c r="J174" i="2"/>
  <c r="K174" i="2"/>
  <c r="A175" i="2"/>
  <c r="D175" i="2"/>
  <c r="E175" i="2"/>
  <c r="F175" i="2"/>
  <c r="H176" i="2"/>
  <c r="L175" i="2"/>
  <c r="B175" i="2"/>
  <c r="C175" i="2"/>
  <c r="N256" i="3" l="1"/>
  <c r="M256" i="3"/>
  <c r="J255" i="3"/>
  <c r="T255" i="3"/>
  <c r="S255" i="3"/>
  <c r="R255" i="3"/>
  <c r="A256" i="3"/>
  <c r="E256" i="3"/>
  <c r="Q256" i="3"/>
  <c r="D256" i="3"/>
  <c r="K256" i="3"/>
  <c r="I257" i="3"/>
  <c r="F257" i="3" s="1"/>
  <c r="P256" i="3"/>
  <c r="B256" i="3"/>
  <c r="C255" i="3"/>
  <c r="E176" i="2"/>
  <c r="F176" i="2"/>
  <c r="C176" i="2"/>
  <c r="L176" i="2"/>
  <c r="A176" i="2"/>
  <c r="H177" i="2"/>
  <c r="B176" i="2"/>
  <c r="D176" i="2"/>
  <c r="J175" i="2"/>
  <c r="K175" i="2"/>
  <c r="N257" i="3" l="1"/>
  <c r="M257" i="3"/>
  <c r="C256" i="3"/>
  <c r="T256" i="3"/>
  <c r="S256" i="3"/>
  <c r="R256" i="3"/>
  <c r="J256" i="3"/>
  <c r="I258" i="3"/>
  <c r="F258" i="3" s="1"/>
  <c r="Q257" i="3"/>
  <c r="A257" i="3"/>
  <c r="K257" i="3"/>
  <c r="J257" i="3" s="1"/>
  <c r="B257" i="3"/>
  <c r="E257" i="3"/>
  <c r="D257" i="3"/>
  <c r="P257" i="3"/>
  <c r="L177" i="2"/>
  <c r="F177" i="2"/>
  <c r="E177" i="2"/>
  <c r="H178" i="2"/>
  <c r="D177" i="2"/>
  <c r="A177" i="2"/>
  <c r="C177" i="2"/>
  <c r="B177" i="2"/>
  <c r="J176" i="2"/>
  <c r="K176" i="2"/>
  <c r="M258" i="3" l="1"/>
  <c r="N258" i="3"/>
  <c r="C257" i="3"/>
  <c r="T257" i="3"/>
  <c r="R257" i="3"/>
  <c r="S257" i="3"/>
  <c r="Q258" i="3"/>
  <c r="P258" i="3"/>
  <c r="B258" i="3"/>
  <c r="A258" i="3"/>
  <c r="D258" i="3"/>
  <c r="E258" i="3"/>
  <c r="I259" i="3"/>
  <c r="F259" i="3" s="1"/>
  <c r="K258" i="3"/>
  <c r="J177" i="2"/>
  <c r="K177" i="2"/>
  <c r="B178" i="2"/>
  <c r="E178" i="2"/>
  <c r="D178" i="2"/>
  <c r="F178" i="2"/>
  <c r="L178" i="2"/>
  <c r="C178" i="2"/>
  <c r="A178" i="2"/>
  <c r="H179" i="2"/>
  <c r="N259" i="3" l="1"/>
  <c r="M259" i="3"/>
  <c r="C258" i="3"/>
  <c r="J258" i="3"/>
  <c r="S258" i="3"/>
  <c r="R258" i="3"/>
  <c r="T258" i="3"/>
  <c r="P259" i="3"/>
  <c r="Q259" i="3"/>
  <c r="A259" i="3"/>
  <c r="D259" i="3"/>
  <c r="B259" i="3"/>
  <c r="E259" i="3"/>
  <c r="I260" i="3"/>
  <c r="F260" i="3" s="1"/>
  <c r="K259" i="3"/>
  <c r="J259" i="3" s="1"/>
  <c r="J178" i="2"/>
  <c r="K178" i="2"/>
  <c r="H180" i="2"/>
  <c r="L179" i="2"/>
  <c r="C179" i="2"/>
  <c r="B179" i="2"/>
  <c r="F179" i="2"/>
  <c r="D179" i="2"/>
  <c r="E179" i="2"/>
  <c r="A179" i="2"/>
  <c r="M260" i="3" l="1"/>
  <c r="N260" i="3"/>
  <c r="C259" i="3"/>
  <c r="E260" i="3"/>
  <c r="D260" i="3"/>
  <c r="P260" i="3"/>
  <c r="Q260" i="3"/>
  <c r="A260" i="3"/>
  <c r="B260" i="3"/>
  <c r="I261" i="3"/>
  <c r="F261" i="3" s="1"/>
  <c r="K260" i="3"/>
  <c r="S259" i="3"/>
  <c r="T259" i="3"/>
  <c r="R259" i="3"/>
  <c r="H181" i="2"/>
  <c r="E180" i="2"/>
  <c r="F180" i="2"/>
  <c r="B180" i="2"/>
  <c r="L180" i="2"/>
  <c r="D180" i="2"/>
  <c r="C180" i="2"/>
  <c r="A180" i="2"/>
  <c r="J179" i="2"/>
  <c r="K179" i="2"/>
  <c r="N261" i="3" l="1"/>
  <c r="M261" i="3"/>
  <c r="C260" i="3"/>
  <c r="K261" i="3"/>
  <c r="J261" i="3" s="1"/>
  <c r="E261" i="3"/>
  <c r="B261" i="3"/>
  <c r="A261" i="3"/>
  <c r="I262" i="3"/>
  <c r="F262" i="3" s="1"/>
  <c r="D261" i="3"/>
  <c r="Q261" i="3"/>
  <c r="P261" i="3"/>
  <c r="J260" i="3"/>
  <c r="S260" i="3"/>
  <c r="T260" i="3"/>
  <c r="R260" i="3"/>
  <c r="J180" i="2"/>
  <c r="K180" i="2"/>
  <c r="E181" i="2"/>
  <c r="L181" i="2"/>
  <c r="D181" i="2"/>
  <c r="F181" i="2"/>
  <c r="C181" i="2"/>
  <c r="H182" i="2"/>
  <c r="A181" i="2"/>
  <c r="B181" i="2"/>
  <c r="N262" i="3" l="1"/>
  <c r="M262" i="3"/>
  <c r="C261" i="3"/>
  <c r="A262" i="3"/>
  <c r="Q262" i="3"/>
  <c r="E262" i="3"/>
  <c r="I263" i="3"/>
  <c r="F263" i="3" s="1"/>
  <c r="B262" i="3"/>
  <c r="K262" i="3"/>
  <c r="D262" i="3"/>
  <c r="P262" i="3"/>
  <c r="S261" i="3"/>
  <c r="T261" i="3"/>
  <c r="R261" i="3"/>
  <c r="J181" i="2"/>
  <c r="K181" i="2"/>
  <c r="C182" i="2"/>
  <c r="A182" i="2"/>
  <c r="L182" i="2"/>
  <c r="H183" i="2"/>
  <c r="B182" i="2"/>
  <c r="E182" i="2"/>
  <c r="D182" i="2"/>
  <c r="F182" i="2"/>
  <c r="M263" i="3" l="1"/>
  <c r="N263" i="3"/>
  <c r="J262" i="3"/>
  <c r="R262" i="3"/>
  <c r="T262" i="3"/>
  <c r="S262" i="3"/>
  <c r="C262" i="3"/>
  <c r="P263" i="3"/>
  <c r="I264" i="3"/>
  <c r="F264" i="3" s="1"/>
  <c r="Q263" i="3"/>
  <c r="B263" i="3"/>
  <c r="E263" i="3"/>
  <c r="D263" i="3"/>
  <c r="K263" i="3"/>
  <c r="J263" i="3" s="1"/>
  <c r="A263" i="3"/>
  <c r="A183" i="2"/>
  <c r="B183" i="2"/>
  <c r="F183" i="2"/>
  <c r="E183" i="2"/>
  <c r="D183" i="2"/>
  <c r="C183" i="2"/>
  <c r="H184" i="2"/>
  <c r="L183" i="2"/>
  <c r="J182" i="2"/>
  <c r="K182" i="2"/>
  <c r="N264" i="3" l="1"/>
  <c r="M264" i="3"/>
  <c r="T263" i="3"/>
  <c r="S263" i="3"/>
  <c r="R263" i="3"/>
  <c r="P264" i="3"/>
  <c r="Q264" i="3"/>
  <c r="A264" i="3"/>
  <c r="I265" i="3"/>
  <c r="F265" i="3" s="1"/>
  <c r="E264" i="3"/>
  <c r="D264" i="3"/>
  <c r="B264" i="3"/>
  <c r="K264" i="3"/>
  <c r="J264" i="3" s="1"/>
  <c r="C263" i="3"/>
  <c r="J183" i="2"/>
  <c r="K183" i="2"/>
  <c r="L184" i="2"/>
  <c r="C184" i="2"/>
  <c r="H185" i="2"/>
  <c r="F184" i="2"/>
  <c r="A184" i="2"/>
  <c r="D184" i="2"/>
  <c r="E184" i="2"/>
  <c r="B184" i="2"/>
  <c r="N265" i="3" l="1"/>
  <c r="M265" i="3"/>
  <c r="C264" i="3"/>
  <c r="P265" i="3"/>
  <c r="Q265" i="3"/>
  <c r="I266" i="3"/>
  <c r="F266" i="3" s="1"/>
  <c r="A265" i="3"/>
  <c r="K265" i="3"/>
  <c r="B265" i="3"/>
  <c r="E265" i="3"/>
  <c r="D265" i="3"/>
  <c r="R264" i="3"/>
  <c r="S264" i="3"/>
  <c r="T264" i="3"/>
  <c r="C185" i="2"/>
  <c r="L185" i="2"/>
  <c r="E185" i="2"/>
  <c r="B185" i="2"/>
  <c r="A185" i="2"/>
  <c r="H186" i="2"/>
  <c r="D185" i="2"/>
  <c r="F185" i="2"/>
  <c r="J184" i="2"/>
  <c r="K184" i="2"/>
  <c r="M266" i="3" l="1"/>
  <c r="N266" i="3"/>
  <c r="C265" i="3"/>
  <c r="P266" i="3"/>
  <c r="B266" i="3"/>
  <c r="E266" i="3"/>
  <c r="I267" i="3"/>
  <c r="F267" i="3" s="1"/>
  <c r="K266" i="3"/>
  <c r="J266" i="3" s="1"/>
  <c r="A266" i="3"/>
  <c r="D266" i="3"/>
  <c r="Q266" i="3"/>
  <c r="J265" i="3"/>
  <c r="T265" i="3"/>
  <c r="S265" i="3"/>
  <c r="R265" i="3"/>
  <c r="J185" i="2"/>
  <c r="K185" i="2"/>
  <c r="L186" i="2"/>
  <c r="E186" i="2"/>
  <c r="F186" i="2"/>
  <c r="A186" i="2"/>
  <c r="C186" i="2"/>
  <c r="D186" i="2"/>
  <c r="B186" i="2"/>
  <c r="H187" i="2"/>
  <c r="N267" i="3" l="1"/>
  <c r="M267" i="3"/>
  <c r="Q267" i="3"/>
  <c r="K267" i="3"/>
  <c r="J267" i="3" s="1"/>
  <c r="A267" i="3"/>
  <c r="D267" i="3"/>
  <c r="E267" i="3"/>
  <c r="B267" i="3"/>
  <c r="I268" i="3"/>
  <c r="F268" i="3" s="1"/>
  <c r="P267" i="3"/>
  <c r="C266" i="3"/>
  <c r="S266" i="3"/>
  <c r="T266" i="3"/>
  <c r="R266" i="3"/>
  <c r="J186" i="2"/>
  <c r="K186" i="2"/>
  <c r="E187" i="2"/>
  <c r="B187" i="2"/>
  <c r="F187" i="2"/>
  <c r="D187" i="2"/>
  <c r="A187" i="2"/>
  <c r="H188" i="2"/>
  <c r="C187" i="2"/>
  <c r="L187" i="2"/>
  <c r="M268" i="3" l="1"/>
  <c r="N268" i="3"/>
  <c r="C267" i="3"/>
  <c r="P268" i="3"/>
  <c r="I269" i="3"/>
  <c r="F269" i="3" s="1"/>
  <c r="K268" i="3"/>
  <c r="J268" i="3" s="1"/>
  <c r="D268" i="3"/>
  <c r="E268" i="3"/>
  <c r="B268" i="3"/>
  <c r="Q268" i="3"/>
  <c r="A268" i="3"/>
  <c r="R267" i="3"/>
  <c r="S267" i="3"/>
  <c r="T267" i="3"/>
  <c r="J187" i="2"/>
  <c r="K187" i="2"/>
  <c r="D188" i="2"/>
  <c r="B188" i="2"/>
  <c r="C188" i="2"/>
  <c r="A188" i="2"/>
  <c r="H189" i="2"/>
  <c r="E188" i="2"/>
  <c r="F188" i="2"/>
  <c r="L188" i="2"/>
  <c r="M269" i="3" l="1"/>
  <c r="N269" i="3"/>
  <c r="I270" i="3"/>
  <c r="F270" i="3" s="1"/>
  <c r="E269" i="3"/>
  <c r="B269" i="3"/>
  <c r="Q269" i="3"/>
  <c r="K269" i="3"/>
  <c r="P269" i="3"/>
  <c r="A269" i="3"/>
  <c r="D269" i="3"/>
  <c r="R268" i="3"/>
  <c r="S268" i="3"/>
  <c r="T268" i="3"/>
  <c r="C268" i="3"/>
  <c r="B189" i="2"/>
  <c r="L189" i="2"/>
  <c r="D189" i="2"/>
  <c r="F189" i="2"/>
  <c r="A189" i="2"/>
  <c r="C189" i="2"/>
  <c r="H190" i="2"/>
  <c r="E189" i="2"/>
  <c r="J188" i="2"/>
  <c r="K188" i="2"/>
  <c r="N270" i="3" l="1"/>
  <c r="M270" i="3"/>
  <c r="C269" i="3"/>
  <c r="J269" i="3"/>
  <c r="S269" i="3"/>
  <c r="T269" i="3"/>
  <c r="R269" i="3"/>
  <c r="K270" i="3"/>
  <c r="J270" i="3" s="1"/>
  <c r="A270" i="3"/>
  <c r="B270" i="3"/>
  <c r="D270" i="3"/>
  <c r="E270" i="3"/>
  <c r="I271" i="3"/>
  <c r="F271" i="3" s="1"/>
  <c r="P270" i="3"/>
  <c r="Q270" i="3"/>
  <c r="D190" i="2"/>
  <c r="C190" i="2"/>
  <c r="E190" i="2"/>
  <c r="L190" i="2"/>
  <c r="A190" i="2"/>
  <c r="F190" i="2"/>
  <c r="B190" i="2"/>
  <c r="H191" i="2"/>
  <c r="J189" i="2"/>
  <c r="K189" i="2"/>
  <c r="M271" i="3" l="1"/>
  <c r="N271" i="3"/>
  <c r="C270" i="3"/>
  <c r="A271" i="3"/>
  <c r="B271" i="3"/>
  <c r="I272" i="3"/>
  <c r="F272" i="3" s="1"/>
  <c r="P271" i="3"/>
  <c r="Q271" i="3"/>
  <c r="E271" i="3"/>
  <c r="D271" i="3"/>
  <c r="K271" i="3"/>
  <c r="R270" i="3"/>
  <c r="T270" i="3"/>
  <c r="S270" i="3"/>
  <c r="J190" i="2"/>
  <c r="K190" i="2"/>
  <c r="F191" i="2"/>
  <c r="D191" i="2"/>
  <c r="E191" i="2"/>
  <c r="L191" i="2"/>
  <c r="C191" i="2"/>
  <c r="A191" i="2"/>
  <c r="H192" i="2"/>
  <c r="B191" i="2"/>
  <c r="N272" i="3" l="1"/>
  <c r="M272" i="3"/>
  <c r="C271" i="3"/>
  <c r="I273" i="3"/>
  <c r="F273" i="3" s="1"/>
  <c r="P272" i="3"/>
  <c r="Q272" i="3"/>
  <c r="A272" i="3"/>
  <c r="B272" i="3"/>
  <c r="E272" i="3"/>
  <c r="D272" i="3"/>
  <c r="K272" i="3"/>
  <c r="J272" i="3" s="1"/>
  <c r="J271" i="3"/>
  <c r="T271" i="3"/>
  <c r="R271" i="3"/>
  <c r="S271" i="3"/>
  <c r="J191" i="2"/>
  <c r="K191" i="2"/>
  <c r="E192" i="2"/>
  <c r="H193" i="2"/>
  <c r="D192" i="2"/>
  <c r="B192" i="2"/>
  <c r="L192" i="2"/>
  <c r="A192" i="2"/>
  <c r="F192" i="2"/>
  <c r="C192" i="2"/>
  <c r="M273" i="3" l="1"/>
  <c r="N273" i="3"/>
  <c r="R272" i="3"/>
  <c r="S272" i="3"/>
  <c r="T272" i="3"/>
  <c r="C272" i="3"/>
  <c r="B273" i="3"/>
  <c r="D273" i="3"/>
  <c r="K273" i="3"/>
  <c r="J273" i="3" s="1"/>
  <c r="I274" i="3"/>
  <c r="F274" i="3" s="1"/>
  <c r="P273" i="3"/>
  <c r="A273" i="3"/>
  <c r="E273" i="3"/>
  <c r="Q273" i="3"/>
  <c r="C193" i="2"/>
  <c r="B193" i="2"/>
  <c r="D193" i="2"/>
  <c r="E193" i="2"/>
  <c r="L193" i="2"/>
  <c r="H194" i="2"/>
  <c r="F193" i="2"/>
  <c r="A193" i="2"/>
  <c r="J192" i="2"/>
  <c r="K192" i="2"/>
  <c r="M274" i="3" l="1"/>
  <c r="N274" i="3"/>
  <c r="S273" i="3"/>
  <c r="R273" i="3"/>
  <c r="T273" i="3"/>
  <c r="K274" i="3"/>
  <c r="J274" i="3" s="1"/>
  <c r="P274" i="3"/>
  <c r="Q274" i="3"/>
  <c r="E274" i="3"/>
  <c r="I275" i="3"/>
  <c r="F275" i="3" s="1"/>
  <c r="A274" i="3"/>
  <c r="B274" i="3"/>
  <c r="D274" i="3"/>
  <c r="C273" i="3"/>
  <c r="F194" i="2"/>
  <c r="L194" i="2"/>
  <c r="A194" i="2"/>
  <c r="D194" i="2"/>
  <c r="C194" i="2"/>
  <c r="E194" i="2"/>
  <c r="H195" i="2"/>
  <c r="B194" i="2"/>
  <c r="J193" i="2"/>
  <c r="K193" i="2"/>
  <c r="M275" i="3" l="1"/>
  <c r="N275" i="3"/>
  <c r="C274" i="3"/>
  <c r="D275" i="3"/>
  <c r="K275" i="3"/>
  <c r="J275" i="3" s="1"/>
  <c r="B275" i="3"/>
  <c r="I276" i="3"/>
  <c r="F276" i="3" s="1"/>
  <c r="P275" i="3"/>
  <c r="Q275" i="3"/>
  <c r="A275" i="3"/>
  <c r="E275" i="3"/>
  <c r="R274" i="3"/>
  <c r="S274" i="3"/>
  <c r="T274" i="3"/>
  <c r="D195" i="2"/>
  <c r="A195" i="2"/>
  <c r="C195" i="2"/>
  <c r="H196" i="2"/>
  <c r="E195" i="2"/>
  <c r="B195" i="2"/>
  <c r="F195" i="2"/>
  <c r="L195" i="2"/>
  <c r="J194" i="2"/>
  <c r="K194" i="2"/>
  <c r="M276" i="3" l="1"/>
  <c r="N276" i="3"/>
  <c r="C275" i="3"/>
  <c r="T275" i="3"/>
  <c r="R275" i="3"/>
  <c r="S275" i="3"/>
  <c r="E276" i="3"/>
  <c r="P276" i="3"/>
  <c r="D276" i="3"/>
  <c r="K276" i="3"/>
  <c r="I277" i="3"/>
  <c r="F277" i="3" s="1"/>
  <c r="Q276" i="3"/>
  <c r="A276" i="3"/>
  <c r="B276" i="3"/>
  <c r="J195" i="2"/>
  <c r="K195" i="2"/>
  <c r="C196" i="2"/>
  <c r="H197" i="2"/>
  <c r="E196" i="2"/>
  <c r="B196" i="2"/>
  <c r="L196" i="2"/>
  <c r="A196" i="2"/>
  <c r="D196" i="2"/>
  <c r="F196" i="2"/>
  <c r="N277" i="3" l="1"/>
  <c r="M277" i="3"/>
  <c r="S276" i="3"/>
  <c r="R276" i="3"/>
  <c r="T276" i="3"/>
  <c r="J276" i="3"/>
  <c r="Q277" i="3"/>
  <c r="E277" i="3"/>
  <c r="P277" i="3"/>
  <c r="A277" i="3"/>
  <c r="B277" i="3"/>
  <c r="D277" i="3"/>
  <c r="K277" i="3"/>
  <c r="I278" i="3"/>
  <c r="F278" i="3" s="1"/>
  <c r="C276" i="3"/>
  <c r="A197" i="2"/>
  <c r="H198" i="2"/>
  <c r="F197" i="2"/>
  <c r="D197" i="2"/>
  <c r="B197" i="2"/>
  <c r="L197" i="2"/>
  <c r="E197" i="2"/>
  <c r="C197" i="2"/>
  <c r="J196" i="2"/>
  <c r="K196" i="2"/>
  <c r="N278" i="3" l="1"/>
  <c r="M278" i="3"/>
  <c r="C277" i="3"/>
  <c r="K278" i="3"/>
  <c r="E278" i="3"/>
  <c r="P278" i="3"/>
  <c r="Q278" i="3"/>
  <c r="I279" i="3"/>
  <c r="F279" i="3" s="1"/>
  <c r="A278" i="3"/>
  <c r="B278" i="3"/>
  <c r="D278" i="3"/>
  <c r="R277" i="3"/>
  <c r="S277" i="3"/>
  <c r="T277" i="3"/>
  <c r="J277" i="3"/>
  <c r="J197" i="2"/>
  <c r="K197" i="2"/>
  <c r="B198" i="2"/>
  <c r="A198" i="2"/>
  <c r="F198" i="2"/>
  <c r="H199" i="2"/>
  <c r="C198" i="2"/>
  <c r="E198" i="2"/>
  <c r="L198" i="2"/>
  <c r="D198" i="2"/>
  <c r="M279" i="3" l="1"/>
  <c r="N279" i="3"/>
  <c r="D279" i="3"/>
  <c r="K279" i="3"/>
  <c r="J279" i="3" s="1"/>
  <c r="B279" i="3"/>
  <c r="I280" i="3"/>
  <c r="F280" i="3" s="1"/>
  <c r="P279" i="3"/>
  <c r="Q279" i="3"/>
  <c r="A279" i="3"/>
  <c r="E279" i="3"/>
  <c r="S278" i="3"/>
  <c r="T278" i="3"/>
  <c r="R278" i="3"/>
  <c r="C278" i="3"/>
  <c r="J278" i="3"/>
  <c r="D199" i="2"/>
  <c r="E199" i="2"/>
  <c r="L199" i="2"/>
  <c r="C199" i="2"/>
  <c r="H200" i="2"/>
  <c r="B199" i="2"/>
  <c r="F199" i="2"/>
  <c r="A199" i="2"/>
  <c r="J198" i="2"/>
  <c r="K198" i="2"/>
  <c r="N280" i="3" l="1"/>
  <c r="M280" i="3"/>
  <c r="S279" i="3"/>
  <c r="T279" i="3"/>
  <c r="R279" i="3"/>
  <c r="C279" i="3"/>
  <c r="E280" i="3"/>
  <c r="I281" i="3"/>
  <c r="F281" i="3" s="1"/>
  <c r="D280" i="3"/>
  <c r="K280" i="3"/>
  <c r="J280" i="3" s="1"/>
  <c r="Q280" i="3"/>
  <c r="A280" i="3"/>
  <c r="B280" i="3"/>
  <c r="P280" i="3"/>
  <c r="J199" i="2"/>
  <c r="K199" i="2"/>
  <c r="D200" i="2"/>
  <c r="A200" i="2"/>
  <c r="E200" i="2"/>
  <c r="F200" i="2"/>
  <c r="C200" i="2"/>
  <c r="L200" i="2"/>
  <c r="B200" i="2"/>
  <c r="H201" i="2"/>
  <c r="M281" i="3" l="1"/>
  <c r="N281" i="3"/>
  <c r="R280" i="3"/>
  <c r="S280" i="3"/>
  <c r="T280" i="3"/>
  <c r="B281" i="3"/>
  <c r="D281" i="3"/>
  <c r="K281" i="3"/>
  <c r="I282" i="3"/>
  <c r="F282" i="3" s="1"/>
  <c r="P281" i="3"/>
  <c r="A281" i="3"/>
  <c r="Q281" i="3"/>
  <c r="E281" i="3"/>
  <c r="C280" i="3"/>
  <c r="J200" i="2"/>
  <c r="K200" i="2"/>
  <c r="C201" i="2"/>
  <c r="L201" i="2"/>
  <c r="B201" i="2"/>
  <c r="D201" i="2"/>
  <c r="A201" i="2"/>
  <c r="H202" i="2"/>
  <c r="E201" i="2"/>
  <c r="F201" i="2"/>
  <c r="M282" i="3" l="1"/>
  <c r="N282" i="3"/>
  <c r="C281" i="3"/>
  <c r="T281" i="3"/>
  <c r="R281" i="3"/>
  <c r="S281" i="3"/>
  <c r="E282" i="3"/>
  <c r="I283" i="3"/>
  <c r="F283" i="3" s="1"/>
  <c r="D282" i="3"/>
  <c r="K282" i="3"/>
  <c r="B282" i="3"/>
  <c r="P282" i="3"/>
  <c r="Q282" i="3"/>
  <c r="A282" i="3"/>
  <c r="J281" i="3"/>
  <c r="J201" i="2"/>
  <c r="K201" i="2"/>
  <c r="A202" i="2"/>
  <c r="C202" i="2"/>
  <c r="L202" i="2"/>
  <c r="F202" i="2"/>
  <c r="E202" i="2"/>
  <c r="B202" i="2"/>
  <c r="D202" i="2"/>
  <c r="H203" i="2"/>
  <c r="M283" i="3" l="1"/>
  <c r="N283" i="3"/>
  <c r="J282" i="3"/>
  <c r="C282" i="3"/>
  <c r="R282" i="3"/>
  <c r="S282" i="3"/>
  <c r="T282" i="3"/>
  <c r="D283" i="3"/>
  <c r="K283" i="3"/>
  <c r="I284" i="3"/>
  <c r="F284" i="3" s="1"/>
  <c r="P283" i="3"/>
  <c r="Q283" i="3"/>
  <c r="A283" i="3"/>
  <c r="E283" i="3"/>
  <c r="B283" i="3"/>
  <c r="L203" i="2"/>
  <c r="E203" i="2"/>
  <c r="H204" i="2"/>
  <c r="B203" i="2"/>
  <c r="F203" i="2"/>
  <c r="D203" i="2"/>
  <c r="A203" i="2"/>
  <c r="C203" i="2"/>
  <c r="J202" i="2"/>
  <c r="K202" i="2"/>
  <c r="M284" i="3" l="1"/>
  <c r="N284" i="3"/>
  <c r="E284" i="3"/>
  <c r="D284" i="3"/>
  <c r="K284" i="3"/>
  <c r="J284" i="3" s="1"/>
  <c r="I285" i="3"/>
  <c r="F285" i="3" s="1"/>
  <c r="P284" i="3"/>
  <c r="Q284" i="3"/>
  <c r="A284" i="3"/>
  <c r="B284" i="3"/>
  <c r="S283" i="3"/>
  <c r="T283" i="3"/>
  <c r="R283" i="3"/>
  <c r="C283" i="3"/>
  <c r="J283" i="3"/>
  <c r="D204" i="2"/>
  <c r="C204" i="2"/>
  <c r="L204" i="2"/>
  <c r="B204" i="2"/>
  <c r="F204" i="2"/>
  <c r="E204" i="2"/>
  <c r="H205" i="2"/>
  <c r="A204" i="2"/>
  <c r="J203" i="2"/>
  <c r="K203" i="2"/>
  <c r="M285" i="3" l="1"/>
  <c r="N285" i="3"/>
  <c r="R284" i="3"/>
  <c r="S284" i="3"/>
  <c r="T284" i="3"/>
  <c r="C284" i="3"/>
  <c r="Q285" i="3"/>
  <c r="E285" i="3"/>
  <c r="B285" i="3"/>
  <c r="K285" i="3"/>
  <c r="J285" i="3" s="1"/>
  <c r="A285" i="3"/>
  <c r="D285" i="3"/>
  <c r="I286" i="3"/>
  <c r="F286" i="3" s="1"/>
  <c r="P285" i="3"/>
  <c r="J204" i="2"/>
  <c r="K204" i="2"/>
  <c r="A205" i="2"/>
  <c r="H206" i="2"/>
  <c r="E205" i="2"/>
  <c r="L205" i="2"/>
  <c r="B205" i="2"/>
  <c r="F205" i="2"/>
  <c r="D205" i="2"/>
  <c r="C205" i="2"/>
  <c r="N286" i="3" l="1"/>
  <c r="M286" i="3"/>
  <c r="C285" i="3"/>
  <c r="P286" i="3"/>
  <c r="Q286" i="3"/>
  <c r="B286" i="3"/>
  <c r="E286" i="3"/>
  <c r="A286" i="3"/>
  <c r="D286" i="3"/>
  <c r="I287" i="3"/>
  <c r="F287" i="3" s="1"/>
  <c r="K286" i="3"/>
  <c r="J286" i="3" s="1"/>
  <c r="R285" i="3"/>
  <c r="S285" i="3"/>
  <c r="T285" i="3"/>
  <c r="F206" i="2"/>
  <c r="A206" i="2"/>
  <c r="C206" i="2"/>
  <c r="B206" i="2"/>
  <c r="D206" i="2"/>
  <c r="L206" i="2"/>
  <c r="H207" i="2"/>
  <c r="E206" i="2"/>
  <c r="J205" i="2"/>
  <c r="K205" i="2"/>
  <c r="M287" i="3" l="1"/>
  <c r="N287" i="3"/>
  <c r="C286" i="3"/>
  <c r="T286" i="3"/>
  <c r="R286" i="3"/>
  <c r="S286" i="3"/>
  <c r="A287" i="3"/>
  <c r="B287" i="3"/>
  <c r="E287" i="3"/>
  <c r="Q287" i="3"/>
  <c r="D287" i="3"/>
  <c r="K287" i="3"/>
  <c r="J287" i="3" s="1"/>
  <c r="I288" i="3"/>
  <c r="F288" i="3" s="1"/>
  <c r="P287" i="3"/>
  <c r="E207" i="2"/>
  <c r="D207" i="2"/>
  <c r="A207" i="2"/>
  <c r="F207" i="2"/>
  <c r="C207" i="2"/>
  <c r="H208" i="2"/>
  <c r="L207" i="2"/>
  <c r="B207" i="2"/>
  <c r="J206" i="2"/>
  <c r="K206" i="2"/>
  <c r="N288" i="3" l="1"/>
  <c r="M288" i="3"/>
  <c r="C287" i="3"/>
  <c r="D288" i="3"/>
  <c r="K288" i="3"/>
  <c r="A288" i="3"/>
  <c r="B288" i="3"/>
  <c r="E288" i="3"/>
  <c r="I289" i="3"/>
  <c r="F289" i="3" s="1"/>
  <c r="P288" i="3"/>
  <c r="Q288" i="3"/>
  <c r="T287" i="3"/>
  <c r="S287" i="3"/>
  <c r="R287" i="3"/>
  <c r="J207" i="2"/>
  <c r="K207" i="2"/>
  <c r="L208" i="2"/>
  <c r="C208" i="2"/>
  <c r="H209" i="2"/>
  <c r="D208" i="2"/>
  <c r="B208" i="2"/>
  <c r="F208" i="2"/>
  <c r="A208" i="2"/>
  <c r="E208" i="2"/>
  <c r="M289" i="3" l="1"/>
  <c r="N289" i="3"/>
  <c r="C288" i="3"/>
  <c r="T288" i="3"/>
  <c r="R288" i="3"/>
  <c r="S288" i="3"/>
  <c r="J288" i="3"/>
  <c r="A289" i="3"/>
  <c r="P289" i="3"/>
  <c r="Q289" i="3"/>
  <c r="E289" i="3"/>
  <c r="B289" i="3"/>
  <c r="D289" i="3"/>
  <c r="K289" i="3"/>
  <c r="I290" i="3"/>
  <c r="F290" i="3" s="1"/>
  <c r="J208" i="2"/>
  <c r="K208" i="2"/>
  <c r="D209" i="2"/>
  <c r="F209" i="2"/>
  <c r="H210" i="2"/>
  <c r="B209" i="2"/>
  <c r="E209" i="2"/>
  <c r="A209" i="2"/>
  <c r="C209" i="2"/>
  <c r="L209" i="2"/>
  <c r="M290" i="3" l="1"/>
  <c r="N290" i="3"/>
  <c r="C289" i="3"/>
  <c r="K290" i="3"/>
  <c r="J290" i="3" s="1"/>
  <c r="Q290" i="3"/>
  <c r="P290" i="3"/>
  <c r="A290" i="3"/>
  <c r="B290" i="3"/>
  <c r="D290" i="3"/>
  <c r="E290" i="3"/>
  <c r="I291" i="3"/>
  <c r="F291" i="3" s="1"/>
  <c r="R289" i="3"/>
  <c r="S289" i="3"/>
  <c r="T289" i="3"/>
  <c r="J289" i="3"/>
  <c r="J209" i="2"/>
  <c r="K209" i="2"/>
  <c r="E210" i="2"/>
  <c r="H211" i="2"/>
  <c r="H212" i="2" s="1"/>
  <c r="F210" i="2"/>
  <c r="B210" i="2"/>
  <c r="D210" i="2"/>
  <c r="A210" i="2"/>
  <c r="C210" i="2"/>
  <c r="L210" i="2"/>
  <c r="M291" i="3" l="1"/>
  <c r="N291" i="3"/>
  <c r="C290" i="3"/>
  <c r="R290" i="3"/>
  <c r="T290" i="3"/>
  <c r="S290" i="3"/>
  <c r="E291" i="3"/>
  <c r="K291" i="3"/>
  <c r="J291" i="3" s="1"/>
  <c r="P291" i="3"/>
  <c r="D291" i="3"/>
  <c r="I292" i="3"/>
  <c r="F292" i="3" s="1"/>
  <c r="A291" i="3"/>
  <c r="B291" i="3"/>
  <c r="Q291" i="3"/>
  <c r="H213" i="2"/>
  <c r="F212" i="2"/>
  <c r="C212" i="2"/>
  <c r="A212" i="2"/>
  <c r="L212" i="2"/>
  <c r="B212" i="2"/>
  <c r="E212" i="2"/>
  <c r="D212" i="2"/>
  <c r="D211" i="2"/>
  <c r="E211" i="2"/>
  <c r="L211" i="2"/>
  <c r="A211" i="2"/>
  <c r="F211" i="2"/>
  <c r="B211" i="2"/>
  <c r="C211" i="2"/>
  <c r="J210" i="2"/>
  <c r="K210" i="2"/>
  <c r="M292" i="3" l="1"/>
  <c r="N292" i="3"/>
  <c r="E292" i="3"/>
  <c r="D292" i="3"/>
  <c r="K292" i="3"/>
  <c r="J292" i="3" s="1"/>
  <c r="A292" i="3"/>
  <c r="I293" i="3"/>
  <c r="F293" i="3" s="1"/>
  <c r="P292" i="3"/>
  <c r="Q292" i="3"/>
  <c r="B292" i="3"/>
  <c r="S291" i="3"/>
  <c r="T291" i="3"/>
  <c r="R291" i="3"/>
  <c r="C291" i="3"/>
  <c r="K212" i="2"/>
  <c r="A213" i="2"/>
  <c r="C213" i="2"/>
  <c r="H214" i="2"/>
  <c r="L213" i="2"/>
  <c r="F213" i="2"/>
  <c r="D213" i="2"/>
  <c r="B213" i="2"/>
  <c r="E213" i="2"/>
  <c r="J211" i="2"/>
  <c r="J212" i="2" s="1"/>
  <c r="K211" i="2"/>
  <c r="N293" i="3" l="1"/>
  <c r="M293" i="3"/>
  <c r="R292" i="3"/>
  <c r="S292" i="3"/>
  <c r="T292" i="3"/>
  <c r="C292" i="3"/>
  <c r="Q293" i="3"/>
  <c r="E293" i="3"/>
  <c r="P293" i="3"/>
  <c r="A293" i="3"/>
  <c r="B293" i="3"/>
  <c r="D293" i="3"/>
  <c r="K293" i="3"/>
  <c r="I294" i="3"/>
  <c r="F294" i="3" s="1"/>
  <c r="J213" i="2"/>
  <c r="K213" i="2"/>
  <c r="B214" i="2"/>
  <c r="C214" i="2"/>
  <c r="F214" i="2"/>
  <c r="E214" i="2"/>
  <c r="L214" i="2"/>
  <c r="H215" i="2"/>
  <c r="D214" i="2"/>
  <c r="A214" i="2"/>
  <c r="N294" i="3" l="1"/>
  <c r="M294" i="3"/>
  <c r="C293" i="3"/>
  <c r="R293" i="3"/>
  <c r="S293" i="3"/>
  <c r="T293" i="3"/>
  <c r="E294" i="3"/>
  <c r="I295" i="3"/>
  <c r="F295" i="3" s="1"/>
  <c r="P294" i="3"/>
  <c r="Q294" i="3"/>
  <c r="A294" i="3"/>
  <c r="B294" i="3"/>
  <c r="D294" i="3"/>
  <c r="K294" i="3"/>
  <c r="J293" i="3"/>
  <c r="L215" i="2"/>
  <c r="E215" i="2"/>
  <c r="D215" i="2"/>
  <c r="A215" i="2"/>
  <c r="B215" i="2"/>
  <c r="H216" i="2"/>
  <c r="F215" i="2"/>
  <c r="C215" i="2"/>
  <c r="J214" i="2"/>
  <c r="K214" i="2"/>
  <c r="M295" i="3" l="1"/>
  <c r="N295" i="3"/>
  <c r="C294" i="3"/>
  <c r="T294" i="3"/>
  <c r="R294" i="3"/>
  <c r="S294" i="3"/>
  <c r="A295" i="3"/>
  <c r="B295" i="3"/>
  <c r="D295" i="3"/>
  <c r="K295" i="3"/>
  <c r="E295" i="3"/>
  <c r="I296" i="3"/>
  <c r="F296" i="3" s="1"/>
  <c r="P295" i="3"/>
  <c r="Q295" i="3"/>
  <c r="J294" i="3"/>
  <c r="D216" i="2"/>
  <c r="H217" i="2"/>
  <c r="A216" i="2"/>
  <c r="E216" i="2"/>
  <c r="B216" i="2"/>
  <c r="C216" i="2"/>
  <c r="F216" i="2"/>
  <c r="L216" i="2"/>
  <c r="J215" i="2"/>
  <c r="K215" i="2"/>
  <c r="N296" i="3" l="1"/>
  <c r="M296" i="3"/>
  <c r="C295" i="3"/>
  <c r="S295" i="3"/>
  <c r="T295" i="3"/>
  <c r="R295" i="3"/>
  <c r="E296" i="3"/>
  <c r="D296" i="3"/>
  <c r="I297" i="3"/>
  <c r="F297" i="3" s="1"/>
  <c r="K296" i="3"/>
  <c r="J296" i="3" s="1"/>
  <c r="Q296" i="3"/>
  <c r="A296" i="3"/>
  <c r="B296" i="3"/>
  <c r="P296" i="3"/>
  <c r="J295" i="3"/>
  <c r="J216" i="2"/>
  <c r="K216" i="2"/>
  <c r="L217" i="2"/>
  <c r="H218" i="2"/>
  <c r="C217" i="2"/>
  <c r="A217" i="2"/>
  <c r="B217" i="2"/>
  <c r="D217" i="2"/>
  <c r="F217" i="2"/>
  <c r="E217" i="2"/>
  <c r="M297" i="3" l="1"/>
  <c r="N297" i="3"/>
  <c r="C296" i="3"/>
  <c r="Q297" i="3"/>
  <c r="E297" i="3"/>
  <c r="A297" i="3"/>
  <c r="B297" i="3"/>
  <c r="D297" i="3"/>
  <c r="K297" i="3"/>
  <c r="J297" i="3" s="1"/>
  <c r="I298" i="3"/>
  <c r="F298" i="3" s="1"/>
  <c r="P297" i="3"/>
  <c r="T296" i="3"/>
  <c r="R296" i="3"/>
  <c r="S296" i="3"/>
  <c r="C218" i="2"/>
  <c r="F218" i="2"/>
  <c r="E218" i="2"/>
  <c r="H219" i="2"/>
  <c r="D218" i="2"/>
  <c r="A218" i="2"/>
  <c r="L218" i="2"/>
  <c r="B218" i="2"/>
  <c r="J217" i="2"/>
  <c r="K217" i="2"/>
  <c r="M298" i="3" l="1"/>
  <c r="N298" i="3"/>
  <c r="C297" i="3"/>
  <c r="R297" i="3"/>
  <c r="S297" i="3"/>
  <c r="T297" i="3"/>
  <c r="K298" i="3"/>
  <c r="P298" i="3"/>
  <c r="B298" i="3"/>
  <c r="D298" i="3"/>
  <c r="E298" i="3"/>
  <c r="Q298" i="3"/>
  <c r="A298" i="3"/>
  <c r="I299" i="3"/>
  <c r="F299" i="3" s="1"/>
  <c r="J218" i="2"/>
  <c r="K218" i="2"/>
  <c r="B219" i="2"/>
  <c r="E219" i="2"/>
  <c r="F219" i="2"/>
  <c r="A219" i="2"/>
  <c r="L219" i="2"/>
  <c r="H220" i="2"/>
  <c r="D219" i="2"/>
  <c r="C219" i="2"/>
  <c r="M299" i="3" l="1"/>
  <c r="N299" i="3"/>
  <c r="C298" i="3"/>
  <c r="E299" i="3"/>
  <c r="I300" i="3"/>
  <c r="F300" i="3" s="1"/>
  <c r="P299" i="3"/>
  <c r="D299" i="3"/>
  <c r="K299" i="3"/>
  <c r="J299" i="3" s="1"/>
  <c r="Q299" i="3"/>
  <c r="A299" i="3"/>
  <c r="B299" i="3"/>
  <c r="R298" i="3"/>
  <c r="S298" i="3"/>
  <c r="T298" i="3"/>
  <c r="J298" i="3"/>
  <c r="A220" i="2"/>
  <c r="C220" i="2"/>
  <c r="D220" i="2"/>
  <c r="F220" i="2"/>
  <c r="B220" i="2"/>
  <c r="E220" i="2"/>
  <c r="H221" i="2"/>
  <c r="L220" i="2"/>
  <c r="J219" i="2"/>
  <c r="K219" i="2"/>
  <c r="M300" i="3" l="1"/>
  <c r="N300" i="3"/>
  <c r="D300" i="3"/>
  <c r="K300" i="3"/>
  <c r="I301" i="3"/>
  <c r="F301" i="3" s="1"/>
  <c r="Q300" i="3"/>
  <c r="P300" i="3"/>
  <c r="A300" i="3"/>
  <c r="B300" i="3"/>
  <c r="E300" i="3"/>
  <c r="S299" i="3"/>
  <c r="T299" i="3"/>
  <c r="R299" i="3"/>
  <c r="C299" i="3"/>
  <c r="J220" i="2"/>
  <c r="K220" i="2"/>
  <c r="L221" i="2"/>
  <c r="C221" i="2"/>
  <c r="E221" i="2"/>
  <c r="D221" i="2"/>
  <c r="B221" i="2"/>
  <c r="A221" i="2"/>
  <c r="F221" i="2"/>
  <c r="H222" i="2"/>
  <c r="N301" i="3" l="1"/>
  <c r="M301" i="3"/>
  <c r="C300" i="3"/>
  <c r="T300" i="3"/>
  <c r="R300" i="3"/>
  <c r="S300" i="3"/>
  <c r="A301" i="3"/>
  <c r="B301" i="3"/>
  <c r="K301" i="3"/>
  <c r="J301" i="3" s="1"/>
  <c r="Q301" i="3"/>
  <c r="E301" i="3"/>
  <c r="D301" i="3"/>
  <c r="I302" i="3"/>
  <c r="F302" i="3" s="1"/>
  <c r="P301" i="3"/>
  <c r="J300" i="3"/>
  <c r="J221" i="2"/>
  <c r="K221" i="2"/>
  <c r="D222" i="2"/>
  <c r="B222" i="2"/>
  <c r="A222" i="2"/>
  <c r="C222" i="2"/>
  <c r="F222" i="2"/>
  <c r="E222" i="2"/>
  <c r="H223" i="2"/>
  <c r="L222" i="2"/>
  <c r="N302" i="3" l="1"/>
  <c r="M302" i="3"/>
  <c r="C301" i="3"/>
  <c r="K302" i="3"/>
  <c r="J302" i="3" s="1"/>
  <c r="Q302" i="3"/>
  <c r="B302" i="3"/>
  <c r="E302" i="3"/>
  <c r="P302" i="3"/>
  <c r="D302" i="3"/>
  <c r="I303" i="3"/>
  <c r="F303" i="3" s="1"/>
  <c r="A302" i="3"/>
  <c r="R301" i="3"/>
  <c r="T301" i="3"/>
  <c r="S301" i="3"/>
  <c r="J222" i="2"/>
  <c r="K222" i="2"/>
  <c r="L223" i="2"/>
  <c r="D223" i="2"/>
  <c r="A223" i="2"/>
  <c r="E223" i="2"/>
  <c r="B223" i="2"/>
  <c r="H224" i="2"/>
  <c r="F223" i="2"/>
  <c r="C223" i="2"/>
  <c r="M303" i="3" l="1"/>
  <c r="N303" i="3"/>
  <c r="D303" i="3"/>
  <c r="K303" i="3"/>
  <c r="J303" i="3" s="1"/>
  <c r="Q303" i="3"/>
  <c r="I304" i="3"/>
  <c r="F304" i="3" s="1"/>
  <c r="P303" i="3"/>
  <c r="A303" i="3"/>
  <c r="B303" i="3"/>
  <c r="E303" i="3"/>
  <c r="S302" i="3"/>
  <c r="T302" i="3"/>
  <c r="R302" i="3"/>
  <c r="C302" i="3"/>
  <c r="C224" i="2"/>
  <c r="F224" i="2"/>
  <c r="E224" i="2"/>
  <c r="H225" i="2"/>
  <c r="D224" i="2"/>
  <c r="L224" i="2"/>
  <c r="B224" i="2"/>
  <c r="A224" i="2"/>
  <c r="J223" i="2"/>
  <c r="K223" i="2"/>
  <c r="N304" i="3" l="1"/>
  <c r="M304" i="3"/>
  <c r="C303" i="3"/>
  <c r="R303" i="3"/>
  <c r="T303" i="3"/>
  <c r="S303" i="3"/>
  <c r="A304" i="3"/>
  <c r="B304" i="3"/>
  <c r="E304" i="3"/>
  <c r="D304" i="3"/>
  <c r="I305" i="3"/>
  <c r="F305" i="3" s="1"/>
  <c r="P304" i="3"/>
  <c r="Q304" i="3"/>
  <c r="K304" i="3"/>
  <c r="L225" i="2"/>
  <c r="H226" i="2"/>
  <c r="C225" i="2"/>
  <c r="A225" i="2"/>
  <c r="B225" i="2"/>
  <c r="D225" i="2"/>
  <c r="F225" i="2"/>
  <c r="E225" i="2"/>
  <c r="J224" i="2"/>
  <c r="K224" i="2"/>
  <c r="M305" i="3" l="1"/>
  <c r="N305" i="3"/>
  <c r="R304" i="3"/>
  <c r="S304" i="3"/>
  <c r="T304" i="3"/>
  <c r="C304" i="3"/>
  <c r="J304" i="3"/>
  <c r="Q305" i="3"/>
  <c r="E305" i="3"/>
  <c r="B305" i="3"/>
  <c r="D305" i="3"/>
  <c r="K305" i="3"/>
  <c r="P305" i="3"/>
  <c r="I306" i="3"/>
  <c r="F306" i="3" s="1"/>
  <c r="A305" i="3"/>
  <c r="D226" i="2"/>
  <c r="A226" i="2"/>
  <c r="C226" i="2"/>
  <c r="F226" i="2"/>
  <c r="E226" i="2"/>
  <c r="H227" i="2"/>
  <c r="L226" i="2"/>
  <c r="B226" i="2"/>
  <c r="J225" i="2"/>
  <c r="K225" i="2"/>
  <c r="M306" i="3" l="1"/>
  <c r="N306" i="3"/>
  <c r="C305" i="3"/>
  <c r="E306" i="3"/>
  <c r="I307" i="3"/>
  <c r="F307" i="3" s="1"/>
  <c r="K306" i="3"/>
  <c r="J306" i="3" s="1"/>
  <c r="P306" i="3"/>
  <c r="Q306" i="3"/>
  <c r="A306" i="3"/>
  <c r="B306" i="3"/>
  <c r="D306" i="3"/>
  <c r="R305" i="3"/>
  <c r="S305" i="3"/>
  <c r="T305" i="3"/>
  <c r="J305" i="3"/>
  <c r="J226" i="2"/>
  <c r="K226" i="2"/>
  <c r="L227" i="2"/>
  <c r="H228" i="2"/>
  <c r="D227" i="2"/>
  <c r="C227" i="2"/>
  <c r="B227" i="2"/>
  <c r="E227" i="2"/>
  <c r="F227" i="2"/>
  <c r="A227" i="2"/>
  <c r="M307" i="3" l="1"/>
  <c r="N307" i="3"/>
  <c r="T306" i="3"/>
  <c r="S306" i="3"/>
  <c r="R306" i="3"/>
  <c r="E307" i="3"/>
  <c r="A307" i="3"/>
  <c r="D307" i="3"/>
  <c r="K307" i="3"/>
  <c r="I308" i="3"/>
  <c r="F308" i="3" s="1"/>
  <c r="P307" i="3"/>
  <c r="Q307" i="3"/>
  <c r="B307" i="3"/>
  <c r="C306" i="3"/>
  <c r="L228" i="2"/>
  <c r="B228" i="2"/>
  <c r="A228" i="2"/>
  <c r="C228" i="2"/>
  <c r="D228" i="2"/>
  <c r="F228" i="2"/>
  <c r="E228" i="2"/>
  <c r="H229" i="2"/>
  <c r="J227" i="2"/>
  <c r="K227" i="2"/>
  <c r="M308" i="3" l="1"/>
  <c r="N308" i="3"/>
  <c r="C307" i="3"/>
  <c r="E308" i="3"/>
  <c r="D308" i="3"/>
  <c r="K308" i="3"/>
  <c r="J308" i="3" s="1"/>
  <c r="I309" i="3"/>
  <c r="F309" i="3" s="1"/>
  <c r="P308" i="3"/>
  <c r="Q308" i="3"/>
  <c r="A308" i="3"/>
  <c r="B308" i="3"/>
  <c r="S307" i="3"/>
  <c r="T307" i="3"/>
  <c r="R307" i="3"/>
  <c r="J307" i="3"/>
  <c r="L229" i="2"/>
  <c r="C229" i="2"/>
  <c r="E229" i="2"/>
  <c r="D229" i="2"/>
  <c r="B229" i="2"/>
  <c r="A229" i="2"/>
  <c r="F229" i="2"/>
  <c r="H230" i="2"/>
  <c r="J228" i="2"/>
  <c r="K228" i="2"/>
  <c r="N309" i="3" l="1"/>
  <c r="M309" i="3"/>
  <c r="R308" i="3"/>
  <c r="T308" i="3"/>
  <c r="S308" i="3"/>
  <c r="C308" i="3"/>
  <c r="B309" i="3"/>
  <c r="D309" i="3"/>
  <c r="K309" i="3"/>
  <c r="I310" i="3"/>
  <c r="F310" i="3" s="1"/>
  <c r="P309" i="3"/>
  <c r="A309" i="3"/>
  <c r="Q309" i="3"/>
  <c r="E309" i="3"/>
  <c r="F230" i="2"/>
  <c r="E230" i="2"/>
  <c r="H231" i="2"/>
  <c r="L230" i="2"/>
  <c r="D230" i="2"/>
  <c r="B230" i="2"/>
  <c r="A230" i="2"/>
  <c r="C230" i="2"/>
  <c r="J229" i="2"/>
  <c r="K229" i="2"/>
  <c r="N310" i="3" l="1"/>
  <c r="M310" i="3"/>
  <c r="T309" i="3"/>
  <c r="S309" i="3"/>
  <c r="R309" i="3"/>
  <c r="J309" i="3"/>
  <c r="C309" i="3"/>
  <c r="A310" i="3"/>
  <c r="B310" i="3"/>
  <c r="D310" i="3"/>
  <c r="Q310" i="3"/>
  <c r="E310" i="3"/>
  <c r="I311" i="3"/>
  <c r="F311" i="3" s="1"/>
  <c r="K310" i="3"/>
  <c r="J310" i="3" s="1"/>
  <c r="P310" i="3"/>
  <c r="J230" i="2"/>
  <c r="K230" i="2"/>
  <c r="L231" i="2"/>
  <c r="D231" i="2"/>
  <c r="A231" i="2"/>
  <c r="E231" i="2"/>
  <c r="B231" i="2"/>
  <c r="H232" i="2"/>
  <c r="F231" i="2"/>
  <c r="C231" i="2"/>
  <c r="N311" i="3" l="1"/>
  <c r="M311" i="3"/>
  <c r="C310" i="3"/>
  <c r="E311" i="3"/>
  <c r="K311" i="3"/>
  <c r="J311" i="3" s="1"/>
  <c r="I312" i="3"/>
  <c r="F312" i="3" s="1"/>
  <c r="Q311" i="3"/>
  <c r="B311" i="3"/>
  <c r="D311" i="3"/>
  <c r="A311" i="3"/>
  <c r="P311" i="3"/>
  <c r="R310" i="3"/>
  <c r="S310" i="3"/>
  <c r="T310" i="3"/>
  <c r="C232" i="2"/>
  <c r="H233" i="2"/>
  <c r="E232" i="2"/>
  <c r="A232" i="2"/>
  <c r="D232" i="2"/>
  <c r="L232" i="2"/>
  <c r="B232" i="2"/>
  <c r="F232" i="2"/>
  <c r="J231" i="2"/>
  <c r="K231" i="2"/>
  <c r="N312" i="3" l="1"/>
  <c r="M312" i="3"/>
  <c r="C311" i="3"/>
  <c r="S311" i="3"/>
  <c r="T311" i="3"/>
  <c r="R311" i="3"/>
  <c r="E312" i="3"/>
  <c r="K312" i="3"/>
  <c r="J312" i="3" s="1"/>
  <c r="Q312" i="3"/>
  <c r="A312" i="3"/>
  <c r="D312" i="3"/>
  <c r="B312" i="3"/>
  <c r="I313" i="3"/>
  <c r="F313" i="3" s="1"/>
  <c r="P312" i="3"/>
  <c r="J232" i="2"/>
  <c r="K232" i="2"/>
  <c r="L233" i="2"/>
  <c r="H234" i="2"/>
  <c r="C233" i="2"/>
  <c r="A233" i="2"/>
  <c r="B233" i="2"/>
  <c r="D233" i="2"/>
  <c r="F233" i="2"/>
  <c r="E233" i="2"/>
  <c r="M313" i="3" l="1"/>
  <c r="N313" i="3"/>
  <c r="C312" i="3"/>
  <c r="B313" i="3"/>
  <c r="D313" i="3"/>
  <c r="K313" i="3"/>
  <c r="J313" i="3" s="1"/>
  <c r="I314" i="3"/>
  <c r="F314" i="3" s="1"/>
  <c r="P313" i="3"/>
  <c r="A313" i="3"/>
  <c r="Q313" i="3"/>
  <c r="E313" i="3"/>
  <c r="R312" i="3"/>
  <c r="S312" i="3"/>
  <c r="T312" i="3"/>
  <c r="E234" i="2"/>
  <c r="H235" i="2"/>
  <c r="L234" i="2"/>
  <c r="B234" i="2"/>
  <c r="D234" i="2"/>
  <c r="A234" i="2"/>
  <c r="C234" i="2"/>
  <c r="F234" i="2"/>
  <c r="J233" i="2"/>
  <c r="K233" i="2"/>
  <c r="M314" i="3" l="1"/>
  <c r="N314" i="3"/>
  <c r="E314" i="3"/>
  <c r="I315" i="3"/>
  <c r="F315" i="3" s="1"/>
  <c r="P314" i="3"/>
  <c r="Q314" i="3"/>
  <c r="A314" i="3"/>
  <c r="B314" i="3"/>
  <c r="D314" i="3"/>
  <c r="K314" i="3"/>
  <c r="T313" i="3"/>
  <c r="R313" i="3"/>
  <c r="S313" i="3"/>
  <c r="C313" i="3"/>
  <c r="J234" i="2"/>
  <c r="K234" i="2"/>
  <c r="B235" i="2"/>
  <c r="E235" i="2"/>
  <c r="F235" i="2"/>
  <c r="A235" i="2"/>
  <c r="L235" i="2"/>
  <c r="H236" i="2"/>
  <c r="D235" i="2"/>
  <c r="C235" i="2"/>
  <c r="M315" i="3" l="1"/>
  <c r="N315" i="3"/>
  <c r="A315" i="3"/>
  <c r="P315" i="3"/>
  <c r="E315" i="3"/>
  <c r="D315" i="3"/>
  <c r="K315" i="3"/>
  <c r="J315" i="3" s="1"/>
  <c r="Q315" i="3"/>
  <c r="I316" i="3"/>
  <c r="F316" i="3" s="1"/>
  <c r="B315" i="3"/>
  <c r="R314" i="3"/>
  <c r="S314" i="3"/>
  <c r="T314" i="3"/>
  <c r="J314" i="3"/>
  <c r="C314" i="3"/>
  <c r="L236" i="2"/>
  <c r="B236" i="2"/>
  <c r="C236" i="2"/>
  <c r="A236" i="2"/>
  <c r="D236" i="2"/>
  <c r="F236" i="2"/>
  <c r="E236" i="2"/>
  <c r="H237" i="2"/>
  <c r="J235" i="2"/>
  <c r="K235" i="2"/>
  <c r="M316" i="3" l="1"/>
  <c r="N316" i="3"/>
  <c r="D316" i="3"/>
  <c r="P316" i="3"/>
  <c r="I317" i="3"/>
  <c r="F317" i="3" s="1"/>
  <c r="Q316" i="3"/>
  <c r="K316" i="3"/>
  <c r="J316" i="3" s="1"/>
  <c r="A316" i="3"/>
  <c r="B316" i="3"/>
  <c r="E316" i="3"/>
  <c r="R315" i="3"/>
  <c r="S315" i="3"/>
  <c r="T315" i="3"/>
  <c r="C315" i="3"/>
  <c r="L237" i="2"/>
  <c r="C237" i="2"/>
  <c r="E237" i="2"/>
  <c r="D237" i="2"/>
  <c r="B237" i="2"/>
  <c r="A237" i="2"/>
  <c r="F237" i="2"/>
  <c r="H238" i="2"/>
  <c r="J236" i="2"/>
  <c r="K236" i="2"/>
  <c r="N317" i="3" l="1"/>
  <c r="M317" i="3"/>
  <c r="C316" i="3"/>
  <c r="Q317" i="3"/>
  <c r="P317" i="3"/>
  <c r="B317" i="3"/>
  <c r="D317" i="3"/>
  <c r="E317" i="3"/>
  <c r="A317" i="3"/>
  <c r="I318" i="3"/>
  <c r="F318" i="3" s="1"/>
  <c r="K317" i="3"/>
  <c r="J317" i="3" s="1"/>
  <c r="T316" i="3"/>
  <c r="R316" i="3"/>
  <c r="S316" i="3"/>
  <c r="F238" i="2"/>
  <c r="L238" i="2"/>
  <c r="H239" i="2"/>
  <c r="E238" i="2"/>
  <c r="D238" i="2"/>
  <c r="B238" i="2"/>
  <c r="A238" i="2"/>
  <c r="C238" i="2"/>
  <c r="J237" i="2"/>
  <c r="K237" i="2"/>
  <c r="N318" i="3" l="1"/>
  <c r="M318" i="3"/>
  <c r="C317" i="3"/>
  <c r="K318" i="3"/>
  <c r="J318" i="3" s="1"/>
  <c r="P318" i="3"/>
  <c r="A318" i="3"/>
  <c r="Q318" i="3"/>
  <c r="D318" i="3"/>
  <c r="E318" i="3"/>
  <c r="I319" i="3"/>
  <c r="F319" i="3" s="1"/>
  <c r="B318" i="3"/>
  <c r="R317" i="3"/>
  <c r="T317" i="3"/>
  <c r="S317" i="3"/>
  <c r="L239" i="2"/>
  <c r="D239" i="2"/>
  <c r="A239" i="2"/>
  <c r="E239" i="2"/>
  <c r="B239" i="2"/>
  <c r="H240" i="2"/>
  <c r="F239" i="2"/>
  <c r="C239" i="2"/>
  <c r="J238" i="2"/>
  <c r="K238" i="2"/>
  <c r="M319" i="3" l="1"/>
  <c r="N319" i="3"/>
  <c r="S318" i="3"/>
  <c r="T318" i="3"/>
  <c r="R318" i="3"/>
  <c r="I320" i="3"/>
  <c r="F320" i="3" s="1"/>
  <c r="P319" i="3"/>
  <c r="Q319" i="3"/>
  <c r="B319" i="3"/>
  <c r="E319" i="3"/>
  <c r="A319" i="3"/>
  <c r="D319" i="3"/>
  <c r="K319" i="3"/>
  <c r="C318" i="3"/>
  <c r="C240" i="2"/>
  <c r="A240" i="2"/>
  <c r="E240" i="2"/>
  <c r="F240" i="2"/>
  <c r="D240" i="2"/>
  <c r="L240" i="2"/>
  <c r="B240" i="2"/>
  <c r="H241" i="2"/>
  <c r="J239" i="2"/>
  <c r="K239" i="2"/>
  <c r="N320" i="3" l="1"/>
  <c r="M320" i="3"/>
  <c r="C319" i="3"/>
  <c r="E320" i="3"/>
  <c r="D320" i="3"/>
  <c r="K320" i="3"/>
  <c r="I321" i="3"/>
  <c r="F321" i="3" s="1"/>
  <c r="Q320" i="3"/>
  <c r="A320" i="3"/>
  <c r="P320" i="3"/>
  <c r="B320" i="3"/>
  <c r="J319" i="3"/>
  <c r="T319" i="3"/>
  <c r="R319" i="3"/>
  <c r="S319" i="3"/>
  <c r="L241" i="2"/>
  <c r="A241" i="2"/>
  <c r="C241" i="2"/>
  <c r="H242" i="2"/>
  <c r="B241" i="2"/>
  <c r="D241" i="2"/>
  <c r="F241" i="2"/>
  <c r="E241" i="2"/>
  <c r="J240" i="2"/>
  <c r="K240" i="2"/>
  <c r="M321" i="3" l="1"/>
  <c r="N321" i="3"/>
  <c r="R320" i="3"/>
  <c r="S320" i="3"/>
  <c r="T320" i="3"/>
  <c r="C320" i="3"/>
  <c r="K321" i="3"/>
  <c r="J321" i="3" s="1"/>
  <c r="I322" i="3"/>
  <c r="F322" i="3" s="1"/>
  <c r="P321" i="3"/>
  <c r="A321" i="3"/>
  <c r="Q321" i="3"/>
  <c r="B321" i="3"/>
  <c r="E321" i="3"/>
  <c r="D321" i="3"/>
  <c r="J320" i="3"/>
  <c r="E242" i="2"/>
  <c r="H243" i="2"/>
  <c r="L242" i="2"/>
  <c r="B242" i="2"/>
  <c r="D242" i="2"/>
  <c r="A242" i="2"/>
  <c r="C242" i="2"/>
  <c r="F242" i="2"/>
  <c r="J241" i="2"/>
  <c r="K241" i="2"/>
  <c r="M322" i="3" l="1"/>
  <c r="N322" i="3"/>
  <c r="S321" i="3"/>
  <c r="R321" i="3"/>
  <c r="T321" i="3"/>
  <c r="B322" i="3"/>
  <c r="K322" i="3"/>
  <c r="J322" i="3" s="1"/>
  <c r="D322" i="3"/>
  <c r="Q322" i="3"/>
  <c r="A322" i="3"/>
  <c r="E322" i="3"/>
  <c r="I323" i="3"/>
  <c r="F323" i="3" s="1"/>
  <c r="P322" i="3"/>
  <c r="C321" i="3"/>
  <c r="J242" i="2"/>
  <c r="K242" i="2"/>
  <c r="B243" i="2"/>
  <c r="E243" i="2"/>
  <c r="F243" i="2"/>
  <c r="A243" i="2"/>
  <c r="L243" i="2"/>
  <c r="H244" i="2"/>
  <c r="D243" i="2"/>
  <c r="C243" i="2"/>
  <c r="M323" i="3" l="1"/>
  <c r="N323" i="3"/>
  <c r="C322" i="3"/>
  <c r="T322" i="3"/>
  <c r="S322" i="3"/>
  <c r="R322" i="3"/>
  <c r="E323" i="3"/>
  <c r="B323" i="3"/>
  <c r="D323" i="3"/>
  <c r="K323" i="3"/>
  <c r="A323" i="3"/>
  <c r="I324" i="3"/>
  <c r="F324" i="3" s="1"/>
  <c r="P323" i="3"/>
  <c r="Q323" i="3"/>
  <c r="D244" i="2"/>
  <c r="F244" i="2"/>
  <c r="E244" i="2"/>
  <c r="H245" i="2"/>
  <c r="L244" i="2"/>
  <c r="B244" i="2"/>
  <c r="A244" i="2"/>
  <c r="C244" i="2"/>
  <c r="J243" i="2"/>
  <c r="K243" i="2"/>
  <c r="M324" i="3" l="1"/>
  <c r="N324" i="3"/>
  <c r="C323" i="3"/>
  <c r="B324" i="3"/>
  <c r="P324" i="3"/>
  <c r="E324" i="3"/>
  <c r="D324" i="3"/>
  <c r="I325" i="3"/>
  <c r="F325" i="3" s="1"/>
  <c r="A324" i="3"/>
  <c r="K324" i="3"/>
  <c r="J324" i="3" s="1"/>
  <c r="Q324" i="3"/>
  <c r="T323" i="3"/>
  <c r="R323" i="3"/>
  <c r="S323" i="3"/>
  <c r="J323" i="3"/>
  <c r="B245" i="2"/>
  <c r="A245" i="2"/>
  <c r="F245" i="2"/>
  <c r="C245" i="2"/>
  <c r="L245" i="2"/>
  <c r="H246" i="2"/>
  <c r="E245" i="2"/>
  <c r="D245" i="2"/>
  <c r="J244" i="2"/>
  <c r="K244" i="2"/>
  <c r="M325" i="3" l="1"/>
  <c r="N325" i="3"/>
  <c r="R324" i="3"/>
  <c r="T324" i="3"/>
  <c r="S324" i="3"/>
  <c r="K325" i="3"/>
  <c r="I326" i="3"/>
  <c r="F326" i="3" s="1"/>
  <c r="P325" i="3"/>
  <c r="D325" i="3"/>
  <c r="B325" i="3"/>
  <c r="E325" i="3"/>
  <c r="Q325" i="3"/>
  <c r="A325" i="3"/>
  <c r="C324" i="3"/>
  <c r="B246" i="2"/>
  <c r="D246" i="2"/>
  <c r="F246" i="2"/>
  <c r="H247" i="2"/>
  <c r="A246" i="2"/>
  <c r="L246" i="2"/>
  <c r="E246" i="2"/>
  <c r="C246" i="2"/>
  <c r="J245" i="2"/>
  <c r="K245" i="2"/>
  <c r="N326" i="3" l="1"/>
  <c r="M326" i="3"/>
  <c r="S325" i="3"/>
  <c r="R325" i="3"/>
  <c r="T325" i="3"/>
  <c r="C325" i="3"/>
  <c r="I327" i="3"/>
  <c r="F327" i="3" s="1"/>
  <c r="P326" i="3"/>
  <c r="A326" i="3"/>
  <c r="Q326" i="3"/>
  <c r="K326" i="3"/>
  <c r="J326" i="3" s="1"/>
  <c r="D326" i="3"/>
  <c r="B326" i="3"/>
  <c r="E326" i="3"/>
  <c r="J325" i="3"/>
  <c r="J246" i="2"/>
  <c r="K246" i="2"/>
  <c r="E247" i="2"/>
  <c r="C247" i="2"/>
  <c r="H248" i="2"/>
  <c r="F247" i="2"/>
  <c r="D247" i="2"/>
  <c r="B247" i="2"/>
  <c r="A247" i="2"/>
  <c r="L247" i="2"/>
  <c r="N327" i="3" l="1"/>
  <c r="M327" i="3"/>
  <c r="C326" i="3"/>
  <c r="E327" i="3"/>
  <c r="B327" i="3"/>
  <c r="K327" i="3"/>
  <c r="J327" i="3" s="1"/>
  <c r="D327" i="3"/>
  <c r="P327" i="3"/>
  <c r="Q327" i="3"/>
  <c r="I328" i="3"/>
  <c r="F328" i="3" s="1"/>
  <c r="A327" i="3"/>
  <c r="R326" i="3"/>
  <c r="S326" i="3"/>
  <c r="T326" i="3"/>
  <c r="J247" i="2"/>
  <c r="K247" i="2"/>
  <c r="L248" i="2"/>
  <c r="D248" i="2"/>
  <c r="E248" i="2"/>
  <c r="C248" i="2"/>
  <c r="B248" i="2"/>
  <c r="A248" i="2"/>
  <c r="F248" i="2"/>
  <c r="H249" i="2"/>
  <c r="N328" i="3" l="1"/>
  <c r="M328" i="3"/>
  <c r="C327" i="3"/>
  <c r="R327" i="3"/>
  <c r="T327" i="3"/>
  <c r="S327" i="3"/>
  <c r="Q328" i="3"/>
  <c r="A328" i="3"/>
  <c r="P328" i="3"/>
  <c r="K328" i="3"/>
  <c r="J328" i="3" s="1"/>
  <c r="I329" i="3"/>
  <c r="F329" i="3" s="1"/>
  <c r="B328" i="3"/>
  <c r="E328" i="3"/>
  <c r="D328" i="3"/>
  <c r="J248" i="2"/>
  <c r="K248" i="2"/>
  <c r="E249" i="2"/>
  <c r="L249" i="2"/>
  <c r="H250" i="2"/>
  <c r="C249" i="2"/>
  <c r="D249" i="2"/>
  <c r="F249" i="2"/>
  <c r="A249" i="2"/>
  <c r="B249" i="2"/>
  <c r="N329" i="3" l="1"/>
  <c r="M329" i="3"/>
  <c r="E329" i="3"/>
  <c r="I330" i="3"/>
  <c r="F330" i="3" s="1"/>
  <c r="B329" i="3"/>
  <c r="D329" i="3"/>
  <c r="K329" i="3"/>
  <c r="J329" i="3" s="1"/>
  <c r="P329" i="3"/>
  <c r="A329" i="3"/>
  <c r="Q329" i="3"/>
  <c r="T328" i="3"/>
  <c r="R328" i="3"/>
  <c r="S328" i="3"/>
  <c r="C328" i="3"/>
  <c r="J249" i="2"/>
  <c r="K249" i="2"/>
  <c r="L250" i="2"/>
  <c r="H251" i="2"/>
  <c r="C250" i="2"/>
  <c r="A250" i="2"/>
  <c r="B250" i="2"/>
  <c r="D250" i="2"/>
  <c r="F250" i="2"/>
  <c r="E250" i="2"/>
  <c r="M330" i="3" l="1"/>
  <c r="N330" i="3"/>
  <c r="C329" i="3"/>
  <c r="D330" i="3"/>
  <c r="I331" i="3"/>
  <c r="F331" i="3" s="1"/>
  <c r="Q330" i="3"/>
  <c r="B330" i="3"/>
  <c r="E330" i="3"/>
  <c r="P330" i="3"/>
  <c r="K330" i="3"/>
  <c r="J330" i="3" s="1"/>
  <c r="A330" i="3"/>
  <c r="T329" i="3"/>
  <c r="R329" i="3"/>
  <c r="S329" i="3"/>
  <c r="E251" i="2"/>
  <c r="C251" i="2"/>
  <c r="H252" i="2"/>
  <c r="F251" i="2"/>
  <c r="D251" i="2"/>
  <c r="B251" i="2"/>
  <c r="A251" i="2"/>
  <c r="L251" i="2"/>
  <c r="J250" i="2"/>
  <c r="K250" i="2"/>
  <c r="N331" i="3" l="1"/>
  <c r="M331" i="3"/>
  <c r="C330" i="3"/>
  <c r="B331" i="3"/>
  <c r="K331" i="3"/>
  <c r="J331" i="3" s="1"/>
  <c r="I332" i="3"/>
  <c r="F332" i="3" s="1"/>
  <c r="Q331" i="3"/>
  <c r="E331" i="3"/>
  <c r="D331" i="3"/>
  <c r="P331" i="3"/>
  <c r="A331" i="3"/>
  <c r="R330" i="3"/>
  <c r="T330" i="3"/>
  <c r="S330" i="3"/>
  <c r="J251" i="2"/>
  <c r="K251" i="2"/>
  <c r="L252" i="2"/>
  <c r="D252" i="2"/>
  <c r="C252" i="2"/>
  <c r="E252" i="2"/>
  <c r="B252" i="2"/>
  <c r="A252" i="2"/>
  <c r="F252" i="2"/>
  <c r="H253" i="2"/>
  <c r="M332" i="3" l="1"/>
  <c r="N332" i="3"/>
  <c r="R331" i="3"/>
  <c r="T331" i="3"/>
  <c r="S331" i="3"/>
  <c r="Q332" i="3"/>
  <c r="I333" i="3"/>
  <c r="F333" i="3" s="1"/>
  <c r="B332" i="3"/>
  <c r="E332" i="3"/>
  <c r="D332" i="3"/>
  <c r="A332" i="3"/>
  <c r="K332" i="3"/>
  <c r="J332" i="3" s="1"/>
  <c r="P332" i="3"/>
  <c r="C331" i="3"/>
  <c r="E253" i="2"/>
  <c r="L253" i="2"/>
  <c r="H254" i="2"/>
  <c r="C253" i="2"/>
  <c r="D253" i="2"/>
  <c r="F253" i="2"/>
  <c r="A253" i="2"/>
  <c r="B253" i="2"/>
  <c r="J252" i="2"/>
  <c r="K252" i="2"/>
  <c r="N333" i="3" l="1"/>
  <c r="M333" i="3"/>
  <c r="C332" i="3"/>
  <c r="E333" i="3"/>
  <c r="I334" i="3"/>
  <c r="F334" i="3" s="1"/>
  <c r="B333" i="3"/>
  <c r="K333" i="3"/>
  <c r="A333" i="3"/>
  <c r="D333" i="3"/>
  <c r="Q333" i="3"/>
  <c r="P333" i="3"/>
  <c r="T332" i="3"/>
  <c r="R332" i="3"/>
  <c r="S332" i="3"/>
  <c r="L254" i="2"/>
  <c r="H255" i="2"/>
  <c r="C254" i="2"/>
  <c r="A254" i="2"/>
  <c r="B254" i="2"/>
  <c r="D254" i="2"/>
  <c r="F254" i="2"/>
  <c r="E254" i="2"/>
  <c r="J253" i="2"/>
  <c r="K253" i="2"/>
  <c r="N334" i="3" l="1"/>
  <c r="M334" i="3"/>
  <c r="C333" i="3"/>
  <c r="D334" i="3"/>
  <c r="E334" i="3"/>
  <c r="B334" i="3"/>
  <c r="K334" i="3"/>
  <c r="J334" i="3" s="1"/>
  <c r="Q334" i="3"/>
  <c r="I335" i="3"/>
  <c r="F335" i="3" s="1"/>
  <c r="P334" i="3"/>
  <c r="A334" i="3"/>
  <c r="J333" i="3"/>
  <c r="T333" i="3"/>
  <c r="S333" i="3"/>
  <c r="R333" i="3"/>
  <c r="E255" i="2"/>
  <c r="F255" i="2"/>
  <c r="H256" i="2"/>
  <c r="B255" i="2"/>
  <c r="D255" i="2"/>
  <c r="L255" i="2"/>
  <c r="A255" i="2"/>
  <c r="C255" i="2"/>
  <c r="J254" i="2"/>
  <c r="K254" i="2"/>
  <c r="M335" i="3" l="1"/>
  <c r="N335" i="3"/>
  <c r="C334" i="3"/>
  <c r="B335" i="3"/>
  <c r="K335" i="3"/>
  <c r="J335" i="3" s="1"/>
  <c r="A335" i="3"/>
  <c r="Q335" i="3"/>
  <c r="E335" i="3"/>
  <c r="P335" i="3"/>
  <c r="D335" i="3"/>
  <c r="I336" i="3"/>
  <c r="F336" i="3" s="1"/>
  <c r="T334" i="3"/>
  <c r="R334" i="3"/>
  <c r="S334" i="3"/>
  <c r="H257" i="2"/>
  <c r="C256" i="2"/>
  <c r="D256" i="2"/>
  <c r="A256" i="2"/>
  <c r="B256" i="2"/>
  <c r="F256" i="2"/>
  <c r="E256" i="2"/>
  <c r="L256" i="2"/>
  <c r="J255" i="2"/>
  <c r="K255" i="2"/>
  <c r="N336" i="3" l="1"/>
  <c r="M336" i="3"/>
  <c r="C335" i="3"/>
  <c r="R335" i="3"/>
  <c r="S335" i="3"/>
  <c r="T335" i="3"/>
  <c r="B336" i="3"/>
  <c r="A336" i="3"/>
  <c r="K336" i="3"/>
  <c r="J336" i="3" s="1"/>
  <c r="P336" i="3"/>
  <c r="E336" i="3"/>
  <c r="I337" i="3"/>
  <c r="F337" i="3" s="1"/>
  <c r="Q336" i="3"/>
  <c r="D336" i="3"/>
  <c r="J256" i="2"/>
  <c r="K256" i="2"/>
  <c r="A257" i="2"/>
  <c r="F257" i="2"/>
  <c r="E257" i="2"/>
  <c r="L257" i="2"/>
  <c r="C257" i="2"/>
  <c r="H258" i="2"/>
  <c r="D257" i="2"/>
  <c r="B257" i="2"/>
  <c r="N337" i="3" l="1"/>
  <c r="M337" i="3"/>
  <c r="S336" i="3"/>
  <c r="T336" i="3"/>
  <c r="R336" i="3"/>
  <c r="C336" i="3"/>
  <c r="P337" i="3"/>
  <c r="I338" i="3"/>
  <c r="F338" i="3" s="1"/>
  <c r="D337" i="3"/>
  <c r="B337" i="3"/>
  <c r="A337" i="3"/>
  <c r="E337" i="3"/>
  <c r="K337" i="3"/>
  <c r="J337" i="3" s="1"/>
  <c r="Q337" i="3"/>
  <c r="J257" i="2"/>
  <c r="K257" i="2"/>
  <c r="A258" i="2"/>
  <c r="F258" i="2"/>
  <c r="E258" i="2"/>
  <c r="L258" i="2"/>
  <c r="H259" i="2"/>
  <c r="C258" i="2"/>
  <c r="B258" i="2"/>
  <c r="D258" i="2"/>
  <c r="M338" i="3" l="1"/>
  <c r="N338" i="3"/>
  <c r="S337" i="3"/>
  <c r="R337" i="3"/>
  <c r="T337" i="3"/>
  <c r="C337" i="3"/>
  <c r="D338" i="3"/>
  <c r="A338" i="3"/>
  <c r="K338" i="3"/>
  <c r="I339" i="3"/>
  <c r="F339" i="3" s="1"/>
  <c r="Q338" i="3"/>
  <c r="E338" i="3"/>
  <c r="B338" i="3"/>
  <c r="P338" i="3"/>
  <c r="J258" i="2"/>
  <c r="K258" i="2"/>
  <c r="A259" i="2"/>
  <c r="F259" i="2"/>
  <c r="E259" i="2"/>
  <c r="L259" i="2"/>
  <c r="H260" i="2"/>
  <c r="C259" i="2"/>
  <c r="D259" i="2"/>
  <c r="B259" i="2"/>
  <c r="M339" i="3" l="1"/>
  <c r="N339" i="3"/>
  <c r="C338" i="3"/>
  <c r="S338" i="3"/>
  <c r="R338" i="3"/>
  <c r="T338" i="3"/>
  <c r="K339" i="3"/>
  <c r="J339" i="3" s="1"/>
  <c r="A339" i="3"/>
  <c r="I340" i="3"/>
  <c r="F340" i="3" s="1"/>
  <c r="B339" i="3"/>
  <c r="D339" i="3"/>
  <c r="P339" i="3"/>
  <c r="Q339" i="3"/>
  <c r="E339" i="3"/>
  <c r="J338" i="3"/>
  <c r="J259" i="2"/>
  <c r="K259" i="2"/>
  <c r="A260" i="2"/>
  <c r="F260" i="2"/>
  <c r="L260" i="2"/>
  <c r="H261" i="2"/>
  <c r="E260" i="2"/>
  <c r="C260" i="2"/>
  <c r="B260" i="2"/>
  <c r="D260" i="2"/>
  <c r="M340" i="3" l="1"/>
  <c r="N340" i="3"/>
  <c r="C339" i="3"/>
  <c r="B340" i="3"/>
  <c r="P340" i="3"/>
  <c r="E340" i="3"/>
  <c r="I341" i="3"/>
  <c r="F341" i="3" s="1"/>
  <c r="A340" i="3"/>
  <c r="K340" i="3"/>
  <c r="J340" i="3" s="1"/>
  <c r="D340" i="3"/>
  <c r="Q340" i="3"/>
  <c r="R339" i="3"/>
  <c r="S339" i="3"/>
  <c r="T339" i="3"/>
  <c r="A261" i="2"/>
  <c r="B261" i="2"/>
  <c r="E261" i="2"/>
  <c r="F261" i="2"/>
  <c r="C261" i="2"/>
  <c r="H262" i="2"/>
  <c r="L261" i="2"/>
  <c r="D261" i="2"/>
  <c r="J260" i="2"/>
  <c r="K260" i="2"/>
  <c r="M341" i="3" l="1"/>
  <c r="N341" i="3"/>
  <c r="R340" i="3"/>
  <c r="T340" i="3"/>
  <c r="S340" i="3"/>
  <c r="C340" i="3"/>
  <c r="E341" i="3"/>
  <c r="K341" i="3"/>
  <c r="Q341" i="3"/>
  <c r="B341" i="3"/>
  <c r="P341" i="3"/>
  <c r="I342" i="3"/>
  <c r="F342" i="3" s="1"/>
  <c r="A341" i="3"/>
  <c r="D341" i="3"/>
  <c r="J261" i="2"/>
  <c r="K261" i="2"/>
  <c r="H263" i="2"/>
  <c r="C262" i="2"/>
  <c r="B262" i="2"/>
  <c r="D262" i="2"/>
  <c r="A262" i="2"/>
  <c r="F262" i="2"/>
  <c r="L262" i="2"/>
  <c r="E262" i="2"/>
  <c r="N342" i="3" l="1"/>
  <c r="M342" i="3"/>
  <c r="S341" i="3"/>
  <c r="T341" i="3"/>
  <c r="R341" i="3"/>
  <c r="J341" i="3"/>
  <c r="I343" i="3"/>
  <c r="F343" i="3" s="1"/>
  <c r="P342" i="3"/>
  <c r="A342" i="3"/>
  <c r="D342" i="3"/>
  <c r="Q342" i="3"/>
  <c r="E342" i="3"/>
  <c r="B342" i="3"/>
  <c r="K342" i="3"/>
  <c r="J342" i="3" s="1"/>
  <c r="C341" i="3"/>
  <c r="A263" i="2"/>
  <c r="L263" i="2"/>
  <c r="E263" i="2"/>
  <c r="B263" i="2"/>
  <c r="C263" i="2"/>
  <c r="H264" i="2"/>
  <c r="F263" i="2"/>
  <c r="D263" i="2"/>
  <c r="J262" i="2"/>
  <c r="K262" i="2"/>
  <c r="N343" i="3" l="1"/>
  <c r="M343" i="3"/>
  <c r="S342" i="3"/>
  <c r="R342" i="3"/>
  <c r="T342" i="3"/>
  <c r="C342" i="3"/>
  <c r="K343" i="3"/>
  <c r="B343" i="3"/>
  <c r="P343" i="3"/>
  <c r="Q343" i="3"/>
  <c r="D343" i="3"/>
  <c r="E343" i="3"/>
  <c r="I344" i="3"/>
  <c r="F344" i="3" s="1"/>
  <c r="A343" i="3"/>
  <c r="J263" i="2"/>
  <c r="K263" i="2"/>
  <c r="H265" i="2"/>
  <c r="C264" i="2"/>
  <c r="B264" i="2"/>
  <c r="D264" i="2"/>
  <c r="A264" i="2"/>
  <c r="F264" i="2"/>
  <c r="L264" i="2"/>
  <c r="E264" i="2"/>
  <c r="N344" i="3" l="1"/>
  <c r="M344" i="3"/>
  <c r="C343" i="3"/>
  <c r="I345" i="3"/>
  <c r="F345" i="3" s="1"/>
  <c r="P344" i="3"/>
  <c r="Q344" i="3"/>
  <c r="A344" i="3"/>
  <c r="B344" i="3"/>
  <c r="D344" i="3"/>
  <c r="K344" i="3"/>
  <c r="J344" i="3" s="1"/>
  <c r="E344" i="3"/>
  <c r="T343" i="3"/>
  <c r="R343" i="3"/>
  <c r="S343" i="3"/>
  <c r="J343" i="3"/>
  <c r="A265" i="2"/>
  <c r="F265" i="2"/>
  <c r="E265" i="2"/>
  <c r="L265" i="2"/>
  <c r="C265" i="2"/>
  <c r="H266" i="2"/>
  <c r="B265" i="2"/>
  <c r="D265" i="2"/>
  <c r="J264" i="2"/>
  <c r="K264" i="2"/>
  <c r="N345" i="3" l="1"/>
  <c r="M345" i="3"/>
  <c r="T344" i="3"/>
  <c r="R344" i="3"/>
  <c r="S344" i="3"/>
  <c r="C344" i="3"/>
  <c r="I346" i="3"/>
  <c r="F346" i="3" s="1"/>
  <c r="P345" i="3"/>
  <c r="Q345" i="3"/>
  <c r="A345" i="3"/>
  <c r="D345" i="3"/>
  <c r="K345" i="3"/>
  <c r="B345" i="3"/>
  <c r="E345" i="3"/>
  <c r="J265" i="2"/>
  <c r="K265" i="2"/>
  <c r="B266" i="2"/>
  <c r="H267" i="2"/>
  <c r="L266" i="2"/>
  <c r="F266" i="2"/>
  <c r="D266" i="2"/>
  <c r="C266" i="2"/>
  <c r="A266" i="2"/>
  <c r="E266" i="2"/>
  <c r="M346" i="3" l="1"/>
  <c r="N346" i="3"/>
  <c r="C345" i="3"/>
  <c r="Q346" i="3"/>
  <c r="E346" i="3"/>
  <c r="D346" i="3"/>
  <c r="B346" i="3"/>
  <c r="K346" i="3"/>
  <c r="J346" i="3" s="1"/>
  <c r="I347" i="3"/>
  <c r="F347" i="3" s="1"/>
  <c r="P346" i="3"/>
  <c r="A346" i="3"/>
  <c r="J345" i="3"/>
  <c r="S345" i="3"/>
  <c r="R345" i="3"/>
  <c r="T345" i="3"/>
  <c r="D267" i="2"/>
  <c r="B267" i="2"/>
  <c r="A267" i="2"/>
  <c r="C267" i="2"/>
  <c r="L267" i="2"/>
  <c r="F267" i="2"/>
  <c r="E267" i="2"/>
  <c r="H268" i="2"/>
  <c r="J266" i="2"/>
  <c r="K266" i="2"/>
  <c r="M347" i="3" l="1"/>
  <c r="N347" i="3"/>
  <c r="C346" i="3"/>
  <c r="K347" i="3"/>
  <c r="J347" i="3" s="1"/>
  <c r="P347" i="3"/>
  <c r="Q347" i="3"/>
  <c r="A347" i="3"/>
  <c r="B347" i="3"/>
  <c r="D347" i="3"/>
  <c r="E347" i="3"/>
  <c r="I348" i="3"/>
  <c r="F348" i="3" s="1"/>
  <c r="R346" i="3"/>
  <c r="S346" i="3"/>
  <c r="T346" i="3"/>
  <c r="J267" i="2"/>
  <c r="K267" i="2"/>
  <c r="B268" i="2"/>
  <c r="E268" i="2"/>
  <c r="A268" i="2"/>
  <c r="D268" i="2"/>
  <c r="F268" i="2"/>
  <c r="L268" i="2"/>
  <c r="H269" i="2"/>
  <c r="C268" i="2"/>
  <c r="M348" i="3" l="1"/>
  <c r="N348" i="3"/>
  <c r="T347" i="3"/>
  <c r="R347" i="3"/>
  <c r="S347" i="3"/>
  <c r="C347" i="3"/>
  <c r="I349" i="3"/>
  <c r="F349" i="3" s="1"/>
  <c r="P348" i="3"/>
  <c r="Q348" i="3"/>
  <c r="A348" i="3"/>
  <c r="E348" i="3"/>
  <c r="D348" i="3"/>
  <c r="K348" i="3"/>
  <c r="J348" i="3" s="1"/>
  <c r="B348" i="3"/>
  <c r="J268" i="2"/>
  <c r="K268" i="2"/>
  <c r="E269" i="2"/>
  <c r="B269" i="2"/>
  <c r="H270" i="2"/>
  <c r="L269" i="2"/>
  <c r="C269" i="2"/>
  <c r="D269" i="2"/>
  <c r="A269" i="2"/>
  <c r="F269" i="2"/>
  <c r="M349" i="3" l="1"/>
  <c r="N349" i="3"/>
  <c r="C348" i="3"/>
  <c r="I350" i="3"/>
  <c r="F350" i="3" s="1"/>
  <c r="P349" i="3"/>
  <c r="Q349" i="3"/>
  <c r="A349" i="3"/>
  <c r="B349" i="3"/>
  <c r="E349" i="3"/>
  <c r="D349" i="3"/>
  <c r="K349" i="3"/>
  <c r="T348" i="3"/>
  <c r="R348" i="3"/>
  <c r="S348" i="3"/>
  <c r="J269" i="2"/>
  <c r="K269" i="2"/>
  <c r="B270" i="2"/>
  <c r="A270" i="2"/>
  <c r="H271" i="2"/>
  <c r="E270" i="2"/>
  <c r="F270" i="2"/>
  <c r="L270" i="2"/>
  <c r="D270" i="2"/>
  <c r="C270" i="2"/>
  <c r="N350" i="3" l="1"/>
  <c r="M350" i="3"/>
  <c r="S349" i="3"/>
  <c r="T349" i="3"/>
  <c r="R349" i="3"/>
  <c r="C349" i="3"/>
  <c r="J349" i="3"/>
  <c r="A350" i="3"/>
  <c r="Q350" i="3"/>
  <c r="E350" i="3"/>
  <c r="B350" i="3"/>
  <c r="K350" i="3"/>
  <c r="J350" i="3" s="1"/>
  <c r="D350" i="3"/>
  <c r="I351" i="3"/>
  <c r="F351" i="3" s="1"/>
  <c r="P350" i="3"/>
  <c r="J270" i="2"/>
  <c r="K270" i="2"/>
  <c r="D271" i="2"/>
  <c r="B271" i="2"/>
  <c r="A271" i="2"/>
  <c r="L271" i="2"/>
  <c r="C271" i="2"/>
  <c r="F271" i="2"/>
  <c r="E271" i="2"/>
  <c r="H272" i="2"/>
  <c r="M351" i="3" l="1"/>
  <c r="N351" i="3"/>
  <c r="E351" i="3"/>
  <c r="I352" i="3"/>
  <c r="F352" i="3" s="1"/>
  <c r="Q351" i="3"/>
  <c r="B351" i="3"/>
  <c r="K351" i="3"/>
  <c r="J351" i="3" s="1"/>
  <c r="P351" i="3"/>
  <c r="A351" i="3"/>
  <c r="D351" i="3"/>
  <c r="T350" i="3"/>
  <c r="R350" i="3"/>
  <c r="S350" i="3"/>
  <c r="C350" i="3"/>
  <c r="L272" i="2"/>
  <c r="H273" i="2"/>
  <c r="C272" i="2"/>
  <c r="D272" i="2"/>
  <c r="E272" i="2"/>
  <c r="B272" i="2"/>
  <c r="F272" i="2"/>
  <c r="A272" i="2"/>
  <c r="J271" i="2"/>
  <c r="K271" i="2"/>
  <c r="N352" i="3" l="1"/>
  <c r="M352" i="3"/>
  <c r="C351" i="3"/>
  <c r="T351" i="3"/>
  <c r="R351" i="3"/>
  <c r="S351" i="3"/>
  <c r="A352" i="3"/>
  <c r="B352" i="3"/>
  <c r="I353" i="3"/>
  <c r="F353" i="3" s="1"/>
  <c r="E352" i="3"/>
  <c r="D352" i="3"/>
  <c r="P352" i="3"/>
  <c r="K352" i="3"/>
  <c r="J352" i="3" s="1"/>
  <c r="Q352" i="3"/>
  <c r="E273" i="2"/>
  <c r="B273" i="2"/>
  <c r="H274" i="2"/>
  <c r="L273" i="2"/>
  <c r="C273" i="2"/>
  <c r="D273" i="2"/>
  <c r="A273" i="2"/>
  <c r="F273" i="2"/>
  <c r="J272" i="2"/>
  <c r="K272" i="2"/>
  <c r="M353" i="3" l="1"/>
  <c r="N353" i="3"/>
  <c r="I354" i="3"/>
  <c r="F354" i="3" s="1"/>
  <c r="P353" i="3"/>
  <c r="Q353" i="3"/>
  <c r="A353" i="3"/>
  <c r="B353" i="3"/>
  <c r="E353" i="3"/>
  <c r="D353" i="3"/>
  <c r="K353" i="3"/>
  <c r="T352" i="3"/>
  <c r="R352" i="3"/>
  <c r="S352" i="3"/>
  <c r="C352" i="3"/>
  <c r="J273" i="2"/>
  <c r="K273" i="2"/>
  <c r="L274" i="2"/>
  <c r="D274" i="2"/>
  <c r="C274" i="2"/>
  <c r="E274" i="2"/>
  <c r="A274" i="2"/>
  <c r="H275" i="2"/>
  <c r="B274" i="2"/>
  <c r="F274" i="2"/>
  <c r="M354" i="3" l="1"/>
  <c r="N354" i="3"/>
  <c r="T353" i="3"/>
  <c r="R353" i="3"/>
  <c r="S353" i="3"/>
  <c r="C353" i="3"/>
  <c r="J353" i="3"/>
  <c r="B354" i="3"/>
  <c r="D354" i="3"/>
  <c r="K354" i="3"/>
  <c r="J354" i="3" s="1"/>
  <c r="A354" i="3"/>
  <c r="I355" i="3"/>
  <c r="F355" i="3" s="1"/>
  <c r="P354" i="3"/>
  <c r="Q354" i="3"/>
  <c r="E354" i="3"/>
  <c r="E275" i="2"/>
  <c r="C275" i="2"/>
  <c r="H276" i="2"/>
  <c r="F275" i="2"/>
  <c r="D275" i="2"/>
  <c r="L275" i="2"/>
  <c r="B275" i="2"/>
  <c r="A275" i="2"/>
  <c r="J274" i="2"/>
  <c r="K274" i="2"/>
  <c r="M355" i="3" l="1"/>
  <c r="N355" i="3"/>
  <c r="R354" i="3"/>
  <c r="S354" i="3"/>
  <c r="T354" i="3"/>
  <c r="C354" i="3"/>
  <c r="K355" i="3"/>
  <c r="E355" i="3"/>
  <c r="P355" i="3"/>
  <c r="Q355" i="3"/>
  <c r="D355" i="3"/>
  <c r="A355" i="3"/>
  <c r="B355" i="3"/>
  <c r="I356" i="3"/>
  <c r="F356" i="3" s="1"/>
  <c r="L276" i="2"/>
  <c r="H277" i="2"/>
  <c r="C276" i="2"/>
  <c r="D276" i="2"/>
  <c r="E276" i="2"/>
  <c r="B276" i="2"/>
  <c r="F276" i="2"/>
  <c r="A276" i="2"/>
  <c r="J275" i="2"/>
  <c r="K275" i="2"/>
  <c r="M356" i="3" l="1"/>
  <c r="N356" i="3"/>
  <c r="C355" i="3"/>
  <c r="T355" i="3"/>
  <c r="R355" i="3"/>
  <c r="S355" i="3"/>
  <c r="I357" i="3"/>
  <c r="F357" i="3" s="1"/>
  <c r="P356" i="3"/>
  <c r="Q356" i="3"/>
  <c r="E356" i="3"/>
  <c r="D356" i="3"/>
  <c r="A356" i="3"/>
  <c r="B356" i="3"/>
  <c r="K356" i="3"/>
  <c r="J355" i="3"/>
  <c r="E277" i="2"/>
  <c r="B277" i="2"/>
  <c r="H278" i="2"/>
  <c r="L277" i="2"/>
  <c r="C277" i="2"/>
  <c r="D277" i="2"/>
  <c r="A277" i="2"/>
  <c r="F277" i="2"/>
  <c r="J276" i="2"/>
  <c r="K276" i="2"/>
  <c r="M357" i="3" l="1"/>
  <c r="N357" i="3"/>
  <c r="C356" i="3"/>
  <c r="T356" i="3"/>
  <c r="S356" i="3"/>
  <c r="R356" i="3"/>
  <c r="I358" i="3"/>
  <c r="F358" i="3" s="1"/>
  <c r="Q357" i="3"/>
  <c r="B357" i="3"/>
  <c r="E357" i="3"/>
  <c r="D357" i="3"/>
  <c r="K357" i="3"/>
  <c r="J357" i="3" s="1"/>
  <c r="P357" i="3"/>
  <c r="A357" i="3"/>
  <c r="J356" i="3"/>
  <c r="J277" i="2"/>
  <c r="K277" i="2"/>
  <c r="B278" i="2"/>
  <c r="A278" i="2"/>
  <c r="H279" i="2"/>
  <c r="F278" i="2"/>
  <c r="D278" i="2"/>
  <c r="L278" i="2"/>
  <c r="C278" i="2"/>
  <c r="E278" i="2"/>
  <c r="N358" i="3" l="1"/>
  <c r="M358" i="3"/>
  <c r="C357" i="3"/>
  <c r="T357" i="3"/>
  <c r="R357" i="3"/>
  <c r="S357" i="3"/>
  <c r="A358" i="3"/>
  <c r="E358" i="3"/>
  <c r="K358" i="3"/>
  <c r="Q358" i="3"/>
  <c r="B358" i="3"/>
  <c r="D358" i="3"/>
  <c r="I359" i="3"/>
  <c r="F359" i="3" s="1"/>
  <c r="P358" i="3"/>
  <c r="J278" i="2"/>
  <c r="K278" i="2"/>
  <c r="D279" i="2"/>
  <c r="C279" i="2"/>
  <c r="L279" i="2"/>
  <c r="F279" i="2"/>
  <c r="A279" i="2"/>
  <c r="E279" i="2"/>
  <c r="B279" i="2"/>
  <c r="H280" i="2"/>
  <c r="M359" i="3" l="1"/>
  <c r="N359" i="3"/>
  <c r="C358" i="3"/>
  <c r="R358" i="3"/>
  <c r="S358" i="3"/>
  <c r="T358" i="3"/>
  <c r="E359" i="3"/>
  <c r="I360" i="3"/>
  <c r="F360" i="3" s="1"/>
  <c r="Q359" i="3"/>
  <c r="K359" i="3"/>
  <c r="J359" i="3" s="1"/>
  <c r="P359" i="3"/>
  <c r="A359" i="3"/>
  <c r="B359" i="3"/>
  <c r="D359" i="3"/>
  <c r="J358" i="3"/>
  <c r="L280" i="2"/>
  <c r="A280" i="2"/>
  <c r="C280" i="2"/>
  <c r="H281" i="2"/>
  <c r="B280" i="2"/>
  <c r="E280" i="2"/>
  <c r="D280" i="2"/>
  <c r="F280" i="2"/>
  <c r="J279" i="2"/>
  <c r="K279" i="2"/>
  <c r="N360" i="3" l="1"/>
  <c r="M360" i="3"/>
  <c r="T359" i="3"/>
  <c r="R359" i="3"/>
  <c r="S359" i="3"/>
  <c r="C359" i="3"/>
  <c r="E360" i="3"/>
  <c r="D360" i="3"/>
  <c r="K360" i="3"/>
  <c r="J360" i="3" s="1"/>
  <c r="I361" i="3"/>
  <c r="F361" i="3" s="1"/>
  <c r="P360" i="3"/>
  <c r="Q360" i="3"/>
  <c r="B360" i="3"/>
  <c r="A360" i="3"/>
  <c r="E281" i="2"/>
  <c r="H282" i="2"/>
  <c r="L281" i="2"/>
  <c r="B281" i="2"/>
  <c r="D281" i="2"/>
  <c r="F281" i="2"/>
  <c r="A281" i="2"/>
  <c r="C281" i="2"/>
  <c r="J280" i="2"/>
  <c r="K280" i="2"/>
  <c r="M361" i="3" l="1"/>
  <c r="N361" i="3"/>
  <c r="E361" i="3"/>
  <c r="D361" i="3"/>
  <c r="K361" i="3"/>
  <c r="J361" i="3" s="1"/>
  <c r="I362" i="3"/>
  <c r="F362" i="3" s="1"/>
  <c r="Q361" i="3"/>
  <c r="A361" i="3"/>
  <c r="B361" i="3"/>
  <c r="P361" i="3"/>
  <c r="S360" i="3"/>
  <c r="R360" i="3"/>
  <c r="T360" i="3"/>
  <c r="C360" i="3"/>
  <c r="J281" i="2"/>
  <c r="K281" i="2"/>
  <c r="B282" i="2"/>
  <c r="E282" i="2"/>
  <c r="H283" i="2"/>
  <c r="F282" i="2"/>
  <c r="A282" i="2"/>
  <c r="L282" i="2"/>
  <c r="D282" i="2"/>
  <c r="C282" i="2"/>
  <c r="M362" i="3" l="1"/>
  <c r="N362" i="3"/>
  <c r="S361" i="3"/>
  <c r="T361" i="3"/>
  <c r="R361" i="3"/>
  <c r="C361" i="3"/>
  <c r="I363" i="3"/>
  <c r="F363" i="3" s="1"/>
  <c r="A362" i="3"/>
  <c r="E362" i="3"/>
  <c r="Q362" i="3"/>
  <c r="B362" i="3"/>
  <c r="D362" i="3"/>
  <c r="K362" i="3"/>
  <c r="P362" i="3"/>
  <c r="J282" i="2"/>
  <c r="K282" i="2"/>
  <c r="D283" i="2"/>
  <c r="F283" i="2"/>
  <c r="H284" i="2"/>
  <c r="E283" i="2"/>
  <c r="L283" i="2"/>
  <c r="B283" i="2"/>
  <c r="A283" i="2"/>
  <c r="C283" i="2"/>
  <c r="M363" i="3" l="1"/>
  <c r="N363" i="3"/>
  <c r="C362" i="3"/>
  <c r="T362" i="3"/>
  <c r="R362" i="3"/>
  <c r="S362" i="3"/>
  <c r="E363" i="3"/>
  <c r="I364" i="3"/>
  <c r="F364" i="3" s="1"/>
  <c r="K363" i="3"/>
  <c r="J363" i="3" s="1"/>
  <c r="P363" i="3"/>
  <c r="Q363" i="3"/>
  <c r="B363" i="3"/>
  <c r="D363" i="3"/>
  <c r="A363" i="3"/>
  <c r="J362" i="3"/>
  <c r="J283" i="2"/>
  <c r="K283" i="2"/>
  <c r="L284" i="2"/>
  <c r="C284" i="2"/>
  <c r="E284" i="2"/>
  <c r="D284" i="2"/>
  <c r="A284" i="2"/>
  <c r="B284" i="2"/>
  <c r="F284" i="2"/>
  <c r="H285" i="2"/>
  <c r="M364" i="3" l="1"/>
  <c r="N364" i="3"/>
  <c r="R363" i="3"/>
  <c r="T363" i="3"/>
  <c r="S363" i="3"/>
  <c r="I365" i="3"/>
  <c r="F365" i="3" s="1"/>
  <c r="P364" i="3"/>
  <c r="Q364" i="3"/>
  <c r="A364" i="3"/>
  <c r="B364" i="3"/>
  <c r="E364" i="3"/>
  <c r="D364" i="3"/>
  <c r="K364" i="3"/>
  <c r="C363" i="3"/>
  <c r="J284" i="2"/>
  <c r="K284" i="2"/>
  <c r="F285" i="2"/>
  <c r="E285" i="2"/>
  <c r="H286" i="2"/>
  <c r="L285" i="2"/>
  <c r="D285" i="2"/>
  <c r="B285" i="2"/>
  <c r="C285" i="2"/>
  <c r="A285" i="2"/>
  <c r="N365" i="3" l="1"/>
  <c r="M365" i="3"/>
  <c r="C364" i="3"/>
  <c r="I366" i="3"/>
  <c r="F366" i="3" s="1"/>
  <c r="P365" i="3"/>
  <c r="Q365" i="3"/>
  <c r="D365" i="3"/>
  <c r="A365" i="3"/>
  <c r="B365" i="3"/>
  <c r="K365" i="3"/>
  <c r="E365" i="3"/>
  <c r="J364" i="3"/>
  <c r="T364" i="3"/>
  <c r="R364" i="3"/>
  <c r="S364" i="3"/>
  <c r="J285" i="2"/>
  <c r="K285" i="2"/>
  <c r="B286" i="2"/>
  <c r="H287" i="2"/>
  <c r="F286" i="2"/>
  <c r="C286" i="2"/>
  <c r="D286" i="2"/>
  <c r="L286" i="2"/>
  <c r="A286" i="2"/>
  <c r="E286" i="2"/>
  <c r="N366" i="3" l="1"/>
  <c r="M366" i="3"/>
  <c r="A366" i="3"/>
  <c r="Q366" i="3"/>
  <c r="E366" i="3"/>
  <c r="D366" i="3"/>
  <c r="B366" i="3"/>
  <c r="K366" i="3"/>
  <c r="I367" i="3"/>
  <c r="F367" i="3" s="1"/>
  <c r="P366" i="3"/>
  <c r="J365" i="3"/>
  <c r="R365" i="3"/>
  <c r="S365" i="3"/>
  <c r="T365" i="3"/>
  <c r="C365" i="3"/>
  <c r="J286" i="2"/>
  <c r="K286" i="2"/>
  <c r="D287" i="2"/>
  <c r="L287" i="2"/>
  <c r="B287" i="2"/>
  <c r="A287" i="2"/>
  <c r="F287" i="2"/>
  <c r="C287" i="2"/>
  <c r="E287" i="2"/>
  <c r="H288" i="2"/>
  <c r="M367" i="3" l="1"/>
  <c r="N367" i="3"/>
  <c r="E367" i="3"/>
  <c r="I368" i="3"/>
  <c r="F368" i="3" s="1"/>
  <c r="K367" i="3"/>
  <c r="J367" i="3" s="1"/>
  <c r="Q367" i="3"/>
  <c r="P367" i="3"/>
  <c r="A367" i="3"/>
  <c r="B367" i="3"/>
  <c r="D367" i="3"/>
  <c r="T366" i="3"/>
  <c r="R366" i="3"/>
  <c r="S366" i="3"/>
  <c r="C366" i="3"/>
  <c r="J366" i="3"/>
  <c r="J287" i="2"/>
  <c r="K287" i="2"/>
  <c r="L288" i="2"/>
  <c r="A288" i="2"/>
  <c r="C288" i="2"/>
  <c r="H289" i="2"/>
  <c r="D288" i="2"/>
  <c r="B288" i="2"/>
  <c r="F288" i="2"/>
  <c r="E288" i="2"/>
  <c r="N368" i="3" l="1"/>
  <c r="M368" i="3"/>
  <c r="C367" i="3"/>
  <c r="E368" i="3"/>
  <c r="K368" i="3"/>
  <c r="D368" i="3"/>
  <c r="I369" i="3"/>
  <c r="F369" i="3" s="1"/>
  <c r="P368" i="3"/>
  <c r="Q368" i="3"/>
  <c r="A368" i="3"/>
  <c r="B368" i="3"/>
  <c r="R367" i="3"/>
  <c r="S367" i="3"/>
  <c r="T367" i="3"/>
  <c r="J288" i="2"/>
  <c r="K288" i="2"/>
  <c r="E289" i="2"/>
  <c r="H290" i="2"/>
  <c r="L289" i="2"/>
  <c r="B289" i="2"/>
  <c r="A289" i="2"/>
  <c r="D289" i="2"/>
  <c r="C289" i="2"/>
  <c r="F289" i="2"/>
  <c r="N369" i="3" l="1"/>
  <c r="M369" i="3"/>
  <c r="C368" i="3"/>
  <c r="A369" i="3"/>
  <c r="B369" i="3"/>
  <c r="E369" i="3"/>
  <c r="D369" i="3"/>
  <c r="I370" i="3"/>
  <c r="F370" i="3" s="1"/>
  <c r="P369" i="3"/>
  <c r="Q369" i="3"/>
  <c r="K369" i="3"/>
  <c r="R368" i="3"/>
  <c r="T368" i="3"/>
  <c r="S368" i="3"/>
  <c r="J368" i="3"/>
  <c r="B290" i="2"/>
  <c r="E290" i="2"/>
  <c r="A290" i="2"/>
  <c r="F290" i="2"/>
  <c r="H291" i="2"/>
  <c r="L290" i="2"/>
  <c r="D290" i="2"/>
  <c r="C290" i="2"/>
  <c r="J289" i="2"/>
  <c r="K289" i="2"/>
  <c r="M370" i="3" l="1"/>
  <c r="N370" i="3"/>
  <c r="Q370" i="3"/>
  <c r="E370" i="3"/>
  <c r="B370" i="3"/>
  <c r="D370" i="3"/>
  <c r="K370" i="3"/>
  <c r="J370" i="3" s="1"/>
  <c r="I371" i="3"/>
  <c r="F371" i="3" s="1"/>
  <c r="P370" i="3"/>
  <c r="A370" i="3"/>
  <c r="R369" i="3"/>
  <c r="S369" i="3"/>
  <c r="T369" i="3"/>
  <c r="C369" i="3"/>
  <c r="J369" i="3"/>
  <c r="J290" i="2"/>
  <c r="K290" i="2"/>
  <c r="L291" i="2"/>
  <c r="B291" i="2"/>
  <c r="A291" i="2"/>
  <c r="C291" i="2"/>
  <c r="F291" i="2"/>
  <c r="D291" i="2"/>
  <c r="E291" i="2"/>
  <c r="H292" i="2"/>
  <c r="M371" i="3" l="1"/>
  <c r="N371" i="3"/>
  <c r="C370" i="3"/>
  <c r="E371" i="3"/>
  <c r="I372" i="3"/>
  <c r="F372" i="3" s="1"/>
  <c r="K371" i="3"/>
  <c r="J371" i="3" s="1"/>
  <c r="P371" i="3"/>
  <c r="Q371" i="3"/>
  <c r="A371" i="3"/>
  <c r="B371" i="3"/>
  <c r="D371" i="3"/>
  <c r="T370" i="3"/>
  <c r="R370" i="3"/>
  <c r="S370" i="3"/>
  <c r="J291" i="2"/>
  <c r="K291" i="2"/>
  <c r="L292" i="2"/>
  <c r="C292" i="2"/>
  <c r="E292" i="2"/>
  <c r="D292" i="2"/>
  <c r="B292" i="2"/>
  <c r="A292" i="2"/>
  <c r="F292" i="2"/>
  <c r="H293" i="2"/>
  <c r="M372" i="3" l="1"/>
  <c r="N372" i="3"/>
  <c r="R371" i="3"/>
  <c r="T371" i="3"/>
  <c r="S371" i="3"/>
  <c r="I373" i="3"/>
  <c r="F373" i="3" s="1"/>
  <c r="P372" i="3"/>
  <c r="Q372" i="3"/>
  <c r="A372" i="3"/>
  <c r="B372" i="3"/>
  <c r="E372" i="3"/>
  <c r="D372" i="3"/>
  <c r="K372" i="3"/>
  <c r="J372" i="3" s="1"/>
  <c r="C371" i="3"/>
  <c r="F293" i="2"/>
  <c r="E293" i="2"/>
  <c r="B293" i="2"/>
  <c r="L293" i="2"/>
  <c r="H294" i="2"/>
  <c r="D293" i="2"/>
  <c r="A293" i="2"/>
  <c r="C293" i="2"/>
  <c r="J292" i="2"/>
  <c r="K292" i="2"/>
  <c r="M373" i="3" l="1"/>
  <c r="N373" i="3"/>
  <c r="C372" i="3"/>
  <c r="S372" i="3"/>
  <c r="R372" i="3"/>
  <c r="T372" i="3"/>
  <c r="D373" i="3"/>
  <c r="K373" i="3"/>
  <c r="J373" i="3" s="1"/>
  <c r="I374" i="3"/>
  <c r="F374" i="3" s="1"/>
  <c r="P373" i="3"/>
  <c r="Q373" i="3"/>
  <c r="A373" i="3"/>
  <c r="E373" i="3"/>
  <c r="B373" i="3"/>
  <c r="J293" i="2"/>
  <c r="K293" i="2"/>
  <c r="B294" i="2"/>
  <c r="C294" i="2"/>
  <c r="D294" i="2"/>
  <c r="F294" i="2"/>
  <c r="H295" i="2"/>
  <c r="A294" i="2"/>
  <c r="E294" i="2"/>
  <c r="L294" i="2"/>
  <c r="N374" i="3" l="1"/>
  <c r="M374" i="3"/>
  <c r="C373" i="3"/>
  <c r="R373" i="3"/>
  <c r="T373" i="3"/>
  <c r="S373" i="3"/>
  <c r="B374" i="3"/>
  <c r="D374" i="3"/>
  <c r="K374" i="3"/>
  <c r="I375" i="3"/>
  <c r="F375" i="3" s="1"/>
  <c r="P374" i="3"/>
  <c r="E374" i="3"/>
  <c r="A374" i="3"/>
  <c r="Q374" i="3"/>
  <c r="J294" i="2"/>
  <c r="K294" i="2"/>
  <c r="E295" i="2"/>
  <c r="L295" i="2"/>
  <c r="H296" i="2"/>
  <c r="C295" i="2"/>
  <c r="B295" i="2"/>
  <c r="D295" i="2"/>
  <c r="A295" i="2"/>
  <c r="F295" i="2"/>
  <c r="N375" i="3" l="1"/>
  <c r="M375" i="3"/>
  <c r="E375" i="3"/>
  <c r="I376" i="3"/>
  <c r="F376" i="3" s="1"/>
  <c r="K375" i="3"/>
  <c r="J375" i="3" s="1"/>
  <c r="P375" i="3"/>
  <c r="Q375" i="3"/>
  <c r="A375" i="3"/>
  <c r="B375" i="3"/>
  <c r="D375" i="3"/>
  <c r="J374" i="3"/>
  <c r="R374" i="3"/>
  <c r="S374" i="3"/>
  <c r="T374" i="3"/>
  <c r="C374" i="3"/>
  <c r="J295" i="2"/>
  <c r="K295" i="2"/>
  <c r="L296" i="2"/>
  <c r="A296" i="2"/>
  <c r="C296" i="2"/>
  <c r="D296" i="2"/>
  <c r="H297" i="2"/>
  <c r="B296" i="2"/>
  <c r="F296" i="2"/>
  <c r="E296" i="2"/>
  <c r="N376" i="3" l="1"/>
  <c r="M376" i="3"/>
  <c r="T375" i="3"/>
  <c r="R375" i="3"/>
  <c r="S375" i="3"/>
  <c r="E376" i="3"/>
  <c r="I377" i="3"/>
  <c r="F377" i="3" s="1"/>
  <c r="Q376" i="3"/>
  <c r="D376" i="3"/>
  <c r="K376" i="3"/>
  <c r="A376" i="3"/>
  <c r="B376" i="3"/>
  <c r="P376" i="3"/>
  <c r="C375" i="3"/>
  <c r="E297" i="2"/>
  <c r="H298" i="2"/>
  <c r="B297" i="2"/>
  <c r="C297" i="2"/>
  <c r="D297" i="2"/>
  <c r="F297" i="2"/>
  <c r="A297" i="2"/>
  <c r="L297" i="2"/>
  <c r="J296" i="2"/>
  <c r="K296" i="2"/>
  <c r="N377" i="3" l="1"/>
  <c r="M377" i="3"/>
  <c r="C376" i="3"/>
  <c r="S376" i="3"/>
  <c r="T376" i="3"/>
  <c r="R376" i="3"/>
  <c r="D377" i="3"/>
  <c r="K377" i="3"/>
  <c r="J377" i="3" s="1"/>
  <c r="I378" i="3"/>
  <c r="F378" i="3" s="1"/>
  <c r="P377" i="3"/>
  <c r="Q377" i="3"/>
  <c r="B377" i="3"/>
  <c r="E377" i="3"/>
  <c r="A377" i="3"/>
  <c r="J376" i="3"/>
  <c r="J297" i="2"/>
  <c r="K297" i="2"/>
  <c r="L298" i="2"/>
  <c r="C298" i="2"/>
  <c r="D298" i="2"/>
  <c r="E298" i="2"/>
  <c r="A298" i="2"/>
  <c r="B298" i="2"/>
  <c r="F298" i="2"/>
  <c r="H299" i="2"/>
  <c r="M378" i="3" l="1"/>
  <c r="N378" i="3"/>
  <c r="R377" i="3"/>
  <c r="T377" i="3"/>
  <c r="S377" i="3"/>
  <c r="C377" i="3"/>
  <c r="B378" i="3"/>
  <c r="D378" i="3"/>
  <c r="K378" i="3"/>
  <c r="I379" i="3"/>
  <c r="F379" i="3" s="1"/>
  <c r="A378" i="3"/>
  <c r="P378" i="3"/>
  <c r="Q378" i="3"/>
  <c r="E378" i="3"/>
  <c r="J298" i="2"/>
  <c r="K298" i="2"/>
  <c r="D299" i="2"/>
  <c r="E299" i="2"/>
  <c r="A299" i="2"/>
  <c r="B299" i="2"/>
  <c r="F299" i="2"/>
  <c r="C299" i="2"/>
  <c r="H300" i="2"/>
  <c r="L299" i="2"/>
  <c r="M379" i="3" l="1"/>
  <c r="N379" i="3"/>
  <c r="K379" i="3"/>
  <c r="J379" i="3" s="1"/>
  <c r="Q379" i="3"/>
  <c r="B379" i="3"/>
  <c r="P379" i="3"/>
  <c r="A379" i="3"/>
  <c r="E379" i="3"/>
  <c r="I380" i="3"/>
  <c r="F380" i="3" s="1"/>
  <c r="D379" i="3"/>
  <c r="S378" i="3"/>
  <c r="R378" i="3"/>
  <c r="T378" i="3"/>
  <c r="C378" i="3"/>
  <c r="J378" i="3"/>
  <c r="J299" i="2"/>
  <c r="K299" i="2"/>
  <c r="L300" i="2"/>
  <c r="A300" i="2"/>
  <c r="D300" i="2"/>
  <c r="H301" i="2"/>
  <c r="E300" i="2"/>
  <c r="B300" i="2"/>
  <c r="F300" i="2"/>
  <c r="C300" i="2"/>
  <c r="M380" i="3" l="1"/>
  <c r="N380" i="3"/>
  <c r="S379" i="3"/>
  <c r="T379" i="3"/>
  <c r="R379" i="3"/>
  <c r="A380" i="3"/>
  <c r="B380" i="3"/>
  <c r="Q380" i="3"/>
  <c r="E380" i="3"/>
  <c r="P380" i="3"/>
  <c r="D380" i="3"/>
  <c r="K380" i="3"/>
  <c r="J380" i="3" s="1"/>
  <c r="I381" i="3"/>
  <c r="F381" i="3" s="1"/>
  <c r="C379" i="3"/>
  <c r="F301" i="2"/>
  <c r="E301" i="2"/>
  <c r="L301" i="2"/>
  <c r="H302" i="2"/>
  <c r="D301" i="2"/>
  <c r="A301" i="2"/>
  <c r="C301" i="2"/>
  <c r="B301" i="2"/>
  <c r="J300" i="2"/>
  <c r="K300" i="2"/>
  <c r="M381" i="3" l="1"/>
  <c r="N381" i="3"/>
  <c r="S380" i="3"/>
  <c r="T380" i="3"/>
  <c r="R380" i="3"/>
  <c r="C380" i="3"/>
  <c r="E381" i="3"/>
  <c r="Q381" i="3"/>
  <c r="D381" i="3"/>
  <c r="K381" i="3"/>
  <c r="J381" i="3" s="1"/>
  <c r="I382" i="3"/>
  <c r="F382" i="3" s="1"/>
  <c r="P381" i="3"/>
  <c r="A381" i="3"/>
  <c r="B381" i="3"/>
  <c r="L302" i="2"/>
  <c r="C302" i="2"/>
  <c r="D302" i="2"/>
  <c r="E302" i="2"/>
  <c r="A302" i="2"/>
  <c r="B302" i="2"/>
  <c r="F302" i="2"/>
  <c r="H303" i="2"/>
  <c r="J301" i="2"/>
  <c r="K301" i="2"/>
  <c r="N382" i="3" l="1"/>
  <c r="M382" i="3"/>
  <c r="C381" i="3"/>
  <c r="B382" i="3"/>
  <c r="D382" i="3"/>
  <c r="K382" i="3"/>
  <c r="J382" i="3" s="1"/>
  <c r="I383" i="3"/>
  <c r="F383" i="3" s="1"/>
  <c r="Q382" i="3"/>
  <c r="E382" i="3"/>
  <c r="P382" i="3"/>
  <c r="A382" i="3"/>
  <c r="R381" i="3"/>
  <c r="T381" i="3"/>
  <c r="S381" i="3"/>
  <c r="F303" i="2"/>
  <c r="E303" i="2"/>
  <c r="L303" i="2"/>
  <c r="C303" i="2"/>
  <c r="A303" i="2"/>
  <c r="D303" i="2"/>
  <c r="B303" i="2"/>
  <c r="H304" i="2"/>
  <c r="J302" i="2"/>
  <c r="K302" i="2"/>
  <c r="M383" i="3" l="1"/>
  <c r="N383" i="3"/>
  <c r="C382" i="3"/>
  <c r="R382" i="3"/>
  <c r="S382" i="3"/>
  <c r="T382" i="3"/>
  <c r="P383" i="3"/>
  <c r="Q383" i="3"/>
  <c r="B383" i="3"/>
  <c r="I384" i="3"/>
  <c r="F384" i="3" s="1"/>
  <c r="A383" i="3"/>
  <c r="E383" i="3"/>
  <c r="K383" i="3"/>
  <c r="J383" i="3" s="1"/>
  <c r="D383" i="3"/>
  <c r="L304" i="2"/>
  <c r="A304" i="2"/>
  <c r="D304" i="2"/>
  <c r="H305" i="2"/>
  <c r="B304" i="2"/>
  <c r="E304" i="2"/>
  <c r="F304" i="2"/>
  <c r="C304" i="2"/>
  <c r="J303" i="2"/>
  <c r="K303" i="2"/>
  <c r="N384" i="3" l="1"/>
  <c r="M384" i="3"/>
  <c r="C383" i="3"/>
  <c r="E384" i="3"/>
  <c r="D384" i="3"/>
  <c r="I385" i="3"/>
  <c r="F385" i="3" s="1"/>
  <c r="P384" i="3"/>
  <c r="A384" i="3"/>
  <c r="B384" i="3"/>
  <c r="K384" i="3"/>
  <c r="Q384" i="3"/>
  <c r="S383" i="3"/>
  <c r="T383" i="3"/>
  <c r="R383" i="3"/>
  <c r="F305" i="2"/>
  <c r="A305" i="2"/>
  <c r="L305" i="2"/>
  <c r="H306" i="2"/>
  <c r="C305" i="2"/>
  <c r="D305" i="2"/>
  <c r="B305" i="2"/>
  <c r="E305" i="2"/>
  <c r="J304" i="2"/>
  <c r="K304" i="2"/>
  <c r="M385" i="3" l="1"/>
  <c r="N385" i="3"/>
  <c r="S384" i="3"/>
  <c r="T384" i="3"/>
  <c r="R384" i="3"/>
  <c r="C384" i="3"/>
  <c r="I386" i="3"/>
  <c r="F386" i="3" s="1"/>
  <c r="A385" i="3"/>
  <c r="B385" i="3"/>
  <c r="E385" i="3"/>
  <c r="D385" i="3"/>
  <c r="K385" i="3"/>
  <c r="P385" i="3"/>
  <c r="Q385" i="3"/>
  <c r="J384" i="3"/>
  <c r="L306" i="2"/>
  <c r="C306" i="2"/>
  <c r="A306" i="2"/>
  <c r="F306" i="2"/>
  <c r="B306" i="2"/>
  <c r="D306" i="2"/>
  <c r="E306" i="2"/>
  <c r="H307" i="2"/>
  <c r="J305" i="2"/>
  <c r="K305" i="2"/>
  <c r="M386" i="3" l="1"/>
  <c r="N386" i="3"/>
  <c r="R385" i="3"/>
  <c r="S385" i="3"/>
  <c r="T385" i="3"/>
  <c r="C385" i="3"/>
  <c r="Q386" i="3"/>
  <c r="E386" i="3"/>
  <c r="B386" i="3"/>
  <c r="D386" i="3"/>
  <c r="K386" i="3"/>
  <c r="I387" i="3"/>
  <c r="F387" i="3" s="1"/>
  <c r="P386" i="3"/>
  <c r="A386" i="3"/>
  <c r="J385" i="3"/>
  <c r="L307" i="2"/>
  <c r="H308" i="2"/>
  <c r="E307" i="2"/>
  <c r="C307" i="2"/>
  <c r="B307" i="2"/>
  <c r="D307" i="2"/>
  <c r="F307" i="2"/>
  <c r="A307" i="2"/>
  <c r="J306" i="2"/>
  <c r="K306" i="2"/>
  <c r="M387" i="3" l="1"/>
  <c r="N387" i="3"/>
  <c r="C386" i="3"/>
  <c r="S386" i="3"/>
  <c r="R386" i="3"/>
  <c r="T386" i="3"/>
  <c r="P387" i="3"/>
  <c r="Q387" i="3"/>
  <c r="K387" i="3"/>
  <c r="J387" i="3" s="1"/>
  <c r="B387" i="3"/>
  <c r="I388" i="3"/>
  <c r="F388" i="3" s="1"/>
  <c r="E387" i="3"/>
  <c r="D387" i="3"/>
  <c r="A387" i="3"/>
  <c r="J386" i="3"/>
  <c r="F308" i="2"/>
  <c r="E308" i="2"/>
  <c r="H309" i="2"/>
  <c r="L308" i="2"/>
  <c r="B308" i="2"/>
  <c r="D308" i="2"/>
  <c r="A308" i="2"/>
  <c r="C308" i="2"/>
  <c r="J307" i="2"/>
  <c r="K307" i="2"/>
  <c r="M388" i="3" l="1"/>
  <c r="N388" i="3"/>
  <c r="C387" i="3"/>
  <c r="R387" i="3"/>
  <c r="S387" i="3"/>
  <c r="T387" i="3"/>
  <c r="A388" i="3"/>
  <c r="B388" i="3"/>
  <c r="D388" i="3"/>
  <c r="K388" i="3"/>
  <c r="J388" i="3" s="1"/>
  <c r="P388" i="3"/>
  <c r="Q388" i="3"/>
  <c r="E388" i="3"/>
  <c r="I389" i="3"/>
  <c r="F389" i="3" s="1"/>
  <c r="J308" i="2"/>
  <c r="K308" i="2"/>
  <c r="L309" i="2"/>
  <c r="D309" i="2"/>
  <c r="A309" i="2"/>
  <c r="E309" i="2"/>
  <c r="H310" i="2"/>
  <c r="B309" i="2"/>
  <c r="F309" i="2"/>
  <c r="C309" i="2"/>
  <c r="M389" i="3" l="1"/>
  <c r="N389" i="3"/>
  <c r="C388" i="3"/>
  <c r="D389" i="3"/>
  <c r="K389" i="3"/>
  <c r="J389" i="3" s="1"/>
  <c r="I390" i="3"/>
  <c r="F390" i="3" s="1"/>
  <c r="P389" i="3"/>
  <c r="Q389" i="3"/>
  <c r="A389" i="3"/>
  <c r="B389" i="3"/>
  <c r="E389" i="3"/>
  <c r="S388" i="3"/>
  <c r="T388" i="3"/>
  <c r="R388" i="3"/>
  <c r="J309" i="2"/>
  <c r="K309" i="2"/>
  <c r="E310" i="2"/>
  <c r="H311" i="2"/>
  <c r="L310" i="2"/>
  <c r="A310" i="2"/>
  <c r="C310" i="2"/>
  <c r="D310" i="2"/>
  <c r="B310" i="2"/>
  <c r="F310" i="2"/>
  <c r="N390" i="3" l="1"/>
  <c r="M390" i="3"/>
  <c r="S389" i="3"/>
  <c r="T389" i="3"/>
  <c r="R389" i="3"/>
  <c r="C389" i="3"/>
  <c r="A390" i="3"/>
  <c r="Q390" i="3"/>
  <c r="E390" i="3"/>
  <c r="D390" i="3"/>
  <c r="K390" i="3"/>
  <c r="P390" i="3"/>
  <c r="I391" i="3"/>
  <c r="F391" i="3" s="1"/>
  <c r="B390" i="3"/>
  <c r="L311" i="2"/>
  <c r="A311" i="2"/>
  <c r="C311" i="2"/>
  <c r="B311" i="2"/>
  <c r="E311" i="2"/>
  <c r="D311" i="2"/>
  <c r="F311" i="2"/>
  <c r="J310" i="2"/>
  <c r="K310" i="2"/>
  <c r="N391" i="3" l="1"/>
  <c r="M391" i="3"/>
  <c r="C390" i="3"/>
  <c r="R390" i="3"/>
  <c r="S390" i="3"/>
  <c r="T390" i="3"/>
  <c r="E391" i="3"/>
  <c r="P391" i="3"/>
  <c r="Q391" i="3"/>
  <c r="K391" i="3"/>
  <c r="J391" i="3" s="1"/>
  <c r="B391" i="3"/>
  <c r="D391" i="3"/>
  <c r="A391" i="3"/>
  <c r="I392" i="3"/>
  <c r="F392" i="3" s="1"/>
  <c r="J390" i="3"/>
  <c r="J311" i="2"/>
  <c r="K311" i="2"/>
  <c r="N392" i="3" l="1"/>
  <c r="M392" i="3"/>
  <c r="I393" i="3"/>
  <c r="F393" i="3" s="1"/>
  <c r="P392" i="3"/>
  <c r="Q392" i="3"/>
  <c r="A392" i="3"/>
  <c r="B392" i="3"/>
  <c r="D392" i="3"/>
  <c r="E392" i="3"/>
  <c r="K392" i="3"/>
  <c r="J392" i="3" s="1"/>
  <c r="T391" i="3"/>
  <c r="S391" i="3"/>
  <c r="R391" i="3"/>
  <c r="C391" i="3"/>
  <c r="N393" i="3" l="1"/>
  <c r="M393" i="3"/>
  <c r="R392" i="3"/>
  <c r="S392" i="3"/>
  <c r="T392" i="3"/>
  <c r="C392" i="3"/>
  <c r="A393" i="3"/>
  <c r="B393" i="3"/>
  <c r="E393" i="3"/>
  <c r="K393" i="3"/>
  <c r="J393" i="3" s="1"/>
  <c r="I394" i="3"/>
  <c r="F394" i="3" s="1"/>
  <c r="Q393" i="3"/>
  <c r="P393" i="3"/>
  <c r="D393" i="3"/>
  <c r="M394" i="3" l="1"/>
  <c r="N394" i="3"/>
  <c r="C393" i="3"/>
  <c r="S393" i="3"/>
  <c r="T393" i="3"/>
  <c r="R393" i="3"/>
  <c r="Q394" i="3"/>
  <c r="E394" i="3"/>
  <c r="P394" i="3"/>
  <c r="D394" i="3"/>
  <c r="K394" i="3"/>
  <c r="I395" i="3"/>
  <c r="F395" i="3" s="1"/>
  <c r="A394" i="3"/>
  <c r="B394" i="3"/>
  <c r="N395" i="3" l="1"/>
  <c r="M395" i="3"/>
  <c r="C394" i="3"/>
  <c r="T394" i="3"/>
  <c r="R394" i="3"/>
  <c r="S394" i="3"/>
  <c r="E395" i="3"/>
  <c r="Q395" i="3"/>
  <c r="K395" i="3"/>
  <c r="B395" i="3"/>
  <c r="D395" i="3"/>
  <c r="P395" i="3"/>
  <c r="I396" i="3"/>
  <c r="F396" i="3" s="1"/>
  <c r="A395" i="3"/>
  <c r="J394" i="3"/>
  <c r="M396" i="3" l="1"/>
  <c r="N396" i="3"/>
  <c r="C395" i="3"/>
  <c r="T395" i="3"/>
  <c r="R395" i="3"/>
  <c r="S395" i="3"/>
  <c r="K396" i="3"/>
  <c r="Q396" i="3"/>
  <c r="B396" i="3"/>
  <c r="E396" i="3"/>
  <c r="P396" i="3"/>
  <c r="D396" i="3"/>
  <c r="A396" i="3"/>
  <c r="I397" i="3"/>
  <c r="F397" i="3" s="1"/>
  <c r="J395" i="3"/>
  <c r="N397" i="3" l="1"/>
  <c r="M397" i="3"/>
  <c r="R396" i="3"/>
  <c r="S396" i="3"/>
  <c r="T396" i="3"/>
  <c r="I398" i="3"/>
  <c r="F398" i="3" s="1"/>
  <c r="P397" i="3"/>
  <c r="Q397" i="3"/>
  <c r="B397" i="3"/>
  <c r="A397" i="3"/>
  <c r="E397" i="3"/>
  <c r="D397" i="3"/>
  <c r="K397" i="3"/>
  <c r="J397" i="3" s="1"/>
  <c r="C396" i="3"/>
  <c r="J396" i="3"/>
  <c r="N398" i="3" l="1"/>
  <c r="M398" i="3"/>
  <c r="Q398" i="3"/>
  <c r="E398" i="3"/>
  <c r="K398" i="3"/>
  <c r="J398" i="3" s="1"/>
  <c r="P398" i="3"/>
  <c r="B398" i="3"/>
  <c r="D398" i="3"/>
  <c r="I399" i="3"/>
  <c r="F399" i="3" s="1"/>
  <c r="A398" i="3"/>
  <c r="T397" i="3"/>
  <c r="R397" i="3"/>
  <c r="S397" i="3"/>
  <c r="C397" i="3"/>
  <c r="M399" i="3" l="1"/>
  <c r="N399" i="3"/>
  <c r="C398" i="3"/>
  <c r="A399" i="3"/>
  <c r="D399" i="3"/>
  <c r="E399" i="3"/>
  <c r="Q399" i="3"/>
  <c r="K399" i="3"/>
  <c r="P399" i="3"/>
  <c r="I400" i="3"/>
  <c r="F400" i="3" s="1"/>
  <c r="B399" i="3"/>
  <c r="R398" i="3"/>
  <c r="S398" i="3"/>
  <c r="T398" i="3"/>
  <c r="N400" i="3" l="1"/>
  <c r="M400" i="3"/>
  <c r="C399" i="3"/>
  <c r="J399" i="3"/>
  <c r="A400" i="3"/>
  <c r="B400" i="3"/>
  <c r="D400" i="3"/>
  <c r="E400" i="3"/>
  <c r="K400" i="3"/>
  <c r="I401" i="3"/>
  <c r="F401" i="3" s="1"/>
  <c r="P400" i="3"/>
  <c r="Q400" i="3"/>
  <c r="T399" i="3"/>
  <c r="R399" i="3"/>
  <c r="S399" i="3"/>
  <c r="N401" i="3" l="1"/>
  <c r="M401" i="3"/>
  <c r="T400" i="3"/>
  <c r="S400" i="3"/>
  <c r="R400" i="3"/>
  <c r="C400" i="3"/>
  <c r="J400" i="3"/>
  <c r="D401" i="3"/>
  <c r="K401" i="3"/>
  <c r="J401" i="3" s="1"/>
  <c r="A401" i="3"/>
  <c r="B401" i="3"/>
  <c r="I402" i="3"/>
  <c r="F402" i="3" s="1"/>
  <c r="P401" i="3"/>
  <c r="Q401" i="3"/>
  <c r="E401" i="3"/>
  <c r="M402" i="3" l="1"/>
  <c r="N402" i="3"/>
  <c r="C401" i="3"/>
  <c r="T401" i="3"/>
  <c r="S401" i="3"/>
  <c r="R401" i="3"/>
  <c r="I403" i="3"/>
  <c r="F403" i="3" s="1"/>
  <c r="P402" i="3"/>
  <c r="D402" i="3"/>
  <c r="A402" i="3"/>
  <c r="B402" i="3"/>
  <c r="E402" i="3"/>
  <c r="Q402" i="3"/>
  <c r="K402" i="3"/>
  <c r="J402" i="3" s="1"/>
  <c r="M403" i="3" l="1"/>
  <c r="N403" i="3"/>
  <c r="E403" i="3"/>
  <c r="Q403" i="3"/>
  <c r="K403" i="3"/>
  <c r="J403" i="3" s="1"/>
  <c r="B403" i="3"/>
  <c r="D403" i="3"/>
  <c r="P403" i="3"/>
  <c r="A403" i="3"/>
  <c r="I404" i="3"/>
  <c r="F404" i="3" s="1"/>
  <c r="R402" i="3"/>
  <c r="S402" i="3"/>
  <c r="T402" i="3"/>
  <c r="C402" i="3"/>
  <c r="M404" i="3" l="1"/>
  <c r="N404" i="3"/>
  <c r="C403" i="3"/>
  <c r="T403" i="3"/>
  <c r="R403" i="3"/>
  <c r="S403" i="3"/>
  <c r="K404" i="3"/>
  <c r="Q404" i="3"/>
  <c r="I405" i="3"/>
  <c r="F405" i="3" s="1"/>
  <c r="B404" i="3"/>
  <c r="D404" i="3"/>
  <c r="A404" i="3"/>
  <c r="P404" i="3"/>
  <c r="E404" i="3"/>
  <c r="M405" i="3" l="1"/>
  <c r="N405" i="3"/>
  <c r="C404" i="3"/>
  <c r="T404" i="3"/>
  <c r="S404" i="3"/>
  <c r="R404" i="3"/>
  <c r="A405" i="3"/>
  <c r="Q405" i="3"/>
  <c r="I406" i="3"/>
  <c r="F406" i="3" s="1"/>
  <c r="B405" i="3"/>
  <c r="K405" i="3"/>
  <c r="J405" i="3" s="1"/>
  <c r="D405" i="3"/>
  <c r="E405" i="3"/>
  <c r="P405" i="3"/>
  <c r="J404" i="3"/>
  <c r="N406" i="3" l="1"/>
  <c r="M406" i="3"/>
  <c r="C405" i="3"/>
  <c r="T405" i="3"/>
  <c r="R405" i="3"/>
  <c r="S405" i="3"/>
  <c r="B406" i="3"/>
  <c r="K406" i="3"/>
  <c r="D406" i="3"/>
  <c r="I407" i="3"/>
  <c r="F407" i="3" s="1"/>
  <c r="P406" i="3"/>
  <c r="A406" i="3"/>
  <c r="E406" i="3"/>
  <c r="Q406" i="3"/>
  <c r="N407" i="3" l="1"/>
  <c r="M407" i="3"/>
  <c r="C406" i="3"/>
  <c r="J406" i="3"/>
  <c r="R406" i="3"/>
  <c r="S406" i="3"/>
  <c r="T406" i="3"/>
  <c r="I408" i="3"/>
  <c r="F408" i="3" s="1"/>
  <c r="B407" i="3"/>
  <c r="A407" i="3"/>
  <c r="E407" i="3"/>
  <c r="K407" i="3"/>
  <c r="Q407" i="3"/>
  <c r="D407" i="3"/>
  <c r="P407" i="3"/>
  <c r="N408" i="3" l="1"/>
  <c r="M408" i="3"/>
  <c r="C407" i="3"/>
  <c r="J407" i="3"/>
  <c r="S407" i="3"/>
  <c r="R407" i="3"/>
  <c r="T407" i="3"/>
  <c r="K408" i="3"/>
  <c r="J408" i="3" s="1"/>
  <c r="P408" i="3"/>
  <c r="I409" i="3"/>
  <c r="F409" i="3" s="1"/>
  <c r="B408" i="3"/>
  <c r="D408" i="3"/>
  <c r="Q408" i="3"/>
  <c r="A408" i="3"/>
  <c r="E408" i="3"/>
  <c r="M409" i="3" l="1"/>
  <c r="N409" i="3"/>
  <c r="T408" i="3"/>
  <c r="S408" i="3"/>
  <c r="R408" i="3"/>
  <c r="D409" i="3"/>
  <c r="K409" i="3"/>
  <c r="J409" i="3" s="1"/>
  <c r="B409" i="3"/>
  <c r="I410" i="3"/>
  <c r="F410" i="3" s="1"/>
  <c r="E409" i="3"/>
  <c r="A409" i="3"/>
  <c r="P409" i="3"/>
  <c r="Q409" i="3"/>
  <c r="C408" i="3"/>
  <c r="M410" i="3" l="1"/>
  <c r="N410" i="3"/>
  <c r="S409" i="3"/>
  <c r="R409" i="3"/>
  <c r="T409" i="3"/>
  <c r="K410" i="3"/>
  <c r="Q410" i="3"/>
  <c r="A410" i="3"/>
  <c r="B410" i="3"/>
  <c r="P410" i="3"/>
  <c r="I411" i="3"/>
  <c r="F411" i="3" s="1"/>
  <c r="D410" i="3"/>
  <c r="E410" i="3"/>
  <c r="C409" i="3"/>
  <c r="M411" i="3" l="1"/>
  <c r="N411" i="3"/>
  <c r="C410" i="3"/>
  <c r="D411" i="3"/>
  <c r="A411" i="3"/>
  <c r="Q411" i="3"/>
  <c r="K411" i="3"/>
  <c r="J411" i="3" s="1"/>
  <c r="B411" i="3"/>
  <c r="E411" i="3"/>
  <c r="P411" i="3"/>
  <c r="S410" i="3"/>
  <c r="T410" i="3"/>
  <c r="R410" i="3"/>
  <c r="J410" i="3"/>
  <c r="C411" i="3" l="1"/>
  <c r="T411" i="3"/>
  <c r="S411" i="3"/>
  <c r="R4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E2" authorId="0" shapeId="0" xr:uid="{00000000-0006-0000-0000-000001000000}">
      <text>
        <r>
          <rPr>
            <sz val="9"/>
            <color indexed="81"/>
            <rFont val="Tahoma"/>
            <family val="2"/>
            <charset val="238"/>
          </rPr>
          <t>Automatikusan tölti ki a gép a dátum beírása után.
Ha a "válasz" oszlop ki van töltve, nem kap új számot, hanem az előző számot veszi át.</t>
        </r>
      </text>
    </comment>
    <comment ref="F2" authorId="0" shapeId="0" xr:uid="{00000000-0006-0000-0000-000002000000}">
      <text>
        <r>
          <rPr>
            <sz val="9"/>
            <color indexed="81"/>
            <rFont val="Tahoma"/>
            <family val="2"/>
            <charset val="238"/>
          </rPr>
          <t>Iktatás dátuma. Ajánlott 
ÉÉÉÉ-HH-NN, vagy HH-NN 
formátumban beírni</t>
        </r>
      </text>
    </comment>
    <comment ref="G2" authorId="0" shapeId="0" xr:uid="{00000000-0006-0000-0000-000003000000}">
      <text>
        <r>
          <rPr>
            <sz val="9"/>
            <color indexed="81"/>
            <rFont val="Tahoma"/>
            <family val="2"/>
            <charset val="238"/>
          </rPr>
          <t>Beérkező iratok esetében kötelező kitölteni.
Ha bármit beírunk, az iktatószám színe lilára vált.
A kiadott iratok esetében üresen kell hagyni.</t>
        </r>
      </text>
    </comment>
    <comment ref="H2" authorId="0" shapeId="0" xr:uid="{00000000-0006-0000-0000-000004000000}">
      <text>
        <r>
          <rPr>
            <sz val="9"/>
            <color indexed="81"/>
            <rFont val="Tahoma"/>
            <family val="2"/>
            <charset val="238"/>
          </rPr>
          <t>Beérkező iratok esetében kötelező kitölteni.
Ha beírjuk a dátumot, az iktatószám színe lilára vált.
A kiadott iratok esetében üresen kell hagyni.
Felajánlaja az iktatás dátumát, de rá lehet javítani.</t>
        </r>
      </text>
    </comment>
    <comment ref="K2" authorId="0" shapeId="0" xr:uid="{00000000-0006-0000-0000-000005000000}">
      <text>
        <r>
          <rPr>
            <sz val="9"/>
            <color indexed="81"/>
            <rFont val="Tahoma"/>
            <family val="2"/>
            <charset val="238"/>
          </rPr>
          <t>A levéltári leltár érdekében kell kitölteni.
A 7-es, a 8-as, és a 3/6-os iratgyűjtő esetében 
kötelező kitölteni.</t>
        </r>
      </text>
    </comment>
    <comment ref="L2" authorId="0" shapeId="0" xr:uid="{00000000-0006-0000-0000-000006000000}">
      <text>
        <r>
          <rPr>
            <sz val="9"/>
            <color indexed="81"/>
            <rFont val="Tahoma"/>
            <family val="2"/>
            <charset val="238"/>
          </rPr>
          <t>A levéltári leltár lapszámozása
érdekében kell kitölteni, 
de csak akkor, ha a lapszám nem 1</t>
        </r>
      </text>
    </comment>
    <comment ref="M2" authorId="0" shapeId="0" xr:uid="{00000000-0006-0000-0000-000007000000}">
      <text>
        <r>
          <rPr>
            <sz val="9"/>
            <color indexed="81"/>
            <rFont val="Tahoma"/>
            <family val="2"/>
            <charset val="238"/>
          </rPr>
          <t>Abban az esetben kell kitölteni,
ha az előző iktatószámmal beérkezett
iratot szeretnénk megválaszolni
ugyanazon szám alatt</t>
        </r>
      </text>
    </comment>
    <comment ref="N2" authorId="0" shapeId="0" xr:uid="{00000000-0006-0000-0000-000008000000}">
      <text>
        <r>
          <rPr>
            <sz val="9"/>
            <color indexed="81"/>
            <rFont val="Tahoma"/>
            <family val="2"/>
            <charset val="238"/>
          </rPr>
          <t>Ide bármit be lehet írni,
de csak itt jelenik meg.</t>
        </r>
      </text>
    </comment>
    <comment ref="O2" authorId="0" shapeId="0" xr:uid="{00000000-0006-0000-0000-000009000000}">
      <text>
        <r>
          <rPr>
            <sz val="9"/>
            <color indexed="81"/>
            <rFont val="Tahoma"/>
            <family val="2"/>
            <charset val="238"/>
          </rPr>
          <t>Ide be lehet szúrni az
iktatott iratok elérési
útját. Az elszántaknak 
ajánlom</t>
        </r>
      </text>
    </comment>
  </commentList>
</comments>
</file>

<file path=xl/sharedStrings.xml><?xml version="1.0" encoding="utf-8"?>
<sst xmlns="http://schemas.openxmlformats.org/spreadsheetml/2006/main" count="247" uniqueCount="178">
  <si>
    <t>Helyi
iktató
szám</t>
  </si>
  <si>
    <t>Érkezés
/küldés
dátuma</t>
  </si>
  <si>
    <t>Iratgyűjtő</t>
  </si>
  <si>
    <t>Válasz</t>
  </si>
  <si>
    <t>Lapok
száma</t>
  </si>
  <si>
    <t>a</t>
  </si>
  <si>
    <t>b</t>
  </si>
  <si>
    <t>x</t>
  </si>
  <si>
    <t>Tárgykivonat</t>
  </si>
  <si>
    <t>Iratgyűjtői
sor
száma</t>
  </si>
  <si>
    <t>Ha
válasz</t>
  </si>
  <si>
    <t>S.
sz.</t>
  </si>
  <si>
    <t>Ikt.
sz.</t>
  </si>
  <si>
    <t>Dátum</t>
  </si>
  <si>
    <t>Küldő
Cimzett</t>
  </si>
  <si>
    <t>Tárgy</t>
  </si>
  <si>
    <t>Lap
szám</t>
  </si>
  <si>
    <t>Költségvetések, számadások</t>
  </si>
  <si>
    <t>. számú iratgyűjtő</t>
  </si>
  <si>
    <t>A jobboldali, zöld cellába lehet beírni az évszámot</t>
  </si>
  <si>
    <t>A jobboldali, zöld cella lenyílójából lehet kiválasztani az iratgyűjtő nevét.</t>
  </si>
  <si>
    <t>. látszik. A jobboldali, zöld cellában lehet megadni a listázni kívánt lapszámot.</t>
  </si>
  <si>
    <t xml:space="preserve">Ezen a leltáríven összesen </t>
  </si>
  <si>
    <t xml:space="preserve"> lap van. Ebből jelenleg a </t>
  </si>
  <si>
    <t>A
A</t>
  </si>
  <si>
    <t>t</t>
  </si>
  <si>
    <t xml:space="preserve">A sormagasságok helyes beállításáért nyomtatás előtt az 1-es fölötti, az A-tól balra levő négyzetre kell kattintani, utána kétszer az 1 és 2 kettő közötti elválasztó vonalra. </t>
  </si>
  <si>
    <t>Beadvány
száma és kelte</t>
  </si>
  <si>
    <t>Irattári
jele</t>
  </si>
  <si>
    <t>Cím</t>
  </si>
  <si>
    <t>IKTATOTT IRATOK</t>
  </si>
  <si>
    <t>Megjegyzés</t>
  </si>
  <si>
    <t>Hivatkozás címe</t>
  </si>
  <si>
    <t>a
a</t>
  </si>
  <si>
    <t xml:space="preserve">Ebben az iktatóban összesen </t>
  </si>
  <si>
    <t>Küldő
iktató
száma</t>
  </si>
  <si>
    <t>Küldő
keltezése</t>
  </si>
  <si>
    <t>.</t>
  </si>
  <si>
    <t>IDE KELL BEÍRNI AZ EGYHÁZKÖZSÉG NEVÉT</t>
  </si>
  <si>
    <t>AZ EGYHÁZKÖZSÉG NEVÉT AZ "Iktató" MUNKALAPON LEHET KITÖLTENI</t>
  </si>
  <si>
    <t xml:space="preserve">1 - </t>
  </si>
  <si>
    <t xml:space="preserve">2 - </t>
  </si>
  <si>
    <t>Jelentések</t>
  </si>
  <si>
    <t>Vagyonleltári jelentések</t>
  </si>
  <si>
    <t>Pályázatok</t>
  </si>
  <si>
    <t>Temetőügyek</t>
  </si>
  <si>
    <t xml:space="preserve">3 - </t>
  </si>
  <si>
    <t>Levelezés</t>
  </si>
  <si>
    <t>Anya- és családkönyvi levelezés</t>
  </si>
  <si>
    <t>Ingatlanadók, felértékelések …</t>
  </si>
  <si>
    <t>Bérleti szerződések</t>
  </si>
  <si>
    <t>Közüzemi szerzdődések …</t>
  </si>
  <si>
    <t>Szolgáltatási és támogatási szerz. …</t>
  </si>
  <si>
    <t>Ellenőrzési jegyzőkönyvek …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</si>
  <si>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</si>
  <si>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</si>
  <si>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</si>
  <si>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</si>
  <si>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</si>
  <si>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</si>
  <si>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</si>
  <si>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</si>
  <si>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</si>
  <si>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</si>
  <si>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</si>
  <si>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Levelezés (egyházkerületi, egyházmegyei, egyházközségi, világi
hatóságokkal, magánszemélyekkel)</t>
  </si>
  <si>
    <t>Anya- és családkönyvi levelezés és adatvédelmi nyilatkozatok</t>
  </si>
  <si>
    <t>Vagyonleltári jelentések, leltárívek, selejtezési jegyzőkönyvek</t>
  </si>
  <si>
    <t>Ingatlanadók, felértékelések, kockázatfelmérések, biztosítások</t>
  </si>
  <si>
    <t>Költségvetések, költségvetés-módosítások, számadások</t>
  </si>
  <si>
    <t>Közüzemi szerződések (energia, telekommunikáció, víz és csatoma)</t>
  </si>
  <si>
    <t>Szolgáltatási és támogatási szerződések</t>
  </si>
  <si>
    <t>Ellenőrzési jegyzőkönyvek (belső, gazdasági bizottsági és felsőbb hatósági)</t>
  </si>
  <si>
    <t>6/1.</t>
  </si>
  <si>
    <t>6/4.</t>
  </si>
  <si>
    <t>13/1.</t>
  </si>
  <si>
    <t>13/2.</t>
  </si>
  <si>
    <t>13/3.</t>
  </si>
  <si>
    <t xml:space="preserve">4 - </t>
  </si>
  <si>
    <t xml:space="preserve">8 - </t>
  </si>
  <si>
    <t xml:space="preserve">6/1 - </t>
  </si>
  <si>
    <t xml:space="preserve">6/2 - </t>
  </si>
  <si>
    <t xml:space="preserve">13/1 - </t>
  </si>
  <si>
    <t xml:space="preserve">13/2 - </t>
  </si>
  <si>
    <t xml:space="preserve">13/3 - </t>
  </si>
  <si>
    <t>Választók névjegyzéke</t>
  </si>
  <si>
    <t xml:space="preserve"> / </t>
  </si>
  <si>
    <t>Iratgyűjtő
száma</t>
  </si>
  <si>
    <t>Szám</t>
  </si>
  <si>
    <t>Ügykör megnevezése</t>
  </si>
  <si>
    <t/>
  </si>
  <si>
    <t>Rövid megnevezés a lenyílóba</t>
  </si>
  <si>
    <t>É.Á.</t>
  </si>
  <si>
    <t>F. Á.</t>
  </si>
  <si>
    <t>Egyházi alkalmazottak személyi iratgyűjtői</t>
  </si>
  <si>
    <t>Leltári ügyek</t>
  </si>
  <si>
    <t>É. Á.</t>
  </si>
  <si>
    <t>6/2.</t>
  </si>
  <si>
    <t>Birtokívek, birtoklevelek, telekkönyvi kivonatok, adóazonosítókivonat („cod fiscal”), gépkocsik törzskönyve</t>
  </si>
  <si>
    <t>F. Á</t>
  </si>
  <si>
    <t>6/3.</t>
  </si>
  <si>
    <t>Alapeszközök nyilvántartó lapjai</t>
  </si>
  <si>
    <t>6/5.</t>
  </si>
  <si>
    <t>Részvények és banki kötvények</t>
  </si>
  <si>
    <t>6/6.</t>
  </si>
  <si>
    <t>Pecsétnyomók nyilvántartása</t>
  </si>
  <si>
    <t>6/7.</t>
  </si>
  <si>
    <t>Anyagraktári ügyek</t>
  </si>
  <si>
    <t>Műemlékek, műkincsek, történeti értékű tárgyak</t>
  </si>
  <si>
    <t>Pénzügyi igazoló iratok</t>
  </si>
  <si>
    <t>9/1.</t>
  </si>
  <si>
    <t>Pénztári igazoló iratok (készpénz): kifizetési bizonylat (nyugta), számla, pénztárnapló („kasszakönyv”), kifizetést kísérő irat</t>
  </si>
  <si>
    <t>9/2.</t>
  </si>
  <si>
    <t>Banki igazoló iratok: átutalási szelvény, számla, számlakivonat, banknapló, megrendelőlap</t>
  </si>
  <si>
    <t>Csoportnapló</t>
  </si>
  <si>
    <t>Fizetési jegyzékek</t>
  </si>
  <si>
    <t>Munkavédelem, tűzvédelem</t>
  </si>
  <si>
    <t>Szerződések</t>
  </si>
  <si>
    <t>13 1.</t>
  </si>
  <si>
    <t>13 2.</t>
  </si>
  <si>
    <t>13 3.</t>
  </si>
  <si>
    <t>Egyházközségi egyesületek és alapítványok – statútuma, hivatalos adatai, bírósági kivonatok</t>
  </si>
  <si>
    <t>Gyülekezeti kiadványok, aprónyomtatványok, rendezvények dokumentumai</t>
  </si>
  <si>
    <t>F.Á. – folyamatosan állandó (folyamatosan vezetjük, amíg az irattartó megtelik)</t>
  </si>
  <si>
    <t>É.Á. – évente állandó (évente lezárjuk az iratmennyiségtől függetlenül)</t>
  </si>
  <si>
    <t xml:space="preserve">I. </t>
  </si>
  <si>
    <t>Presbiteri gyűlések jegyzőkönyvei</t>
  </si>
  <si>
    <t xml:space="preserve">II. </t>
  </si>
  <si>
    <t>Közgyűlési jegyzőkönyvek</t>
  </si>
  <si>
    <t xml:space="preserve">III. </t>
  </si>
  <si>
    <t>Anyakönyvek</t>
  </si>
  <si>
    <t xml:space="preserve">III/1. </t>
  </si>
  <si>
    <t>Keresztelési anyakönyv</t>
  </si>
  <si>
    <t xml:space="preserve">III/2. </t>
  </si>
  <si>
    <t>Konfirmálási anyakönyv</t>
  </si>
  <si>
    <t xml:space="preserve">III/3. </t>
  </si>
  <si>
    <t>Esketési anyakönyv</t>
  </si>
  <si>
    <t xml:space="preserve">III/4. </t>
  </si>
  <si>
    <t>Temetési anyakönyv</t>
  </si>
  <si>
    <t xml:space="preserve">III/5. </t>
  </si>
  <si>
    <t>Át- és kitértek anyakönyve</t>
  </si>
  <si>
    <t xml:space="preserve">IV. </t>
  </si>
  <si>
    <t>Családkönyv és az elektronikus nyilvántartás nyomtatott és bekötött lapjai</t>
  </si>
  <si>
    <t xml:space="preserve">V. </t>
  </si>
  <si>
    <t>Be- és kiköltözöttek nyilvántartása</t>
  </si>
  <si>
    <t xml:space="preserve">VI. </t>
  </si>
  <si>
    <t>Lelkipásztori munkanapló</t>
  </si>
  <si>
    <t xml:space="preserve">VII. </t>
  </si>
  <si>
    <t>Iktatókönyv</t>
  </si>
  <si>
    <t xml:space="preserve">VIII. </t>
  </si>
  <si>
    <t>Aranykönyv</t>
  </si>
  <si>
    <t xml:space="preserve">IX. </t>
  </si>
  <si>
    <t>Historia Domus</t>
  </si>
  <si>
    <t xml:space="preserve">X. </t>
  </si>
  <si>
    <t>Leltárak – (Registrul numerelor de inventar)</t>
  </si>
  <si>
    <t xml:space="preserve">XI. </t>
  </si>
  <si>
    <t>Főkönyv (Registru jurnal)</t>
  </si>
  <si>
    <t xml:space="preserve">XII. </t>
  </si>
  <si>
    <t>Belmissziós szövetségek jegyző- vagy emlékkönyvei</t>
  </si>
  <si>
    <t xml:space="preserve">XII/1. </t>
  </si>
  <si>
    <t>Nőszövetség</t>
  </si>
  <si>
    <t xml:space="preserve">XII/2. </t>
  </si>
  <si>
    <t>IKE</t>
  </si>
  <si>
    <t xml:space="preserve">XII/3. </t>
  </si>
  <si>
    <t>Dalárdák, dalkörök, zenekarok</t>
  </si>
  <si>
    <t>Egyházközségi ügykörjegyzék 2024-től - A. kötetes anyag</t>
  </si>
  <si>
    <t>Egyházközségi ügykörjegyzék 2024-től - B. szálas iratok</t>
  </si>
  <si>
    <t>Megjegyzés:</t>
  </si>
  <si>
    <t>Ebben az oszlopban található ügykörhöz tartozó iratokat iktatjuk, ezek a ügyköri megnevezések érhetőek el a lenyílóban. A többi iratot iktató szám nélkül fűzzük le a megfelelő iratgyűjtőbe.</t>
  </si>
  <si>
    <t>Cím
Kitől/Kinek</t>
  </si>
  <si>
    <t>Védett cella, nem szerkeszthető</t>
  </si>
  <si>
    <t>Védelem nélküli cella, ide lehet írni</t>
  </si>
  <si>
    <t>Világoskék sor: válaszlevél, az előző sorral azonos iktatószámmal</t>
  </si>
  <si>
    <t>Zöld sor: következő év  - az előző sorhoz képest, az iktatószám előlről kezdődik.</t>
  </si>
  <si>
    <t>Világosszürke sor - kapott levelek</t>
  </si>
  <si>
    <t xml:space="preserve">14 - </t>
  </si>
  <si>
    <t xml:space="preserve">15 - </t>
  </si>
  <si>
    <t xml:space="preserve">17 -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</si>
</sst>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[$-40E]mmm/\ d\.;@"/>
  </numFmts>
  <fonts count="27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6"/>
      <color theme="1"/>
      <name val="Times New Roman"/>
      <family val="1"/>
      <charset val="238"/>
    </font>
    <font>
      <sz val="10"/>
      <color theme="1"/>
      <name val="Times New Roman"/>
      <family val="1"/>
      <charset val="238"/>
    </font>
    <font>
      <b/>
      <sz val="12"/>
      <color rgb="FFFF0000"/>
      <name val="Calibri"/>
      <family val="2"/>
      <charset val="238"/>
      <scheme val="minor"/>
    </font>
    <font>
      <sz val="9"/>
      <color theme="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9"/>
      <color rgb="FFFF0000"/>
      <name val="Calibri"/>
      <family val="2"/>
      <charset val="238"/>
      <scheme val="minor"/>
    </font>
    <font>
      <sz val="11"/>
      <color theme="1"/>
      <name val="Arial Narrow"/>
      <family val="2"/>
      <charset val="238"/>
    </font>
    <font>
      <b/>
      <sz val="14"/>
      <color theme="1"/>
      <name val="Arial Narrow"/>
      <family val="2"/>
      <charset val="238"/>
    </font>
    <font>
      <b/>
      <sz val="12"/>
      <color theme="1"/>
      <name val="Arial Narrow"/>
      <family val="2"/>
      <charset val="238"/>
    </font>
    <font>
      <sz val="10"/>
      <color theme="1"/>
      <name val="Arial Narrow"/>
      <family val="2"/>
      <charset val="238"/>
    </font>
    <font>
      <sz val="9"/>
      <color indexed="81"/>
      <name val="Tahoma"/>
      <family val="2"/>
      <charset val="238"/>
    </font>
    <font>
      <sz val="14"/>
      <color theme="9" tint="-0.499984740745262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CFE8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0">
    <xf numFmtId="0" fontId="0" fillId="0" borderId="0" xfId="0"/>
    <xf numFmtId="0" fontId="2" fillId="0" borderId="0" xfId="0" applyFont="1" applyProtection="1">
      <protection hidden="1"/>
    </xf>
    <xf numFmtId="14" fontId="2" fillId="0" borderId="0" xfId="0" applyNumberFormat="1" applyFont="1" applyProtection="1">
      <protection hidden="1"/>
    </xf>
    <xf numFmtId="0" fontId="2" fillId="0" borderId="0" xfId="0" applyFont="1" applyAlignment="1" applyProtection="1">
      <alignment vertical="top" wrapText="1"/>
      <protection hidden="1"/>
    </xf>
    <xf numFmtId="0" fontId="2" fillId="0" borderId="0" xfId="0" applyFont="1" applyAlignment="1" applyProtection="1">
      <alignment horizontal="right" vertical="top" shrinkToFit="1"/>
      <protection hidden="1"/>
    </xf>
    <xf numFmtId="0" fontId="1" fillId="0" borderId="0" xfId="0" applyFont="1" applyAlignment="1" applyProtection="1">
      <alignment wrapText="1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14" fontId="0" fillId="0" borderId="0" xfId="0" applyNumberFormat="1" applyProtection="1">
      <protection hidden="1"/>
    </xf>
    <xf numFmtId="16" fontId="0" fillId="0" borderId="0" xfId="0" applyNumberFormat="1" applyProtection="1">
      <protection hidden="1"/>
    </xf>
    <xf numFmtId="0" fontId="13" fillId="0" borderId="0" xfId="0" applyFont="1" applyProtection="1">
      <protection hidden="1"/>
    </xf>
    <xf numFmtId="0" fontId="13" fillId="0" borderId="0" xfId="0" applyFont="1" applyAlignment="1" applyProtection="1">
      <alignment vertical="top"/>
      <protection hidden="1"/>
    </xf>
    <xf numFmtId="165" fontId="13" fillId="0" borderId="0" xfId="0" applyNumberFormat="1" applyFont="1" applyAlignment="1" applyProtection="1">
      <alignment horizontal="left" vertical="top" shrinkToFit="1"/>
      <protection hidden="1"/>
    </xf>
    <xf numFmtId="0" fontId="13" fillId="0" borderId="0" xfId="0" applyFont="1" applyAlignment="1" applyProtection="1">
      <alignment vertical="top" shrinkToFit="1"/>
      <protection hidden="1"/>
    </xf>
    <xf numFmtId="0" fontId="13" fillId="0" borderId="0" xfId="0" applyFont="1" applyAlignment="1" applyProtection="1">
      <alignment vertical="top" wrapText="1"/>
      <protection hidden="1"/>
    </xf>
    <xf numFmtId="0" fontId="2" fillId="0" borderId="0" xfId="0" applyFont="1" applyAlignment="1" applyProtection="1">
      <alignment vertical="top" shrinkToFit="1"/>
      <protection hidden="1"/>
    </xf>
    <xf numFmtId="165" fontId="2" fillId="0" borderId="0" xfId="0" applyNumberFormat="1" applyFont="1" applyAlignment="1" applyProtection="1">
      <alignment horizontal="left" vertical="top" shrinkToFit="1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2" xfId="0" applyFont="1" applyBorder="1" applyAlignment="1" applyProtection="1">
      <alignment vertical="center" wrapText="1"/>
      <protection hidden="1"/>
    </xf>
    <xf numFmtId="164" fontId="16" fillId="0" borderId="2" xfId="0" applyNumberFormat="1" applyFont="1" applyBorder="1" applyAlignment="1" applyProtection="1">
      <alignment vertical="center" wrapText="1"/>
      <protection hidden="1"/>
    </xf>
    <xf numFmtId="49" fontId="0" fillId="0" borderId="0" xfId="0" applyNumberFormat="1" applyProtection="1">
      <protection hidden="1"/>
    </xf>
    <xf numFmtId="0" fontId="6" fillId="0" borderId="2" xfId="0" applyFont="1" applyBorder="1" applyAlignment="1" applyProtection="1">
      <alignment vertical="top" wrapText="1"/>
      <protection hidden="1"/>
    </xf>
    <xf numFmtId="164" fontId="6" fillId="0" borderId="2" xfId="0" applyNumberFormat="1" applyFont="1" applyBorder="1" applyAlignment="1" applyProtection="1">
      <alignment vertical="top" wrapText="1"/>
      <protection hidden="1"/>
    </xf>
    <xf numFmtId="49" fontId="6" fillId="0" borderId="2" xfId="0" applyNumberFormat="1" applyFont="1" applyBorder="1" applyAlignment="1" applyProtection="1">
      <alignment vertical="top" wrapText="1"/>
      <protection hidden="1"/>
    </xf>
    <xf numFmtId="14" fontId="0" fillId="0" borderId="2" xfId="0" applyNumberForma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2" xfId="0" applyBorder="1" applyAlignment="1" applyProtection="1">
      <alignment horizontal="left"/>
      <protection locked="0"/>
    </xf>
    <xf numFmtId="49" fontId="0" fillId="0" borderId="2" xfId="0" applyNumberFormat="1" applyBorder="1" applyAlignment="1" applyProtection="1">
      <alignment horizontal="left" wrapText="1"/>
      <protection locked="0"/>
    </xf>
    <xf numFmtId="0" fontId="11" fillId="0" borderId="2" xfId="1" applyBorder="1" applyAlignment="1" applyProtection="1">
      <alignment shrinkToFit="1"/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shrinkToFit="1"/>
      <protection locked="0"/>
    </xf>
    <xf numFmtId="14" fontId="0" fillId="0" borderId="2" xfId="0" applyNumberFormat="1" applyBorder="1" applyProtection="1">
      <protection locked="0"/>
    </xf>
    <xf numFmtId="0" fontId="0" fillId="2" borderId="2" xfId="0" applyFill="1" applyBorder="1" applyAlignment="1" applyProtection="1">
      <alignment vertical="center" wrapText="1"/>
      <protection hidden="1"/>
    </xf>
    <xf numFmtId="0" fontId="0" fillId="2" borderId="2" xfId="0" applyFill="1" applyBorder="1" applyAlignment="1" applyProtection="1">
      <alignment horizontal="left" vertical="center" wrapText="1"/>
      <protection hidden="1"/>
    </xf>
    <xf numFmtId="0" fontId="11" fillId="2" borderId="2" xfId="1" applyFill="1" applyBorder="1" applyAlignment="1" applyProtection="1">
      <alignment vertical="center" shrinkToFit="1"/>
      <protection hidden="1"/>
    </xf>
    <xf numFmtId="0" fontId="10" fillId="2" borderId="2" xfId="0" applyFont="1" applyFill="1" applyBorder="1" applyAlignment="1" applyProtection="1">
      <alignment horizontal="right" shrinkToFit="1"/>
      <protection hidden="1"/>
    </xf>
    <xf numFmtId="0" fontId="1" fillId="0" borderId="0" xfId="0" applyFont="1" applyProtection="1">
      <protection hidden="1"/>
    </xf>
    <xf numFmtId="0" fontId="20" fillId="0" borderId="2" xfId="0" applyFont="1" applyBorder="1" applyAlignment="1" applyProtection="1">
      <alignment horizontal="left" wrapText="1"/>
      <protection locked="0"/>
    </xf>
    <xf numFmtId="0" fontId="0" fillId="2" borderId="2" xfId="0" applyFill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right"/>
      <protection hidden="1"/>
    </xf>
    <xf numFmtId="0" fontId="0" fillId="2" borderId="2" xfId="0" applyFill="1" applyBorder="1" applyAlignment="1" applyProtection="1">
      <alignment horizontal="left" indent="1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right" vertical="top"/>
      <protection hidden="1"/>
    </xf>
    <xf numFmtId="0" fontId="22" fillId="3" borderId="2" xfId="0" applyFont="1" applyFill="1" applyBorder="1" applyAlignment="1" applyProtection="1">
      <alignment horizontal="center"/>
      <protection locked="0"/>
    </xf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0" fontId="23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Protection="1">
      <protection hidden="1"/>
    </xf>
    <xf numFmtId="0" fontId="24" fillId="0" borderId="2" xfId="0" applyFont="1" applyBorder="1" applyProtection="1">
      <protection hidden="1"/>
    </xf>
    <xf numFmtId="0" fontId="23" fillId="0" borderId="2" xfId="0" applyFont="1" applyBorder="1" applyAlignment="1" applyProtection="1">
      <alignment vertical="top"/>
      <protection hidden="1"/>
    </xf>
    <xf numFmtId="0" fontId="23" fillId="0" borderId="2" xfId="0" applyFont="1" applyBorder="1" applyAlignment="1" applyProtection="1">
      <alignment vertical="top" wrapText="1"/>
      <protection hidden="1"/>
    </xf>
    <xf numFmtId="0" fontId="23" fillId="6" borderId="2" xfId="0" applyFont="1" applyFill="1" applyBorder="1" applyAlignment="1" applyProtection="1">
      <alignment vertical="top" wrapText="1"/>
      <protection hidden="1"/>
    </xf>
    <xf numFmtId="0" fontId="23" fillId="6" borderId="0" xfId="0" applyFont="1" applyFill="1" applyProtection="1">
      <protection hidden="1"/>
    </xf>
    <xf numFmtId="0" fontId="23" fillId="0" borderId="2" xfId="0" applyFont="1" applyBorder="1" applyProtection="1">
      <protection hidden="1"/>
    </xf>
    <xf numFmtId="0" fontId="23" fillId="6" borderId="2" xfId="0" applyFont="1" applyFill="1" applyBorder="1" applyProtection="1">
      <protection hidden="1"/>
    </xf>
    <xf numFmtId="0" fontId="25" fillId="0" borderId="0" xfId="0" applyFont="1" applyProtection="1">
      <protection hidden="1"/>
    </xf>
    <xf numFmtId="0" fontId="23" fillId="0" borderId="2" xfId="0" applyFont="1" applyBorder="1" applyAlignment="1" applyProtection="1">
      <alignment horizontal="left" indent="5"/>
      <protection hidden="1"/>
    </xf>
    <xf numFmtId="0" fontId="23" fillId="0" borderId="13" xfId="0" applyFont="1" applyBorder="1" applyAlignment="1" applyProtection="1">
      <alignment horizontal="right"/>
      <protection hidden="1"/>
    </xf>
    <xf numFmtId="0" fontId="23" fillId="0" borderId="14" xfId="0" applyFont="1" applyBorder="1" applyAlignment="1" applyProtection="1">
      <alignment horizontal="right"/>
      <protection hidden="1"/>
    </xf>
    <xf numFmtId="0" fontId="23" fillId="0" borderId="15" xfId="0" applyFont="1" applyBorder="1" applyAlignment="1" applyProtection="1">
      <alignment horizontal="right"/>
      <protection hidden="1"/>
    </xf>
    <xf numFmtId="0" fontId="23" fillId="0" borderId="11" xfId="0" applyFont="1" applyBorder="1" applyAlignment="1" applyProtection="1">
      <alignment horizontal="right"/>
      <protection hidden="1"/>
    </xf>
    <xf numFmtId="0" fontId="23" fillId="0" borderId="12" xfId="0" applyFont="1" applyBorder="1" applyProtection="1">
      <protection hidden="1"/>
    </xf>
    <xf numFmtId="0" fontId="23" fillId="0" borderId="13" xfId="0" applyFont="1" applyBorder="1" applyProtection="1">
      <protection hidden="1"/>
    </xf>
    <xf numFmtId="0" fontId="23" fillId="0" borderId="14" xfId="0" applyFont="1" applyBorder="1" applyProtection="1">
      <protection hidden="1"/>
    </xf>
    <xf numFmtId="0" fontId="23" fillId="0" borderId="15" xfId="0" applyFont="1" applyBorder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0" borderId="0" xfId="0" applyFont="1" applyAlignment="1" applyProtection="1">
      <alignment wrapText="1"/>
      <protection hidden="1"/>
    </xf>
    <xf numFmtId="0" fontId="23" fillId="0" borderId="11" xfId="0" applyFont="1" applyBorder="1" applyAlignment="1" applyProtection="1">
      <alignment vertical="top"/>
      <protection hidden="1"/>
    </xf>
    <xf numFmtId="0" fontId="23" fillId="0" borderId="12" xfId="0" applyFont="1" applyBorder="1" applyAlignment="1" applyProtection="1">
      <alignment vertical="top"/>
      <protection hidden="1"/>
    </xf>
    <xf numFmtId="0" fontId="23" fillId="0" borderId="11" xfId="0" applyFont="1" applyBorder="1" applyProtection="1">
      <protection hidden="1"/>
    </xf>
    <xf numFmtId="0" fontId="23" fillId="0" borderId="14" xfId="0" applyFont="1" applyBorder="1" applyAlignment="1" applyProtection="1">
      <alignment vertical="top"/>
      <protection hidden="1"/>
    </xf>
    <xf numFmtId="0" fontId="23" fillId="0" borderId="15" xfId="0" applyFont="1" applyBorder="1" applyAlignment="1" applyProtection="1">
      <alignment vertical="top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left"/>
      <protection hidden="1"/>
    </xf>
    <xf numFmtId="14" fontId="0" fillId="0" borderId="2" xfId="0" applyNumberFormat="1" applyBorder="1" applyAlignment="1" applyProtection="1">
      <alignment wrapText="1"/>
      <protection locked="0" hidden="1"/>
    </xf>
    <xf numFmtId="0" fontId="0" fillId="2" borderId="2" xfId="0" applyFill="1" applyBorder="1"/>
    <xf numFmtId="0" fontId="0" fillId="7" borderId="2" xfId="0" applyFill="1" applyBorder="1"/>
    <xf numFmtId="0" fontId="5" fillId="0" borderId="2" xfId="0" applyFont="1" applyBorder="1" applyAlignment="1" applyProtection="1">
      <alignment horizontal="center" vertical="center"/>
      <protection hidden="1"/>
    </xf>
    <xf numFmtId="0" fontId="25" fillId="3" borderId="2" xfId="0" applyFont="1" applyFill="1" applyBorder="1" applyAlignment="1" applyProtection="1">
      <alignment horizontal="center"/>
      <protection locked="0"/>
    </xf>
    <xf numFmtId="0" fontId="25" fillId="3" borderId="2" xfId="0" applyFont="1" applyFill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/>
      <protection locked="0" hidden="1"/>
    </xf>
    <xf numFmtId="0" fontId="1" fillId="0" borderId="12" xfId="0" applyFont="1" applyBorder="1" applyAlignment="1" applyProtection="1">
      <alignment horizontal="right"/>
      <protection hidden="1"/>
    </xf>
    <xf numFmtId="0" fontId="1" fillId="0" borderId="2" xfId="0" applyFont="1" applyBorder="1" applyAlignment="1" applyProtection="1">
      <alignment horizontal="right"/>
      <protection hidden="1"/>
    </xf>
    <xf numFmtId="0" fontId="3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7" fillId="0" borderId="12" xfId="0" applyFont="1" applyBorder="1" applyAlignment="1" applyProtection="1">
      <alignment horizontal="right" wrapText="1"/>
      <protection hidden="1"/>
    </xf>
    <xf numFmtId="0" fontId="7" fillId="0" borderId="2" xfId="0" applyFont="1" applyBorder="1" applyAlignment="1" applyProtection="1">
      <alignment horizontal="right" wrapText="1"/>
      <protection hidden="1"/>
    </xf>
    <xf numFmtId="0" fontId="12" fillId="0" borderId="16" xfId="0" applyFont="1" applyBorder="1" applyAlignment="1" applyProtection="1">
      <alignment vertical="top" wrapText="1"/>
      <protection hidden="1"/>
    </xf>
    <xf numFmtId="0" fontId="8" fillId="0" borderId="17" xfId="0" applyFont="1" applyBorder="1" applyAlignment="1" applyProtection="1">
      <alignment vertical="top" wrapText="1"/>
      <protection hidden="1"/>
    </xf>
    <xf numFmtId="0" fontId="8" fillId="0" borderId="18" xfId="0" applyFont="1" applyBorder="1" applyAlignment="1" applyProtection="1">
      <alignment vertical="top" wrapText="1"/>
      <protection hidden="1"/>
    </xf>
    <xf numFmtId="0" fontId="8" fillId="0" borderId="19" xfId="0" applyFont="1" applyBorder="1" applyAlignment="1" applyProtection="1">
      <alignment vertical="top" wrapText="1"/>
      <protection hidden="1"/>
    </xf>
    <xf numFmtId="0" fontId="8" fillId="0" borderId="0" xfId="0" applyFont="1" applyAlignment="1" applyProtection="1">
      <alignment vertical="top" wrapText="1"/>
      <protection hidden="1"/>
    </xf>
    <xf numFmtId="0" fontId="8" fillId="0" borderId="20" xfId="0" applyFont="1" applyBorder="1" applyAlignment="1" applyProtection="1">
      <alignment vertical="top" wrapText="1"/>
      <protection hidden="1"/>
    </xf>
    <xf numFmtId="0" fontId="8" fillId="0" borderId="21" xfId="0" applyFont="1" applyBorder="1" applyAlignment="1" applyProtection="1">
      <alignment vertical="top" wrapText="1"/>
      <protection hidden="1"/>
    </xf>
    <xf numFmtId="0" fontId="8" fillId="0" borderId="22" xfId="0" applyFont="1" applyBorder="1" applyAlignment="1" applyProtection="1">
      <alignment vertical="top" wrapText="1"/>
      <protection hidden="1"/>
    </xf>
    <xf numFmtId="0" fontId="8" fillId="0" borderId="23" xfId="0" applyFont="1" applyBorder="1" applyAlignment="1" applyProtection="1">
      <alignment vertical="top" wrapText="1"/>
      <protection hidden="1"/>
    </xf>
    <xf numFmtId="0" fontId="14" fillId="0" borderId="0" xfId="0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21" fillId="0" borderId="2" xfId="0" applyFont="1" applyBorder="1" applyAlignment="1" applyProtection="1">
      <alignment horizontal="right"/>
      <protection hidden="1"/>
    </xf>
    <xf numFmtId="0" fontId="9" fillId="0" borderId="2" xfId="0" applyFont="1" applyBorder="1" applyAlignment="1" applyProtection="1">
      <alignment horizontal="right" wrapText="1"/>
      <protection hidden="1"/>
    </xf>
    <xf numFmtId="0" fontId="12" fillId="0" borderId="3" xfId="0" applyFont="1" applyBorder="1" applyAlignment="1" applyProtection="1">
      <alignment horizontal="left" vertical="top" wrapText="1"/>
      <protection hidden="1"/>
    </xf>
    <xf numFmtId="0" fontId="12" fillId="0" borderId="4" xfId="0" applyFont="1" applyBorder="1" applyAlignment="1" applyProtection="1">
      <alignment horizontal="left" vertical="top" wrapText="1"/>
      <protection hidden="1"/>
    </xf>
    <xf numFmtId="0" fontId="12" fillId="0" borderId="5" xfId="0" applyFont="1" applyBorder="1" applyAlignment="1" applyProtection="1">
      <alignment horizontal="left" vertical="top" wrapText="1"/>
      <protection hidden="1"/>
    </xf>
    <xf numFmtId="0" fontId="12" fillId="0" borderId="6" xfId="0" applyFont="1" applyBorder="1" applyAlignment="1" applyProtection="1">
      <alignment horizontal="left" vertical="top" wrapText="1"/>
      <protection hidden="1"/>
    </xf>
    <xf numFmtId="0" fontId="12" fillId="0" borderId="1" xfId="0" applyFont="1" applyBorder="1" applyAlignment="1" applyProtection="1">
      <alignment horizontal="left" vertical="top" wrapText="1"/>
      <protection hidden="1"/>
    </xf>
    <xf numFmtId="0" fontId="12" fillId="0" borderId="7" xfId="0" applyFont="1" applyBorder="1" applyAlignment="1" applyProtection="1">
      <alignment horizontal="left" vertical="top" wrapText="1"/>
      <protection hidden="1"/>
    </xf>
    <xf numFmtId="0" fontId="12" fillId="0" borderId="8" xfId="0" applyFont="1" applyBorder="1" applyAlignment="1" applyProtection="1">
      <alignment horizontal="left" vertical="top" wrapText="1"/>
      <protection hidden="1"/>
    </xf>
    <xf numFmtId="0" fontId="12" fillId="0" borderId="9" xfId="0" applyFont="1" applyBorder="1" applyAlignment="1" applyProtection="1">
      <alignment horizontal="left" vertical="top" wrapText="1"/>
      <protection hidden="1"/>
    </xf>
    <xf numFmtId="0" fontId="12" fillId="0" borderId="10" xfId="0" applyFont="1" applyBorder="1" applyAlignment="1" applyProtection="1">
      <alignment horizontal="left" vertical="top" wrapText="1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11" xfId="0" applyFont="1" applyBorder="1" applyAlignment="1" applyProtection="1">
      <alignment horizontal="center"/>
      <protection hidden="1"/>
    </xf>
    <xf numFmtId="0" fontId="24" fillId="0" borderId="12" xfId="0" applyFont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</cellXfs>
  <cellStyles count="2">
    <cellStyle name="Hivatkozás" xfId="1" builtinId="8"/>
    <cellStyle name="Normál" xfId="0" builtinId="0"/>
  </cellStyles>
  <dxfs count="13">
    <dxf>
      <font>
        <color auto="1"/>
      </font>
      <fill>
        <patternFill>
          <bgColor rgb="FFCCFFCC"/>
        </patternFill>
      </fill>
    </dxf>
    <dxf>
      <font>
        <color rgb="FFCCFFCC"/>
      </font>
      <fill>
        <patternFill>
          <bgColor rgb="FFCCFFCC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auto="1"/>
      </font>
      <fill>
        <patternFill>
          <bgColor rgb="FFCCFFCC"/>
        </patternFill>
      </fill>
    </dxf>
    <dxf>
      <font>
        <color rgb="FFCCFFCC"/>
      </font>
      <fill>
        <patternFill>
          <bgColor rgb="FFCCFFCC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rgb="FF8CFE8C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rgb="FFCCECFF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rgb="FF8CFE8C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CCFFCC"/>
      <color rgb="FFCCFFFF"/>
      <color rgb="FF8CFE8C"/>
      <color rgb="FFC1FFE0"/>
      <color rgb="FFCCECFF"/>
      <color rgb="FF9999FF"/>
      <color rgb="FFFF0000"/>
      <color rgb="FFD6FEDA"/>
      <color rgb="FF99FFCC"/>
      <color rgb="FFF0C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5000"/>
  <sheetViews>
    <sheetView showGridLines="0" showRowColHeaders="0" tabSelected="1" zoomScale="110" zoomScaleNormal="110" workbookViewId="0">
      <pane xSplit="5" ySplit="2" topLeftCell="F3" activePane="bottomRight" state="frozen"/>
      <selection activeCell="E1" sqref="E1"/>
      <selection pane="topRight" activeCell="F1" sqref="F1"/>
      <selection pane="bottomLeft" activeCell="E3" sqref="E3"/>
      <selection pane="bottomRight" activeCell="F3" sqref="F3"/>
    </sheetView>
  </sheetViews>
  <sheetFormatPr defaultColWidth="0" defaultRowHeight="15" zeroHeight="1" x14ac:dyDescent="0.25"/>
  <cols>
    <col min="1" max="3" width="8.85546875" style="6" hidden="1" customWidth="1"/>
    <col min="4" max="4" width="8.5703125" style="6" hidden="1" customWidth="1"/>
    <col min="5" max="5" width="12.28515625" style="6" bestFit="1" customWidth="1"/>
    <col min="6" max="7" width="11.28515625" style="6" customWidth="1"/>
    <col min="8" max="8" width="15.140625" style="6" customWidth="1"/>
    <col min="9" max="9" width="37.5703125" style="6" bestFit="1" customWidth="1"/>
    <col min="10" max="10" width="41.42578125" style="6" customWidth="1"/>
    <col min="11" max="11" width="34.28515625" style="6" customWidth="1"/>
    <col min="12" max="12" width="6.140625" style="6" bestFit="1" customWidth="1"/>
    <col min="13" max="13" width="7.5703125" style="6" customWidth="1"/>
    <col min="14" max="14" width="13.7109375" style="6" customWidth="1"/>
    <col min="15" max="15" width="29.7109375" style="6" customWidth="1"/>
    <col min="16" max="17" width="9.5703125" style="6" bestFit="1" customWidth="1"/>
    <col min="18" max="19" width="8.85546875" style="6" hidden="1" customWidth="1"/>
    <col min="20" max="20" width="9.7109375" style="6" hidden="1" customWidth="1"/>
    <col min="21" max="24" width="8.85546875" style="6" hidden="1" customWidth="1"/>
    <col min="25" max="26" width="10.140625" style="6" hidden="1" customWidth="1"/>
    <col min="27" max="29" width="8.85546875" style="6" hidden="1" customWidth="1"/>
    <col min="30" max="30" width="26.28515625" style="6" hidden="1" customWidth="1"/>
    <col min="31" max="31" width="8.85546875" style="6" hidden="1" customWidth="1"/>
    <col min="32" max="32" width="61.42578125" style="6" hidden="1" customWidth="1"/>
    <col min="33" max="16384" width="8.85546875" style="6" hidden="1"/>
  </cols>
  <sheetData>
    <row r="1" spans="2:35" ht="18.75" x14ac:dyDescent="0.3">
      <c r="B1" s="6">
        <f>Nyomtathato_iktato!I1</f>
        <v>2025</v>
      </c>
      <c r="C1" s="17" t="str">
        <f>Irattari_leltar!I2</f>
        <v>Levelezés</v>
      </c>
      <c r="E1" s="75"/>
      <c r="F1" s="85" t="str">
        <f>R2</f>
        <v>IDE KELL BEÍRNI AZ EGYHÁZKÖZSÉG NEVÉT</v>
      </c>
      <c r="G1" s="85"/>
      <c r="H1" s="85"/>
      <c r="I1" s="85"/>
      <c r="J1" s="85"/>
      <c r="K1" s="85"/>
      <c r="L1" s="85"/>
      <c r="M1" s="85"/>
      <c r="N1" s="76"/>
      <c r="O1" s="75"/>
      <c r="P1" s="77"/>
      <c r="Q1" s="77"/>
      <c r="R1" s="6" t="s">
        <v>39</v>
      </c>
      <c r="T1" s="36"/>
      <c r="V1" s="6" t="s">
        <v>25</v>
      </c>
      <c r="W1" s="6" t="s">
        <v>7</v>
      </c>
      <c r="Y1" s="6">
        <f>Irattari_leltar!I1</f>
        <v>2025</v>
      </c>
      <c r="Z1" s="8">
        <v>46023</v>
      </c>
      <c r="AD1" s="6" t="s">
        <v>47</v>
      </c>
      <c r="AE1" s="6" t="s">
        <v>5</v>
      </c>
      <c r="AF1" s="6" t="s">
        <v>65</v>
      </c>
      <c r="AG1" s="6" t="s">
        <v>40</v>
      </c>
      <c r="AH1" s="6">
        <v>1</v>
      </c>
      <c r="AI1" s="6" t="s">
        <v>3</v>
      </c>
    </row>
    <row r="2" spans="2:35" ht="60" x14ac:dyDescent="0.25">
      <c r="D2" s="7"/>
      <c r="E2" s="32" t="s">
        <v>0</v>
      </c>
      <c r="F2" s="32" t="s">
        <v>1</v>
      </c>
      <c r="G2" s="32" t="s">
        <v>35</v>
      </c>
      <c r="H2" s="32" t="s">
        <v>36</v>
      </c>
      <c r="I2" s="32" t="s">
        <v>169</v>
      </c>
      <c r="J2" s="32" t="s">
        <v>8</v>
      </c>
      <c r="K2" s="33" t="s">
        <v>2</v>
      </c>
      <c r="L2" s="32" t="s">
        <v>4</v>
      </c>
      <c r="M2" s="33" t="s">
        <v>10</v>
      </c>
      <c r="N2" s="33" t="s">
        <v>31</v>
      </c>
      <c r="O2" s="34" t="s">
        <v>32</v>
      </c>
      <c r="P2" s="33" t="s">
        <v>87</v>
      </c>
      <c r="Q2" s="38" t="s">
        <v>9</v>
      </c>
      <c r="R2" s="6" t="s">
        <v>38</v>
      </c>
      <c r="T2" s="36"/>
      <c r="Y2" s="8">
        <f>MAX($Z$1,F3:F10000)</f>
        <v>46023</v>
      </c>
      <c r="Z2" s="8">
        <v>45657</v>
      </c>
      <c r="AD2" s="6" t="s">
        <v>48</v>
      </c>
      <c r="AE2" s="6" t="s">
        <v>6</v>
      </c>
      <c r="AF2" s="6" t="s">
        <v>66</v>
      </c>
      <c r="AG2" s="6" t="s">
        <v>41</v>
      </c>
      <c r="AH2" s="6">
        <v>2</v>
      </c>
    </row>
    <row r="3" spans="2:35" ht="18.75" x14ac:dyDescent="0.3">
      <c r="B3" s="6">
        <f>IF($B$1=YEAR(F3),B2+1,B2)</f>
        <v>0</v>
      </c>
      <c r="C3" s="6">
        <f>IF(AND($C$1=K3,$Y$1=YEAR(F3)),C2+1,C2)</f>
        <v>0</v>
      </c>
      <c r="D3" s="6">
        <v>1</v>
      </c>
      <c r="E3" s="35" t="str">
        <f t="shared" ref="E3:E66" si="0">IF(D3&lt;&gt;"",D3&amp;" - "&amp;YEAR(F3),"")</f>
        <v>1 - 1900</v>
      </c>
      <c r="F3" s="24"/>
      <c r="G3" s="25"/>
      <c r="H3" s="78" t="str">
        <f t="shared" ref="H3:H66" si="1">IF(G3&lt;&gt;"",F3,"")</f>
        <v/>
      </c>
      <c r="I3" s="25"/>
      <c r="J3" s="25"/>
      <c r="K3" s="26"/>
      <c r="L3" s="26"/>
      <c r="M3" s="37"/>
      <c r="N3" s="27"/>
      <c r="O3" s="28"/>
      <c r="P3" s="39" t="str">
        <f>IF(OR(T3=0,RIGHT(T3,1)=$W$1),"",VLOOKUP(K3,$AD$1:$AK$15,5,FALSE))</f>
        <v/>
      </c>
      <c r="Q3" s="40" t="str">
        <f>IF(OR(T3=0,RIGHT(T3,1)=$W$1),"",COUNTIF($T$3:T3,T3))</f>
        <v/>
      </c>
      <c r="S3" s="6">
        <f>IF(AND($C$1=K3,$Y$1=YEAR(F3)),C3,0)</f>
        <v>0</v>
      </c>
      <c r="T3" s="36">
        <f>IF(F3=0,0,YEAR(F3)&amp;VLOOKUP(K3,$AD$1:$AE$15,2,FALSE))</f>
        <v>0</v>
      </c>
      <c r="V3" s="6">
        <f>IF(AND(YEAR(F3)=$Y$1,K3=$C$1,L3&amp;$V$1&lt;&gt;$V$1),L3,IF(AND(YEAR(F3)=$Y$1,K3=$C$1),1,0))</f>
        <v>0</v>
      </c>
      <c r="Y3" s="8">
        <f>IF(M3&lt;&gt;$AI$1,$Y$2,F2)</f>
        <v>46023</v>
      </c>
      <c r="AD3" s="6" t="s">
        <v>42</v>
      </c>
      <c r="AE3" s="6" t="s">
        <v>54</v>
      </c>
      <c r="AF3" s="6" t="s">
        <v>42</v>
      </c>
      <c r="AG3" s="9" t="s">
        <v>46</v>
      </c>
      <c r="AH3" s="6">
        <v>3</v>
      </c>
    </row>
    <row r="4" spans="2:35" ht="18.75" x14ac:dyDescent="0.3">
      <c r="B4" s="6">
        <f t="shared" ref="B4:B67" si="2">IF($B$1=YEAR(F4),B3+1,B3)</f>
        <v>0</v>
      </c>
      <c r="C4" s="6">
        <f t="shared" ref="C4:C67" si="3">IF(AND($C$1=K4,$Y$1=YEAR(F4)),C3+1,C3)</f>
        <v>0</v>
      </c>
      <c r="D4" s="6" t="str">
        <f t="shared" ref="D4:D67" si="4">IF(F4&lt;&gt;0,IF(YEAR(F4)&lt;&gt;YEAR(F3),1,IF(M4=$AI$1,D3,D3+1)),"")</f>
        <v/>
      </c>
      <c r="E4" s="35" t="str">
        <f t="shared" si="0"/>
        <v/>
      </c>
      <c r="F4" s="24"/>
      <c r="G4" s="29"/>
      <c r="H4" s="78" t="str">
        <f t="shared" si="1"/>
        <v/>
      </c>
      <c r="I4" s="25"/>
      <c r="J4" s="25"/>
      <c r="K4" s="26"/>
      <c r="L4" s="26"/>
      <c r="M4" s="37"/>
      <c r="N4" s="27"/>
      <c r="O4" s="30"/>
      <c r="P4" s="39" t="str">
        <f t="shared" ref="P4:P67" si="5">IF(OR(T4=0,RIGHT(T4,1)=$W$1),"",VLOOKUP(K4,$AD$1:$AK$15,5,FALSE))</f>
        <v/>
      </c>
      <c r="Q4" s="40" t="str">
        <f>IF(OR(T4=0,RIGHT(T4,1)=$W$1),"",COUNTIF($T$3:T4,T4))</f>
        <v/>
      </c>
      <c r="S4" s="6">
        <f t="shared" ref="S4:S67" si="6">IF(AND($C$1=K4,$Y$1=YEAR(F4)),C4,0)</f>
        <v>0</v>
      </c>
      <c r="T4" s="36">
        <f t="shared" ref="T4:T67" si="7">IF(F4=0,0,YEAR(F4)&amp;VLOOKUP(K4,$AD$1:$AE$15,2,FALSE))</f>
        <v>0</v>
      </c>
      <c r="V4" s="6">
        <f t="shared" ref="V4:V67" si="8">IF(AND(YEAR(F4)=$Y$1,K4=$C$1,L4&amp;$V$1&lt;&gt;$V$1),L4,IF(AND(YEAR(F4)=$Y$1,K4=$C$1),1,0))</f>
        <v>0</v>
      </c>
      <c r="Y4" s="8">
        <f t="shared" ref="Y4:Y67" si="9">IF(M4&lt;&gt;$AI$1,$Y$2,F3)</f>
        <v>46023</v>
      </c>
      <c r="AD4" s="6" t="s">
        <v>85</v>
      </c>
      <c r="AE4" s="6" t="s">
        <v>55</v>
      </c>
      <c r="AF4" s="6" t="s">
        <v>85</v>
      </c>
      <c r="AG4" s="6" t="s">
        <v>78</v>
      </c>
      <c r="AH4" s="6">
        <v>4</v>
      </c>
    </row>
    <row r="5" spans="2:35" ht="18.75" x14ac:dyDescent="0.3">
      <c r="B5" s="6">
        <f t="shared" si="2"/>
        <v>0</v>
      </c>
      <c r="C5" s="6">
        <f t="shared" si="3"/>
        <v>0</v>
      </c>
      <c r="D5" s="6" t="str">
        <f t="shared" si="4"/>
        <v/>
      </c>
      <c r="E5" s="35" t="str">
        <f t="shared" si="0"/>
        <v/>
      </c>
      <c r="F5" s="24"/>
      <c r="G5" s="29"/>
      <c r="H5" s="78" t="str">
        <f t="shared" si="1"/>
        <v/>
      </c>
      <c r="I5" s="25"/>
      <c r="J5" s="25"/>
      <c r="K5" s="26"/>
      <c r="L5" s="26"/>
      <c r="M5" s="37"/>
      <c r="N5" s="27"/>
      <c r="O5" s="30"/>
      <c r="P5" s="39" t="str">
        <f t="shared" si="5"/>
        <v/>
      </c>
      <c r="Q5" s="40" t="str">
        <f>IF(OR(T5=0,RIGHT(T5,1)=$W$1),"",COUNTIF($T$3:T5,T5))</f>
        <v/>
      </c>
      <c r="S5" s="6">
        <f t="shared" si="6"/>
        <v>0</v>
      </c>
      <c r="T5" s="36">
        <f t="shared" si="7"/>
        <v>0</v>
      </c>
      <c r="V5" s="6">
        <f t="shared" si="8"/>
        <v>0</v>
      </c>
      <c r="Y5" s="8">
        <f t="shared" si="9"/>
        <v>46023</v>
      </c>
      <c r="AD5" s="6" t="s">
        <v>43</v>
      </c>
      <c r="AE5" s="6" t="s">
        <v>56</v>
      </c>
      <c r="AF5" s="6" t="s">
        <v>67</v>
      </c>
      <c r="AG5" s="20" t="s">
        <v>80</v>
      </c>
      <c r="AH5" s="6" t="s">
        <v>73</v>
      </c>
    </row>
    <row r="6" spans="2:35" ht="18.75" x14ac:dyDescent="0.3">
      <c r="B6" s="6">
        <f t="shared" si="2"/>
        <v>0</v>
      </c>
      <c r="C6" s="6">
        <f t="shared" si="3"/>
        <v>0</v>
      </c>
      <c r="D6" s="6" t="str">
        <f t="shared" si="4"/>
        <v/>
      </c>
      <c r="E6" s="35" t="str">
        <f t="shared" si="0"/>
        <v/>
      </c>
      <c r="F6" s="24"/>
      <c r="G6" s="29"/>
      <c r="H6" s="78" t="str">
        <f t="shared" si="1"/>
        <v/>
      </c>
      <c r="I6" s="25"/>
      <c r="J6" s="25"/>
      <c r="K6" s="26"/>
      <c r="L6" s="26"/>
      <c r="M6" s="37"/>
      <c r="N6" s="27"/>
      <c r="O6" s="30"/>
      <c r="P6" s="39" t="str">
        <f t="shared" si="5"/>
        <v/>
      </c>
      <c r="Q6" s="40" t="str">
        <f>IF(OR(T6=0,RIGHT(T6,1)=$W$1),"",COUNTIF($T$3:T6,T6))</f>
        <v/>
      </c>
      <c r="S6" s="6">
        <f t="shared" si="6"/>
        <v>0</v>
      </c>
      <c r="T6" s="36">
        <f t="shared" si="7"/>
        <v>0</v>
      </c>
      <c r="V6" s="6">
        <f t="shared" si="8"/>
        <v>0</v>
      </c>
      <c r="Y6" s="8">
        <f t="shared" si="9"/>
        <v>46023</v>
      </c>
      <c r="AD6" s="6" t="s">
        <v>49</v>
      </c>
      <c r="AE6" s="6" t="s">
        <v>57</v>
      </c>
      <c r="AF6" s="6" t="s">
        <v>68</v>
      </c>
      <c r="AG6" s="20" t="s">
        <v>81</v>
      </c>
      <c r="AH6" s="6" t="s">
        <v>74</v>
      </c>
    </row>
    <row r="7" spans="2:35" ht="18.75" x14ac:dyDescent="0.3">
      <c r="B7" s="6">
        <f t="shared" si="2"/>
        <v>0</v>
      </c>
      <c r="C7" s="6">
        <f t="shared" si="3"/>
        <v>0</v>
      </c>
      <c r="D7" s="6" t="str">
        <f t="shared" si="4"/>
        <v/>
      </c>
      <c r="E7" s="35" t="str">
        <f t="shared" si="0"/>
        <v/>
      </c>
      <c r="F7" s="24"/>
      <c r="G7" s="29"/>
      <c r="H7" s="78" t="str">
        <f t="shared" si="1"/>
        <v/>
      </c>
      <c r="I7" s="25"/>
      <c r="J7" s="25"/>
      <c r="K7" s="26"/>
      <c r="L7" s="26"/>
      <c r="M7" s="37"/>
      <c r="N7" s="27"/>
      <c r="O7" s="30"/>
      <c r="P7" s="39" t="str">
        <f t="shared" si="5"/>
        <v/>
      </c>
      <c r="Q7" s="40" t="str">
        <f>IF(OR(T7=0,RIGHT(T7,1)=$W$1),"",COUNTIF($T$3:T7,T7))</f>
        <v/>
      </c>
      <c r="S7" s="6">
        <f t="shared" si="6"/>
        <v>0</v>
      </c>
      <c r="T7" s="36">
        <f t="shared" si="7"/>
        <v>0</v>
      </c>
      <c r="V7" s="6">
        <f t="shared" si="8"/>
        <v>0</v>
      </c>
      <c r="Y7" s="8">
        <f t="shared" si="9"/>
        <v>46023</v>
      </c>
      <c r="AD7" s="6" t="s">
        <v>17</v>
      </c>
      <c r="AE7" s="6" t="s">
        <v>58</v>
      </c>
      <c r="AF7" s="6" t="s">
        <v>69</v>
      </c>
      <c r="AG7" s="9" t="s">
        <v>79</v>
      </c>
      <c r="AH7" s="6">
        <v>8</v>
      </c>
    </row>
    <row r="8" spans="2:35" ht="18.75" x14ac:dyDescent="0.3">
      <c r="B8" s="6">
        <f t="shared" si="2"/>
        <v>0</v>
      </c>
      <c r="C8" s="6">
        <f t="shared" si="3"/>
        <v>0</v>
      </c>
      <c r="D8" s="6" t="str">
        <f t="shared" si="4"/>
        <v/>
      </c>
      <c r="E8" s="35" t="str">
        <f t="shared" si="0"/>
        <v/>
      </c>
      <c r="F8" s="24"/>
      <c r="G8" s="29"/>
      <c r="H8" s="78" t="str">
        <f t="shared" si="1"/>
        <v/>
      </c>
      <c r="I8" s="25"/>
      <c r="J8" s="25"/>
      <c r="K8" s="26"/>
      <c r="L8" s="26"/>
      <c r="M8" s="37"/>
      <c r="N8" s="27"/>
      <c r="O8" s="30"/>
      <c r="P8" s="39" t="str">
        <f t="shared" si="5"/>
        <v/>
      </c>
      <c r="Q8" s="40" t="str">
        <f>IF(OR(T8=0,RIGHT(T8,1)=$W$1),"",COUNTIF($T$3:T8,T8))</f>
        <v/>
      </c>
      <c r="S8" s="6">
        <f t="shared" si="6"/>
        <v>0</v>
      </c>
      <c r="T8" s="36">
        <f t="shared" si="7"/>
        <v>0</v>
      </c>
      <c r="V8" s="6">
        <f t="shared" si="8"/>
        <v>0</v>
      </c>
      <c r="Y8" s="8">
        <f t="shared" si="9"/>
        <v>46023</v>
      </c>
      <c r="AD8" s="6" t="s">
        <v>50</v>
      </c>
      <c r="AE8" s="6" t="s">
        <v>59</v>
      </c>
      <c r="AF8" s="6" t="s">
        <v>50</v>
      </c>
      <c r="AG8" s="20" t="s">
        <v>82</v>
      </c>
      <c r="AH8" s="20" t="s">
        <v>75</v>
      </c>
    </row>
    <row r="9" spans="2:35" ht="18.75" x14ac:dyDescent="0.3">
      <c r="B9" s="6">
        <f t="shared" si="2"/>
        <v>0</v>
      </c>
      <c r="C9" s="6">
        <f t="shared" si="3"/>
        <v>0</v>
      </c>
      <c r="D9" s="6" t="str">
        <f t="shared" si="4"/>
        <v/>
      </c>
      <c r="E9" s="35" t="str">
        <f t="shared" si="0"/>
        <v/>
      </c>
      <c r="F9" s="24"/>
      <c r="G9" s="29"/>
      <c r="H9" s="78" t="str">
        <f t="shared" si="1"/>
        <v/>
      </c>
      <c r="I9" s="25"/>
      <c r="J9" s="25"/>
      <c r="K9" s="26"/>
      <c r="L9" s="26"/>
      <c r="M9" s="37"/>
      <c r="N9" s="27"/>
      <c r="O9" s="30"/>
      <c r="P9" s="39" t="str">
        <f t="shared" si="5"/>
        <v/>
      </c>
      <c r="Q9" s="40" t="str">
        <f>IF(OR(T9=0,RIGHT(T9,1)=$W$1),"",COUNTIF($T$3:T9,T9))</f>
        <v/>
      </c>
      <c r="S9" s="6">
        <f t="shared" si="6"/>
        <v>0</v>
      </c>
      <c r="T9" s="36">
        <f t="shared" si="7"/>
        <v>0</v>
      </c>
      <c r="V9" s="6">
        <f t="shared" si="8"/>
        <v>0</v>
      </c>
      <c r="Y9" s="8">
        <f t="shared" si="9"/>
        <v>46023</v>
      </c>
      <c r="AD9" s="6" t="s">
        <v>51</v>
      </c>
      <c r="AE9" s="6" t="s">
        <v>60</v>
      </c>
      <c r="AF9" s="6" t="s">
        <v>70</v>
      </c>
      <c r="AG9" s="20" t="s">
        <v>83</v>
      </c>
      <c r="AH9" s="20" t="s">
        <v>76</v>
      </c>
    </row>
    <row r="10" spans="2:35" ht="18.75" x14ac:dyDescent="0.3">
      <c r="B10" s="6">
        <f t="shared" si="2"/>
        <v>0</v>
      </c>
      <c r="C10" s="6">
        <f t="shared" si="3"/>
        <v>0</v>
      </c>
      <c r="D10" s="6" t="str">
        <f t="shared" si="4"/>
        <v/>
      </c>
      <c r="E10" s="35" t="str">
        <f t="shared" si="0"/>
        <v/>
      </c>
      <c r="F10" s="24"/>
      <c r="G10" s="29"/>
      <c r="H10" s="78" t="str">
        <f t="shared" si="1"/>
        <v/>
      </c>
      <c r="I10" s="25"/>
      <c r="J10" s="25"/>
      <c r="K10" s="26"/>
      <c r="L10" s="26"/>
      <c r="M10" s="37"/>
      <c r="N10" s="27"/>
      <c r="O10" s="30"/>
      <c r="P10" s="39" t="str">
        <f t="shared" si="5"/>
        <v/>
      </c>
      <c r="Q10" s="40" t="str">
        <f>IF(OR(T10=0,RIGHT(T10,1)=$W$1),"",COUNTIF($T$3:T10,T10))</f>
        <v/>
      </c>
      <c r="S10" s="6">
        <f t="shared" si="6"/>
        <v>0</v>
      </c>
      <c r="T10" s="36">
        <f t="shared" si="7"/>
        <v>0</v>
      </c>
      <c r="V10" s="6">
        <f t="shared" si="8"/>
        <v>0</v>
      </c>
      <c r="Y10" s="8">
        <f t="shared" si="9"/>
        <v>46023</v>
      </c>
      <c r="AD10" s="6" t="s">
        <v>52</v>
      </c>
      <c r="AE10" s="6" t="s">
        <v>61</v>
      </c>
      <c r="AF10" s="6" t="s">
        <v>71</v>
      </c>
      <c r="AG10" s="20" t="s">
        <v>84</v>
      </c>
      <c r="AH10" s="20" t="s">
        <v>77</v>
      </c>
    </row>
    <row r="11" spans="2:35" ht="18.75" x14ac:dyDescent="0.3">
      <c r="B11" s="6">
        <f t="shared" si="2"/>
        <v>0</v>
      </c>
      <c r="C11" s="6">
        <f t="shared" si="3"/>
        <v>0</v>
      </c>
      <c r="D11" s="6" t="str">
        <f t="shared" si="4"/>
        <v/>
      </c>
      <c r="E11" s="35" t="str">
        <f t="shared" si="0"/>
        <v/>
      </c>
      <c r="F11" s="24"/>
      <c r="G11" s="29"/>
      <c r="H11" s="78" t="str">
        <f t="shared" si="1"/>
        <v/>
      </c>
      <c r="I11" s="25"/>
      <c r="J11" s="25"/>
      <c r="K11" s="26"/>
      <c r="L11" s="26"/>
      <c r="M11" s="37"/>
      <c r="N11" s="27"/>
      <c r="O11" s="30"/>
      <c r="P11" s="39" t="str">
        <f t="shared" si="5"/>
        <v/>
      </c>
      <c r="Q11" s="40" t="str">
        <f>IF(OR(T11=0,RIGHT(T11,1)=$W$1),"",COUNTIF($T$3:T11,T11))</f>
        <v/>
      </c>
      <c r="S11" s="6">
        <f t="shared" si="6"/>
        <v>0</v>
      </c>
      <c r="T11" s="36">
        <f t="shared" si="7"/>
        <v>0</v>
      </c>
      <c r="V11" s="6">
        <f t="shared" si="8"/>
        <v>0</v>
      </c>
      <c r="Y11" s="8">
        <f t="shared" si="9"/>
        <v>46023</v>
      </c>
      <c r="AD11" s="6" t="s">
        <v>44</v>
      </c>
      <c r="AE11" s="6" t="s">
        <v>62</v>
      </c>
      <c r="AF11" s="6" t="s">
        <v>44</v>
      </c>
      <c r="AG11" s="9" t="s">
        <v>175</v>
      </c>
      <c r="AH11" s="6">
        <v>14</v>
      </c>
    </row>
    <row r="12" spans="2:35" ht="18.75" x14ac:dyDescent="0.3">
      <c r="B12" s="6">
        <f t="shared" si="2"/>
        <v>0</v>
      </c>
      <c r="C12" s="6">
        <f t="shared" si="3"/>
        <v>0</v>
      </c>
      <c r="D12" s="6" t="str">
        <f t="shared" si="4"/>
        <v/>
      </c>
      <c r="E12" s="35" t="str">
        <f t="shared" si="0"/>
        <v/>
      </c>
      <c r="F12" s="24"/>
      <c r="G12" s="29"/>
      <c r="H12" s="78" t="str">
        <f t="shared" si="1"/>
        <v/>
      </c>
      <c r="I12" s="25"/>
      <c r="J12" s="25"/>
      <c r="K12" s="26"/>
      <c r="L12" s="26"/>
      <c r="M12" s="37"/>
      <c r="N12" s="27"/>
      <c r="O12" s="30"/>
      <c r="P12" s="39" t="str">
        <f t="shared" si="5"/>
        <v/>
      </c>
      <c r="Q12" s="40" t="str">
        <f>IF(OR(T12=0,RIGHT(T12,1)=$W$1),"",COUNTIF($T$3:T12,T12))</f>
        <v/>
      </c>
      <c r="S12" s="6">
        <f t="shared" si="6"/>
        <v>0</v>
      </c>
      <c r="T12" s="36">
        <f t="shared" si="7"/>
        <v>0</v>
      </c>
      <c r="V12" s="6">
        <f t="shared" si="8"/>
        <v>0</v>
      </c>
      <c r="Y12" s="8">
        <f t="shared" si="9"/>
        <v>46023</v>
      </c>
      <c r="AD12" s="6" t="s">
        <v>53</v>
      </c>
      <c r="AE12" s="6" t="s">
        <v>63</v>
      </c>
      <c r="AF12" s="6" t="s">
        <v>72</v>
      </c>
      <c r="AG12" s="6" t="s">
        <v>176</v>
      </c>
      <c r="AH12" s="6">
        <v>15</v>
      </c>
    </row>
    <row r="13" spans="2:35" ht="18.75" x14ac:dyDescent="0.3">
      <c r="B13" s="6">
        <f t="shared" si="2"/>
        <v>0</v>
      </c>
      <c r="C13" s="6">
        <f t="shared" si="3"/>
        <v>0</v>
      </c>
      <c r="D13" s="6" t="str">
        <f t="shared" si="4"/>
        <v/>
      </c>
      <c r="E13" s="35" t="str">
        <f t="shared" si="0"/>
        <v/>
      </c>
      <c r="F13" s="24"/>
      <c r="G13" s="29"/>
      <c r="H13" s="78" t="str">
        <f t="shared" si="1"/>
        <v/>
      </c>
      <c r="I13" s="25"/>
      <c r="J13" s="25"/>
      <c r="K13" s="26"/>
      <c r="L13" s="26"/>
      <c r="M13" s="37"/>
      <c r="N13" s="27"/>
      <c r="O13" s="30"/>
      <c r="P13" s="39" t="str">
        <f t="shared" si="5"/>
        <v/>
      </c>
      <c r="Q13" s="40" t="str">
        <f>IF(OR(T13=0,RIGHT(T13,1)=$W$1),"",COUNTIF($T$3:T13,T13))</f>
        <v/>
      </c>
      <c r="S13" s="6">
        <f t="shared" si="6"/>
        <v>0</v>
      </c>
      <c r="T13" s="36">
        <f t="shared" si="7"/>
        <v>0</v>
      </c>
      <c r="V13" s="6">
        <f t="shared" si="8"/>
        <v>0</v>
      </c>
      <c r="Y13" s="8">
        <f t="shared" si="9"/>
        <v>46023</v>
      </c>
      <c r="AD13" s="6" t="s">
        <v>45</v>
      </c>
      <c r="AE13" s="6" t="s">
        <v>64</v>
      </c>
      <c r="AF13" s="6" t="s">
        <v>45</v>
      </c>
      <c r="AG13" s="9" t="s">
        <v>177</v>
      </c>
      <c r="AH13" s="6">
        <v>17</v>
      </c>
    </row>
    <row r="14" spans="2:35" ht="18.75" x14ac:dyDescent="0.3">
      <c r="B14" s="6">
        <f t="shared" si="2"/>
        <v>0</v>
      </c>
      <c r="C14" s="6">
        <f t="shared" si="3"/>
        <v>0</v>
      </c>
      <c r="D14" s="6" t="str">
        <f t="shared" si="4"/>
        <v/>
      </c>
      <c r="E14" s="35" t="str">
        <f t="shared" si="0"/>
        <v/>
      </c>
      <c r="F14" s="24"/>
      <c r="G14" s="29"/>
      <c r="H14" s="78" t="str">
        <f t="shared" si="1"/>
        <v/>
      </c>
      <c r="I14" s="25"/>
      <c r="J14" s="25"/>
      <c r="K14" s="26"/>
      <c r="L14" s="26"/>
      <c r="M14" s="37"/>
      <c r="N14" s="27"/>
      <c r="O14" s="30"/>
      <c r="P14" s="39" t="str">
        <f t="shared" si="5"/>
        <v/>
      </c>
      <c r="Q14" s="40" t="str">
        <f>IF(OR(T14=0,RIGHT(T14,1)=$W$1),"",COUNTIF($T$3:T14,T14))</f>
        <v/>
      </c>
      <c r="S14" s="6">
        <f t="shared" si="6"/>
        <v>0</v>
      </c>
      <c r="T14" s="36">
        <f t="shared" si="7"/>
        <v>0</v>
      </c>
      <c r="V14" s="6">
        <f t="shared" si="8"/>
        <v>0</v>
      </c>
      <c r="Y14" s="8">
        <f t="shared" si="9"/>
        <v>46023</v>
      </c>
      <c r="AD14" s="6">
        <v>0</v>
      </c>
      <c r="AE14" s="6" t="s">
        <v>7</v>
      </c>
      <c r="AH14" s="6" t="str">
        <f>$AJ$1&amp;$AJ$2</f>
        <v/>
      </c>
    </row>
    <row r="15" spans="2:35" ht="18.75" x14ac:dyDescent="0.3">
      <c r="B15" s="6">
        <f t="shared" si="2"/>
        <v>0</v>
      </c>
      <c r="C15" s="6">
        <f t="shared" si="3"/>
        <v>0</v>
      </c>
      <c r="D15" s="6" t="str">
        <f t="shared" si="4"/>
        <v/>
      </c>
      <c r="E15" s="35" t="str">
        <f t="shared" si="0"/>
        <v/>
      </c>
      <c r="F15" s="24"/>
      <c r="G15" s="29"/>
      <c r="H15" s="78" t="str">
        <f t="shared" si="1"/>
        <v/>
      </c>
      <c r="I15" s="25"/>
      <c r="J15" s="25"/>
      <c r="K15" s="26"/>
      <c r="L15" s="26"/>
      <c r="M15" s="37"/>
      <c r="N15" s="27"/>
      <c r="O15" s="30"/>
      <c r="P15" s="39" t="str">
        <f t="shared" si="5"/>
        <v/>
      </c>
      <c r="Q15" s="40" t="str">
        <f>IF(OR(T15=0,RIGHT(T15,1)=$W$1),"",COUNTIF($T$3:T15,T15))</f>
        <v/>
      </c>
      <c r="S15" s="6">
        <f t="shared" si="6"/>
        <v>0</v>
      </c>
      <c r="T15" s="36">
        <f t="shared" si="7"/>
        <v>0</v>
      </c>
      <c r="V15" s="6">
        <f t="shared" si="8"/>
        <v>0</v>
      </c>
      <c r="Y15" s="8">
        <f t="shared" si="9"/>
        <v>46023</v>
      </c>
      <c r="AD15" s="6" t="str">
        <f>$AJ$1&amp;$AJ$2</f>
        <v/>
      </c>
      <c r="AE15" s="6" t="s">
        <v>7</v>
      </c>
      <c r="AH15" s="6" t="str">
        <f>$AJ$1&amp;$AJ$2</f>
        <v/>
      </c>
    </row>
    <row r="16" spans="2:35" ht="18.75" x14ac:dyDescent="0.3">
      <c r="B16" s="6">
        <f t="shared" si="2"/>
        <v>0</v>
      </c>
      <c r="C16" s="6">
        <f t="shared" si="3"/>
        <v>0</v>
      </c>
      <c r="D16" s="6" t="str">
        <f t="shared" si="4"/>
        <v/>
      </c>
      <c r="E16" s="35" t="str">
        <f t="shared" si="0"/>
        <v/>
      </c>
      <c r="F16" s="24"/>
      <c r="G16" s="29"/>
      <c r="H16" s="78" t="str">
        <f t="shared" si="1"/>
        <v/>
      </c>
      <c r="I16" s="25"/>
      <c r="J16" s="25"/>
      <c r="K16" s="26"/>
      <c r="L16" s="26"/>
      <c r="M16" s="37"/>
      <c r="N16" s="27"/>
      <c r="O16" s="30"/>
      <c r="P16" s="39" t="str">
        <f t="shared" si="5"/>
        <v/>
      </c>
      <c r="Q16" s="40" t="str">
        <f>IF(OR(T16=0,RIGHT(T16,1)=$W$1),"",COUNTIF($T$3:T16,T16))</f>
        <v/>
      </c>
      <c r="S16" s="6">
        <f t="shared" si="6"/>
        <v>0</v>
      </c>
      <c r="T16" s="36">
        <f t="shared" si="7"/>
        <v>0</v>
      </c>
      <c r="V16" s="6">
        <f t="shared" si="8"/>
        <v>0</v>
      </c>
      <c r="Y16" s="8">
        <f t="shared" si="9"/>
        <v>46023</v>
      </c>
    </row>
    <row r="17" spans="2:25" ht="18.75" x14ac:dyDescent="0.3">
      <c r="B17" s="6">
        <f t="shared" si="2"/>
        <v>0</v>
      </c>
      <c r="C17" s="6">
        <f t="shared" si="3"/>
        <v>0</v>
      </c>
      <c r="D17" s="6" t="str">
        <f t="shared" si="4"/>
        <v/>
      </c>
      <c r="E17" s="35" t="str">
        <f t="shared" si="0"/>
        <v/>
      </c>
      <c r="F17" s="24"/>
      <c r="G17" s="29"/>
      <c r="H17" s="78" t="str">
        <f t="shared" si="1"/>
        <v/>
      </c>
      <c r="I17" s="25"/>
      <c r="J17" s="25"/>
      <c r="K17" s="26"/>
      <c r="L17" s="26"/>
      <c r="M17" s="37"/>
      <c r="N17" s="27"/>
      <c r="O17" s="30"/>
      <c r="P17" s="39" t="str">
        <f t="shared" si="5"/>
        <v/>
      </c>
      <c r="Q17" s="40" t="str">
        <f>IF(OR(T17=0,RIGHT(T17,1)=$W$1),"",COUNTIF($T$3:T17,T17))</f>
        <v/>
      </c>
      <c r="S17" s="6">
        <f t="shared" si="6"/>
        <v>0</v>
      </c>
      <c r="T17" s="36">
        <f t="shared" si="7"/>
        <v>0</v>
      </c>
      <c r="V17" s="6">
        <f t="shared" si="8"/>
        <v>0</v>
      </c>
      <c r="Y17" s="8">
        <f t="shared" si="9"/>
        <v>46023</v>
      </c>
    </row>
    <row r="18" spans="2:25" ht="18.75" x14ac:dyDescent="0.3">
      <c r="B18" s="6">
        <f t="shared" si="2"/>
        <v>0</v>
      </c>
      <c r="C18" s="6">
        <f t="shared" si="3"/>
        <v>0</v>
      </c>
      <c r="D18" s="6" t="str">
        <f t="shared" si="4"/>
        <v/>
      </c>
      <c r="E18" s="35" t="str">
        <f t="shared" si="0"/>
        <v/>
      </c>
      <c r="F18" s="24"/>
      <c r="G18" s="29"/>
      <c r="H18" s="78" t="str">
        <f t="shared" si="1"/>
        <v/>
      </c>
      <c r="I18" s="25"/>
      <c r="J18" s="25"/>
      <c r="K18" s="26"/>
      <c r="L18" s="26"/>
      <c r="M18" s="37"/>
      <c r="N18" s="27"/>
      <c r="O18" s="30"/>
      <c r="P18" s="39" t="str">
        <f t="shared" si="5"/>
        <v/>
      </c>
      <c r="Q18" s="40" t="str">
        <f>IF(OR(T18=0,RIGHT(T18,1)=$W$1),"",COUNTIF($T$3:T18,T18))</f>
        <v/>
      </c>
      <c r="S18" s="6">
        <f t="shared" si="6"/>
        <v>0</v>
      </c>
      <c r="T18" s="36">
        <f t="shared" si="7"/>
        <v>0</v>
      </c>
      <c r="V18" s="6">
        <f t="shared" si="8"/>
        <v>0</v>
      </c>
      <c r="Y18" s="8">
        <f t="shared" si="9"/>
        <v>46023</v>
      </c>
    </row>
    <row r="19" spans="2:25" ht="18.75" x14ac:dyDescent="0.3">
      <c r="B19" s="6">
        <f t="shared" si="2"/>
        <v>0</v>
      </c>
      <c r="C19" s="6">
        <f t="shared" si="3"/>
        <v>0</v>
      </c>
      <c r="D19" s="6" t="str">
        <f t="shared" si="4"/>
        <v/>
      </c>
      <c r="E19" s="35" t="str">
        <f t="shared" si="0"/>
        <v/>
      </c>
      <c r="F19" s="24"/>
      <c r="G19" s="29"/>
      <c r="H19" s="78" t="str">
        <f t="shared" si="1"/>
        <v/>
      </c>
      <c r="I19" s="25"/>
      <c r="J19" s="25"/>
      <c r="K19" s="26"/>
      <c r="L19" s="26"/>
      <c r="M19" s="37"/>
      <c r="N19" s="27"/>
      <c r="O19" s="30"/>
      <c r="P19" s="39" t="str">
        <f t="shared" si="5"/>
        <v/>
      </c>
      <c r="Q19" s="40" t="str">
        <f>IF(OR(T19=0,RIGHT(T19,1)=$W$1),"",COUNTIF($T$3:T19,T19))</f>
        <v/>
      </c>
      <c r="S19" s="6">
        <f t="shared" si="6"/>
        <v>0</v>
      </c>
      <c r="T19" s="36">
        <f t="shared" si="7"/>
        <v>0</v>
      </c>
      <c r="V19" s="6">
        <f t="shared" si="8"/>
        <v>0</v>
      </c>
      <c r="Y19" s="8">
        <f t="shared" si="9"/>
        <v>46023</v>
      </c>
    </row>
    <row r="20" spans="2:25" ht="18.75" x14ac:dyDescent="0.3">
      <c r="B20" s="6">
        <f t="shared" si="2"/>
        <v>0</v>
      </c>
      <c r="C20" s="6">
        <f t="shared" si="3"/>
        <v>0</v>
      </c>
      <c r="D20" s="6" t="str">
        <f t="shared" si="4"/>
        <v/>
      </c>
      <c r="E20" s="35" t="str">
        <f t="shared" si="0"/>
        <v/>
      </c>
      <c r="F20" s="24"/>
      <c r="G20" s="29"/>
      <c r="H20" s="78" t="str">
        <f t="shared" si="1"/>
        <v/>
      </c>
      <c r="I20" s="25"/>
      <c r="J20" s="25"/>
      <c r="K20" s="26"/>
      <c r="L20" s="26"/>
      <c r="M20" s="37"/>
      <c r="N20" s="27"/>
      <c r="O20" s="30"/>
      <c r="P20" s="39" t="str">
        <f t="shared" si="5"/>
        <v/>
      </c>
      <c r="Q20" s="40" t="str">
        <f>IF(OR(T20=0,RIGHT(T20,1)=$W$1),"",COUNTIF($T$3:T20,T20))</f>
        <v/>
      </c>
      <c r="S20" s="6">
        <f t="shared" si="6"/>
        <v>0</v>
      </c>
      <c r="T20" s="36">
        <f t="shared" si="7"/>
        <v>0</v>
      </c>
      <c r="V20" s="6">
        <f t="shared" si="8"/>
        <v>0</v>
      </c>
      <c r="Y20" s="8">
        <f t="shared" si="9"/>
        <v>46023</v>
      </c>
    </row>
    <row r="21" spans="2:25" ht="18.75" x14ac:dyDescent="0.3">
      <c r="B21" s="6">
        <f t="shared" si="2"/>
        <v>0</v>
      </c>
      <c r="C21" s="6">
        <f t="shared" si="3"/>
        <v>0</v>
      </c>
      <c r="D21" s="6" t="str">
        <f t="shared" si="4"/>
        <v/>
      </c>
      <c r="E21" s="35" t="str">
        <f t="shared" si="0"/>
        <v/>
      </c>
      <c r="F21" s="24"/>
      <c r="G21" s="29"/>
      <c r="H21" s="78" t="str">
        <f t="shared" si="1"/>
        <v/>
      </c>
      <c r="I21" s="25"/>
      <c r="J21" s="25"/>
      <c r="K21" s="26"/>
      <c r="L21" s="26"/>
      <c r="M21" s="37"/>
      <c r="N21" s="27"/>
      <c r="O21" s="30"/>
      <c r="P21" s="39" t="str">
        <f t="shared" si="5"/>
        <v/>
      </c>
      <c r="Q21" s="40" t="str">
        <f>IF(OR(T21=0,RIGHT(T21,1)=$W$1),"",COUNTIF($T$3:T21,T21))</f>
        <v/>
      </c>
      <c r="S21" s="6">
        <f t="shared" si="6"/>
        <v>0</v>
      </c>
      <c r="T21" s="36">
        <f t="shared" si="7"/>
        <v>0</v>
      </c>
      <c r="V21" s="6">
        <f t="shared" si="8"/>
        <v>0</v>
      </c>
      <c r="Y21" s="8">
        <f t="shared" si="9"/>
        <v>46023</v>
      </c>
    </row>
    <row r="22" spans="2:25" ht="18.75" x14ac:dyDescent="0.3">
      <c r="B22" s="6">
        <f t="shared" si="2"/>
        <v>0</v>
      </c>
      <c r="C22" s="6">
        <f t="shared" si="3"/>
        <v>0</v>
      </c>
      <c r="D22" s="6" t="str">
        <f t="shared" si="4"/>
        <v/>
      </c>
      <c r="E22" s="35" t="str">
        <f t="shared" si="0"/>
        <v/>
      </c>
      <c r="F22" s="24"/>
      <c r="G22" s="29"/>
      <c r="H22" s="78" t="str">
        <f t="shared" si="1"/>
        <v/>
      </c>
      <c r="I22" s="25"/>
      <c r="J22" s="25"/>
      <c r="K22" s="26"/>
      <c r="L22" s="26"/>
      <c r="M22" s="37"/>
      <c r="N22" s="27"/>
      <c r="O22" s="30"/>
      <c r="P22" s="39" t="str">
        <f t="shared" si="5"/>
        <v/>
      </c>
      <c r="Q22" s="40" t="str">
        <f>IF(OR(T22=0,RIGHT(T22,1)=$W$1),"",COUNTIF($T$3:T22,T22))</f>
        <v/>
      </c>
      <c r="S22" s="6">
        <f t="shared" si="6"/>
        <v>0</v>
      </c>
      <c r="T22" s="36">
        <f t="shared" si="7"/>
        <v>0</v>
      </c>
      <c r="V22" s="6">
        <f t="shared" si="8"/>
        <v>0</v>
      </c>
      <c r="Y22" s="8">
        <f t="shared" si="9"/>
        <v>46023</v>
      </c>
    </row>
    <row r="23" spans="2:25" ht="18.75" x14ac:dyDescent="0.3">
      <c r="B23" s="6">
        <f t="shared" si="2"/>
        <v>0</v>
      </c>
      <c r="C23" s="6">
        <f t="shared" si="3"/>
        <v>0</v>
      </c>
      <c r="D23" s="6" t="str">
        <f t="shared" si="4"/>
        <v/>
      </c>
      <c r="E23" s="35" t="str">
        <f t="shared" si="0"/>
        <v/>
      </c>
      <c r="F23" s="24"/>
      <c r="G23" s="29"/>
      <c r="H23" s="78" t="str">
        <f t="shared" si="1"/>
        <v/>
      </c>
      <c r="I23" s="25"/>
      <c r="J23" s="25"/>
      <c r="K23" s="26"/>
      <c r="L23" s="26"/>
      <c r="M23" s="37"/>
      <c r="N23" s="27"/>
      <c r="O23" s="30"/>
      <c r="P23" s="39" t="str">
        <f t="shared" si="5"/>
        <v/>
      </c>
      <c r="Q23" s="40" t="str">
        <f>IF(OR(T23=0,RIGHT(T23,1)=$W$1),"",COUNTIF($T$3:T23,T23))</f>
        <v/>
      </c>
      <c r="S23" s="6">
        <f t="shared" si="6"/>
        <v>0</v>
      </c>
      <c r="T23" s="36">
        <f t="shared" si="7"/>
        <v>0</v>
      </c>
      <c r="V23" s="6">
        <f t="shared" si="8"/>
        <v>0</v>
      </c>
      <c r="Y23" s="8">
        <f t="shared" si="9"/>
        <v>46023</v>
      </c>
    </row>
    <row r="24" spans="2:25" ht="18.75" x14ac:dyDescent="0.3">
      <c r="B24" s="6">
        <f t="shared" si="2"/>
        <v>0</v>
      </c>
      <c r="C24" s="6">
        <f t="shared" si="3"/>
        <v>0</v>
      </c>
      <c r="D24" s="6" t="str">
        <f t="shared" si="4"/>
        <v/>
      </c>
      <c r="E24" s="35" t="str">
        <f t="shared" si="0"/>
        <v/>
      </c>
      <c r="F24" s="24"/>
      <c r="G24" s="29"/>
      <c r="H24" s="78" t="str">
        <f t="shared" si="1"/>
        <v/>
      </c>
      <c r="I24" s="25"/>
      <c r="J24" s="25"/>
      <c r="K24" s="26"/>
      <c r="L24" s="26"/>
      <c r="M24" s="37"/>
      <c r="N24" s="27"/>
      <c r="O24" s="30"/>
      <c r="P24" s="39" t="str">
        <f t="shared" si="5"/>
        <v/>
      </c>
      <c r="Q24" s="40" t="str">
        <f>IF(OR(T24=0,RIGHT(T24,1)=$W$1),"",COUNTIF($T$3:T24,T24))</f>
        <v/>
      </c>
      <c r="S24" s="6">
        <f t="shared" si="6"/>
        <v>0</v>
      </c>
      <c r="T24" s="36">
        <f t="shared" si="7"/>
        <v>0</v>
      </c>
      <c r="V24" s="6">
        <f t="shared" si="8"/>
        <v>0</v>
      </c>
      <c r="Y24" s="8">
        <f t="shared" si="9"/>
        <v>46023</v>
      </c>
    </row>
    <row r="25" spans="2:25" ht="18.75" x14ac:dyDescent="0.3">
      <c r="B25" s="6">
        <f t="shared" si="2"/>
        <v>0</v>
      </c>
      <c r="C25" s="6">
        <f t="shared" si="3"/>
        <v>0</v>
      </c>
      <c r="D25" s="6" t="str">
        <f t="shared" si="4"/>
        <v/>
      </c>
      <c r="E25" s="35" t="str">
        <f t="shared" si="0"/>
        <v/>
      </c>
      <c r="F25" s="24"/>
      <c r="G25" s="29"/>
      <c r="H25" s="78" t="str">
        <f t="shared" si="1"/>
        <v/>
      </c>
      <c r="I25" s="25"/>
      <c r="J25" s="25"/>
      <c r="K25" s="26"/>
      <c r="L25" s="26"/>
      <c r="M25" s="37"/>
      <c r="N25" s="27"/>
      <c r="O25" s="30"/>
      <c r="P25" s="39" t="str">
        <f t="shared" si="5"/>
        <v/>
      </c>
      <c r="Q25" s="40" t="str">
        <f>IF(OR(T25=0,RIGHT(T25,1)=$W$1),"",COUNTIF($T$3:T25,T25))</f>
        <v/>
      </c>
      <c r="S25" s="6">
        <f t="shared" si="6"/>
        <v>0</v>
      </c>
      <c r="T25" s="36">
        <f t="shared" si="7"/>
        <v>0</v>
      </c>
      <c r="V25" s="6">
        <f t="shared" si="8"/>
        <v>0</v>
      </c>
      <c r="Y25" s="8">
        <f t="shared" si="9"/>
        <v>46023</v>
      </c>
    </row>
    <row r="26" spans="2:25" ht="18.75" x14ac:dyDescent="0.3">
      <c r="B26" s="6">
        <f t="shared" si="2"/>
        <v>0</v>
      </c>
      <c r="C26" s="6">
        <f t="shared" si="3"/>
        <v>0</v>
      </c>
      <c r="D26" s="6" t="str">
        <f t="shared" si="4"/>
        <v/>
      </c>
      <c r="E26" s="35" t="str">
        <f t="shared" si="0"/>
        <v/>
      </c>
      <c r="F26" s="24"/>
      <c r="G26" s="29"/>
      <c r="H26" s="78" t="str">
        <f t="shared" si="1"/>
        <v/>
      </c>
      <c r="I26" s="25"/>
      <c r="J26" s="25"/>
      <c r="K26" s="26"/>
      <c r="L26" s="26"/>
      <c r="M26" s="37"/>
      <c r="N26" s="27"/>
      <c r="O26" s="30"/>
      <c r="P26" s="39" t="str">
        <f t="shared" si="5"/>
        <v/>
      </c>
      <c r="Q26" s="40" t="str">
        <f>IF(OR(T26=0,RIGHT(T26,1)=$W$1),"",COUNTIF($T$3:T26,T26))</f>
        <v/>
      </c>
      <c r="S26" s="6">
        <f t="shared" si="6"/>
        <v>0</v>
      </c>
      <c r="T26" s="36">
        <f t="shared" si="7"/>
        <v>0</v>
      </c>
      <c r="V26" s="6">
        <f t="shared" si="8"/>
        <v>0</v>
      </c>
      <c r="Y26" s="8">
        <f t="shared" si="9"/>
        <v>46023</v>
      </c>
    </row>
    <row r="27" spans="2:25" ht="18.75" x14ac:dyDescent="0.3">
      <c r="B27" s="6">
        <f t="shared" si="2"/>
        <v>0</v>
      </c>
      <c r="C27" s="6">
        <f t="shared" si="3"/>
        <v>0</v>
      </c>
      <c r="D27" s="6" t="str">
        <f t="shared" si="4"/>
        <v/>
      </c>
      <c r="E27" s="35" t="str">
        <f t="shared" si="0"/>
        <v/>
      </c>
      <c r="F27" s="24"/>
      <c r="G27" s="29"/>
      <c r="H27" s="78" t="str">
        <f t="shared" si="1"/>
        <v/>
      </c>
      <c r="I27" s="25"/>
      <c r="J27" s="25"/>
      <c r="K27" s="26"/>
      <c r="L27" s="26"/>
      <c r="M27" s="37"/>
      <c r="N27" s="27"/>
      <c r="O27" s="30"/>
      <c r="P27" s="39" t="str">
        <f t="shared" si="5"/>
        <v/>
      </c>
      <c r="Q27" s="40" t="str">
        <f>IF(OR(T27=0,RIGHT(T27,1)=$W$1),"",COUNTIF($T$3:T27,T27))</f>
        <v/>
      </c>
      <c r="S27" s="6">
        <f t="shared" si="6"/>
        <v>0</v>
      </c>
      <c r="T27" s="36">
        <f t="shared" si="7"/>
        <v>0</v>
      </c>
      <c r="V27" s="6">
        <f t="shared" si="8"/>
        <v>0</v>
      </c>
      <c r="Y27" s="8">
        <f t="shared" si="9"/>
        <v>46023</v>
      </c>
    </row>
    <row r="28" spans="2:25" ht="18.75" x14ac:dyDescent="0.3">
      <c r="B28" s="6">
        <f t="shared" si="2"/>
        <v>0</v>
      </c>
      <c r="C28" s="6">
        <f t="shared" si="3"/>
        <v>0</v>
      </c>
      <c r="D28" s="6" t="str">
        <f t="shared" si="4"/>
        <v/>
      </c>
      <c r="E28" s="35" t="str">
        <f t="shared" si="0"/>
        <v/>
      </c>
      <c r="F28" s="24"/>
      <c r="G28" s="29"/>
      <c r="H28" s="78" t="str">
        <f t="shared" si="1"/>
        <v/>
      </c>
      <c r="I28" s="25"/>
      <c r="J28" s="25"/>
      <c r="K28" s="26"/>
      <c r="L28" s="26"/>
      <c r="M28" s="37"/>
      <c r="N28" s="27"/>
      <c r="O28" s="30"/>
      <c r="P28" s="39" t="str">
        <f t="shared" si="5"/>
        <v/>
      </c>
      <c r="Q28" s="40" t="str">
        <f>IF(OR(T28=0,RIGHT(T28,1)=$W$1),"",COUNTIF($T$3:T28,T28))</f>
        <v/>
      </c>
      <c r="S28" s="6">
        <f t="shared" si="6"/>
        <v>0</v>
      </c>
      <c r="T28" s="36">
        <f t="shared" si="7"/>
        <v>0</v>
      </c>
      <c r="V28" s="6">
        <f t="shared" si="8"/>
        <v>0</v>
      </c>
      <c r="Y28" s="8">
        <f t="shared" si="9"/>
        <v>46023</v>
      </c>
    </row>
    <row r="29" spans="2:25" ht="18.75" x14ac:dyDescent="0.3">
      <c r="B29" s="6">
        <f t="shared" si="2"/>
        <v>0</v>
      </c>
      <c r="C29" s="6">
        <f t="shared" si="3"/>
        <v>0</v>
      </c>
      <c r="D29" s="6" t="str">
        <f t="shared" si="4"/>
        <v/>
      </c>
      <c r="E29" s="35" t="str">
        <f t="shared" si="0"/>
        <v/>
      </c>
      <c r="F29" s="24"/>
      <c r="G29" s="29"/>
      <c r="H29" s="78" t="str">
        <f t="shared" si="1"/>
        <v/>
      </c>
      <c r="I29" s="25"/>
      <c r="J29" s="25"/>
      <c r="K29" s="26"/>
      <c r="L29" s="26"/>
      <c r="M29" s="37"/>
      <c r="N29" s="27"/>
      <c r="O29" s="30"/>
      <c r="P29" s="39" t="str">
        <f t="shared" si="5"/>
        <v/>
      </c>
      <c r="Q29" s="40" t="str">
        <f>IF(OR(T29=0,RIGHT(T29,1)=$W$1),"",COUNTIF($T$3:T29,T29))</f>
        <v/>
      </c>
      <c r="S29" s="6">
        <f t="shared" si="6"/>
        <v>0</v>
      </c>
      <c r="T29" s="36">
        <f t="shared" si="7"/>
        <v>0</v>
      </c>
      <c r="V29" s="6">
        <f t="shared" si="8"/>
        <v>0</v>
      </c>
      <c r="Y29" s="8">
        <f t="shared" si="9"/>
        <v>46023</v>
      </c>
    </row>
    <row r="30" spans="2:25" ht="18.75" x14ac:dyDescent="0.3">
      <c r="B30" s="6">
        <f t="shared" si="2"/>
        <v>0</v>
      </c>
      <c r="C30" s="6">
        <f t="shared" si="3"/>
        <v>0</v>
      </c>
      <c r="D30" s="6" t="str">
        <f t="shared" si="4"/>
        <v/>
      </c>
      <c r="E30" s="35" t="str">
        <f t="shared" si="0"/>
        <v/>
      </c>
      <c r="F30" s="24"/>
      <c r="G30" s="29"/>
      <c r="H30" s="78" t="str">
        <f t="shared" si="1"/>
        <v/>
      </c>
      <c r="I30" s="25"/>
      <c r="J30" s="25"/>
      <c r="K30" s="26"/>
      <c r="L30" s="26"/>
      <c r="M30" s="37"/>
      <c r="N30" s="27"/>
      <c r="O30" s="30"/>
      <c r="P30" s="39" t="str">
        <f t="shared" si="5"/>
        <v/>
      </c>
      <c r="Q30" s="40" t="str">
        <f>IF(OR(T30=0,RIGHT(T30,1)=$W$1),"",COUNTIF($T$3:T30,T30))</f>
        <v/>
      </c>
      <c r="S30" s="6">
        <f t="shared" si="6"/>
        <v>0</v>
      </c>
      <c r="T30" s="36">
        <f t="shared" si="7"/>
        <v>0</v>
      </c>
      <c r="V30" s="6">
        <f t="shared" si="8"/>
        <v>0</v>
      </c>
      <c r="Y30" s="8">
        <f t="shared" si="9"/>
        <v>46023</v>
      </c>
    </row>
    <row r="31" spans="2:25" ht="18.75" x14ac:dyDescent="0.3">
      <c r="B31" s="6">
        <f t="shared" si="2"/>
        <v>0</v>
      </c>
      <c r="C31" s="6">
        <f t="shared" si="3"/>
        <v>0</v>
      </c>
      <c r="D31" s="6" t="str">
        <f t="shared" si="4"/>
        <v/>
      </c>
      <c r="E31" s="35" t="str">
        <f t="shared" si="0"/>
        <v/>
      </c>
      <c r="F31" s="24"/>
      <c r="G31" s="29"/>
      <c r="H31" s="78" t="str">
        <f t="shared" si="1"/>
        <v/>
      </c>
      <c r="I31" s="25"/>
      <c r="J31" s="25"/>
      <c r="K31" s="26"/>
      <c r="L31" s="26"/>
      <c r="M31" s="37"/>
      <c r="N31" s="27"/>
      <c r="O31" s="30"/>
      <c r="P31" s="39" t="str">
        <f t="shared" si="5"/>
        <v/>
      </c>
      <c r="Q31" s="40" t="str">
        <f>IF(OR(T31=0,RIGHT(T31,1)=$W$1),"",COUNTIF($T$3:T31,T31))</f>
        <v/>
      </c>
      <c r="S31" s="6">
        <f t="shared" si="6"/>
        <v>0</v>
      </c>
      <c r="T31" s="36">
        <f t="shared" si="7"/>
        <v>0</v>
      </c>
      <c r="V31" s="6">
        <f t="shared" si="8"/>
        <v>0</v>
      </c>
      <c r="Y31" s="8">
        <f t="shared" si="9"/>
        <v>46023</v>
      </c>
    </row>
    <row r="32" spans="2:25" ht="18.75" x14ac:dyDescent="0.3">
      <c r="B32" s="6">
        <f t="shared" si="2"/>
        <v>0</v>
      </c>
      <c r="C32" s="6">
        <f t="shared" si="3"/>
        <v>0</v>
      </c>
      <c r="D32" s="6" t="str">
        <f t="shared" si="4"/>
        <v/>
      </c>
      <c r="E32" s="35" t="str">
        <f t="shared" si="0"/>
        <v/>
      </c>
      <c r="F32" s="24"/>
      <c r="G32" s="29"/>
      <c r="H32" s="78" t="str">
        <f t="shared" si="1"/>
        <v/>
      </c>
      <c r="I32" s="25"/>
      <c r="J32" s="25"/>
      <c r="K32" s="26"/>
      <c r="L32" s="26"/>
      <c r="M32" s="37"/>
      <c r="N32" s="27"/>
      <c r="O32" s="30"/>
      <c r="P32" s="39" t="str">
        <f t="shared" si="5"/>
        <v/>
      </c>
      <c r="Q32" s="40" t="str">
        <f>IF(OR(T32=0,RIGHT(T32,1)=$W$1),"",COUNTIF($T$3:T32,T32))</f>
        <v/>
      </c>
      <c r="S32" s="6">
        <f t="shared" si="6"/>
        <v>0</v>
      </c>
      <c r="T32" s="36">
        <f t="shared" si="7"/>
        <v>0</v>
      </c>
      <c r="V32" s="6">
        <f t="shared" si="8"/>
        <v>0</v>
      </c>
      <c r="Y32" s="8">
        <f t="shared" si="9"/>
        <v>46023</v>
      </c>
    </row>
    <row r="33" spans="2:25" ht="18.75" x14ac:dyDescent="0.3">
      <c r="B33" s="6">
        <f t="shared" si="2"/>
        <v>0</v>
      </c>
      <c r="C33" s="6">
        <f t="shared" si="3"/>
        <v>0</v>
      </c>
      <c r="D33" s="6" t="str">
        <f t="shared" si="4"/>
        <v/>
      </c>
      <c r="E33" s="35" t="str">
        <f t="shared" si="0"/>
        <v/>
      </c>
      <c r="F33" s="24"/>
      <c r="G33" s="29"/>
      <c r="H33" s="78" t="str">
        <f t="shared" si="1"/>
        <v/>
      </c>
      <c r="I33" s="25"/>
      <c r="J33" s="25"/>
      <c r="K33" s="26"/>
      <c r="L33" s="26"/>
      <c r="M33" s="37"/>
      <c r="N33" s="27"/>
      <c r="O33" s="30"/>
      <c r="P33" s="39" t="str">
        <f t="shared" si="5"/>
        <v/>
      </c>
      <c r="Q33" s="40" t="str">
        <f>IF(OR(T33=0,RIGHT(T33,1)=$W$1),"",COUNTIF($T$3:T33,T33))</f>
        <v/>
      </c>
      <c r="S33" s="6">
        <f t="shared" si="6"/>
        <v>0</v>
      </c>
      <c r="T33" s="36">
        <f t="shared" si="7"/>
        <v>0</v>
      </c>
      <c r="V33" s="6">
        <f t="shared" si="8"/>
        <v>0</v>
      </c>
      <c r="Y33" s="8">
        <f t="shared" si="9"/>
        <v>46023</v>
      </c>
    </row>
    <row r="34" spans="2:25" ht="18.75" x14ac:dyDescent="0.3">
      <c r="B34" s="6">
        <f t="shared" si="2"/>
        <v>0</v>
      </c>
      <c r="C34" s="6">
        <f t="shared" si="3"/>
        <v>0</v>
      </c>
      <c r="D34" s="6" t="str">
        <f t="shared" si="4"/>
        <v/>
      </c>
      <c r="E34" s="35" t="str">
        <f t="shared" si="0"/>
        <v/>
      </c>
      <c r="F34" s="24"/>
      <c r="G34" s="29"/>
      <c r="H34" s="78" t="str">
        <f t="shared" si="1"/>
        <v/>
      </c>
      <c r="I34" s="25"/>
      <c r="J34" s="25"/>
      <c r="K34" s="26"/>
      <c r="L34" s="26"/>
      <c r="M34" s="37"/>
      <c r="N34" s="27"/>
      <c r="O34" s="30"/>
      <c r="P34" s="39" t="str">
        <f t="shared" si="5"/>
        <v/>
      </c>
      <c r="Q34" s="40" t="str">
        <f>IF(OR(T34=0,RIGHT(T34,1)=$W$1),"",COUNTIF($T$3:T34,T34))</f>
        <v/>
      </c>
      <c r="S34" s="6">
        <f t="shared" si="6"/>
        <v>0</v>
      </c>
      <c r="T34" s="36">
        <f t="shared" si="7"/>
        <v>0</v>
      </c>
      <c r="V34" s="6">
        <f t="shared" si="8"/>
        <v>0</v>
      </c>
      <c r="Y34" s="8">
        <f t="shared" si="9"/>
        <v>46023</v>
      </c>
    </row>
    <row r="35" spans="2:25" ht="18.75" x14ac:dyDescent="0.3">
      <c r="B35" s="6">
        <f t="shared" si="2"/>
        <v>0</v>
      </c>
      <c r="C35" s="6">
        <f t="shared" si="3"/>
        <v>0</v>
      </c>
      <c r="D35" s="6" t="str">
        <f t="shared" si="4"/>
        <v/>
      </c>
      <c r="E35" s="35" t="str">
        <f t="shared" si="0"/>
        <v/>
      </c>
      <c r="F35" s="24"/>
      <c r="G35" s="29"/>
      <c r="H35" s="78" t="str">
        <f t="shared" si="1"/>
        <v/>
      </c>
      <c r="I35" s="25"/>
      <c r="J35" s="25"/>
      <c r="K35" s="26"/>
      <c r="L35" s="26"/>
      <c r="M35" s="37"/>
      <c r="N35" s="27"/>
      <c r="O35" s="30"/>
      <c r="P35" s="39" t="str">
        <f t="shared" si="5"/>
        <v/>
      </c>
      <c r="Q35" s="40" t="str">
        <f>IF(OR(T35=0,RIGHT(T35,1)=$W$1),"",COUNTIF($T$3:T35,T35))</f>
        <v/>
      </c>
      <c r="S35" s="6">
        <f t="shared" si="6"/>
        <v>0</v>
      </c>
      <c r="T35" s="36">
        <f t="shared" si="7"/>
        <v>0</v>
      </c>
      <c r="V35" s="6">
        <f t="shared" si="8"/>
        <v>0</v>
      </c>
      <c r="Y35" s="8">
        <f t="shared" si="9"/>
        <v>46023</v>
      </c>
    </row>
    <row r="36" spans="2:25" ht="18.75" x14ac:dyDescent="0.3">
      <c r="B36" s="6">
        <f t="shared" si="2"/>
        <v>0</v>
      </c>
      <c r="C36" s="6">
        <f t="shared" si="3"/>
        <v>0</v>
      </c>
      <c r="D36" s="6" t="str">
        <f t="shared" si="4"/>
        <v/>
      </c>
      <c r="E36" s="35" t="str">
        <f t="shared" si="0"/>
        <v/>
      </c>
      <c r="F36" s="24"/>
      <c r="G36" s="29"/>
      <c r="H36" s="78" t="str">
        <f t="shared" si="1"/>
        <v/>
      </c>
      <c r="I36" s="25"/>
      <c r="J36" s="25"/>
      <c r="K36" s="26"/>
      <c r="L36" s="26"/>
      <c r="M36" s="37"/>
      <c r="N36" s="27"/>
      <c r="O36" s="30"/>
      <c r="P36" s="39" t="str">
        <f t="shared" si="5"/>
        <v/>
      </c>
      <c r="Q36" s="40" t="str">
        <f>IF(OR(T36=0,RIGHT(T36,1)=$W$1),"",COUNTIF($T$3:T36,T36))</f>
        <v/>
      </c>
      <c r="S36" s="6">
        <f t="shared" si="6"/>
        <v>0</v>
      </c>
      <c r="T36" s="36">
        <f t="shared" si="7"/>
        <v>0</v>
      </c>
      <c r="V36" s="6">
        <f t="shared" si="8"/>
        <v>0</v>
      </c>
      <c r="Y36" s="8">
        <f t="shared" si="9"/>
        <v>46023</v>
      </c>
    </row>
    <row r="37" spans="2:25" ht="18.75" x14ac:dyDescent="0.3">
      <c r="B37" s="6">
        <f t="shared" si="2"/>
        <v>0</v>
      </c>
      <c r="C37" s="6">
        <f t="shared" si="3"/>
        <v>0</v>
      </c>
      <c r="D37" s="6" t="str">
        <f t="shared" si="4"/>
        <v/>
      </c>
      <c r="E37" s="35" t="str">
        <f t="shared" si="0"/>
        <v/>
      </c>
      <c r="F37" s="24"/>
      <c r="G37" s="29"/>
      <c r="H37" s="78" t="str">
        <f t="shared" si="1"/>
        <v/>
      </c>
      <c r="I37" s="25"/>
      <c r="J37" s="25"/>
      <c r="K37" s="26"/>
      <c r="L37" s="26"/>
      <c r="M37" s="37"/>
      <c r="N37" s="27"/>
      <c r="O37" s="30"/>
      <c r="P37" s="39" t="str">
        <f t="shared" si="5"/>
        <v/>
      </c>
      <c r="Q37" s="40" t="str">
        <f>IF(OR(T37=0,RIGHT(T37,1)=$W$1),"",COUNTIF($T$3:T37,T37))</f>
        <v/>
      </c>
      <c r="S37" s="6">
        <f t="shared" si="6"/>
        <v>0</v>
      </c>
      <c r="T37" s="36">
        <f t="shared" si="7"/>
        <v>0</v>
      </c>
      <c r="V37" s="6">
        <f t="shared" si="8"/>
        <v>0</v>
      </c>
      <c r="Y37" s="8">
        <f t="shared" si="9"/>
        <v>46023</v>
      </c>
    </row>
    <row r="38" spans="2:25" ht="18.75" x14ac:dyDescent="0.3">
      <c r="B38" s="6">
        <f t="shared" si="2"/>
        <v>0</v>
      </c>
      <c r="C38" s="6">
        <f t="shared" si="3"/>
        <v>0</v>
      </c>
      <c r="D38" s="6" t="str">
        <f t="shared" si="4"/>
        <v/>
      </c>
      <c r="E38" s="35" t="str">
        <f t="shared" si="0"/>
        <v/>
      </c>
      <c r="F38" s="24"/>
      <c r="G38" s="29"/>
      <c r="H38" s="78" t="str">
        <f t="shared" si="1"/>
        <v/>
      </c>
      <c r="I38" s="25"/>
      <c r="J38" s="25"/>
      <c r="K38" s="26"/>
      <c r="L38" s="26"/>
      <c r="M38" s="37"/>
      <c r="N38" s="27"/>
      <c r="O38" s="30"/>
      <c r="P38" s="39" t="str">
        <f t="shared" si="5"/>
        <v/>
      </c>
      <c r="Q38" s="40" t="str">
        <f>IF(OR(T38=0,RIGHT(T38,1)=$W$1),"",COUNTIF($T$3:T38,T38))</f>
        <v/>
      </c>
      <c r="S38" s="6">
        <f t="shared" si="6"/>
        <v>0</v>
      </c>
      <c r="T38" s="36">
        <f t="shared" si="7"/>
        <v>0</v>
      </c>
      <c r="V38" s="6">
        <f t="shared" si="8"/>
        <v>0</v>
      </c>
      <c r="Y38" s="8">
        <f t="shared" si="9"/>
        <v>46023</v>
      </c>
    </row>
    <row r="39" spans="2:25" ht="18.75" x14ac:dyDescent="0.3">
      <c r="B39" s="6">
        <f t="shared" si="2"/>
        <v>0</v>
      </c>
      <c r="C39" s="6">
        <f t="shared" si="3"/>
        <v>0</v>
      </c>
      <c r="D39" s="6" t="str">
        <f t="shared" si="4"/>
        <v/>
      </c>
      <c r="E39" s="35" t="str">
        <f t="shared" si="0"/>
        <v/>
      </c>
      <c r="F39" s="24"/>
      <c r="G39" s="29"/>
      <c r="H39" s="78" t="str">
        <f t="shared" si="1"/>
        <v/>
      </c>
      <c r="I39" s="25"/>
      <c r="J39" s="25"/>
      <c r="K39" s="26"/>
      <c r="L39" s="26"/>
      <c r="M39" s="37"/>
      <c r="N39" s="27"/>
      <c r="O39" s="30"/>
      <c r="P39" s="39" t="str">
        <f t="shared" si="5"/>
        <v/>
      </c>
      <c r="Q39" s="40" t="str">
        <f>IF(OR(T39=0,RIGHT(T39,1)=$W$1),"",COUNTIF($T$3:T39,T39))</f>
        <v/>
      </c>
      <c r="S39" s="6">
        <f t="shared" si="6"/>
        <v>0</v>
      </c>
      <c r="T39" s="36">
        <f t="shared" si="7"/>
        <v>0</v>
      </c>
      <c r="V39" s="6">
        <f t="shared" si="8"/>
        <v>0</v>
      </c>
      <c r="Y39" s="8">
        <f t="shared" si="9"/>
        <v>46023</v>
      </c>
    </row>
    <row r="40" spans="2:25" ht="18.75" x14ac:dyDescent="0.3">
      <c r="B40" s="6">
        <f t="shared" si="2"/>
        <v>0</v>
      </c>
      <c r="C40" s="6">
        <f t="shared" si="3"/>
        <v>0</v>
      </c>
      <c r="D40" s="6" t="str">
        <f t="shared" si="4"/>
        <v/>
      </c>
      <c r="E40" s="35" t="str">
        <f t="shared" si="0"/>
        <v/>
      </c>
      <c r="F40" s="24"/>
      <c r="G40" s="29"/>
      <c r="H40" s="78" t="str">
        <f t="shared" si="1"/>
        <v/>
      </c>
      <c r="I40" s="25"/>
      <c r="J40" s="25"/>
      <c r="K40" s="26"/>
      <c r="L40" s="26"/>
      <c r="M40" s="37"/>
      <c r="N40" s="27"/>
      <c r="O40" s="30"/>
      <c r="P40" s="39" t="str">
        <f t="shared" si="5"/>
        <v/>
      </c>
      <c r="Q40" s="40" t="str">
        <f>IF(OR(T40=0,RIGHT(T40,1)=$W$1),"",COUNTIF($T$3:T40,T40))</f>
        <v/>
      </c>
      <c r="S40" s="6">
        <f t="shared" si="6"/>
        <v>0</v>
      </c>
      <c r="T40" s="36">
        <f t="shared" si="7"/>
        <v>0</v>
      </c>
      <c r="V40" s="6">
        <f t="shared" si="8"/>
        <v>0</v>
      </c>
      <c r="Y40" s="8">
        <f t="shared" si="9"/>
        <v>46023</v>
      </c>
    </row>
    <row r="41" spans="2:25" ht="18.75" x14ac:dyDescent="0.3">
      <c r="B41" s="6">
        <f t="shared" si="2"/>
        <v>0</v>
      </c>
      <c r="C41" s="6">
        <f t="shared" si="3"/>
        <v>0</v>
      </c>
      <c r="D41" s="6" t="str">
        <f t="shared" si="4"/>
        <v/>
      </c>
      <c r="E41" s="35" t="str">
        <f t="shared" si="0"/>
        <v/>
      </c>
      <c r="F41" s="24"/>
      <c r="G41" s="29"/>
      <c r="H41" s="78" t="str">
        <f t="shared" si="1"/>
        <v/>
      </c>
      <c r="I41" s="25"/>
      <c r="J41" s="25"/>
      <c r="K41" s="26"/>
      <c r="L41" s="26"/>
      <c r="M41" s="37"/>
      <c r="N41" s="27"/>
      <c r="O41" s="30"/>
      <c r="P41" s="39" t="str">
        <f t="shared" si="5"/>
        <v/>
      </c>
      <c r="Q41" s="40" t="str">
        <f>IF(OR(T41=0,RIGHT(T41,1)=$W$1),"",COUNTIF($T$3:T41,T41))</f>
        <v/>
      </c>
      <c r="S41" s="6">
        <f t="shared" si="6"/>
        <v>0</v>
      </c>
      <c r="T41" s="36">
        <f t="shared" si="7"/>
        <v>0</v>
      </c>
      <c r="V41" s="6">
        <f t="shared" si="8"/>
        <v>0</v>
      </c>
      <c r="Y41" s="8">
        <f t="shared" si="9"/>
        <v>46023</v>
      </c>
    </row>
    <row r="42" spans="2:25" ht="18.75" x14ac:dyDescent="0.3">
      <c r="B42" s="6">
        <f t="shared" si="2"/>
        <v>0</v>
      </c>
      <c r="C42" s="6">
        <f t="shared" si="3"/>
        <v>0</v>
      </c>
      <c r="D42" s="6" t="str">
        <f t="shared" si="4"/>
        <v/>
      </c>
      <c r="E42" s="35" t="str">
        <f t="shared" si="0"/>
        <v/>
      </c>
      <c r="F42" s="31"/>
      <c r="G42" s="29"/>
      <c r="H42" s="78" t="str">
        <f t="shared" si="1"/>
        <v/>
      </c>
      <c r="I42" s="25"/>
      <c r="J42" s="25"/>
      <c r="K42" s="26"/>
      <c r="L42" s="26"/>
      <c r="M42" s="37"/>
      <c r="N42" s="27"/>
      <c r="O42" s="30"/>
      <c r="P42" s="39" t="str">
        <f t="shared" si="5"/>
        <v/>
      </c>
      <c r="Q42" s="40" t="str">
        <f>IF(OR(T42=0,RIGHT(T42,1)=$W$1),"",COUNTIF($T$3:T42,T42))</f>
        <v/>
      </c>
      <c r="S42" s="6">
        <f t="shared" si="6"/>
        <v>0</v>
      </c>
      <c r="T42" s="36">
        <f t="shared" si="7"/>
        <v>0</v>
      </c>
      <c r="V42" s="6">
        <f t="shared" si="8"/>
        <v>0</v>
      </c>
      <c r="Y42" s="8">
        <f t="shared" si="9"/>
        <v>46023</v>
      </c>
    </row>
    <row r="43" spans="2:25" ht="18.75" x14ac:dyDescent="0.3">
      <c r="B43" s="6">
        <f t="shared" si="2"/>
        <v>0</v>
      </c>
      <c r="C43" s="6">
        <f t="shared" si="3"/>
        <v>0</v>
      </c>
      <c r="D43" s="6" t="str">
        <f t="shared" si="4"/>
        <v/>
      </c>
      <c r="E43" s="35" t="str">
        <f t="shared" si="0"/>
        <v/>
      </c>
      <c r="F43" s="31"/>
      <c r="G43" s="29"/>
      <c r="H43" s="78" t="str">
        <f t="shared" si="1"/>
        <v/>
      </c>
      <c r="I43" s="25"/>
      <c r="J43" s="25"/>
      <c r="K43" s="26"/>
      <c r="L43" s="26"/>
      <c r="M43" s="37"/>
      <c r="N43" s="27"/>
      <c r="O43" s="30"/>
      <c r="P43" s="39" t="str">
        <f t="shared" si="5"/>
        <v/>
      </c>
      <c r="Q43" s="40" t="str">
        <f>IF(OR(T43=0,RIGHT(T43,1)=$W$1),"",COUNTIF($T$3:T43,T43))</f>
        <v/>
      </c>
      <c r="S43" s="6">
        <f t="shared" si="6"/>
        <v>0</v>
      </c>
      <c r="T43" s="36">
        <f t="shared" si="7"/>
        <v>0</v>
      </c>
      <c r="V43" s="6">
        <f t="shared" si="8"/>
        <v>0</v>
      </c>
      <c r="Y43" s="8">
        <f t="shared" si="9"/>
        <v>46023</v>
      </c>
    </row>
    <row r="44" spans="2:25" ht="18.75" x14ac:dyDescent="0.3">
      <c r="B44" s="6">
        <f t="shared" si="2"/>
        <v>0</v>
      </c>
      <c r="C44" s="6">
        <f t="shared" si="3"/>
        <v>0</v>
      </c>
      <c r="D44" s="6" t="str">
        <f t="shared" si="4"/>
        <v/>
      </c>
      <c r="E44" s="35" t="str">
        <f t="shared" si="0"/>
        <v/>
      </c>
      <c r="F44" s="31"/>
      <c r="G44" s="29"/>
      <c r="H44" s="78" t="str">
        <f t="shared" si="1"/>
        <v/>
      </c>
      <c r="I44" s="25"/>
      <c r="J44" s="25"/>
      <c r="K44" s="26"/>
      <c r="L44" s="26"/>
      <c r="M44" s="37"/>
      <c r="N44" s="27"/>
      <c r="O44" s="30"/>
      <c r="P44" s="39" t="str">
        <f t="shared" si="5"/>
        <v/>
      </c>
      <c r="Q44" s="40" t="str">
        <f>IF(OR(T44=0,RIGHT(T44,1)=$W$1),"",COUNTIF($T$3:T44,T44))</f>
        <v/>
      </c>
      <c r="S44" s="6">
        <f t="shared" si="6"/>
        <v>0</v>
      </c>
      <c r="T44" s="36">
        <f t="shared" si="7"/>
        <v>0</v>
      </c>
      <c r="V44" s="6">
        <f t="shared" si="8"/>
        <v>0</v>
      </c>
      <c r="Y44" s="8">
        <f t="shared" si="9"/>
        <v>46023</v>
      </c>
    </row>
    <row r="45" spans="2:25" ht="18.75" x14ac:dyDescent="0.3">
      <c r="B45" s="6">
        <f t="shared" si="2"/>
        <v>0</v>
      </c>
      <c r="C45" s="6">
        <f t="shared" si="3"/>
        <v>0</v>
      </c>
      <c r="D45" s="6" t="str">
        <f t="shared" si="4"/>
        <v/>
      </c>
      <c r="E45" s="35" t="str">
        <f t="shared" si="0"/>
        <v/>
      </c>
      <c r="F45" s="31"/>
      <c r="G45" s="29"/>
      <c r="H45" s="78" t="str">
        <f t="shared" si="1"/>
        <v/>
      </c>
      <c r="I45" s="25"/>
      <c r="J45" s="25"/>
      <c r="K45" s="26"/>
      <c r="L45" s="26"/>
      <c r="M45" s="37"/>
      <c r="N45" s="27"/>
      <c r="O45" s="30"/>
      <c r="P45" s="39" t="str">
        <f t="shared" si="5"/>
        <v/>
      </c>
      <c r="Q45" s="40" t="str">
        <f>IF(OR(T45=0,RIGHT(T45,1)=$W$1),"",COUNTIF($T$3:T45,T45))</f>
        <v/>
      </c>
      <c r="S45" s="6">
        <f t="shared" si="6"/>
        <v>0</v>
      </c>
      <c r="T45" s="36">
        <f t="shared" si="7"/>
        <v>0</v>
      </c>
      <c r="V45" s="6">
        <f t="shared" si="8"/>
        <v>0</v>
      </c>
      <c r="Y45" s="8">
        <f t="shared" si="9"/>
        <v>46023</v>
      </c>
    </row>
    <row r="46" spans="2:25" ht="18.75" x14ac:dyDescent="0.3">
      <c r="B46" s="6">
        <f t="shared" si="2"/>
        <v>0</v>
      </c>
      <c r="C46" s="6">
        <f t="shared" si="3"/>
        <v>0</v>
      </c>
      <c r="D46" s="6" t="str">
        <f t="shared" si="4"/>
        <v/>
      </c>
      <c r="E46" s="35" t="str">
        <f t="shared" si="0"/>
        <v/>
      </c>
      <c r="F46" s="31"/>
      <c r="G46" s="29"/>
      <c r="H46" s="78" t="str">
        <f t="shared" si="1"/>
        <v/>
      </c>
      <c r="I46" s="25"/>
      <c r="J46" s="25"/>
      <c r="K46" s="26"/>
      <c r="L46" s="26"/>
      <c r="M46" s="37"/>
      <c r="N46" s="27"/>
      <c r="O46" s="30"/>
      <c r="P46" s="39" t="str">
        <f t="shared" si="5"/>
        <v/>
      </c>
      <c r="Q46" s="40" t="str">
        <f>IF(OR(T46=0,RIGHT(T46,1)=$W$1),"",COUNTIF($T$3:T46,T46))</f>
        <v/>
      </c>
      <c r="S46" s="6">
        <f t="shared" si="6"/>
        <v>0</v>
      </c>
      <c r="T46" s="36">
        <f t="shared" si="7"/>
        <v>0</v>
      </c>
      <c r="V46" s="6">
        <f t="shared" si="8"/>
        <v>0</v>
      </c>
      <c r="Y46" s="8">
        <f t="shared" si="9"/>
        <v>46023</v>
      </c>
    </row>
    <row r="47" spans="2:25" ht="18.75" x14ac:dyDescent="0.3">
      <c r="B47" s="6">
        <f t="shared" si="2"/>
        <v>0</v>
      </c>
      <c r="C47" s="6">
        <f t="shared" si="3"/>
        <v>0</v>
      </c>
      <c r="D47" s="6" t="str">
        <f t="shared" si="4"/>
        <v/>
      </c>
      <c r="E47" s="35" t="str">
        <f t="shared" si="0"/>
        <v/>
      </c>
      <c r="F47" s="31"/>
      <c r="G47" s="29"/>
      <c r="H47" s="78" t="str">
        <f t="shared" si="1"/>
        <v/>
      </c>
      <c r="I47" s="25"/>
      <c r="J47" s="25"/>
      <c r="K47" s="26"/>
      <c r="L47" s="26"/>
      <c r="M47" s="37"/>
      <c r="N47" s="27"/>
      <c r="O47" s="30"/>
      <c r="P47" s="39" t="str">
        <f t="shared" si="5"/>
        <v/>
      </c>
      <c r="Q47" s="40" t="str">
        <f>IF(OR(T47=0,RIGHT(T47,1)=$W$1),"",COUNTIF($T$3:T47,T47))</f>
        <v/>
      </c>
      <c r="S47" s="6">
        <f t="shared" si="6"/>
        <v>0</v>
      </c>
      <c r="T47" s="36">
        <f t="shared" si="7"/>
        <v>0</v>
      </c>
      <c r="V47" s="6">
        <f t="shared" si="8"/>
        <v>0</v>
      </c>
      <c r="Y47" s="8">
        <f t="shared" si="9"/>
        <v>46023</v>
      </c>
    </row>
    <row r="48" spans="2:25" ht="18.75" x14ac:dyDescent="0.3">
      <c r="B48" s="6">
        <f t="shared" si="2"/>
        <v>0</v>
      </c>
      <c r="C48" s="6">
        <f t="shared" si="3"/>
        <v>0</v>
      </c>
      <c r="D48" s="6" t="str">
        <f t="shared" si="4"/>
        <v/>
      </c>
      <c r="E48" s="35" t="str">
        <f t="shared" si="0"/>
        <v/>
      </c>
      <c r="F48" s="31"/>
      <c r="G48" s="29"/>
      <c r="H48" s="78" t="str">
        <f t="shared" si="1"/>
        <v/>
      </c>
      <c r="I48" s="25"/>
      <c r="J48" s="25"/>
      <c r="K48" s="26"/>
      <c r="L48" s="26"/>
      <c r="M48" s="37"/>
      <c r="N48" s="27"/>
      <c r="O48" s="30"/>
      <c r="P48" s="39" t="str">
        <f t="shared" si="5"/>
        <v/>
      </c>
      <c r="Q48" s="40" t="str">
        <f>IF(OR(T48=0,RIGHT(T48,1)=$W$1),"",COUNTIF($T$3:T48,T48))</f>
        <v/>
      </c>
      <c r="S48" s="6">
        <f t="shared" si="6"/>
        <v>0</v>
      </c>
      <c r="T48" s="36">
        <f t="shared" si="7"/>
        <v>0</v>
      </c>
      <c r="V48" s="6">
        <f t="shared" si="8"/>
        <v>0</v>
      </c>
      <c r="Y48" s="8">
        <f t="shared" si="9"/>
        <v>46023</v>
      </c>
    </row>
    <row r="49" spans="2:25" ht="18.75" x14ac:dyDescent="0.3">
      <c r="B49" s="6">
        <f t="shared" si="2"/>
        <v>0</v>
      </c>
      <c r="C49" s="6">
        <f t="shared" si="3"/>
        <v>0</v>
      </c>
      <c r="D49" s="6" t="str">
        <f t="shared" si="4"/>
        <v/>
      </c>
      <c r="E49" s="35" t="str">
        <f t="shared" si="0"/>
        <v/>
      </c>
      <c r="F49" s="31"/>
      <c r="G49" s="29"/>
      <c r="H49" s="78" t="str">
        <f t="shared" si="1"/>
        <v/>
      </c>
      <c r="I49" s="25"/>
      <c r="J49" s="25"/>
      <c r="K49" s="26"/>
      <c r="L49" s="26"/>
      <c r="M49" s="37"/>
      <c r="N49" s="27"/>
      <c r="O49" s="30"/>
      <c r="P49" s="39" t="str">
        <f t="shared" si="5"/>
        <v/>
      </c>
      <c r="Q49" s="40" t="str">
        <f>IF(OR(T49=0,RIGHT(T49,1)=$W$1),"",COUNTIF($T$3:T49,T49))</f>
        <v/>
      </c>
      <c r="S49" s="6">
        <f t="shared" si="6"/>
        <v>0</v>
      </c>
      <c r="T49" s="36">
        <f t="shared" si="7"/>
        <v>0</v>
      </c>
      <c r="V49" s="6">
        <f t="shared" si="8"/>
        <v>0</v>
      </c>
      <c r="Y49" s="8">
        <f t="shared" si="9"/>
        <v>46023</v>
      </c>
    </row>
    <row r="50" spans="2:25" ht="18.75" x14ac:dyDescent="0.3">
      <c r="B50" s="6">
        <f t="shared" si="2"/>
        <v>0</v>
      </c>
      <c r="C50" s="6">
        <f t="shared" si="3"/>
        <v>0</v>
      </c>
      <c r="D50" s="6" t="str">
        <f t="shared" si="4"/>
        <v/>
      </c>
      <c r="E50" s="35" t="str">
        <f t="shared" si="0"/>
        <v/>
      </c>
      <c r="F50" s="31"/>
      <c r="G50" s="29"/>
      <c r="H50" s="78" t="str">
        <f t="shared" si="1"/>
        <v/>
      </c>
      <c r="I50" s="25"/>
      <c r="J50" s="25"/>
      <c r="K50" s="26"/>
      <c r="L50" s="26"/>
      <c r="M50" s="37"/>
      <c r="N50" s="27"/>
      <c r="O50" s="30"/>
      <c r="P50" s="39" t="str">
        <f t="shared" si="5"/>
        <v/>
      </c>
      <c r="Q50" s="40" t="str">
        <f>IF(OR(T50=0,RIGHT(T50,1)=$W$1),"",COUNTIF($T$3:T50,T50))</f>
        <v/>
      </c>
      <c r="S50" s="6">
        <f t="shared" si="6"/>
        <v>0</v>
      </c>
      <c r="T50" s="36">
        <f t="shared" si="7"/>
        <v>0</v>
      </c>
      <c r="V50" s="6">
        <f t="shared" si="8"/>
        <v>0</v>
      </c>
      <c r="Y50" s="8">
        <f t="shared" si="9"/>
        <v>46023</v>
      </c>
    </row>
    <row r="51" spans="2:25" ht="18.75" x14ac:dyDescent="0.3">
      <c r="B51" s="6">
        <f t="shared" si="2"/>
        <v>0</v>
      </c>
      <c r="C51" s="6">
        <f t="shared" si="3"/>
        <v>0</v>
      </c>
      <c r="D51" s="6" t="str">
        <f t="shared" si="4"/>
        <v/>
      </c>
      <c r="E51" s="35" t="str">
        <f t="shared" si="0"/>
        <v/>
      </c>
      <c r="F51" s="31"/>
      <c r="G51" s="29"/>
      <c r="H51" s="78" t="str">
        <f t="shared" si="1"/>
        <v/>
      </c>
      <c r="I51" s="25"/>
      <c r="J51" s="25"/>
      <c r="K51" s="26"/>
      <c r="L51" s="26"/>
      <c r="M51" s="37"/>
      <c r="N51" s="27"/>
      <c r="O51" s="30"/>
      <c r="P51" s="39" t="str">
        <f t="shared" si="5"/>
        <v/>
      </c>
      <c r="Q51" s="40" t="str">
        <f>IF(OR(T51=0,RIGHT(T51,1)=$W$1),"",COUNTIF($T$3:T51,T51))</f>
        <v/>
      </c>
      <c r="S51" s="6">
        <f t="shared" si="6"/>
        <v>0</v>
      </c>
      <c r="T51" s="36">
        <f t="shared" si="7"/>
        <v>0</v>
      </c>
      <c r="V51" s="6">
        <f t="shared" si="8"/>
        <v>0</v>
      </c>
      <c r="Y51" s="8">
        <f t="shared" si="9"/>
        <v>46023</v>
      </c>
    </row>
    <row r="52" spans="2:25" ht="18.75" x14ac:dyDescent="0.3">
      <c r="B52" s="6">
        <f t="shared" si="2"/>
        <v>0</v>
      </c>
      <c r="C52" s="6">
        <f t="shared" si="3"/>
        <v>0</v>
      </c>
      <c r="D52" s="6" t="str">
        <f t="shared" si="4"/>
        <v/>
      </c>
      <c r="E52" s="35" t="str">
        <f t="shared" si="0"/>
        <v/>
      </c>
      <c r="F52" s="31"/>
      <c r="G52" s="29"/>
      <c r="H52" s="78" t="str">
        <f t="shared" si="1"/>
        <v/>
      </c>
      <c r="I52" s="25"/>
      <c r="J52" s="25"/>
      <c r="K52" s="26"/>
      <c r="L52" s="26"/>
      <c r="M52" s="37"/>
      <c r="N52" s="27"/>
      <c r="O52" s="30"/>
      <c r="P52" s="39" t="str">
        <f t="shared" si="5"/>
        <v/>
      </c>
      <c r="Q52" s="40" t="str">
        <f>IF(OR(T52=0,RIGHT(T52,1)=$W$1),"",COUNTIF($T$3:T52,T52))</f>
        <v/>
      </c>
      <c r="S52" s="6">
        <f t="shared" si="6"/>
        <v>0</v>
      </c>
      <c r="T52" s="36">
        <f t="shared" si="7"/>
        <v>0</v>
      </c>
      <c r="V52" s="6">
        <f t="shared" si="8"/>
        <v>0</v>
      </c>
      <c r="Y52" s="8">
        <f t="shared" si="9"/>
        <v>46023</v>
      </c>
    </row>
    <row r="53" spans="2:25" ht="18.75" x14ac:dyDescent="0.3">
      <c r="B53" s="6">
        <f t="shared" si="2"/>
        <v>0</v>
      </c>
      <c r="C53" s="6">
        <f t="shared" si="3"/>
        <v>0</v>
      </c>
      <c r="D53" s="6" t="str">
        <f t="shared" si="4"/>
        <v/>
      </c>
      <c r="E53" s="35" t="str">
        <f t="shared" si="0"/>
        <v/>
      </c>
      <c r="F53" s="31"/>
      <c r="G53" s="29"/>
      <c r="H53" s="78" t="str">
        <f t="shared" si="1"/>
        <v/>
      </c>
      <c r="I53" s="25"/>
      <c r="J53" s="25"/>
      <c r="K53" s="26"/>
      <c r="L53" s="26"/>
      <c r="M53" s="37"/>
      <c r="N53" s="27"/>
      <c r="O53" s="30"/>
      <c r="P53" s="39" t="str">
        <f t="shared" si="5"/>
        <v/>
      </c>
      <c r="Q53" s="40" t="str">
        <f>IF(OR(T53=0,RIGHT(T53,1)=$W$1),"",COUNTIF($T$3:T53,T53))</f>
        <v/>
      </c>
      <c r="S53" s="6">
        <f t="shared" si="6"/>
        <v>0</v>
      </c>
      <c r="T53" s="36">
        <f t="shared" si="7"/>
        <v>0</v>
      </c>
      <c r="V53" s="6">
        <f t="shared" si="8"/>
        <v>0</v>
      </c>
      <c r="Y53" s="8">
        <f t="shared" si="9"/>
        <v>46023</v>
      </c>
    </row>
    <row r="54" spans="2:25" ht="18.75" x14ac:dyDescent="0.3">
      <c r="B54" s="6">
        <f t="shared" si="2"/>
        <v>0</v>
      </c>
      <c r="C54" s="6">
        <f t="shared" si="3"/>
        <v>0</v>
      </c>
      <c r="D54" s="6" t="str">
        <f t="shared" si="4"/>
        <v/>
      </c>
      <c r="E54" s="35" t="str">
        <f t="shared" si="0"/>
        <v/>
      </c>
      <c r="F54" s="31"/>
      <c r="G54" s="29"/>
      <c r="H54" s="78" t="str">
        <f t="shared" si="1"/>
        <v/>
      </c>
      <c r="I54" s="25"/>
      <c r="J54" s="25"/>
      <c r="K54" s="26"/>
      <c r="L54" s="26"/>
      <c r="M54" s="37"/>
      <c r="N54" s="27"/>
      <c r="O54" s="30"/>
      <c r="P54" s="39" t="str">
        <f t="shared" si="5"/>
        <v/>
      </c>
      <c r="Q54" s="40" t="str">
        <f>IF(OR(T54=0,RIGHT(T54,1)=$W$1),"",COUNTIF($T$3:T54,T54))</f>
        <v/>
      </c>
      <c r="S54" s="6">
        <f t="shared" si="6"/>
        <v>0</v>
      </c>
      <c r="T54" s="36">
        <f t="shared" si="7"/>
        <v>0</v>
      </c>
      <c r="V54" s="6">
        <f t="shared" si="8"/>
        <v>0</v>
      </c>
      <c r="Y54" s="8">
        <f t="shared" si="9"/>
        <v>46023</v>
      </c>
    </row>
    <row r="55" spans="2:25" ht="18.75" x14ac:dyDescent="0.3">
      <c r="B55" s="6">
        <f t="shared" si="2"/>
        <v>0</v>
      </c>
      <c r="C55" s="6">
        <f t="shared" si="3"/>
        <v>0</v>
      </c>
      <c r="D55" s="6" t="str">
        <f t="shared" si="4"/>
        <v/>
      </c>
      <c r="E55" s="35" t="str">
        <f t="shared" si="0"/>
        <v/>
      </c>
      <c r="F55" s="31"/>
      <c r="G55" s="29"/>
      <c r="H55" s="78" t="str">
        <f t="shared" si="1"/>
        <v/>
      </c>
      <c r="I55" s="25"/>
      <c r="J55" s="25"/>
      <c r="K55" s="26"/>
      <c r="L55" s="26"/>
      <c r="M55" s="37"/>
      <c r="N55" s="27"/>
      <c r="O55" s="30"/>
      <c r="P55" s="39" t="str">
        <f t="shared" si="5"/>
        <v/>
      </c>
      <c r="Q55" s="40" t="str">
        <f>IF(OR(T55=0,RIGHT(T55,1)=$W$1),"",COUNTIF($T$3:T55,T55))</f>
        <v/>
      </c>
      <c r="S55" s="6">
        <f t="shared" si="6"/>
        <v>0</v>
      </c>
      <c r="T55" s="36">
        <f t="shared" si="7"/>
        <v>0</v>
      </c>
      <c r="V55" s="6">
        <f t="shared" si="8"/>
        <v>0</v>
      </c>
      <c r="Y55" s="8">
        <f t="shared" si="9"/>
        <v>46023</v>
      </c>
    </row>
    <row r="56" spans="2:25" ht="18.75" x14ac:dyDescent="0.3">
      <c r="B56" s="6">
        <f t="shared" si="2"/>
        <v>0</v>
      </c>
      <c r="C56" s="6">
        <f t="shared" si="3"/>
        <v>0</v>
      </c>
      <c r="D56" s="6" t="str">
        <f t="shared" si="4"/>
        <v/>
      </c>
      <c r="E56" s="35" t="str">
        <f t="shared" si="0"/>
        <v/>
      </c>
      <c r="F56" s="31"/>
      <c r="G56" s="29"/>
      <c r="H56" s="78" t="str">
        <f t="shared" si="1"/>
        <v/>
      </c>
      <c r="I56" s="25"/>
      <c r="J56" s="25"/>
      <c r="K56" s="26"/>
      <c r="L56" s="26"/>
      <c r="M56" s="37"/>
      <c r="N56" s="27"/>
      <c r="O56" s="30"/>
      <c r="P56" s="39" t="str">
        <f t="shared" si="5"/>
        <v/>
      </c>
      <c r="Q56" s="40" t="str">
        <f>IF(OR(T56=0,RIGHT(T56,1)=$W$1),"",COUNTIF($T$3:T56,T56))</f>
        <v/>
      </c>
      <c r="S56" s="6">
        <f t="shared" si="6"/>
        <v>0</v>
      </c>
      <c r="T56" s="36">
        <f t="shared" si="7"/>
        <v>0</v>
      </c>
      <c r="V56" s="6">
        <f t="shared" si="8"/>
        <v>0</v>
      </c>
      <c r="Y56" s="8">
        <f t="shared" si="9"/>
        <v>46023</v>
      </c>
    </row>
    <row r="57" spans="2:25" ht="18.75" x14ac:dyDescent="0.3">
      <c r="B57" s="6">
        <f t="shared" si="2"/>
        <v>0</v>
      </c>
      <c r="C57" s="6">
        <f t="shared" si="3"/>
        <v>0</v>
      </c>
      <c r="D57" s="6" t="str">
        <f t="shared" si="4"/>
        <v/>
      </c>
      <c r="E57" s="35" t="str">
        <f t="shared" si="0"/>
        <v/>
      </c>
      <c r="F57" s="31"/>
      <c r="G57" s="29"/>
      <c r="H57" s="78" t="str">
        <f t="shared" si="1"/>
        <v/>
      </c>
      <c r="I57" s="25"/>
      <c r="J57" s="25"/>
      <c r="K57" s="26"/>
      <c r="L57" s="26"/>
      <c r="M57" s="37"/>
      <c r="N57" s="27"/>
      <c r="O57" s="30"/>
      <c r="P57" s="39" t="str">
        <f t="shared" si="5"/>
        <v/>
      </c>
      <c r="Q57" s="40" t="str">
        <f>IF(OR(T57=0,RIGHT(T57,1)=$W$1),"",COUNTIF($T$3:T57,T57))</f>
        <v/>
      </c>
      <c r="S57" s="6">
        <f t="shared" si="6"/>
        <v>0</v>
      </c>
      <c r="T57" s="36">
        <f t="shared" si="7"/>
        <v>0</v>
      </c>
      <c r="V57" s="6">
        <f t="shared" si="8"/>
        <v>0</v>
      </c>
      <c r="Y57" s="8">
        <f t="shared" si="9"/>
        <v>46023</v>
      </c>
    </row>
    <row r="58" spans="2:25" ht="18.75" x14ac:dyDescent="0.3">
      <c r="B58" s="6">
        <f t="shared" si="2"/>
        <v>0</v>
      </c>
      <c r="C58" s="6">
        <f t="shared" si="3"/>
        <v>0</v>
      </c>
      <c r="D58" s="6" t="str">
        <f t="shared" si="4"/>
        <v/>
      </c>
      <c r="E58" s="35" t="str">
        <f t="shared" si="0"/>
        <v/>
      </c>
      <c r="F58" s="31"/>
      <c r="G58" s="29"/>
      <c r="H58" s="78" t="str">
        <f t="shared" si="1"/>
        <v/>
      </c>
      <c r="I58" s="25"/>
      <c r="J58" s="25"/>
      <c r="K58" s="26"/>
      <c r="L58" s="26"/>
      <c r="M58" s="37"/>
      <c r="N58" s="27"/>
      <c r="O58" s="30"/>
      <c r="P58" s="39" t="str">
        <f t="shared" si="5"/>
        <v/>
      </c>
      <c r="Q58" s="40" t="str">
        <f>IF(OR(T58=0,RIGHT(T58,1)=$W$1),"",COUNTIF($T$3:T58,T58))</f>
        <v/>
      </c>
      <c r="S58" s="6">
        <f t="shared" si="6"/>
        <v>0</v>
      </c>
      <c r="T58" s="36">
        <f t="shared" si="7"/>
        <v>0</v>
      </c>
      <c r="V58" s="6">
        <f t="shared" si="8"/>
        <v>0</v>
      </c>
      <c r="Y58" s="8">
        <f t="shared" si="9"/>
        <v>46023</v>
      </c>
    </row>
    <row r="59" spans="2:25" ht="18.75" x14ac:dyDescent="0.3">
      <c r="B59" s="6">
        <f t="shared" si="2"/>
        <v>0</v>
      </c>
      <c r="C59" s="6">
        <f t="shared" si="3"/>
        <v>0</v>
      </c>
      <c r="D59" s="6" t="str">
        <f t="shared" si="4"/>
        <v/>
      </c>
      <c r="E59" s="35" t="str">
        <f t="shared" si="0"/>
        <v/>
      </c>
      <c r="F59" s="31"/>
      <c r="G59" s="29"/>
      <c r="H59" s="78" t="str">
        <f t="shared" si="1"/>
        <v/>
      </c>
      <c r="I59" s="25"/>
      <c r="J59" s="25"/>
      <c r="K59" s="26"/>
      <c r="L59" s="26"/>
      <c r="M59" s="37"/>
      <c r="N59" s="27"/>
      <c r="O59" s="30"/>
      <c r="P59" s="39" t="str">
        <f t="shared" si="5"/>
        <v/>
      </c>
      <c r="Q59" s="40" t="str">
        <f>IF(OR(T59=0,RIGHT(T59,1)=$W$1),"",COUNTIF($T$3:T59,T59))</f>
        <v/>
      </c>
      <c r="S59" s="6">
        <f t="shared" si="6"/>
        <v>0</v>
      </c>
      <c r="T59" s="36">
        <f t="shared" si="7"/>
        <v>0</v>
      </c>
      <c r="V59" s="6">
        <f t="shared" si="8"/>
        <v>0</v>
      </c>
      <c r="Y59" s="8">
        <f t="shared" si="9"/>
        <v>46023</v>
      </c>
    </row>
    <row r="60" spans="2:25" ht="18.75" x14ac:dyDescent="0.3">
      <c r="B60" s="6">
        <f t="shared" si="2"/>
        <v>0</v>
      </c>
      <c r="C60" s="6">
        <f t="shared" si="3"/>
        <v>0</v>
      </c>
      <c r="D60" s="6" t="str">
        <f t="shared" si="4"/>
        <v/>
      </c>
      <c r="E60" s="35" t="str">
        <f t="shared" si="0"/>
        <v/>
      </c>
      <c r="F60" s="31"/>
      <c r="G60" s="29"/>
      <c r="H60" s="78" t="str">
        <f t="shared" si="1"/>
        <v/>
      </c>
      <c r="I60" s="25"/>
      <c r="J60" s="25"/>
      <c r="K60" s="26"/>
      <c r="L60" s="26"/>
      <c r="M60" s="37"/>
      <c r="N60" s="27"/>
      <c r="O60" s="30"/>
      <c r="P60" s="39" t="str">
        <f t="shared" si="5"/>
        <v/>
      </c>
      <c r="Q60" s="40" t="str">
        <f>IF(OR(T60=0,RIGHT(T60,1)=$W$1),"",COUNTIF($T$3:T60,T60))</f>
        <v/>
      </c>
      <c r="S60" s="6">
        <f t="shared" si="6"/>
        <v>0</v>
      </c>
      <c r="T60" s="36">
        <f t="shared" si="7"/>
        <v>0</v>
      </c>
      <c r="V60" s="6">
        <f t="shared" si="8"/>
        <v>0</v>
      </c>
      <c r="Y60" s="8">
        <f t="shared" si="9"/>
        <v>46023</v>
      </c>
    </row>
    <row r="61" spans="2:25" ht="18.75" x14ac:dyDescent="0.3">
      <c r="B61" s="6">
        <f t="shared" si="2"/>
        <v>0</v>
      </c>
      <c r="C61" s="6">
        <f t="shared" si="3"/>
        <v>0</v>
      </c>
      <c r="D61" s="6" t="str">
        <f t="shared" si="4"/>
        <v/>
      </c>
      <c r="E61" s="35" t="str">
        <f t="shared" si="0"/>
        <v/>
      </c>
      <c r="F61" s="31"/>
      <c r="G61" s="29"/>
      <c r="H61" s="78" t="str">
        <f t="shared" si="1"/>
        <v/>
      </c>
      <c r="I61" s="25"/>
      <c r="J61" s="25"/>
      <c r="K61" s="26"/>
      <c r="L61" s="26"/>
      <c r="M61" s="37"/>
      <c r="N61" s="27"/>
      <c r="O61" s="30"/>
      <c r="P61" s="39" t="str">
        <f t="shared" si="5"/>
        <v/>
      </c>
      <c r="Q61" s="40" t="str">
        <f>IF(OR(T61=0,RIGHT(T61,1)=$W$1),"",COUNTIF($T$3:T61,T61))</f>
        <v/>
      </c>
      <c r="S61" s="6">
        <f t="shared" si="6"/>
        <v>0</v>
      </c>
      <c r="T61" s="36">
        <f t="shared" si="7"/>
        <v>0</v>
      </c>
      <c r="V61" s="6">
        <f t="shared" si="8"/>
        <v>0</v>
      </c>
      <c r="Y61" s="8">
        <f t="shared" si="9"/>
        <v>46023</v>
      </c>
    </row>
    <row r="62" spans="2:25" ht="18.75" x14ac:dyDescent="0.3">
      <c r="B62" s="6">
        <f t="shared" si="2"/>
        <v>0</v>
      </c>
      <c r="C62" s="6">
        <f t="shared" si="3"/>
        <v>0</v>
      </c>
      <c r="D62" s="6" t="str">
        <f t="shared" si="4"/>
        <v/>
      </c>
      <c r="E62" s="35" t="str">
        <f t="shared" si="0"/>
        <v/>
      </c>
      <c r="F62" s="31"/>
      <c r="G62" s="29"/>
      <c r="H62" s="78" t="str">
        <f t="shared" si="1"/>
        <v/>
      </c>
      <c r="I62" s="25"/>
      <c r="J62" s="25"/>
      <c r="K62" s="26"/>
      <c r="L62" s="26"/>
      <c r="M62" s="37"/>
      <c r="N62" s="27"/>
      <c r="O62" s="30"/>
      <c r="P62" s="39" t="str">
        <f t="shared" si="5"/>
        <v/>
      </c>
      <c r="Q62" s="40" t="str">
        <f>IF(OR(T62=0,RIGHT(T62,1)=$W$1),"",COUNTIF($T$3:T62,T62))</f>
        <v/>
      </c>
      <c r="S62" s="6">
        <f t="shared" si="6"/>
        <v>0</v>
      </c>
      <c r="T62" s="36">
        <f t="shared" si="7"/>
        <v>0</v>
      </c>
      <c r="V62" s="6">
        <f t="shared" si="8"/>
        <v>0</v>
      </c>
      <c r="Y62" s="8">
        <f t="shared" si="9"/>
        <v>46023</v>
      </c>
    </row>
    <row r="63" spans="2:25" ht="18.75" x14ac:dyDescent="0.3">
      <c r="B63" s="6">
        <f t="shared" si="2"/>
        <v>0</v>
      </c>
      <c r="C63" s="6">
        <f t="shared" si="3"/>
        <v>0</v>
      </c>
      <c r="D63" s="6" t="str">
        <f t="shared" si="4"/>
        <v/>
      </c>
      <c r="E63" s="35" t="str">
        <f t="shared" si="0"/>
        <v/>
      </c>
      <c r="F63" s="31"/>
      <c r="G63" s="29"/>
      <c r="H63" s="78" t="str">
        <f t="shared" si="1"/>
        <v/>
      </c>
      <c r="I63" s="25"/>
      <c r="J63" s="25"/>
      <c r="K63" s="26"/>
      <c r="L63" s="26"/>
      <c r="M63" s="37"/>
      <c r="N63" s="27"/>
      <c r="O63" s="30"/>
      <c r="P63" s="39" t="str">
        <f t="shared" si="5"/>
        <v/>
      </c>
      <c r="Q63" s="40" t="str">
        <f>IF(OR(T63=0,RIGHT(T63,1)=$W$1),"",COUNTIF($T$3:T63,T63))</f>
        <v/>
      </c>
      <c r="S63" s="6">
        <f t="shared" si="6"/>
        <v>0</v>
      </c>
      <c r="T63" s="36">
        <f t="shared" si="7"/>
        <v>0</v>
      </c>
      <c r="V63" s="6">
        <f t="shared" si="8"/>
        <v>0</v>
      </c>
      <c r="Y63" s="8">
        <f t="shared" si="9"/>
        <v>46023</v>
      </c>
    </row>
    <row r="64" spans="2:25" ht="18.75" x14ac:dyDescent="0.3">
      <c r="B64" s="6">
        <f t="shared" si="2"/>
        <v>0</v>
      </c>
      <c r="C64" s="6">
        <f t="shared" si="3"/>
        <v>0</v>
      </c>
      <c r="D64" s="6" t="str">
        <f t="shared" si="4"/>
        <v/>
      </c>
      <c r="E64" s="35" t="str">
        <f t="shared" si="0"/>
        <v/>
      </c>
      <c r="F64" s="31"/>
      <c r="G64" s="29"/>
      <c r="H64" s="78" t="str">
        <f t="shared" si="1"/>
        <v/>
      </c>
      <c r="I64" s="25"/>
      <c r="J64" s="25"/>
      <c r="K64" s="26"/>
      <c r="L64" s="26"/>
      <c r="M64" s="37"/>
      <c r="N64" s="27"/>
      <c r="O64" s="30"/>
      <c r="P64" s="39" t="str">
        <f t="shared" si="5"/>
        <v/>
      </c>
      <c r="Q64" s="40" t="str">
        <f>IF(OR(T64=0,RIGHT(T64,1)=$W$1),"",COUNTIF($T$3:T64,T64))</f>
        <v/>
      </c>
      <c r="S64" s="6">
        <f t="shared" si="6"/>
        <v>0</v>
      </c>
      <c r="T64" s="36">
        <f t="shared" si="7"/>
        <v>0</v>
      </c>
      <c r="V64" s="6">
        <f t="shared" si="8"/>
        <v>0</v>
      </c>
      <c r="Y64" s="8">
        <f t="shared" si="9"/>
        <v>46023</v>
      </c>
    </row>
    <row r="65" spans="2:25" ht="18.75" x14ac:dyDescent="0.3">
      <c r="B65" s="6">
        <f t="shared" si="2"/>
        <v>0</v>
      </c>
      <c r="C65" s="6">
        <f t="shared" si="3"/>
        <v>0</v>
      </c>
      <c r="D65" s="6" t="str">
        <f t="shared" si="4"/>
        <v/>
      </c>
      <c r="E65" s="35" t="str">
        <f t="shared" si="0"/>
        <v/>
      </c>
      <c r="F65" s="31"/>
      <c r="G65" s="29"/>
      <c r="H65" s="78" t="str">
        <f t="shared" si="1"/>
        <v/>
      </c>
      <c r="I65" s="25"/>
      <c r="J65" s="25"/>
      <c r="K65" s="26"/>
      <c r="L65" s="26"/>
      <c r="M65" s="37"/>
      <c r="N65" s="27"/>
      <c r="O65" s="30"/>
      <c r="P65" s="39" t="str">
        <f t="shared" si="5"/>
        <v/>
      </c>
      <c r="Q65" s="40" t="str">
        <f>IF(OR(T65=0,RIGHT(T65,1)=$W$1),"",COUNTIF($T$3:T65,T65))</f>
        <v/>
      </c>
      <c r="S65" s="6">
        <f t="shared" si="6"/>
        <v>0</v>
      </c>
      <c r="T65" s="36">
        <f t="shared" si="7"/>
        <v>0</v>
      </c>
      <c r="V65" s="6">
        <f t="shared" si="8"/>
        <v>0</v>
      </c>
      <c r="Y65" s="8">
        <f t="shared" si="9"/>
        <v>46023</v>
      </c>
    </row>
    <row r="66" spans="2:25" ht="18.75" x14ac:dyDescent="0.3">
      <c r="B66" s="6">
        <f t="shared" si="2"/>
        <v>0</v>
      </c>
      <c r="C66" s="6">
        <f t="shared" si="3"/>
        <v>0</v>
      </c>
      <c r="D66" s="6" t="str">
        <f t="shared" si="4"/>
        <v/>
      </c>
      <c r="E66" s="35" t="str">
        <f t="shared" si="0"/>
        <v/>
      </c>
      <c r="F66" s="31"/>
      <c r="G66" s="29"/>
      <c r="H66" s="78" t="str">
        <f t="shared" si="1"/>
        <v/>
      </c>
      <c r="I66" s="25"/>
      <c r="J66" s="25"/>
      <c r="K66" s="26"/>
      <c r="L66" s="26"/>
      <c r="M66" s="37"/>
      <c r="N66" s="27"/>
      <c r="O66" s="30"/>
      <c r="P66" s="39" t="str">
        <f t="shared" si="5"/>
        <v/>
      </c>
      <c r="Q66" s="40" t="str">
        <f>IF(OR(T66=0,RIGHT(T66,1)=$W$1),"",COUNTIF($T$3:T66,T66))</f>
        <v/>
      </c>
      <c r="S66" s="6">
        <f t="shared" si="6"/>
        <v>0</v>
      </c>
      <c r="T66" s="36">
        <f t="shared" si="7"/>
        <v>0</v>
      </c>
      <c r="V66" s="6">
        <f t="shared" si="8"/>
        <v>0</v>
      </c>
      <c r="Y66" s="8">
        <f t="shared" si="9"/>
        <v>46023</v>
      </c>
    </row>
    <row r="67" spans="2:25" ht="18.75" x14ac:dyDescent="0.3">
      <c r="B67" s="6">
        <f t="shared" si="2"/>
        <v>0</v>
      </c>
      <c r="C67" s="6">
        <f t="shared" si="3"/>
        <v>0</v>
      </c>
      <c r="D67" s="6" t="str">
        <f t="shared" si="4"/>
        <v/>
      </c>
      <c r="E67" s="35" t="str">
        <f t="shared" ref="E67:E130" si="10">IF(D67&lt;&gt;"",D67&amp;" - "&amp;YEAR(F67),"")</f>
        <v/>
      </c>
      <c r="F67" s="31"/>
      <c r="G67" s="29"/>
      <c r="H67" s="78" t="str">
        <f t="shared" ref="H67:H130" si="11">IF(G67&lt;&gt;"",F67,"")</f>
        <v/>
      </c>
      <c r="I67" s="25"/>
      <c r="J67" s="25"/>
      <c r="K67" s="26"/>
      <c r="L67" s="26"/>
      <c r="M67" s="37"/>
      <c r="N67" s="27"/>
      <c r="O67" s="30"/>
      <c r="P67" s="39" t="str">
        <f t="shared" si="5"/>
        <v/>
      </c>
      <c r="Q67" s="40" t="str">
        <f>IF(OR(T67=0,RIGHT(T67,1)=$W$1),"",COUNTIF($T$3:T67,T67))</f>
        <v/>
      </c>
      <c r="S67" s="6">
        <f t="shared" si="6"/>
        <v>0</v>
      </c>
      <c r="T67" s="36">
        <f t="shared" si="7"/>
        <v>0</v>
      </c>
      <c r="V67" s="6">
        <f t="shared" si="8"/>
        <v>0</v>
      </c>
      <c r="Y67" s="8">
        <f t="shared" si="9"/>
        <v>46023</v>
      </c>
    </row>
    <row r="68" spans="2:25" ht="18.75" x14ac:dyDescent="0.3">
      <c r="B68" s="6">
        <f t="shared" ref="B68:B131" si="12">IF($B$1=YEAR(F68),B67+1,B67)</f>
        <v>0</v>
      </c>
      <c r="C68" s="6">
        <f t="shared" ref="C68:C131" si="13">IF(AND($C$1=K68,$Y$1=YEAR(F68)),C67+1,C67)</f>
        <v>0</v>
      </c>
      <c r="D68" s="6" t="str">
        <f t="shared" ref="D68:D131" si="14">IF(F68&lt;&gt;0,IF(YEAR(F68)&lt;&gt;YEAR(F67),1,IF(M68=$AI$1,D67,D67+1)),"")</f>
        <v/>
      </c>
      <c r="E68" s="35" t="str">
        <f t="shared" si="10"/>
        <v/>
      </c>
      <c r="F68" s="31"/>
      <c r="G68" s="29"/>
      <c r="H68" s="78" t="str">
        <f t="shared" si="11"/>
        <v/>
      </c>
      <c r="I68" s="25"/>
      <c r="J68" s="25"/>
      <c r="K68" s="26"/>
      <c r="L68" s="26"/>
      <c r="M68" s="37"/>
      <c r="N68" s="27"/>
      <c r="O68" s="30"/>
      <c r="P68" s="39" t="str">
        <f t="shared" ref="P68:P131" si="15">IF(OR(T68=0,RIGHT(T68,1)=$W$1),"",VLOOKUP(K68,$AD$1:$AK$15,5,FALSE))</f>
        <v/>
      </c>
      <c r="Q68" s="40" t="str">
        <f>IF(OR(T68=0,RIGHT(T68,1)=$W$1),"",COUNTIF($T$3:T68,T68))</f>
        <v/>
      </c>
      <c r="S68" s="6">
        <f t="shared" ref="S68:S131" si="16">IF(AND($C$1=K68,$Y$1=YEAR(F68)),C68,0)</f>
        <v>0</v>
      </c>
      <c r="T68" s="36">
        <f t="shared" ref="T68:T131" si="17">IF(F68=0,0,YEAR(F68)&amp;VLOOKUP(K68,$AD$1:$AE$15,2,FALSE))</f>
        <v>0</v>
      </c>
      <c r="V68" s="6">
        <f t="shared" ref="V68:V131" si="18">IF(AND(YEAR(F68)=$Y$1,K68=$C$1,L68&amp;$V$1&lt;&gt;$V$1),L68,IF(AND(YEAR(F68)=$Y$1,K68=$C$1),1,0))</f>
        <v>0</v>
      </c>
      <c r="Y68" s="8">
        <f t="shared" ref="Y68:Y131" si="19">IF(M68&lt;&gt;$AI$1,$Y$2,F67)</f>
        <v>46023</v>
      </c>
    </row>
    <row r="69" spans="2:25" ht="18.75" x14ac:dyDescent="0.3">
      <c r="B69" s="6">
        <f t="shared" si="12"/>
        <v>0</v>
      </c>
      <c r="C69" s="6">
        <f t="shared" si="13"/>
        <v>0</v>
      </c>
      <c r="D69" s="6" t="str">
        <f t="shared" si="14"/>
        <v/>
      </c>
      <c r="E69" s="35" t="str">
        <f t="shared" si="10"/>
        <v/>
      </c>
      <c r="F69" s="31"/>
      <c r="G69" s="29"/>
      <c r="H69" s="78" t="str">
        <f t="shared" si="11"/>
        <v/>
      </c>
      <c r="I69" s="25"/>
      <c r="J69" s="25"/>
      <c r="K69" s="26"/>
      <c r="L69" s="26"/>
      <c r="M69" s="37"/>
      <c r="N69" s="27"/>
      <c r="O69" s="30"/>
      <c r="P69" s="39" t="str">
        <f t="shared" si="15"/>
        <v/>
      </c>
      <c r="Q69" s="40" t="str">
        <f>IF(OR(T69=0,RIGHT(T69,1)=$W$1),"",COUNTIF($T$3:T69,T69))</f>
        <v/>
      </c>
      <c r="S69" s="6">
        <f t="shared" si="16"/>
        <v>0</v>
      </c>
      <c r="T69" s="36">
        <f t="shared" si="17"/>
        <v>0</v>
      </c>
      <c r="V69" s="6">
        <f t="shared" si="18"/>
        <v>0</v>
      </c>
      <c r="Y69" s="8">
        <f t="shared" si="19"/>
        <v>46023</v>
      </c>
    </row>
    <row r="70" spans="2:25" ht="18.75" x14ac:dyDescent="0.3">
      <c r="B70" s="6">
        <f t="shared" si="12"/>
        <v>0</v>
      </c>
      <c r="C70" s="6">
        <f t="shared" si="13"/>
        <v>0</v>
      </c>
      <c r="D70" s="6" t="str">
        <f t="shared" si="14"/>
        <v/>
      </c>
      <c r="E70" s="35" t="str">
        <f t="shared" si="10"/>
        <v/>
      </c>
      <c r="F70" s="31"/>
      <c r="G70" s="29"/>
      <c r="H70" s="78" t="str">
        <f t="shared" si="11"/>
        <v/>
      </c>
      <c r="I70" s="25"/>
      <c r="J70" s="25"/>
      <c r="K70" s="26"/>
      <c r="L70" s="26"/>
      <c r="M70" s="37"/>
      <c r="N70" s="27"/>
      <c r="O70" s="30"/>
      <c r="P70" s="39" t="str">
        <f t="shared" si="15"/>
        <v/>
      </c>
      <c r="Q70" s="40" t="str">
        <f>IF(OR(T70=0,RIGHT(T70,1)=$W$1),"",COUNTIF($T$3:T70,T70))</f>
        <v/>
      </c>
      <c r="S70" s="6">
        <f t="shared" si="16"/>
        <v>0</v>
      </c>
      <c r="T70" s="36">
        <f t="shared" si="17"/>
        <v>0</v>
      </c>
      <c r="V70" s="6">
        <f t="shared" si="18"/>
        <v>0</v>
      </c>
      <c r="Y70" s="8">
        <f t="shared" si="19"/>
        <v>46023</v>
      </c>
    </row>
    <row r="71" spans="2:25" ht="18.75" x14ac:dyDescent="0.3">
      <c r="B71" s="6">
        <f t="shared" si="12"/>
        <v>0</v>
      </c>
      <c r="C71" s="6">
        <f t="shared" si="13"/>
        <v>0</v>
      </c>
      <c r="D71" s="6" t="str">
        <f t="shared" si="14"/>
        <v/>
      </c>
      <c r="E71" s="35" t="str">
        <f t="shared" si="10"/>
        <v/>
      </c>
      <c r="F71" s="31"/>
      <c r="G71" s="29"/>
      <c r="H71" s="78" t="str">
        <f t="shared" si="11"/>
        <v/>
      </c>
      <c r="I71" s="25"/>
      <c r="J71" s="25"/>
      <c r="K71" s="26"/>
      <c r="L71" s="26"/>
      <c r="M71" s="37"/>
      <c r="N71" s="27"/>
      <c r="O71" s="30"/>
      <c r="P71" s="39" t="str">
        <f t="shared" si="15"/>
        <v/>
      </c>
      <c r="Q71" s="40" t="str">
        <f>IF(OR(T71=0,RIGHT(T71,1)=$W$1),"",COUNTIF($T$3:T71,T71))</f>
        <v/>
      </c>
      <c r="S71" s="6">
        <f t="shared" si="16"/>
        <v>0</v>
      </c>
      <c r="T71" s="36">
        <f t="shared" si="17"/>
        <v>0</v>
      </c>
      <c r="V71" s="6">
        <f t="shared" si="18"/>
        <v>0</v>
      </c>
      <c r="Y71" s="8">
        <f t="shared" si="19"/>
        <v>46023</v>
      </c>
    </row>
    <row r="72" spans="2:25" ht="18.75" x14ac:dyDescent="0.3">
      <c r="B72" s="6">
        <f t="shared" si="12"/>
        <v>0</v>
      </c>
      <c r="C72" s="6">
        <f t="shared" si="13"/>
        <v>0</v>
      </c>
      <c r="D72" s="6" t="str">
        <f t="shared" si="14"/>
        <v/>
      </c>
      <c r="E72" s="35" t="str">
        <f t="shared" si="10"/>
        <v/>
      </c>
      <c r="F72" s="31"/>
      <c r="G72" s="29"/>
      <c r="H72" s="78" t="str">
        <f t="shared" si="11"/>
        <v/>
      </c>
      <c r="I72" s="25"/>
      <c r="J72" s="25"/>
      <c r="K72" s="26"/>
      <c r="L72" s="26"/>
      <c r="M72" s="37"/>
      <c r="N72" s="27"/>
      <c r="O72" s="30"/>
      <c r="P72" s="39" t="str">
        <f t="shared" si="15"/>
        <v/>
      </c>
      <c r="Q72" s="40" t="str">
        <f>IF(OR(T72=0,RIGHT(T72,1)=$W$1),"",COUNTIF($T$3:T72,T72))</f>
        <v/>
      </c>
      <c r="S72" s="6">
        <f t="shared" si="16"/>
        <v>0</v>
      </c>
      <c r="T72" s="36">
        <f t="shared" si="17"/>
        <v>0</v>
      </c>
      <c r="V72" s="6">
        <f t="shared" si="18"/>
        <v>0</v>
      </c>
      <c r="Y72" s="8">
        <f t="shared" si="19"/>
        <v>46023</v>
      </c>
    </row>
    <row r="73" spans="2:25" ht="18.75" x14ac:dyDescent="0.3">
      <c r="B73" s="6">
        <f t="shared" si="12"/>
        <v>0</v>
      </c>
      <c r="C73" s="6">
        <f t="shared" si="13"/>
        <v>0</v>
      </c>
      <c r="D73" s="6" t="str">
        <f t="shared" si="14"/>
        <v/>
      </c>
      <c r="E73" s="35" t="str">
        <f t="shared" si="10"/>
        <v/>
      </c>
      <c r="F73" s="31"/>
      <c r="G73" s="29"/>
      <c r="H73" s="78" t="str">
        <f t="shared" si="11"/>
        <v/>
      </c>
      <c r="I73" s="25"/>
      <c r="J73" s="25"/>
      <c r="K73" s="26"/>
      <c r="L73" s="26"/>
      <c r="M73" s="37"/>
      <c r="N73" s="27"/>
      <c r="O73" s="30"/>
      <c r="P73" s="39" t="str">
        <f t="shared" si="15"/>
        <v/>
      </c>
      <c r="Q73" s="40" t="str">
        <f>IF(OR(T73=0,RIGHT(T73,1)=$W$1),"",COUNTIF($T$3:T73,T73))</f>
        <v/>
      </c>
      <c r="S73" s="6">
        <f t="shared" si="16"/>
        <v>0</v>
      </c>
      <c r="T73" s="36">
        <f t="shared" si="17"/>
        <v>0</v>
      </c>
      <c r="V73" s="6">
        <f t="shared" si="18"/>
        <v>0</v>
      </c>
      <c r="Y73" s="8">
        <f t="shared" si="19"/>
        <v>46023</v>
      </c>
    </row>
    <row r="74" spans="2:25" ht="18.75" x14ac:dyDescent="0.3">
      <c r="B74" s="6">
        <f t="shared" si="12"/>
        <v>0</v>
      </c>
      <c r="C74" s="6">
        <f t="shared" si="13"/>
        <v>0</v>
      </c>
      <c r="D74" s="6" t="str">
        <f t="shared" si="14"/>
        <v/>
      </c>
      <c r="E74" s="35" t="str">
        <f t="shared" si="10"/>
        <v/>
      </c>
      <c r="F74" s="31"/>
      <c r="G74" s="29"/>
      <c r="H74" s="78" t="str">
        <f t="shared" si="11"/>
        <v/>
      </c>
      <c r="I74" s="25"/>
      <c r="J74" s="25"/>
      <c r="K74" s="26"/>
      <c r="L74" s="26"/>
      <c r="M74" s="37"/>
      <c r="N74" s="27"/>
      <c r="O74" s="30"/>
      <c r="P74" s="39" t="str">
        <f t="shared" si="15"/>
        <v/>
      </c>
      <c r="Q74" s="40" t="str">
        <f>IF(OR(T74=0,RIGHT(T74,1)=$W$1),"",COUNTIF($T$3:T74,T74))</f>
        <v/>
      </c>
      <c r="S74" s="6">
        <f t="shared" si="16"/>
        <v>0</v>
      </c>
      <c r="T74" s="36">
        <f t="shared" si="17"/>
        <v>0</v>
      </c>
      <c r="V74" s="6">
        <f t="shared" si="18"/>
        <v>0</v>
      </c>
      <c r="Y74" s="8">
        <f t="shared" si="19"/>
        <v>46023</v>
      </c>
    </row>
    <row r="75" spans="2:25" ht="18.75" x14ac:dyDescent="0.3">
      <c r="B75" s="6">
        <f t="shared" si="12"/>
        <v>0</v>
      </c>
      <c r="C75" s="6">
        <f t="shared" si="13"/>
        <v>0</v>
      </c>
      <c r="D75" s="6" t="str">
        <f t="shared" si="14"/>
        <v/>
      </c>
      <c r="E75" s="35" t="str">
        <f t="shared" si="10"/>
        <v/>
      </c>
      <c r="F75" s="31"/>
      <c r="G75" s="29"/>
      <c r="H75" s="78" t="str">
        <f t="shared" si="11"/>
        <v/>
      </c>
      <c r="I75" s="25"/>
      <c r="J75" s="25"/>
      <c r="K75" s="26"/>
      <c r="L75" s="26"/>
      <c r="M75" s="37"/>
      <c r="N75" s="27"/>
      <c r="O75" s="30"/>
      <c r="P75" s="39" t="str">
        <f t="shared" si="15"/>
        <v/>
      </c>
      <c r="Q75" s="40" t="str">
        <f>IF(OR(T75=0,RIGHT(T75,1)=$W$1),"",COUNTIF($T$3:T75,T75))</f>
        <v/>
      </c>
      <c r="S75" s="6">
        <f t="shared" si="16"/>
        <v>0</v>
      </c>
      <c r="T75" s="36">
        <f t="shared" si="17"/>
        <v>0</v>
      </c>
      <c r="V75" s="6">
        <f t="shared" si="18"/>
        <v>0</v>
      </c>
      <c r="Y75" s="8">
        <f t="shared" si="19"/>
        <v>46023</v>
      </c>
    </row>
    <row r="76" spans="2:25" ht="18.75" x14ac:dyDescent="0.3">
      <c r="B76" s="6">
        <f t="shared" si="12"/>
        <v>0</v>
      </c>
      <c r="C76" s="6">
        <f t="shared" si="13"/>
        <v>0</v>
      </c>
      <c r="D76" s="6" t="str">
        <f t="shared" si="14"/>
        <v/>
      </c>
      <c r="E76" s="35" t="str">
        <f t="shared" si="10"/>
        <v/>
      </c>
      <c r="F76" s="31"/>
      <c r="G76" s="29"/>
      <c r="H76" s="78" t="str">
        <f t="shared" si="11"/>
        <v/>
      </c>
      <c r="I76" s="25"/>
      <c r="J76" s="25"/>
      <c r="K76" s="26"/>
      <c r="L76" s="26"/>
      <c r="M76" s="37"/>
      <c r="N76" s="27"/>
      <c r="O76" s="30"/>
      <c r="P76" s="39" t="str">
        <f t="shared" si="15"/>
        <v/>
      </c>
      <c r="Q76" s="40" t="str">
        <f>IF(OR(T76=0,RIGHT(T76,1)=$W$1),"",COUNTIF($T$3:T76,T76))</f>
        <v/>
      </c>
      <c r="S76" s="6">
        <f t="shared" si="16"/>
        <v>0</v>
      </c>
      <c r="T76" s="36">
        <f t="shared" si="17"/>
        <v>0</v>
      </c>
      <c r="V76" s="6">
        <f t="shared" si="18"/>
        <v>0</v>
      </c>
      <c r="Y76" s="8">
        <f t="shared" si="19"/>
        <v>46023</v>
      </c>
    </row>
    <row r="77" spans="2:25" ht="18.75" x14ac:dyDescent="0.3">
      <c r="B77" s="6">
        <f t="shared" si="12"/>
        <v>0</v>
      </c>
      <c r="C77" s="6">
        <f t="shared" si="13"/>
        <v>0</v>
      </c>
      <c r="D77" s="6" t="str">
        <f t="shared" si="14"/>
        <v/>
      </c>
      <c r="E77" s="35" t="str">
        <f t="shared" si="10"/>
        <v/>
      </c>
      <c r="F77" s="31"/>
      <c r="G77" s="29"/>
      <c r="H77" s="78" t="str">
        <f t="shared" si="11"/>
        <v/>
      </c>
      <c r="I77" s="25"/>
      <c r="J77" s="25"/>
      <c r="K77" s="26"/>
      <c r="L77" s="26"/>
      <c r="M77" s="37"/>
      <c r="N77" s="27"/>
      <c r="O77" s="30"/>
      <c r="P77" s="39" t="str">
        <f t="shared" si="15"/>
        <v/>
      </c>
      <c r="Q77" s="40" t="str">
        <f>IF(OR(T77=0,RIGHT(T77,1)=$W$1),"",COUNTIF($T$3:T77,T77))</f>
        <v/>
      </c>
      <c r="S77" s="6">
        <f t="shared" si="16"/>
        <v>0</v>
      </c>
      <c r="T77" s="36">
        <f t="shared" si="17"/>
        <v>0</v>
      </c>
      <c r="V77" s="6">
        <f t="shared" si="18"/>
        <v>0</v>
      </c>
      <c r="Y77" s="8">
        <f t="shared" si="19"/>
        <v>46023</v>
      </c>
    </row>
    <row r="78" spans="2:25" ht="18.75" x14ac:dyDescent="0.3">
      <c r="B78" s="6">
        <f t="shared" si="12"/>
        <v>0</v>
      </c>
      <c r="C78" s="6">
        <f t="shared" si="13"/>
        <v>0</v>
      </c>
      <c r="D78" s="6" t="str">
        <f t="shared" si="14"/>
        <v/>
      </c>
      <c r="E78" s="35" t="str">
        <f t="shared" si="10"/>
        <v/>
      </c>
      <c r="F78" s="31"/>
      <c r="G78" s="29"/>
      <c r="H78" s="78" t="str">
        <f t="shared" si="11"/>
        <v/>
      </c>
      <c r="I78" s="25"/>
      <c r="J78" s="25"/>
      <c r="K78" s="26"/>
      <c r="L78" s="26"/>
      <c r="M78" s="37"/>
      <c r="N78" s="27"/>
      <c r="O78" s="30"/>
      <c r="P78" s="39" t="str">
        <f t="shared" si="15"/>
        <v/>
      </c>
      <c r="Q78" s="40" t="str">
        <f>IF(OR(T78=0,RIGHT(T78,1)=$W$1),"",COUNTIF($T$3:T78,T78))</f>
        <v/>
      </c>
      <c r="S78" s="6">
        <f t="shared" si="16"/>
        <v>0</v>
      </c>
      <c r="T78" s="36">
        <f t="shared" si="17"/>
        <v>0</v>
      </c>
      <c r="V78" s="6">
        <f t="shared" si="18"/>
        <v>0</v>
      </c>
      <c r="Y78" s="8">
        <f t="shared" si="19"/>
        <v>46023</v>
      </c>
    </row>
    <row r="79" spans="2:25" ht="18.75" x14ac:dyDescent="0.3">
      <c r="B79" s="6">
        <f t="shared" si="12"/>
        <v>0</v>
      </c>
      <c r="C79" s="6">
        <f t="shared" si="13"/>
        <v>0</v>
      </c>
      <c r="D79" s="6" t="str">
        <f t="shared" si="14"/>
        <v/>
      </c>
      <c r="E79" s="35" t="str">
        <f t="shared" si="10"/>
        <v/>
      </c>
      <c r="F79" s="31"/>
      <c r="G79" s="29"/>
      <c r="H79" s="78" t="str">
        <f t="shared" si="11"/>
        <v/>
      </c>
      <c r="I79" s="25"/>
      <c r="J79" s="25"/>
      <c r="K79" s="26"/>
      <c r="L79" s="26"/>
      <c r="M79" s="37"/>
      <c r="N79" s="27"/>
      <c r="O79" s="30"/>
      <c r="P79" s="39" t="str">
        <f t="shared" si="15"/>
        <v/>
      </c>
      <c r="Q79" s="40" t="str">
        <f>IF(OR(T79=0,RIGHT(T79,1)=$W$1),"",COUNTIF($T$3:T79,T79))</f>
        <v/>
      </c>
      <c r="S79" s="6">
        <f t="shared" si="16"/>
        <v>0</v>
      </c>
      <c r="T79" s="36">
        <f t="shared" si="17"/>
        <v>0</v>
      </c>
      <c r="V79" s="6">
        <f t="shared" si="18"/>
        <v>0</v>
      </c>
      <c r="Y79" s="8">
        <f t="shared" si="19"/>
        <v>46023</v>
      </c>
    </row>
    <row r="80" spans="2:25" ht="18.75" x14ac:dyDescent="0.3">
      <c r="B80" s="6">
        <f t="shared" si="12"/>
        <v>0</v>
      </c>
      <c r="C80" s="6">
        <f t="shared" si="13"/>
        <v>0</v>
      </c>
      <c r="D80" s="6" t="str">
        <f t="shared" si="14"/>
        <v/>
      </c>
      <c r="E80" s="35" t="str">
        <f t="shared" si="10"/>
        <v/>
      </c>
      <c r="F80" s="31"/>
      <c r="G80" s="29"/>
      <c r="H80" s="78" t="str">
        <f t="shared" si="11"/>
        <v/>
      </c>
      <c r="I80" s="25"/>
      <c r="J80" s="25"/>
      <c r="K80" s="26"/>
      <c r="L80" s="26"/>
      <c r="M80" s="37"/>
      <c r="N80" s="27"/>
      <c r="O80" s="30"/>
      <c r="P80" s="39" t="str">
        <f t="shared" si="15"/>
        <v/>
      </c>
      <c r="Q80" s="40" t="str">
        <f>IF(OR(T80=0,RIGHT(T80,1)=$W$1),"",COUNTIF($T$3:T80,T80))</f>
        <v/>
      </c>
      <c r="S80" s="6">
        <f t="shared" si="16"/>
        <v>0</v>
      </c>
      <c r="T80" s="36">
        <f t="shared" si="17"/>
        <v>0</v>
      </c>
      <c r="V80" s="6">
        <f t="shared" si="18"/>
        <v>0</v>
      </c>
      <c r="Y80" s="8">
        <f t="shared" si="19"/>
        <v>46023</v>
      </c>
    </row>
    <row r="81" spans="2:25" ht="18.75" x14ac:dyDescent="0.3">
      <c r="B81" s="6">
        <f t="shared" si="12"/>
        <v>0</v>
      </c>
      <c r="C81" s="6">
        <f t="shared" si="13"/>
        <v>0</v>
      </c>
      <c r="D81" s="6" t="str">
        <f t="shared" si="14"/>
        <v/>
      </c>
      <c r="E81" s="35" t="str">
        <f t="shared" si="10"/>
        <v/>
      </c>
      <c r="F81" s="31"/>
      <c r="G81" s="29"/>
      <c r="H81" s="78" t="str">
        <f t="shared" si="11"/>
        <v/>
      </c>
      <c r="I81" s="25"/>
      <c r="J81" s="25"/>
      <c r="K81" s="26"/>
      <c r="L81" s="26"/>
      <c r="M81" s="37"/>
      <c r="N81" s="27"/>
      <c r="O81" s="30"/>
      <c r="P81" s="39" t="str">
        <f t="shared" si="15"/>
        <v/>
      </c>
      <c r="Q81" s="40" t="str">
        <f>IF(OR(T81=0,RIGHT(T81,1)=$W$1),"",COUNTIF($T$3:T81,T81))</f>
        <v/>
      </c>
      <c r="S81" s="6">
        <f t="shared" si="16"/>
        <v>0</v>
      </c>
      <c r="T81" s="36">
        <f t="shared" si="17"/>
        <v>0</v>
      </c>
      <c r="V81" s="6">
        <f t="shared" si="18"/>
        <v>0</v>
      </c>
      <c r="Y81" s="8">
        <f t="shared" si="19"/>
        <v>46023</v>
      </c>
    </row>
    <row r="82" spans="2:25" ht="18.75" x14ac:dyDescent="0.3">
      <c r="B82" s="6">
        <f t="shared" si="12"/>
        <v>0</v>
      </c>
      <c r="C82" s="6">
        <f t="shared" si="13"/>
        <v>0</v>
      </c>
      <c r="D82" s="6" t="str">
        <f t="shared" si="14"/>
        <v/>
      </c>
      <c r="E82" s="35" t="str">
        <f t="shared" si="10"/>
        <v/>
      </c>
      <c r="F82" s="31"/>
      <c r="G82" s="29"/>
      <c r="H82" s="78" t="str">
        <f t="shared" si="11"/>
        <v/>
      </c>
      <c r="I82" s="25"/>
      <c r="J82" s="25"/>
      <c r="K82" s="26"/>
      <c r="L82" s="26"/>
      <c r="M82" s="37"/>
      <c r="N82" s="27"/>
      <c r="O82" s="30"/>
      <c r="P82" s="39" t="str">
        <f t="shared" si="15"/>
        <v/>
      </c>
      <c r="Q82" s="40" t="str">
        <f>IF(OR(T82=0,RIGHT(T82,1)=$W$1),"",COUNTIF($T$3:T82,T82))</f>
        <v/>
      </c>
      <c r="S82" s="6">
        <f t="shared" si="16"/>
        <v>0</v>
      </c>
      <c r="T82" s="36">
        <f t="shared" si="17"/>
        <v>0</v>
      </c>
      <c r="V82" s="6">
        <f t="shared" si="18"/>
        <v>0</v>
      </c>
      <c r="Y82" s="8">
        <f t="shared" si="19"/>
        <v>46023</v>
      </c>
    </row>
    <row r="83" spans="2:25" ht="18.75" x14ac:dyDescent="0.3">
      <c r="B83" s="6">
        <f t="shared" si="12"/>
        <v>0</v>
      </c>
      <c r="C83" s="6">
        <f t="shared" si="13"/>
        <v>0</v>
      </c>
      <c r="D83" s="6" t="str">
        <f t="shared" si="14"/>
        <v/>
      </c>
      <c r="E83" s="35" t="str">
        <f t="shared" si="10"/>
        <v/>
      </c>
      <c r="F83" s="31"/>
      <c r="G83" s="29"/>
      <c r="H83" s="78" t="str">
        <f t="shared" si="11"/>
        <v/>
      </c>
      <c r="I83" s="25"/>
      <c r="J83" s="25"/>
      <c r="K83" s="26"/>
      <c r="L83" s="26"/>
      <c r="M83" s="37"/>
      <c r="N83" s="27"/>
      <c r="O83" s="30"/>
      <c r="P83" s="39" t="str">
        <f t="shared" si="15"/>
        <v/>
      </c>
      <c r="Q83" s="40" t="str">
        <f>IF(OR(T83=0,RIGHT(T83,1)=$W$1),"",COUNTIF($T$3:T83,T83))</f>
        <v/>
      </c>
      <c r="S83" s="6">
        <f t="shared" si="16"/>
        <v>0</v>
      </c>
      <c r="T83" s="36">
        <f t="shared" si="17"/>
        <v>0</v>
      </c>
      <c r="V83" s="6">
        <f t="shared" si="18"/>
        <v>0</v>
      </c>
      <c r="Y83" s="8">
        <f t="shared" si="19"/>
        <v>46023</v>
      </c>
    </row>
    <row r="84" spans="2:25" ht="18.75" x14ac:dyDescent="0.3">
      <c r="B84" s="6">
        <f t="shared" si="12"/>
        <v>0</v>
      </c>
      <c r="C84" s="6">
        <f t="shared" si="13"/>
        <v>0</v>
      </c>
      <c r="D84" s="6" t="str">
        <f t="shared" si="14"/>
        <v/>
      </c>
      <c r="E84" s="35" t="str">
        <f t="shared" si="10"/>
        <v/>
      </c>
      <c r="F84" s="31"/>
      <c r="G84" s="29"/>
      <c r="H84" s="78" t="str">
        <f t="shared" si="11"/>
        <v/>
      </c>
      <c r="I84" s="25"/>
      <c r="J84" s="25"/>
      <c r="K84" s="26"/>
      <c r="L84" s="26"/>
      <c r="M84" s="37"/>
      <c r="N84" s="27"/>
      <c r="O84" s="30"/>
      <c r="P84" s="39" t="str">
        <f t="shared" si="15"/>
        <v/>
      </c>
      <c r="Q84" s="40" t="str">
        <f>IF(OR(T84=0,RIGHT(T84,1)=$W$1),"",COUNTIF($T$3:T84,T84))</f>
        <v/>
      </c>
      <c r="S84" s="6">
        <f t="shared" si="16"/>
        <v>0</v>
      </c>
      <c r="T84" s="36">
        <f t="shared" si="17"/>
        <v>0</v>
      </c>
      <c r="V84" s="6">
        <f t="shared" si="18"/>
        <v>0</v>
      </c>
      <c r="Y84" s="8">
        <f t="shared" si="19"/>
        <v>46023</v>
      </c>
    </row>
    <row r="85" spans="2:25" ht="18.75" x14ac:dyDescent="0.3">
      <c r="B85" s="6">
        <f t="shared" si="12"/>
        <v>0</v>
      </c>
      <c r="C85" s="6">
        <f t="shared" si="13"/>
        <v>0</v>
      </c>
      <c r="D85" s="6" t="str">
        <f t="shared" si="14"/>
        <v/>
      </c>
      <c r="E85" s="35" t="str">
        <f t="shared" si="10"/>
        <v/>
      </c>
      <c r="F85" s="31"/>
      <c r="G85" s="29"/>
      <c r="H85" s="78" t="str">
        <f t="shared" si="11"/>
        <v/>
      </c>
      <c r="I85" s="25"/>
      <c r="J85" s="25"/>
      <c r="K85" s="26"/>
      <c r="L85" s="26"/>
      <c r="M85" s="37"/>
      <c r="N85" s="27"/>
      <c r="O85" s="30"/>
      <c r="P85" s="39" t="str">
        <f t="shared" si="15"/>
        <v/>
      </c>
      <c r="Q85" s="40" t="str">
        <f>IF(OR(T85=0,RIGHT(T85,1)=$W$1),"",COUNTIF($T$3:T85,T85))</f>
        <v/>
      </c>
      <c r="S85" s="6">
        <f t="shared" si="16"/>
        <v>0</v>
      </c>
      <c r="T85" s="36">
        <f t="shared" si="17"/>
        <v>0</v>
      </c>
      <c r="V85" s="6">
        <f t="shared" si="18"/>
        <v>0</v>
      </c>
      <c r="Y85" s="8">
        <f t="shared" si="19"/>
        <v>46023</v>
      </c>
    </row>
    <row r="86" spans="2:25" ht="18.75" x14ac:dyDescent="0.3">
      <c r="B86" s="6">
        <f t="shared" si="12"/>
        <v>0</v>
      </c>
      <c r="C86" s="6">
        <f t="shared" si="13"/>
        <v>0</v>
      </c>
      <c r="D86" s="6" t="str">
        <f t="shared" si="14"/>
        <v/>
      </c>
      <c r="E86" s="35" t="str">
        <f t="shared" si="10"/>
        <v/>
      </c>
      <c r="F86" s="31"/>
      <c r="G86" s="29"/>
      <c r="H86" s="78" t="str">
        <f t="shared" si="11"/>
        <v/>
      </c>
      <c r="I86" s="25"/>
      <c r="J86" s="25"/>
      <c r="K86" s="26"/>
      <c r="L86" s="26"/>
      <c r="M86" s="37"/>
      <c r="N86" s="27"/>
      <c r="O86" s="30"/>
      <c r="P86" s="39" t="str">
        <f t="shared" si="15"/>
        <v/>
      </c>
      <c r="Q86" s="40" t="str">
        <f>IF(OR(T86=0,RIGHT(T86,1)=$W$1),"",COUNTIF($T$3:T86,T86))</f>
        <v/>
      </c>
      <c r="S86" s="6">
        <f t="shared" si="16"/>
        <v>0</v>
      </c>
      <c r="T86" s="36">
        <f t="shared" si="17"/>
        <v>0</v>
      </c>
      <c r="V86" s="6">
        <f t="shared" si="18"/>
        <v>0</v>
      </c>
      <c r="Y86" s="8">
        <f t="shared" si="19"/>
        <v>46023</v>
      </c>
    </row>
    <row r="87" spans="2:25" ht="18.75" x14ac:dyDescent="0.3">
      <c r="B87" s="6">
        <f t="shared" si="12"/>
        <v>0</v>
      </c>
      <c r="C87" s="6">
        <f t="shared" si="13"/>
        <v>0</v>
      </c>
      <c r="D87" s="6" t="str">
        <f t="shared" si="14"/>
        <v/>
      </c>
      <c r="E87" s="35" t="str">
        <f t="shared" si="10"/>
        <v/>
      </c>
      <c r="F87" s="31"/>
      <c r="G87" s="29"/>
      <c r="H87" s="78" t="str">
        <f t="shared" si="11"/>
        <v/>
      </c>
      <c r="I87" s="25"/>
      <c r="J87" s="25"/>
      <c r="K87" s="26"/>
      <c r="L87" s="26"/>
      <c r="M87" s="37"/>
      <c r="N87" s="27"/>
      <c r="O87" s="30"/>
      <c r="P87" s="39" t="str">
        <f t="shared" si="15"/>
        <v/>
      </c>
      <c r="Q87" s="40" t="str">
        <f>IF(OR(T87=0,RIGHT(T87,1)=$W$1),"",COUNTIF($T$3:T87,T87))</f>
        <v/>
      </c>
      <c r="S87" s="6">
        <f t="shared" si="16"/>
        <v>0</v>
      </c>
      <c r="T87" s="36">
        <f t="shared" si="17"/>
        <v>0</v>
      </c>
      <c r="V87" s="6">
        <f t="shared" si="18"/>
        <v>0</v>
      </c>
      <c r="Y87" s="8">
        <f t="shared" si="19"/>
        <v>46023</v>
      </c>
    </row>
    <row r="88" spans="2:25" ht="18.75" x14ac:dyDescent="0.3">
      <c r="B88" s="6">
        <f t="shared" si="12"/>
        <v>0</v>
      </c>
      <c r="C88" s="6">
        <f t="shared" si="13"/>
        <v>0</v>
      </c>
      <c r="D88" s="6" t="str">
        <f t="shared" si="14"/>
        <v/>
      </c>
      <c r="E88" s="35" t="str">
        <f t="shared" si="10"/>
        <v/>
      </c>
      <c r="F88" s="31"/>
      <c r="G88" s="29"/>
      <c r="H88" s="78" t="str">
        <f t="shared" si="11"/>
        <v/>
      </c>
      <c r="I88" s="25"/>
      <c r="J88" s="25"/>
      <c r="K88" s="26"/>
      <c r="L88" s="26"/>
      <c r="M88" s="37"/>
      <c r="N88" s="27"/>
      <c r="O88" s="30"/>
      <c r="P88" s="39" t="str">
        <f t="shared" si="15"/>
        <v/>
      </c>
      <c r="Q88" s="40" t="str">
        <f>IF(OR(T88=0,RIGHT(T88,1)=$W$1),"",COUNTIF($T$3:T88,T88))</f>
        <v/>
      </c>
      <c r="S88" s="6">
        <f t="shared" si="16"/>
        <v>0</v>
      </c>
      <c r="T88" s="36">
        <f t="shared" si="17"/>
        <v>0</v>
      </c>
      <c r="V88" s="6">
        <f t="shared" si="18"/>
        <v>0</v>
      </c>
      <c r="Y88" s="8">
        <f t="shared" si="19"/>
        <v>46023</v>
      </c>
    </row>
    <row r="89" spans="2:25" ht="18.75" x14ac:dyDescent="0.3">
      <c r="B89" s="6">
        <f t="shared" si="12"/>
        <v>0</v>
      </c>
      <c r="C89" s="6">
        <f t="shared" si="13"/>
        <v>0</v>
      </c>
      <c r="D89" s="6" t="str">
        <f t="shared" si="14"/>
        <v/>
      </c>
      <c r="E89" s="35" t="str">
        <f t="shared" si="10"/>
        <v/>
      </c>
      <c r="F89" s="31"/>
      <c r="G89" s="29"/>
      <c r="H89" s="78" t="str">
        <f t="shared" si="11"/>
        <v/>
      </c>
      <c r="I89" s="25"/>
      <c r="J89" s="25"/>
      <c r="K89" s="26"/>
      <c r="L89" s="26"/>
      <c r="M89" s="37"/>
      <c r="N89" s="27"/>
      <c r="O89" s="30"/>
      <c r="P89" s="39" t="str">
        <f t="shared" si="15"/>
        <v/>
      </c>
      <c r="Q89" s="40" t="str">
        <f>IF(OR(T89=0,RIGHT(T89,1)=$W$1),"",COUNTIF($T$3:T89,T89))</f>
        <v/>
      </c>
      <c r="S89" s="6">
        <f t="shared" si="16"/>
        <v>0</v>
      </c>
      <c r="T89" s="36">
        <f t="shared" si="17"/>
        <v>0</v>
      </c>
      <c r="V89" s="6">
        <f t="shared" si="18"/>
        <v>0</v>
      </c>
      <c r="Y89" s="8">
        <f t="shared" si="19"/>
        <v>46023</v>
      </c>
    </row>
    <row r="90" spans="2:25" ht="18.75" x14ac:dyDescent="0.3">
      <c r="B90" s="6">
        <f t="shared" si="12"/>
        <v>0</v>
      </c>
      <c r="C90" s="6">
        <f t="shared" si="13"/>
        <v>0</v>
      </c>
      <c r="D90" s="6" t="str">
        <f t="shared" si="14"/>
        <v/>
      </c>
      <c r="E90" s="35" t="str">
        <f t="shared" si="10"/>
        <v/>
      </c>
      <c r="F90" s="31"/>
      <c r="G90" s="29"/>
      <c r="H90" s="78" t="str">
        <f t="shared" si="11"/>
        <v/>
      </c>
      <c r="I90" s="25"/>
      <c r="J90" s="25"/>
      <c r="K90" s="26"/>
      <c r="L90" s="26"/>
      <c r="M90" s="37"/>
      <c r="N90" s="27"/>
      <c r="O90" s="30"/>
      <c r="P90" s="39" t="str">
        <f t="shared" si="15"/>
        <v/>
      </c>
      <c r="Q90" s="40" t="str">
        <f>IF(OR(T90=0,RIGHT(T90,1)=$W$1),"",COUNTIF($T$3:T90,T90))</f>
        <v/>
      </c>
      <c r="S90" s="6">
        <f t="shared" si="16"/>
        <v>0</v>
      </c>
      <c r="T90" s="36">
        <f t="shared" si="17"/>
        <v>0</v>
      </c>
      <c r="V90" s="6">
        <f t="shared" si="18"/>
        <v>0</v>
      </c>
      <c r="Y90" s="8">
        <f t="shared" si="19"/>
        <v>46023</v>
      </c>
    </row>
    <row r="91" spans="2:25" ht="18.75" x14ac:dyDescent="0.3">
      <c r="B91" s="6">
        <f t="shared" si="12"/>
        <v>0</v>
      </c>
      <c r="C91" s="6">
        <f t="shared" si="13"/>
        <v>0</v>
      </c>
      <c r="D91" s="6" t="str">
        <f t="shared" si="14"/>
        <v/>
      </c>
      <c r="E91" s="35" t="str">
        <f t="shared" si="10"/>
        <v/>
      </c>
      <c r="F91" s="31"/>
      <c r="G91" s="29"/>
      <c r="H91" s="78" t="str">
        <f t="shared" si="11"/>
        <v/>
      </c>
      <c r="I91" s="25"/>
      <c r="J91" s="25"/>
      <c r="K91" s="26"/>
      <c r="L91" s="26"/>
      <c r="M91" s="37"/>
      <c r="N91" s="27"/>
      <c r="O91" s="30"/>
      <c r="P91" s="39" t="str">
        <f t="shared" si="15"/>
        <v/>
      </c>
      <c r="Q91" s="40" t="str">
        <f>IF(OR(T91=0,RIGHT(T91,1)=$W$1),"",COUNTIF($T$3:T91,T91))</f>
        <v/>
      </c>
      <c r="S91" s="6">
        <f t="shared" si="16"/>
        <v>0</v>
      </c>
      <c r="T91" s="36">
        <f t="shared" si="17"/>
        <v>0</v>
      </c>
      <c r="V91" s="6">
        <f t="shared" si="18"/>
        <v>0</v>
      </c>
      <c r="Y91" s="8">
        <f t="shared" si="19"/>
        <v>46023</v>
      </c>
    </row>
    <row r="92" spans="2:25" ht="18.75" x14ac:dyDescent="0.3">
      <c r="B92" s="6">
        <f t="shared" si="12"/>
        <v>0</v>
      </c>
      <c r="C92" s="6">
        <f t="shared" si="13"/>
        <v>0</v>
      </c>
      <c r="D92" s="6" t="str">
        <f t="shared" si="14"/>
        <v/>
      </c>
      <c r="E92" s="35" t="str">
        <f t="shared" si="10"/>
        <v/>
      </c>
      <c r="F92" s="31"/>
      <c r="G92" s="29"/>
      <c r="H92" s="78" t="str">
        <f t="shared" si="11"/>
        <v/>
      </c>
      <c r="I92" s="25"/>
      <c r="J92" s="25"/>
      <c r="K92" s="26"/>
      <c r="L92" s="26"/>
      <c r="M92" s="37"/>
      <c r="N92" s="27"/>
      <c r="O92" s="30"/>
      <c r="P92" s="39" t="str">
        <f t="shared" si="15"/>
        <v/>
      </c>
      <c r="Q92" s="40" t="str">
        <f>IF(OR(T92=0,RIGHT(T92,1)=$W$1),"",COUNTIF($T$3:T92,T92))</f>
        <v/>
      </c>
      <c r="S92" s="6">
        <f t="shared" si="16"/>
        <v>0</v>
      </c>
      <c r="T92" s="36">
        <f t="shared" si="17"/>
        <v>0</v>
      </c>
      <c r="V92" s="6">
        <f t="shared" si="18"/>
        <v>0</v>
      </c>
      <c r="Y92" s="8">
        <f t="shared" si="19"/>
        <v>46023</v>
      </c>
    </row>
    <row r="93" spans="2:25" ht="18.75" x14ac:dyDescent="0.3">
      <c r="B93" s="6">
        <f t="shared" si="12"/>
        <v>0</v>
      </c>
      <c r="C93" s="6">
        <f t="shared" si="13"/>
        <v>0</v>
      </c>
      <c r="D93" s="6" t="str">
        <f t="shared" si="14"/>
        <v/>
      </c>
      <c r="E93" s="35" t="str">
        <f t="shared" si="10"/>
        <v/>
      </c>
      <c r="F93" s="31"/>
      <c r="G93" s="29"/>
      <c r="H93" s="78" t="str">
        <f t="shared" si="11"/>
        <v/>
      </c>
      <c r="I93" s="25"/>
      <c r="J93" s="25"/>
      <c r="K93" s="26"/>
      <c r="L93" s="26"/>
      <c r="M93" s="37"/>
      <c r="N93" s="27"/>
      <c r="O93" s="30"/>
      <c r="P93" s="39" t="str">
        <f t="shared" si="15"/>
        <v/>
      </c>
      <c r="Q93" s="40" t="str">
        <f>IF(OR(T93=0,RIGHT(T93,1)=$W$1),"",COUNTIF($T$3:T93,T93))</f>
        <v/>
      </c>
      <c r="S93" s="6">
        <f t="shared" si="16"/>
        <v>0</v>
      </c>
      <c r="T93" s="36">
        <f t="shared" si="17"/>
        <v>0</v>
      </c>
      <c r="V93" s="6">
        <f t="shared" si="18"/>
        <v>0</v>
      </c>
      <c r="Y93" s="8">
        <f t="shared" si="19"/>
        <v>46023</v>
      </c>
    </row>
    <row r="94" spans="2:25" ht="18.75" x14ac:dyDescent="0.3">
      <c r="B94" s="6">
        <f t="shared" si="12"/>
        <v>0</v>
      </c>
      <c r="C94" s="6">
        <f t="shared" si="13"/>
        <v>0</v>
      </c>
      <c r="D94" s="6" t="str">
        <f t="shared" si="14"/>
        <v/>
      </c>
      <c r="E94" s="35" t="str">
        <f t="shared" si="10"/>
        <v/>
      </c>
      <c r="F94" s="31"/>
      <c r="G94" s="29"/>
      <c r="H94" s="78" t="str">
        <f t="shared" si="11"/>
        <v/>
      </c>
      <c r="I94" s="25"/>
      <c r="J94" s="25"/>
      <c r="K94" s="26"/>
      <c r="L94" s="26"/>
      <c r="M94" s="37"/>
      <c r="N94" s="27"/>
      <c r="O94" s="30"/>
      <c r="P94" s="39" t="str">
        <f t="shared" si="15"/>
        <v/>
      </c>
      <c r="Q94" s="40" t="str">
        <f>IF(OR(T94=0,RIGHT(T94,1)=$W$1),"",COUNTIF($T$3:T94,T94))</f>
        <v/>
      </c>
      <c r="S94" s="6">
        <f t="shared" si="16"/>
        <v>0</v>
      </c>
      <c r="T94" s="36">
        <f t="shared" si="17"/>
        <v>0</v>
      </c>
      <c r="V94" s="6">
        <f t="shared" si="18"/>
        <v>0</v>
      </c>
      <c r="Y94" s="8">
        <f t="shared" si="19"/>
        <v>46023</v>
      </c>
    </row>
    <row r="95" spans="2:25" ht="18.75" x14ac:dyDescent="0.3">
      <c r="B95" s="6">
        <f t="shared" si="12"/>
        <v>0</v>
      </c>
      <c r="C95" s="6">
        <f t="shared" si="13"/>
        <v>0</v>
      </c>
      <c r="D95" s="6" t="str">
        <f t="shared" si="14"/>
        <v/>
      </c>
      <c r="E95" s="35" t="str">
        <f t="shared" si="10"/>
        <v/>
      </c>
      <c r="F95" s="31"/>
      <c r="G95" s="29"/>
      <c r="H95" s="78" t="str">
        <f t="shared" si="11"/>
        <v/>
      </c>
      <c r="I95" s="25"/>
      <c r="J95" s="25"/>
      <c r="K95" s="26"/>
      <c r="L95" s="26"/>
      <c r="M95" s="37"/>
      <c r="N95" s="27"/>
      <c r="O95" s="30"/>
      <c r="P95" s="39" t="str">
        <f t="shared" si="15"/>
        <v/>
      </c>
      <c r="Q95" s="40" t="str">
        <f>IF(OR(T95=0,RIGHT(T95,1)=$W$1),"",COUNTIF($T$3:T95,T95))</f>
        <v/>
      </c>
      <c r="S95" s="6">
        <f t="shared" si="16"/>
        <v>0</v>
      </c>
      <c r="T95" s="36">
        <f t="shared" si="17"/>
        <v>0</v>
      </c>
      <c r="V95" s="6">
        <f t="shared" si="18"/>
        <v>0</v>
      </c>
      <c r="Y95" s="8">
        <f t="shared" si="19"/>
        <v>46023</v>
      </c>
    </row>
    <row r="96" spans="2:25" ht="18.75" x14ac:dyDescent="0.3">
      <c r="B96" s="6">
        <f t="shared" si="12"/>
        <v>0</v>
      </c>
      <c r="C96" s="6">
        <f t="shared" si="13"/>
        <v>0</v>
      </c>
      <c r="D96" s="6" t="str">
        <f t="shared" si="14"/>
        <v/>
      </c>
      <c r="E96" s="35" t="str">
        <f t="shared" si="10"/>
        <v/>
      </c>
      <c r="F96" s="31"/>
      <c r="G96" s="29"/>
      <c r="H96" s="78" t="str">
        <f t="shared" si="11"/>
        <v/>
      </c>
      <c r="I96" s="25"/>
      <c r="J96" s="25"/>
      <c r="K96" s="26"/>
      <c r="L96" s="26"/>
      <c r="M96" s="37"/>
      <c r="N96" s="27"/>
      <c r="O96" s="30"/>
      <c r="P96" s="39" t="str">
        <f t="shared" si="15"/>
        <v/>
      </c>
      <c r="Q96" s="40" t="str">
        <f>IF(OR(T96=0,RIGHT(T96,1)=$W$1),"",COUNTIF($T$3:T96,T96))</f>
        <v/>
      </c>
      <c r="S96" s="6">
        <f t="shared" si="16"/>
        <v>0</v>
      </c>
      <c r="T96" s="36">
        <f t="shared" si="17"/>
        <v>0</v>
      </c>
      <c r="V96" s="6">
        <f t="shared" si="18"/>
        <v>0</v>
      </c>
      <c r="Y96" s="8">
        <f t="shared" si="19"/>
        <v>46023</v>
      </c>
    </row>
    <row r="97" spans="2:25" ht="18.75" x14ac:dyDescent="0.3">
      <c r="B97" s="6">
        <f t="shared" si="12"/>
        <v>0</v>
      </c>
      <c r="C97" s="6">
        <f t="shared" si="13"/>
        <v>0</v>
      </c>
      <c r="D97" s="6" t="str">
        <f t="shared" si="14"/>
        <v/>
      </c>
      <c r="E97" s="35" t="str">
        <f t="shared" si="10"/>
        <v/>
      </c>
      <c r="F97" s="31"/>
      <c r="G97" s="29"/>
      <c r="H97" s="78" t="str">
        <f t="shared" si="11"/>
        <v/>
      </c>
      <c r="I97" s="25"/>
      <c r="J97" s="25"/>
      <c r="K97" s="26"/>
      <c r="L97" s="26"/>
      <c r="M97" s="37"/>
      <c r="N97" s="27"/>
      <c r="O97" s="30"/>
      <c r="P97" s="39" t="str">
        <f t="shared" si="15"/>
        <v/>
      </c>
      <c r="Q97" s="40" t="str">
        <f>IF(OR(T97=0,RIGHT(T97,1)=$W$1),"",COUNTIF($T$3:T97,T97))</f>
        <v/>
      </c>
      <c r="S97" s="6">
        <f t="shared" si="16"/>
        <v>0</v>
      </c>
      <c r="T97" s="36">
        <f t="shared" si="17"/>
        <v>0</v>
      </c>
      <c r="V97" s="6">
        <f t="shared" si="18"/>
        <v>0</v>
      </c>
      <c r="Y97" s="8">
        <f t="shared" si="19"/>
        <v>46023</v>
      </c>
    </row>
    <row r="98" spans="2:25" ht="18.75" x14ac:dyDescent="0.3">
      <c r="B98" s="6">
        <f t="shared" si="12"/>
        <v>0</v>
      </c>
      <c r="C98" s="6">
        <f t="shared" si="13"/>
        <v>0</v>
      </c>
      <c r="D98" s="6" t="str">
        <f t="shared" si="14"/>
        <v/>
      </c>
      <c r="E98" s="35" t="str">
        <f t="shared" si="10"/>
        <v/>
      </c>
      <c r="F98" s="31"/>
      <c r="G98" s="29"/>
      <c r="H98" s="78" t="str">
        <f t="shared" si="11"/>
        <v/>
      </c>
      <c r="I98" s="25"/>
      <c r="J98" s="25"/>
      <c r="K98" s="26"/>
      <c r="L98" s="26"/>
      <c r="M98" s="37"/>
      <c r="N98" s="27"/>
      <c r="O98" s="30"/>
      <c r="P98" s="39" t="str">
        <f t="shared" si="15"/>
        <v/>
      </c>
      <c r="Q98" s="40" t="str">
        <f>IF(OR(T98=0,RIGHT(T98,1)=$W$1),"",COUNTIF($T$3:T98,T98))</f>
        <v/>
      </c>
      <c r="S98" s="6">
        <f t="shared" si="16"/>
        <v>0</v>
      </c>
      <c r="T98" s="36">
        <f t="shared" si="17"/>
        <v>0</v>
      </c>
      <c r="V98" s="6">
        <f t="shared" si="18"/>
        <v>0</v>
      </c>
      <c r="Y98" s="8">
        <f t="shared" si="19"/>
        <v>46023</v>
      </c>
    </row>
    <row r="99" spans="2:25" ht="18.75" x14ac:dyDescent="0.3">
      <c r="B99" s="6">
        <f t="shared" si="12"/>
        <v>0</v>
      </c>
      <c r="C99" s="6">
        <f t="shared" si="13"/>
        <v>0</v>
      </c>
      <c r="D99" s="6" t="str">
        <f t="shared" si="14"/>
        <v/>
      </c>
      <c r="E99" s="35" t="str">
        <f t="shared" si="10"/>
        <v/>
      </c>
      <c r="F99" s="31"/>
      <c r="G99" s="29"/>
      <c r="H99" s="78" t="str">
        <f t="shared" si="11"/>
        <v/>
      </c>
      <c r="I99" s="25"/>
      <c r="J99" s="25"/>
      <c r="K99" s="26"/>
      <c r="L99" s="26"/>
      <c r="M99" s="37"/>
      <c r="N99" s="27"/>
      <c r="O99" s="30"/>
      <c r="P99" s="39" t="str">
        <f t="shared" si="15"/>
        <v/>
      </c>
      <c r="Q99" s="40" t="str">
        <f>IF(OR(T99=0,RIGHT(T99,1)=$W$1),"",COUNTIF($T$3:T99,T99))</f>
        <v/>
      </c>
      <c r="S99" s="6">
        <f t="shared" si="16"/>
        <v>0</v>
      </c>
      <c r="T99" s="36">
        <f t="shared" si="17"/>
        <v>0</v>
      </c>
      <c r="V99" s="6">
        <f t="shared" si="18"/>
        <v>0</v>
      </c>
      <c r="Y99" s="8">
        <f t="shared" si="19"/>
        <v>46023</v>
      </c>
    </row>
    <row r="100" spans="2:25" ht="18.75" x14ac:dyDescent="0.3">
      <c r="B100" s="6">
        <f t="shared" si="12"/>
        <v>0</v>
      </c>
      <c r="C100" s="6">
        <f t="shared" si="13"/>
        <v>0</v>
      </c>
      <c r="D100" s="6" t="str">
        <f t="shared" si="14"/>
        <v/>
      </c>
      <c r="E100" s="35" t="str">
        <f t="shared" si="10"/>
        <v/>
      </c>
      <c r="F100" s="31"/>
      <c r="G100" s="29"/>
      <c r="H100" s="78" t="str">
        <f t="shared" si="11"/>
        <v/>
      </c>
      <c r="I100" s="25"/>
      <c r="J100" s="25"/>
      <c r="K100" s="26"/>
      <c r="L100" s="26"/>
      <c r="M100" s="37"/>
      <c r="N100" s="27"/>
      <c r="O100" s="30"/>
      <c r="P100" s="39" t="str">
        <f t="shared" si="15"/>
        <v/>
      </c>
      <c r="Q100" s="40" t="str">
        <f>IF(OR(T100=0,RIGHT(T100,1)=$W$1),"",COUNTIF($T$3:T100,T100))</f>
        <v/>
      </c>
      <c r="S100" s="6">
        <f t="shared" si="16"/>
        <v>0</v>
      </c>
      <c r="T100" s="36">
        <f t="shared" si="17"/>
        <v>0</v>
      </c>
      <c r="V100" s="6">
        <f t="shared" si="18"/>
        <v>0</v>
      </c>
      <c r="Y100" s="8">
        <f t="shared" si="19"/>
        <v>46023</v>
      </c>
    </row>
    <row r="101" spans="2:25" ht="18.75" x14ac:dyDescent="0.3">
      <c r="B101" s="6">
        <f t="shared" si="12"/>
        <v>0</v>
      </c>
      <c r="C101" s="6">
        <f t="shared" si="13"/>
        <v>0</v>
      </c>
      <c r="D101" s="6" t="str">
        <f t="shared" si="14"/>
        <v/>
      </c>
      <c r="E101" s="35" t="str">
        <f t="shared" si="10"/>
        <v/>
      </c>
      <c r="F101" s="31"/>
      <c r="G101" s="29"/>
      <c r="H101" s="78" t="str">
        <f t="shared" si="11"/>
        <v/>
      </c>
      <c r="I101" s="25"/>
      <c r="J101" s="25"/>
      <c r="K101" s="26"/>
      <c r="L101" s="26"/>
      <c r="M101" s="37"/>
      <c r="N101" s="27"/>
      <c r="O101" s="30"/>
      <c r="P101" s="39" t="str">
        <f t="shared" si="15"/>
        <v/>
      </c>
      <c r="Q101" s="40" t="str">
        <f>IF(OR(T101=0,RIGHT(T101,1)=$W$1),"",COUNTIF($T$3:T101,T101))</f>
        <v/>
      </c>
      <c r="S101" s="6">
        <f t="shared" si="16"/>
        <v>0</v>
      </c>
      <c r="T101" s="36">
        <f t="shared" si="17"/>
        <v>0</v>
      </c>
      <c r="V101" s="6">
        <f t="shared" si="18"/>
        <v>0</v>
      </c>
      <c r="Y101" s="8">
        <f t="shared" si="19"/>
        <v>46023</v>
      </c>
    </row>
    <row r="102" spans="2:25" ht="18.75" x14ac:dyDescent="0.3">
      <c r="B102" s="6">
        <f t="shared" si="12"/>
        <v>0</v>
      </c>
      <c r="C102" s="6">
        <f t="shared" si="13"/>
        <v>0</v>
      </c>
      <c r="D102" s="6" t="str">
        <f t="shared" si="14"/>
        <v/>
      </c>
      <c r="E102" s="35" t="str">
        <f t="shared" si="10"/>
        <v/>
      </c>
      <c r="F102" s="31"/>
      <c r="G102" s="29"/>
      <c r="H102" s="78" t="str">
        <f t="shared" si="11"/>
        <v/>
      </c>
      <c r="I102" s="25"/>
      <c r="J102" s="25"/>
      <c r="K102" s="26"/>
      <c r="L102" s="26"/>
      <c r="M102" s="37"/>
      <c r="N102" s="27"/>
      <c r="O102" s="30"/>
      <c r="P102" s="39" t="str">
        <f t="shared" si="15"/>
        <v/>
      </c>
      <c r="Q102" s="40" t="str">
        <f>IF(OR(T102=0,RIGHT(T102,1)=$W$1),"",COUNTIF($T$3:T102,T102))</f>
        <v/>
      </c>
      <c r="S102" s="6">
        <f t="shared" si="16"/>
        <v>0</v>
      </c>
      <c r="T102" s="36">
        <f t="shared" si="17"/>
        <v>0</v>
      </c>
      <c r="V102" s="6">
        <f t="shared" si="18"/>
        <v>0</v>
      </c>
      <c r="Y102" s="8">
        <f t="shared" si="19"/>
        <v>46023</v>
      </c>
    </row>
    <row r="103" spans="2:25" ht="18.75" x14ac:dyDescent="0.3">
      <c r="B103" s="6">
        <f t="shared" si="12"/>
        <v>0</v>
      </c>
      <c r="C103" s="6">
        <f t="shared" si="13"/>
        <v>0</v>
      </c>
      <c r="D103" s="6" t="str">
        <f t="shared" si="14"/>
        <v/>
      </c>
      <c r="E103" s="35" t="str">
        <f t="shared" si="10"/>
        <v/>
      </c>
      <c r="F103" s="31"/>
      <c r="G103" s="29"/>
      <c r="H103" s="78" t="str">
        <f t="shared" si="11"/>
        <v/>
      </c>
      <c r="I103" s="25"/>
      <c r="J103" s="25"/>
      <c r="K103" s="26"/>
      <c r="L103" s="26"/>
      <c r="M103" s="37"/>
      <c r="N103" s="27"/>
      <c r="O103" s="30"/>
      <c r="P103" s="39" t="str">
        <f t="shared" si="15"/>
        <v/>
      </c>
      <c r="Q103" s="40" t="str">
        <f>IF(OR(T103=0,RIGHT(T103,1)=$W$1),"",COUNTIF($T$3:T103,T103))</f>
        <v/>
      </c>
      <c r="S103" s="6">
        <f t="shared" si="16"/>
        <v>0</v>
      </c>
      <c r="T103" s="36">
        <f t="shared" si="17"/>
        <v>0</v>
      </c>
      <c r="V103" s="6">
        <f t="shared" si="18"/>
        <v>0</v>
      </c>
      <c r="Y103" s="8">
        <f t="shared" si="19"/>
        <v>46023</v>
      </c>
    </row>
    <row r="104" spans="2:25" ht="18.75" x14ac:dyDescent="0.3">
      <c r="B104" s="6">
        <f t="shared" si="12"/>
        <v>0</v>
      </c>
      <c r="C104" s="6">
        <f t="shared" si="13"/>
        <v>0</v>
      </c>
      <c r="D104" s="6" t="str">
        <f t="shared" si="14"/>
        <v/>
      </c>
      <c r="E104" s="35" t="str">
        <f t="shared" si="10"/>
        <v/>
      </c>
      <c r="F104" s="31"/>
      <c r="G104" s="29"/>
      <c r="H104" s="78" t="str">
        <f t="shared" si="11"/>
        <v/>
      </c>
      <c r="I104" s="25"/>
      <c r="J104" s="25"/>
      <c r="K104" s="26"/>
      <c r="L104" s="26"/>
      <c r="M104" s="37"/>
      <c r="N104" s="27"/>
      <c r="O104" s="30"/>
      <c r="P104" s="39" t="str">
        <f t="shared" si="15"/>
        <v/>
      </c>
      <c r="Q104" s="40" t="str">
        <f>IF(OR(T104=0,RIGHT(T104,1)=$W$1),"",COUNTIF($T$3:T104,T104))</f>
        <v/>
      </c>
      <c r="S104" s="6">
        <f t="shared" si="16"/>
        <v>0</v>
      </c>
      <c r="T104" s="36">
        <f t="shared" si="17"/>
        <v>0</v>
      </c>
      <c r="V104" s="6">
        <f t="shared" si="18"/>
        <v>0</v>
      </c>
      <c r="Y104" s="8">
        <f t="shared" si="19"/>
        <v>46023</v>
      </c>
    </row>
    <row r="105" spans="2:25" ht="18.75" x14ac:dyDescent="0.3">
      <c r="B105" s="6">
        <f t="shared" si="12"/>
        <v>0</v>
      </c>
      <c r="C105" s="6">
        <f t="shared" si="13"/>
        <v>0</v>
      </c>
      <c r="D105" s="6" t="str">
        <f t="shared" si="14"/>
        <v/>
      </c>
      <c r="E105" s="35" t="str">
        <f t="shared" si="10"/>
        <v/>
      </c>
      <c r="F105" s="31"/>
      <c r="G105" s="29"/>
      <c r="H105" s="78" t="str">
        <f t="shared" si="11"/>
        <v/>
      </c>
      <c r="I105" s="25"/>
      <c r="J105" s="25"/>
      <c r="K105" s="26"/>
      <c r="L105" s="26"/>
      <c r="M105" s="37"/>
      <c r="N105" s="27"/>
      <c r="O105" s="30"/>
      <c r="P105" s="39" t="str">
        <f t="shared" si="15"/>
        <v/>
      </c>
      <c r="Q105" s="40" t="str">
        <f>IF(OR(T105=0,RIGHT(T105,1)=$W$1),"",COUNTIF($T$3:T105,T105))</f>
        <v/>
      </c>
      <c r="S105" s="6">
        <f t="shared" si="16"/>
        <v>0</v>
      </c>
      <c r="T105" s="36">
        <f t="shared" si="17"/>
        <v>0</v>
      </c>
      <c r="V105" s="6">
        <f t="shared" si="18"/>
        <v>0</v>
      </c>
      <c r="Y105" s="8">
        <f t="shared" si="19"/>
        <v>46023</v>
      </c>
    </row>
    <row r="106" spans="2:25" ht="18.75" x14ac:dyDescent="0.3">
      <c r="B106" s="6">
        <f t="shared" si="12"/>
        <v>0</v>
      </c>
      <c r="C106" s="6">
        <f t="shared" si="13"/>
        <v>0</v>
      </c>
      <c r="D106" s="6" t="str">
        <f t="shared" si="14"/>
        <v/>
      </c>
      <c r="E106" s="35" t="str">
        <f t="shared" ref="E106:E107" si="20">IF(D106&lt;&gt;"",D106&amp;" - "&amp;YEAR(F106),"")</f>
        <v/>
      </c>
      <c r="F106" s="31"/>
      <c r="G106" s="29"/>
      <c r="H106" s="78" t="str">
        <f t="shared" si="11"/>
        <v/>
      </c>
      <c r="I106" s="25"/>
      <c r="J106" s="25"/>
      <c r="K106" s="26"/>
      <c r="L106" s="26"/>
      <c r="M106" s="37"/>
      <c r="N106" s="27"/>
      <c r="O106" s="30"/>
      <c r="P106" s="39" t="str">
        <f t="shared" si="15"/>
        <v/>
      </c>
      <c r="Q106" s="40" t="str">
        <f>IF(OR(T106=0,RIGHT(T106,1)=$W$1),"",COUNTIF($T$3:T106,T106))</f>
        <v/>
      </c>
      <c r="S106" s="6">
        <f t="shared" si="16"/>
        <v>0</v>
      </c>
      <c r="T106" s="36">
        <f t="shared" si="17"/>
        <v>0</v>
      </c>
      <c r="V106" s="6">
        <f t="shared" si="18"/>
        <v>0</v>
      </c>
      <c r="Y106" s="8">
        <f t="shared" si="19"/>
        <v>46023</v>
      </c>
    </row>
    <row r="107" spans="2:25" ht="18.75" x14ac:dyDescent="0.3">
      <c r="B107" s="6">
        <f t="shared" si="12"/>
        <v>0</v>
      </c>
      <c r="C107" s="6">
        <f t="shared" si="13"/>
        <v>0</v>
      </c>
      <c r="D107" s="6" t="str">
        <f t="shared" si="14"/>
        <v/>
      </c>
      <c r="E107" s="35" t="str">
        <f t="shared" si="20"/>
        <v/>
      </c>
      <c r="F107" s="31"/>
      <c r="G107" s="29"/>
      <c r="H107" s="78" t="str">
        <f t="shared" si="11"/>
        <v/>
      </c>
      <c r="I107" s="25"/>
      <c r="J107" s="25"/>
      <c r="K107" s="26"/>
      <c r="L107" s="26"/>
      <c r="M107" s="37"/>
      <c r="N107" s="27"/>
      <c r="O107" s="30"/>
      <c r="P107" s="39" t="str">
        <f t="shared" si="15"/>
        <v/>
      </c>
      <c r="Q107" s="40" t="str">
        <f>IF(OR(T107=0,RIGHT(T107,1)=$W$1),"",COUNTIF($T$3:T107,T107))</f>
        <v/>
      </c>
      <c r="S107" s="6">
        <f t="shared" si="16"/>
        <v>0</v>
      </c>
      <c r="T107" s="36">
        <f t="shared" si="17"/>
        <v>0</v>
      </c>
      <c r="V107" s="6">
        <f t="shared" si="18"/>
        <v>0</v>
      </c>
      <c r="Y107" s="8">
        <f t="shared" si="19"/>
        <v>46023</v>
      </c>
    </row>
    <row r="108" spans="2:25" ht="18.75" x14ac:dyDescent="0.3">
      <c r="B108" s="6">
        <f t="shared" si="12"/>
        <v>0</v>
      </c>
      <c r="C108" s="6">
        <f t="shared" si="13"/>
        <v>0</v>
      </c>
      <c r="D108" s="6" t="str">
        <f t="shared" si="14"/>
        <v/>
      </c>
      <c r="E108" s="35" t="str">
        <f t="shared" si="10"/>
        <v/>
      </c>
      <c r="F108" s="31"/>
      <c r="G108" s="29"/>
      <c r="H108" s="78" t="str">
        <f t="shared" si="11"/>
        <v/>
      </c>
      <c r="I108" s="25"/>
      <c r="J108" s="25"/>
      <c r="K108" s="26"/>
      <c r="L108" s="26"/>
      <c r="M108" s="37"/>
      <c r="N108" s="27"/>
      <c r="O108" s="30"/>
      <c r="P108" s="39" t="str">
        <f t="shared" si="15"/>
        <v/>
      </c>
      <c r="Q108" s="40" t="str">
        <f>IF(OR(T108=0,RIGHT(T108,1)=$W$1),"",COUNTIF($T$3:T108,T108))</f>
        <v/>
      </c>
      <c r="S108" s="6">
        <f t="shared" si="16"/>
        <v>0</v>
      </c>
      <c r="T108" s="36">
        <f t="shared" si="17"/>
        <v>0</v>
      </c>
      <c r="V108" s="6">
        <f t="shared" si="18"/>
        <v>0</v>
      </c>
      <c r="Y108" s="8">
        <f t="shared" si="19"/>
        <v>46023</v>
      </c>
    </row>
    <row r="109" spans="2:25" ht="18.75" x14ac:dyDescent="0.3">
      <c r="B109" s="6">
        <f t="shared" si="12"/>
        <v>0</v>
      </c>
      <c r="C109" s="6">
        <f t="shared" si="13"/>
        <v>0</v>
      </c>
      <c r="D109" s="6" t="str">
        <f t="shared" si="14"/>
        <v/>
      </c>
      <c r="E109" s="35" t="str">
        <f t="shared" si="10"/>
        <v/>
      </c>
      <c r="F109" s="31"/>
      <c r="G109" s="29"/>
      <c r="H109" s="78" t="str">
        <f t="shared" si="11"/>
        <v/>
      </c>
      <c r="I109" s="25"/>
      <c r="J109" s="25"/>
      <c r="K109" s="26"/>
      <c r="L109" s="26"/>
      <c r="M109" s="37"/>
      <c r="N109" s="27"/>
      <c r="O109" s="30"/>
      <c r="P109" s="39" t="str">
        <f t="shared" si="15"/>
        <v/>
      </c>
      <c r="Q109" s="40" t="str">
        <f>IF(OR(T109=0,RIGHT(T109,1)=$W$1),"",COUNTIF($T$3:T109,T109))</f>
        <v/>
      </c>
      <c r="S109" s="6">
        <f t="shared" si="16"/>
        <v>0</v>
      </c>
      <c r="T109" s="36">
        <f t="shared" si="17"/>
        <v>0</v>
      </c>
      <c r="V109" s="6">
        <f t="shared" si="18"/>
        <v>0</v>
      </c>
      <c r="Y109" s="8">
        <f t="shared" si="19"/>
        <v>46023</v>
      </c>
    </row>
    <row r="110" spans="2:25" ht="18.75" x14ac:dyDescent="0.3">
      <c r="B110" s="6">
        <f t="shared" si="12"/>
        <v>0</v>
      </c>
      <c r="C110" s="6">
        <f t="shared" si="13"/>
        <v>0</v>
      </c>
      <c r="D110" s="6" t="str">
        <f t="shared" si="14"/>
        <v/>
      </c>
      <c r="E110" s="35" t="str">
        <f t="shared" si="10"/>
        <v/>
      </c>
      <c r="F110" s="31"/>
      <c r="G110" s="29"/>
      <c r="H110" s="78" t="str">
        <f t="shared" si="11"/>
        <v/>
      </c>
      <c r="I110" s="25"/>
      <c r="J110" s="25"/>
      <c r="K110" s="26"/>
      <c r="L110" s="26"/>
      <c r="M110" s="37"/>
      <c r="N110" s="27"/>
      <c r="O110" s="30"/>
      <c r="P110" s="39" t="str">
        <f t="shared" si="15"/>
        <v/>
      </c>
      <c r="Q110" s="40" t="str">
        <f>IF(OR(T110=0,RIGHT(T110,1)=$W$1),"",COUNTIF($T$3:T110,T110))</f>
        <v/>
      </c>
      <c r="S110" s="6">
        <f t="shared" si="16"/>
        <v>0</v>
      </c>
      <c r="T110" s="36">
        <f t="shared" si="17"/>
        <v>0</v>
      </c>
      <c r="V110" s="6">
        <f t="shared" si="18"/>
        <v>0</v>
      </c>
      <c r="Y110" s="8">
        <f t="shared" si="19"/>
        <v>46023</v>
      </c>
    </row>
    <row r="111" spans="2:25" ht="18.75" x14ac:dyDescent="0.3">
      <c r="B111" s="6">
        <f t="shared" si="12"/>
        <v>0</v>
      </c>
      <c r="C111" s="6">
        <f t="shared" si="13"/>
        <v>0</v>
      </c>
      <c r="D111" s="6" t="str">
        <f t="shared" si="14"/>
        <v/>
      </c>
      <c r="E111" s="35" t="str">
        <f t="shared" si="10"/>
        <v/>
      </c>
      <c r="F111" s="31"/>
      <c r="G111" s="29"/>
      <c r="H111" s="78" t="str">
        <f t="shared" si="11"/>
        <v/>
      </c>
      <c r="I111" s="25"/>
      <c r="J111" s="25"/>
      <c r="K111" s="26"/>
      <c r="L111" s="26"/>
      <c r="M111" s="37"/>
      <c r="N111" s="27"/>
      <c r="O111" s="30"/>
      <c r="P111" s="39" t="str">
        <f t="shared" si="15"/>
        <v/>
      </c>
      <c r="Q111" s="40" t="str">
        <f>IF(OR(T111=0,RIGHT(T111,1)=$W$1),"",COUNTIF($T$3:T111,T111))</f>
        <v/>
      </c>
      <c r="S111" s="6">
        <f t="shared" si="16"/>
        <v>0</v>
      </c>
      <c r="T111" s="36">
        <f t="shared" si="17"/>
        <v>0</v>
      </c>
      <c r="V111" s="6">
        <f t="shared" si="18"/>
        <v>0</v>
      </c>
      <c r="Y111" s="8">
        <f t="shared" si="19"/>
        <v>46023</v>
      </c>
    </row>
    <row r="112" spans="2:25" ht="18.75" x14ac:dyDescent="0.3">
      <c r="B112" s="6">
        <f t="shared" si="12"/>
        <v>0</v>
      </c>
      <c r="C112" s="6">
        <f t="shared" si="13"/>
        <v>0</v>
      </c>
      <c r="D112" s="6" t="str">
        <f t="shared" si="14"/>
        <v/>
      </c>
      <c r="E112" s="35" t="str">
        <f t="shared" si="10"/>
        <v/>
      </c>
      <c r="F112" s="31"/>
      <c r="G112" s="29"/>
      <c r="H112" s="78" t="str">
        <f t="shared" si="11"/>
        <v/>
      </c>
      <c r="I112" s="25"/>
      <c r="J112" s="25"/>
      <c r="K112" s="26"/>
      <c r="L112" s="26"/>
      <c r="M112" s="37"/>
      <c r="N112" s="27"/>
      <c r="O112" s="30"/>
      <c r="P112" s="39" t="str">
        <f t="shared" si="15"/>
        <v/>
      </c>
      <c r="Q112" s="40" t="str">
        <f>IF(OR(T112=0,RIGHT(T112,1)=$W$1),"",COUNTIF($T$3:T112,T112))</f>
        <v/>
      </c>
      <c r="S112" s="6">
        <f t="shared" si="16"/>
        <v>0</v>
      </c>
      <c r="T112" s="36">
        <f t="shared" si="17"/>
        <v>0</v>
      </c>
      <c r="V112" s="6">
        <f t="shared" si="18"/>
        <v>0</v>
      </c>
      <c r="Y112" s="8">
        <f t="shared" si="19"/>
        <v>46023</v>
      </c>
    </row>
    <row r="113" spans="2:25" ht="18.75" x14ac:dyDescent="0.3">
      <c r="B113" s="6">
        <f t="shared" si="12"/>
        <v>0</v>
      </c>
      <c r="C113" s="6">
        <f t="shared" si="13"/>
        <v>0</v>
      </c>
      <c r="D113" s="6" t="str">
        <f t="shared" si="14"/>
        <v/>
      </c>
      <c r="E113" s="35" t="str">
        <f t="shared" si="10"/>
        <v/>
      </c>
      <c r="F113" s="31"/>
      <c r="G113" s="29"/>
      <c r="H113" s="78" t="str">
        <f t="shared" si="11"/>
        <v/>
      </c>
      <c r="I113" s="25"/>
      <c r="J113" s="25"/>
      <c r="K113" s="26"/>
      <c r="L113" s="26"/>
      <c r="M113" s="37"/>
      <c r="N113" s="27"/>
      <c r="O113" s="30"/>
      <c r="P113" s="39" t="str">
        <f t="shared" si="15"/>
        <v/>
      </c>
      <c r="Q113" s="40" t="str">
        <f>IF(OR(T113=0,RIGHT(T113,1)=$W$1),"",COUNTIF($T$3:T113,T113))</f>
        <v/>
      </c>
      <c r="S113" s="6">
        <f t="shared" si="16"/>
        <v>0</v>
      </c>
      <c r="T113" s="36">
        <f t="shared" si="17"/>
        <v>0</v>
      </c>
      <c r="V113" s="6">
        <f t="shared" si="18"/>
        <v>0</v>
      </c>
      <c r="Y113" s="8">
        <f t="shared" si="19"/>
        <v>46023</v>
      </c>
    </row>
    <row r="114" spans="2:25" ht="18.75" x14ac:dyDescent="0.3">
      <c r="B114" s="6">
        <f t="shared" si="12"/>
        <v>0</v>
      </c>
      <c r="C114" s="6">
        <f t="shared" si="13"/>
        <v>0</v>
      </c>
      <c r="D114" s="6" t="str">
        <f t="shared" si="14"/>
        <v/>
      </c>
      <c r="E114" s="35" t="str">
        <f t="shared" si="10"/>
        <v/>
      </c>
      <c r="F114" s="31"/>
      <c r="G114" s="29"/>
      <c r="H114" s="78" t="str">
        <f t="shared" si="11"/>
        <v/>
      </c>
      <c r="I114" s="25"/>
      <c r="J114" s="25"/>
      <c r="K114" s="26"/>
      <c r="L114" s="26"/>
      <c r="M114" s="37"/>
      <c r="N114" s="27"/>
      <c r="O114" s="30"/>
      <c r="P114" s="39" t="str">
        <f t="shared" si="15"/>
        <v/>
      </c>
      <c r="Q114" s="40" t="str">
        <f>IF(OR(T114=0,RIGHT(T114,1)=$W$1),"",COUNTIF($T$3:T114,T114))</f>
        <v/>
      </c>
      <c r="S114" s="6">
        <f t="shared" si="16"/>
        <v>0</v>
      </c>
      <c r="T114" s="36">
        <f t="shared" si="17"/>
        <v>0</v>
      </c>
      <c r="V114" s="6">
        <f t="shared" si="18"/>
        <v>0</v>
      </c>
      <c r="Y114" s="8">
        <f t="shared" si="19"/>
        <v>46023</v>
      </c>
    </row>
    <row r="115" spans="2:25" ht="18.75" x14ac:dyDescent="0.3">
      <c r="B115" s="6">
        <f t="shared" si="12"/>
        <v>0</v>
      </c>
      <c r="C115" s="6">
        <f t="shared" si="13"/>
        <v>0</v>
      </c>
      <c r="D115" s="6" t="str">
        <f t="shared" si="14"/>
        <v/>
      </c>
      <c r="E115" s="35" t="str">
        <f t="shared" si="10"/>
        <v/>
      </c>
      <c r="F115" s="31"/>
      <c r="G115" s="29"/>
      <c r="H115" s="78" t="str">
        <f t="shared" si="11"/>
        <v/>
      </c>
      <c r="I115" s="25"/>
      <c r="J115" s="25"/>
      <c r="K115" s="26"/>
      <c r="L115" s="26"/>
      <c r="M115" s="37"/>
      <c r="N115" s="27"/>
      <c r="O115" s="30"/>
      <c r="P115" s="39" t="str">
        <f t="shared" si="15"/>
        <v/>
      </c>
      <c r="Q115" s="40" t="str">
        <f>IF(OR(T115=0,RIGHT(T115,1)=$W$1),"",COUNTIF($T$3:T115,T115))</f>
        <v/>
      </c>
      <c r="S115" s="6">
        <f t="shared" si="16"/>
        <v>0</v>
      </c>
      <c r="T115" s="36">
        <f t="shared" si="17"/>
        <v>0</v>
      </c>
      <c r="V115" s="6">
        <f t="shared" si="18"/>
        <v>0</v>
      </c>
      <c r="Y115" s="8">
        <f t="shared" si="19"/>
        <v>46023</v>
      </c>
    </row>
    <row r="116" spans="2:25" ht="18.75" x14ac:dyDescent="0.3">
      <c r="B116" s="6">
        <f t="shared" si="12"/>
        <v>0</v>
      </c>
      <c r="C116" s="6">
        <f t="shared" si="13"/>
        <v>0</v>
      </c>
      <c r="D116" s="6" t="str">
        <f t="shared" si="14"/>
        <v/>
      </c>
      <c r="E116" s="35" t="str">
        <f t="shared" si="10"/>
        <v/>
      </c>
      <c r="F116" s="31"/>
      <c r="G116" s="29"/>
      <c r="H116" s="78" t="str">
        <f t="shared" si="11"/>
        <v/>
      </c>
      <c r="I116" s="25"/>
      <c r="J116" s="25"/>
      <c r="K116" s="26"/>
      <c r="L116" s="26"/>
      <c r="M116" s="37"/>
      <c r="N116" s="27"/>
      <c r="O116" s="30"/>
      <c r="P116" s="39" t="str">
        <f t="shared" si="15"/>
        <v/>
      </c>
      <c r="Q116" s="40" t="str">
        <f>IF(OR(T116=0,RIGHT(T116,1)=$W$1),"",COUNTIF($T$3:T116,T116))</f>
        <v/>
      </c>
      <c r="S116" s="6">
        <f t="shared" si="16"/>
        <v>0</v>
      </c>
      <c r="T116" s="36">
        <f t="shared" si="17"/>
        <v>0</v>
      </c>
      <c r="V116" s="6">
        <f t="shared" si="18"/>
        <v>0</v>
      </c>
      <c r="Y116" s="8">
        <f t="shared" si="19"/>
        <v>46023</v>
      </c>
    </row>
    <row r="117" spans="2:25" ht="18.75" x14ac:dyDescent="0.3">
      <c r="B117" s="6">
        <f t="shared" si="12"/>
        <v>0</v>
      </c>
      <c r="C117" s="6">
        <f t="shared" si="13"/>
        <v>0</v>
      </c>
      <c r="D117" s="6" t="str">
        <f t="shared" si="14"/>
        <v/>
      </c>
      <c r="E117" s="35" t="str">
        <f t="shared" si="10"/>
        <v/>
      </c>
      <c r="F117" s="31"/>
      <c r="G117" s="29"/>
      <c r="H117" s="78" t="str">
        <f t="shared" si="11"/>
        <v/>
      </c>
      <c r="I117" s="25"/>
      <c r="J117" s="25"/>
      <c r="K117" s="26"/>
      <c r="L117" s="26"/>
      <c r="M117" s="37"/>
      <c r="N117" s="27"/>
      <c r="O117" s="30"/>
      <c r="P117" s="39" t="str">
        <f t="shared" si="15"/>
        <v/>
      </c>
      <c r="Q117" s="40" t="str">
        <f>IF(OR(T117=0,RIGHT(T117,1)=$W$1),"",COUNTIF($T$3:T117,T117))</f>
        <v/>
      </c>
      <c r="S117" s="6">
        <f t="shared" si="16"/>
        <v>0</v>
      </c>
      <c r="T117" s="36">
        <f t="shared" si="17"/>
        <v>0</v>
      </c>
      <c r="V117" s="6">
        <f t="shared" si="18"/>
        <v>0</v>
      </c>
      <c r="Y117" s="8">
        <f t="shared" si="19"/>
        <v>46023</v>
      </c>
    </row>
    <row r="118" spans="2:25" ht="18.75" x14ac:dyDescent="0.3">
      <c r="B118" s="6">
        <f t="shared" si="12"/>
        <v>0</v>
      </c>
      <c r="C118" s="6">
        <f t="shared" si="13"/>
        <v>0</v>
      </c>
      <c r="D118" s="6" t="str">
        <f t="shared" si="14"/>
        <v/>
      </c>
      <c r="E118" s="35" t="str">
        <f t="shared" si="10"/>
        <v/>
      </c>
      <c r="F118" s="31"/>
      <c r="G118" s="29"/>
      <c r="H118" s="78" t="str">
        <f t="shared" si="11"/>
        <v/>
      </c>
      <c r="I118" s="25"/>
      <c r="J118" s="25"/>
      <c r="K118" s="26"/>
      <c r="L118" s="26"/>
      <c r="M118" s="37"/>
      <c r="N118" s="27"/>
      <c r="O118" s="30"/>
      <c r="P118" s="39" t="str">
        <f t="shared" si="15"/>
        <v/>
      </c>
      <c r="Q118" s="40" t="str">
        <f>IF(OR(T118=0,RIGHT(T118,1)=$W$1),"",COUNTIF($T$3:T118,T118))</f>
        <v/>
      </c>
      <c r="S118" s="6">
        <f t="shared" si="16"/>
        <v>0</v>
      </c>
      <c r="T118" s="36">
        <f t="shared" si="17"/>
        <v>0</v>
      </c>
      <c r="V118" s="6">
        <f t="shared" si="18"/>
        <v>0</v>
      </c>
      <c r="Y118" s="8">
        <f t="shared" si="19"/>
        <v>46023</v>
      </c>
    </row>
    <row r="119" spans="2:25" ht="18.75" x14ac:dyDescent="0.3">
      <c r="B119" s="6">
        <f t="shared" si="12"/>
        <v>0</v>
      </c>
      <c r="C119" s="6">
        <f t="shared" si="13"/>
        <v>0</v>
      </c>
      <c r="D119" s="6" t="str">
        <f t="shared" si="14"/>
        <v/>
      </c>
      <c r="E119" s="35" t="str">
        <f t="shared" si="10"/>
        <v/>
      </c>
      <c r="F119" s="31"/>
      <c r="G119" s="29"/>
      <c r="H119" s="78" t="str">
        <f t="shared" si="11"/>
        <v/>
      </c>
      <c r="I119" s="25"/>
      <c r="J119" s="25"/>
      <c r="K119" s="26"/>
      <c r="L119" s="26"/>
      <c r="M119" s="37"/>
      <c r="N119" s="27"/>
      <c r="O119" s="30"/>
      <c r="P119" s="39" t="str">
        <f t="shared" si="15"/>
        <v/>
      </c>
      <c r="Q119" s="40" t="str">
        <f>IF(OR(T119=0,RIGHT(T119,1)=$W$1),"",COUNTIF($T$3:T119,T119))</f>
        <v/>
      </c>
      <c r="S119" s="6">
        <f t="shared" si="16"/>
        <v>0</v>
      </c>
      <c r="T119" s="36">
        <f t="shared" si="17"/>
        <v>0</v>
      </c>
      <c r="V119" s="6">
        <f t="shared" si="18"/>
        <v>0</v>
      </c>
      <c r="Y119" s="8">
        <f t="shared" si="19"/>
        <v>46023</v>
      </c>
    </row>
    <row r="120" spans="2:25" ht="18.75" x14ac:dyDescent="0.3">
      <c r="B120" s="6">
        <f t="shared" si="12"/>
        <v>0</v>
      </c>
      <c r="C120" s="6">
        <f t="shared" si="13"/>
        <v>0</v>
      </c>
      <c r="D120" s="6" t="str">
        <f t="shared" si="14"/>
        <v/>
      </c>
      <c r="E120" s="35" t="str">
        <f t="shared" si="10"/>
        <v/>
      </c>
      <c r="F120" s="31"/>
      <c r="G120" s="29"/>
      <c r="H120" s="78" t="str">
        <f t="shared" si="11"/>
        <v/>
      </c>
      <c r="I120" s="25"/>
      <c r="J120" s="25"/>
      <c r="K120" s="26"/>
      <c r="L120" s="26"/>
      <c r="M120" s="37"/>
      <c r="N120" s="27"/>
      <c r="O120" s="30"/>
      <c r="P120" s="39" t="str">
        <f t="shared" si="15"/>
        <v/>
      </c>
      <c r="Q120" s="40" t="str">
        <f>IF(OR(T120=0,RIGHT(T120,1)=$W$1),"",COUNTIF($T$3:T120,T120))</f>
        <v/>
      </c>
      <c r="S120" s="6">
        <f t="shared" si="16"/>
        <v>0</v>
      </c>
      <c r="T120" s="36">
        <f t="shared" si="17"/>
        <v>0</v>
      </c>
      <c r="V120" s="6">
        <f t="shared" si="18"/>
        <v>0</v>
      </c>
      <c r="Y120" s="8">
        <f t="shared" si="19"/>
        <v>46023</v>
      </c>
    </row>
    <row r="121" spans="2:25" ht="18.75" x14ac:dyDescent="0.3">
      <c r="B121" s="6">
        <f t="shared" si="12"/>
        <v>0</v>
      </c>
      <c r="C121" s="6">
        <f t="shared" si="13"/>
        <v>0</v>
      </c>
      <c r="D121" s="6" t="str">
        <f t="shared" si="14"/>
        <v/>
      </c>
      <c r="E121" s="35" t="str">
        <f t="shared" si="10"/>
        <v/>
      </c>
      <c r="F121" s="31"/>
      <c r="G121" s="29"/>
      <c r="H121" s="78" t="str">
        <f t="shared" si="11"/>
        <v/>
      </c>
      <c r="I121" s="25"/>
      <c r="J121" s="25"/>
      <c r="K121" s="26"/>
      <c r="L121" s="26"/>
      <c r="M121" s="37"/>
      <c r="N121" s="27"/>
      <c r="O121" s="30"/>
      <c r="P121" s="39" t="str">
        <f t="shared" si="15"/>
        <v/>
      </c>
      <c r="Q121" s="40" t="str">
        <f>IF(OR(T121=0,RIGHT(T121,1)=$W$1),"",COUNTIF($T$3:T121,T121))</f>
        <v/>
      </c>
      <c r="S121" s="6">
        <f t="shared" si="16"/>
        <v>0</v>
      </c>
      <c r="T121" s="36">
        <f t="shared" si="17"/>
        <v>0</v>
      </c>
      <c r="V121" s="6">
        <f t="shared" si="18"/>
        <v>0</v>
      </c>
      <c r="Y121" s="8">
        <f t="shared" si="19"/>
        <v>46023</v>
      </c>
    </row>
    <row r="122" spans="2:25" ht="18.75" x14ac:dyDescent="0.3">
      <c r="B122" s="6">
        <f t="shared" si="12"/>
        <v>0</v>
      </c>
      <c r="C122" s="6">
        <f t="shared" si="13"/>
        <v>0</v>
      </c>
      <c r="D122" s="6" t="str">
        <f t="shared" si="14"/>
        <v/>
      </c>
      <c r="E122" s="35" t="str">
        <f t="shared" si="10"/>
        <v/>
      </c>
      <c r="F122" s="31"/>
      <c r="G122" s="29"/>
      <c r="H122" s="78" t="str">
        <f t="shared" si="11"/>
        <v/>
      </c>
      <c r="I122" s="25"/>
      <c r="J122" s="25"/>
      <c r="K122" s="26"/>
      <c r="L122" s="26"/>
      <c r="M122" s="37"/>
      <c r="N122" s="27"/>
      <c r="O122" s="30"/>
      <c r="P122" s="39" t="str">
        <f t="shared" si="15"/>
        <v/>
      </c>
      <c r="Q122" s="40" t="str">
        <f>IF(OR(T122=0,RIGHT(T122,1)=$W$1),"",COUNTIF($T$3:T122,T122))</f>
        <v/>
      </c>
      <c r="S122" s="6">
        <f t="shared" si="16"/>
        <v>0</v>
      </c>
      <c r="T122" s="36">
        <f t="shared" si="17"/>
        <v>0</v>
      </c>
      <c r="V122" s="6">
        <f t="shared" si="18"/>
        <v>0</v>
      </c>
      <c r="Y122" s="8">
        <f t="shared" si="19"/>
        <v>46023</v>
      </c>
    </row>
    <row r="123" spans="2:25" ht="18.75" x14ac:dyDescent="0.3">
      <c r="B123" s="6">
        <f t="shared" si="12"/>
        <v>0</v>
      </c>
      <c r="C123" s="6">
        <f t="shared" si="13"/>
        <v>0</v>
      </c>
      <c r="D123" s="6" t="str">
        <f t="shared" si="14"/>
        <v/>
      </c>
      <c r="E123" s="35" t="str">
        <f t="shared" si="10"/>
        <v/>
      </c>
      <c r="F123" s="31"/>
      <c r="G123" s="29"/>
      <c r="H123" s="78" t="str">
        <f t="shared" si="11"/>
        <v/>
      </c>
      <c r="I123" s="25"/>
      <c r="J123" s="25"/>
      <c r="K123" s="26"/>
      <c r="L123" s="26"/>
      <c r="M123" s="37"/>
      <c r="N123" s="27"/>
      <c r="O123" s="30"/>
      <c r="P123" s="39" t="str">
        <f t="shared" si="15"/>
        <v/>
      </c>
      <c r="Q123" s="40" t="str">
        <f>IF(OR(T123=0,RIGHT(T123,1)=$W$1),"",COUNTIF($T$3:T123,T123))</f>
        <v/>
      </c>
      <c r="S123" s="6">
        <f t="shared" si="16"/>
        <v>0</v>
      </c>
      <c r="T123" s="36">
        <f t="shared" si="17"/>
        <v>0</v>
      </c>
      <c r="V123" s="6">
        <f t="shared" si="18"/>
        <v>0</v>
      </c>
      <c r="Y123" s="8">
        <f t="shared" si="19"/>
        <v>46023</v>
      </c>
    </row>
    <row r="124" spans="2:25" ht="18.75" x14ac:dyDescent="0.3">
      <c r="B124" s="6">
        <f t="shared" si="12"/>
        <v>0</v>
      </c>
      <c r="C124" s="6">
        <f t="shared" si="13"/>
        <v>0</v>
      </c>
      <c r="D124" s="6" t="str">
        <f t="shared" si="14"/>
        <v/>
      </c>
      <c r="E124" s="35" t="str">
        <f t="shared" si="10"/>
        <v/>
      </c>
      <c r="F124" s="31"/>
      <c r="G124" s="29"/>
      <c r="H124" s="78" t="str">
        <f t="shared" si="11"/>
        <v/>
      </c>
      <c r="I124" s="25"/>
      <c r="J124" s="25"/>
      <c r="K124" s="26"/>
      <c r="L124" s="26"/>
      <c r="M124" s="37"/>
      <c r="N124" s="27"/>
      <c r="O124" s="30"/>
      <c r="P124" s="39" t="str">
        <f t="shared" si="15"/>
        <v/>
      </c>
      <c r="Q124" s="40" t="str">
        <f>IF(OR(T124=0,RIGHT(T124,1)=$W$1),"",COUNTIF($T$3:T124,T124))</f>
        <v/>
      </c>
      <c r="S124" s="6">
        <f t="shared" si="16"/>
        <v>0</v>
      </c>
      <c r="T124" s="36">
        <f t="shared" si="17"/>
        <v>0</v>
      </c>
      <c r="V124" s="6">
        <f t="shared" si="18"/>
        <v>0</v>
      </c>
      <c r="Y124" s="8">
        <f t="shared" si="19"/>
        <v>46023</v>
      </c>
    </row>
    <row r="125" spans="2:25" ht="18.75" x14ac:dyDescent="0.3">
      <c r="B125" s="6">
        <f t="shared" si="12"/>
        <v>0</v>
      </c>
      <c r="C125" s="6">
        <f t="shared" si="13"/>
        <v>0</v>
      </c>
      <c r="D125" s="6" t="str">
        <f t="shared" si="14"/>
        <v/>
      </c>
      <c r="E125" s="35" t="str">
        <f t="shared" si="10"/>
        <v/>
      </c>
      <c r="F125" s="31"/>
      <c r="G125" s="29"/>
      <c r="H125" s="78" t="str">
        <f t="shared" si="11"/>
        <v/>
      </c>
      <c r="I125" s="25"/>
      <c r="J125" s="25"/>
      <c r="K125" s="26"/>
      <c r="L125" s="26"/>
      <c r="M125" s="37"/>
      <c r="N125" s="27"/>
      <c r="O125" s="30"/>
      <c r="P125" s="39" t="str">
        <f t="shared" si="15"/>
        <v/>
      </c>
      <c r="Q125" s="40" t="str">
        <f>IF(OR(T125=0,RIGHT(T125,1)=$W$1),"",COUNTIF($T$3:T125,T125))</f>
        <v/>
      </c>
      <c r="S125" s="6">
        <f t="shared" si="16"/>
        <v>0</v>
      </c>
      <c r="T125" s="36">
        <f t="shared" si="17"/>
        <v>0</v>
      </c>
      <c r="V125" s="6">
        <f t="shared" si="18"/>
        <v>0</v>
      </c>
      <c r="Y125" s="8">
        <f t="shared" si="19"/>
        <v>46023</v>
      </c>
    </row>
    <row r="126" spans="2:25" ht="18.75" x14ac:dyDescent="0.3">
      <c r="B126" s="6">
        <f t="shared" si="12"/>
        <v>0</v>
      </c>
      <c r="C126" s="6">
        <f t="shared" si="13"/>
        <v>0</v>
      </c>
      <c r="D126" s="6" t="str">
        <f t="shared" si="14"/>
        <v/>
      </c>
      <c r="E126" s="35" t="str">
        <f t="shared" si="10"/>
        <v/>
      </c>
      <c r="F126" s="31"/>
      <c r="G126" s="29"/>
      <c r="H126" s="78" t="str">
        <f t="shared" si="11"/>
        <v/>
      </c>
      <c r="I126" s="25"/>
      <c r="J126" s="25"/>
      <c r="K126" s="26"/>
      <c r="L126" s="26"/>
      <c r="M126" s="37"/>
      <c r="N126" s="27"/>
      <c r="O126" s="30"/>
      <c r="P126" s="39" t="str">
        <f t="shared" si="15"/>
        <v/>
      </c>
      <c r="Q126" s="40" t="str">
        <f>IF(OR(T126=0,RIGHT(T126,1)=$W$1),"",COUNTIF($T$3:T126,T126))</f>
        <v/>
      </c>
      <c r="S126" s="6">
        <f t="shared" si="16"/>
        <v>0</v>
      </c>
      <c r="T126" s="36">
        <f t="shared" si="17"/>
        <v>0</v>
      </c>
      <c r="V126" s="6">
        <f t="shared" si="18"/>
        <v>0</v>
      </c>
      <c r="Y126" s="8">
        <f t="shared" si="19"/>
        <v>46023</v>
      </c>
    </row>
    <row r="127" spans="2:25" ht="18.75" x14ac:dyDescent="0.3">
      <c r="B127" s="6">
        <f t="shared" si="12"/>
        <v>0</v>
      </c>
      <c r="C127" s="6">
        <f t="shared" si="13"/>
        <v>0</v>
      </c>
      <c r="D127" s="6" t="str">
        <f t="shared" si="14"/>
        <v/>
      </c>
      <c r="E127" s="35" t="str">
        <f t="shared" si="10"/>
        <v/>
      </c>
      <c r="F127" s="31"/>
      <c r="G127" s="29"/>
      <c r="H127" s="78" t="str">
        <f t="shared" si="11"/>
        <v/>
      </c>
      <c r="I127" s="25"/>
      <c r="J127" s="25"/>
      <c r="K127" s="26"/>
      <c r="L127" s="26"/>
      <c r="M127" s="37"/>
      <c r="N127" s="27"/>
      <c r="O127" s="30"/>
      <c r="P127" s="39" t="str">
        <f t="shared" si="15"/>
        <v/>
      </c>
      <c r="Q127" s="40" t="str">
        <f>IF(OR(T127=0,RIGHT(T127,1)=$W$1),"",COUNTIF($T$3:T127,T127))</f>
        <v/>
      </c>
      <c r="S127" s="6">
        <f t="shared" si="16"/>
        <v>0</v>
      </c>
      <c r="T127" s="36">
        <f t="shared" si="17"/>
        <v>0</v>
      </c>
      <c r="V127" s="6">
        <f t="shared" si="18"/>
        <v>0</v>
      </c>
      <c r="Y127" s="8">
        <f t="shared" si="19"/>
        <v>46023</v>
      </c>
    </row>
    <row r="128" spans="2:25" ht="18.75" x14ac:dyDescent="0.3">
      <c r="B128" s="6">
        <f t="shared" si="12"/>
        <v>0</v>
      </c>
      <c r="C128" s="6">
        <f t="shared" si="13"/>
        <v>0</v>
      </c>
      <c r="D128" s="6" t="str">
        <f t="shared" si="14"/>
        <v/>
      </c>
      <c r="E128" s="35" t="str">
        <f t="shared" si="10"/>
        <v/>
      </c>
      <c r="F128" s="31"/>
      <c r="G128" s="29"/>
      <c r="H128" s="78" t="str">
        <f t="shared" si="11"/>
        <v/>
      </c>
      <c r="I128" s="25"/>
      <c r="J128" s="25"/>
      <c r="K128" s="26"/>
      <c r="L128" s="26"/>
      <c r="M128" s="37"/>
      <c r="N128" s="27"/>
      <c r="O128" s="30"/>
      <c r="P128" s="39" t="str">
        <f t="shared" si="15"/>
        <v/>
      </c>
      <c r="Q128" s="40" t="str">
        <f>IF(OR(T128=0,RIGHT(T128,1)=$W$1),"",COUNTIF($T$3:T128,T128))</f>
        <v/>
      </c>
      <c r="S128" s="6">
        <f t="shared" si="16"/>
        <v>0</v>
      </c>
      <c r="T128" s="36">
        <f t="shared" si="17"/>
        <v>0</v>
      </c>
      <c r="V128" s="6">
        <f t="shared" si="18"/>
        <v>0</v>
      </c>
      <c r="Y128" s="8">
        <f t="shared" si="19"/>
        <v>46023</v>
      </c>
    </row>
    <row r="129" spans="2:25" ht="18.75" x14ac:dyDescent="0.3">
      <c r="B129" s="6">
        <f t="shared" si="12"/>
        <v>0</v>
      </c>
      <c r="C129" s="6">
        <f t="shared" si="13"/>
        <v>0</v>
      </c>
      <c r="D129" s="6" t="str">
        <f t="shared" si="14"/>
        <v/>
      </c>
      <c r="E129" s="35" t="str">
        <f t="shared" si="10"/>
        <v/>
      </c>
      <c r="F129" s="31"/>
      <c r="G129" s="29"/>
      <c r="H129" s="78" t="str">
        <f t="shared" si="11"/>
        <v/>
      </c>
      <c r="I129" s="25"/>
      <c r="J129" s="25"/>
      <c r="K129" s="26"/>
      <c r="L129" s="26"/>
      <c r="M129" s="37"/>
      <c r="N129" s="27"/>
      <c r="O129" s="30"/>
      <c r="P129" s="39" t="str">
        <f t="shared" si="15"/>
        <v/>
      </c>
      <c r="Q129" s="40" t="str">
        <f>IF(OR(T129=0,RIGHT(T129,1)=$W$1),"",COUNTIF($T$3:T129,T129))</f>
        <v/>
      </c>
      <c r="S129" s="6">
        <f t="shared" si="16"/>
        <v>0</v>
      </c>
      <c r="T129" s="36">
        <f t="shared" si="17"/>
        <v>0</v>
      </c>
      <c r="V129" s="6">
        <f t="shared" si="18"/>
        <v>0</v>
      </c>
      <c r="Y129" s="8">
        <f t="shared" si="19"/>
        <v>46023</v>
      </c>
    </row>
    <row r="130" spans="2:25" ht="18.75" x14ac:dyDescent="0.3">
      <c r="B130" s="6">
        <f t="shared" si="12"/>
        <v>0</v>
      </c>
      <c r="C130" s="6">
        <f t="shared" si="13"/>
        <v>0</v>
      </c>
      <c r="D130" s="6" t="str">
        <f t="shared" si="14"/>
        <v/>
      </c>
      <c r="E130" s="35" t="str">
        <f t="shared" si="10"/>
        <v/>
      </c>
      <c r="F130" s="31"/>
      <c r="G130" s="29"/>
      <c r="H130" s="78" t="str">
        <f t="shared" si="11"/>
        <v/>
      </c>
      <c r="I130" s="25"/>
      <c r="J130" s="25"/>
      <c r="K130" s="26"/>
      <c r="L130" s="26"/>
      <c r="M130" s="37"/>
      <c r="N130" s="27"/>
      <c r="O130" s="30"/>
      <c r="P130" s="39" t="str">
        <f t="shared" si="15"/>
        <v/>
      </c>
      <c r="Q130" s="40" t="str">
        <f>IF(OR(T130=0,RIGHT(T130,1)=$W$1),"",COUNTIF($T$3:T130,T130))</f>
        <v/>
      </c>
      <c r="S130" s="6">
        <f t="shared" si="16"/>
        <v>0</v>
      </c>
      <c r="T130" s="36">
        <f t="shared" si="17"/>
        <v>0</v>
      </c>
      <c r="V130" s="6">
        <f t="shared" si="18"/>
        <v>0</v>
      </c>
      <c r="Y130" s="8">
        <f t="shared" si="19"/>
        <v>46023</v>
      </c>
    </row>
    <row r="131" spans="2:25" ht="18.75" x14ac:dyDescent="0.3">
      <c r="B131" s="6">
        <f t="shared" si="12"/>
        <v>0</v>
      </c>
      <c r="C131" s="6">
        <f t="shared" si="13"/>
        <v>0</v>
      </c>
      <c r="D131" s="6" t="str">
        <f t="shared" si="14"/>
        <v/>
      </c>
      <c r="E131" s="35" t="str">
        <f t="shared" ref="E131:E194" si="21">IF(D131&lt;&gt;"",D131&amp;" - "&amp;YEAR(F131),"")</f>
        <v/>
      </c>
      <c r="F131" s="31"/>
      <c r="G131" s="29"/>
      <c r="H131" s="78" t="str">
        <f t="shared" ref="H131:H194" si="22">IF(G131&lt;&gt;"",F131,"")</f>
        <v/>
      </c>
      <c r="I131" s="25"/>
      <c r="J131" s="25"/>
      <c r="K131" s="26"/>
      <c r="L131" s="26"/>
      <c r="M131" s="37"/>
      <c r="N131" s="27"/>
      <c r="O131" s="30"/>
      <c r="P131" s="39" t="str">
        <f t="shared" si="15"/>
        <v/>
      </c>
      <c r="Q131" s="40" t="str">
        <f>IF(OR(T131=0,RIGHT(T131,1)=$W$1),"",COUNTIF($T$3:T131,T131))</f>
        <v/>
      </c>
      <c r="S131" s="6">
        <f t="shared" si="16"/>
        <v>0</v>
      </c>
      <c r="T131" s="36">
        <f t="shared" si="17"/>
        <v>0</v>
      </c>
      <c r="V131" s="6">
        <f t="shared" si="18"/>
        <v>0</v>
      </c>
      <c r="Y131" s="8">
        <f t="shared" si="19"/>
        <v>46023</v>
      </c>
    </row>
    <row r="132" spans="2:25" ht="18.75" x14ac:dyDescent="0.3">
      <c r="B132" s="6">
        <f t="shared" ref="B132:B195" si="23">IF($B$1=YEAR(F132),B131+1,B131)</f>
        <v>0</v>
      </c>
      <c r="C132" s="6">
        <f t="shared" ref="C132:C195" si="24">IF(AND($C$1=K132,$Y$1=YEAR(F132)),C131+1,C131)</f>
        <v>0</v>
      </c>
      <c r="D132" s="6" t="str">
        <f t="shared" ref="D132:D195" si="25">IF(F132&lt;&gt;0,IF(YEAR(F132)&lt;&gt;YEAR(F131),1,IF(M132=$AI$1,D131,D131+1)),"")</f>
        <v/>
      </c>
      <c r="E132" s="35" t="str">
        <f t="shared" si="21"/>
        <v/>
      </c>
      <c r="F132" s="31"/>
      <c r="G132" s="29"/>
      <c r="H132" s="78" t="str">
        <f t="shared" si="22"/>
        <v/>
      </c>
      <c r="I132" s="25"/>
      <c r="J132" s="25"/>
      <c r="K132" s="26"/>
      <c r="L132" s="26"/>
      <c r="M132" s="37"/>
      <c r="N132" s="27"/>
      <c r="O132" s="30"/>
      <c r="P132" s="39" t="str">
        <f t="shared" ref="P132:P195" si="26">IF(OR(T132=0,RIGHT(T132,1)=$W$1),"",VLOOKUP(K132,$AD$1:$AK$15,5,FALSE))</f>
        <v/>
      </c>
      <c r="Q132" s="40" t="str">
        <f>IF(OR(T132=0,RIGHT(T132,1)=$W$1),"",COUNTIF($T$3:T132,T132))</f>
        <v/>
      </c>
      <c r="S132" s="6">
        <f t="shared" ref="S132:S195" si="27">IF(AND($C$1=K132,$Y$1=YEAR(F132)),C132,0)</f>
        <v>0</v>
      </c>
      <c r="T132" s="36">
        <f t="shared" ref="T132:T195" si="28">IF(F132=0,0,YEAR(F132)&amp;VLOOKUP(K132,$AD$1:$AE$15,2,FALSE))</f>
        <v>0</v>
      </c>
      <c r="V132" s="6">
        <f t="shared" ref="V132:V195" si="29">IF(AND(YEAR(F132)=$Y$1,K132=$C$1,L132&amp;$V$1&lt;&gt;$V$1),L132,IF(AND(YEAR(F132)=$Y$1,K132=$C$1),1,0))</f>
        <v>0</v>
      </c>
      <c r="Y132" s="8">
        <f t="shared" ref="Y132:Y195" si="30">IF(M132&lt;&gt;$AI$1,$Y$2,F131)</f>
        <v>46023</v>
      </c>
    </row>
    <row r="133" spans="2:25" ht="18.75" x14ac:dyDescent="0.3">
      <c r="B133" s="6">
        <f t="shared" si="23"/>
        <v>0</v>
      </c>
      <c r="C133" s="6">
        <f t="shared" si="24"/>
        <v>0</v>
      </c>
      <c r="D133" s="6" t="str">
        <f t="shared" si="25"/>
        <v/>
      </c>
      <c r="E133" s="35" t="str">
        <f t="shared" si="21"/>
        <v/>
      </c>
      <c r="F133" s="31"/>
      <c r="G133" s="29"/>
      <c r="H133" s="78" t="str">
        <f t="shared" si="22"/>
        <v/>
      </c>
      <c r="I133" s="25"/>
      <c r="J133" s="25"/>
      <c r="K133" s="26"/>
      <c r="L133" s="26"/>
      <c r="M133" s="37"/>
      <c r="N133" s="27"/>
      <c r="O133" s="30"/>
      <c r="P133" s="39" t="str">
        <f t="shared" si="26"/>
        <v/>
      </c>
      <c r="Q133" s="40" t="str">
        <f>IF(OR(T133=0,RIGHT(T133,1)=$W$1),"",COUNTIF($T$3:T133,T133))</f>
        <v/>
      </c>
      <c r="S133" s="6">
        <f t="shared" si="27"/>
        <v>0</v>
      </c>
      <c r="T133" s="36">
        <f t="shared" si="28"/>
        <v>0</v>
      </c>
      <c r="V133" s="6">
        <f t="shared" si="29"/>
        <v>0</v>
      </c>
      <c r="Y133" s="8">
        <f t="shared" si="30"/>
        <v>46023</v>
      </c>
    </row>
    <row r="134" spans="2:25" ht="18.75" x14ac:dyDescent="0.3">
      <c r="B134" s="6">
        <f t="shared" si="23"/>
        <v>0</v>
      </c>
      <c r="C134" s="6">
        <f t="shared" si="24"/>
        <v>0</v>
      </c>
      <c r="D134" s="6" t="str">
        <f t="shared" si="25"/>
        <v/>
      </c>
      <c r="E134" s="35" t="str">
        <f t="shared" si="21"/>
        <v/>
      </c>
      <c r="F134" s="31"/>
      <c r="G134" s="29"/>
      <c r="H134" s="78" t="str">
        <f t="shared" si="22"/>
        <v/>
      </c>
      <c r="I134" s="25"/>
      <c r="J134" s="25"/>
      <c r="K134" s="26"/>
      <c r="L134" s="26"/>
      <c r="M134" s="37"/>
      <c r="N134" s="27"/>
      <c r="O134" s="30"/>
      <c r="P134" s="39" t="str">
        <f t="shared" si="26"/>
        <v/>
      </c>
      <c r="Q134" s="40" t="str">
        <f>IF(OR(T134=0,RIGHT(T134,1)=$W$1),"",COUNTIF($T$3:T134,T134))</f>
        <v/>
      </c>
      <c r="S134" s="6">
        <f t="shared" si="27"/>
        <v>0</v>
      </c>
      <c r="T134" s="36">
        <f t="shared" si="28"/>
        <v>0</v>
      </c>
      <c r="V134" s="6">
        <f t="shared" si="29"/>
        <v>0</v>
      </c>
      <c r="Y134" s="8">
        <f t="shared" si="30"/>
        <v>46023</v>
      </c>
    </row>
    <row r="135" spans="2:25" ht="18.75" x14ac:dyDescent="0.3">
      <c r="B135" s="6">
        <f t="shared" si="23"/>
        <v>0</v>
      </c>
      <c r="C135" s="6">
        <f t="shared" si="24"/>
        <v>0</v>
      </c>
      <c r="D135" s="6" t="str">
        <f t="shared" si="25"/>
        <v/>
      </c>
      <c r="E135" s="35" t="str">
        <f t="shared" si="21"/>
        <v/>
      </c>
      <c r="F135" s="31"/>
      <c r="G135" s="29"/>
      <c r="H135" s="78" t="str">
        <f t="shared" si="22"/>
        <v/>
      </c>
      <c r="I135" s="25"/>
      <c r="J135" s="25"/>
      <c r="K135" s="26"/>
      <c r="L135" s="26"/>
      <c r="M135" s="37"/>
      <c r="N135" s="27"/>
      <c r="O135" s="30"/>
      <c r="P135" s="39" t="str">
        <f t="shared" si="26"/>
        <v/>
      </c>
      <c r="Q135" s="40" t="str">
        <f>IF(OR(T135=0,RIGHT(T135,1)=$W$1),"",COUNTIF($T$3:T135,T135))</f>
        <v/>
      </c>
      <c r="S135" s="6">
        <f t="shared" si="27"/>
        <v>0</v>
      </c>
      <c r="T135" s="36">
        <f t="shared" si="28"/>
        <v>0</v>
      </c>
      <c r="V135" s="6">
        <f t="shared" si="29"/>
        <v>0</v>
      </c>
      <c r="Y135" s="8">
        <f t="shared" si="30"/>
        <v>46023</v>
      </c>
    </row>
    <row r="136" spans="2:25" ht="18.75" x14ac:dyDescent="0.3">
      <c r="B136" s="6">
        <f t="shared" si="23"/>
        <v>0</v>
      </c>
      <c r="C136" s="6">
        <f t="shared" si="24"/>
        <v>0</v>
      </c>
      <c r="D136" s="6" t="str">
        <f t="shared" si="25"/>
        <v/>
      </c>
      <c r="E136" s="35" t="str">
        <f t="shared" si="21"/>
        <v/>
      </c>
      <c r="F136" s="31"/>
      <c r="G136" s="29"/>
      <c r="H136" s="78" t="str">
        <f t="shared" si="22"/>
        <v/>
      </c>
      <c r="I136" s="25"/>
      <c r="J136" s="25"/>
      <c r="K136" s="26"/>
      <c r="L136" s="26"/>
      <c r="M136" s="37"/>
      <c r="N136" s="27"/>
      <c r="O136" s="30"/>
      <c r="P136" s="39" t="str">
        <f t="shared" si="26"/>
        <v/>
      </c>
      <c r="Q136" s="40" t="str">
        <f>IF(OR(T136=0,RIGHT(T136,1)=$W$1),"",COUNTIF($T$3:T136,T136))</f>
        <v/>
      </c>
      <c r="S136" s="6">
        <f t="shared" si="27"/>
        <v>0</v>
      </c>
      <c r="T136" s="36">
        <f t="shared" si="28"/>
        <v>0</v>
      </c>
      <c r="V136" s="6">
        <f t="shared" si="29"/>
        <v>0</v>
      </c>
      <c r="Y136" s="8">
        <f t="shared" si="30"/>
        <v>46023</v>
      </c>
    </row>
    <row r="137" spans="2:25" ht="18.75" x14ac:dyDescent="0.3">
      <c r="B137" s="6">
        <f t="shared" si="23"/>
        <v>0</v>
      </c>
      <c r="C137" s="6">
        <f t="shared" si="24"/>
        <v>0</v>
      </c>
      <c r="D137" s="6" t="str">
        <f t="shared" si="25"/>
        <v/>
      </c>
      <c r="E137" s="35" t="str">
        <f t="shared" si="21"/>
        <v/>
      </c>
      <c r="F137" s="31"/>
      <c r="G137" s="29"/>
      <c r="H137" s="78" t="str">
        <f t="shared" si="22"/>
        <v/>
      </c>
      <c r="I137" s="25"/>
      <c r="J137" s="25"/>
      <c r="K137" s="26"/>
      <c r="L137" s="26"/>
      <c r="M137" s="37"/>
      <c r="N137" s="27"/>
      <c r="O137" s="30"/>
      <c r="P137" s="39" t="str">
        <f t="shared" si="26"/>
        <v/>
      </c>
      <c r="Q137" s="40" t="str">
        <f>IF(OR(T137=0,RIGHT(T137,1)=$W$1),"",COUNTIF($T$3:T137,T137))</f>
        <v/>
      </c>
      <c r="S137" s="6">
        <f t="shared" si="27"/>
        <v>0</v>
      </c>
      <c r="T137" s="36">
        <f t="shared" si="28"/>
        <v>0</v>
      </c>
      <c r="V137" s="6">
        <f t="shared" si="29"/>
        <v>0</v>
      </c>
      <c r="Y137" s="8">
        <f t="shared" si="30"/>
        <v>46023</v>
      </c>
    </row>
    <row r="138" spans="2:25" ht="18.75" x14ac:dyDescent="0.3">
      <c r="B138" s="6">
        <f t="shared" si="23"/>
        <v>0</v>
      </c>
      <c r="C138" s="6">
        <f t="shared" si="24"/>
        <v>0</v>
      </c>
      <c r="D138" s="6" t="str">
        <f t="shared" si="25"/>
        <v/>
      </c>
      <c r="E138" s="35" t="str">
        <f t="shared" si="21"/>
        <v/>
      </c>
      <c r="F138" s="31"/>
      <c r="G138" s="29"/>
      <c r="H138" s="78" t="str">
        <f t="shared" si="22"/>
        <v/>
      </c>
      <c r="I138" s="25"/>
      <c r="J138" s="25"/>
      <c r="K138" s="26"/>
      <c r="L138" s="26"/>
      <c r="M138" s="37"/>
      <c r="N138" s="27"/>
      <c r="O138" s="30"/>
      <c r="P138" s="39" t="str">
        <f t="shared" si="26"/>
        <v/>
      </c>
      <c r="Q138" s="40" t="str">
        <f>IF(OR(T138=0,RIGHT(T138,1)=$W$1),"",COUNTIF($T$3:T138,T138))</f>
        <v/>
      </c>
      <c r="S138" s="6">
        <f t="shared" si="27"/>
        <v>0</v>
      </c>
      <c r="T138" s="36">
        <f t="shared" si="28"/>
        <v>0</v>
      </c>
      <c r="V138" s="6">
        <f t="shared" si="29"/>
        <v>0</v>
      </c>
      <c r="Y138" s="8">
        <f t="shared" si="30"/>
        <v>46023</v>
      </c>
    </row>
    <row r="139" spans="2:25" ht="18.75" x14ac:dyDescent="0.3">
      <c r="B139" s="6">
        <f t="shared" si="23"/>
        <v>0</v>
      </c>
      <c r="C139" s="6">
        <f t="shared" si="24"/>
        <v>0</v>
      </c>
      <c r="D139" s="6" t="str">
        <f t="shared" si="25"/>
        <v/>
      </c>
      <c r="E139" s="35" t="str">
        <f t="shared" si="21"/>
        <v/>
      </c>
      <c r="F139" s="31"/>
      <c r="G139" s="29"/>
      <c r="H139" s="78" t="str">
        <f t="shared" si="22"/>
        <v/>
      </c>
      <c r="I139" s="25"/>
      <c r="J139" s="25"/>
      <c r="K139" s="26"/>
      <c r="L139" s="26"/>
      <c r="M139" s="37"/>
      <c r="N139" s="27"/>
      <c r="O139" s="30"/>
      <c r="P139" s="39" t="str">
        <f t="shared" si="26"/>
        <v/>
      </c>
      <c r="Q139" s="40" t="str">
        <f>IF(OR(T139=0,RIGHT(T139,1)=$W$1),"",COUNTIF($T$3:T139,T139))</f>
        <v/>
      </c>
      <c r="S139" s="6">
        <f t="shared" si="27"/>
        <v>0</v>
      </c>
      <c r="T139" s="36">
        <f t="shared" si="28"/>
        <v>0</v>
      </c>
      <c r="V139" s="6">
        <f t="shared" si="29"/>
        <v>0</v>
      </c>
      <c r="Y139" s="8">
        <f t="shared" si="30"/>
        <v>46023</v>
      </c>
    </row>
    <row r="140" spans="2:25" ht="18.75" x14ac:dyDescent="0.3">
      <c r="B140" s="6">
        <f t="shared" si="23"/>
        <v>0</v>
      </c>
      <c r="C140" s="6">
        <f t="shared" si="24"/>
        <v>0</v>
      </c>
      <c r="D140" s="6" t="str">
        <f t="shared" si="25"/>
        <v/>
      </c>
      <c r="E140" s="35" t="str">
        <f t="shared" si="21"/>
        <v/>
      </c>
      <c r="F140" s="31"/>
      <c r="G140" s="29"/>
      <c r="H140" s="78" t="str">
        <f t="shared" si="22"/>
        <v/>
      </c>
      <c r="I140" s="25"/>
      <c r="J140" s="25"/>
      <c r="K140" s="26"/>
      <c r="L140" s="26"/>
      <c r="M140" s="37"/>
      <c r="N140" s="27"/>
      <c r="O140" s="30"/>
      <c r="P140" s="39" t="str">
        <f t="shared" si="26"/>
        <v/>
      </c>
      <c r="Q140" s="40" t="str">
        <f>IF(OR(T140=0,RIGHT(T140,1)=$W$1),"",COUNTIF($T$3:T140,T140))</f>
        <v/>
      </c>
      <c r="S140" s="6">
        <f t="shared" si="27"/>
        <v>0</v>
      </c>
      <c r="T140" s="36">
        <f t="shared" si="28"/>
        <v>0</v>
      </c>
      <c r="V140" s="6">
        <f t="shared" si="29"/>
        <v>0</v>
      </c>
      <c r="Y140" s="8">
        <f t="shared" si="30"/>
        <v>46023</v>
      </c>
    </row>
    <row r="141" spans="2:25" ht="18.75" x14ac:dyDescent="0.3">
      <c r="B141" s="6">
        <f t="shared" si="23"/>
        <v>0</v>
      </c>
      <c r="C141" s="6">
        <f t="shared" si="24"/>
        <v>0</v>
      </c>
      <c r="D141" s="6" t="str">
        <f t="shared" si="25"/>
        <v/>
      </c>
      <c r="E141" s="35" t="str">
        <f t="shared" si="21"/>
        <v/>
      </c>
      <c r="F141" s="31"/>
      <c r="G141" s="29"/>
      <c r="H141" s="78" t="str">
        <f t="shared" si="22"/>
        <v/>
      </c>
      <c r="I141" s="25"/>
      <c r="J141" s="25"/>
      <c r="K141" s="26"/>
      <c r="L141" s="26"/>
      <c r="M141" s="37"/>
      <c r="N141" s="27"/>
      <c r="O141" s="30"/>
      <c r="P141" s="39" t="str">
        <f t="shared" si="26"/>
        <v/>
      </c>
      <c r="Q141" s="40" t="str">
        <f>IF(OR(T141=0,RIGHT(T141,1)=$W$1),"",COUNTIF($T$3:T141,T141))</f>
        <v/>
      </c>
      <c r="S141" s="6">
        <f t="shared" si="27"/>
        <v>0</v>
      </c>
      <c r="T141" s="36">
        <f t="shared" si="28"/>
        <v>0</v>
      </c>
      <c r="V141" s="6">
        <f t="shared" si="29"/>
        <v>0</v>
      </c>
      <c r="Y141" s="8">
        <f t="shared" si="30"/>
        <v>46023</v>
      </c>
    </row>
    <row r="142" spans="2:25" ht="18.75" x14ac:dyDescent="0.3">
      <c r="B142" s="6">
        <f t="shared" si="23"/>
        <v>0</v>
      </c>
      <c r="C142" s="6">
        <f t="shared" si="24"/>
        <v>0</v>
      </c>
      <c r="D142" s="6" t="str">
        <f t="shared" si="25"/>
        <v/>
      </c>
      <c r="E142" s="35" t="str">
        <f t="shared" si="21"/>
        <v/>
      </c>
      <c r="F142" s="31"/>
      <c r="G142" s="29"/>
      <c r="H142" s="78" t="str">
        <f t="shared" si="22"/>
        <v/>
      </c>
      <c r="I142" s="25"/>
      <c r="J142" s="25"/>
      <c r="K142" s="26"/>
      <c r="L142" s="26"/>
      <c r="M142" s="37"/>
      <c r="N142" s="27"/>
      <c r="O142" s="30"/>
      <c r="P142" s="39" t="str">
        <f t="shared" si="26"/>
        <v/>
      </c>
      <c r="Q142" s="40" t="str">
        <f>IF(OR(T142=0,RIGHT(T142,1)=$W$1),"",COUNTIF($T$3:T142,T142))</f>
        <v/>
      </c>
      <c r="S142" s="6">
        <f t="shared" si="27"/>
        <v>0</v>
      </c>
      <c r="T142" s="36">
        <f t="shared" si="28"/>
        <v>0</v>
      </c>
      <c r="V142" s="6">
        <f t="shared" si="29"/>
        <v>0</v>
      </c>
      <c r="Y142" s="8">
        <f t="shared" si="30"/>
        <v>46023</v>
      </c>
    </row>
    <row r="143" spans="2:25" ht="18.75" x14ac:dyDescent="0.3">
      <c r="B143" s="6">
        <f t="shared" si="23"/>
        <v>0</v>
      </c>
      <c r="C143" s="6">
        <f t="shared" si="24"/>
        <v>0</v>
      </c>
      <c r="D143" s="6" t="str">
        <f t="shared" si="25"/>
        <v/>
      </c>
      <c r="E143" s="35" t="str">
        <f t="shared" si="21"/>
        <v/>
      </c>
      <c r="F143" s="31"/>
      <c r="G143" s="29"/>
      <c r="H143" s="78" t="str">
        <f t="shared" si="22"/>
        <v/>
      </c>
      <c r="I143" s="25"/>
      <c r="J143" s="25"/>
      <c r="K143" s="26"/>
      <c r="L143" s="26"/>
      <c r="M143" s="37"/>
      <c r="N143" s="27"/>
      <c r="O143" s="30"/>
      <c r="P143" s="39" t="str">
        <f t="shared" si="26"/>
        <v/>
      </c>
      <c r="Q143" s="40" t="str">
        <f>IF(OR(T143=0,RIGHT(T143,1)=$W$1),"",COUNTIF($T$3:T143,T143))</f>
        <v/>
      </c>
      <c r="S143" s="6">
        <f t="shared" si="27"/>
        <v>0</v>
      </c>
      <c r="T143" s="36">
        <f t="shared" si="28"/>
        <v>0</v>
      </c>
      <c r="V143" s="6">
        <f t="shared" si="29"/>
        <v>0</v>
      </c>
      <c r="Y143" s="8">
        <f t="shared" si="30"/>
        <v>46023</v>
      </c>
    </row>
    <row r="144" spans="2:25" ht="18.75" x14ac:dyDescent="0.3">
      <c r="B144" s="6">
        <f t="shared" si="23"/>
        <v>0</v>
      </c>
      <c r="C144" s="6">
        <f t="shared" si="24"/>
        <v>0</v>
      </c>
      <c r="D144" s="6" t="str">
        <f t="shared" si="25"/>
        <v/>
      </c>
      <c r="E144" s="35" t="str">
        <f t="shared" si="21"/>
        <v/>
      </c>
      <c r="F144" s="31"/>
      <c r="G144" s="29"/>
      <c r="H144" s="78" t="str">
        <f t="shared" si="22"/>
        <v/>
      </c>
      <c r="I144" s="25"/>
      <c r="J144" s="25"/>
      <c r="K144" s="26"/>
      <c r="L144" s="26"/>
      <c r="M144" s="37"/>
      <c r="N144" s="27"/>
      <c r="O144" s="30"/>
      <c r="P144" s="39" t="str">
        <f t="shared" si="26"/>
        <v/>
      </c>
      <c r="Q144" s="40" t="str">
        <f>IF(OR(T144=0,RIGHT(T144,1)=$W$1),"",COUNTIF($T$3:T144,T144))</f>
        <v/>
      </c>
      <c r="S144" s="6">
        <f t="shared" si="27"/>
        <v>0</v>
      </c>
      <c r="T144" s="36">
        <f t="shared" si="28"/>
        <v>0</v>
      </c>
      <c r="V144" s="6">
        <f t="shared" si="29"/>
        <v>0</v>
      </c>
      <c r="Y144" s="8">
        <f t="shared" si="30"/>
        <v>46023</v>
      </c>
    </row>
    <row r="145" spans="2:25" ht="18.75" x14ac:dyDescent="0.3">
      <c r="B145" s="6">
        <f t="shared" si="23"/>
        <v>0</v>
      </c>
      <c r="C145" s="6">
        <f t="shared" si="24"/>
        <v>0</v>
      </c>
      <c r="D145" s="6" t="str">
        <f t="shared" si="25"/>
        <v/>
      </c>
      <c r="E145" s="35" t="str">
        <f t="shared" si="21"/>
        <v/>
      </c>
      <c r="F145" s="31"/>
      <c r="G145" s="29"/>
      <c r="H145" s="78" t="str">
        <f t="shared" si="22"/>
        <v/>
      </c>
      <c r="I145" s="25"/>
      <c r="J145" s="25"/>
      <c r="K145" s="26"/>
      <c r="L145" s="26"/>
      <c r="M145" s="37"/>
      <c r="N145" s="27"/>
      <c r="O145" s="30"/>
      <c r="P145" s="39" t="str">
        <f t="shared" si="26"/>
        <v/>
      </c>
      <c r="Q145" s="40" t="str">
        <f>IF(OR(T145=0,RIGHT(T145,1)=$W$1),"",COUNTIF($T$3:T145,T145))</f>
        <v/>
      </c>
      <c r="S145" s="6">
        <f t="shared" si="27"/>
        <v>0</v>
      </c>
      <c r="T145" s="36">
        <f t="shared" si="28"/>
        <v>0</v>
      </c>
      <c r="V145" s="6">
        <f t="shared" si="29"/>
        <v>0</v>
      </c>
      <c r="Y145" s="8">
        <f t="shared" si="30"/>
        <v>46023</v>
      </c>
    </row>
    <row r="146" spans="2:25" ht="18.75" x14ac:dyDescent="0.3">
      <c r="B146" s="6">
        <f t="shared" si="23"/>
        <v>0</v>
      </c>
      <c r="C146" s="6">
        <f t="shared" si="24"/>
        <v>0</v>
      </c>
      <c r="D146" s="6" t="str">
        <f t="shared" si="25"/>
        <v/>
      </c>
      <c r="E146" s="35" t="str">
        <f t="shared" si="21"/>
        <v/>
      </c>
      <c r="F146" s="31"/>
      <c r="G146" s="29"/>
      <c r="H146" s="78" t="str">
        <f t="shared" si="22"/>
        <v/>
      </c>
      <c r="I146" s="25"/>
      <c r="J146" s="25"/>
      <c r="K146" s="26"/>
      <c r="L146" s="26"/>
      <c r="M146" s="37"/>
      <c r="N146" s="27"/>
      <c r="O146" s="30"/>
      <c r="P146" s="39" t="str">
        <f t="shared" si="26"/>
        <v/>
      </c>
      <c r="Q146" s="40" t="str">
        <f>IF(OR(T146=0,RIGHT(T146,1)=$W$1),"",COUNTIF($T$3:T146,T146))</f>
        <v/>
      </c>
      <c r="S146" s="6">
        <f t="shared" si="27"/>
        <v>0</v>
      </c>
      <c r="T146" s="36">
        <f t="shared" si="28"/>
        <v>0</v>
      </c>
      <c r="V146" s="6">
        <f t="shared" si="29"/>
        <v>0</v>
      </c>
      <c r="Y146" s="8">
        <f t="shared" si="30"/>
        <v>46023</v>
      </c>
    </row>
    <row r="147" spans="2:25" ht="18.75" x14ac:dyDescent="0.3">
      <c r="B147" s="6">
        <f t="shared" si="23"/>
        <v>0</v>
      </c>
      <c r="C147" s="6">
        <f t="shared" si="24"/>
        <v>0</v>
      </c>
      <c r="D147" s="6" t="str">
        <f t="shared" si="25"/>
        <v/>
      </c>
      <c r="E147" s="35" t="str">
        <f t="shared" si="21"/>
        <v/>
      </c>
      <c r="F147" s="31"/>
      <c r="G147" s="29"/>
      <c r="H147" s="78" t="str">
        <f t="shared" si="22"/>
        <v/>
      </c>
      <c r="I147" s="25"/>
      <c r="J147" s="25"/>
      <c r="K147" s="26"/>
      <c r="L147" s="26"/>
      <c r="M147" s="37"/>
      <c r="N147" s="27"/>
      <c r="O147" s="30"/>
      <c r="P147" s="39" t="str">
        <f t="shared" si="26"/>
        <v/>
      </c>
      <c r="Q147" s="40" t="str">
        <f>IF(OR(T147=0,RIGHT(T147,1)=$W$1),"",COUNTIF($T$3:T147,T147))</f>
        <v/>
      </c>
      <c r="S147" s="6">
        <f t="shared" si="27"/>
        <v>0</v>
      </c>
      <c r="T147" s="36">
        <f t="shared" si="28"/>
        <v>0</v>
      </c>
      <c r="V147" s="6">
        <f t="shared" si="29"/>
        <v>0</v>
      </c>
      <c r="Y147" s="8">
        <f t="shared" si="30"/>
        <v>46023</v>
      </c>
    </row>
    <row r="148" spans="2:25" ht="18.75" x14ac:dyDescent="0.3">
      <c r="B148" s="6">
        <f t="shared" si="23"/>
        <v>0</v>
      </c>
      <c r="C148" s="6">
        <f t="shared" si="24"/>
        <v>0</v>
      </c>
      <c r="D148" s="6" t="str">
        <f t="shared" si="25"/>
        <v/>
      </c>
      <c r="E148" s="35" t="str">
        <f t="shared" si="21"/>
        <v/>
      </c>
      <c r="F148" s="31"/>
      <c r="G148" s="29"/>
      <c r="H148" s="78" t="str">
        <f t="shared" si="22"/>
        <v/>
      </c>
      <c r="I148" s="25"/>
      <c r="J148" s="25"/>
      <c r="K148" s="26"/>
      <c r="L148" s="26"/>
      <c r="M148" s="37"/>
      <c r="N148" s="27"/>
      <c r="O148" s="30"/>
      <c r="P148" s="39" t="str">
        <f t="shared" si="26"/>
        <v/>
      </c>
      <c r="Q148" s="40" t="str">
        <f>IF(OR(T148=0,RIGHT(T148,1)=$W$1),"",COUNTIF($T$3:T148,T148))</f>
        <v/>
      </c>
      <c r="S148" s="6">
        <f t="shared" si="27"/>
        <v>0</v>
      </c>
      <c r="T148" s="36">
        <f t="shared" si="28"/>
        <v>0</v>
      </c>
      <c r="V148" s="6">
        <f t="shared" si="29"/>
        <v>0</v>
      </c>
      <c r="Y148" s="8">
        <f t="shared" si="30"/>
        <v>46023</v>
      </c>
    </row>
    <row r="149" spans="2:25" ht="18.75" x14ac:dyDescent="0.3">
      <c r="B149" s="6">
        <f t="shared" si="23"/>
        <v>0</v>
      </c>
      <c r="C149" s="6">
        <f t="shared" si="24"/>
        <v>0</v>
      </c>
      <c r="D149" s="6" t="str">
        <f t="shared" si="25"/>
        <v/>
      </c>
      <c r="E149" s="35" t="str">
        <f t="shared" si="21"/>
        <v/>
      </c>
      <c r="F149" s="31"/>
      <c r="G149" s="29"/>
      <c r="H149" s="78" t="str">
        <f t="shared" si="22"/>
        <v/>
      </c>
      <c r="I149" s="25"/>
      <c r="J149" s="25"/>
      <c r="K149" s="26"/>
      <c r="L149" s="26"/>
      <c r="M149" s="37"/>
      <c r="N149" s="27"/>
      <c r="O149" s="30"/>
      <c r="P149" s="39" t="str">
        <f t="shared" si="26"/>
        <v/>
      </c>
      <c r="Q149" s="40" t="str">
        <f>IF(OR(T149=0,RIGHT(T149,1)=$W$1),"",COUNTIF($T$3:T149,T149))</f>
        <v/>
      </c>
      <c r="S149" s="6">
        <f t="shared" si="27"/>
        <v>0</v>
      </c>
      <c r="T149" s="36">
        <f t="shared" si="28"/>
        <v>0</v>
      </c>
      <c r="V149" s="6">
        <f t="shared" si="29"/>
        <v>0</v>
      </c>
      <c r="Y149" s="8">
        <f t="shared" si="30"/>
        <v>46023</v>
      </c>
    </row>
    <row r="150" spans="2:25" ht="18.75" x14ac:dyDescent="0.3">
      <c r="B150" s="6">
        <f t="shared" si="23"/>
        <v>0</v>
      </c>
      <c r="C150" s="6">
        <f t="shared" si="24"/>
        <v>0</v>
      </c>
      <c r="D150" s="6" t="str">
        <f t="shared" si="25"/>
        <v/>
      </c>
      <c r="E150" s="35" t="str">
        <f t="shared" si="21"/>
        <v/>
      </c>
      <c r="F150" s="31"/>
      <c r="G150" s="29"/>
      <c r="H150" s="78" t="str">
        <f t="shared" si="22"/>
        <v/>
      </c>
      <c r="I150" s="25"/>
      <c r="J150" s="25"/>
      <c r="K150" s="26"/>
      <c r="L150" s="26"/>
      <c r="M150" s="37"/>
      <c r="N150" s="27"/>
      <c r="O150" s="30"/>
      <c r="P150" s="39" t="str">
        <f t="shared" si="26"/>
        <v/>
      </c>
      <c r="Q150" s="40" t="str">
        <f>IF(OR(T150=0,RIGHT(T150,1)=$W$1),"",COUNTIF($T$3:T150,T150))</f>
        <v/>
      </c>
      <c r="S150" s="6">
        <f t="shared" si="27"/>
        <v>0</v>
      </c>
      <c r="T150" s="36">
        <f t="shared" si="28"/>
        <v>0</v>
      </c>
      <c r="V150" s="6">
        <f t="shared" si="29"/>
        <v>0</v>
      </c>
      <c r="Y150" s="8">
        <f t="shared" si="30"/>
        <v>46023</v>
      </c>
    </row>
    <row r="151" spans="2:25" ht="18.75" x14ac:dyDescent="0.3">
      <c r="B151" s="6">
        <f t="shared" si="23"/>
        <v>0</v>
      </c>
      <c r="C151" s="6">
        <f t="shared" si="24"/>
        <v>0</v>
      </c>
      <c r="D151" s="6" t="str">
        <f t="shared" si="25"/>
        <v/>
      </c>
      <c r="E151" s="35" t="str">
        <f t="shared" si="21"/>
        <v/>
      </c>
      <c r="F151" s="31"/>
      <c r="G151" s="29"/>
      <c r="H151" s="78" t="str">
        <f t="shared" si="22"/>
        <v/>
      </c>
      <c r="I151" s="25"/>
      <c r="J151" s="25"/>
      <c r="K151" s="26"/>
      <c r="L151" s="26"/>
      <c r="M151" s="37"/>
      <c r="N151" s="27"/>
      <c r="O151" s="30"/>
      <c r="P151" s="39" t="str">
        <f t="shared" si="26"/>
        <v/>
      </c>
      <c r="Q151" s="40" t="str">
        <f>IF(OR(T151=0,RIGHT(T151,1)=$W$1),"",COUNTIF($T$3:T151,T151))</f>
        <v/>
      </c>
      <c r="S151" s="6">
        <f t="shared" si="27"/>
        <v>0</v>
      </c>
      <c r="T151" s="36">
        <f t="shared" si="28"/>
        <v>0</v>
      </c>
      <c r="V151" s="6">
        <f t="shared" si="29"/>
        <v>0</v>
      </c>
      <c r="Y151" s="8">
        <f t="shared" si="30"/>
        <v>46023</v>
      </c>
    </row>
    <row r="152" spans="2:25" ht="18.75" x14ac:dyDescent="0.3">
      <c r="B152" s="6">
        <f t="shared" si="23"/>
        <v>0</v>
      </c>
      <c r="C152" s="6">
        <f t="shared" si="24"/>
        <v>0</v>
      </c>
      <c r="D152" s="6" t="str">
        <f t="shared" si="25"/>
        <v/>
      </c>
      <c r="E152" s="35" t="str">
        <f t="shared" si="21"/>
        <v/>
      </c>
      <c r="F152" s="31"/>
      <c r="G152" s="29"/>
      <c r="H152" s="78" t="str">
        <f t="shared" si="22"/>
        <v/>
      </c>
      <c r="I152" s="25"/>
      <c r="J152" s="25"/>
      <c r="K152" s="26"/>
      <c r="L152" s="26"/>
      <c r="M152" s="37"/>
      <c r="N152" s="27"/>
      <c r="O152" s="30"/>
      <c r="P152" s="39" t="str">
        <f t="shared" si="26"/>
        <v/>
      </c>
      <c r="Q152" s="40" t="str">
        <f>IF(OR(T152=0,RIGHT(T152,1)=$W$1),"",COUNTIF($T$3:T152,T152))</f>
        <v/>
      </c>
      <c r="S152" s="6">
        <f t="shared" si="27"/>
        <v>0</v>
      </c>
      <c r="T152" s="36">
        <f t="shared" si="28"/>
        <v>0</v>
      </c>
      <c r="V152" s="6">
        <f t="shared" si="29"/>
        <v>0</v>
      </c>
      <c r="Y152" s="8">
        <f t="shared" si="30"/>
        <v>46023</v>
      </c>
    </row>
    <row r="153" spans="2:25" ht="18.75" x14ac:dyDescent="0.3">
      <c r="B153" s="6">
        <f t="shared" si="23"/>
        <v>0</v>
      </c>
      <c r="C153" s="6">
        <f t="shared" si="24"/>
        <v>0</v>
      </c>
      <c r="D153" s="6" t="str">
        <f t="shared" si="25"/>
        <v/>
      </c>
      <c r="E153" s="35" t="str">
        <f t="shared" si="21"/>
        <v/>
      </c>
      <c r="F153" s="31"/>
      <c r="G153" s="29"/>
      <c r="H153" s="78" t="str">
        <f t="shared" si="22"/>
        <v/>
      </c>
      <c r="I153" s="25"/>
      <c r="J153" s="25"/>
      <c r="K153" s="26"/>
      <c r="L153" s="26"/>
      <c r="M153" s="37"/>
      <c r="N153" s="27"/>
      <c r="O153" s="30"/>
      <c r="P153" s="39" t="str">
        <f t="shared" si="26"/>
        <v/>
      </c>
      <c r="Q153" s="40" t="str">
        <f>IF(OR(T153=0,RIGHT(T153,1)=$W$1),"",COUNTIF($T$3:T153,T153))</f>
        <v/>
      </c>
      <c r="S153" s="6">
        <f t="shared" si="27"/>
        <v>0</v>
      </c>
      <c r="T153" s="36">
        <f t="shared" si="28"/>
        <v>0</v>
      </c>
      <c r="V153" s="6">
        <f t="shared" si="29"/>
        <v>0</v>
      </c>
      <c r="Y153" s="8">
        <f t="shared" si="30"/>
        <v>46023</v>
      </c>
    </row>
    <row r="154" spans="2:25" ht="18.75" x14ac:dyDescent="0.3">
      <c r="B154" s="6">
        <f t="shared" si="23"/>
        <v>0</v>
      </c>
      <c r="C154" s="6">
        <f t="shared" si="24"/>
        <v>0</v>
      </c>
      <c r="D154" s="6" t="str">
        <f t="shared" si="25"/>
        <v/>
      </c>
      <c r="E154" s="35" t="str">
        <f t="shared" si="21"/>
        <v/>
      </c>
      <c r="F154" s="31"/>
      <c r="G154" s="29"/>
      <c r="H154" s="78" t="str">
        <f t="shared" si="22"/>
        <v/>
      </c>
      <c r="I154" s="25"/>
      <c r="J154" s="25"/>
      <c r="K154" s="26"/>
      <c r="L154" s="26"/>
      <c r="M154" s="37"/>
      <c r="N154" s="27"/>
      <c r="O154" s="30"/>
      <c r="P154" s="39" t="str">
        <f t="shared" si="26"/>
        <v/>
      </c>
      <c r="Q154" s="40" t="str">
        <f>IF(OR(T154=0,RIGHT(T154,1)=$W$1),"",COUNTIF($T$3:T154,T154))</f>
        <v/>
      </c>
      <c r="S154" s="6">
        <f t="shared" si="27"/>
        <v>0</v>
      </c>
      <c r="T154" s="36">
        <f t="shared" si="28"/>
        <v>0</v>
      </c>
      <c r="V154" s="6">
        <f t="shared" si="29"/>
        <v>0</v>
      </c>
      <c r="Y154" s="8">
        <f t="shared" si="30"/>
        <v>46023</v>
      </c>
    </row>
    <row r="155" spans="2:25" ht="18.75" x14ac:dyDescent="0.3">
      <c r="B155" s="6">
        <f t="shared" si="23"/>
        <v>0</v>
      </c>
      <c r="C155" s="6">
        <f t="shared" si="24"/>
        <v>0</v>
      </c>
      <c r="D155" s="6" t="str">
        <f t="shared" si="25"/>
        <v/>
      </c>
      <c r="E155" s="35" t="str">
        <f t="shared" si="21"/>
        <v/>
      </c>
      <c r="F155" s="31"/>
      <c r="G155" s="29"/>
      <c r="H155" s="78" t="str">
        <f t="shared" si="22"/>
        <v/>
      </c>
      <c r="I155" s="25"/>
      <c r="J155" s="25"/>
      <c r="K155" s="26"/>
      <c r="L155" s="26"/>
      <c r="M155" s="37"/>
      <c r="N155" s="27"/>
      <c r="O155" s="30"/>
      <c r="P155" s="39" t="str">
        <f t="shared" si="26"/>
        <v/>
      </c>
      <c r="Q155" s="40" t="str">
        <f>IF(OR(T155=0,RIGHT(T155,1)=$W$1),"",COUNTIF($T$3:T155,T155))</f>
        <v/>
      </c>
      <c r="S155" s="6">
        <f t="shared" si="27"/>
        <v>0</v>
      </c>
      <c r="T155" s="36">
        <f t="shared" si="28"/>
        <v>0</v>
      </c>
      <c r="V155" s="6">
        <f t="shared" si="29"/>
        <v>0</v>
      </c>
      <c r="Y155" s="8">
        <f t="shared" si="30"/>
        <v>46023</v>
      </c>
    </row>
    <row r="156" spans="2:25" ht="18.75" x14ac:dyDescent="0.3">
      <c r="B156" s="6">
        <f t="shared" si="23"/>
        <v>0</v>
      </c>
      <c r="C156" s="6">
        <f t="shared" si="24"/>
        <v>0</v>
      </c>
      <c r="D156" s="6" t="str">
        <f t="shared" si="25"/>
        <v/>
      </c>
      <c r="E156" s="35" t="str">
        <f t="shared" si="21"/>
        <v/>
      </c>
      <c r="F156" s="31"/>
      <c r="G156" s="29"/>
      <c r="H156" s="78" t="str">
        <f t="shared" si="22"/>
        <v/>
      </c>
      <c r="I156" s="25"/>
      <c r="J156" s="25"/>
      <c r="K156" s="26"/>
      <c r="L156" s="26"/>
      <c r="M156" s="37"/>
      <c r="N156" s="27"/>
      <c r="O156" s="30"/>
      <c r="P156" s="39" t="str">
        <f t="shared" si="26"/>
        <v/>
      </c>
      <c r="Q156" s="40" t="str">
        <f>IF(OR(T156=0,RIGHT(T156,1)=$W$1),"",COUNTIF($T$3:T156,T156))</f>
        <v/>
      </c>
      <c r="S156" s="6">
        <f t="shared" si="27"/>
        <v>0</v>
      </c>
      <c r="T156" s="36">
        <f t="shared" si="28"/>
        <v>0</v>
      </c>
      <c r="V156" s="6">
        <f t="shared" si="29"/>
        <v>0</v>
      </c>
      <c r="Y156" s="8">
        <f t="shared" si="30"/>
        <v>46023</v>
      </c>
    </row>
    <row r="157" spans="2:25" ht="18.75" x14ac:dyDescent="0.3">
      <c r="B157" s="6">
        <f t="shared" si="23"/>
        <v>0</v>
      </c>
      <c r="C157" s="6">
        <f t="shared" si="24"/>
        <v>0</v>
      </c>
      <c r="D157" s="6" t="str">
        <f t="shared" si="25"/>
        <v/>
      </c>
      <c r="E157" s="35" t="str">
        <f t="shared" si="21"/>
        <v/>
      </c>
      <c r="F157" s="31"/>
      <c r="G157" s="29"/>
      <c r="H157" s="78" t="str">
        <f t="shared" si="22"/>
        <v/>
      </c>
      <c r="I157" s="25"/>
      <c r="J157" s="25"/>
      <c r="K157" s="26"/>
      <c r="L157" s="26"/>
      <c r="M157" s="37"/>
      <c r="N157" s="27"/>
      <c r="O157" s="30"/>
      <c r="P157" s="39" t="str">
        <f t="shared" si="26"/>
        <v/>
      </c>
      <c r="Q157" s="40" t="str">
        <f>IF(OR(T157=0,RIGHT(T157,1)=$W$1),"",COUNTIF($T$3:T157,T157))</f>
        <v/>
      </c>
      <c r="S157" s="6">
        <f t="shared" si="27"/>
        <v>0</v>
      </c>
      <c r="T157" s="36">
        <f t="shared" si="28"/>
        <v>0</v>
      </c>
      <c r="V157" s="6">
        <f t="shared" si="29"/>
        <v>0</v>
      </c>
      <c r="Y157" s="8">
        <f t="shared" si="30"/>
        <v>46023</v>
      </c>
    </row>
    <row r="158" spans="2:25" ht="18.75" x14ac:dyDescent="0.3">
      <c r="B158" s="6">
        <f t="shared" si="23"/>
        <v>0</v>
      </c>
      <c r="C158" s="6">
        <f t="shared" si="24"/>
        <v>0</v>
      </c>
      <c r="D158" s="6" t="str">
        <f t="shared" si="25"/>
        <v/>
      </c>
      <c r="E158" s="35" t="str">
        <f t="shared" si="21"/>
        <v/>
      </c>
      <c r="F158" s="31"/>
      <c r="G158" s="29"/>
      <c r="H158" s="78" t="str">
        <f t="shared" si="22"/>
        <v/>
      </c>
      <c r="I158" s="25"/>
      <c r="J158" s="25"/>
      <c r="K158" s="26"/>
      <c r="L158" s="26"/>
      <c r="M158" s="37"/>
      <c r="N158" s="27"/>
      <c r="O158" s="30"/>
      <c r="P158" s="39" t="str">
        <f t="shared" si="26"/>
        <v/>
      </c>
      <c r="Q158" s="40" t="str">
        <f>IF(OR(T158=0,RIGHT(T158,1)=$W$1),"",COUNTIF($T$3:T158,T158))</f>
        <v/>
      </c>
      <c r="S158" s="6">
        <f t="shared" si="27"/>
        <v>0</v>
      </c>
      <c r="T158" s="36">
        <f t="shared" si="28"/>
        <v>0</v>
      </c>
      <c r="V158" s="6">
        <f t="shared" si="29"/>
        <v>0</v>
      </c>
      <c r="Y158" s="8">
        <f t="shared" si="30"/>
        <v>46023</v>
      </c>
    </row>
    <row r="159" spans="2:25" ht="18.75" x14ac:dyDescent="0.3">
      <c r="B159" s="6">
        <f t="shared" si="23"/>
        <v>0</v>
      </c>
      <c r="C159" s="6">
        <f t="shared" si="24"/>
        <v>0</v>
      </c>
      <c r="D159" s="6" t="str">
        <f t="shared" si="25"/>
        <v/>
      </c>
      <c r="E159" s="35" t="str">
        <f t="shared" si="21"/>
        <v/>
      </c>
      <c r="F159" s="31"/>
      <c r="G159" s="29"/>
      <c r="H159" s="78" t="str">
        <f t="shared" si="22"/>
        <v/>
      </c>
      <c r="I159" s="25"/>
      <c r="J159" s="25"/>
      <c r="K159" s="26"/>
      <c r="L159" s="26"/>
      <c r="M159" s="37"/>
      <c r="N159" s="27"/>
      <c r="O159" s="30"/>
      <c r="P159" s="39" t="str">
        <f t="shared" si="26"/>
        <v/>
      </c>
      <c r="Q159" s="40" t="str">
        <f>IF(OR(T159=0,RIGHT(T159,1)=$W$1),"",COUNTIF($T$3:T159,T159))</f>
        <v/>
      </c>
      <c r="S159" s="6">
        <f t="shared" si="27"/>
        <v>0</v>
      </c>
      <c r="T159" s="36">
        <f t="shared" si="28"/>
        <v>0</v>
      </c>
      <c r="V159" s="6">
        <f t="shared" si="29"/>
        <v>0</v>
      </c>
      <c r="Y159" s="8">
        <f t="shared" si="30"/>
        <v>46023</v>
      </c>
    </row>
    <row r="160" spans="2:25" ht="18.75" x14ac:dyDescent="0.3">
      <c r="B160" s="6">
        <f t="shared" si="23"/>
        <v>0</v>
      </c>
      <c r="C160" s="6">
        <f t="shared" si="24"/>
        <v>0</v>
      </c>
      <c r="D160" s="6" t="str">
        <f t="shared" si="25"/>
        <v/>
      </c>
      <c r="E160" s="35" t="str">
        <f t="shared" si="21"/>
        <v/>
      </c>
      <c r="F160" s="31"/>
      <c r="G160" s="29"/>
      <c r="H160" s="78" t="str">
        <f t="shared" si="22"/>
        <v/>
      </c>
      <c r="I160" s="25"/>
      <c r="J160" s="25"/>
      <c r="K160" s="26"/>
      <c r="L160" s="26"/>
      <c r="M160" s="37"/>
      <c r="N160" s="27"/>
      <c r="O160" s="30"/>
      <c r="P160" s="39" t="str">
        <f t="shared" si="26"/>
        <v/>
      </c>
      <c r="Q160" s="40" t="str">
        <f>IF(OR(T160=0,RIGHT(T160,1)=$W$1),"",COUNTIF($T$3:T160,T160))</f>
        <v/>
      </c>
      <c r="S160" s="6">
        <f t="shared" si="27"/>
        <v>0</v>
      </c>
      <c r="T160" s="36">
        <f t="shared" si="28"/>
        <v>0</v>
      </c>
      <c r="V160" s="6">
        <f t="shared" si="29"/>
        <v>0</v>
      </c>
      <c r="Y160" s="8">
        <f t="shared" si="30"/>
        <v>46023</v>
      </c>
    </row>
    <row r="161" spans="2:25" ht="18.75" x14ac:dyDescent="0.3">
      <c r="B161" s="6">
        <f t="shared" si="23"/>
        <v>0</v>
      </c>
      <c r="C161" s="6">
        <f t="shared" si="24"/>
        <v>0</v>
      </c>
      <c r="D161" s="6" t="str">
        <f t="shared" si="25"/>
        <v/>
      </c>
      <c r="E161" s="35" t="str">
        <f t="shared" si="21"/>
        <v/>
      </c>
      <c r="F161" s="31"/>
      <c r="G161" s="29"/>
      <c r="H161" s="78" t="str">
        <f t="shared" si="22"/>
        <v/>
      </c>
      <c r="I161" s="25"/>
      <c r="J161" s="25"/>
      <c r="K161" s="26"/>
      <c r="L161" s="26"/>
      <c r="M161" s="37"/>
      <c r="N161" s="27"/>
      <c r="O161" s="30"/>
      <c r="P161" s="39" t="str">
        <f t="shared" si="26"/>
        <v/>
      </c>
      <c r="Q161" s="40" t="str">
        <f>IF(OR(T161=0,RIGHT(T161,1)=$W$1),"",COUNTIF($T$3:T161,T161))</f>
        <v/>
      </c>
      <c r="S161" s="6">
        <f t="shared" si="27"/>
        <v>0</v>
      </c>
      <c r="T161" s="36">
        <f t="shared" si="28"/>
        <v>0</v>
      </c>
      <c r="V161" s="6">
        <f t="shared" si="29"/>
        <v>0</v>
      </c>
      <c r="Y161" s="8">
        <f t="shared" si="30"/>
        <v>46023</v>
      </c>
    </row>
    <row r="162" spans="2:25" ht="18.75" x14ac:dyDescent="0.3">
      <c r="B162" s="6">
        <f t="shared" si="23"/>
        <v>0</v>
      </c>
      <c r="C162" s="6">
        <f t="shared" si="24"/>
        <v>0</v>
      </c>
      <c r="D162" s="6" t="str">
        <f t="shared" si="25"/>
        <v/>
      </c>
      <c r="E162" s="35" t="str">
        <f t="shared" si="21"/>
        <v/>
      </c>
      <c r="F162" s="31"/>
      <c r="G162" s="29"/>
      <c r="H162" s="78" t="str">
        <f t="shared" si="22"/>
        <v/>
      </c>
      <c r="I162" s="25"/>
      <c r="J162" s="25"/>
      <c r="K162" s="26"/>
      <c r="L162" s="26"/>
      <c r="M162" s="37"/>
      <c r="N162" s="27"/>
      <c r="O162" s="30"/>
      <c r="P162" s="39" t="str">
        <f t="shared" si="26"/>
        <v/>
      </c>
      <c r="Q162" s="40" t="str">
        <f>IF(OR(T162=0,RIGHT(T162,1)=$W$1),"",COUNTIF($T$3:T162,T162))</f>
        <v/>
      </c>
      <c r="S162" s="6">
        <f t="shared" si="27"/>
        <v>0</v>
      </c>
      <c r="T162" s="36">
        <f t="shared" si="28"/>
        <v>0</v>
      </c>
      <c r="V162" s="6">
        <f t="shared" si="29"/>
        <v>0</v>
      </c>
      <c r="Y162" s="8">
        <f t="shared" si="30"/>
        <v>46023</v>
      </c>
    </row>
    <row r="163" spans="2:25" ht="18.75" x14ac:dyDescent="0.3">
      <c r="B163" s="6">
        <f t="shared" si="23"/>
        <v>0</v>
      </c>
      <c r="C163" s="6">
        <f t="shared" si="24"/>
        <v>0</v>
      </c>
      <c r="D163" s="6" t="str">
        <f t="shared" si="25"/>
        <v/>
      </c>
      <c r="E163" s="35" t="str">
        <f t="shared" si="21"/>
        <v/>
      </c>
      <c r="F163" s="31"/>
      <c r="G163" s="29"/>
      <c r="H163" s="78" t="str">
        <f t="shared" si="22"/>
        <v/>
      </c>
      <c r="I163" s="25"/>
      <c r="J163" s="25"/>
      <c r="K163" s="26"/>
      <c r="L163" s="26"/>
      <c r="M163" s="37"/>
      <c r="N163" s="27"/>
      <c r="O163" s="30"/>
      <c r="P163" s="39" t="str">
        <f t="shared" si="26"/>
        <v/>
      </c>
      <c r="Q163" s="40" t="str">
        <f>IF(OR(T163=0,RIGHT(T163,1)=$W$1),"",COUNTIF($T$3:T163,T163))</f>
        <v/>
      </c>
      <c r="S163" s="6">
        <f t="shared" si="27"/>
        <v>0</v>
      </c>
      <c r="T163" s="36">
        <f t="shared" si="28"/>
        <v>0</v>
      </c>
      <c r="V163" s="6">
        <f t="shared" si="29"/>
        <v>0</v>
      </c>
      <c r="Y163" s="8">
        <f t="shared" si="30"/>
        <v>46023</v>
      </c>
    </row>
    <row r="164" spans="2:25" ht="18.75" x14ac:dyDescent="0.3">
      <c r="B164" s="6">
        <f t="shared" si="23"/>
        <v>0</v>
      </c>
      <c r="C164" s="6">
        <f t="shared" si="24"/>
        <v>0</v>
      </c>
      <c r="D164" s="6" t="str">
        <f t="shared" si="25"/>
        <v/>
      </c>
      <c r="E164" s="35" t="str">
        <f t="shared" si="21"/>
        <v/>
      </c>
      <c r="F164" s="31"/>
      <c r="G164" s="29"/>
      <c r="H164" s="78" t="str">
        <f t="shared" si="22"/>
        <v/>
      </c>
      <c r="I164" s="25"/>
      <c r="J164" s="25"/>
      <c r="K164" s="26"/>
      <c r="L164" s="26"/>
      <c r="M164" s="37"/>
      <c r="N164" s="27"/>
      <c r="O164" s="30"/>
      <c r="P164" s="39" t="str">
        <f t="shared" si="26"/>
        <v/>
      </c>
      <c r="Q164" s="40" t="str">
        <f>IF(OR(T164=0,RIGHT(T164,1)=$W$1),"",COUNTIF($T$3:T164,T164))</f>
        <v/>
      </c>
      <c r="S164" s="6">
        <f t="shared" si="27"/>
        <v>0</v>
      </c>
      <c r="T164" s="36">
        <f t="shared" si="28"/>
        <v>0</v>
      </c>
      <c r="V164" s="6">
        <f t="shared" si="29"/>
        <v>0</v>
      </c>
      <c r="Y164" s="8">
        <f t="shared" si="30"/>
        <v>46023</v>
      </c>
    </row>
    <row r="165" spans="2:25" ht="18.75" x14ac:dyDescent="0.3">
      <c r="B165" s="6">
        <f t="shared" si="23"/>
        <v>0</v>
      </c>
      <c r="C165" s="6">
        <f t="shared" si="24"/>
        <v>0</v>
      </c>
      <c r="D165" s="6" t="str">
        <f t="shared" si="25"/>
        <v/>
      </c>
      <c r="E165" s="35" t="str">
        <f t="shared" si="21"/>
        <v/>
      </c>
      <c r="F165" s="31"/>
      <c r="G165" s="29"/>
      <c r="H165" s="78" t="str">
        <f t="shared" si="22"/>
        <v/>
      </c>
      <c r="I165" s="25"/>
      <c r="J165" s="25"/>
      <c r="K165" s="26"/>
      <c r="L165" s="26"/>
      <c r="M165" s="37"/>
      <c r="N165" s="27"/>
      <c r="O165" s="30"/>
      <c r="P165" s="39" t="str">
        <f t="shared" si="26"/>
        <v/>
      </c>
      <c r="Q165" s="40" t="str">
        <f>IF(OR(T165=0,RIGHT(T165,1)=$W$1),"",COUNTIF($T$3:T165,T165))</f>
        <v/>
      </c>
      <c r="S165" s="6">
        <f t="shared" si="27"/>
        <v>0</v>
      </c>
      <c r="T165" s="36">
        <f t="shared" si="28"/>
        <v>0</v>
      </c>
      <c r="V165" s="6">
        <f t="shared" si="29"/>
        <v>0</v>
      </c>
      <c r="Y165" s="8">
        <f t="shared" si="30"/>
        <v>46023</v>
      </c>
    </row>
    <row r="166" spans="2:25" ht="18.75" x14ac:dyDescent="0.3">
      <c r="B166" s="6">
        <f t="shared" si="23"/>
        <v>0</v>
      </c>
      <c r="C166" s="6">
        <f t="shared" si="24"/>
        <v>0</v>
      </c>
      <c r="D166" s="6" t="str">
        <f t="shared" si="25"/>
        <v/>
      </c>
      <c r="E166" s="35" t="str">
        <f t="shared" si="21"/>
        <v/>
      </c>
      <c r="F166" s="31"/>
      <c r="G166" s="29"/>
      <c r="H166" s="78" t="str">
        <f t="shared" si="22"/>
        <v/>
      </c>
      <c r="I166" s="25"/>
      <c r="J166" s="25"/>
      <c r="K166" s="26"/>
      <c r="L166" s="26"/>
      <c r="M166" s="37"/>
      <c r="N166" s="27"/>
      <c r="O166" s="30"/>
      <c r="P166" s="39" t="str">
        <f t="shared" si="26"/>
        <v/>
      </c>
      <c r="Q166" s="40" t="str">
        <f>IF(OR(T166=0,RIGHT(T166,1)=$W$1),"",COUNTIF($T$3:T166,T166))</f>
        <v/>
      </c>
      <c r="S166" s="6">
        <f t="shared" si="27"/>
        <v>0</v>
      </c>
      <c r="T166" s="36">
        <f t="shared" si="28"/>
        <v>0</v>
      </c>
      <c r="V166" s="6">
        <f t="shared" si="29"/>
        <v>0</v>
      </c>
      <c r="Y166" s="8">
        <f t="shared" si="30"/>
        <v>46023</v>
      </c>
    </row>
    <row r="167" spans="2:25" ht="18.75" x14ac:dyDescent="0.3">
      <c r="B167" s="6">
        <f t="shared" si="23"/>
        <v>0</v>
      </c>
      <c r="C167" s="6">
        <f t="shared" si="24"/>
        <v>0</v>
      </c>
      <c r="D167" s="6" t="str">
        <f t="shared" si="25"/>
        <v/>
      </c>
      <c r="E167" s="35" t="str">
        <f t="shared" si="21"/>
        <v/>
      </c>
      <c r="F167" s="31"/>
      <c r="G167" s="29"/>
      <c r="H167" s="78" t="str">
        <f t="shared" si="22"/>
        <v/>
      </c>
      <c r="I167" s="25"/>
      <c r="J167" s="25"/>
      <c r="K167" s="26"/>
      <c r="L167" s="26"/>
      <c r="M167" s="37"/>
      <c r="N167" s="27"/>
      <c r="O167" s="30"/>
      <c r="P167" s="39" t="str">
        <f t="shared" si="26"/>
        <v/>
      </c>
      <c r="Q167" s="40" t="str">
        <f>IF(OR(T167=0,RIGHT(T167,1)=$W$1),"",COUNTIF($T$3:T167,T167))</f>
        <v/>
      </c>
      <c r="S167" s="6">
        <f t="shared" si="27"/>
        <v>0</v>
      </c>
      <c r="T167" s="36">
        <f t="shared" si="28"/>
        <v>0</v>
      </c>
      <c r="V167" s="6">
        <f t="shared" si="29"/>
        <v>0</v>
      </c>
      <c r="Y167" s="8">
        <f t="shared" si="30"/>
        <v>46023</v>
      </c>
    </row>
    <row r="168" spans="2:25" ht="18.75" x14ac:dyDescent="0.3">
      <c r="B168" s="6">
        <f t="shared" si="23"/>
        <v>0</v>
      </c>
      <c r="C168" s="6">
        <f t="shared" si="24"/>
        <v>0</v>
      </c>
      <c r="D168" s="6" t="str">
        <f t="shared" si="25"/>
        <v/>
      </c>
      <c r="E168" s="35" t="str">
        <f t="shared" si="21"/>
        <v/>
      </c>
      <c r="F168" s="31"/>
      <c r="G168" s="29"/>
      <c r="H168" s="78" t="str">
        <f t="shared" si="22"/>
        <v/>
      </c>
      <c r="I168" s="25"/>
      <c r="J168" s="25"/>
      <c r="K168" s="26"/>
      <c r="L168" s="26"/>
      <c r="M168" s="37"/>
      <c r="N168" s="27"/>
      <c r="O168" s="30"/>
      <c r="P168" s="39" t="str">
        <f t="shared" si="26"/>
        <v/>
      </c>
      <c r="Q168" s="40" t="str">
        <f>IF(OR(T168=0,RIGHT(T168,1)=$W$1),"",COUNTIF($T$3:T168,T168))</f>
        <v/>
      </c>
      <c r="S168" s="6">
        <f t="shared" si="27"/>
        <v>0</v>
      </c>
      <c r="T168" s="36">
        <f t="shared" si="28"/>
        <v>0</v>
      </c>
      <c r="V168" s="6">
        <f t="shared" si="29"/>
        <v>0</v>
      </c>
      <c r="Y168" s="8">
        <f t="shared" si="30"/>
        <v>46023</v>
      </c>
    </row>
    <row r="169" spans="2:25" ht="18.75" x14ac:dyDescent="0.3">
      <c r="B169" s="6">
        <f t="shared" si="23"/>
        <v>0</v>
      </c>
      <c r="C169" s="6">
        <f t="shared" si="24"/>
        <v>0</v>
      </c>
      <c r="D169" s="6" t="str">
        <f t="shared" si="25"/>
        <v/>
      </c>
      <c r="E169" s="35" t="str">
        <f t="shared" si="21"/>
        <v/>
      </c>
      <c r="F169" s="31"/>
      <c r="G169" s="29"/>
      <c r="H169" s="78" t="str">
        <f t="shared" si="22"/>
        <v/>
      </c>
      <c r="I169" s="25"/>
      <c r="J169" s="25"/>
      <c r="K169" s="26"/>
      <c r="L169" s="26"/>
      <c r="M169" s="37"/>
      <c r="N169" s="27"/>
      <c r="O169" s="30"/>
      <c r="P169" s="39" t="str">
        <f t="shared" si="26"/>
        <v/>
      </c>
      <c r="Q169" s="40" t="str">
        <f>IF(OR(T169=0,RIGHT(T169,1)=$W$1),"",COUNTIF($T$3:T169,T169))</f>
        <v/>
      </c>
      <c r="S169" s="6">
        <f t="shared" si="27"/>
        <v>0</v>
      </c>
      <c r="T169" s="36">
        <f t="shared" si="28"/>
        <v>0</v>
      </c>
      <c r="V169" s="6">
        <f t="shared" si="29"/>
        <v>0</v>
      </c>
      <c r="Y169" s="8">
        <f t="shared" si="30"/>
        <v>46023</v>
      </c>
    </row>
    <row r="170" spans="2:25" ht="18.75" x14ac:dyDescent="0.3">
      <c r="B170" s="6">
        <f t="shared" si="23"/>
        <v>0</v>
      </c>
      <c r="C170" s="6">
        <f t="shared" si="24"/>
        <v>0</v>
      </c>
      <c r="D170" s="6" t="str">
        <f t="shared" si="25"/>
        <v/>
      </c>
      <c r="E170" s="35" t="str">
        <f t="shared" si="21"/>
        <v/>
      </c>
      <c r="F170" s="31"/>
      <c r="G170" s="29"/>
      <c r="H170" s="78" t="str">
        <f t="shared" si="22"/>
        <v/>
      </c>
      <c r="I170" s="25"/>
      <c r="J170" s="25"/>
      <c r="K170" s="26"/>
      <c r="L170" s="26"/>
      <c r="M170" s="37"/>
      <c r="N170" s="27"/>
      <c r="O170" s="30"/>
      <c r="P170" s="39" t="str">
        <f t="shared" si="26"/>
        <v/>
      </c>
      <c r="Q170" s="40" t="str">
        <f>IF(OR(T170=0,RIGHT(T170,1)=$W$1),"",COUNTIF($T$3:T170,T170))</f>
        <v/>
      </c>
      <c r="S170" s="6">
        <f t="shared" si="27"/>
        <v>0</v>
      </c>
      <c r="T170" s="36">
        <f t="shared" si="28"/>
        <v>0</v>
      </c>
      <c r="V170" s="6">
        <f t="shared" si="29"/>
        <v>0</v>
      </c>
      <c r="Y170" s="8">
        <f t="shared" si="30"/>
        <v>46023</v>
      </c>
    </row>
    <row r="171" spans="2:25" ht="18.75" x14ac:dyDescent="0.3">
      <c r="B171" s="6">
        <f t="shared" si="23"/>
        <v>0</v>
      </c>
      <c r="C171" s="6">
        <f t="shared" si="24"/>
        <v>0</v>
      </c>
      <c r="D171" s="6" t="str">
        <f t="shared" si="25"/>
        <v/>
      </c>
      <c r="E171" s="35" t="str">
        <f t="shared" si="21"/>
        <v/>
      </c>
      <c r="F171" s="31"/>
      <c r="G171" s="29"/>
      <c r="H171" s="78" t="str">
        <f t="shared" si="22"/>
        <v/>
      </c>
      <c r="I171" s="25"/>
      <c r="J171" s="25"/>
      <c r="K171" s="26"/>
      <c r="L171" s="26"/>
      <c r="M171" s="37"/>
      <c r="N171" s="27"/>
      <c r="O171" s="30"/>
      <c r="P171" s="39" t="str">
        <f t="shared" si="26"/>
        <v/>
      </c>
      <c r="Q171" s="40" t="str">
        <f>IF(OR(T171=0,RIGHT(T171,1)=$W$1),"",COUNTIF($T$3:T171,T171))</f>
        <v/>
      </c>
      <c r="S171" s="6">
        <f t="shared" si="27"/>
        <v>0</v>
      </c>
      <c r="T171" s="36">
        <f t="shared" si="28"/>
        <v>0</v>
      </c>
      <c r="V171" s="6">
        <f t="shared" si="29"/>
        <v>0</v>
      </c>
      <c r="Y171" s="8">
        <f t="shared" si="30"/>
        <v>46023</v>
      </c>
    </row>
    <row r="172" spans="2:25" ht="18.75" x14ac:dyDescent="0.3">
      <c r="B172" s="6">
        <f t="shared" si="23"/>
        <v>0</v>
      </c>
      <c r="C172" s="6">
        <f t="shared" si="24"/>
        <v>0</v>
      </c>
      <c r="D172" s="6" t="str">
        <f t="shared" si="25"/>
        <v/>
      </c>
      <c r="E172" s="35" t="str">
        <f t="shared" si="21"/>
        <v/>
      </c>
      <c r="F172" s="31"/>
      <c r="G172" s="29"/>
      <c r="H172" s="78" t="str">
        <f t="shared" si="22"/>
        <v/>
      </c>
      <c r="I172" s="25"/>
      <c r="J172" s="25"/>
      <c r="K172" s="26"/>
      <c r="L172" s="26"/>
      <c r="M172" s="37"/>
      <c r="N172" s="27"/>
      <c r="O172" s="30"/>
      <c r="P172" s="39" t="str">
        <f t="shared" si="26"/>
        <v/>
      </c>
      <c r="Q172" s="40" t="str">
        <f>IF(OR(T172=0,RIGHT(T172,1)=$W$1),"",COUNTIF($T$3:T172,T172))</f>
        <v/>
      </c>
      <c r="S172" s="6">
        <f t="shared" si="27"/>
        <v>0</v>
      </c>
      <c r="T172" s="36">
        <f t="shared" si="28"/>
        <v>0</v>
      </c>
      <c r="V172" s="6">
        <f t="shared" si="29"/>
        <v>0</v>
      </c>
      <c r="Y172" s="8">
        <f t="shared" si="30"/>
        <v>46023</v>
      </c>
    </row>
    <row r="173" spans="2:25" ht="18.75" x14ac:dyDescent="0.3">
      <c r="B173" s="6">
        <f t="shared" si="23"/>
        <v>0</v>
      </c>
      <c r="C173" s="6">
        <f t="shared" si="24"/>
        <v>0</v>
      </c>
      <c r="D173" s="6" t="str">
        <f t="shared" si="25"/>
        <v/>
      </c>
      <c r="E173" s="35" t="str">
        <f t="shared" si="21"/>
        <v/>
      </c>
      <c r="F173" s="31"/>
      <c r="G173" s="29"/>
      <c r="H173" s="78" t="str">
        <f t="shared" si="22"/>
        <v/>
      </c>
      <c r="I173" s="25"/>
      <c r="J173" s="25"/>
      <c r="K173" s="26"/>
      <c r="L173" s="26"/>
      <c r="M173" s="37"/>
      <c r="N173" s="27"/>
      <c r="O173" s="30"/>
      <c r="P173" s="39" t="str">
        <f t="shared" si="26"/>
        <v/>
      </c>
      <c r="Q173" s="40" t="str">
        <f>IF(OR(T173=0,RIGHT(T173,1)=$W$1),"",COUNTIF($T$3:T173,T173))</f>
        <v/>
      </c>
      <c r="S173" s="6">
        <f t="shared" si="27"/>
        <v>0</v>
      </c>
      <c r="T173" s="36">
        <f t="shared" si="28"/>
        <v>0</v>
      </c>
      <c r="V173" s="6">
        <f t="shared" si="29"/>
        <v>0</v>
      </c>
      <c r="Y173" s="8">
        <f t="shared" si="30"/>
        <v>46023</v>
      </c>
    </row>
    <row r="174" spans="2:25" ht="18.75" x14ac:dyDescent="0.3">
      <c r="B174" s="6">
        <f t="shared" si="23"/>
        <v>0</v>
      </c>
      <c r="C174" s="6">
        <f t="shared" si="24"/>
        <v>0</v>
      </c>
      <c r="D174" s="6" t="str">
        <f t="shared" si="25"/>
        <v/>
      </c>
      <c r="E174" s="35" t="str">
        <f t="shared" si="21"/>
        <v/>
      </c>
      <c r="F174" s="31"/>
      <c r="G174" s="29"/>
      <c r="H174" s="78" t="str">
        <f t="shared" si="22"/>
        <v/>
      </c>
      <c r="I174" s="25"/>
      <c r="J174" s="25"/>
      <c r="K174" s="26"/>
      <c r="L174" s="26"/>
      <c r="M174" s="37"/>
      <c r="N174" s="27"/>
      <c r="O174" s="30"/>
      <c r="P174" s="39" t="str">
        <f t="shared" si="26"/>
        <v/>
      </c>
      <c r="Q174" s="40" t="str">
        <f>IF(OR(T174=0,RIGHT(T174,1)=$W$1),"",COUNTIF($T$3:T174,T174))</f>
        <v/>
      </c>
      <c r="S174" s="6">
        <f t="shared" si="27"/>
        <v>0</v>
      </c>
      <c r="T174" s="36">
        <f t="shared" si="28"/>
        <v>0</v>
      </c>
      <c r="V174" s="6">
        <f t="shared" si="29"/>
        <v>0</v>
      </c>
      <c r="Y174" s="8">
        <f t="shared" si="30"/>
        <v>46023</v>
      </c>
    </row>
    <row r="175" spans="2:25" ht="18.75" x14ac:dyDescent="0.3">
      <c r="B175" s="6">
        <f t="shared" si="23"/>
        <v>0</v>
      </c>
      <c r="C175" s="6">
        <f t="shared" si="24"/>
        <v>0</v>
      </c>
      <c r="D175" s="6" t="str">
        <f t="shared" si="25"/>
        <v/>
      </c>
      <c r="E175" s="35" t="str">
        <f t="shared" si="21"/>
        <v/>
      </c>
      <c r="F175" s="31"/>
      <c r="G175" s="29"/>
      <c r="H175" s="78" t="str">
        <f t="shared" si="22"/>
        <v/>
      </c>
      <c r="I175" s="25"/>
      <c r="J175" s="25"/>
      <c r="K175" s="26"/>
      <c r="L175" s="26"/>
      <c r="M175" s="37"/>
      <c r="N175" s="27"/>
      <c r="O175" s="30"/>
      <c r="P175" s="39" t="str">
        <f t="shared" si="26"/>
        <v/>
      </c>
      <c r="Q175" s="40" t="str">
        <f>IF(OR(T175=0,RIGHT(T175,1)=$W$1),"",COUNTIF($T$3:T175,T175))</f>
        <v/>
      </c>
      <c r="S175" s="6">
        <f t="shared" si="27"/>
        <v>0</v>
      </c>
      <c r="T175" s="36">
        <f t="shared" si="28"/>
        <v>0</v>
      </c>
      <c r="V175" s="6">
        <f t="shared" si="29"/>
        <v>0</v>
      </c>
      <c r="Y175" s="8">
        <f t="shared" si="30"/>
        <v>46023</v>
      </c>
    </row>
    <row r="176" spans="2:25" ht="18.75" x14ac:dyDescent="0.3">
      <c r="B176" s="6">
        <f t="shared" si="23"/>
        <v>0</v>
      </c>
      <c r="C176" s="6">
        <f t="shared" si="24"/>
        <v>0</v>
      </c>
      <c r="D176" s="6" t="str">
        <f t="shared" si="25"/>
        <v/>
      </c>
      <c r="E176" s="35" t="str">
        <f t="shared" si="21"/>
        <v/>
      </c>
      <c r="F176" s="31"/>
      <c r="G176" s="29"/>
      <c r="H176" s="78" t="str">
        <f t="shared" si="22"/>
        <v/>
      </c>
      <c r="I176" s="25"/>
      <c r="J176" s="25"/>
      <c r="K176" s="26"/>
      <c r="L176" s="26"/>
      <c r="M176" s="37"/>
      <c r="N176" s="27"/>
      <c r="O176" s="30"/>
      <c r="P176" s="39" t="str">
        <f t="shared" si="26"/>
        <v/>
      </c>
      <c r="Q176" s="40" t="str">
        <f>IF(OR(T176=0,RIGHT(T176,1)=$W$1),"",COUNTIF($T$3:T176,T176))</f>
        <v/>
      </c>
      <c r="S176" s="6">
        <f t="shared" si="27"/>
        <v>0</v>
      </c>
      <c r="T176" s="36">
        <f t="shared" si="28"/>
        <v>0</v>
      </c>
      <c r="V176" s="6">
        <f t="shared" si="29"/>
        <v>0</v>
      </c>
      <c r="Y176" s="8">
        <f t="shared" si="30"/>
        <v>46023</v>
      </c>
    </row>
    <row r="177" spans="2:25" ht="18.75" x14ac:dyDescent="0.3">
      <c r="B177" s="6">
        <f t="shared" si="23"/>
        <v>0</v>
      </c>
      <c r="C177" s="6">
        <f t="shared" si="24"/>
        <v>0</v>
      </c>
      <c r="D177" s="6" t="str">
        <f t="shared" si="25"/>
        <v/>
      </c>
      <c r="E177" s="35" t="str">
        <f t="shared" si="21"/>
        <v/>
      </c>
      <c r="F177" s="31"/>
      <c r="G177" s="29"/>
      <c r="H177" s="78" t="str">
        <f t="shared" si="22"/>
        <v/>
      </c>
      <c r="I177" s="25"/>
      <c r="J177" s="25"/>
      <c r="K177" s="26"/>
      <c r="L177" s="26"/>
      <c r="M177" s="37"/>
      <c r="N177" s="27"/>
      <c r="O177" s="30"/>
      <c r="P177" s="39" t="str">
        <f t="shared" si="26"/>
        <v/>
      </c>
      <c r="Q177" s="40" t="str">
        <f>IF(OR(T177=0,RIGHT(T177,1)=$W$1),"",COUNTIF($T$3:T177,T177))</f>
        <v/>
      </c>
      <c r="S177" s="6">
        <f t="shared" si="27"/>
        <v>0</v>
      </c>
      <c r="T177" s="36">
        <f t="shared" si="28"/>
        <v>0</v>
      </c>
      <c r="V177" s="6">
        <f t="shared" si="29"/>
        <v>0</v>
      </c>
      <c r="Y177" s="8">
        <f t="shared" si="30"/>
        <v>46023</v>
      </c>
    </row>
    <row r="178" spans="2:25" ht="18.75" x14ac:dyDescent="0.3">
      <c r="B178" s="6">
        <f t="shared" si="23"/>
        <v>0</v>
      </c>
      <c r="C178" s="6">
        <f t="shared" si="24"/>
        <v>0</v>
      </c>
      <c r="D178" s="6" t="str">
        <f t="shared" si="25"/>
        <v/>
      </c>
      <c r="E178" s="35" t="str">
        <f t="shared" si="21"/>
        <v/>
      </c>
      <c r="F178" s="31"/>
      <c r="G178" s="29"/>
      <c r="H178" s="78" t="str">
        <f t="shared" si="22"/>
        <v/>
      </c>
      <c r="I178" s="25"/>
      <c r="J178" s="25"/>
      <c r="K178" s="26"/>
      <c r="L178" s="26"/>
      <c r="M178" s="37"/>
      <c r="N178" s="27"/>
      <c r="O178" s="30"/>
      <c r="P178" s="39" t="str">
        <f t="shared" si="26"/>
        <v/>
      </c>
      <c r="Q178" s="40" t="str">
        <f>IF(OR(T178=0,RIGHT(T178,1)=$W$1),"",COUNTIF($T$3:T178,T178))</f>
        <v/>
      </c>
      <c r="S178" s="6">
        <f t="shared" si="27"/>
        <v>0</v>
      </c>
      <c r="T178" s="36">
        <f t="shared" si="28"/>
        <v>0</v>
      </c>
      <c r="V178" s="6">
        <f t="shared" si="29"/>
        <v>0</v>
      </c>
      <c r="Y178" s="8">
        <f t="shared" si="30"/>
        <v>46023</v>
      </c>
    </row>
    <row r="179" spans="2:25" ht="18.75" x14ac:dyDescent="0.3">
      <c r="B179" s="6">
        <f t="shared" si="23"/>
        <v>0</v>
      </c>
      <c r="C179" s="6">
        <f t="shared" si="24"/>
        <v>0</v>
      </c>
      <c r="D179" s="6" t="str">
        <f t="shared" si="25"/>
        <v/>
      </c>
      <c r="E179" s="35" t="str">
        <f t="shared" si="21"/>
        <v/>
      </c>
      <c r="F179" s="31"/>
      <c r="G179" s="29"/>
      <c r="H179" s="78" t="str">
        <f t="shared" si="22"/>
        <v/>
      </c>
      <c r="I179" s="25"/>
      <c r="J179" s="25"/>
      <c r="K179" s="26"/>
      <c r="L179" s="26"/>
      <c r="M179" s="37"/>
      <c r="N179" s="27"/>
      <c r="O179" s="30"/>
      <c r="P179" s="39" t="str">
        <f t="shared" si="26"/>
        <v/>
      </c>
      <c r="Q179" s="40" t="str">
        <f>IF(OR(T179=0,RIGHT(T179,1)=$W$1),"",COUNTIF($T$3:T179,T179))</f>
        <v/>
      </c>
      <c r="S179" s="6">
        <f t="shared" si="27"/>
        <v>0</v>
      </c>
      <c r="T179" s="36">
        <f t="shared" si="28"/>
        <v>0</v>
      </c>
      <c r="V179" s="6">
        <f t="shared" si="29"/>
        <v>0</v>
      </c>
      <c r="Y179" s="8">
        <f t="shared" si="30"/>
        <v>46023</v>
      </c>
    </row>
    <row r="180" spans="2:25" ht="18.75" x14ac:dyDescent="0.3">
      <c r="B180" s="6">
        <f t="shared" si="23"/>
        <v>0</v>
      </c>
      <c r="C180" s="6">
        <f t="shared" si="24"/>
        <v>0</v>
      </c>
      <c r="D180" s="6" t="str">
        <f t="shared" si="25"/>
        <v/>
      </c>
      <c r="E180" s="35" t="str">
        <f t="shared" si="21"/>
        <v/>
      </c>
      <c r="F180" s="31"/>
      <c r="G180" s="29"/>
      <c r="H180" s="78" t="str">
        <f t="shared" si="22"/>
        <v/>
      </c>
      <c r="I180" s="25"/>
      <c r="J180" s="25"/>
      <c r="K180" s="26"/>
      <c r="L180" s="26"/>
      <c r="M180" s="37"/>
      <c r="N180" s="27"/>
      <c r="O180" s="30"/>
      <c r="P180" s="39" t="str">
        <f t="shared" si="26"/>
        <v/>
      </c>
      <c r="Q180" s="40" t="str">
        <f>IF(OR(T180=0,RIGHT(T180,1)=$W$1),"",COUNTIF($T$3:T180,T180))</f>
        <v/>
      </c>
      <c r="S180" s="6">
        <f t="shared" si="27"/>
        <v>0</v>
      </c>
      <c r="T180" s="36">
        <f t="shared" si="28"/>
        <v>0</v>
      </c>
      <c r="V180" s="6">
        <f t="shared" si="29"/>
        <v>0</v>
      </c>
      <c r="Y180" s="8">
        <f t="shared" si="30"/>
        <v>46023</v>
      </c>
    </row>
    <row r="181" spans="2:25" ht="18.75" x14ac:dyDescent="0.3">
      <c r="B181" s="6">
        <f t="shared" si="23"/>
        <v>0</v>
      </c>
      <c r="C181" s="6">
        <f t="shared" si="24"/>
        <v>0</v>
      </c>
      <c r="D181" s="6" t="str">
        <f t="shared" si="25"/>
        <v/>
      </c>
      <c r="E181" s="35" t="str">
        <f t="shared" si="21"/>
        <v/>
      </c>
      <c r="F181" s="31"/>
      <c r="G181" s="29"/>
      <c r="H181" s="78" t="str">
        <f t="shared" si="22"/>
        <v/>
      </c>
      <c r="I181" s="25"/>
      <c r="J181" s="25"/>
      <c r="K181" s="26"/>
      <c r="L181" s="26"/>
      <c r="M181" s="37"/>
      <c r="N181" s="27"/>
      <c r="O181" s="30"/>
      <c r="P181" s="39" t="str">
        <f t="shared" si="26"/>
        <v/>
      </c>
      <c r="Q181" s="40" t="str">
        <f>IF(OR(T181=0,RIGHT(T181,1)=$W$1),"",COUNTIF($T$3:T181,T181))</f>
        <v/>
      </c>
      <c r="S181" s="6">
        <f t="shared" si="27"/>
        <v>0</v>
      </c>
      <c r="T181" s="36">
        <f t="shared" si="28"/>
        <v>0</v>
      </c>
      <c r="V181" s="6">
        <f t="shared" si="29"/>
        <v>0</v>
      </c>
      <c r="Y181" s="8">
        <f t="shared" si="30"/>
        <v>46023</v>
      </c>
    </row>
    <row r="182" spans="2:25" ht="18.75" x14ac:dyDescent="0.3">
      <c r="B182" s="6">
        <f t="shared" si="23"/>
        <v>0</v>
      </c>
      <c r="C182" s="6">
        <f t="shared" si="24"/>
        <v>0</v>
      </c>
      <c r="D182" s="6" t="str">
        <f t="shared" si="25"/>
        <v/>
      </c>
      <c r="E182" s="35" t="str">
        <f t="shared" si="21"/>
        <v/>
      </c>
      <c r="F182" s="31"/>
      <c r="G182" s="29"/>
      <c r="H182" s="78" t="str">
        <f t="shared" si="22"/>
        <v/>
      </c>
      <c r="I182" s="25"/>
      <c r="J182" s="25"/>
      <c r="K182" s="26"/>
      <c r="L182" s="26"/>
      <c r="M182" s="37"/>
      <c r="N182" s="27"/>
      <c r="O182" s="30"/>
      <c r="P182" s="39" t="str">
        <f t="shared" si="26"/>
        <v/>
      </c>
      <c r="Q182" s="40" t="str">
        <f>IF(OR(T182=0,RIGHT(T182,1)=$W$1),"",COUNTIF($T$3:T182,T182))</f>
        <v/>
      </c>
      <c r="S182" s="6">
        <f t="shared" si="27"/>
        <v>0</v>
      </c>
      <c r="T182" s="36">
        <f t="shared" si="28"/>
        <v>0</v>
      </c>
      <c r="V182" s="6">
        <f t="shared" si="29"/>
        <v>0</v>
      </c>
      <c r="Y182" s="8">
        <f t="shared" si="30"/>
        <v>46023</v>
      </c>
    </row>
    <row r="183" spans="2:25" ht="18.75" x14ac:dyDescent="0.3">
      <c r="B183" s="6">
        <f t="shared" si="23"/>
        <v>0</v>
      </c>
      <c r="C183" s="6">
        <f t="shared" si="24"/>
        <v>0</v>
      </c>
      <c r="D183" s="6" t="str">
        <f t="shared" si="25"/>
        <v/>
      </c>
      <c r="E183" s="35" t="str">
        <f t="shared" si="21"/>
        <v/>
      </c>
      <c r="F183" s="31"/>
      <c r="G183" s="29"/>
      <c r="H183" s="78" t="str">
        <f t="shared" si="22"/>
        <v/>
      </c>
      <c r="I183" s="25"/>
      <c r="J183" s="25"/>
      <c r="K183" s="26"/>
      <c r="L183" s="26"/>
      <c r="M183" s="37"/>
      <c r="N183" s="27"/>
      <c r="O183" s="30"/>
      <c r="P183" s="39" t="str">
        <f t="shared" si="26"/>
        <v/>
      </c>
      <c r="Q183" s="40" t="str">
        <f>IF(OR(T183=0,RIGHT(T183,1)=$W$1),"",COUNTIF($T$3:T183,T183))</f>
        <v/>
      </c>
      <c r="S183" s="6">
        <f t="shared" si="27"/>
        <v>0</v>
      </c>
      <c r="T183" s="36">
        <f t="shared" si="28"/>
        <v>0</v>
      </c>
      <c r="V183" s="6">
        <f t="shared" si="29"/>
        <v>0</v>
      </c>
      <c r="Y183" s="8">
        <f t="shared" si="30"/>
        <v>46023</v>
      </c>
    </row>
    <row r="184" spans="2:25" ht="18.75" x14ac:dyDescent="0.3">
      <c r="B184" s="6">
        <f t="shared" si="23"/>
        <v>0</v>
      </c>
      <c r="C184" s="6">
        <f t="shared" si="24"/>
        <v>0</v>
      </c>
      <c r="D184" s="6" t="str">
        <f t="shared" si="25"/>
        <v/>
      </c>
      <c r="E184" s="35" t="str">
        <f t="shared" si="21"/>
        <v/>
      </c>
      <c r="F184" s="31"/>
      <c r="G184" s="29"/>
      <c r="H184" s="78" t="str">
        <f t="shared" si="22"/>
        <v/>
      </c>
      <c r="I184" s="25"/>
      <c r="J184" s="25"/>
      <c r="K184" s="26"/>
      <c r="L184" s="26"/>
      <c r="M184" s="37"/>
      <c r="N184" s="27"/>
      <c r="O184" s="30"/>
      <c r="P184" s="39" t="str">
        <f t="shared" si="26"/>
        <v/>
      </c>
      <c r="Q184" s="40" t="str">
        <f>IF(OR(T184=0,RIGHT(T184,1)=$W$1),"",COUNTIF($T$3:T184,T184))</f>
        <v/>
      </c>
      <c r="S184" s="6">
        <f t="shared" si="27"/>
        <v>0</v>
      </c>
      <c r="T184" s="36">
        <f t="shared" si="28"/>
        <v>0</v>
      </c>
      <c r="V184" s="6">
        <f t="shared" si="29"/>
        <v>0</v>
      </c>
      <c r="Y184" s="8">
        <f t="shared" si="30"/>
        <v>46023</v>
      </c>
    </row>
    <row r="185" spans="2:25" ht="18.75" x14ac:dyDescent="0.3">
      <c r="B185" s="6">
        <f t="shared" si="23"/>
        <v>0</v>
      </c>
      <c r="C185" s="6">
        <f t="shared" si="24"/>
        <v>0</v>
      </c>
      <c r="D185" s="6" t="str">
        <f t="shared" si="25"/>
        <v/>
      </c>
      <c r="E185" s="35" t="str">
        <f t="shared" si="21"/>
        <v/>
      </c>
      <c r="F185" s="31"/>
      <c r="G185" s="29"/>
      <c r="H185" s="78" t="str">
        <f t="shared" si="22"/>
        <v/>
      </c>
      <c r="I185" s="25"/>
      <c r="J185" s="25"/>
      <c r="K185" s="26"/>
      <c r="L185" s="26"/>
      <c r="M185" s="37"/>
      <c r="N185" s="27"/>
      <c r="O185" s="30"/>
      <c r="P185" s="39" t="str">
        <f t="shared" si="26"/>
        <v/>
      </c>
      <c r="Q185" s="40" t="str">
        <f>IF(OR(T185=0,RIGHT(T185,1)=$W$1),"",COUNTIF($T$3:T185,T185))</f>
        <v/>
      </c>
      <c r="S185" s="6">
        <f t="shared" si="27"/>
        <v>0</v>
      </c>
      <c r="T185" s="36">
        <f t="shared" si="28"/>
        <v>0</v>
      </c>
      <c r="V185" s="6">
        <f t="shared" si="29"/>
        <v>0</v>
      </c>
      <c r="Y185" s="8">
        <f t="shared" si="30"/>
        <v>46023</v>
      </c>
    </row>
    <row r="186" spans="2:25" ht="18.75" x14ac:dyDescent="0.3">
      <c r="B186" s="6">
        <f t="shared" si="23"/>
        <v>0</v>
      </c>
      <c r="C186" s="6">
        <f t="shared" si="24"/>
        <v>0</v>
      </c>
      <c r="D186" s="6" t="str">
        <f t="shared" si="25"/>
        <v/>
      </c>
      <c r="E186" s="35" t="str">
        <f t="shared" si="21"/>
        <v/>
      </c>
      <c r="F186" s="31"/>
      <c r="G186" s="29"/>
      <c r="H186" s="78" t="str">
        <f t="shared" si="22"/>
        <v/>
      </c>
      <c r="I186" s="25"/>
      <c r="J186" s="25"/>
      <c r="K186" s="26"/>
      <c r="L186" s="26"/>
      <c r="M186" s="37"/>
      <c r="N186" s="27"/>
      <c r="O186" s="30"/>
      <c r="P186" s="39" t="str">
        <f t="shared" si="26"/>
        <v/>
      </c>
      <c r="Q186" s="40" t="str">
        <f>IF(OR(T186=0,RIGHT(T186,1)=$W$1),"",COUNTIF($T$3:T186,T186))</f>
        <v/>
      </c>
      <c r="S186" s="6">
        <f t="shared" si="27"/>
        <v>0</v>
      </c>
      <c r="T186" s="36">
        <f t="shared" si="28"/>
        <v>0</v>
      </c>
      <c r="V186" s="6">
        <f t="shared" si="29"/>
        <v>0</v>
      </c>
      <c r="Y186" s="8">
        <f t="shared" si="30"/>
        <v>46023</v>
      </c>
    </row>
    <row r="187" spans="2:25" ht="18.75" x14ac:dyDescent="0.3">
      <c r="B187" s="6">
        <f t="shared" si="23"/>
        <v>0</v>
      </c>
      <c r="C187" s="6">
        <f t="shared" si="24"/>
        <v>0</v>
      </c>
      <c r="D187" s="6" t="str">
        <f t="shared" si="25"/>
        <v/>
      </c>
      <c r="E187" s="35" t="str">
        <f t="shared" si="21"/>
        <v/>
      </c>
      <c r="F187" s="31"/>
      <c r="G187" s="29"/>
      <c r="H187" s="78" t="str">
        <f t="shared" si="22"/>
        <v/>
      </c>
      <c r="I187" s="25"/>
      <c r="J187" s="25"/>
      <c r="K187" s="26"/>
      <c r="L187" s="26"/>
      <c r="M187" s="37"/>
      <c r="N187" s="27"/>
      <c r="O187" s="30"/>
      <c r="P187" s="39" t="str">
        <f t="shared" si="26"/>
        <v/>
      </c>
      <c r="Q187" s="40" t="str">
        <f>IF(OR(T187=0,RIGHT(T187,1)=$W$1),"",COUNTIF($T$3:T187,T187))</f>
        <v/>
      </c>
      <c r="S187" s="6">
        <f t="shared" si="27"/>
        <v>0</v>
      </c>
      <c r="T187" s="36">
        <f t="shared" si="28"/>
        <v>0</v>
      </c>
      <c r="V187" s="6">
        <f t="shared" si="29"/>
        <v>0</v>
      </c>
      <c r="Y187" s="8">
        <f t="shared" si="30"/>
        <v>46023</v>
      </c>
    </row>
    <row r="188" spans="2:25" ht="18.75" x14ac:dyDescent="0.3">
      <c r="B188" s="6">
        <f t="shared" si="23"/>
        <v>0</v>
      </c>
      <c r="C188" s="6">
        <f t="shared" si="24"/>
        <v>0</v>
      </c>
      <c r="D188" s="6" t="str">
        <f t="shared" si="25"/>
        <v/>
      </c>
      <c r="E188" s="35" t="str">
        <f t="shared" si="21"/>
        <v/>
      </c>
      <c r="F188" s="31"/>
      <c r="G188" s="29"/>
      <c r="H188" s="78" t="str">
        <f t="shared" si="22"/>
        <v/>
      </c>
      <c r="I188" s="25"/>
      <c r="J188" s="25"/>
      <c r="K188" s="26"/>
      <c r="L188" s="26"/>
      <c r="M188" s="37"/>
      <c r="N188" s="27"/>
      <c r="O188" s="30"/>
      <c r="P188" s="39" t="str">
        <f t="shared" si="26"/>
        <v/>
      </c>
      <c r="Q188" s="40" t="str">
        <f>IF(OR(T188=0,RIGHT(T188,1)=$W$1),"",COUNTIF($T$3:T188,T188))</f>
        <v/>
      </c>
      <c r="S188" s="6">
        <f t="shared" si="27"/>
        <v>0</v>
      </c>
      <c r="T188" s="36">
        <f t="shared" si="28"/>
        <v>0</v>
      </c>
      <c r="V188" s="6">
        <f t="shared" si="29"/>
        <v>0</v>
      </c>
      <c r="Y188" s="8">
        <f t="shared" si="30"/>
        <v>46023</v>
      </c>
    </row>
    <row r="189" spans="2:25" ht="18.75" x14ac:dyDescent="0.3">
      <c r="B189" s="6">
        <f t="shared" si="23"/>
        <v>0</v>
      </c>
      <c r="C189" s="6">
        <f t="shared" si="24"/>
        <v>0</v>
      </c>
      <c r="D189" s="6" t="str">
        <f t="shared" si="25"/>
        <v/>
      </c>
      <c r="E189" s="35" t="str">
        <f t="shared" si="21"/>
        <v/>
      </c>
      <c r="F189" s="31"/>
      <c r="G189" s="29"/>
      <c r="H189" s="78" t="str">
        <f t="shared" si="22"/>
        <v/>
      </c>
      <c r="I189" s="25"/>
      <c r="J189" s="25"/>
      <c r="K189" s="26"/>
      <c r="L189" s="26"/>
      <c r="M189" s="37"/>
      <c r="N189" s="27"/>
      <c r="O189" s="30"/>
      <c r="P189" s="39" t="str">
        <f t="shared" si="26"/>
        <v/>
      </c>
      <c r="Q189" s="40" t="str">
        <f>IF(OR(T189=0,RIGHT(T189,1)=$W$1),"",COUNTIF($T$3:T189,T189))</f>
        <v/>
      </c>
      <c r="S189" s="6">
        <f t="shared" si="27"/>
        <v>0</v>
      </c>
      <c r="T189" s="36">
        <f t="shared" si="28"/>
        <v>0</v>
      </c>
      <c r="V189" s="6">
        <f t="shared" si="29"/>
        <v>0</v>
      </c>
      <c r="Y189" s="8">
        <f t="shared" si="30"/>
        <v>46023</v>
      </c>
    </row>
    <row r="190" spans="2:25" ht="18.75" x14ac:dyDescent="0.3">
      <c r="B190" s="6">
        <f t="shared" si="23"/>
        <v>0</v>
      </c>
      <c r="C190" s="6">
        <f t="shared" si="24"/>
        <v>0</v>
      </c>
      <c r="D190" s="6" t="str">
        <f t="shared" si="25"/>
        <v/>
      </c>
      <c r="E190" s="35" t="str">
        <f t="shared" si="21"/>
        <v/>
      </c>
      <c r="F190" s="31"/>
      <c r="G190" s="29"/>
      <c r="H190" s="78" t="str">
        <f t="shared" si="22"/>
        <v/>
      </c>
      <c r="I190" s="25"/>
      <c r="J190" s="25"/>
      <c r="K190" s="26"/>
      <c r="L190" s="26"/>
      <c r="M190" s="37"/>
      <c r="N190" s="27"/>
      <c r="O190" s="30"/>
      <c r="P190" s="39" t="str">
        <f t="shared" si="26"/>
        <v/>
      </c>
      <c r="Q190" s="40" t="str">
        <f>IF(OR(T190=0,RIGHT(T190,1)=$W$1),"",COUNTIF($T$3:T190,T190))</f>
        <v/>
      </c>
      <c r="S190" s="6">
        <f t="shared" si="27"/>
        <v>0</v>
      </c>
      <c r="T190" s="36">
        <f t="shared" si="28"/>
        <v>0</v>
      </c>
      <c r="V190" s="6">
        <f t="shared" si="29"/>
        <v>0</v>
      </c>
      <c r="Y190" s="8">
        <f t="shared" si="30"/>
        <v>46023</v>
      </c>
    </row>
    <row r="191" spans="2:25" ht="18.75" x14ac:dyDescent="0.3">
      <c r="B191" s="6">
        <f t="shared" si="23"/>
        <v>0</v>
      </c>
      <c r="C191" s="6">
        <f t="shared" si="24"/>
        <v>0</v>
      </c>
      <c r="D191" s="6" t="str">
        <f t="shared" si="25"/>
        <v/>
      </c>
      <c r="E191" s="35" t="str">
        <f t="shared" si="21"/>
        <v/>
      </c>
      <c r="F191" s="31"/>
      <c r="G191" s="29"/>
      <c r="H191" s="78" t="str">
        <f t="shared" si="22"/>
        <v/>
      </c>
      <c r="I191" s="25"/>
      <c r="J191" s="25"/>
      <c r="K191" s="26"/>
      <c r="L191" s="26"/>
      <c r="M191" s="37"/>
      <c r="N191" s="27"/>
      <c r="O191" s="30"/>
      <c r="P191" s="39" t="str">
        <f t="shared" si="26"/>
        <v/>
      </c>
      <c r="Q191" s="40" t="str">
        <f>IF(OR(T191=0,RIGHT(T191,1)=$W$1),"",COUNTIF($T$3:T191,T191))</f>
        <v/>
      </c>
      <c r="S191" s="6">
        <f t="shared" si="27"/>
        <v>0</v>
      </c>
      <c r="T191" s="36">
        <f t="shared" si="28"/>
        <v>0</v>
      </c>
      <c r="V191" s="6">
        <f t="shared" si="29"/>
        <v>0</v>
      </c>
      <c r="Y191" s="8">
        <f t="shared" si="30"/>
        <v>46023</v>
      </c>
    </row>
    <row r="192" spans="2:25" ht="18.75" x14ac:dyDescent="0.3">
      <c r="B192" s="6">
        <f t="shared" si="23"/>
        <v>0</v>
      </c>
      <c r="C192" s="6">
        <f t="shared" si="24"/>
        <v>0</v>
      </c>
      <c r="D192" s="6" t="str">
        <f t="shared" si="25"/>
        <v/>
      </c>
      <c r="E192" s="35" t="str">
        <f t="shared" si="21"/>
        <v/>
      </c>
      <c r="F192" s="31"/>
      <c r="G192" s="29"/>
      <c r="H192" s="78" t="str">
        <f t="shared" si="22"/>
        <v/>
      </c>
      <c r="I192" s="25"/>
      <c r="J192" s="25"/>
      <c r="K192" s="26"/>
      <c r="L192" s="26"/>
      <c r="M192" s="37"/>
      <c r="N192" s="27"/>
      <c r="O192" s="30"/>
      <c r="P192" s="39" t="str">
        <f t="shared" si="26"/>
        <v/>
      </c>
      <c r="Q192" s="40" t="str">
        <f>IF(OR(T192=0,RIGHT(T192,1)=$W$1),"",COUNTIF($T$3:T192,T192))</f>
        <v/>
      </c>
      <c r="S192" s="6">
        <f t="shared" si="27"/>
        <v>0</v>
      </c>
      <c r="T192" s="36">
        <f t="shared" si="28"/>
        <v>0</v>
      </c>
      <c r="V192" s="6">
        <f t="shared" si="29"/>
        <v>0</v>
      </c>
      <c r="Y192" s="8">
        <f t="shared" si="30"/>
        <v>46023</v>
      </c>
    </row>
    <row r="193" spans="2:25" ht="18.75" x14ac:dyDescent="0.3">
      <c r="B193" s="6">
        <f t="shared" si="23"/>
        <v>0</v>
      </c>
      <c r="C193" s="6">
        <f t="shared" si="24"/>
        <v>0</v>
      </c>
      <c r="D193" s="6" t="str">
        <f t="shared" si="25"/>
        <v/>
      </c>
      <c r="E193" s="35" t="str">
        <f t="shared" si="21"/>
        <v/>
      </c>
      <c r="F193" s="31"/>
      <c r="G193" s="29"/>
      <c r="H193" s="78" t="str">
        <f t="shared" si="22"/>
        <v/>
      </c>
      <c r="I193" s="25"/>
      <c r="J193" s="25"/>
      <c r="K193" s="26"/>
      <c r="L193" s="26"/>
      <c r="M193" s="37"/>
      <c r="N193" s="27"/>
      <c r="O193" s="30"/>
      <c r="P193" s="39" t="str">
        <f t="shared" si="26"/>
        <v/>
      </c>
      <c r="Q193" s="40" t="str">
        <f>IF(OR(T193=0,RIGHT(T193,1)=$W$1),"",COUNTIF($T$3:T193,T193))</f>
        <v/>
      </c>
      <c r="S193" s="6">
        <f t="shared" si="27"/>
        <v>0</v>
      </c>
      <c r="T193" s="36">
        <f t="shared" si="28"/>
        <v>0</v>
      </c>
      <c r="V193" s="6">
        <f t="shared" si="29"/>
        <v>0</v>
      </c>
      <c r="Y193" s="8">
        <f t="shared" si="30"/>
        <v>46023</v>
      </c>
    </row>
    <row r="194" spans="2:25" ht="18.75" x14ac:dyDescent="0.3">
      <c r="B194" s="6">
        <f t="shared" si="23"/>
        <v>0</v>
      </c>
      <c r="C194" s="6">
        <f t="shared" si="24"/>
        <v>0</v>
      </c>
      <c r="D194" s="6" t="str">
        <f t="shared" si="25"/>
        <v/>
      </c>
      <c r="E194" s="35" t="str">
        <f t="shared" si="21"/>
        <v/>
      </c>
      <c r="F194" s="31"/>
      <c r="G194" s="29"/>
      <c r="H194" s="78" t="str">
        <f t="shared" si="22"/>
        <v/>
      </c>
      <c r="I194" s="25"/>
      <c r="J194" s="25"/>
      <c r="K194" s="26"/>
      <c r="L194" s="26"/>
      <c r="M194" s="37"/>
      <c r="N194" s="27"/>
      <c r="O194" s="30"/>
      <c r="P194" s="39" t="str">
        <f t="shared" si="26"/>
        <v/>
      </c>
      <c r="Q194" s="40" t="str">
        <f>IF(OR(T194=0,RIGHT(T194,1)=$W$1),"",COUNTIF($T$3:T194,T194))</f>
        <v/>
      </c>
      <c r="S194" s="6">
        <f t="shared" si="27"/>
        <v>0</v>
      </c>
      <c r="T194" s="36">
        <f t="shared" si="28"/>
        <v>0</v>
      </c>
      <c r="V194" s="6">
        <f t="shared" si="29"/>
        <v>0</v>
      </c>
      <c r="Y194" s="8">
        <f t="shared" si="30"/>
        <v>46023</v>
      </c>
    </row>
    <row r="195" spans="2:25" ht="18.75" x14ac:dyDescent="0.3">
      <c r="B195" s="6">
        <f t="shared" si="23"/>
        <v>0</v>
      </c>
      <c r="C195" s="6">
        <f t="shared" si="24"/>
        <v>0</v>
      </c>
      <c r="D195" s="6" t="str">
        <f t="shared" si="25"/>
        <v/>
      </c>
      <c r="E195" s="35" t="str">
        <f t="shared" ref="E195:E258" si="31">IF(D195&lt;&gt;"",D195&amp;" - "&amp;YEAR(F195),"")</f>
        <v/>
      </c>
      <c r="F195" s="31"/>
      <c r="G195" s="29"/>
      <c r="H195" s="78" t="str">
        <f t="shared" ref="H195:H258" si="32">IF(G195&lt;&gt;"",F195,"")</f>
        <v/>
      </c>
      <c r="I195" s="25"/>
      <c r="J195" s="25"/>
      <c r="K195" s="26"/>
      <c r="L195" s="26"/>
      <c r="M195" s="37"/>
      <c r="N195" s="27"/>
      <c r="O195" s="30"/>
      <c r="P195" s="39" t="str">
        <f t="shared" si="26"/>
        <v/>
      </c>
      <c r="Q195" s="40" t="str">
        <f>IF(OR(T195=0,RIGHT(T195,1)=$W$1),"",COUNTIF($T$3:T195,T195))</f>
        <v/>
      </c>
      <c r="S195" s="6">
        <f t="shared" si="27"/>
        <v>0</v>
      </c>
      <c r="T195" s="36">
        <f t="shared" si="28"/>
        <v>0</v>
      </c>
      <c r="V195" s="6">
        <f t="shared" si="29"/>
        <v>0</v>
      </c>
      <c r="Y195" s="8">
        <f t="shared" si="30"/>
        <v>46023</v>
      </c>
    </row>
    <row r="196" spans="2:25" ht="18.75" x14ac:dyDescent="0.3">
      <c r="B196" s="6">
        <f t="shared" ref="B196:B259" si="33">IF($B$1=YEAR(F196),B195+1,B195)</f>
        <v>0</v>
      </c>
      <c r="C196" s="6">
        <f t="shared" ref="C196:C259" si="34">IF(AND($C$1=K196,$Y$1=YEAR(F196)),C195+1,C195)</f>
        <v>0</v>
      </c>
      <c r="D196" s="6" t="str">
        <f t="shared" ref="D196:D259" si="35">IF(F196&lt;&gt;0,IF(YEAR(F196)&lt;&gt;YEAR(F195),1,IF(M196=$AI$1,D195,D195+1)),"")</f>
        <v/>
      </c>
      <c r="E196" s="35" t="str">
        <f t="shared" si="31"/>
        <v/>
      </c>
      <c r="F196" s="31"/>
      <c r="G196" s="29"/>
      <c r="H196" s="78" t="str">
        <f t="shared" si="32"/>
        <v/>
      </c>
      <c r="I196" s="25"/>
      <c r="J196" s="25"/>
      <c r="K196" s="26"/>
      <c r="L196" s="26"/>
      <c r="M196" s="37"/>
      <c r="N196" s="27"/>
      <c r="O196" s="30"/>
      <c r="P196" s="39" t="str">
        <f t="shared" ref="P196:P259" si="36">IF(OR(T196=0,RIGHT(T196,1)=$W$1),"",VLOOKUP(K196,$AD$1:$AK$15,5,FALSE))</f>
        <v/>
      </c>
      <c r="Q196" s="40" t="str">
        <f>IF(OR(T196=0,RIGHT(T196,1)=$W$1),"",COUNTIF($T$3:T196,T196))</f>
        <v/>
      </c>
      <c r="S196" s="6">
        <f t="shared" ref="S196:S259" si="37">IF(AND($C$1=K196,$Y$1=YEAR(F196)),C196,0)</f>
        <v>0</v>
      </c>
      <c r="T196" s="36">
        <f t="shared" ref="T196:T259" si="38">IF(F196=0,0,YEAR(F196)&amp;VLOOKUP(K196,$AD$1:$AE$15,2,FALSE))</f>
        <v>0</v>
      </c>
      <c r="V196" s="6">
        <f t="shared" ref="V196:V259" si="39">IF(AND(YEAR(F196)=$Y$1,K196=$C$1,L196&amp;$V$1&lt;&gt;$V$1),L196,IF(AND(YEAR(F196)=$Y$1,K196=$C$1),1,0))</f>
        <v>0</v>
      </c>
      <c r="Y196" s="8">
        <f t="shared" ref="Y196:Y259" si="40">IF(M196&lt;&gt;$AI$1,$Y$2,F195)</f>
        <v>46023</v>
      </c>
    </row>
    <row r="197" spans="2:25" ht="18.75" x14ac:dyDescent="0.3">
      <c r="B197" s="6">
        <f t="shared" si="33"/>
        <v>0</v>
      </c>
      <c r="C197" s="6">
        <f t="shared" si="34"/>
        <v>0</v>
      </c>
      <c r="D197" s="6" t="str">
        <f t="shared" si="35"/>
        <v/>
      </c>
      <c r="E197" s="35" t="str">
        <f t="shared" si="31"/>
        <v/>
      </c>
      <c r="F197" s="31"/>
      <c r="G197" s="29"/>
      <c r="H197" s="78" t="str">
        <f t="shared" si="32"/>
        <v/>
      </c>
      <c r="I197" s="25"/>
      <c r="J197" s="25"/>
      <c r="K197" s="26"/>
      <c r="L197" s="26"/>
      <c r="M197" s="37"/>
      <c r="N197" s="27"/>
      <c r="O197" s="30"/>
      <c r="P197" s="39" t="str">
        <f t="shared" si="36"/>
        <v/>
      </c>
      <c r="Q197" s="40" t="str">
        <f>IF(OR(T197=0,RIGHT(T197,1)=$W$1),"",COUNTIF($T$3:T197,T197))</f>
        <v/>
      </c>
      <c r="S197" s="6">
        <f t="shared" si="37"/>
        <v>0</v>
      </c>
      <c r="T197" s="36">
        <f t="shared" si="38"/>
        <v>0</v>
      </c>
      <c r="V197" s="6">
        <f t="shared" si="39"/>
        <v>0</v>
      </c>
      <c r="Y197" s="8">
        <f t="shared" si="40"/>
        <v>46023</v>
      </c>
    </row>
    <row r="198" spans="2:25" ht="18.75" x14ac:dyDescent="0.3">
      <c r="B198" s="6">
        <f t="shared" si="33"/>
        <v>0</v>
      </c>
      <c r="C198" s="6">
        <f t="shared" si="34"/>
        <v>0</v>
      </c>
      <c r="D198" s="6" t="str">
        <f t="shared" si="35"/>
        <v/>
      </c>
      <c r="E198" s="35" t="str">
        <f t="shared" si="31"/>
        <v/>
      </c>
      <c r="F198" s="31"/>
      <c r="G198" s="29"/>
      <c r="H198" s="78" t="str">
        <f t="shared" si="32"/>
        <v/>
      </c>
      <c r="I198" s="25"/>
      <c r="J198" s="25"/>
      <c r="K198" s="26"/>
      <c r="L198" s="26"/>
      <c r="M198" s="37"/>
      <c r="N198" s="27"/>
      <c r="O198" s="30"/>
      <c r="P198" s="39" t="str">
        <f t="shared" si="36"/>
        <v/>
      </c>
      <c r="Q198" s="40" t="str">
        <f>IF(OR(T198=0,RIGHT(T198,1)=$W$1),"",COUNTIF($T$3:T198,T198))</f>
        <v/>
      </c>
      <c r="S198" s="6">
        <f t="shared" si="37"/>
        <v>0</v>
      </c>
      <c r="T198" s="36">
        <f t="shared" si="38"/>
        <v>0</v>
      </c>
      <c r="V198" s="6">
        <f t="shared" si="39"/>
        <v>0</v>
      </c>
      <c r="Y198" s="8">
        <f t="shared" si="40"/>
        <v>46023</v>
      </c>
    </row>
    <row r="199" spans="2:25" ht="18.75" x14ac:dyDescent="0.3">
      <c r="B199" s="6">
        <f t="shared" si="33"/>
        <v>0</v>
      </c>
      <c r="C199" s="6">
        <f t="shared" si="34"/>
        <v>0</v>
      </c>
      <c r="D199" s="6" t="str">
        <f t="shared" si="35"/>
        <v/>
      </c>
      <c r="E199" s="35" t="str">
        <f t="shared" si="31"/>
        <v/>
      </c>
      <c r="F199" s="31"/>
      <c r="G199" s="29"/>
      <c r="H199" s="78" t="str">
        <f t="shared" si="32"/>
        <v/>
      </c>
      <c r="I199" s="25"/>
      <c r="J199" s="25"/>
      <c r="K199" s="26"/>
      <c r="L199" s="26"/>
      <c r="M199" s="37"/>
      <c r="N199" s="27"/>
      <c r="O199" s="30"/>
      <c r="P199" s="39" t="str">
        <f t="shared" si="36"/>
        <v/>
      </c>
      <c r="Q199" s="40" t="str">
        <f>IF(OR(T199=0,RIGHT(T199,1)=$W$1),"",COUNTIF($T$3:T199,T199))</f>
        <v/>
      </c>
      <c r="S199" s="6">
        <f t="shared" si="37"/>
        <v>0</v>
      </c>
      <c r="T199" s="36">
        <f t="shared" si="38"/>
        <v>0</v>
      </c>
      <c r="V199" s="6">
        <f t="shared" si="39"/>
        <v>0</v>
      </c>
      <c r="Y199" s="8">
        <f t="shared" si="40"/>
        <v>46023</v>
      </c>
    </row>
    <row r="200" spans="2:25" ht="18.75" x14ac:dyDescent="0.3">
      <c r="B200" s="6">
        <f t="shared" si="33"/>
        <v>0</v>
      </c>
      <c r="C200" s="6">
        <f t="shared" si="34"/>
        <v>0</v>
      </c>
      <c r="D200" s="6" t="str">
        <f t="shared" si="35"/>
        <v/>
      </c>
      <c r="E200" s="35" t="str">
        <f t="shared" si="31"/>
        <v/>
      </c>
      <c r="F200" s="31"/>
      <c r="G200" s="29"/>
      <c r="H200" s="78" t="str">
        <f t="shared" si="32"/>
        <v/>
      </c>
      <c r="I200" s="25"/>
      <c r="J200" s="25"/>
      <c r="K200" s="26"/>
      <c r="L200" s="26"/>
      <c r="M200" s="37"/>
      <c r="N200" s="27"/>
      <c r="O200" s="30"/>
      <c r="P200" s="39" t="str">
        <f t="shared" si="36"/>
        <v/>
      </c>
      <c r="Q200" s="40" t="str">
        <f>IF(OR(T200=0,RIGHT(T200,1)=$W$1),"",COUNTIF($T$3:T200,T200))</f>
        <v/>
      </c>
      <c r="S200" s="6">
        <f t="shared" si="37"/>
        <v>0</v>
      </c>
      <c r="T200" s="36">
        <f t="shared" si="38"/>
        <v>0</v>
      </c>
      <c r="V200" s="6">
        <f t="shared" si="39"/>
        <v>0</v>
      </c>
      <c r="Y200" s="8">
        <f t="shared" si="40"/>
        <v>46023</v>
      </c>
    </row>
    <row r="201" spans="2:25" ht="18.75" x14ac:dyDescent="0.3">
      <c r="B201" s="6">
        <f t="shared" si="33"/>
        <v>0</v>
      </c>
      <c r="C201" s="6">
        <f t="shared" si="34"/>
        <v>0</v>
      </c>
      <c r="D201" s="6" t="str">
        <f t="shared" si="35"/>
        <v/>
      </c>
      <c r="E201" s="35" t="str">
        <f t="shared" si="31"/>
        <v/>
      </c>
      <c r="F201" s="31"/>
      <c r="G201" s="29"/>
      <c r="H201" s="78" t="str">
        <f t="shared" si="32"/>
        <v/>
      </c>
      <c r="I201" s="25"/>
      <c r="J201" s="25"/>
      <c r="K201" s="26"/>
      <c r="L201" s="26"/>
      <c r="M201" s="37"/>
      <c r="N201" s="27"/>
      <c r="O201" s="30"/>
      <c r="P201" s="39" t="str">
        <f t="shared" si="36"/>
        <v/>
      </c>
      <c r="Q201" s="40" t="str">
        <f>IF(OR(T201=0,RIGHT(T201,1)=$W$1),"",COUNTIF($T$3:T201,T201))</f>
        <v/>
      </c>
      <c r="S201" s="6">
        <f t="shared" si="37"/>
        <v>0</v>
      </c>
      <c r="T201" s="36">
        <f t="shared" si="38"/>
        <v>0</v>
      </c>
      <c r="V201" s="6">
        <f t="shared" si="39"/>
        <v>0</v>
      </c>
      <c r="Y201" s="8">
        <f t="shared" si="40"/>
        <v>46023</v>
      </c>
    </row>
    <row r="202" spans="2:25" ht="18.75" x14ac:dyDescent="0.3">
      <c r="B202" s="6">
        <f t="shared" si="33"/>
        <v>0</v>
      </c>
      <c r="C202" s="6">
        <f t="shared" si="34"/>
        <v>0</v>
      </c>
      <c r="D202" s="6" t="str">
        <f t="shared" si="35"/>
        <v/>
      </c>
      <c r="E202" s="35" t="str">
        <f t="shared" si="31"/>
        <v/>
      </c>
      <c r="F202" s="31"/>
      <c r="G202" s="29"/>
      <c r="H202" s="78" t="str">
        <f t="shared" si="32"/>
        <v/>
      </c>
      <c r="I202" s="25"/>
      <c r="J202" s="25"/>
      <c r="K202" s="26"/>
      <c r="L202" s="26"/>
      <c r="M202" s="37"/>
      <c r="N202" s="27"/>
      <c r="O202" s="30"/>
      <c r="P202" s="39" t="str">
        <f t="shared" si="36"/>
        <v/>
      </c>
      <c r="Q202" s="40" t="str">
        <f>IF(OR(T202=0,RIGHT(T202,1)=$W$1),"",COUNTIF($T$3:T202,T202))</f>
        <v/>
      </c>
      <c r="S202" s="6">
        <f t="shared" si="37"/>
        <v>0</v>
      </c>
      <c r="T202" s="36">
        <f t="shared" si="38"/>
        <v>0</v>
      </c>
      <c r="V202" s="6">
        <f t="shared" si="39"/>
        <v>0</v>
      </c>
      <c r="Y202" s="8">
        <f t="shared" si="40"/>
        <v>46023</v>
      </c>
    </row>
    <row r="203" spans="2:25" ht="18.75" x14ac:dyDescent="0.3">
      <c r="B203" s="6">
        <f t="shared" si="33"/>
        <v>0</v>
      </c>
      <c r="C203" s="6">
        <f t="shared" si="34"/>
        <v>0</v>
      </c>
      <c r="D203" s="6" t="str">
        <f t="shared" si="35"/>
        <v/>
      </c>
      <c r="E203" s="35" t="str">
        <f t="shared" si="31"/>
        <v/>
      </c>
      <c r="F203" s="31"/>
      <c r="G203" s="29"/>
      <c r="H203" s="78" t="str">
        <f t="shared" si="32"/>
        <v/>
      </c>
      <c r="I203" s="25"/>
      <c r="J203" s="25"/>
      <c r="K203" s="26"/>
      <c r="L203" s="26"/>
      <c r="M203" s="37"/>
      <c r="N203" s="27"/>
      <c r="O203" s="30"/>
      <c r="P203" s="39" t="str">
        <f t="shared" si="36"/>
        <v/>
      </c>
      <c r="Q203" s="40" t="str">
        <f>IF(OR(T203=0,RIGHT(T203,1)=$W$1),"",COUNTIF($T$3:T203,T203))</f>
        <v/>
      </c>
      <c r="S203" s="6">
        <f t="shared" si="37"/>
        <v>0</v>
      </c>
      <c r="T203" s="36">
        <f t="shared" si="38"/>
        <v>0</v>
      </c>
      <c r="V203" s="6">
        <f t="shared" si="39"/>
        <v>0</v>
      </c>
      <c r="Y203" s="8">
        <f t="shared" si="40"/>
        <v>46023</v>
      </c>
    </row>
    <row r="204" spans="2:25" ht="18.75" x14ac:dyDescent="0.3">
      <c r="B204" s="6">
        <f t="shared" si="33"/>
        <v>0</v>
      </c>
      <c r="C204" s="6">
        <f t="shared" si="34"/>
        <v>0</v>
      </c>
      <c r="D204" s="6" t="str">
        <f t="shared" si="35"/>
        <v/>
      </c>
      <c r="E204" s="35" t="str">
        <f t="shared" si="31"/>
        <v/>
      </c>
      <c r="F204" s="31"/>
      <c r="G204" s="29"/>
      <c r="H204" s="78" t="str">
        <f t="shared" si="32"/>
        <v/>
      </c>
      <c r="I204" s="25"/>
      <c r="J204" s="25"/>
      <c r="K204" s="26"/>
      <c r="L204" s="26"/>
      <c r="M204" s="37"/>
      <c r="N204" s="27"/>
      <c r="O204" s="30"/>
      <c r="P204" s="39" t="str">
        <f t="shared" si="36"/>
        <v/>
      </c>
      <c r="Q204" s="40" t="str">
        <f>IF(OR(T204=0,RIGHT(T204,1)=$W$1),"",COUNTIF($T$3:T204,T204))</f>
        <v/>
      </c>
      <c r="S204" s="6">
        <f t="shared" si="37"/>
        <v>0</v>
      </c>
      <c r="T204" s="36">
        <f t="shared" si="38"/>
        <v>0</v>
      </c>
      <c r="V204" s="6">
        <f t="shared" si="39"/>
        <v>0</v>
      </c>
      <c r="Y204" s="8">
        <f t="shared" si="40"/>
        <v>46023</v>
      </c>
    </row>
    <row r="205" spans="2:25" ht="18.75" x14ac:dyDescent="0.3">
      <c r="B205" s="6">
        <f t="shared" si="33"/>
        <v>0</v>
      </c>
      <c r="C205" s="6">
        <f t="shared" si="34"/>
        <v>0</v>
      </c>
      <c r="D205" s="6" t="str">
        <f t="shared" si="35"/>
        <v/>
      </c>
      <c r="E205" s="35" t="str">
        <f t="shared" si="31"/>
        <v/>
      </c>
      <c r="F205" s="31"/>
      <c r="G205" s="29"/>
      <c r="H205" s="78" t="str">
        <f t="shared" si="32"/>
        <v/>
      </c>
      <c r="I205" s="25"/>
      <c r="J205" s="25"/>
      <c r="K205" s="26"/>
      <c r="L205" s="26"/>
      <c r="M205" s="37"/>
      <c r="N205" s="27"/>
      <c r="O205" s="30"/>
      <c r="P205" s="39" t="str">
        <f t="shared" si="36"/>
        <v/>
      </c>
      <c r="Q205" s="40" t="str">
        <f>IF(OR(T205=0,RIGHT(T205,1)=$W$1),"",COUNTIF($T$3:T205,T205))</f>
        <v/>
      </c>
      <c r="S205" s="6">
        <f t="shared" si="37"/>
        <v>0</v>
      </c>
      <c r="T205" s="36">
        <f t="shared" si="38"/>
        <v>0</v>
      </c>
      <c r="V205" s="6">
        <f t="shared" si="39"/>
        <v>0</v>
      </c>
      <c r="Y205" s="8">
        <f t="shared" si="40"/>
        <v>46023</v>
      </c>
    </row>
    <row r="206" spans="2:25" ht="18.75" x14ac:dyDescent="0.3">
      <c r="B206" s="6">
        <f t="shared" si="33"/>
        <v>0</v>
      </c>
      <c r="C206" s="6">
        <f t="shared" si="34"/>
        <v>0</v>
      </c>
      <c r="D206" s="6" t="str">
        <f t="shared" si="35"/>
        <v/>
      </c>
      <c r="E206" s="35" t="str">
        <f t="shared" si="31"/>
        <v/>
      </c>
      <c r="F206" s="31"/>
      <c r="G206" s="29"/>
      <c r="H206" s="78" t="str">
        <f t="shared" si="32"/>
        <v/>
      </c>
      <c r="I206" s="25"/>
      <c r="J206" s="25"/>
      <c r="K206" s="26"/>
      <c r="L206" s="26"/>
      <c r="M206" s="37"/>
      <c r="N206" s="27"/>
      <c r="O206" s="30"/>
      <c r="P206" s="39" t="str">
        <f t="shared" si="36"/>
        <v/>
      </c>
      <c r="Q206" s="40" t="str">
        <f>IF(OR(T206=0,RIGHT(T206,1)=$W$1),"",COUNTIF($T$3:T206,T206))</f>
        <v/>
      </c>
      <c r="S206" s="6">
        <f t="shared" si="37"/>
        <v>0</v>
      </c>
      <c r="T206" s="36">
        <f t="shared" si="38"/>
        <v>0</v>
      </c>
      <c r="V206" s="6">
        <f t="shared" si="39"/>
        <v>0</v>
      </c>
      <c r="Y206" s="8">
        <f t="shared" si="40"/>
        <v>46023</v>
      </c>
    </row>
    <row r="207" spans="2:25" ht="18.75" x14ac:dyDescent="0.3">
      <c r="B207" s="6">
        <f t="shared" si="33"/>
        <v>0</v>
      </c>
      <c r="C207" s="6">
        <f t="shared" si="34"/>
        <v>0</v>
      </c>
      <c r="D207" s="6" t="str">
        <f t="shared" si="35"/>
        <v/>
      </c>
      <c r="E207" s="35" t="str">
        <f t="shared" si="31"/>
        <v/>
      </c>
      <c r="F207" s="31"/>
      <c r="G207" s="29"/>
      <c r="H207" s="78" t="str">
        <f t="shared" si="32"/>
        <v/>
      </c>
      <c r="I207" s="25"/>
      <c r="J207" s="25"/>
      <c r="K207" s="26"/>
      <c r="L207" s="26"/>
      <c r="M207" s="37"/>
      <c r="N207" s="27"/>
      <c r="O207" s="30"/>
      <c r="P207" s="39" t="str">
        <f t="shared" si="36"/>
        <v/>
      </c>
      <c r="Q207" s="40" t="str">
        <f>IF(OR(T207=0,RIGHT(T207,1)=$W$1),"",COUNTIF($T$3:T207,T207))</f>
        <v/>
      </c>
      <c r="S207" s="6">
        <f t="shared" si="37"/>
        <v>0</v>
      </c>
      <c r="T207" s="36">
        <f t="shared" si="38"/>
        <v>0</v>
      </c>
      <c r="V207" s="6">
        <f t="shared" si="39"/>
        <v>0</v>
      </c>
      <c r="Y207" s="8">
        <f t="shared" si="40"/>
        <v>46023</v>
      </c>
    </row>
    <row r="208" spans="2:25" ht="18.75" x14ac:dyDescent="0.3">
      <c r="B208" s="6">
        <f t="shared" si="33"/>
        <v>0</v>
      </c>
      <c r="C208" s="6">
        <f t="shared" si="34"/>
        <v>0</v>
      </c>
      <c r="D208" s="6" t="str">
        <f t="shared" si="35"/>
        <v/>
      </c>
      <c r="E208" s="35" t="str">
        <f t="shared" si="31"/>
        <v/>
      </c>
      <c r="F208" s="31"/>
      <c r="G208" s="29"/>
      <c r="H208" s="78" t="str">
        <f t="shared" si="32"/>
        <v/>
      </c>
      <c r="I208" s="25"/>
      <c r="J208" s="25"/>
      <c r="K208" s="26"/>
      <c r="L208" s="26"/>
      <c r="M208" s="37"/>
      <c r="N208" s="27"/>
      <c r="O208" s="30"/>
      <c r="P208" s="39" t="str">
        <f t="shared" si="36"/>
        <v/>
      </c>
      <c r="Q208" s="40" t="str">
        <f>IF(OR(T208=0,RIGHT(T208,1)=$W$1),"",COUNTIF($T$3:T208,T208))</f>
        <v/>
      </c>
      <c r="S208" s="6">
        <f t="shared" si="37"/>
        <v>0</v>
      </c>
      <c r="T208" s="36">
        <f t="shared" si="38"/>
        <v>0</v>
      </c>
      <c r="V208" s="6">
        <f t="shared" si="39"/>
        <v>0</v>
      </c>
      <c r="Y208" s="8">
        <f t="shared" si="40"/>
        <v>46023</v>
      </c>
    </row>
    <row r="209" spans="2:25" ht="18.75" x14ac:dyDescent="0.3">
      <c r="B209" s="6">
        <f t="shared" si="33"/>
        <v>0</v>
      </c>
      <c r="C209" s="6">
        <f t="shared" si="34"/>
        <v>0</v>
      </c>
      <c r="D209" s="6" t="str">
        <f t="shared" si="35"/>
        <v/>
      </c>
      <c r="E209" s="35" t="str">
        <f t="shared" si="31"/>
        <v/>
      </c>
      <c r="F209" s="31"/>
      <c r="G209" s="29"/>
      <c r="H209" s="78" t="str">
        <f t="shared" si="32"/>
        <v/>
      </c>
      <c r="I209" s="25"/>
      <c r="J209" s="25"/>
      <c r="K209" s="26"/>
      <c r="L209" s="26"/>
      <c r="M209" s="37"/>
      <c r="N209" s="27"/>
      <c r="O209" s="30"/>
      <c r="P209" s="39" t="str">
        <f t="shared" si="36"/>
        <v/>
      </c>
      <c r="Q209" s="40" t="str">
        <f>IF(OR(T209=0,RIGHT(T209,1)=$W$1),"",COUNTIF($T$3:T209,T209))</f>
        <v/>
      </c>
      <c r="S209" s="6">
        <f t="shared" si="37"/>
        <v>0</v>
      </c>
      <c r="T209" s="36">
        <f t="shared" si="38"/>
        <v>0</v>
      </c>
      <c r="V209" s="6">
        <f t="shared" si="39"/>
        <v>0</v>
      </c>
      <c r="Y209" s="8">
        <f t="shared" si="40"/>
        <v>46023</v>
      </c>
    </row>
    <row r="210" spans="2:25" ht="18.75" x14ac:dyDescent="0.3">
      <c r="B210" s="6">
        <f t="shared" si="33"/>
        <v>0</v>
      </c>
      <c r="C210" s="6">
        <f t="shared" si="34"/>
        <v>0</v>
      </c>
      <c r="D210" s="6" t="str">
        <f t="shared" si="35"/>
        <v/>
      </c>
      <c r="E210" s="35" t="str">
        <f t="shared" si="31"/>
        <v/>
      </c>
      <c r="F210" s="31"/>
      <c r="G210" s="29"/>
      <c r="H210" s="78" t="str">
        <f t="shared" si="32"/>
        <v/>
      </c>
      <c r="I210" s="25"/>
      <c r="J210" s="25"/>
      <c r="K210" s="26"/>
      <c r="L210" s="26"/>
      <c r="M210" s="37"/>
      <c r="N210" s="27"/>
      <c r="O210" s="30"/>
      <c r="P210" s="39" t="str">
        <f t="shared" si="36"/>
        <v/>
      </c>
      <c r="Q210" s="40" t="str">
        <f>IF(OR(T210=0,RIGHT(T210,1)=$W$1),"",COUNTIF($T$3:T210,T210))</f>
        <v/>
      </c>
      <c r="S210" s="6">
        <f t="shared" si="37"/>
        <v>0</v>
      </c>
      <c r="T210" s="36">
        <f t="shared" si="38"/>
        <v>0</v>
      </c>
      <c r="V210" s="6">
        <f t="shared" si="39"/>
        <v>0</v>
      </c>
      <c r="Y210" s="8">
        <f t="shared" si="40"/>
        <v>46023</v>
      </c>
    </row>
    <row r="211" spans="2:25" ht="18.75" x14ac:dyDescent="0.3">
      <c r="B211" s="6">
        <f t="shared" si="33"/>
        <v>0</v>
      </c>
      <c r="C211" s="6">
        <f t="shared" si="34"/>
        <v>0</v>
      </c>
      <c r="D211" s="6" t="str">
        <f t="shared" si="35"/>
        <v/>
      </c>
      <c r="E211" s="35" t="str">
        <f t="shared" si="31"/>
        <v/>
      </c>
      <c r="F211" s="31"/>
      <c r="G211" s="29"/>
      <c r="H211" s="78" t="str">
        <f t="shared" si="32"/>
        <v/>
      </c>
      <c r="I211" s="25"/>
      <c r="J211" s="25"/>
      <c r="K211" s="26"/>
      <c r="L211" s="26"/>
      <c r="M211" s="37"/>
      <c r="N211" s="27"/>
      <c r="O211" s="30"/>
      <c r="P211" s="39" t="str">
        <f t="shared" si="36"/>
        <v/>
      </c>
      <c r="Q211" s="40" t="str">
        <f>IF(OR(T211=0,RIGHT(T211,1)=$W$1),"",COUNTIF($T$3:T211,T211))</f>
        <v/>
      </c>
      <c r="S211" s="6">
        <f t="shared" si="37"/>
        <v>0</v>
      </c>
      <c r="T211" s="36">
        <f t="shared" si="38"/>
        <v>0</v>
      </c>
      <c r="V211" s="6">
        <f t="shared" si="39"/>
        <v>0</v>
      </c>
      <c r="Y211" s="8">
        <f t="shared" si="40"/>
        <v>46023</v>
      </c>
    </row>
    <row r="212" spans="2:25" ht="18.75" x14ac:dyDescent="0.3">
      <c r="B212" s="6">
        <f t="shared" si="33"/>
        <v>0</v>
      </c>
      <c r="C212" s="6">
        <f t="shared" si="34"/>
        <v>0</v>
      </c>
      <c r="D212" s="6" t="str">
        <f t="shared" si="35"/>
        <v/>
      </c>
      <c r="E212" s="35" t="str">
        <f t="shared" si="31"/>
        <v/>
      </c>
      <c r="F212" s="31"/>
      <c r="G212" s="29"/>
      <c r="H212" s="78" t="str">
        <f t="shared" si="32"/>
        <v/>
      </c>
      <c r="I212" s="25"/>
      <c r="J212" s="25"/>
      <c r="K212" s="26"/>
      <c r="L212" s="26"/>
      <c r="M212" s="37"/>
      <c r="N212" s="27"/>
      <c r="O212" s="30"/>
      <c r="P212" s="39" t="str">
        <f t="shared" si="36"/>
        <v/>
      </c>
      <c r="Q212" s="40" t="str">
        <f>IF(OR(T212=0,RIGHT(T212,1)=$W$1),"",COUNTIF($T$3:T212,T212))</f>
        <v/>
      </c>
      <c r="S212" s="6">
        <f t="shared" si="37"/>
        <v>0</v>
      </c>
      <c r="T212" s="36">
        <f t="shared" si="38"/>
        <v>0</v>
      </c>
      <c r="V212" s="6">
        <f t="shared" si="39"/>
        <v>0</v>
      </c>
      <c r="Y212" s="8">
        <f t="shared" si="40"/>
        <v>46023</v>
      </c>
    </row>
    <row r="213" spans="2:25" ht="18.75" x14ac:dyDescent="0.3">
      <c r="B213" s="6">
        <f t="shared" si="33"/>
        <v>0</v>
      </c>
      <c r="C213" s="6">
        <f t="shared" si="34"/>
        <v>0</v>
      </c>
      <c r="D213" s="6" t="str">
        <f t="shared" si="35"/>
        <v/>
      </c>
      <c r="E213" s="35" t="str">
        <f t="shared" si="31"/>
        <v/>
      </c>
      <c r="F213" s="31"/>
      <c r="G213" s="29"/>
      <c r="H213" s="78" t="str">
        <f t="shared" si="32"/>
        <v/>
      </c>
      <c r="I213" s="25"/>
      <c r="J213" s="25"/>
      <c r="K213" s="26"/>
      <c r="L213" s="26"/>
      <c r="M213" s="37"/>
      <c r="N213" s="27"/>
      <c r="O213" s="30"/>
      <c r="P213" s="39" t="str">
        <f t="shared" si="36"/>
        <v/>
      </c>
      <c r="Q213" s="40" t="str">
        <f>IF(OR(T213=0,RIGHT(T213,1)=$W$1),"",COUNTIF($T$3:T213,T213))</f>
        <v/>
      </c>
      <c r="S213" s="6">
        <f t="shared" si="37"/>
        <v>0</v>
      </c>
      <c r="T213" s="36">
        <f t="shared" si="38"/>
        <v>0</v>
      </c>
      <c r="V213" s="6">
        <f t="shared" si="39"/>
        <v>0</v>
      </c>
      <c r="Y213" s="8">
        <f t="shared" si="40"/>
        <v>46023</v>
      </c>
    </row>
    <row r="214" spans="2:25" ht="18.75" x14ac:dyDescent="0.3">
      <c r="B214" s="6">
        <f t="shared" si="33"/>
        <v>0</v>
      </c>
      <c r="C214" s="6">
        <f t="shared" si="34"/>
        <v>0</v>
      </c>
      <c r="D214" s="6" t="str">
        <f t="shared" si="35"/>
        <v/>
      </c>
      <c r="E214" s="35" t="str">
        <f t="shared" si="31"/>
        <v/>
      </c>
      <c r="F214" s="31"/>
      <c r="G214" s="29"/>
      <c r="H214" s="78" t="str">
        <f t="shared" si="32"/>
        <v/>
      </c>
      <c r="I214" s="25"/>
      <c r="J214" s="25"/>
      <c r="K214" s="26"/>
      <c r="L214" s="26"/>
      <c r="M214" s="37"/>
      <c r="N214" s="27"/>
      <c r="O214" s="30"/>
      <c r="P214" s="39" t="str">
        <f t="shared" si="36"/>
        <v/>
      </c>
      <c r="Q214" s="40" t="str">
        <f>IF(OR(T214=0,RIGHT(T214,1)=$W$1),"",COUNTIF($T$3:T214,T214))</f>
        <v/>
      </c>
      <c r="S214" s="6">
        <f t="shared" si="37"/>
        <v>0</v>
      </c>
      <c r="T214" s="36">
        <f t="shared" si="38"/>
        <v>0</v>
      </c>
      <c r="V214" s="6">
        <f t="shared" si="39"/>
        <v>0</v>
      </c>
      <c r="Y214" s="8">
        <f t="shared" si="40"/>
        <v>46023</v>
      </c>
    </row>
    <row r="215" spans="2:25" ht="18.75" x14ac:dyDescent="0.3">
      <c r="B215" s="6">
        <f t="shared" si="33"/>
        <v>0</v>
      </c>
      <c r="C215" s="6">
        <f t="shared" si="34"/>
        <v>0</v>
      </c>
      <c r="D215" s="6" t="str">
        <f t="shared" si="35"/>
        <v/>
      </c>
      <c r="E215" s="35" t="str">
        <f t="shared" si="31"/>
        <v/>
      </c>
      <c r="F215" s="31"/>
      <c r="G215" s="29"/>
      <c r="H215" s="78" t="str">
        <f t="shared" si="32"/>
        <v/>
      </c>
      <c r="I215" s="25"/>
      <c r="J215" s="25"/>
      <c r="K215" s="26"/>
      <c r="L215" s="26"/>
      <c r="M215" s="37"/>
      <c r="N215" s="27"/>
      <c r="O215" s="30"/>
      <c r="P215" s="39" t="str">
        <f t="shared" si="36"/>
        <v/>
      </c>
      <c r="Q215" s="40" t="str">
        <f>IF(OR(T215=0,RIGHT(T215,1)=$W$1),"",COUNTIF($T$3:T215,T215))</f>
        <v/>
      </c>
      <c r="S215" s="6">
        <f t="shared" si="37"/>
        <v>0</v>
      </c>
      <c r="T215" s="36">
        <f t="shared" si="38"/>
        <v>0</v>
      </c>
      <c r="V215" s="6">
        <f t="shared" si="39"/>
        <v>0</v>
      </c>
      <c r="Y215" s="8">
        <f t="shared" si="40"/>
        <v>46023</v>
      </c>
    </row>
    <row r="216" spans="2:25" ht="18.75" x14ac:dyDescent="0.3">
      <c r="B216" s="6">
        <f t="shared" si="33"/>
        <v>0</v>
      </c>
      <c r="C216" s="6">
        <f t="shared" si="34"/>
        <v>0</v>
      </c>
      <c r="D216" s="6" t="str">
        <f t="shared" si="35"/>
        <v/>
      </c>
      <c r="E216" s="35" t="str">
        <f t="shared" si="31"/>
        <v/>
      </c>
      <c r="F216" s="31"/>
      <c r="G216" s="29"/>
      <c r="H216" s="78" t="str">
        <f t="shared" si="32"/>
        <v/>
      </c>
      <c r="I216" s="25"/>
      <c r="J216" s="25"/>
      <c r="K216" s="26"/>
      <c r="L216" s="26"/>
      <c r="M216" s="37"/>
      <c r="N216" s="27"/>
      <c r="O216" s="30"/>
      <c r="P216" s="39" t="str">
        <f t="shared" si="36"/>
        <v/>
      </c>
      <c r="Q216" s="40" t="str">
        <f>IF(OR(T216=0,RIGHT(T216,1)=$W$1),"",COUNTIF($T$3:T216,T216))</f>
        <v/>
      </c>
      <c r="S216" s="6">
        <f t="shared" si="37"/>
        <v>0</v>
      </c>
      <c r="T216" s="36">
        <f t="shared" si="38"/>
        <v>0</v>
      </c>
      <c r="V216" s="6">
        <f t="shared" si="39"/>
        <v>0</v>
      </c>
      <c r="Y216" s="8">
        <f t="shared" si="40"/>
        <v>46023</v>
      </c>
    </row>
    <row r="217" spans="2:25" ht="18.75" x14ac:dyDescent="0.3">
      <c r="B217" s="6">
        <f t="shared" si="33"/>
        <v>0</v>
      </c>
      <c r="C217" s="6">
        <f t="shared" si="34"/>
        <v>0</v>
      </c>
      <c r="D217" s="6" t="str">
        <f t="shared" si="35"/>
        <v/>
      </c>
      <c r="E217" s="35" t="str">
        <f t="shared" si="31"/>
        <v/>
      </c>
      <c r="F217" s="31"/>
      <c r="G217" s="29"/>
      <c r="H217" s="78" t="str">
        <f t="shared" si="32"/>
        <v/>
      </c>
      <c r="I217" s="25"/>
      <c r="J217" s="25"/>
      <c r="K217" s="26"/>
      <c r="L217" s="26"/>
      <c r="M217" s="37"/>
      <c r="N217" s="27"/>
      <c r="O217" s="30"/>
      <c r="P217" s="39" t="str">
        <f t="shared" si="36"/>
        <v/>
      </c>
      <c r="Q217" s="40" t="str">
        <f>IF(OR(T217=0,RIGHT(T217,1)=$W$1),"",COUNTIF($T$3:T217,T217))</f>
        <v/>
      </c>
      <c r="S217" s="6">
        <f t="shared" si="37"/>
        <v>0</v>
      </c>
      <c r="T217" s="36">
        <f t="shared" si="38"/>
        <v>0</v>
      </c>
      <c r="V217" s="6">
        <f t="shared" si="39"/>
        <v>0</v>
      </c>
      <c r="Y217" s="8">
        <f t="shared" si="40"/>
        <v>46023</v>
      </c>
    </row>
    <row r="218" spans="2:25" ht="18.75" x14ac:dyDescent="0.3">
      <c r="B218" s="6">
        <f t="shared" si="33"/>
        <v>0</v>
      </c>
      <c r="C218" s="6">
        <f t="shared" si="34"/>
        <v>0</v>
      </c>
      <c r="D218" s="6" t="str">
        <f t="shared" si="35"/>
        <v/>
      </c>
      <c r="E218" s="35" t="str">
        <f t="shared" si="31"/>
        <v/>
      </c>
      <c r="F218" s="31"/>
      <c r="G218" s="29"/>
      <c r="H218" s="78" t="str">
        <f t="shared" si="32"/>
        <v/>
      </c>
      <c r="I218" s="25"/>
      <c r="J218" s="25"/>
      <c r="K218" s="26"/>
      <c r="L218" s="26"/>
      <c r="M218" s="37"/>
      <c r="N218" s="27"/>
      <c r="O218" s="30"/>
      <c r="P218" s="39" t="str">
        <f t="shared" si="36"/>
        <v/>
      </c>
      <c r="Q218" s="40" t="str">
        <f>IF(OR(T218=0,RIGHT(T218,1)=$W$1),"",COUNTIF($T$3:T218,T218))</f>
        <v/>
      </c>
      <c r="S218" s="6">
        <f t="shared" si="37"/>
        <v>0</v>
      </c>
      <c r="T218" s="36">
        <f t="shared" si="38"/>
        <v>0</v>
      </c>
      <c r="V218" s="6">
        <f t="shared" si="39"/>
        <v>0</v>
      </c>
      <c r="Y218" s="8">
        <f t="shared" si="40"/>
        <v>46023</v>
      </c>
    </row>
    <row r="219" spans="2:25" ht="18.75" x14ac:dyDescent="0.3">
      <c r="B219" s="6">
        <f t="shared" si="33"/>
        <v>0</v>
      </c>
      <c r="C219" s="6">
        <f t="shared" si="34"/>
        <v>0</v>
      </c>
      <c r="D219" s="6" t="str">
        <f t="shared" si="35"/>
        <v/>
      </c>
      <c r="E219" s="35" t="str">
        <f t="shared" si="31"/>
        <v/>
      </c>
      <c r="F219" s="31"/>
      <c r="G219" s="29"/>
      <c r="H219" s="78" t="str">
        <f t="shared" si="32"/>
        <v/>
      </c>
      <c r="I219" s="25"/>
      <c r="J219" s="25"/>
      <c r="K219" s="26"/>
      <c r="L219" s="26"/>
      <c r="M219" s="37"/>
      <c r="N219" s="27"/>
      <c r="O219" s="30"/>
      <c r="P219" s="39" t="str">
        <f t="shared" si="36"/>
        <v/>
      </c>
      <c r="Q219" s="40" t="str">
        <f>IF(OR(T219=0,RIGHT(T219,1)=$W$1),"",COUNTIF($T$3:T219,T219))</f>
        <v/>
      </c>
      <c r="S219" s="6">
        <f t="shared" si="37"/>
        <v>0</v>
      </c>
      <c r="T219" s="36">
        <f t="shared" si="38"/>
        <v>0</v>
      </c>
      <c r="V219" s="6">
        <f t="shared" si="39"/>
        <v>0</v>
      </c>
      <c r="Y219" s="8">
        <f t="shared" si="40"/>
        <v>46023</v>
      </c>
    </row>
    <row r="220" spans="2:25" ht="18.75" x14ac:dyDescent="0.3">
      <c r="B220" s="6">
        <f t="shared" si="33"/>
        <v>0</v>
      </c>
      <c r="C220" s="6">
        <f t="shared" si="34"/>
        <v>0</v>
      </c>
      <c r="D220" s="6" t="str">
        <f t="shared" si="35"/>
        <v/>
      </c>
      <c r="E220" s="35" t="str">
        <f t="shared" si="31"/>
        <v/>
      </c>
      <c r="F220" s="31"/>
      <c r="G220" s="29"/>
      <c r="H220" s="78" t="str">
        <f t="shared" si="32"/>
        <v/>
      </c>
      <c r="I220" s="25"/>
      <c r="J220" s="25"/>
      <c r="K220" s="26"/>
      <c r="L220" s="26"/>
      <c r="M220" s="37"/>
      <c r="N220" s="27"/>
      <c r="O220" s="30"/>
      <c r="P220" s="39" t="str">
        <f t="shared" si="36"/>
        <v/>
      </c>
      <c r="Q220" s="40" t="str">
        <f>IF(OR(T220=0,RIGHT(T220,1)=$W$1),"",COUNTIF($T$3:T220,T220))</f>
        <v/>
      </c>
      <c r="S220" s="6">
        <f t="shared" si="37"/>
        <v>0</v>
      </c>
      <c r="T220" s="36">
        <f t="shared" si="38"/>
        <v>0</v>
      </c>
      <c r="V220" s="6">
        <f t="shared" si="39"/>
        <v>0</v>
      </c>
      <c r="Y220" s="8">
        <f t="shared" si="40"/>
        <v>46023</v>
      </c>
    </row>
    <row r="221" spans="2:25" ht="18.75" x14ac:dyDescent="0.3">
      <c r="B221" s="6">
        <f t="shared" si="33"/>
        <v>0</v>
      </c>
      <c r="C221" s="6">
        <f t="shared" si="34"/>
        <v>0</v>
      </c>
      <c r="D221" s="6" t="str">
        <f t="shared" si="35"/>
        <v/>
      </c>
      <c r="E221" s="35" t="str">
        <f t="shared" si="31"/>
        <v/>
      </c>
      <c r="F221" s="31"/>
      <c r="G221" s="29"/>
      <c r="H221" s="78" t="str">
        <f t="shared" si="32"/>
        <v/>
      </c>
      <c r="I221" s="25"/>
      <c r="J221" s="25"/>
      <c r="K221" s="26"/>
      <c r="L221" s="26"/>
      <c r="M221" s="37"/>
      <c r="N221" s="27"/>
      <c r="O221" s="30"/>
      <c r="P221" s="39" t="str">
        <f t="shared" si="36"/>
        <v/>
      </c>
      <c r="Q221" s="40" t="str">
        <f>IF(OR(T221=0,RIGHT(T221,1)=$W$1),"",COUNTIF($T$3:T221,T221))</f>
        <v/>
      </c>
      <c r="S221" s="6">
        <f t="shared" si="37"/>
        <v>0</v>
      </c>
      <c r="T221" s="36">
        <f t="shared" si="38"/>
        <v>0</v>
      </c>
      <c r="V221" s="6">
        <f t="shared" si="39"/>
        <v>0</v>
      </c>
      <c r="Y221" s="8">
        <f t="shared" si="40"/>
        <v>46023</v>
      </c>
    </row>
    <row r="222" spans="2:25" ht="18.75" x14ac:dyDescent="0.3">
      <c r="B222" s="6">
        <f t="shared" si="33"/>
        <v>0</v>
      </c>
      <c r="C222" s="6">
        <f t="shared" si="34"/>
        <v>0</v>
      </c>
      <c r="D222" s="6" t="str">
        <f t="shared" si="35"/>
        <v/>
      </c>
      <c r="E222" s="35" t="str">
        <f t="shared" si="31"/>
        <v/>
      </c>
      <c r="F222" s="31"/>
      <c r="G222" s="29"/>
      <c r="H222" s="78" t="str">
        <f t="shared" si="32"/>
        <v/>
      </c>
      <c r="I222" s="25"/>
      <c r="J222" s="25"/>
      <c r="K222" s="26"/>
      <c r="L222" s="26"/>
      <c r="M222" s="37"/>
      <c r="N222" s="27"/>
      <c r="O222" s="30"/>
      <c r="P222" s="39" t="str">
        <f t="shared" si="36"/>
        <v/>
      </c>
      <c r="Q222" s="40" t="str">
        <f>IF(OR(T222=0,RIGHT(T222,1)=$W$1),"",COUNTIF($T$3:T222,T222))</f>
        <v/>
      </c>
      <c r="S222" s="6">
        <f t="shared" si="37"/>
        <v>0</v>
      </c>
      <c r="T222" s="36">
        <f t="shared" si="38"/>
        <v>0</v>
      </c>
      <c r="V222" s="6">
        <f t="shared" si="39"/>
        <v>0</v>
      </c>
      <c r="Y222" s="8">
        <f t="shared" si="40"/>
        <v>46023</v>
      </c>
    </row>
    <row r="223" spans="2:25" ht="18.75" x14ac:dyDescent="0.3">
      <c r="B223" s="6">
        <f t="shared" si="33"/>
        <v>0</v>
      </c>
      <c r="C223" s="6">
        <f t="shared" si="34"/>
        <v>0</v>
      </c>
      <c r="D223" s="6" t="str">
        <f t="shared" si="35"/>
        <v/>
      </c>
      <c r="E223" s="35" t="str">
        <f t="shared" si="31"/>
        <v/>
      </c>
      <c r="F223" s="31"/>
      <c r="G223" s="29"/>
      <c r="H223" s="78" t="str">
        <f t="shared" si="32"/>
        <v/>
      </c>
      <c r="I223" s="25"/>
      <c r="J223" s="25"/>
      <c r="K223" s="26"/>
      <c r="L223" s="26"/>
      <c r="M223" s="37"/>
      <c r="N223" s="27"/>
      <c r="O223" s="30"/>
      <c r="P223" s="39" t="str">
        <f t="shared" si="36"/>
        <v/>
      </c>
      <c r="Q223" s="40" t="str">
        <f>IF(OR(T223=0,RIGHT(T223,1)=$W$1),"",COUNTIF($T$3:T223,T223))</f>
        <v/>
      </c>
      <c r="S223" s="6">
        <f t="shared" si="37"/>
        <v>0</v>
      </c>
      <c r="T223" s="36">
        <f t="shared" si="38"/>
        <v>0</v>
      </c>
      <c r="V223" s="6">
        <f t="shared" si="39"/>
        <v>0</v>
      </c>
      <c r="Y223" s="8">
        <f t="shared" si="40"/>
        <v>46023</v>
      </c>
    </row>
    <row r="224" spans="2:25" ht="18.75" x14ac:dyDescent="0.3">
      <c r="B224" s="6">
        <f t="shared" si="33"/>
        <v>0</v>
      </c>
      <c r="C224" s="6">
        <f t="shared" si="34"/>
        <v>0</v>
      </c>
      <c r="D224" s="6" t="str">
        <f t="shared" si="35"/>
        <v/>
      </c>
      <c r="E224" s="35" t="str">
        <f t="shared" si="31"/>
        <v/>
      </c>
      <c r="F224" s="31"/>
      <c r="G224" s="29"/>
      <c r="H224" s="78" t="str">
        <f t="shared" si="32"/>
        <v/>
      </c>
      <c r="I224" s="25"/>
      <c r="J224" s="25"/>
      <c r="K224" s="26"/>
      <c r="L224" s="26"/>
      <c r="M224" s="37"/>
      <c r="N224" s="27"/>
      <c r="O224" s="30"/>
      <c r="P224" s="39" t="str">
        <f t="shared" si="36"/>
        <v/>
      </c>
      <c r="Q224" s="40" t="str">
        <f>IF(OR(T224=0,RIGHT(T224,1)=$W$1),"",COUNTIF($T$3:T224,T224))</f>
        <v/>
      </c>
      <c r="S224" s="6">
        <f t="shared" si="37"/>
        <v>0</v>
      </c>
      <c r="T224" s="36">
        <f t="shared" si="38"/>
        <v>0</v>
      </c>
      <c r="V224" s="6">
        <f t="shared" si="39"/>
        <v>0</v>
      </c>
      <c r="Y224" s="8">
        <f t="shared" si="40"/>
        <v>46023</v>
      </c>
    </row>
    <row r="225" spans="2:25" ht="18.75" x14ac:dyDescent="0.3">
      <c r="B225" s="6">
        <f t="shared" si="33"/>
        <v>0</v>
      </c>
      <c r="C225" s="6">
        <f t="shared" si="34"/>
        <v>0</v>
      </c>
      <c r="D225" s="6" t="str">
        <f t="shared" si="35"/>
        <v/>
      </c>
      <c r="E225" s="35" t="str">
        <f t="shared" si="31"/>
        <v/>
      </c>
      <c r="F225" s="31"/>
      <c r="G225" s="29"/>
      <c r="H225" s="78" t="str">
        <f t="shared" si="32"/>
        <v/>
      </c>
      <c r="I225" s="25"/>
      <c r="J225" s="25"/>
      <c r="K225" s="26"/>
      <c r="L225" s="26"/>
      <c r="M225" s="37"/>
      <c r="N225" s="27"/>
      <c r="O225" s="30"/>
      <c r="P225" s="39" t="str">
        <f t="shared" si="36"/>
        <v/>
      </c>
      <c r="Q225" s="40" t="str">
        <f>IF(OR(T225=0,RIGHT(T225,1)=$W$1),"",COUNTIF($T$3:T225,T225))</f>
        <v/>
      </c>
      <c r="S225" s="6">
        <f t="shared" si="37"/>
        <v>0</v>
      </c>
      <c r="T225" s="36">
        <f t="shared" si="38"/>
        <v>0</v>
      </c>
      <c r="V225" s="6">
        <f t="shared" si="39"/>
        <v>0</v>
      </c>
      <c r="Y225" s="8">
        <f t="shared" si="40"/>
        <v>46023</v>
      </c>
    </row>
    <row r="226" spans="2:25" ht="18.75" x14ac:dyDescent="0.3">
      <c r="B226" s="6">
        <f t="shared" si="33"/>
        <v>0</v>
      </c>
      <c r="C226" s="6">
        <f t="shared" si="34"/>
        <v>0</v>
      </c>
      <c r="D226" s="6" t="str">
        <f t="shared" si="35"/>
        <v/>
      </c>
      <c r="E226" s="35" t="str">
        <f t="shared" si="31"/>
        <v/>
      </c>
      <c r="F226" s="31"/>
      <c r="G226" s="29"/>
      <c r="H226" s="78" t="str">
        <f t="shared" si="32"/>
        <v/>
      </c>
      <c r="I226" s="25"/>
      <c r="J226" s="25"/>
      <c r="K226" s="26"/>
      <c r="L226" s="26"/>
      <c r="M226" s="37"/>
      <c r="N226" s="27"/>
      <c r="O226" s="30"/>
      <c r="P226" s="39" t="str">
        <f t="shared" si="36"/>
        <v/>
      </c>
      <c r="Q226" s="40" t="str">
        <f>IF(OR(T226=0,RIGHT(T226,1)=$W$1),"",COUNTIF($T$3:T226,T226))</f>
        <v/>
      </c>
      <c r="S226" s="6">
        <f t="shared" si="37"/>
        <v>0</v>
      </c>
      <c r="T226" s="36">
        <f t="shared" si="38"/>
        <v>0</v>
      </c>
      <c r="V226" s="6">
        <f t="shared" si="39"/>
        <v>0</v>
      </c>
      <c r="Y226" s="8">
        <f t="shared" si="40"/>
        <v>46023</v>
      </c>
    </row>
    <row r="227" spans="2:25" ht="18.75" x14ac:dyDescent="0.3">
      <c r="B227" s="6">
        <f t="shared" si="33"/>
        <v>0</v>
      </c>
      <c r="C227" s="6">
        <f t="shared" si="34"/>
        <v>0</v>
      </c>
      <c r="D227" s="6" t="str">
        <f t="shared" si="35"/>
        <v/>
      </c>
      <c r="E227" s="35" t="str">
        <f t="shared" si="31"/>
        <v/>
      </c>
      <c r="F227" s="31"/>
      <c r="G227" s="29"/>
      <c r="H227" s="78" t="str">
        <f t="shared" si="32"/>
        <v/>
      </c>
      <c r="I227" s="25"/>
      <c r="J227" s="25"/>
      <c r="K227" s="26"/>
      <c r="L227" s="26"/>
      <c r="M227" s="37"/>
      <c r="N227" s="27"/>
      <c r="O227" s="30"/>
      <c r="P227" s="39" t="str">
        <f t="shared" si="36"/>
        <v/>
      </c>
      <c r="Q227" s="40" t="str">
        <f>IF(OR(T227=0,RIGHT(T227,1)=$W$1),"",COUNTIF($T$3:T227,T227))</f>
        <v/>
      </c>
      <c r="S227" s="6">
        <f t="shared" si="37"/>
        <v>0</v>
      </c>
      <c r="T227" s="36">
        <f t="shared" si="38"/>
        <v>0</v>
      </c>
      <c r="V227" s="6">
        <f t="shared" si="39"/>
        <v>0</v>
      </c>
      <c r="Y227" s="8">
        <f t="shared" si="40"/>
        <v>46023</v>
      </c>
    </row>
    <row r="228" spans="2:25" ht="18.75" x14ac:dyDescent="0.3">
      <c r="B228" s="6">
        <f t="shared" si="33"/>
        <v>0</v>
      </c>
      <c r="C228" s="6">
        <f t="shared" si="34"/>
        <v>0</v>
      </c>
      <c r="D228" s="6" t="str">
        <f t="shared" si="35"/>
        <v/>
      </c>
      <c r="E228" s="35" t="str">
        <f t="shared" si="31"/>
        <v/>
      </c>
      <c r="F228" s="31"/>
      <c r="G228" s="29"/>
      <c r="H228" s="78" t="str">
        <f t="shared" si="32"/>
        <v/>
      </c>
      <c r="I228" s="25"/>
      <c r="J228" s="25"/>
      <c r="K228" s="26"/>
      <c r="L228" s="26"/>
      <c r="M228" s="37"/>
      <c r="N228" s="27"/>
      <c r="O228" s="30"/>
      <c r="P228" s="39" t="str">
        <f t="shared" si="36"/>
        <v/>
      </c>
      <c r="Q228" s="40" t="str">
        <f>IF(OR(T228=0,RIGHT(T228,1)=$W$1),"",COUNTIF($T$3:T228,T228))</f>
        <v/>
      </c>
      <c r="S228" s="6">
        <f t="shared" si="37"/>
        <v>0</v>
      </c>
      <c r="T228" s="36">
        <f t="shared" si="38"/>
        <v>0</v>
      </c>
      <c r="V228" s="6">
        <f t="shared" si="39"/>
        <v>0</v>
      </c>
      <c r="Y228" s="8">
        <f t="shared" si="40"/>
        <v>46023</v>
      </c>
    </row>
    <row r="229" spans="2:25" ht="18.75" x14ac:dyDescent="0.3">
      <c r="B229" s="6">
        <f t="shared" si="33"/>
        <v>0</v>
      </c>
      <c r="C229" s="6">
        <f t="shared" si="34"/>
        <v>0</v>
      </c>
      <c r="D229" s="6" t="str">
        <f t="shared" si="35"/>
        <v/>
      </c>
      <c r="E229" s="35" t="str">
        <f t="shared" si="31"/>
        <v/>
      </c>
      <c r="F229" s="31"/>
      <c r="G229" s="29"/>
      <c r="H229" s="78" t="str">
        <f t="shared" si="32"/>
        <v/>
      </c>
      <c r="I229" s="25"/>
      <c r="J229" s="25"/>
      <c r="K229" s="26"/>
      <c r="L229" s="26"/>
      <c r="M229" s="37"/>
      <c r="N229" s="27"/>
      <c r="O229" s="30"/>
      <c r="P229" s="39" t="str">
        <f t="shared" si="36"/>
        <v/>
      </c>
      <c r="Q229" s="40" t="str">
        <f>IF(OR(T229=0,RIGHT(T229,1)=$W$1),"",COUNTIF($T$3:T229,T229))</f>
        <v/>
      </c>
      <c r="S229" s="6">
        <f t="shared" si="37"/>
        <v>0</v>
      </c>
      <c r="T229" s="36">
        <f t="shared" si="38"/>
        <v>0</v>
      </c>
      <c r="V229" s="6">
        <f t="shared" si="39"/>
        <v>0</v>
      </c>
      <c r="Y229" s="8">
        <f t="shared" si="40"/>
        <v>46023</v>
      </c>
    </row>
    <row r="230" spans="2:25" ht="18.75" x14ac:dyDescent="0.3">
      <c r="B230" s="6">
        <f t="shared" si="33"/>
        <v>0</v>
      </c>
      <c r="C230" s="6">
        <f t="shared" si="34"/>
        <v>0</v>
      </c>
      <c r="D230" s="6" t="str">
        <f t="shared" si="35"/>
        <v/>
      </c>
      <c r="E230" s="35" t="str">
        <f t="shared" si="31"/>
        <v/>
      </c>
      <c r="F230" s="31"/>
      <c r="G230" s="29"/>
      <c r="H230" s="78" t="str">
        <f t="shared" si="32"/>
        <v/>
      </c>
      <c r="I230" s="25"/>
      <c r="J230" s="25"/>
      <c r="K230" s="26"/>
      <c r="L230" s="26"/>
      <c r="M230" s="37"/>
      <c r="N230" s="27"/>
      <c r="O230" s="30"/>
      <c r="P230" s="39" t="str">
        <f t="shared" si="36"/>
        <v/>
      </c>
      <c r="Q230" s="40" t="str">
        <f>IF(OR(T230=0,RIGHT(T230,1)=$W$1),"",COUNTIF($T$3:T230,T230))</f>
        <v/>
      </c>
      <c r="S230" s="6">
        <f t="shared" si="37"/>
        <v>0</v>
      </c>
      <c r="T230" s="36">
        <f t="shared" si="38"/>
        <v>0</v>
      </c>
      <c r="V230" s="6">
        <f t="shared" si="39"/>
        <v>0</v>
      </c>
      <c r="Y230" s="8">
        <f t="shared" si="40"/>
        <v>46023</v>
      </c>
    </row>
    <row r="231" spans="2:25" ht="18.75" x14ac:dyDescent="0.3">
      <c r="B231" s="6">
        <f t="shared" si="33"/>
        <v>0</v>
      </c>
      <c r="C231" s="6">
        <f t="shared" si="34"/>
        <v>0</v>
      </c>
      <c r="D231" s="6" t="str">
        <f t="shared" si="35"/>
        <v/>
      </c>
      <c r="E231" s="35" t="str">
        <f t="shared" si="31"/>
        <v/>
      </c>
      <c r="F231" s="31"/>
      <c r="G231" s="29"/>
      <c r="H231" s="78" t="str">
        <f t="shared" si="32"/>
        <v/>
      </c>
      <c r="I231" s="25"/>
      <c r="J231" s="25"/>
      <c r="K231" s="26"/>
      <c r="L231" s="26"/>
      <c r="M231" s="37"/>
      <c r="N231" s="27"/>
      <c r="O231" s="30"/>
      <c r="P231" s="39" t="str">
        <f t="shared" si="36"/>
        <v/>
      </c>
      <c r="Q231" s="40" t="str">
        <f>IF(OR(T231=0,RIGHT(T231,1)=$W$1),"",COUNTIF($T$3:T231,T231))</f>
        <v/>
      </c>
      <c r="S231" s="6">
        <f t="shared" si="37"/>
        <v>0</v>
      </c>
      <c r="T231" s="36">
        <f t="shared" si="38"/>
        <v>0</v>
      </c>
      <c r="V231" s="6">
        <f t="shared" si="39"/>
        <v>0</v>
      </c>
      <c r="Y231" s="8">
        <f t="shared" si="40"/>
        <v>46023</v>
      </c>
    </row>
    <row r="232" spans="2:25" ht="18.75" x14ac:dyDescent="0.3">
      <c r="B232" s="6">
        <f t="shared" si="33"/>
        <v>0</v>
      </c>
      <c r="C232" s="6">
        <f t="shared" si="34"/>
        <v>0</v>
      </c>
      <c r="D232" s="6" t="str">
        <f t="shared" si="35"/>
        <v/>
      </c>
      <c r="E232" s="35" t="str">
        <f t="shared" si="31"/>
        <v/>
      </c>
      <c r="F232" s="31"/>
      <c r="G232" s="29"/>
      <c r="H232" s="78" t="str">
        <f t="shared" si="32"/>
        <v/>
      </c>
      <c r="I232" s="25"/>
      <c r="J232" s="25"/>
      <c r="K232" s="26"/>
      <c r="L232" s="26"/>
      <c r="M232" s="37"/>
      <c r="N232" s="27"/>
      <c r="O232" s="30"/>
      <c r="P232" s="39" t="str">
        <f t="shared" si="36"/>
        <v/>
      </c>
      <c r="Q232" s="40" t="str">
        <f>IF(OR(T232=0,RIGHT(T232,1)=$W$1),"",COUNTIF($T$3:T232,T232))</f>
        <v/>
      </c>
      <c r="S232" s="6">
        <f t="shared" si="37"/>
        <v>0</v>
      </c>
      <c r="T232" s="36">
        <f t="shared" si="38"/>
        <v>0</v>
      </c>
      <c r="V232" s="6">
        <f t="shared" si="39"/>
        <v>0</v>
      </c>
      <c r="Y232" s="8">
        <f t="shared" si="40"/>
        <v>46023</v>
      </c>
    </row>
    <row r="233" spans="2:25" ht="18.75" x14ac:dyDescent="0.3">
      <c r="B233" s="6">
        <f t="shared" si="33"/>
        <v>0</v>
      </c>
      <c r="C233" s="6">
        <f t="shared" si="34"/>
        <v>0</v>
      </c>
      <c r="D233" s="6" t="str">
        <f t="shared" si="35"/>
        <v/>
      </c>
      <c r="E233" s="35" t="str">
        <f t="shared" si="31"/>
        <v/>
      </c>
      <c r="F233" s="31"/>
      <c r="G233" s="29"/>
      <c r="H233" s="78" t="str">
        <f t="shared" si="32"/>
        <v/>
      </c>
      <c r="I233" s="25"/>
      <c r="J233" s="25"/>
      <c r="K233" s="26"/>
      <c r="L233" s="26"/>
      <c r="M233" s="37"/>
      <c r="N233" s="27"/>
      <c r="O233" s="30"/>
      <c r="P233" s="39" t="str">
        <f t="shared" si="36"/>
        <v/>
      </c>
      <c r="Q233" s="40" t="str">
        <f>IF(OR(T233=0,RIGHT(T233,1)=$W$1),"",COUNTIF($T$3:T233,T233))</f>
        <v/>
      </c>
      <c r="S233" s="6">
        <f t="shared" si="37"/>
        <v>0</v>
      </c>
      <c r="T233" s="36">
        <f t="shared" si="38"/>
        <v>0</v>
      </c>
      <c r="V233" s="6">
        <f t="shared" si="39"/>
        <v>0</v>
      </c>
      <c r="Y233" s="8">
        <f t="shared" si="40"/>
        <v>46023</v>
      </c>
    </row>
    <row r="234" spans="2:25" ht="18.75" x14ac:dyDescent="0.3">
      <c r="B234" s="6">
        <f t="shared" si="33"/>
        <v>0</v>
      </c>
      <c r="C234" s="6">
        <f t="shared" si="34"/>
        <v>0</v>
      </c>
      <c r="D234" s="6" t="str">
        <f t="shared" si="35"/>
        <v/>
      </c>
      <c r="E234" s="35" t="str">
        <f t="shared" si="31"/>
        <v/>
      </c>
      <c r="F234" s="31"/>
      <c r="G234" s="29"/>
      <c r="H234" s="78" t="str">
        <f t="shared" si="32"/>
        <v/>
      </c>
      <c r="I234" s="25"/>
      <c r="J234" s="25"/>
      <c r="K234" s="26"/>
      <c r="L234" s="26"/>
      <c r="M234" s="37"/>
      <c r="N234" s="27"/>
      <c r="O234" s="30"/>
      <c r="P234" s="39" t="str">
        <f t="shared" si="36"/>
        <v/>
      </c>
      <c r="Q234" s="40" t="str">
        <f>IF(OR(T234=0,RIGHT(T234,1)=$W$1),"",COUNTIF($T$3:T234,T234))</f>
        <v/>
      </c>
      <c r="S234" s="6">
        <f t="shared" si="37"/>
        <v>0</v>
      </c>
      <c r="T234" s="36">
        <f t="shared" si="38"/>
        <v>0</v>
      </c>
      <c r="V234" s="6">
        <f t="shared" si="39"/>
        <v>0</v>
      </c>
      <c r="Y234" s="8">
        <f t="shared" si="40"/>
        <v>46023</v>
      </c>
    </row>
    <row r="235" spans="2:25" ht="18.75" x14ac:dyDescent="0.3">
      <c r="B235" s="6">
        <f t="shared" si="33"/>
        <v>0</v>
      </c>
      <c r="C235" s="6">
        <f t="shared" si="34"/>
        <v>0</v>
      </c>
      <c r="D235" s="6" t="str">
        <f t="shared" si="35"/>
        <v/>
      </c>
      <c r="E235" s="35" t="str">
        <f t="shared" si="31"/>
        <v/>
      </c>
      <c r="F235" s="31"/>
      <c r="G235" s="29"/>
      <c r="H235" s="78" t="str">
        <f t="shared" si="32"/>
        <v/>
      </c>
      <c r="I235" s="25"/>
      <c r="J235" s="25"/>
      <c r="K235" s="26"/>
      <c r="L235" s="26"/>
      <c r="M235" s="37"/>
      <c r="N235" s="27"/>
      <c r="O235" s="30"/>
      <c r="P235" s="39" t="str">
        <f t="shared" si="36"/>
        <v/>
      </c>
      <c r="Q235" s="40" t="str">
        <f>IF(OR(T235=0,RIGHT(T235,1)=$W$1),"",COUNTIF($T$3:T235,T235))</f>
        <v/>
      </c>
      <c r="S235" s="6">
        <f t="shared" si="37"/>
        <v>0</v>
      </c>
      <c r="T235" s="36">
        <f t="shared" si="38"/>
        <v>0</v>
      </c>
      <c r="V235" s="6">
        <f t="shared" si="39"/>
        <v>0</v>
      </c>
      <c r="Y235" s="8">
        <f t="shared" si="40"/>
        <v>46023</v>
      </c>
    </row>
    <row r="236" spans="2:25" ht="18.75" x14ac:dyDescent="0.3">
      <c r="B236" s="6">
        <f t="shared" si="33"/>
        <v>0</v>
      </c>
      <c r="C236" s="6">
        <f t="shared" si="34"/>
        <v>0</v>
      </c>
      <c r="D236" s="6" t="str">
        <f t="shared" si="35"/>
        <v/>
      </c>
      <c r="E236" s="35" t="str">
        <f t="shared" si="31"/>
        <v/>
      </c>
      <c r="F236" s="31"/>
      <c r="G236" s="29"/>
      <c r="H236" s="78" t="str">
        <f t="shared" si="32"/>
        <v/>
      </c>
      <c r="I236" s="25"/>
      <c r="J236" s="25"/>
      <c r="K236" s="26"/>
      <c r="L236" s="26"/>
      <c r="M236" s="37"/>
      <c r="N236" s="27"/>
      <c r="O236" s="30"/>
      <c r="P236" s="39" t="str">
        <f t="shared" si="36"/>
        <v/>
      </c>
      <c r="Q236" s="40" t="str">
        <f>IF(OR(T236=0,RIGHT(T236,1)=$W$1),"",COUNTIF($T$3:T236,T236))</f>
        <v/>
      </c>
      <c r="S236" s="6">
        <f t="shared" si="37"/>
        <v>0</v>
      </c>
      <c r="T236" s="36">
        <f t="shared" si="38"/>
        <v>0</v>
      </c>
      <c r="V236" s="6">
        <f t="shared" si="39"/>
        <v>0</v>
      </c>
      <c r="Y236" s="8">
        <f t="shared" si="40"/>
        <v>46023</v>
      </c>
    </row>
    <row r="237" spans="2:25" ht="18.75" x14ac:dyDescent="0.3">
      <c r="B237" s="6">
        <f t="shared" si="33"/>
        <v>0</v>
      </c>
      <c r="C237" s="6">
        <f t="shared" si="34"/>
        <v>0</v>
      </c>
      <c r="D237" s="6" t="str">
        <f t="shared" si="35"/>
        <v/>
      </c>
      <c r="E237" s="35" t="str">
        <f t="shared" si="31"/>
        <v/>
      </c>
      <c r="F237" s="31"/>
      <c r="G237" s="29"/>
      <c r="H237" s="78" t="str">
        <f t="shared" si="32"/>
        <v/>
      </c>
      <c r="I237" s="25"/>
      <c r="J237" s="25"/>
      <c r="K237" s="26"/>
      <c r="L237" s="26"/>
      <c r="M237" s="37"/>
      <c r="N237" s="27"/>
      <c r="O237" s="30"/>
      <c r="P237" s="39" t="str">
        <f t="shared" si="36"/>
        <v/>
      </c>
      <c r="Q237" s="40" t="str">
        <f>IF(OR(T237=0,RIGHT(T237,1)=$W$1),"",COUNTIF($T$3:T237,T237))</f>
        <v/>
      </c>
      <c r="S237" s="6">
        <f t="shared" si="37"/>
        <v>0</v>
      </c>
      <c r="T237" s="36">
        <f t="shared" si="38"/>
        <v>0</v>
      </c>
      <c r="V237" s="6">
        <f t="shared" si="39"/>
        <v>0</v>
      </c>
      <c r="Y237" s="8">
        <f t="shared" si="40"/>
        <v>46023</v>
      </c>
    </row>
    <row r="238" spans="2:25" ht="18.75" x14ac:dyDescent="0.3">
      <c r="B238" s="6">
        <f t="shared" si="33"/>
        <v>0</v>
      </c>
      <c r="C238" s="6">
        <f t="shared" si="34"/>
        <v>0</v>
      </c>
      <c r="D238" s="6" t="str">
        <f t="shared" si="35"/>
        <v/>
      </c>
      <c r="E238" s="35" t="str">
        <f t="shared" si="31"/>
        <v/>
      </c>
      <c r="F238" s="31"/>
      <c r="G238" s="29"/>
      <c r="H238" s="78" t="str">
        <f t="shared" si="32"/>
        <v/>
      </c>
      <c r="I238" s="25"/>
      <c r="J238" s="25"/>
      <c r="K238" s="26"/>
      <c r="L238" s="26"/>
      <c r="M238" s="37"/>
      <c r="N238" s="27"/>
      <c r="O238" s="30"/>
      <c r="P238" s="39" t="str">
        <f t="shared" si="36"/>
        <v/>
      </c>
      <c r="Q238" s="40" t="str">
        <f>IF(OR(T238=0,RIGHT(T238,1)=$W$1),"",COUNTIF($T$3:T238,T238))</f>
        <v/>
      </c>
      <c r="S238" s="6">
        <f t="shared" si="37"/>
        <v>0</v>
      </c>
      <c r="T238" s="36">
        <f t="shared" si="38"/>
        <v>0</v>
      </c>
      <c r="V238" s="6">
        <f t="shared" si="39"/>
        <v>0</v>
      </c>
      <c r="Y238" s="8">
        <f t="shared" si="40"/>
        <v>46023</v>
      </c>
    </row>
    <row r="239" spans="2:25" ht="18.75" x14ac:dyDescent="0.3">
      <c r="B239" s="6">
        <f t="shared" si="33"/>
        <v>0</v>
      </c>
      <c r="C239" s="6">
        <f t="shared" si="34"/>
        <v>0</v>
      </c>
      <c r="D239" s="6" t="str">
        <f t="shared" si="35"/>
        <v/>
      </c>
      <c r="E239" s="35" t="str">
        <f t="shared" si="31"/>
        <v/>
      </c>
      <c r="F239" s="31"/>
      <c r="G239" s="29"/>
      <c r="H239" s="78" t="str">
        <f t="shared" si="32"/>
        <v/>
      </c>
      <c r="I239" s="25"/>
      <c r="J239" s="25"/>
      <c r="K239" s="26"/>
      <c r="L239" s="26"/>
      <c r="M239" s="37"/>
      <c r="N239" s="27"/>
      <c r="O239" s="30"/>
      <c r="P239" s="39" t="str">
        <f t="shared" si="36"/>
        <v/>
      </c>
      <c r="Q239" s="40" t="str">
        <f>IF(OR(T239=0,RIGHT(T239,1)=$W$1),"",COUNTIF($T$3:T239,T239))</f>
        <v/>
      </c>
      <c r="S239" s="6">
        <f t="shared" si="37"/>
        <v>0</v>
      </c>
      <c r="T239" s="36">
        <f t="shared" si="38"/>
        <v>0</v>
      </c>
      <c r="V239" s="6">
        <f t="shared" si="39"/>
        <v>0</v>
      </c>
      <c r="Y239" s="8">
        <f t="shared" si="40"/>
        <v>46023</v>
      </c>
    </row>
    <row r="240" spans="2:25" ht="18.75" x14ac:dyDescent="0.3">
      <c r="B240" s="6">
        <f t="shared" si="33"/>
        <v>0</v>
      </c>
      <c r="C240" s="6">
        <f t="shared" si="34"/>
        <v>0</v>
      </c>
      <c r="D240" s="6" t="str">
        <f t="shared" si="35"/>
        <v/>
      </c>
      <c r="E240" s="35" t="str">
        <f t="shared" si="31"/>
        <v/>
      </c>
      <c r="F240" s="31"/>
      <c r="G240" s="29"/>
      <c r="H240" s="78" t="str">
        <f t="shared" si="32"/>
        <v/>
      </c>
      <c r="I240" s="25"/>
      <c r="J240" s="25"/>
      <c r="K240" s="26"/>
      <c r="L240" s="26"/>
      <c r="M240" s="37"/>
      <c r="N240" s="27"/>
      <c r="O240" s="30"/>
      <c r="P240" s="39" t="str">
        <f t="shared" si="36"/>
        <v/>
      </c>
      <c r="Q240" s="40" t="str">
        <f>IF(OR(T240=0,RIGHT(T240,1)=$W$1),"",COUNTIF($T$3:T240,T240))</f>
        <v/>
      </c>
      <c r="S240" s="6">
        <f t="shared" si="37"/>
        <v>0</v>
      </c>
      <c r="T240" s="36">
        <f t="shared" si="38"/>
        <v>0</v>
      </c>
      <c r="V240" s="6">
        <f t="shared" si="39"/>
        <v>0</v>
      </c>
      <c r="Y240" s="8">
        <f t="shared" si="40"/>
        <v>46023</v>
      </c>
    </row>
    <row r="241" spans="2:25" ht="18.75" x14ac:dyDescent="0.3">
      <c r="B241" s="6">
        <f t="shared" si="33"/>
        <v>0</v>
      </c>
      <c r="C241" s="6">
        <f t="shared" si="34"/>
        <v>0</v>
      </c>
      <c r="D241" s="6" t="str">
        <f t="shared" si="35"/>
        <v/>
      </c>
      <c r="E241" s="35" t="str">
        <f t="shared" si="31"/>
        <v/>
      </c>
      <c r="F241" s="31"/>
      <c r="G241" s="29"/>
      <c r="H241" s="78" t="str">
        <f t="shared" si="32"/>
        <v/>
      </c>
      <c r="I241" s="25"/>
      <c r="J241" s="25"/>
      <c r="K241" s="26"/>
      <c r="L241" s="26"/>
      <c r="M241" s="37"/>
      <c r="N241" s="27"/>
      <c r="O241" s="30"/>
      <c r="P241" s="39" t="str">
        <f t="shared" si="36"/>
        <v/>
      </c>
      <c r="Q241" s="40" t="str">
        <f>IF(OR(T241=0,RIGHT(T241,1)=$W$1),"",COUNTIF($T$3:T241,T241))</f>
        <v/>
      </c>
      <c r="S241" s="6">
        <f t="shared" si="37"/>
        <v>0</v>
      </c>
      <c r="T241" s="36">
        <f t="shared" si="38"/>
        <v>0</v>
      </c>
      <c r="V241" s="6">
        <f t="shared" si="39"/>
        <v>0</v>
      </c>
      <c r="Y241" s="8">
        <f t="shared" si="40"/>
        <v>46023</v>
      </c>
    </row>
    <row r="242" spans="2:25" ht="18.75" x14ac:dyDescent="0.3">
      <c r="B242" s="6">
        <f t="shared" si="33"/>
        <v>0</v>
      </c>
      <c r="C242" s="6">
        <f t="shared" si="34"/>
        <v>0</v>
      </c>
      <c r="D242" s="6" t="str">
        <f t="shared" si="35"/>
        <v/>
      </c>
      <c r="E242" s="35" t="str">
        <f t="shared" si="31"/>
        <v/>
      </c>
      <c r="F242" s="31"/>
      <c r="G242" s="29"/>
      <c r="H242" s="78" t="str">
        <f t="shared" si="32"/>
        <v/>
      </c>
      <c r="I242" s="25"/>
      <c r="J242" s="25"/>
      <c r="K242" s="26"/>
      <c r="L242" s="26"/>
      <c r="M242" s="37"/>
      <c r="N242" s="27"/>
      <c r="O242" s="30"/>
      <c r="P242" s="39" t="str">
        <f t="shared" si="36"/>
        <v/>
      </c>
      <c r="Q242" s="40" t="str">
        <f>IF(OR(T242=0,RIGHT(T242,1)=$W$1),"",COUNTIF($T$3:T242,T242))</f>
        <v/>
      </c>
      <c r="S242" s="6">
        <f t="shared" si="37"/>
        <v>0</v>
      </c>
      <c r="T242" s="36">
        <f t="shared" si="38"/>
        <v>0</v>
      </c>
      <c r="V242" s="6">
        <f t="shared" si="39"/>
        <v>0</v>
      </c>
      <c r="Y242" s="8">
        <f t="shared" si="40"/>
        <v>46023</v>
      </c>
    </row>
    <row r="243" spans="2:25" ht="18.75" x14ac:dyDescent="0.3">
      <c r="B243" s="6">
        <f t="shared" si="33"/>
        <v>0</v>
      </c>
      <c r="C243" s="6">
        <f t="shared" si="34"/>
        <v>0</v>
      </c>
      <c r="D243" s="6" t="str">
        <f t="shared" si="35"/>
        <v/>
      </c>
      <c r="E243" s="35" t="str">
        <f t="shared" si="31"/>
        <v/>
      </c>
      <c r="F243" s="31"/>
      <c r="G243" s="29"/>
      <c r="H243" s="78" t="str">
        <f t="shared" si="32"/>
        <v/>
      </c>
      <c r="I243" s="25"/>
      <c r="J243" s="25"/>
      <c r="K243" s="26"/>
      <c r="L243" s="26"/>
      <c r="M243" s="37"/>
      <c r="N243" s="27"/>
      <c r="O243" s="30"/>
      <c r="P243" s="39" t="str">
        <f t="shared" si="36"/>
        <v/>
      </c>
      <c r="Q243" s="40" t="str">
        <f>IF(OR(T243=0,RIGHT(T243,1)=$W$1),"",COUNTIF($T$3:T243,T243))</f>
        <v/>
      </c>
      <c r="S243" s="6">
        <f t="shared" si="37"/>
        <v>0</v>
      </c>
      <c r="T243" s="36">
        <f t="shared" si="38"/>
        <v>0</v>
      </c>
      <c r="V243" s="6">
        <f t="shared" si="39"/>
        <v>0</v>
      </c>
      <c r="Y243" s="8">
        <f t="shared" si="40"/>
        <v>46023</v>
      </c>
    </row>
    <row r="244" spans="2:25" ht="18.75" x14ac:dyDescent="0.3">
      <c r="B244" s="6">
        <f t="shared" si="33"/>
        <v>0</v>
      </c>
      <c r="C244" s="6">
        <f t="shared" si="34"/>
        <v>0</v>
      </c>
      <c r="D244" s="6" t="str">
        <f t="shared" si="35"/>
        <v/>
      </c>
      <c r="E244" s="35" t="str">
        <f t="shared" si="31"/>
        <v/>
      </c>
      <c r="F244" s="31"/>
      <c r="G244" s="29"/>
      <c r="H244" s="78" t="str">
        <f t="shared" si="32"/>
        <v/>
      </c>
      <c r="I244" s="25"/>
      <c r="J244" s="25"/>
      <c r="K244" s="26"/>
      <c r="L244" s="26"/>
      <c r="M244" s="37"/>
      <c r="N244" s="27"/>
      <c r="O244" s="30"/>
      <c r="P244" s="39" t="str">
        <f t="shared" si="36"/>
        <v/>
      </c>
      <c r="Q244" s="40" t="str">
        <f>IF(OR(T244=0,RIGHT(T244,1)=$W$1),"",COUNTIF($T$3:T244,T244))</f>
        <v/>
      </c>
      <c r="S244" s="6">
        <f t="shared" si="37"/>
        <v>0</v>
      </c>
      <c r="T244" s="36">
        <f t="shared" si="38"/>
        <v>0</v>
      </c>
      <c r="V244" s="6">
        <f t="shared" si="39"/>
        <v>0</v>
      </c>
      <c r="Y244" s="8">
        <f t="shared" si="40"/>
        <v>46023</v>
      </c>
    </row>
    <row r="245" spans="2:25" ht="18.75" x14ac:dyDescent="0.3">
      <c r="B245" s="6">
        <f t="shared" si="33"/>
        <v>0</v>
      </c>
      <c r="C245" s="6">
        <f t="shared" si="34"/>
        <v>0</v>
      </c>
      <c r="D245" s="6" t="str">
        <f t="shared" si="35"/>
        <v/>
      </c>
      <c r="E245" s="35" t="str">
        <f t="shared" si="31"/>
        <v/>
      </c>
      <c r="F245" s="31"/>
      <c r="G245" s="29"/>
      <c r="H245" s="78" t="str">
        <f t="shared" si="32"/>
        <v/>
      </c>
      <c r="I245" s="25"/>
      <c r="J245" s="25"/>
      <c r="K245" s="26"/>
      <c r="L245" s="26"/>
      <c r="M245" s="37"/>
      <c r="N245" s="27"/>
      <c r="O245" s="30"/>
      <c r="P245" s="39" t="str">
        <f t="shared" si="36"/>
        <v/>
      </c>
      <c r="Q245" s="40" t="str">
        <f>IF(OR(T245=0,RIGHT(T245,1)=$W$1),"",COUNTIF($T$3:T245,T245))</f>
        <v/>
      </c>
      <c r="S245" s="6">
        <f t="shared" si="37"/>
        <v>0</v>
      </c>
      <c r="T245" s="36">
        <f t="shared" si="38"/>
        <v>0</v>
      </c>
      <c r="V245" s="6">
        <f t="shared" si="39"/>
        <v>0</v>
      </c>
      <c r="Y245" s="8">
        <f t="shared" si="40"/>
        <v>46023</v>
      </c>
    </row>
    <row r="246" spans="2:25" ht="18.75" x14ac:dyDescent="0.3">
      <c r="B246" s="6">
        <f t="shared" si="33"/>
        <v>0</v>
      </c>
      <c r="C246" s="6">
        <f t="shared" si="34"/>
        <v>0</v>
      </c>
      <c r="D246" s="6" t="str">
        <f t="shared" si="35"/>
        <v/>
      </c>
      <c r="E246" s="35" t="str">
        <f t="shared" si="31"/>
        <v/>
      </c>
      <c r="F246" s="31"/>
      <c r="G246" s="29"/>
      <c r="H246" s="78" t="str">
        <f t="shared" si="32"/>
        <v/>
      </c>
      <c r="I246" s="25"/>
      <c r="J246" s="25"/>
      <c r="K246" s="26"/>
      <c r="L246" s="26"/>
      <c r="M246" s="37"/>
      <c r="N246" s="27"/>
      <c r="O246" s="30"/>
      <c r="P246" s="39" t="str">
        <f t="shared" si="36"/>
        <v/>
      </c>
      <c r="Q246" s="40" t="str">
        <f>IF(OR(T246=0,RIGHT(T246,1)=$W$1),"",COUNTIF($T$3:T246,T246))</f>
        <v/>
      </c>
      <c r="S246" s="6">
        <f t="shared" si="37"/>
        <v>0</v>
      </c>
      <c r="T246" s="36">
        <f t="shared" si="38"/>
        <v>0</v>
      </c>
      <c r="V246" s="6">
        <f t="shared" si="39"/>
        <v>0</v>
      </c>
      <c r="Y246" s="8">
        <f t="shared" si="40"/>
        <v>46023</v>
      </c>
    </row>
    <row r="247" spans="2:25" ht="18.75" x14ac:dyDescent="0.3">
      <c r="B247" s="6">
        <f t="shared" si="33"/>
        <v>0</v>
      </c>
      <c r="C247" s="6">
        <f t="shared" si="34"/>
        <v>0</v>
      </c>
      <c r="D247" s="6" t="str">
        <f t="shared" si="35"/>
        <v/>
      </c>
      <c r="E247" s="35" t="str">
        <f t="shared" si="31"/>
        <v/>
      </c>
      <c r="F247" s="31"/>
      <c r="G247" s="29"/>
      <c r="H247" s="78" t="str">
        <f t="shared" si="32"/>
        <v/>
      </c>
      <c r="I247" s="25"/>
      <c r="J247" s="25"/>
      <c r="K247" s="26"/>
      <c r="L247" s="26"/>
      <c r="M247" s="37"/>
      <c r="N247" s="27"/>
      <c r="O247" s="30"/>
      <c r="P247" s="39" t="str">
        <f t="shared" si="36"/>
        <v/>
      </c>
      <c r="Q247" s="40" t="str">
        <f>IF(OR(T247=0,RIGHT(T247,1)=$W$1),"",COUNTIF($T$3:T247,T247))</f>
        <v/>
      </c>
      <c r="S247" s="6">
        <f t="shared" si="37"/>
        <v>0</v>
      </c>
      <c r="T247" s="36">
        <f t="shared" si="38"/>
        <v>0</v>
      </c>
      <c r="V247" s="6">
        <f t="shared" si="39"/>
        <v>0</v>
      </c>
      <c r="Y247" s="8">
        <f t="shared" si="40"/>
        <v>46023</v>
      </c>
    </row>
    <row r="248" spans="2:25" ht="18.75" x14ac:dyDescent="0.3">
      <c r="B248" s="6">
        <f t="shared" si="33"/>
        <v>0</v>
      </c>
      <c r="C248" s="6">
        <f t="shared" si="34"/>
        <v>0</v>
      </c>
      <c r="D248" s="6" t="str">
        <f t="shared" si="35"/>
        <v/>
      </c>
      <c r="E248" s="35" t="str">
        <f t="shared" si="31"/>
        <v/>
      </c>
      <c r="F248" s="31"/>
      <c r="G248" s="29"/>
      <c r="H248" s="78" t="str">
        <f t="shared" si="32"/>
        <v/>
      </c>
      <c r="I248" s="25"/>
      <c r="J248" s="25"/>
      <c r="K248" s="26"/>
      <c r="L248" s="26"/>
      <c r="M248" s="37"/>
      <c r="N248" s="27"/>
      <c r="O248" s="30"/>
      <c r="P248" s="39" t="str">
        <f t="shared" si="36"/>
        <v/>
      </c>
      <c r="Q248" s="40" t="str">
        <f>IF(OR(T248=0,RIGHT(T248,1)=$W$1),"",COUNTIF($T$3:T248,T248))</f>
        <v/>
      </c>
      <c r="S248" s="6">
        <f t="shared" si="37"/>
        <v>0</v>
      </c>
      <c r="T248" s="36">
        <f t="shared" si="38"/>
        <v>0</v>
      </c>
      <c r="V248" s="6">
        <f t="shared" si="39"/>
        <v>0</v>
      </c>
      <c r="Y248" s="8">
        <f t="shared" si="40"/>
        <v>46023</v>
      </c>
    </row>
    <row r="249" spans="2:25" ht="18.75" x14ac:dyDescent="0.3">
      <c r="B249" s="6">
        <f t="shared" si="33"/>
        <v>0</v>
      </c>
      <c r="C249" s="6">
        <f t="shared" si="34"/>
        <v>0</v>
      </c>
      <c r="D249" s="6" t="str">
        <f t="shared" si="35"/>
        <v/>
      </c>
      <c r="E249" s="35" t="str">
        <f t="shared" si="31"/>
        <v/>
      </c>
      <c r="F249" s="31"/>
      <c r="G249" s="29"/>
      <c r="H249" s="78" t="str">
        <f t="shared" si="32"/>
        <v/>
      </c>
      <c r="I249" s="25"/>
      <c r="J249" s="25"/>
      <c r="K249" s="26"/>
      <c r="L249" s="26"/>
      <c r="M249" s="37"/>
      <c r="N249" s="27"/>
      <c r="O249" s="30"/>
      <c r="P249" s="39" t="str">
        <f t="shared" si="36"/>
        <v/>
      </c>
      <c r="Q249" s="40" t="str">
        <f>IF(OR(T249=0,RIGHT(T249,1)=$W$1),"",COUNTIF($T$3:T249,T249))</f>
        <v/>
      </c>
      <c r="S249" s="6">
        <f t="shared" si="37"/>
        <v>0</v>
      </c>
      <c r="T249" s="36">
        <f t="shared" si="38"/>
        <v>0</v>
      </c>
      <c r="V249" s="6">
        <f t="shared" si="39"/>
        <v>0</v>
      </c>
      <c r="Y249" s="8">
        <f t="shared" si="40"/>
        <v>46023</v>
      </c>
    </row>
    <row r="250" spans="2:25" ht="18.75" x14ac:dyDescent="0.3">
      <c r="B250" s="6">
        <f t="shared" si="33"/>
        <v>0</v>
      </c>
      <c r="C250" s="6">
        <f t="shared" si="34"/>
        <v>0</v>
      </c>
      <c r="D250" s="6" t="str">
        <f t="shared" si="35"/>
        <v/>
      </c>
      <c r="E250" s="35" t="str">
        <f t="shared" si="31"/>
        <v/>
      </c>
      <c r="F250" s="31"/>
      <c r="G250" s="29"/>
      <c r="H250" s="78" t="str">
        <f t="shared" si="32"/>
        <v/>
      </c>
      <c r="I250" s="25"/>
      <c r="J250" s="25"/>
      <c r="K250" s="26"/>
      <c r="L250" s="26"/>
      <c r="M250" s="37"/>
      <c r="N250" s="27"/>
      <c r="O250" s="30"/>
      <c r="P250" s="39" t="str">
        <f t="shared" si="36"/>
        <v/>
      </c>
      <c r="Q250" s="40" t="str">
        <f>IF(OR(T250=0,RIGHT(T250,1)=$W$1),"",COUNTIF($T$3:T250,T250))</f>
        <v/>
      </c>
      <c r="S250" s="6">
        <f t="shared" si="37"/>
        <v>0</v>
      </c>
      <c r="T250" s="36">
        <f t="shared" si="38"/>
        <v>0</v>
      </c>
      <c r="V250" s="6">
        <f t="shared" si="39"/>
        <v>0</v>
      </c>
      <c r="Y250" s="8">
        <f t="shared" si="40"/>
        <v>46023</v>
      </c>
    </row>
    <row r="251" spans="2:25" ht="18.75" x14ac:dyDescent="0.3">
      <c r="B251" s="6">
        <f t="shared" si="33"/>
        <v>0</v>
      </c>
      <c r="C251" s="6">
        <f t="shared" si="34"/>
        <v>0</v>
      </c>
      <c r="D251" s="6" t="str">
        <f t="shared" si="35"/>
        <v/>
      </c>
      <c r="E251" s="35" t="str">
        <f t="shared" si="31"/>
        <v/>
      </c>
      <c r="F251" s="31"/>
      <c r="G251" s="29"/>
      <c r="H251" s="78" t="str">
        <f t="shared" si="32"/>
        <v/>
      </c>
      <c r="I251" s="25"/>
      <c r="J251" s="25"/>
      <c r="K251" s="26"/>
      <c r="L251" s="26"/>
      <c r="M251" s="37"/>
      <c r="N251" s="27"/>
      <c r="O251" s="30"/>
      <c r="P251" s="39" t="str">
        <f t="shared" si="36"/>
        <v/>
      </c>
      <c r="Q251" s="40" t="str">
        <f>IF(OR(T251=0,RIGHT(T251,1)=$W$1),"",COUNTIF($T$3:T251,T251))</f>
        <v/>
      </c>
      <c r="S251" s="6">
        <f t="shared" si="37"/>
        <v>0</v>
      </c>
      <c r="T251" s="36">
        <f t="shared" si="38"/>
        <v>0</v>
      </c>
      <c r="V251" s="6">
        <f t="shared" si="39"/>
        <v>0</v>
      </c>
      <c r="Y251" s="8">
        <f t="shared" si="40"/>
        <v>46023</v>
      </c>
    </row>
    <row r="252" spans="2:25" ht="18.75" x14ac:dyDescent="0.3">
      <c r="B252" s="6">
        <f t="shared" si="33"/>
        <v>0</v>
      </c>
      <c r="C252" s="6">
        <f t="shared" si="34"/>
        <v>0</v>
      </c>
      <c r="D252" s="6" t="str">
        <f t="shared" si="35"/>
        <v/>
      </c>
      <c r="E252" s="35" t="str">
        <f t="shared" si="31"/>
        <v/>
      </c>
      <c r="F252" s="31"/>
      <c r="G252" s="29"/>
      <c r="H252" s="78" t="str">
        <f t="shared" si="32"/>
        <v/>
      </c>
      <c r="I252" s="25"/>
      <c r="J252" s="25"/>
      <c r="K252" s="26"/>
      <c r="L252" s="26"/>
      <c r="M252" s="37"/>
      <c r="N252" s="27"/>
      <c r="O252" s="30"/>
      <c r="P252" s="39" t="str">
        <f t="shared" si="36"/>
        <v/>
      </c>
      <c r="Q252" s="40" t="str">
        <f>IF(OR(T252=0,RIGHT(T252,1)=$W$1),"",COUNTIF($T$3:T252,T252))</f>
        <v/>
      </c>
      <c r="S252" s="6">
        <f t="shared" si="37"/>
        <v>0</v>
      </c>
      <c r="T252" s="36">
        <f t="shared" si="38"/>
        <v>0</v>
      </c>
      <c r="V252" s="6">
        <f t="shared" si="39"/>
        <v>0</v>
      </c>
      <c r="Y252" s="8">
        <f t="shared" si="40"/>
        <v>46023</v>
      </c>
    </row>
    <row r="253" spans="2:25" ht="18.75" x14ac:dyDescent="0.3">
      <c r="B253" s="6">
        <f t="shared" si="33"/>
        <v>0</v>
      </c>
      <c r="C253" s="6">
        <f t="shared" si="34"/>
        <v>0</v>
      </c>
      <c r="D253" s="6" t="str">
        <f t="shared" si="35"/>
        <v/>
      </c>
      <c r="E253" s="35" t="str">
        <f t="shared" si="31"/>
        <v/>
      </c>
      <c r="F253" s="31"/>
      <c r="G253" s="29"/>
      <c r="H253" s="78" t="str">
        <f t="shared" si="32"/>
        <v/>
      </c>
      <c r="I253" s="25"/>
      <c r="J253" s="25"/>
      <c r="K253" s="26"/>
      <c r="L253" s="26"/>
      <c r="M253" s="37"/>
      <c r="N253" s="27"/>
      <c r="O253" s="30"/>
      <c r="P253" s="39" t="str">
        <f t="shared" si="36"/>
        <v/>
      </c>
      <c r="Q253" s="40" t="str">
        <f>IF(OR(T253=0,RIGHT(T253,1)=$W$1),"",COUNTIF($T$3:T253,T253))</f>
        <v/>
      </c>
      <c r="S253" s="6">
        <f t="shared" si="37"/>
        <v>0</v>
      </c>
      <c r="T253" s="36">
        <f t="shared" si="38"/>
        <v>0</v>
      </c>
      <c r="V253" s="6">
        <f t="shared" si="39"/>
        <v>0</v>
      </c>
      <c r="Y253" s="8">
        <f t="shared" si="40"/>
        <v>46023</v>
      </c>
    </row>
    <row r="254" spans="2:25" ht="18.75" x14ac:dyDescent="0.3">
      <c r="B254" s="6">
        <f t="shared" si="33"/>
        <v>0</v>
      </c>
      <c r="C254" s="6">
        <f t="shared" si="34"/>
        <v>0</v>
      </c>
      <c r="D254" s="6" t="str">
        <f t="shared" si="35"/>
        <v/>
      </c>
      <c r="E254" s="35" t="str">
        <f t="shared" si="31"/>
        <v/>
      </c>
      <c r="F254" s="31"/>
      <c r="G254" s="29"/>
      <c r="H254" s="78" t="str">
        <f t="shared" si="32"/>
        <v/>
      </c>
      <c r="I254" s="25"/>
      <c r="J254" s="25"/>
      <c r="K254" s="26"/>
      <c r="L254" s="26"/>
      <c r="M254" s="37"/>
      <c r="N254" s="27"/>
      <c r="O254" s="30"/>
      <c r="P254" s="39" t="str">
        <f t="shared" si="36"/>
        <v/>
      </c>
      <c r="Q254" s="40" t="str">
        <f>IF(OR(T254=0,RIGHT(T254,1)=$W$1),"",COUNTIF($T$3:T254,T254))</f>
        <v/>
      </c>
      <c r="S254" s="6">
        <f t="shared" si="37"/>
        <v>0</v>
      </c>
      <c r="T254" s="36">
        <f t="shared" si="38"/>
        <v>0</v>
      </c>
      <c r="V254" s="6">
        <f t="shared" si="39"/>
        <v>0</v>
      </c>
      <c r="Y254" s="8">
        <f t="shared" si="40"/>
        <v>46023</v>
      </c>
    </row>
    <row r="255" spans="2:25" ht="18.75" x14ac:dyDescent="0.3">
      <c r="B255" s="6">
        <f t="shared" si="33"/>
        <v>0</v>
      </c>
      <c r="C255" s="6">
        <f t="shared" si="34"/>
        <v>0</v>
      </c>
      <c r="D255" s="6" t="str">
        <f t="shared" si="35"/>
        <v/>
      </c>
      <c r="E255" s="35" t="str">
        <f t="shared" si="31"/>
        <v/>
      </c>
      <c r="F255" s="31"/>
      <c r="G255" s="29"/>
      <c r="H255" s="78" t="str">
        <f t="shared" si="32"/>
        <v/>
      </c>
      <c r="I255" s="25"/>
      <c r="J255" s="25"/>
      <c r="K255" s="26"/>
      <c r="L255" s="26"/>
      <c r="M255" s="37"/>
      <c r="N255" s="27"/>
      <c r="O255" s="30"/>
      <c r="P255" s="39" t="str">
        <f t="shared" si="36"/>
        <v/>
      </c>
      <c r="Q255" s="40" t="str">
        <f>IF(OR(T255=0,RIGHT(T255,1)=$W$1),"",COUNTIF($T$3:T255,T255))</f>
        <v/>
      </c>
      <c r="S255" s="6">
        <f t="shared" si="37"/>
        <v>0</v>
      </c>
      <c r="T255" s="36">
        <f t="shared" si="38"/>
        <v>0</v>
      </c>
      <c r="V255" s="6">
        <f t="shared" si="39"/>
        <v>0</v>
      </c>
      <c r="Y255" s="8">
        <f t="shared" si="40"/>
        <v>46023</v>
      </c>
    </row>
    <row r="256" spans="2:25" ht="18.75" x14ac:dyDescent="0.3">
      <c r="B256" s="6">
        <f t="shared" si="33"/>
        <v>0</v>
      </c>
      <c r="C256" s="6">
        <f t="shared" si="34"/>
        <v>0</v>
      </c>
      <c r="D256" s="6" t="str">
        <f t="shared" si="35"/>
        <v/>
      </c>
      <c r="E256" s="35" t="str">
        <f t="shared" si="31"/>
        <v/>
      </c>
      <c r="F256" s="31"/>
      <c r="G256" s="29"/>
      <c r="H256" s="78" t="str">
        <f t="shared" si="32"/>
        <v/>
      </c>
      <c r="I256" s="25"/>
      <c r="J256" s="25"/>
      <c r="K256" s="26"/>
      <c r="L256" s="26"/>
      <c r="M256" s="37"/>
      <c r="N256" s="27"/>
      <c r="O256" s="30"/>
      <c r="P256" s="39" t="str">
        <f t="shared" si="36"/>
        <v/>
      </c>
      <c r="Q256" s="40" t="str">
        <f>IF(OR(T256=0,RIGHT(T256,1)=$W$1),"",COUNTIF($T$3:T256,T256))</f>
        <v/>
      </c>
      <c r="S256" s="6">
        <f t="shared" si="37"/>
        <v>0</v>
      </c>
      <c r="T256" s="36">
        <f t="shared" si="38"/>
        <v>0</v>
      </c>
      <c r="V256" s="6">
        <f t="shared" si="39"/>
        <v>0</v>
      </c>
      <c r="Y256" s="8">
        <f t="shared" si="40"/>
        <v>46023</v>
      </c>
    </row>
    <row r="257" spans="2:25" ht="18.75" x14ac:dyDescent="0.3">
      <c r="B257" s="6">
        <f t="shared" si="33"/>
        <v>0</v>
      </c>
      <c r="C257" s="6">
        <f t="shared" si="34"/>
        <v>0</v>
      </c>
      <c r="D257" s="6" t="str">
        <f t="shared" si="35"/>
        <v/>
      </c>
      <c r="E257" s="35" t="str">
        <f t="shared" si="31"/>
        <v/>
      </c>
      <c r="F257" s="31"/>
      <c r="G257" s="29"/>
      <c r="H257" s="78" t="str">
        <f t="shared" si="32"/>
        <v/>
      </c>
      <c r="I257" s="25"/>
      <c r="J257" s="25"/>
      <c r="K257" s="26"/>
      <c r="L257" s="26"/>
      <c r="M257" s="37"/>
      <c r="N257" s="27"/>
      <c r="O257" s="30"/>
      <c r="P257" s="39" t="str">
        <f t="shared" si="36"/>
        <v/>
      </c>
      <c r="Q257" s="40" t="str">
        <f>IF(OR(T257=0,RIGHT(T257,1)=$W$1),"",COUNTIF($T$3:T257,T257))</f>
        <v/>
      </c>
      <c r="S257" s="6">
        <f t="shared" si="37"/>
        <v>0</v>
      </c>
      <c r="T257" s="36">
        <f t="shared" si="38"/>
        <v>0</v>
      </c>
      <c r="V257" s="6">
        <f t="shared" si="39"/>
        <v>0</v>
      </c>
      <c r="Y257" s="8">
        <f t="shared" si="40"/>
        <v>46023</v>
      </c>
    </row>
    <row r="258" spans="2:25" ht="18.75" x14ac:dyDescent="0.3">
      <c r="B258" s="6">
        <f t="shared" si="33"/>
        <v>0</v>
      </c>
      <c r="C258" s="6">
        <f t="shared" si="34"/>
        <v>0</v>
      </c>
      <c r="D258" s="6" t="str">
        <f t="shared" si="35"/>
        <v/>
      </c>
      <c r="E258" s="35" t="str">
        <f t="shared" si="31"/>
        <v/>
      </c>
      <c r="F258" s="31"/>
      <c r="G258" s="29"/>
      <c r="H258" s="78" t="str">
        <f t="shared" si="32"/>
        <v/>
      </c>
      <c r="I258" s="25"/>
      <c r="J258" s="25"/>
      <c r="K258" s="26"/>
      <c r="L258" s="26"/>
      <c r="M258" s="37"/>
      <c r="N258" s="27"/>
      <c r="O258" s="30"/>
      <c r="P258" s="39" t="str">
        <f t="shared" si="36"/>
        <v/>
      </c>
      <c r="Q258" s="40" t="str">
        <f>IF(OR(T258=0,RIGHT(T258,1)=$W$1),"",COUNTIF($T$3:T258,T258))</f>
        <v/>
      </c>
      <c r="S258" s="6">
        <f t="shared" si="37"/>
        <v>0</v>
      </c>
      <c r="T258" s="36">
        <f t="shared" si="38"/>
        <v>0</v>
      </c>
      <c r="V258" s="6">
        <f t="shared" si="39"/>
        <v>0</v>
      </c>
      <c r="Y258" s="8">
        <f t="shared" si="40"/>
        <v>46023</v>
      </c>
    </row>
    <row r="259" spans="2:25" ht="18.75" x14ac:dyDescent="0.3">
      <c r="B259" s="6">
        <f t="shared" si="33"/>
        <v>0</v>
      </c>
      <c r="C259" s="6">
        <f t="shared" si="34"/>
        <v>0</v>
      </c>
      <c r="D259" s="6" t="str">
        <f t="shared" si="35"/>
        <v/>
      </c>
      <c r="E259" s="35" t="str">
        <f t="shared" ref="E259:E322" si="41">IF(D259&lt;&gt;"",D259&amp;" - "&amp;YEAR(F259),"")</f>
        <v/>
      </c>
      <c r="F259" s="31"/>
      <c r="G259" s="29"/>
      <c r="H259" s="78" t="str">
        <f t="shared" ref="H259:H322" si="42">IF(G259&lt;&gt;"",F259,"")</f>
        <v/>
      </c>
      <c r="I259" s="25"/>
      <c r="J259" s="25"/>
      <c r="K259" s="26"/>
      <c r="L259" s="26"/>
      <c r="M259" s="37"/>
      <c r="N259" s="27"/>
      <c r="O259" s="30"/>
      <c r="P259" s="39" t="str">
        <f t="shared" si="36"/>
        <v/>
      </c>
      <c r="Q259" s="40" t="str">
        <f>IF(OR(T259=0,RIGHT(T259,1)=$W$1),"",COUNTIF($T$3:T259,T259))</f>
        <v/>
      </c>
      <c r="S259" s="6">
        <f t="shared" si="37"/>
        <v>0</v>
      </c>
      <c r="T259" s="36">
        <f t="shared" si="38"/>
        <v>0</v>
      </c>
      <c r="V259" s="6">
        <f t="shared" si="39"/>
        <v>0</v>
      </c>
      <c r="Y259" s="8">
        <f t="shared" si="40"/>
        <v>46023</v>
      </c>
    </row>
    <row r="260" spans="2:25" ht="18.75" x14ac:dyDescent="0.3">
      <c r="B260" s="6">
        <f t="shared" ref="B260:B323" si="43">IF($B$1=YEAR(F260),B259+1,B259)</f>
        <v>0</v>
      </c>
      <c r="C260" s="6">
        <f t="shared" ref="C260:C323" si="44">IF(AND($C$1=K260,$Y$1=YEAR(F260)),C259+1,C259)</f>
        <v>0</v>
      </c>
      <c r="D260" s="6" t="str">
        <f t="shared" ref="D260:D323" si="45">IF(F260&lt;&gt;0,IF(YEAR(F260)&lt;&gt;YEAR(F259),1,IF(M260=$AI$1,D259,D259+1)),"")</f>
        <v/>
      </c>
      <c r="E260" s="35" t="str">
        <f t="shared" si="41"/>
        <v/>
      </c>
      <c r="F260" s="31"/>
      <c r="G260" s="29"/>
      <c r="H260" s="78" t="str">
        <f t="shared" si="42"/>
        <v/>
      </c>
      <c r="I260" s="25"/>
      <c r="J260" s="25"/>
      <c r="K260" s="26"/>
      <c r="L260" s="26"/>
      <c r="M260" s="37"/>
      <c r="N260" s="27"/>
      <c r="O260" s="30"/>
      <c r="P260" s="39" t="str">
        <f t="shared" ref="P260:P323" si="46">IF(OR(T260=0,RIGHT(T260,1)=$W$1),"",VLOOKUP(K260,$AD$1:$AK$15,5,FALSE))</f>
        <v/>
      </c>
      <c r="Q260" s="40" t="str">
        <f>IF(OR(T260=0,RIGHT(T260,1)=$W$1),"",COUNTIF($T$3:T260,T260))</f>
        <v/>
      </c>
      <c r="S260" s="6">
        <f t="shared" ref="S260:S323" si="47">IF(AND($C$1=K260,$Y$1=YEAR(F260)),C260,0)</f>
        <v>0</v>
      </c>
      <c r="T260" s="36">
        <f t="shared" ref="T260:T323" si="48">IF(F260=0,0,YEAR(F260)&amp;VLOOKUP(K260,$AD$1:$AE$15,2,FALSE))</f>
        <v>0</v>
      </c>
      <c r="V260" s="6">
        <f t="shared" ref="V260:V323" si="49">IF(AND(YEAR(F260)=$Y$1,K260=$C$1,L260&amp;$V$1&lt;&gt;$V$1),L260,IF(AND(YEAR(F260)=$Y$1,K260=$C$1),1,0))</f>
        <v>0</v>
      </c>
      <c r="Y260" s="8">
        <f t="shared" ref="Y260:Y323" si="50">IF(M260&lt;&gt;$AI$1,$Y$2,F259)</f>
        <v>46023</v>
      </c>
    </row>
    <row r="261" spans="2:25" ht="18.75" x14ac:dyDescent="0.3">
      <c r="B261" s="6">
        <f t="shared" si="43"/>
        <v>0</v>
      </c>
      <c r="C261" s="6">
        <f t="shared" si="44"/>
        <v>0</v>
      </c>
      <c r="D261" s="6" t="str">
        <f t="shared" si="45"/>
        <v/>
      </c>
      <c r="E261" s="35" t="str">
        <f t="shared" si="41"/>
        <v/>
      </c>
      <c r="F261" s="31"/>
      <c r="G261" s="29"/>
      <c r="H261" s="78" t="str">
        <f t="shared" si="42"/>
        <v/>
      </c>
      <c r="I261" s="25"/>
      <c r="J261" s="25"/>
      <c r="K261" s="26"/>
      <c r="L261" s="26"/>
      <c r="M261" s="37"/>
      <c r="N261" s="27"/>
      <c r="O261" s="30"/>
      <c r="P261" s="39" t="str">
        <f t="shared" si="46"/>
        <v/>
      </c>
      <c r="Q261" s="40" t="str">
        <f>IF(OR(T261=0,RIGHT(T261,1)=$W$1),"",COUNTIF($T$3:T261,T261))</f>
        <v/>
      </c>
      <c r="S261" s="6">
        <f t="shared" si="47"/>
        <v>0</v>
      </c>
      <c r="T261" s="36">
        <f t="shared" si="48"/>
        <v>0</v>
      </c>
      <c r="V261" s="6">
        <f t="shared" si="49"/>
        <v>0</v>
      </c>
      <c r="Y261" s="8">
        <f t="shared" si="50"/>
        <v>46023</v>
      </c>
    </row>
    <row r="262" spans="2:25" ht="18.75" x14ac:dyDescent="0.3">
      <c r="B262" s="6">
        <f t="shared" si="43"/>
        <v>0</v>
      </c>
      <c r="C262" s="6">
        <f t="shared" si="44"/>
        <v>0</v>
      </c>
      <c r="D262" s="6" t="str">
        <f t="shared" si="45"/>
        <v/>
      </c>
      <c r="E262" s="35" t="str">
        <f t="shared" si="41"/>
        <v/>
      </c>
      <c r="F262" s="31"/>
      <c r="G262" s="29"/>
      <c r="H262" s="78" t="str">
        <f t="shared" si="42"/>
        <v/>
      </c>
      <c r="I262" s="25"/>
      <c r="J262" s="25"/>
      <c r="K262" s="26"/>
      <c r="L262" s="26"/>
      <c r="M262" s="37"/>
      <c r="N262" s="27"/>
      <c r="O262" s="30"/>
      <c r="P262" s="39" t="str">
        <f t="shared" si="46"/>
        <v/>
      </c>
      <c r="Q262" s="40" t="str">
        <f>IF(OR(T262=0,RIGHT(T262,1)=$W$1),"",COUNTIF($T$3:T262,T262))</f>
        <v/>
      </c>
      <c r="S262" s="6">
        <f t="shared" si="47"/>
        <v>0</v>
      </c>
      <c r="T262" s="36">
        <f t="shared" si="48"/>
        <v>0</v>
      </c>
      <c r="V262" s="6">
        <f t="shared" si="49"/>
        <v>0</v>
      </c>
      <c r="Y262" s="8">
        <f t="shared" si="50"/>
        <v>46023</v>
      </c>
    </row>
    <row r="263" spans="2:25" ht="18.75" x14ac:dyDescent="0.3">
      <c r="B263" s="6">
        <f t="shared" si="43"/>
        <v>0</v>
      </c>
      <c r="C263" s="6">
        <f t="shared" si="44"/>
        <v>0</v>
      </c>
      <c r="D263" s="6" t="str">
        <f t="shared" si="45"/>
        <v/>
      </c>
      <c r="E263" s="35" t="str">
        <f t="shared" si="41"/>
        <v/>
      </c>
      <c r="F263" s="31"/>
      <c r="G263" s="29"/>
      <c r="H263" s="78" t="str">
        <f t="shared" si="42"/>
        <v/>
      </c>
      <c r="I263" s="25"/>
      <c r="J263" s="25"/>
      <c r="K263" s="26"/>
      <c r="L263" s="26"/>
      <c r="M263" s="37"/>
      <c r="N263" s="27"/>
      <c r="O263" s="30"/>
      <c r="P263" s="39" t="str">
        <f t="shared" si="46"/>
        <v/>
      </c>
      <c r="Q263" s="40" t="str">
        <f>IF(OR(T263=0,RIGHT(T263,1)=$W$1),"",COUNTIF($T$3:T263,T263))</f>
        <v/>
      </c>
      <c r="S263" s="6">
        <f t="shared" si="47"/>
        <v>0</v>
      </c>
      <c r="T263" s="36">
        <f t="shared" si="48"/>
        <v>0</v>
      </c>
      <c r="V263" s="6">
        <f t="shared" si="49"/>
        <v>0</v>
      </c>
      <c r="Y263" s="8">
        <f t="shared" si="50"/>
        <v>46023</v>
      </c>
    </row>
    <row r="264" spans="2:25" ht="18.75" x14ac:dyDescent="0.3">
      <c r="B264" s="6">
        <f t="shared" si="43"/>
        <v>0</v>
      </c>
      <c r="C264" s="6">
        <f t="shared" si="44"/>
        <v>0</v>
      </c>
      <c r="D264" s="6" t="str">
        <f t="shared" si="45"/>
        <v/>
      </c>
      <c r="E264" s="35" t="str">
        <f t="shared" si="41"/>
        <v/>
      </c>
      <c r="F264" s="31"/>
      <c r="G264" s="29"/>
      <c r="H264" s="78" t="str">
        <f t="shared" si="42"/>
        <v/>
      </c>
      <c r="I264" s="25"/>
      <c r="J264" s="25"/>
      <c r="K264" s="26"/>
      <c r="L264" s="26"/>
      <c r="M264" s="37"/>
      <c r="N264" s="27"/>
      <c r="O264" s="30"/>
      <c r="P264" s="39" t="str">
        <f t="shared" si="46"/>
        <v/>
      </c>
      <c r="Q264" s="40" t="str">
        <f>IF(OR(T264=0,RIGHT(T264,1)=$W$1),"",COUNTIF($T$3:T264,T264))</f>
        <v/>
      </c>
      <c r="S264" s="6">
        <f t="shared" si="47"/>
        <v>0</v>
      </c>
      <c r="T264" s="36">
        <f t="shared" si="48"/>
        <v>0</v>
      </c>
      <c r="V264" s="6">
        <f t="shared" si="49"/>
        <v>0</v>
      </c>
      <c r="Y264" s="8">
        <f t="shared" si="50"/>
        <v>46023</v>
      </c>
    </row>
    <row r="265" spans="2:25" ht="18.75" x14ac:dyDescent="0.3">
      <c r="B265" s="6">
        <f t="shared" si="43"/>
        <v>0</v>
      </c>
      <c r="C265" s="6">
        <f t="shared" si="44"/>
        <v>0</v>
      </c>
      <c r="D265" s="6" t="str">
        <f t="shared" si="45"/>
        <v/>
      </c>
      <c r="E265" s="35" t="str">
        <f t="shared" si="41"/>
        <v/>
      </c>
      <c r="F265" s="31"/>
      <c r="G265" s="29"/>
      <c r="H265" s="78" t="str">
        <f t="shared" si="42"/>
        <v/>
      </c>
      <c r="I265" s="25"/>
      <c r="J265" s="25"/>
      <c r="K265" s="26"/>
      <c r="L265" s="26"/>
      <c r="M265" s="37"/>
      <c r="N265" s="27"/>
      <c r="O265" s="30"/>
      <c r="P265" s="39" t="str">
        <f t="shared" si="46"/>
        <v/>
      </c>
      <c r="Q265" s="40" t="str">
        <f>IF(OR(T265=0,RIGHT(T265,1)=$W$1),"",COUNTIF($T$3:T265,T265))</f>
        <v/>
      </c>
      <c r="S265" s="6">
        <f t="shared" si="47"/>
        <v>0</v>
      </c>
      <c r="T265" s="36">
        <f t="shared" si="48"/>
        <v>0</v>
      </c>
      <c r="V265" s="6">
        <f t="shared" si="49"/>
        <v>0</v>
      </c>
      <c r="Y265" s="8">
        <f t="shared" si="50"/>
        <v>46023</v>
      </c>
    </row>
    <row r="266" spans="2:25" ht="18.75" x14ac:dyDescent="0.3">
      <c r="B266" s="6">
        <f t="shared" si="43"/>
        <v>0</v>
      </c>
      <c r="C266" s="6">
        <f t="shared" si="44"/>
        <v>0</v>
      </c>
      <c r="D266" s="6" t="str">
        <f t="shared" si="45"/>
        <v/>
      </c>
      <c r="E266" s="35" t="str">
        <f t="shared" si="41"/>
        <v/>
      </c>
      <c r="F266" s="31"/>
      <c r="G266" s="29"/>
      <c r="H266" s="78" t="str">
        <f t="shared" si="42"/>
        <v/>
      </c>
      <c r="I266" s="25"/>
      <c r="J266" s="25"/>
      <c r="K266" s="26"/>
      <c r="L266" s="26"/>
      <c r="M266" s="37"/>
      <c r="N266" s="27"/>
      <c r="O266" s="30"/>
      <c r="P266" s="39" t="str">
        <f t="shared" si="46"/>
        <v/>
      </c>
      <c r="Q266" s="40" t="str">
        <f>IF(OR(T266=0,RIGHT(T266,1)=$W$1),"",COUNTIF($T$3:T266,T266))</f>
        <v/>
      </c>
      <c r="S266" s="6">
        <f t="shared" si="47"/>
        <v>0</v>
      </c>
      <c r="T266" s="36">
        <f t="shared" si="48"/>
        <v>0</v>
      </c>
      <c r="V266" s="6">
        <f t="shared" si="49"/>
        <v>0</v>
      </c>
      <c r="Y266" s="8">
        <f t="shared" si="50"/>
        <v>46023</v>
      </c>
    </row>
    <row r="267" spans="2:25" ht="18.75" x14ac:dyDescent="0.3">
      <c r="B267" s="6">
        <f t="shared" si="43"/>
        <v>0</v>
      </c>
      <c r="C267" s="6">
        <f t="shared" si="44"/>
        <v>0</v>
      </c>
      <c r="D267" s="6" t="str">
        <f t="shared" si="45"/>
        <v/>
      </c>
      <c r="E267" s="35" t="str">
        <f t="shared" si="41"/>
        <v/>
      </c>
      <c r="F267" s="31"/>
      <c r="G267" s="29"/>
      <c r="H267" s="78" t="str">
        <f t="shared" si="42"/>
        <v/>
      </c>
      <c r="I267" s="25"/>
      <c r="J267" s="25"/>
      <c r="K267" s="26"/>
      <c r="L267" s="26"/>
      <c r="M267" s="37"/>
      <c r="N267" s="27"/>
      <c r="O267" s="30"/>
      <c r="P267" s="39" t="str">
        <f t="shared" si="46"/>
        <v/>
      </c>
      <c r="Q267" s="40" t="str">
        <f>IF(OR(T267=0,RIGHT(T267,1)=$W$1),"",COUNTIF($T$3:T267,T267))</f>
        <v/>
      </c>
      <c r="S267" s="6">
        <f t="shared" si="47"/>
        <v>0</v>
      </c>
      <c r="T267" s="36">
        <f t="shared" si="48"/>
        <v>0</v>
      </c>
      <c r="V267" s="6">
        <f t="shared" si="49"/>
        <v>0</v>
      </c>
      <c r="Y267" s="8">
        <f t="shared" si="50"/>
        <v>46023</v>
      </c>
    </row>
    <row r="268" spans="2:25" ht="18.75" x14ac:dyDescent="0.3">
      <c r="B268" s="6">
        <f t="shared" si="43"/>
        <v>0</v>
      </c>
      <c r="C268" s="6">
        <f t="shared" si="44"/>
        <v>0</v>
      </c>
      <c r="D268" s="6" t="str">
        <f t="shared" si="45"/>
        <v/>
      </c>
      <c r="E268" s="35" t="str">
        <f t="shared" si="41"/>
        <v/>
      </c>
      <c r="F268" s="31"/>
      <c r="G268" s="29"/>
      <c r="H268" s="78" t="str">
        <f t="shared" si="42"/>
        <v/>
      </c>
      <c r="I268" s="25"/>
      <c r="J268" s="25"/>
      <c r="K268" s="26"/>
      <c r="L268" s="26"/>
      <c r="M268" s="37"/>
      <c r="N268" s="27"/>
      <c r="O268" s="30"/>
      <c r="P268" s="39" t="str">
        <f t="shared" si="46"/>
        <v/>
      </c>
      <c r="Q268" s="40" t="str">
        <f>IF(OR(T268=0,RIGHT(T268,1)=$W$1),"",COUNTIF($T$3:T268,T268))</f>
        <v/>
      </c>
      <c r="S268" s="6">
        <f t="shared" si="47"/>
        <v>0</v>
      </c>
      <c r="T268" s="36">
        <f t="shared" si="48"/>
        <v>0</v>
      </c>
      <c r="V268" s="6">
        <f t="shared" si="49"/>
        <v>0</v>
      </c>
      <c r="Y268" s="8">
        <f t="shared" si="50"/>
        <v>46023</v>
      </c>
    </row>
    <row r="269" spans="2:25" ht="18.75" x14ac:dyDescent="0.3">
      <c r="B269" s="6">
        <f t="shared" si="43"/>
        <v>0</v>
      </c>
      <c r="C269" s="6">
        <f t="shared" si="44"/>
        <v>0</v>
      </c>
      <c r="D269" s="6" t="str">
        <f t="shared" si="45"/>
        <v/>
      </c>
      <c r="E269" s="35" t="str">
        <f t="shared" si="41"/>
        <v/>
      </c>
      <c r="F269" s="31"/>
      <c r="G269" s="29"/>
      <c r="H269" s="78" t="str">
        <f t="shared" si="42"/>
        <v/>
      </c>
      <c r="I269" s="25"/>
      <c r="J269" s="25"/>
      <c r="K269" s="26"/>
      <c r="L269" s="26"/>
      <c r="M269" s="37"/>
      <c r="N269" s="27"/>
      <c r="O269" s="30"/>
      <c r="P269" s="39" t="str">
        <f t="shared" si="46"/>
        <v/>
      </c>
      <c r="Q269" s="40" t="str">
        <f>IF(OR(T269=0,RIGHT(T269,1)=$W$1),"",COUNTIF($T$3:T269,T269))</f>
        <v/>
      </c>
      <c r="S269" s="6">
        <f t="shared" si="47"/>
        <v>0</v>
      </c>
      <c r="T269" s="36">
        <f t="shared" si="48"/>
        <v>0</v>
      </c>
      <c r="V269" s="6">
        <f t="shared" si="49"/>
        <v>0</v>
      </c>
      <c r="Y269" s="8">
        <f t="shared" si="50"/>
        <v>46023</v>
      </c>
    </row>
    <row r="270" spans="2:25" ht="18.75" x14ac:dyDescent="0.3">
      <c r="B270" s="6">
        <f t="shared" si="43"/>
        <v>0</v>
      </c>
      <c r="C270" s="6">
        <f t="shared" si="44"/>
        <v>0</v>
      </c>
      <c r="D270" s="6" t="str">
        <f t="shared" si="45"/>
        <v/>
      </c>
      <c r="E270" s="35" t="str">
        <f t="shared" si="41"/>
        <v/>
      </c>
      <c r="F270" s="31"/>
      <c r="G270" s="29"/>
      <c r="H270" s="78" t="str">
        <f t="shared" si="42"/>
        <v/>
      </c>
      <c r="I270" s="25"/>
      <c r="J270" s="25"/>
      <c r="K270" s="26"/>
      <c r="L270" s="26"/>
      <c r="M270" s="37"/>
      <c r="N270" s="27"/>
      <c r="O270" s="30"/>
      <c r="P270" s="39" t="str">
        <f t="shared" si="46"/>
        <v/>
      </c>
      <c r="Q270" s="40" t="str">
        <f>IF(OR(T270=0,RIGHT(T270,1)=$W$1),"",COUNTIF($T$3:T270,T270))</f>
        <v/>
      </c>
      <c r="S270" s="6">
        <f t="shared" si="47"/>
        <v>0</v>
      </c>
      <c r="T270" s="36">
        <f t="shared" si="48"/>
        <v>0</v>
      </c>
      <c r="V270" s="6">
        <f t="shared" si="49"/>
        <v>0</v>
      </c>
      <c r="Y270" s="8">
        <f t="shared" si="50"/>
        <v>46023</v>
      </c>
    </row>
    <row r="271" spans="2:25" ht="18.75" x14ac:dyDescent="0.3">
      <c r="B271" s="6">
        <f t="shared" si="43"/>
        <v>0</v>
      </c>
      <c r="C271" s="6">
        <f t="shared" si="44"/>
        <v>0</v>
      </c>
      <c r="D271" s="6" t="str">
        <f t="shared" si="45"/>
        <v/>
      </c>
      <c r="E271" s="35" t="str">
        <f t="shared" si="41"/>
        <v/>
      </c>
      <c r="F271" s="31"/>
      <c r="G271" s="29"/>
      <c r="H271" s="78" t="str">
        <f t="shared" si="42"/>
        <v/>
      </c>
      <c r="I271" s="25"/>
      <c r="J271" s="25"/>
      <c r="K271" s="26"/>
      <c r="L271" s="26"/>
      <c r="M271" s="37"/>
      <c r="N271" s="27"/>
      <c r="O271" s="30"/>
      <c r="P271" s="39" t="str">
        <f t="shared" si="46"/>
        <v/>
      </c>
      <c r="Q271" s="40" t="str">
        <f>IF(OR(T271=0,RIGHT(T271,1)=$W$1),"",COUNTIF($T$3:T271,T271))</f>
        <v/>
      </c>
      <c r="S271" s="6">
        <f t="shared" si="47"/>
        <v>0</v>
      </c>
      <c r="T271" s="36">
        <f t="shared" si="48"/>
        <v>0</v>
      </c>
      <c r="V271" s="6">
        <f t="shared" si="49"/>
        <v>0</v>
      </c>
      <c r="Y271" s="8">
        <f t="shared" si="50"/>
        <v>46023</v>
      </c>
    </row>
    <row r="272" spans="2:25" ht="18.75" x14ac:dyDescent="0.3">
      <c r="B272" s="6">
        <f t="shared" si="43"/>
        <v>0</v>
      </c>
      <c r="C272" s="6">
        <f t="shared" si="44"/>
        <v>0</v>
      </c>
      <c r="D272" s="6" t="str">
        <f t="shared" si="45"/>
        <v/>
      </c>
      <c r="E272" s="35" t="str">
        <f t="shared" si="41"/>
        <v/>
      </c>
      <c r="F272" s="31"/>
      <c r="G272" s="29"/>
      <c r="H272" s="78" t="str">
        <f t="shared" si="42"/>
        <v/>
      </c>
      <c r="I272" s="25"/>
      <c r="J272" s="25"/>
      <c r="K272" s="26"/>
      <c r="L272" s="26"/>
      <c r="M272" s="37"/>
      <c r="N272" s="27"/>
      <c r="O272" s="30"/>
      <c r="P272" s="39" t="str">
        <f t="shared" si="46"/>
        <v/>
      </c>
      <c r="Q272" s="40" t="str">
        <f>IF(OR(T272=0,RIGHT(T272,1)=$W$1),"",COUNTIF($T$3:T272,T272))</f>
        <v/>
      </c>
      <c r="S272" s="6">
        <f t="shared" si="47"/>
        <v>0</v>
      </c>
      <c r="T272" s="36">
        <f t="shared" si="48"/>
        <v>0</v>
      </c>
      <c r="V272" s="6">
        <f t="shared" si="49"/>
        <v>0</v>
      </c>
      <c r="Y272" s="8">
        <f t="shared" si="50"/>
        <v>46023</v>
      </c>
    </row>
    <row r="273" spans="2:25" ht="18.75" x14ac:dyDescent="0.3">
      <c r="B273" s="6">
        <f t="shared" si="43"/>
        <v>0</v>
      </c>
      <c r="C273" s="6">
        <f t="shared" si="44"/>
        <v>0</v>
      </c>
      <c r="D273" s="6" t="str">
        <f t="shared" si="45"/>
        <v/>
      </c>
      <c r="E273" s="35" t="str">
        <f t="shared" si="41"/>
        <v/>
      </c>
      <c r="F273" s="31"/>
      <c r="G273" s="29"/>
      <c r="H273" s="78" t="str">
        <f t="shared" si="42"/>
        <v/>
      </c>
      <c r="I273" s="25"/>
      <c r="J273" s="25"/>
      <c r="K273" s="26"/>
      <c r="L273" s="26"/>
      <c r="M273" s="37"/>
      <c r="N273" s="27"/>
      <c r="O273" s="30"/>
      <c r="P273" s="39" t="str">
        <f t="shared" si="46"/>
        <v/>
      </c>
      <c r="Q273" s="40" t="str">
        <f>IF(OR(T273=0,RIGHT(T273,1)=$W$1),"",COUNTIF($T$3:T273,T273))</f>
        <v/>
      </c>
      <c r="S273" s="6">
        <f t="shared" si="47"/>
        <v>0</v>
      </c>
      <c r="T273" s="36">
        <f t="shared" si="48"/>
        <v>0</v>
      </c>
      <c r="V273" s="6">
        <f t="shared" si="49"/>
        <v>0</v>
      </c>
      <c r="Y273" s="8">
        <f t="shared" si="50"/>
        <v>46023</v>
      </c>
    </row>
    <row r="274" spans="2:25" ht="18.75" x14ac:dyDescent="0.3">
      <c r="B274" s="6">
        <f t="shared" si="43"/>
        <v>0</v>
      </c>
      <c r="C274" s="6">
        <f t="shared" si="44"/>
        <v>0</v>
      </c>
      <c r="D274" s="6" t="str">
        <f t="shared" si="45"/>
        <v/>
      </c>
      <c r="E274" s="35" t="str">
        <f t="shared" si="41"/>
        <v/>
      </c>
      <c r="F274" s="31"/>
      <c r="G274" s="29"/>
      <c r="H274" s="78" t="str">
        <f t="shared" si="42"/>
        <v/>
      </c>
      <c r="I274" s="25"/>
      <c r="J274" s="25"/>
      <c r="K274" s="26"/>
      <c r="L274" s="26"/>
      <c r="M274" s="37"/>
      <c r="N274" s="27"/>
      <c r="O274" s="30"/>
      <c r="P274" s="39" t="str">
        <f t="shared" si="46"/>
        <v/>
      </c>
      <c r="Q274" s="40" t="str">
        <f>IF(OR(T274=0,RIGHT(T274,1)=$W$1),"",COUNTIF($T$3:T274,T274))</f>
        <v/>
      </c>
      <c r="S274" s="6">
        <f t="shared" si="47"/>
        <v>0</v>
      </c>
      <c r="T274" s="36">
        <f t="shared" si="48"/>
        <v>0</v>
      </c>
      <c r="V274" s="6">
        <f t="shared" si="49"/>
        <v>0</v>
      </c>
      <c r="Y274" s="8">
        <f t="shared" si="50"/>
        <v>46023</v>
      </c>
    </row>
    <row r="275" spans="2:25" ht="18.75" x14ac:dyDescent="0.3">
      <c r="B275" s="6">
        <f t="shared" si="43"/>
        <v>0</v>
      </c>
      <c r="C275" s="6">
        <f t="shared" si="44"/>
        <v>0</v>
      </c>
      <c r="D275" s="6" t="str">
        <f t="shared" si="45"/>
        <v/>
      </c>
      <c r="E275" s="35" t="str">
        <f t="shared" si="41"/>
        <v/>
      </c>
      <c r="F275" s="31"/>
      <c r="G275" s="29"/>
      <c r="H275" s="78" t="str">
        <f t="shared" si="42"/>
        <v/>
      </c>
      <c r="I275" s="25"/>
      <c r="J275" s="25"/>
      <c r="K275" s="26"/>
      <c r="L275" s="26"/>
      <c r="M275" s="37"/>
      <c r="N275" s="27"/>
      <c r="O275" s="30"/>
      <c r="P275" s="39" t="str">
        <f t="shared" si="46"/>
        <v/>
      </c>
      <c r="Q275" s="40" t="str">
        <f>IF(OR(T275=0,RIGHT(T275,1)=$W$1),"",COUNTIF($T$3:T275,T275))</f>
        <v/>
      </c>
      <c r="S275" s="6">
        <f t="shared" si="47"/>
        <v>0</v>
      </c>
      <c r="T275" s="36">
        <f t="shared" si="48"/>
        <v>0</v>
      </c>
      <c r="V275" s="6">
        <f t="shared" si="49"/>
        <v>0</v>
      </c>
      <c r="Y275" s="8">
        <f t="shared" si="50"/>
        <v>46023</v>
      </c>
    </row>
    <row r="276" spans="2:25" ht="18.75" x14ac:dyDescent="0.3">
      <c r="B276" s="6">
        <f t="shared" si="43"/>
        <v>0</v>
      </c>
      <c r="C276" s="6">
        <f t="shared" si="44"/>
        <v>0</v>
      </c>
      <c r="D276" s="6" t="str">
        <f t="shared" si="45"/>
        <v/>
      </c>
      <c r="E276" s="35" t="str">
        <f t="shared" si="41"/>
        <v/>
      </c>
      <c r="F276" s="31"/>
      <c r="G276" s="29"/>
      <c r="H276" s="78" t="str">
        <f t="shared" si="42"/>
        <v/>
      </c>
      <c r="I276" s="25"/>
      <c r="J276" s="25"/>
      <c r="K276" s="26"/>
      <c r="L276" s="26"/>
      <c r="M276" s="37"/>
      <c r="N276" s="27"/>
      <c r="O276" s="30"/>
      <c r="P276" s="39" t="str">
        <f t="shared" si="46"/>
        <v/>
      </c>
      <c r="Q276" s="40" t="str">
        <f>IF(OR(T276=0,RIGHT(T276,1)=$W$1),"",COUNTIF($T$3:T276,T276))</f>
        <v/>
      </c>
      <c r="S276" s="6">
        <f t="shared" si="47"/>
        <v>0</v>
      </c>
      <c r="T276" s="36">
        <f t="shared" si="48"/>
        <v>0</v>
      </c>
      <c r="V276" s="6">
        <f t="shared" si="49"/>
        <v>0</v>
      </c>
      <c r="Y276" s="8">
        <f t="shared" si="50"/>
        <v>46023</v>
      </c>
    </row>
    <row r="277" spans="2:25" ht="18.75" x14ac:dyDescent="0.3">
      <c r="B277" s="6">
        <f t="shared" si="43"/>
        <v>0</v>
      </c>
      <c r="C277" s="6">
        <f t="shared" si="44"/>
        <v>0</v>
      </c>
      <c r="D277" s="6" t="str">
        <f t="shared" si="45"/>
        <v/>
      </c>
      <c r="E277" s="35" t="str">
        <f t="shared" si="41"/>
        <v/>
      </c>
      <c r="F277" s="31"/>
      <c r="G277" s="29"/>
      <c r="H277" s="78" t="str">
        <f t="shared" si="42"/>
        <v/>
      </c>
      <c r="I277" s="25"/>
      <c r="J277" s="25"/>
      <c r="K277" s="26"/>
      <c r="L277" s="26"/>
      <c r="M277" s="37"/>
      <c r="N277" s="27"/>
      <c r="O277" s="30"/>
      <c r="P277" s="39" t="str">
        <f t="shared" si="46"/>
        <v/>
      </c>
      <c r="Q277" s="40" t="str">
        <f>IF(OR(T277=0,RIGHT(T277,1)=$W$1),"",COUNTIF($T$3:T277,T277))</f>
        <v/>
      </c>
      <c r="S277" s="6">
        <f t="shared" si="47"/>
        <v>0</v>
      </c>
      <c r="T277" s="36">
        <f t="shared" si="48"/>
        <v>0</v>
      </c>
      <c r="V277" s="6">
        <f t="shared" si="49"/>
        <v>0</v>
      </c>
      <c r="Y277" s="8">
        <f t="shared" si="50"/>
        <v>46023</v>
      </c>
    </row>
    <row r="278" spans="2:25" ht="18.75" x14ac:dyDescent="0.3">
      <c r="B278" s="6">
        <f t="shared" si="43"/>
        <v>0</v>
      </c>
      <c r="C278" s="6">
        <f t="shared" si="44"/>
        <v>0</v>
      </c>
      <c r="D278" s="6" t="str">
        <f t="shared" si="45"/>
        <v/>
      </c>
      <c r="E278" s="35" t="str">
        <f t="shared" si="41"/>
        <v/>
      </c>
      <c r="F278" s="31"/>
      <c r="G278" s="29"/>
      <c r="H278" s="78" t="str">
        <f t="shared" si="42"/>
        <v/>
      </c>
      <c r="I278" s="25"/>
      <c r="J278" s="25"/>
      <c r="K278" s="26"/>
      <c r="L278" s="26"/>
      <c r="M278" s="37"/>
      <c r="N278" s="27"/>
      <c r="O278" s="30"/>
      <c r="P278" s="39" t="str">
        <f t="shared" si="46"/>
        <v/>
      </c>
      <c r="Q278" s="40" t="str">
        <f>IF(OR(T278=0,RIGHT(T278,1)=$W$1),"",COUNTIF($T$3:T278,T278))</f>
        <v/>
      </c>
      <c r="S278" s="6">
        <f t="shared" si="47"/>
        <v>0</v>
      </c>
      <c r="T278" s="36">
        <f t="shared" si="48"/>
        <v>0</v>
      </c>
      <c r="V278" s="6">
        <f t="shared" si="49"/>
        <v>0</v>
      </c>
      <c r="Y278" s="8">
        <f t="shared" si="50"/>
        <v>46023</v>
      </c>
    </row>
    <row r="279" spans="2:25" ht="18.75" x14ac:dyDescent="0.3">
      <c r="B279" s="6">
        <f t="shared" si="43"/>
        <v>0</v>
      </c>
      <c r="C279" s="6">
        <f t="shared" si="44"/>
        <v>0</v>
      </c>
      <c r="D279" s="6" t="str">
        <f t="shared" si="45"/>
        <v/>
      </c>
      <c r="E279" s="35" t="str">
        <f t="shared" si="41"/>
        <v/>
      </c>
      <c r="F279" s="31"/>
      <c r="G279" s="29"/>
      <c r="H279" s="78" t="str">
        <f t="shared" si="42"/>
        <v/>
      </c>
      <c r="I279" s="25"/>
      <c r="J279" s="25"/>
      <c r="K279" s="26"/>
      <c r="L279" s="26"/>
      <c r="M279" s="37"/>
      <c r="N279" s="27"/>
      <c r="O279" s="30"/>
      <c r="P279" s="39" t="str">
        <f t="shared" si="46"/>
        <v/>
      </c>
      <c r="Q279" s="40" t="str">
        <f>IF(OR(T279=0,RIGHT(T279,1)=$W$1),"",COUNTIF($T$3:T279,T279))</f>
        <v/>
      </c>
      <c r="S279" s="6">
        <f t="shared" si="47"/>
        <v>0</v>
      </c>
      <c r="T279" s="36">
        <f t="shared" si="48"/>
        <v>0</v>
      </c>
      <c r="V279" s="6">
        <f t="shared" si="49"/>
        <v>0</v>
      </c>
      <c r="Y279" s="8">
        <f t="shared" si="50"/>
        <v>46023</v>
      </c>
    </row>
    <row r="280" spans="2:25" ht="18.75" x14ac:dyDescent="0.3">
      <c r="B280" s="6">
        <f t="shared" si="43"/>
        <v>0</v>
      </c>
      <c r="C280" s="6">
        <f t="shared" si="44"/>
        <v>0</v>
      </c>
      <c r="D280" s="6" t="str">
        <f t="shared" si="45"/>
        <v/>
      </c>
      <c r="E280" s="35" t="str">
        <f t="shared" si="41"/>
        <v/>
      </c>
      <c r="F280" s="31"/>
      <c r="G280" s="29"/>
      <c r="H280" s="78" t="str">
        <f t="shared" si="42"/>
        <v/>
      </c>
      <c r="I280" s="25"/>
      <c r="J280" s="25"/>
      <c r="K280" s="26"/>
      <c r="L280" s="26"/>
      <c r="M280" s="37"/>
      <c r="N280" s="27"/>
      <c r="O280" s="30"/>
      <c r="P280" s="39" t="str">
        <f t="shared" si="46"/>
        <v/>
      </c>
      <c r="Q280" s="40" t="str">
        <f>IF(OR(T280=0,RIGHT(T280,1)=$W$1),"",COUNTIF($T$3:T280,T280))</f>
        <v/>
      </c>
      <c r="S280" s="6">
        <f t="shared" si="47"/>
        <v>0</v>
      </c>
      <c r="T280" s="36">
        <f t="shared" si="48"/>
        <v>0</v>
      </c>
      <c r="V280" s="6">
        <f t="shared" si="49"/>
        <v>0</v>
      </c>
      <c r="Y280" s="8">
        <f t="shared" si="50"/>
        <v>46023</v>
      </c>
    </row>
    <row r="281" spans="2:25" ht="18.75" x14ac:dyDescent="0.3">
      <c r="B281" s="6">
        <f t="shared" si="43"/>
        <v>0</v>
      </c>
      <c r="C281" s="6">
        <f t="shared" si="44"/>
        <v>0</v>
      </c>
      <c r="D281" s="6" t="str">
        <f t="shared" si="45"/>
        <v/>
      </c>
      <c r="E281" s="35" t="str">
        <f t="shared" si="41"/>
        <v/>
      </c>
      <c r="F281" s="31"/>
      <c r="G281" s="29"/>
      <c r="H281" s="78" t="str">
        <f t="shared" si="42"/>
        <v/>
      </c>
      <c r="I281" s="25"/>
      <c r="J281" s="25"/>
      <c r="K281" s="26"/>
      <c r="L281" s="26"/>
      <c r="M281" s="37"/>
      <c r="N281" s="27"/>
      <c r="O281" s="30"/>
      <c r="P281" s="39" t="str">
        <f t="shared" si="46"/>
        <v/>
      </c>
      <c r="Q281" s="40" t="str">
        <f>IF(OR(T281=0,RIGHT(T281,1)=$W$1),"",COUNTIF($T$3:T281,T281))</f>
        <v/>
      </c>
      <c r="S281" s="6">
        <f t="shared" si="47"/>
        <v>0</v>
      </c>
      <c r="T281" s="36">
        <f t="shared" si="48"/>
        <v>0</v>
      </c>
      <c r="V281" s="6">
        <f t="shared" si="49"/>
        <v>0</v>
      </c>
      <c r="Y281" s="8">
        <f t="shared" si="50"/>
        <v>46023</v>
      </c>
    </row>
    <row r="282" spans="2:25" ht="18.75" x14ac:dyDescent="0.3">
      <c r="B282" s="6">
        <f t="shared" si="43"/>
        <v>0</v>
      </c>
      <c r="C282" s="6">
        <f t="shared" si="44"/>
        <v>0</v>
      </c>
      <c r="D282" s="6" t="str">
        <f t="shared" si="45"/>
        <v/>
      </c>
      <c r="E282" s="35" t="str">
        <f t="shared" si="41"/>
        <v/>
      </c>
      <c r="F282" s="31"/>
      <c r="G282" s="29"/>
      <c r="H282" s="78" t="str">
        <f t="shared" si="42"/>
        <v/>
      </c>
      <c r="I282" s="25"/>
      <c r="J282" s="25"/>
      <c r="K282" s="26"/>
      <c r="L282" s="26"/>
      <c r="M282" s="37"/>
      <c r="N282" s="27"/>
      <c r="O282" s="30"/>
      <c r="P282" s="39" t="str">
        <f t="shared" si="46"/>
        <v/>
      </c>
      <c r="Q282" s="40" t="str">
        <f>IF(OR(T282=0,RIGHT(T282,1)=$W$1),"",COUNTIF($T$3:T282,T282))</f>
        <v/>
      </c>
      <c r="S282" s="6">
        <f t="shared" si="47"/>
        <v>0</v>
      </c>
      <c r="T282" s="36">
        <f t="shared" si="48"/>
        <v>0</v>
      </c>
      <c r="V282" s="6">
        <f t="shared" si="49"/>
        <v>0</v>
      </c>
      <c r="Y282" s="8">
        <f t="shared" si="50"/>
        <v>46023</v>
      </c>
    </row>
    <row r="283" spans="2:25" ht="18.75" x14ac:dyDescent="0.3">
      <c r="B283" s="6">
        <f t="shared" si="43"/>
        <v>0</v>
      </c>
      <c r="C283" s="6">
        <f t="shared" si="44"/>
        <v>0</v>
      </c>
      <c r="D283" s="6" t="str">
        <f t="shared" si="45"/>
        <v/>
      </c>
      <c r="E283" s="35" t="str">
        <f t="shared" si="41"/>
        <v/>
      </c>
      <c r="F283" s="31"/>
      <c r="G283" s="29"/>
      <c r="H283" s="78" t="str">
        <f t="shared" si="42"/>
        <v/>
      </c>
      <c r="I283" s="25"/>
      <c r="J283" s="25"/>
      <c r="K283" s="26"/>
      <c r="L283" s="26"/>
      <c r="M283" s="37"/>
      <c r="N283" s="27"/>
      <c r="O283" s="30"/>
      <c r="P283" s="39" t="str">
        <f t="shared" si="46"/>
        <v/>
      </c>
      <c r="Q283" s="40" t="str">
        <f>IF(OR(T283=0,RIGHT(T283,1)=$W$1),"",COUNTIF($T$3:T283,T283))</f>
        <v/>
      </c>
      <c r="S283" s="6">
        <f t="shared" si="47"/>
        <v>0</v>
      </c>
      <c r="T283" s="36">
        <f t="shared" si="48"/>
        <v>0</v>
      </c>
      <c r="V283" s="6">
        <f t="shared" si="49"/>
        <v>0</v>
      </c>
      <c r="Y283" s="8">
        <f t="shared" si="50"/>
        <v>46023</v>
      </c>
    </row>
    <row r="284" spans="2:25" ht="18.75" x14ac:dyDescent="0.3">
      <c r="B284" s="6">
        <f t="shared" si="43"/>
        <v>0</v>
      </c>
      <c r="C284" s="6">
        <f t="shared" si="44"/>
        <v>0</v>
      </c>
      <c r="D284" s="6" t="str">
        <f t="shared" si="45"/>
        <v/>
      </c>
      <c r="E284" s="35" t="str">
        <f t="shared" si="41"/>
        <v/>
      </c>
      <c r="F284" s="31"/>
      <c r="G284" s="29"/>
      <c r="H284" s="78" t="str">
        <f t="shared" si="42"/>
        <v/>
      </c>
      <c r="I284" s="25"/>
      <c r="J284" s="25"/>
      <c r="K284" s="26"/>
      <c r="L284" s="26"/>
      <c r="M284" s="37"/>
      <c r="N284" s="27"/>
      <c r="O284" s="30"/>
      <c r="P284" s="39" t="str">
        <f t="shared" si="46"/>
        <v/>
      </c>
      <c r="Q284" s="40" t="str">
        <f>IF(OR(T284=0,RIGHT(T284,1)=$W$1),"",COUNTIF($T$3:T284,T284))</f>
        <v/>
      </c>
      <c r="S284" s="6">
        <f t="shared" si="47"/>
        <v>0</v>
      </c>
      <c r="T284" s="36">
        <f t="shared" si="48"/>
        <v>0</v>
      </c>
      <c r="V284" s="6">
        <f t="shared" si="49"/>
        <v>0</v>
      </c>
      <c r="Y284" s="8">
        <f t="shared" si="50"/>
        <v>46023</v>
      </c>
    </row>
    <row r="285" spans="2:25" ht="18.75" x14ac:dyDescent="0.3">
      <c r="B285" s="6">
        <f t="shared" si="43"/>
        <v>0</v>
      </c>
      <c r="C285" s="6">
        <f t="shared" si="44"/>
        <v>0</v>
      </c>
      <c r="D285" s="6" t="str">
        <f t="shared" si="45"/>
        <v/>
      </c>
      <c r="E285" s="35" t="str">
        <f t="shared" si="41"/>
        <v/>
      </c>
      <c r="F285" s="31"/>
      <c r="G285" s="29"/>
      <c r="H285" s="78" t="str">
        <f t="shared" si="42"/>
        <v/>
      </c>
      <c r="I285" s="25"/>
      <c r="J285" s="25"/>
      <c r="K285" s="26"/>
      <c r="L285" s="26"/>
      <c r="M285" s="37"/>
      <c r="N285" s="27"/>
      <c r="O285" s="30"/>
      <c r="P285" s="39" t="str">
        <f t="shared" si="46"/>
        <v/>
      </c>
      <c r="Q285" s="40" t="str">
        <f>IF(OR(T285=0,RIGHT(T285,1)=$W$1),"",COUNTIF($T$3:T285,T285))</f>
        <v/>
      </c>
      <c r="S285" s="6">
        <f t="shared" si="47"/>
        <v>0</v>
      </c>
      <c r="T285" s="36">
        <f t="shared" si="48"/>
        <v>0</v>
      </c>
      <c r="V285" s="6">
        <f t="shared" si="49"/>
        <v>0</v>
      </c>
      <c r="Y285" s="8">
        <f t="shared" si="50"/>
        <v>46023</v>
      </c>
    </row>
    <row r="286" spans="2:25" ht="18.75" x14ac:dyDescent="0.3">
      <c r="B286" s="6">
        <f t="shared" si="43"/>
        <v>0</v>
      </c>
      <c r="C286" s="6">
        <f t="shared" si="44"/>
        <v>0</v>
      </c>
      <c r="D286" s="6" t="str">
        <f t="shared" si="45"/>
        <v/>
      </c>
      <c r="E286" s="35" t="str">
        <f t="shared" si="41"/>
        <v/>
      </c>
      <c r="F286" s="31"/>
      <c r="G286" s="29"/>
      <c r="H286" s="78" t="str">
        <f t="shared" si="42"/>
        <v/>
      </c>
      <c r="I286" s="25"/>
      <c r="J286" s="25"/>
      <c r="K286" s="26"/>
      <c r="L286" s="26"/>
      <c r="M286" s="37"/>
      <c r="N286" s="27"/>
      <c r="O286" s="30"/>
      <c r="P286" s="39" t="str">
        <f t="shared" si="46"/>
        <v/>
      </c>
      <c r="Q286" s="40" t="str">
        <f>IF(OR(T286=0,RIGHT(T286,1)=$W$1),"",COUNTIF($T$3:T286,T286))</f>
        <v/>
      </c>
      <c r="S286" s="6">
        <f t="shared" si="47"/>
        <v>0</v>
      </c>
      <c r="T286" s="36">
        <f t="shared" si="48"/>
        <v>0</v>
      </c>
      <c r="V286" s="6">
        <f t="shared" si="49"/>
        <v>0</v>
      </c>
      <c r="Y286" s="8">
        <f t="shared" si="50"/>
        <v>46023</v>
      </c>
    </row>
    <row r="287" spans="2:25" ht="18.75" x14ac:dyDescent="0.3">
      <c r="B287" s="6">
        <f t="shared" si="43"/>
        <v>0</v>
      </c>
      <c r="C287" s="6">
        <f t="shared" si="44"/>
        <v>0</v>
      </c>
      <c r="D287" s="6" t="str">
        <f t="shared" si="45"/>
        <v/>
      </c>
      <c r="E287" s="35" t="str">
        <f t="shared" si="41"/>
        <v/>
      </c>
      <c r="F287" s="31"/>
      <c r="G287" s="29"/>
      <c r="H287" s="78" t="str">
        <f t="shared" si="42"/>
        <v/>
      </c>
      <c r="I287" s="25"/>
      <c r="J287" s="25"/>
      <c r="K287" s="26"/>
      <c r="L287" s="26"/>
      <c r="M287" s="37"/>
      <c r="N287" s="27"/>
      <c r="O287" s="30"/>
      <c r="P287" s="39" t="str">
        <f t="shared" si="46"/>
        <v/>
      </c>
      <c r="Q287" s="40" t="str">
        <f>IF(OR(T287=0,RIGHT(T287,1)=$W$1),"",COUNTIF($T$3:T287,T287))</f>
        <v/>
      </c>
      <c r="S287" s="6">
        <f t="shared" si="47"/>
        <v>0</v>
      </c>
      <c r="T287" s="36">
        <f t="shared" si="48"/>
        <v>0</v>
      </c>
      <c r="V287" s="6">
        <f t="shared" si="49"/>
        <v>0</v>
      </c>
      <c r="Y287" s="8">
        <f t="shared" si="50"/>
        <v>46023</v>
      </c>
    </row>
    <row r="288" spans="2:25" ht="18.75" x14ac:dyDescent="0.3">
      <c r="B288" s="6">
        <f t="shared" si="43"/>
        <v>0</v>
      </c>
      <c r="C288" s="6">
        <f t="shared" si="44"/>
        <v>0</v>
      </c>
      <c r="D288" s="6" t="str">
        <f t="shared" si="45"/>
        <v/>
      </c>
      <c r="E288" s="35" t="str">
        <f t="shared" si="41"/>
        <v/>
      </c>
      <c r="F288" s="31"/>
      <c r="G288" s="29"/>
      <c r="H288" s="78" t="str">
        <f t="shared" si="42"/>
        <v/>
      </c>
      <c r="I288" s="25"/>
      <c r="J288" s="25"/>
      <c r="K288" s="26"/>
      <c r="L288" s="26"/>
      <c r="M288" s="37"/>
      <c r="N288" s="27"/>
      <c r="O288" s="30"/>
      <c r="P288" s="39" t="str">
        <f t="shared" si="46"/>
        <v/>
      </c>
      <c r="Q288" s="40" t="str">
        <f>IF(OR(T288=0,RIGHT(T288,1)=$W$1),"",COUNTIF($T$3:T288,T288))</f>
        <v/>
      </c>
      <c r="S288" s="6">
        <f t="shared" si="47"/>
        <v>0</v>
      </c>
      <c r="T288" s="36">
        <f t="shared" si="48"/>
        <v>0</v>
      </c>
      <c r="V288" s="6">
        <f t="shared" si="49"/>
        <v>0</v>
      </c>
      <c r="Y288" s="8">
        <f t="shared" si="50"/>
        <v>46023</v>
      </c>
    </row>
    <row r="289" spans="2:25" ht="18.75" x14ac:dyDescent="0.3">
      <c r="B289" s="6">
        <f t="shared" si="43"/>
        <v>0</v>
      </c>
      <c r="C289" s="6">
        <f t="shared" si="44"/>
        <v>0</v>
      </c>
      <c r="D289" s="6" t="str">
        <f t="shared" si="45"/>
        <v/>
      </c>
      <c r="E289" s="35" t="str">
        <f t="shared" si="41"/>
        <v/>
      </c>
      <c r="F289" s="31"/>
      <c r="G289" s="29"/>
      <c r="H289" s="78" t="str">
        <f t="shared" si="42"/>
        <v/>
      </c>
      <c r="I289" s="25"/>
      <c r="J289" s="25"/>
      <c r="K289" s="26"/>
      <c r="L289" s="26"/>
      <c r="M289" s="37"/>
      <c r="N289" s="27"/>
      <c r="O289" s="30"/>
      <c r="P289" s="39" t="str">
        <f t="shared" si="46"/>
        <v/>
      </c>
      <c r="Q289" s="40" t="str">
        <f>IF(OR(T289=0,RIGHT(T289,1)=$W$1),"",COUNTIF($T$3:T289,T289))</f>
        <v/>
      </c>
      <c r="S289" s="6">
        <f t="shared" si="47"/>
        <v>0</v>
      </c>
      <c r="T289" s="36">
        <f t="shared" si="48"/>
        <v>0</v>
      </c>
      <c r="V289" s="6">
        <f t="shared" si="49"/>
        <v>0</v>
      </c>
      <c r="Y289" s="8">
        <f t="shared" si="50"/>
        <v>46023</v>
      </c>
    </row>
    <row r="290" spans="2:25" ht="18.75" x14ac:dyDescent="0.3">
      <c r="B290" s="6">
        <f t="shared" si="43"/>
        <v>0</v>
      </c>
      <c r="C290" s="6">
        <f t="shared" si="44"/>
        <v>0</v>
      </c>
      <c r="D290" s="6" t="str">
        <f t="shared" si="45"/>
        <v/>
      </c>
      <c r="E290" s="35" t="str">
        <f t="shared" si="41"/>
        <v/>
      </c>
      <c r="F290" s="31"/>
      <c r="G290" s="29"/>
      <c r="H290" s="78" t="str">
        <f t="shared" si="42"/>
        <v/>
      </c>
      <c r="I290" s="25"/>
      <c r="J290" s="25"/>
      <c r="K290" s="26"/>
      <c r="L290" s="26"/>
      <c r="M290" s="37"/>
      <c r="N290" s="27"/>
      <c r="O290" s="30"/>
      <c r="P290" s="39" t="str">
        <f t="shared" si="46"/>
        <v/>
      </c>
      <c r="Q290" s="40" t="str">
        <f>IF(OR(T290=0,RIGHT(T290,1)=$W$1),"",COUNTIF($T$3:T290,T290))</f>
        <v/>
      </c>
      <c r="S290" s="6">
        <f t="shared" si="47"/>
        <v>0</v>
      </c>
      <c r="T290" s="36">
        <f t="shared" si="48"/>
        <v>0</v>
      </c>
      <c r="V290" s="6">
        <f t="shared" si="49"/>
        <v>0</v>
      </c>
      <c r="Y290" s="8">
        <f t="shared" si="50"/>
        <v>46023</v>
      </c>
    </row>
    <row r="291" spans="2:25" ht="18.75" x14ac:dyDescent="0.3">
      <c r="B291" s="6">
        <f t="shared" si="43"/>
        <v>0</v>
      </c>
      <c r="C291" s="6">
        <f t="shared" si="44"/>
        <v>0</v>
      </c>
      <c r="D291" s="6" t="str">
        <f t="shared" si="45"/>
        <v/>
      </c>
      <c r="E291" s="35" t="str">
        <f t="shared" si="41"/>
        <v/>
      </c>
      <c r="F291" s="31"/>
      <c r="G291" s="29"/>
      <c r="H291" s="78" t="str">
        <f t="shared" si="42"/>
        <v/>
      </c>
      <c r="I291" s="25"/>
      <c r="J291" s="25"/>
      <c r="K291" s="26"/>
      <c r="L291" s="26"/>
      <c r="M291" s="37"/>
      <c r="N291" s="27"/>
      <c r="O291" s="30"/>
      <c r="P291" s="39" t="str">
        <f t="shared" si="46"/>
        <v/>
      </c>
      <c r="Q291" s="40" t="str">
        <f>IF(OR(T291=0,RIGHT(T291,1)=$W$1),"",COUNTIF($T$3:T291,T291))</f>
        <v/>
      </c>
      <c r="S291" s="6">
        <f t="shared" si="47"/>
        <v>0</v>
      </c>
      <c r="T291" s="36">
        <f t="shared" si="48"/>
        <v>0</v>
      </c>
      <c r="V291" s="6">
        <f t="shared" si="49"/>
        <v>0</v>
      </c>
      <c r="Y291" s="8">
        <f t="shared" si="50"/>
        <v>46023</v>
      </c>
    </row>
    <row r="292" spans="2:25" ht="18.75" x14ac:dyDescent="0.3">
      <c r="B292" s="6">
        <f t="shared" si="43"/>
        <v>0</v>
      </c>
      <c r="C292" s="6">
        <f t="shared" si="44"/>
        <v>0</v>
      </c>
      <c r="D292" s="6" t="str">
        <f t="shared" si="45"/>
        <v/>
      </c>
      <c r="E292" s="35" t="str">
        <f t="shared" si="41"/>
        <v/>
      </c>
      <c r="F292" s="31"/>
      <c r="G292" s="29"/>
      <c r="H292" s="78" t="str">
        <f t="shared" si="42"/>
        <v/>
      </c>
      <c r="I292" s="25"/>
      <c r="J292" s="25"/>
      <c r="K292" s="26"/>
      <c r="L292" s="26"/>
      <c r="M292" s="37"/>
      <c r="N292" s="27"/>
      <c r="O292" s="30"/>
      <c r="P292" s="39" t="str">
        <f t="shared" si="46"/>
        <v/>
      </c>
      <c r="Q292" s="40" t="str">
        <f>IF(OR(T292=0,RIGHT(T292,1)=$W$1),"",COUNTIF($T$3:T292,T292))</f>
        <v/>
      </c>
      <c r="S292" s="6">
        <f t="shared" si="47"/>
        <v>0</v>
      </c>
      <c r="T292" s="36">
        <f t="shared" si="48"/>
        <v>0</v>
      </c>
      <c r="V292" s="6">
        <f t="shared" si="49"/>
        <v>0</v>
      </c>
      <c r="Y292" s="8">
        <f t="shared" si="50"/>
        <v>46023</v>
      </c>
    </row>
    <row r="293" spans="2:25" ht="18.75" x14ac:dyDescent="0.3">
      <c r="B293" s="6">
        <f t="shared" si="43"/>
        <v>0</v>
      </c>
      <c r="C293" s="6">
        <f t="shared" si="44"/>
        <v>0</v>
      </c>
      <c r="D293" s="6" t="str">
        <f t="shared" si="45"/>
        <v/>
      </c>
      <c r="E293" s="35" t="str">
        <f t="shared" si="41"/>
        <v/>
      </c>
      <c r="F293" s="31"/>
      <c r="G293" s="29"/>
      <c r="H293" s="78" t="str">
        <f t="shared" si="42"/>
        <v/>
      </c>
      <c r="I293" s="25"/>
      <c r="J293" s="25"/>
      <c r="K293" s="26"/>
      <c r="L293" s="26"/>
      <c r="M293" s="37"/>
      <c r="N293" s="27"/>
      <c r="O293" s="30"/>
      <c r="P293" s="39" t="str">
        <f t="shared" si="46"/>
        <v/>
      </c>
      <c r="Q293" s="40" t="str">
        <f>IF(OR(T293=0,RIGHT(T293,1)=$W$1),"",COUNTIF($T$3:T293,T293))</f>
        <v/>
      </c>
      <c r="S293" s="6">
        <f t="shared" si="47"/>
        <v>0</v>
      </c>
      <c r="T293" s="36">
        <f t="shared" si="48"/>
        <v>0</v>
      </c>
      <c r="V293" s="6">
        <f t="shared" si="49"/>
        <v>0</v>
      </c>
      <c r="Y293" s="8">
        <f t="shared" si="50"/>
        <v>46023</v>
      </c>
    </row>
    <row r="294" spans="2:25" ht="18.75" x14ac:dyDescent="0.3">
      <c r="B294" s="6">
        <f t="shared" si="43"/>
        <v>0</v>
      </c>
      <c r="C294" s="6">
        <f t="shared" si="44"/>
        <v>0</v>
      </c>
      <c r="D294" s="6" t="str">
        <f t="shared" si="45"/>
        <v/>
      </c>
      <c r="E294" s="35" t="str">
        <f t="shared" si="41"/>
        <v/>
      </c>
      <c r="F294" s="31"/>
      <c r="G294" s="29"/>
      <c r="H294" s="78" t="str">
        <f t="shared" si="42"/>
        <v/>
      </c>
      <c r="I294" s="25"/>
      <c r="J294" s="25"/>
      <c r="K294" s="26"/>
      <c r="L294" s="26"/>
      <c r="M294" s="37"/>
      <c r="N294" s="27"/>
      <c r="O294" s="30"/>
      <c r="P294" s="39" t="str">
        <f t="shared" si="46"/>
        <v/>
      </c>
      <c r="Q294" s="40" t="str">
        <f>IF(OR(T294=0,RIGHT(T294,1)=$W$1),"",COUNTIF($T$3:T294,T294))</f>
        <v/>
      </c>
      <c r="S294" s="6">
        <f t="shared" si="47"/>
        <v>0</v>
      </c>
      <c r="T294" s="36">
        <f t="shared" si="48"/>
        <v>0</v>
      </c>
      <c r="V294" s="6">
        <f t="shared" si="49"/>
        <v>0</v>
      </c>
      <c r="Y294" s="8">
        <f t="shared" si="50"/>
        <v>46023</v>
      </c>
    </row>
    <row r="295" spans="2:25" ht="18.75" x14ac:dyDescent="0.3">
      <c r="B295" s="6">
        <f t="shared" si="43"/>
        <v>0</v>
      </c>
      <c r="C295" s="6">
        <f t="shared" si="44"/>
        <v>0</v>
      </c>
      <c r="D295" s="6" t="str">
        <f t="shared" si="45"/>
        <v/>
      </c>
      <c r="E295" s="35" t="str">
        <f t="shared" si="41"/>
        <v/>
      </c>
      <c r="F295" s="31"/>
      <c r="G295" s="29"/>
      <c r="H295" s="78" t="str">
        <f t="shared" si="42"/>
        <v/>
      </c>
      <c r="I295" s="25"/>
      <c r="J295" s="25"/>
      <c r="K295" s="26"/>
      <c r="L295" s="26"/>
      <c r="M295" s="37"/>
      <c r="N295" s="27"/>
      <c r="O295" s="30"/>
      <c r="P295" s="39" t="str">
        <f t="shared" si="46"/>
        <v/>
      </c>
      <c r="Q295" s="40" t="str">
        <f>IF(OR(T295=0,RIGHT(T295,1)=$W$1),"",COUNTIF($T$3:T295,T295))</f>
        <v/>
      </c>
      <c r="S295" s="6">
        <f t="shared" si="47"/>
        <v>0</v>
      </c>
      <c r="T295" s="36">
        <f t="shared" si="48"/>
        <v>0</v>
      </c>
      <c r="V295" s="6">
        <f t="shared" si="49"/>
        <v>0</v>
      </c>
      <c r="Y295" s="8">
        <f t="shared" si="50"/>
        <v>46023</v>
      </c>
    </row>
    <row r="296" spans="2:25" ht="18.75" x14ac:dyDescent="0.3">
      <c r="B296" s="6">
        <f t="shared" si="43"/>
        <v>0</v>
      </c>
      <c r="C296" s="6">
        <f t="shared" si="44"/>
        <v>0</v>
      </c>
      <c r="D296" s="6" t="str">
        <f t="shared" si="45"/>
        <v/>
      </c>
      <c r="E296" s="35" t="str">
        <f t="shared" si="41"/>
        <v/>
      </c>
      <c r="F296" s="31"/>
      <c r="G296" s="29"/>
      <c r="H296" s="78" t="str">
        <f t="shared" si="42"/>
        <v/>
      </c>
      <c r="I296" s="25"/>
      <c r="J296" s="25"/>
      <c r="K296" s="26"/>
      <c r="L296" s="26"/>
      <c r="M296" s="37"/>
      <c r="N296" s="27"/>
      <c r="O296" s="30"/>
      <c r="P296" s="39" t="str">
        <f t="shared" si="46"/>
        <v/>
      </c>
      <c r="Q296" s="40" t="str">
        <f>IF(OR(T296=0,RIGHT(T296,1)=$W$1),"",COUNTIF($T$3:T296,T296))</f>
        <v/>
      </c>
      <c r="S296" s="6">
        <f t="shared" si="47"/>
        <v>0</v>
      </c>
      <c r="T296" s="36">
        <f t="shared" si="48"/>
        <v>0</v>
      </c>
      <c r="V296" s="6">
        <f t="shared" si="49"/>
        <v>0</v>
      </c>
      <c r="Y296" s="8">
        <f t="shared" si="50"/>
        <v>46023</v>
      </c>
    </row>
    <row r="297" spans="2:25" ht="18.75" x14ac:dyDescent="0.3">
      <c r="B297" s="6">
        <f t="shared" si="43"/>
        <v>0</v>
      </c>
      <c r="C297" s="6">
        <f t="shared" si="44"/>
        <v>0</v>
      </c>
      <c r="D297" s="6" t="str">
        <f t="shared" si="45"/>
        <v/>
      </c>
      <c r="E297" s="35" t="str">
        <f t="shared" si="41"/>
        <v/>
      </c>
      <c r="F297" s="31"/>
      <c r="G297" s="29"/>
      <c r="H297" s="78" t="str">
        <f t="shared" si="42"/>
        <v/>
      </c>
      <c r="I297" s="25"/>
      <c r="J297" s="25"/>
      <c r="K297" s="26"/>
      <c r="L297" s="26"/>
      <c r="M297" s="37"/>
      <c r="N297" s="27"/>
      <c r="O297" s="30"/>
      <c r="P297" s="39" t="str">
        <f t="shared" si="46"/>
        <v/>
      </c>
      <c r="Q297" s="40" t="str">
        <f>IF(OR(T297=0,RIGHT(T297,1)=$W$1),"",COUNTIF($T$3:T297,T297))</f>
        <v/>
      </c>
      <c r="S297" s="6">
        <f t="shared" si="47"/>
        <v>0</v>
      </c>
      <c r="T297" s="36">
        <f t="shared" si="48"/>
        <v>0</v>
      </c>
      <c r="V297" s="6">
        <f t="shared" si="49"/>
        <v>0</v>
      </c>
      <c r="Y297" s="8">
        <f t="shared" si="50"/>
        <v>46023</v>
      </c>
    </row>
    <row r="298" spans="2:25" ht="18.75" x14ac:dyDescent="0.3">
      <c r="B298" s="6">
        <f t="shared" si="43"/>
        <v>0</v>
      </c>
      <c r="C298" s="6">
        <f t="shared" si="44"/>
        <v>0</v>
      </c>
      <c r="D298" s="6" t="str">
        <f t="shared" si="45"/>
        <v/>
      </c>
      <c r="E298" s="35" t="str">
        <f t="shared" si="41"/>
        <v/>
      </c>
      <c r="F298" s="31"/>
      <c r="G298" s="29"/>
      <c r="H298" s="78" t="str">
        <f t="shared" si="42"/>
        <v/>
      </c>
      <c r="I298" s="25"/>
      <c r="J298" s="25"/>
      <c r="K298" s="26"/>
      <c r="L298" s="26"/>
      <c r="M298" s="37"/>
      <c r="N298" s="27"/>
      <c r="O298" s="30"/>
      <c r="P298" s="39" t="str">
        <f t="shared" si="46"/>
        <v/>
      </c>
      <c r="Q298" s="40" t="str">
        <f>IF(OR(T298=0,RIGHT(T298,1)=$W$1),"",COUNTIF($T$3:T298,T298))</f>
        <v/>
      </c>
      <c r="S298" s="6">
        <f t="shared" si="47"/>
        <v>0</v>
      </c>
      <c r="T298" s="36">
        <f t="shared" si="48"/>
        <v>0</v>
      </c>
      <c r="V298" s="6">
        <f t="shared" si="49"/>
        <v>0</v>
      </c>
      <c r="Y298" s="8">
        <f t="shared" si="50"/>
        <v>46023</v>
      </c>
    </row>
    <row r="299" spans="2:25" ht="18.75" x14ac:dyDescent="0.3">
      <c r="B299" s="6">
        <f t="shared" si="43"/>
        <v>0</v>
      </c>
      <c r="C299" s="6">
        <f t="shared" si="44"/>
        <v>0</v>
      </c>
      <c r="D299" s="6" t="str">
        <f t="shared" si="45"/>
        <v/>
      </c>
      <c r="E299" s="35" t="str">
        <f t="shared" si="41"/>
        <v/>
      </c>
      <c r="F299" s="31"/>
      <c r="G299" s="29"/>
      <c r="H299" s="78" t="str">
        <f t="shared" si="42"/>
        <v/>
      </c>
      <c r="I299" s="25"/>
      <c r="J299" s="25"/>
      <c r="K299" s="26"/>
      <c r="L299" s="26"/>
      <c r="M299" s="37"/>
      <c r="N299" s="27"/>
      <c r="O299" s="30"/>
      <c r="P299" s="39" t="str">
        <f t="shared" si="46"/>
        <v/>
      </c>
      <c r="Q299" s="40" t="str">
        <f>IF(OR(T299=0,RIGHT(T299,1)=$W$1),"",COUNTIF($T$3:T299,T299))</f>
        <v/>
      </c>
      <c r="S299" s="6">
        <f t="shared" si="47"/>
        <v>0</v>
      </c>
      <c r="T299" s="36">
        <f t="shared" si="48"/>
        <v>0</v>
      </c>
      <c r="V299" s="6">
        <f t="shared" si="49"/>
        <v>0</v>
      </c>
      <c r="Y299" s="8">
        <f t="shared" si="50"/>
        <v>46023</v>
      </c>
    </row>
    <row r="300" spans="2:25" ht="18.75" x14ac:dyDescent="0.3">
      <c r="B300" s="6">
        <f t="shared" si="43"/>
        <v>0</v>
      </c>
      <c r="C300" s="6">
        <f t="shared" si="44"/>
        <v>0</v>
      </c>
      <c r="D300" s="6" t="str">
        <f t="shared" si="45"/>
        <v/>
      </c>
      <c r="E300" s="35" t="str">
        <f t="shared" si="41"/>
        <v/>
      </c>
      <c r="F300" s="31"/>
      <c r="G300" s="29"/>
      <c r="H300" s="78" t="str">
        <f t="shared" si="42"/>
        <v/>
      </c>
      <c r="I300" s="25"/>
      <c r="J300" s="25"/>
      <c r="K300" s="26"/>
      <c r="L300" s="26"/>
      <c r="M300" s="37"/>
      <c r="N300" s="27"/>
      <c r="O300" s="30"/>
      <c r="P300" s="39" t="str">
        <f t="shared" si="46"/>
        <v/>
      </c>
      <c r="Q300" s="40" t="str">
        <f>IF(OR(T300=0,RIGHT(T300,1)=$W$1),"",COUNTIF($T$3:T300,T300))</f>
        <v/>
      </c>
      <c r="S300" s="6">
        <f t="shared" si="47"/>
        <v>0</v>
      </c>
      <c r="T300" s="36">
        <f t="shared" si="48"/>
        <v>0</v>
      </c>
      <c r="V300" s="6">
        <f t="shared" si="49"/>
        <v>0</v>
      </c>
      <c r="Y300" s="8">
        <f t="shared" si="50"/>
        <v>46023</v>
      </c>
    </row>
    <row r="301" spans="2:25" ht="18.75" x14ac:dyDescent="0.3">
      <c r="B301" s="6">
        <f t="shared" si="43"/>
        <v>0</v>
      </c>
      <c r="C301" s="6">
        <f t="shared" si="44"/>
        <v>0</v>
      </c>
      <c r="D301" s="6" t="str">
        <f t="shared" si="45"/>
        <v/>
      </c>
      <c r="E301" s="35" t="str">
        <f t="shared" si="41"/>
        <v/>
      </c>
      <c r="F301" s="31"/>
      <c r="G301" s="29"/>
      <c r="H301" s="78" t="str">
        <f t="shared" si="42"/>
        <v/>
      </c>
      <c r="I301" s="25"/>
      <c r="J301" s="25"/>
      <c r="K301" s="26"/>
      <c r="L301" s="26"/>
      <c r="M301" s="37"/>
      <c r="N301" s="27"/>
      <c r="O301" s="30"/>
      <c r="P301" s="39" t="str">
        <f t="shared" si="46"/>
        <v/>
      </c>
      <c r="Q301" s="40" t="str">
        <f>IF(OR(T301=0,RIGHT(T301,1)=$W$1),"",COUNTIF($T$3:T301,T301))</f>
        <v/>
      </c>
      <c r="S301" s="6">
        <f t="shared" si="47"/>
        <v>0</v>
      </c>
      <c r="T301" s="36">
        <f t="shared" si="48"/>
        <v>0</v>
      </c>
      <c r="V301" s="6">
        <f t="shared" si="49"/>
        <v>0</v>
      </c>
      <c r="Y301" s="8">
        <f t="shared" si="50"/>
        <v>46023</v>
      </c>
    </row>
    <row r="302" spans="2:25" ht="18.75" x14ac:dyDescent="0.3">
      <c r="B302" s="6">
        <f t="shared" si="43"/>
        <v>0</v>
      </c>
      <c r="C302" s="6">
        <f t="shared" si="44"/>
        <v>0</v>
      </c>
      <c r="D302" s="6" t="str">
        <f t="shared" si="45"/>
        <v/>
      </c>
      <c r="E302" s="35" t="str">
        <f t="shared" si="41"/>
        <v/>
      </c>
      <c r="F302" s="31"/>
      <c r="G302" s="29"/>
      <c r="H302" s="78" t="str">
        <f t="shared" si="42"/>
        <v/>
      </c>
      <c r="I302" s="25"/>
      <c r="J302" s="25"/>
      <c r="K302" s="26"/>
      <c r="L302" s="26"/>
      <c r="M302" s="37"/>
      <c r="N302" s="27"/>
      <c r="O302" s="30"/>
      <c r="P302" s="39" t="str">
        <f t="shared" si="46"/>
        <v/>
      </c>
      <c r="Q302" s="40" t="str">
        <f>IF(OR(T302=0,RIGHT(T302,1)=$W$1),"",COUNTIF($T$3:T302,T302))</f>
        <v/>
      </c>
      <c r="S302" s="6">
        <f t="shared" si="47"/>
        <v>0</v>
      </c>
      <c r="T302" s="36">
        <f t="shared" si="48"/>
        <v>0</v>
      </c>
      <c r="V302" s="6">
        <f t="shared" si="49"/>
        <v>0</v>
      </c>
      <c r="Y302" s="8">
        <f t="shared" si="50"/>
        <v>46023</v>
      </c>
    </row>
    <row r="303" spans="2:25" ht="18.75" x14ac:dyDescent="0.3">
      <c r="B303" s="6">
        <f t="shared" si="43"/>
        <v>0</v>
      </c>
      <c r="C303" s="6">
        <f t="shared" si="44"/>
        <v>0</v>
      </c>
      <c r="D303" s="6" t="str">
        <f t="shared" si="45"/>
        <v/>
      </c>
      <c r="E303" s="35" t="str">
        <f t="shared" si="41"/>
        <v/>
      </c>
      <c r="F303" s="31"/>
      <c r="G303" s="29"/>
      <c r="H303" s="78" t="str">
        <f t="shared" si="42"/>
        <v/>
      </c>
      <c r="I303" s="25"/>
      <c r="J303" s="25"/>
      <c r="K303" s="26"/>
      <c r="L303" s="26"/>
      <c r="M303" s="37"/>
      <c r="N303" s="27"/>
      <c r="O303" s="30"/>
      <c r="P303" s="39" t="str">
        <f t="shared" si="46"/>
        <v/>
      </c>
      <c r="Q303" s="40" t="str">
        <f>IF(OR(T303=0,RIGHT(T303,1)=$W$1),"",COUNTIF($T$3:T303,T303))</f>
        <v/>
      </c>
      <c r="S303" s="6">
        <f t="shared" si="47"/>
        <v>0</v>
      </c>
      <c r="T303" s="36">
        <f t="shared" si="48"/>
        <v>0</v>
      </c>
      <c r="V303" s="6">
        <f t="shared" si="49"/>
        <v>0</v>
      </c>
      <c r="Y303" s="8">
        <f t="shared" si="50"/>
        <v>46023</v>
      </c>
    </row>
    <row r="304" spans="2:25" ht="18.75" x14ac:dyDescent="0.3">
      <c r="B304" s="6">
        <f t="shared" si="43"/>
        <v>0</v>
      </c>
      <c r="C304" s="6">
        <f t="shared" si="44"/>
        <v>0</v>
      </c>
      <c r="D304" s="6" t="str">
        <f t="shared" si="45"/>
        <v/>
      </c>
      <c r="E304" s="35" t="str">
        <f t="shared" si="41"/>
        <v/>
      </c>
      <c r="F304" s="31"/>
      <c r="G304" s="29"/>
      <c r="H304" s="78" t="str">
        <f t="shared" si="42"/>
        <v/>
      </c>
      <c r="I304" s="25"/>
      <c r="J304" s="25"/>
      <c r="K304" s="26"/>
      <c r="L304" s="26"/>
      <c r="M304" s="37"/>
      <c r="N304" s="27"/>
      <c r="O304" s="30"/>
      <c r="P304" s="39" t="str">
        <f t="shared" si="46"/>
        <v/>
      </c>
      <c r="Q304" s="40" t="str">
        <f>IF(OR(T304=0,RIGHT(T304,1)=$W$1),"",COUNTIF($T$3:T304,T304))</f>
        <v/>
      </c>
      <c r="S304" s="6">
        <f t="shared" si="47"/>
        <v>0</v>
      </c>
      <c r="T304" s="36">
        <f t="shared" si="48"/>
        <v>0</v>
      </c>
      <c r="V304" s="6">
        <f t="shared" si="49"/>
        <v>0</v>
      </c>
      <c r="Y304" s="8">
        <f t="shared" si="50"/>
        <v>46023</v>
      </c>
    </row>
    <row r="305" spans="2:25" ht="18.75" x14ac:dyDescent="0.3">
      <c r="B305" s="6">
        <f t="shared" si="43"/>
        <v>0</v>
      </c>
      <c r="C305" s="6">
        <f t="shared" si="44"/>
        <v>0</v>
      </c>
      <c r="D305" s="6" t="str">
        <f t="shared" si="45"/>
        <v/>
      </c>
      <c r="E305" s="35" t="str">
        <f t="shared" si="41"/>
        <v/>
      </c>
      <c r="F305" s="31"/>
      <c r="G305" s="29"/>
      <c r="H305" s="78" t="str">
        <f t="shared" si="42"/>
        <v/>
      </c>
      <c r="I305" s="25"/>
      <c r="J305" s="25"/>
      <c r="K305" s="26"/>
      <c r="L305" s="26"/>
      <c r="M305" s="37"/>
      <c r="N305" s="27"/>
      <c r="O305" s="30"/>
      <c r="P305" s="39" t="str">
        <f t="shared" si="46"/>
        <v/>
      </c>
      <c r="Q305" s="40" t="str">
        <f>IF(OR(T305=0,RIGHT(T305,1)=$W$1),"",COUNTIF($T$3:T305,T305))</f>
        <v/>
      </c>
      <c r="S305" s="6">
        <f t="shared" si="47"/>
        <v>0</v>
      </c>
      <c r="T305" s="36">
        <f t="shared" si="48"/>
        <v>0</v>
      </c>
      <c r="V305" s="6">
        <f t="shared" si="49"/>
        <v>0</v>
      </c>
      <c r="Y305" s="8">
        <f t="shared" si="50"/>
        <v>46023</v>
      </c>
    </row>
    <row r="306" spans="2:25" ht="18.75" x14ac:dyDescent="0.3">
      <c r="B306" s="6">
        <f t="shared" si="43"/>
        <v>0</v>
      </c>
      <c r="C306" s="6">
        <f t="shared" si="44"/>
        <v>0</v>
      </c>
      <c r="D306" s="6" t="str">
        <f t="shared" si="45"/>
        <v/>
      </c>
      <c r="E306" s="35" t="str">
        <f t="shared" si="41"/>
        <v/>
      </c>
      <c r="F306" s="31"/>
      <c r="G306" s="29"/>
      <c r="H306" s="78" t="str">
        <f t="shared" si="42"/>
        <v/>
      </c>
      <c r="I306" s="25"/>
      <c r="J306" s="25"/>
      <c r="K306" s="26"/>
      <c r="L306" s="26"/>
      <c r="M306" s="37"/>
      <c r="N306" s="27"/>
      <c r="O306" s="30"/>
      <c r="P306" s="39" t="str">
        <f t="shared" si="46"/>
        <v/>
      </c>
      <c r="Q306" s="40" t="str">
        <f>IF(OR(T306=0,RIGHT(T306,1)=$W$1),"",COUNTIF($T$3:T306,T306))</f>
        <v/>
      </c>
      <c r="S306" s="6">
        <f t="shared" si="47"/>
        <v>0</v>
      </c>
      <c r="T306" s="36">
        <f t="shared" si="48"/>
        <v>0</v>
      </c>
      <c r="V306" s="6">
        <f t="shared" si="49"/>
        <v>0</v>
      </c>
      <c r="Y306" s="8">
        <f t="shared" si="50"/>
        <v>46023</v>
      </c>
    </row>
    <row r="307" spans="2:25" ht="18.75" x14ac:dyDescent="0.3">
      <c r="B307" s="6">
        <f t="shared" si="43"/>
        <v>0</v>
      </c>
      <c r="C307" s="6">
        <f t="shared" si="44"/>
        <v>0</v>
      </c>
      <c r="D307" s="6" t="str">
        <f t="shared" si="45"/>
        <v/>
      </c>
      <c r="E307" s="35" t="str">
        <f t="shared" si="41"/>
        <v/>
      </c>
      <c r="F307" s="31"/>
      <c r="G307" s="29"/>
      <c r="H307" s="78" t="str">
        <f t="shared" si="42"/>
        <v/>
      </c>
      <c r="I307" s="25"/>
      <c r="J307" s="25"/>
      <c r="K307" s="26"/>
      <c r="L307" s="26"/>
      <c r="M307" s="37"/>
      <c r="N307" s="27"/>
      <c r="O307" s="30"/>
      <c r="P307" s="39" t="str">
        <f t="shared" si="46"/>
        <v/>
      </c>
      <c r="Q307" s="40" t="str">
        <f>IF(OR(T307=0,RIGHT(T307,1)=$W$1),"",COUNTIF($T$3:T307,T307))</f>
        <v/>
      </c>
      <c r="S307" s="6">
        <f t="shared" si="47"/>
        <v>0</v>
      </c>
      <c r="T307" s="36">
        <f t="shared" si="48"/>
        <v>0</v>
      </c>
      <c r="V307" s="6">
        <f t="shared" si="49"/>
        <v>0</v>
      </c>
      <c r="Y307" s="8">
        <f t="shared" si="50"/>
        <v>46023</v>
      </c>
    </row>
    <row r="308" spans="2:25" ht="18.75" x14ac:dyDescent="0.3">
      <c r="B308" s="6">
        <f t="shared" si="43"/>
        <v>0</v>
      </c>
      <c r="C308" s="6">
        <f t="shared" si="44"/>
        <v>0</v>
      </c>
      <c r="D308" s="6" t="str">
        <f t="shared" si="45"/>
        <v/>
      </c>
      <c r="E308" s="35" t="str">
        <f t="shared" si="41"/>
        <v/>
      </c>
      <c r="F308" s="31"/>
      <c r="G308" s="29"/>
      <c r="H308" s="78" t="str">
        <f t="shared" si="42"/>
        <v/>
      </c>
      <c r="I308" s="25"/>
      <c r="J308" s="25"/>
      <c r="K308" s="26"/>
      <c r="L308" s="26"/>
      <c r="M308" s="37"/>
      <c r="N308" s="27"/>
      <c r="O308" s="30"/>
      <c r="P308" s="39" t="str">
        <f t="shared" si="46"/>
        <v/>
      </c>
      <c r="Q308" s="40" t="str">
        <f>IF(OR(T308=0,RIGHT(T308,1)=$W$1),"",COUNTIF($T$3:T308,T308))</f>
        <v/>
      </c>
      <c r="S308" s="6">
        <f t="shared" si="47"/>
        <v>0</v>
      </c>
      <c r="T308" s="36">
        <f t="shared" si="48"/>
        <v>0</v>
      </c>
      <c r="V308" s="6">
        <f t="shared" si="49"/>
        <v>0</v>
      </c>
      <c r="Y308" s="8">
        <f t="shared" si="50"/>
        <v>46023</v>
      </c>
    </row>
    <row r="309" spans="2:25" ht="18.75" x14ac:dyDescent="0.3">
      <c r="B309" s="6">
        <f t="shared" si="43"/>
        <v>0</v>
      </c>
      <c r="C309" s="6">
        <f t="shared" si="44"/>
        <v>0</v>
      </c>
      <c r="D309" s="6" t="str">
        <f t="shared" si="45"/>
        <v/>
      </c>
      <c r="E309" s="35" t="str">
        <f t="shared" si="41"/>
        <v/>
      </c>
      <c r="F309" s="31"/>
      <c r="G309" s="29"/>
      <c r="H309" s="78" t="str">
        <f t="shared" si="42"/>
        <v/>
      </c>
      <c r="I309" s="25"/>
      <c r="J309" s="25"/>
      <c r="K309" s="26"/>
      <c r="L309" s="26"/>
      <c r="M309" s="37"/>
      <c r="N309" s="27"/>
      <c r="O309" s="30"/>
      <c r="P309" s="39" t="str">
        <f t="shared" si="46"/>
        <v/>
      </c>
      <c r="Q309" s="40" t="str">
        <f>IF(OR(T309=0,RIGHT(T309,1)=$W$1),"",COUNTIF($T$3:T309,T309))</f>
        <v/>
      </c>
      <c r="S309" s="6">
        <f t="shared" si="47"/>
        <v>0</v>
      </c>
      <c r="T309" s="36">
        <f t="shared" si="48"/>
        <v>0</v>
      </c>
      <c r="V309" s="6">
        <f t="shared" si="49"/>
        <v>0</v>
      </c>
      <c r="Y309" s="8">
        <f t="shared" si="50"/>
        <v>46023</v>
      </c>
    </row>
    <row r="310" spans="2:25" ht="18.75" x14ac:dyDescent="0.3">
      <c r="B310" s="6">
        <f t="shared" si="43"/>
        <v>0</v>
      </c>
      <c r="C310" s="6">
        <f t="shared" si="44"/>
        <v>0</v>
      </c>
      <c r="D310" s="6" t="str">
        <f t="shared" si="45"/>
        <v/>
      </c>
      <c r="E310" s="35" t="str">
        <f t="shared" si="41"/>
        <v/>
      </c>
      <c r="F310" s="31"/>
      <c r="G310" s="29"/>
      <c r="H310" s="78" t="str">
        <f t="shared" si="42"/>
        <v/>
      </c>
      <c r="I310" s="25"/>
      <c r="J310" s="25"/>
      <c r="K310" s="26"/>
      <c r="L310" s="26"/>
      <c r="M310" s="37"/>
      <c r="N310" s="27"/>
      <c r="O310" s="30"/>
      <c r="P310" s="39" t="str">
        <f t="shared" si="46"/>
        <v/>
      </c>
      <c r="Q310" s="40" t="str">
        <f>IF(OR(T310=0,RIGHT(T310,1)=$W$1),"",COUNTIF($T$3:T310,T310))</f>
        <v/>
      </c>
      <c r="S310" s="6">
        <f t="shared" si="47"/>
        <v>0</v>
      </c>
      <c r="T310" s="36">
        <f t="shared" si="48"/>
        <v>0</v>
      </c>
      <c r="V310" s="6">
        <f t="shared" si="49"/>
        <v>0</v>
      </c>
      <c r="Y310" s="8">
        <f t="shared" si="50"/>
        <v>46023</v>
      </c>
    </row>
    <row r="311" spans="2:25" ht="18.75" x14ac:dyDescent="0.3">
      <c r="B311" s="6">
        <f t="shared" si="43"/>
        <v>0</v>
      </c>
      <c r="C311" s="6">
        <f t="shared" si="44"/>
        <v>0</v>
      </c>
      <c r="D311" s="6" t="str">
        <f t="shared" si="45"/>
        <v/>
      </c>
      <c r="E311" s="35" t="str">
        <f t="shared" si="41"/>
        <v/>
      </c>
      <c r="F311" s="31"/>
      <c r="G311" s="29"/>
      <c r="H311" s="78" t="str">
        <f t="shared" si="42"/>
        <v/>
      </c>
      <c r="I311" s="25"/>
      <c r="J311" s="25"/>
      <c r="K311" s="26"/>
      <c r="L311" s="26"/>
      <c r="M311" s="37"/>
      <c r="N311" s="27"/>
      <c r="O311" s="30"/>
      <c r="P311" s="39" t="str">
        <f t="shared" si="46"/>
        <v/>
      </c>
      <c r="Q311" s="40" t="str">
        <f>IF(OR(T311=0,RIGHT(T311,1)=$W$1),"",COUNTIF($T$3:T311,T311))</f>
        <v/>
      </c>
      <c r="S311" s="6">
        <f t="shared" si="47"/>
        <v>0</v>
      </c>
      <c r="T311" s="36">
        <f t="shared" si="48"/>
        <v>0</v>
      </c>
      <c r="V311" s="6">
        <f t="shared" si="49"/>
        <v>0</v>
      </c>
      <c r="Y311" s="8">
        <f t="shared" si="50"/>
        <v>46023</v>
      </c>
    </row>
    <row r="312" spans="2:25" ht="18.75" x14ac:dyDescent="0.3">
      <c r="B312" s="6">
        <f t="shared" si="43"/>
        <v>0</v>
      </c>
      <c r="C312" s="6">
        <f t="shared" si="44"/>
        <v>0</v>
      </c>
      <c r="D312" s="6" t="str">
        <f t="shared" si="45"/>
        <v/>
      </c>
      <c r="E312" s="35" t="str">
        <f t="shared" si="41"/>
        <v/>
      </c>
      <c r="F312" s="31"/>
      <c r="G312" s="29"/>
      <c r="H312" s="78" t="str">
        <f t="shared" si="42"/>
        <v/>
      </c>
      <c r="I312" s="25"/>
      <c r="J312" s="25"/>
      <c r="K312" s="26"/>
      <c r="L312" s="26"/>
      <c r="M312" s="37"/>
      <c r="N312" s="27"/>
      <c r="O312" s="30"/>
      <c r="P312" s="39" t="str">
        <f t="shared" si="46"/>
        <v/>
      </c>
      <c r="Q312" s="40" t="str">
        <f>IF(OR(T312=0,RIGHT(T312,1)=$W$1),"",COUNTIF($T$3:T312,T312))</f>
        <v/>
      </c>
      <c r="S312" s="6">
        <f t="shared" si="47"/>
        <v>0</v>
      </c>
      <c r="T312" s="36">
        <f t="shared" si="48"/>
        <v>0</v>
      </c>
      <c r="V312" s="6">
        <f t="shared" si="49"/>
        <v>0</v>
      </c>
      <c r="Y312" s="8">
        <f t="shared" si="50"/>
        <v>46023</v>
      </c>
    </row>
    <row r="313" spans="2:25" ht="18.75" x14ac:dyDescent="0.3">
      <c r="B313" s="6">
        <f t="shared" si="43"/>
        <v>0</v>
      </c>
      <c r="C313" s="6">
        <f t="shared" si="44"/>
        <v>0</v>
      </c>
      <c r="D313" s="6" t="str">
        <f t="shared" si="45"/>
        <v/>
      </c>
      <c r="E313" s="35" t="str">
        <f t="shared" si="41"/>
        <v/>
      </c>
      <c r="F313" s="31"/>
      <c r="G313" s="29"/>
      <c r="H313" s="78" t="str">
        <f t="shared" si="42"/>
        <v/>
      </c>
      <c r="I313" s="25"/>
      <c r="J313" s="25"/>
      <c r="K313" s="26"/>
      <c r="L313" s="26"/>
      <c r="M313" s="37"/>
      <c r="N313" s="27"/>
      <c r="O313" s="30"/>
      <c r="P313" s="39" t="str">
        <f t="shared" si="46"/>
        <v/>
      </c>
      <c r="Q313" s="40" t="str">
        <f>IF(OR(T313=0,RIGHT(T313,1)=$W$1),"",COUNTIF($T$3:T313,T313))</f>
        <v/>
      </c>
      <c r="S313" s="6">
        <f t="shared" si="47"/>
        <v>0</v>
      </c>
      <c r="T313" s="36">
        <f t="shared" si="48"/>
        <v>0</v>
      </c>
      <c r="V313" s="6">
        <f t="shared" si="49"/>
        <v>0</v>
      </c>
      <c r="Y313" s="8">
        <f t="shared" si="50"/>
        <v>46023</v>
      </c>
    </row>
    <row r="314" spans="2:25" ht="18.75" x14ac:dyDescent="0.3">
      <c r="B314" s="6">
        <f t="shared" si="43"/>
        <v>0</v>
      </c>
      <c r="C314" s="6">
        <f t="shared" si="44"/>
        <v>0</v>
      </c>
      <c r="D314" s="6" t="str">
        <f t="shared" si="45"/>
        <v/>
      </c>
      <c r="E314" s="35" t="str">
        <f t="shared" si="41"/>
        <v/>
      </c>
      <c r="F314" s="31"/>
      <c r="G314" s="29"/>
      <c r="H314" s="78" t="str">
        <f t="shared" si="42"/>
        <v/>
      </c>
      <c r="I314" s="25"/>
      <c r="J314" s="25"/>
      <c r="K314" s="26"/>
      <c r="L314" s="26"/>
      <c r="M314" s="37"/>
      <c r="N314" s="27"/>
      <c r="O314" s="30"/>
      <c r="P314" s="39" t="str">
        <f t="shared" si="46"/>
        <v/>
      </c>
      <c r="Q314" s="40" t="str">
        <f>IF(OR(T314=0,RIGHT(T314,1)=$W$1),"",COUNTIF($T$3:T314,T314))</f>
        <v/>
      </c>
      <c r="S314" s="6">
        <f t="shared" si="47"/>
        <v>0</v>
      </c>
      <c r="T314" s="36">
        <f t="shared" si="48"/>
        <v>0</v>
      </c>
      <c r="V314" s="6">
        <f t="shared" si="49"/>
        <v>0</v>
      </c>
      <c r="Y314" s="8">
        <f t="shared" si="50"/>
        <v>46023</v>
      </c>
    </row>
    <row r="315" spans="2:25" ht="18.75" x14ac:dyDescent="0.3">
      <c r="B315" s="6">
        <f t="shared" si="43"/>
        <v>0</v>
      </c>
      <c r="C315" s="6">
        <f t="shared" si="44"/>
        <v>0</v>
      </c>
      <c r="D315" s="6" t="str">
        <f t="shared" si="45"/>
        <v/>
      </c>
      <c r="E315" s="35" t="str">
        <f t="shared" si="41"/>
        <v/>
      </c>
      <c r="F315" s="31"/>
      <c r="G315" s="29"/>
      <c r="H315" s="78" t="str">
        <f t="shared" si="42"/>
        <v/>
      </c>
      <c r="I315" s="25"/>
      <c r="J315" s="25"/>
      <c r="K315" s="26"/>
      <c r="L315" s="26"/>
      <c r="M315" s="37"/>
      <c r="N315" s="27"/>
      <c r="O315" s="30"/>
      <c r="P315" s="39" t="str">
        <f t="shared" si="46"/>
        <v/>
      </c>
      <c r="Q315" s="40" t="str">
        <f>IF(OR(T315=0,RIGHT(T315,1)=$W$1),"",COUNTIF($T$3:T315,T315))</f>
        <v/>
      </c>
      <c r="S315" s="6">
        <f t="shared" si="47"/>
        <v>0</v>
      </c>
      <c r="T315" s="36">
        <f t="shared" si="48"/>
        <v>0</v>
      </c>
      <c r="V315" s="6">
        <f t="shared" si="49"/>
        <v>0</v>
      </c>
      <c r="Y315" s="8">
        <f t="shared" si="50"/>
        <v>46023</v>
      </c>
    </row>
    <row r="316" spans="2:25" ht="18.75" x14ac:dyDescent="0.3">
      <c r="B316" s="6">
        <f t="shared" si="43"/>
        <v>0</v>
      </c>
      <c r="C316" s="6">
        <f t="shared" si="44"/>
        <v>0</v>
      </c>
      <c r="D316" s="6" t="str">
        <f t="shared" si="45"/>
        <v/>
      </c>
      <c r="E316" s="35" t="str">
        <f t="shared" si="41"/>
        <v/>
      </c>
      <c r="F316" s="31"/>
      <c r="G316" s="29"/>
      <c r="H316" s="78" t="str">
        <f t="shared" si="42"/>
        <v/>
      </c>
      <c r="I316" s="25"/>
      <c r="J316" s="25"/>
      <c r="K316" s="26"/>
      <c r="L316" s="26"/>
      <c r="M316" s="37"/>
      <c r="N316" s="27"/>
      <c r="O316" s="30"/>
      <c r="P316" s="39" t="str">
        <f t="shared" si="46"/>
        <v/>
      </c>
      <c r="Q316" s="40" t="str">
        <f>IF(OR(T316=0,RIGHT(T316,1)=$W$1),"",COUNTIF($T$3:T316,T316))</f>
        <v/>
      </c>
      <c r="S316" s="6">
        <f t="shared" si="47"/>
        <v>0</v>
      </c>
      <c r="T316" s="36">
        <f t="shared" si="48"/>
        <v>0</v>
      </c>
      <c r="V316" s="6">
        <f t="shared" si="49"/>
        <v>0</v>
      </c>
      <c r="Y316" s="8">
        <f t="shared" si="50"/>
        <v>46023</v>
      </c>
    </row>
    <row r="317" spans="2:25" ht="18.75" x14ac:dyDescent="0.3">
      <c r="B317" s="6">
        <f t="shared" si="43"/>
        <v>0</v>
      </c>
      <c r="C317" s="6">
        <f t="shared" si="44"/>
        <v>0</v>
      </c>
      <c r="D317" s="6" t="str">
        <f t="shared" si="45"/>
        <v/>
      </c>
      <c r="E317" s="35" t="str">
        <f t="shared" si="41"/>
        <v/>
      </c>
      <c r="F317" s="31"/>
      <c r="G317" s="29"/>
      <c r="H317" s="78" t="str">
        <f t="shared" si="42"/>
        <v/>
      </c>
      <c r="I317" s="25"/>
      <c r="J317" s="25"/>
      <c r="K317" s="26"/>
      <c r="L317" s="26"/>
      <c r="M317" s="37"/>
      <c r="N317" s="27"/>
      <c r="O317" s="30"/>
      <c r="P317" s="39" t="str">
        <f t="shared" si="46"/>
        <v/>
      </c>
      <c r="Q317" s="40" t="str">
        <f>IF(OR(T317=0,RIGHT(T317,1)=$W$1),"",COUNTIF($T$3:T317,T317))</f>
        <v/>
      </c>
      <c r="S317" s="6">
        <f t="shared" si="47"/>
        <v>0</v>
      </c>
      <c r="T317" s="36">
        <f t="shared" si="48"/>
        <v>0</v>
      </c>
      <c r="V317" s="6">
        <f t="shared" si="49"/>
        <v>0</v>
      </c>
      <c r="Y317" s="8">
        <f t="shared" si="50"/>
        <v>46023</v>
      </c>
    </row>
    <row r="318" spans="2:25" ht="18.75" x14ac:dyDescent="0.3">
      <c r="B318" s="6">
        <f t="shared" si="43"/>
        <v>0</v>
      </c>
      <c r="C318" s="6">
        <f t="shared" si="44"/>
        <v>0</v>
      </c>
      <c r="D318" s="6" t="str">
        <f t="shared" si="45"/>
        <v/>
      </c>
      <c r="E318" s="35" t="str">
        <f t="shared" si="41"/>
        <v/>
      </c>
      <c r="F318" s="31"/>
      <c r="G318" s="29"/>
      <c r="H318" s="78" t="str">
        <f t="shared" si="42"/>
        <v/>
      </c>
      <c r="I318" s="25"/>
      <c r="J318" s="25"/>
      <c r="K318" s="26"/>
      <c r="L318" s="26"/>
      <c r="M318" s="37"/>
      <c r="N318" s="27"/>
      <c r="O318" s="30"/>
      <c r="P318" s="39" t="str">
        <f t="shared" si="46"/>
        <v/>
      </c>
      <c r="Q318" s="40" t="str">
        <f>IF(OR(T318=0,RIGHT(T318,1)=$W$1),"",COUNTIF($T$3:T318,T318))</f>
        <v/>
      </c>
      <c r="S318" s="6">
        <f t="shared" si="47"/>
        <v>0</v>
      </c>
      <c r="T318" s="36">
        <f t="shared" si="48"/>
        <v>0</v>
      </c>
      <c r="V318" s="6">
        <f t="shared" si="49"/>
        <v>0</v>
      </c>
      <c r="Y318" s="8">
        <f t="shared" si="50"/>
        <v>46023</v>
      </c>
    </row>
    <row r="319" spans="2:25" ht="18.75" x14ac:dyDescent="0.3">
      <c r="B319" s="6">
        <f t="shared" si="43"/>
        <v>0</v>
      </c>
      <c r="C319" s="6">
        <f t="shared" si="44"/>
        <v>0</v>
      </c>
      <c r="D319" s="6" t="str">
        <f t="shared" si="45"/>
        <v/>
      </c>
      <c r="E319" s="35" t="str">
        <f t="shared" si="41"/>
        <v/>
      </c>
      <c r="F319" s="31"/>
      <c r="G319" s="29"/>
      <c r="H319" s="78" t="str">
        <f t="shared" si="42"/>
        <v/>
      </c>
      <c r="I319" s="25"/>
      <c r="J319" s="25"/>
      <c r="K319" s="26"/>
      <c r="L319" s="26"/>
      <c r="M319" s="37"/>
      <c r="N319" s="27"/>
      <c r="O319" s="30"/>
      <c r="P319" s="39" t="str">
        <f t="shared" si="46"/>
        <v/>
      </c>
      <c r="Q319" s="40" t="str">
        <f>IF(OR(T319=0,RIGHT(T319,1)=$W$1),"",COUNTIF($T$3:T319,T319))</f>
        <v/>
      </c>
      <c r="S319" s="6">
        <f t="shared" si="47"/>
        <v>0</v>
      </c>
      <c r="T319" s="36">
        <f t="shared" si="48"/>
        <v>0</v>
      </c>
      <c r="V319" s="6">
        <f t="shared" si="49"/>
        <v>0</v>
      </c>
      <c r="Y319" s="8">
        <f t="shared" si="50"/>
        <v>46023</v>
      </c>
    </row>
    <row r="320" spans="2:25" ht="18.75" x14ac:dyDescent="0.3">
      <c r="B320" s="6">
        <f t="shared" si="43"/>
        <v>0</v>
      </c>
      <c r="C320" s="6">
        <f t="shared" si="44"/>
        <v>0</v>
      </c>
      <c r="D320" s="6" t="str">
        <f t="shared" si="45"/>
        <v/>
      </c>
      <c r="E320" s="35" t="str">
        <f t="shared" si="41"/>
        <v/>
      </c>
      <c r="F320" s="31"/>
      <c r="G320" s="29"/>
      <c r="H320" s="78" t="str">
        <f t="shared" si="42"/>
        <v/>
      </c>
      <c r="I320" s="25"/>
      <c r="J320" s="25"/>
      <c r="K320" s="26"/>
      <c r="L320" s="26"/>
      <c r="M320" s="37"/>
      <c r="N320" s="27"/>
      <c r="O320" s="30"/>
      <c r="P320" s="39" t="str">
        <f t="shared" si="46"/>
        <v/>
      </c>
      <c r="Q320" s="40" t="str">
        <f>IF(OR(T320=0,RIGHT(T320,1)=$W$1),"",COUNTIF($T$3:T320,T320))</f>
        <v/>
      </c>
      <c r="S320" s="6">
        <f t="shared" si="47"/>
        <v>0</v>
      </c>
      <c r="T320" s="36">
        <f t="shared" si="48"/>
        <v>0</v>
      </c>
      <c r="V320" s="6">
        <f t="shared" si="49"/>
        <v>0</v>
      </c>
      <c r="Y320" s="8">
        <f t="shared" si="50"/>
        <v>46023</v>
      </c>
    </row>
    <row r="321" spans="2:25" ht="18.75" x14ac:dyDescent="0.3">
      <c r="B321" s="6">
        <f t="shared" si="43"/>
        <v>0</v>
      </c>
      <c r="C321" s="6">
        <f t="shared" si="44"/>
        <v>0</v>
      </c>
      <c r="D321" s="6" t="str">
        <f t="shared" si="45"/>
        <v/>
      </c>
      <c r="E321" s="35" t="str">
        <f t="shared" si="41"/>
        <v/>
      </c>
      <c r="F321" s="31"/>
      <c r="G321" s="29"/>
      <c r="H321" s="78" t="str">
        <f t="shared" si="42"/>
        <v/>
      </c>
      <c r="I321" s="25"/>
      <c r="J321" s="25"/>
      <c r="K321" s="26"/>
      <c r="L321" s="26"/>
      <c r="M321" s="37"/>
      <c r="N321" s="27"/>
      <c r="O321" s="30"/>
      <c r="P321" s="39" t="str">
        <f t="shared" si="46"/>
        <v/>
      </c>
      <c r="Q321" s="40" t="str">
        <f>IF(OR(T321=0,RIGHT(T321,1)=$W$1),"",COUNTIF($T$3:T321,T321))</f>
        <v/>
      </c>
      <c r="S321" s="6">
        <f t="shared" si="47"/>
        <v>0</v>
      </c>
      <c r="T321" s="36">
        <f t="shared" si="48"/>
        <v>0</v>
      </c>
      <c r="V321" s="6">
        <f t="shared" si="49"/>
        <v>0</v>
      </c>
      <c r="Y321" s="8">
        <f t="shared" si="50"/>
        <v>46023</v>
      </c>
    </row>
    <row r="322" spans="2:25" ht="18.75" x14ac:dyDescent="0.3">
      <c r="B322" s="6">
        <f t="shared" si="43"/>
        <v>0</v>
      </c>
      <c r="C322" s="6">
        <f t="shared" si="44"/>
        <v>0</v>
      </c>
      <c r="D322" s="6" t="str">
        <f t="shared" si="45"/>
        <v/>
      </c>
      <c r="E322" s="35" t="str">
        <f t="shared" si="41"/>
        <v/>
      </c>
      <c r="F322" s="31"/>
      <c r="G322" s="29"/>
      <c r="H322" s="78" t="str">
        <f t="shared" si="42"/>
        <v/>
      </c>
      <c r="I322" s="25"/>
      <c r="J322" s="25"/>
      <c r="K322" s="26"/>
      <c r="L322" s="26"/>
      <c r="M322" s="37"/>
      <c r="N322" s="27"/>
      <c r="O322" s="30"/>
      <c r="P322" s="39" t="str">
        <f t="shared" si="46"/>
        <v/>
      </c>
      <c r="Q322" s="40" t="str">
        <f>IF(OR(T322=0,RIGHT(T322,1)=$W$1),"",COUNTIF($T$3:T322,T322))</f>
        <v/>
      </c>
      <c r="S322" s="6">
        <f t="shared" si="47"/>
        <v>0</v>
      </c>
      <c r="T322" s="36">
        <f t="shared" si="48"/>
        <v>0</v>
      </c>
      <c r="V322" s="6">
        <f t="shared" si="49"/>
        <v>0</v>
      </c>
      <c r="Y322" s="8">
        <f t="shared" si="50"/>
        <v>46023</v>
      </c>
    </row>
    <row r="323" spans="2:25" ht="18.75" x14ac:dyDescent="0.3">
      <c r="B323" s="6">
        <f t="shared" si="43"/>
        <v>0</v>
      </c>
      <c r="C323" s="6">
        <f t="shared" si="44"/>
        <v>0</v>
      </c>
      <c r="D323" s="6" t="str">
        <f t="shared" si="45"/>
        <v/>
      </c>
      <c r="E323" s="35" t="str">
        <f t="shared" ref="E323:E386" si="51">IF(D323&lt;&gt;"",D323&amp;" - "&amp;YEAR(F323),"")</f>
        <v/>
      </c>
      <c r="F323" s="31"/>
      <c r="G323" s="29"/>
      <c r="H323" s="78" t="str">
        <f t="shared" ref="H323:H386" si="52">IF(G323&lt;&gt;"",F323,"")</f>
        <v/>
      </c>
      <c r="I323" s="25"/>
      <c r="J323" s="25"/>
      <c r="K323" s="26"/>
      <c r="L323" s="26"/>
      <c r="M323" s="37"/>
      <c r="N323" s="27"/>
      <c r="O323" s="30"/>
      <c r="P323" s="39" t="str">
        <f t="shared" si="46"/>
        <v/>
      </c>
      <c r="Q323" s="40" t="str">
        <f>IF(OR(T323=0,RIGHT(T323,1)=$W$1),"",COUNTIF($T$3:T323,T323))</f>
        <v/>
      </c>
      <c r="S323" s="6">
        <f t="shared" si="47"/>
        <v>0</v>
      </c>
      <c r="T323" s="36">
        <f t="shared" si="48"/>
        <v>0</v>
      </c>
      <c r="V323" s="6">
        <f t="shared" si="49"/>
        <v>0</v>
      </c>
      <c r="Y323" s="8">
        <f t="shared" si="50"/>
        <v>46023</v>
      </c>
    </row>
    <row r="324" spans="2:25" ht="18.75" x14ac:dyDescent="0.3">
      <c r="B324" s="6">
        <f t="shared" ref="B324:B387" si="53">IF($B$1=YEAR(F324),B323+1,B323)</f>
        <v>0</v>
      </c>
      <c r="C324" s="6">
        <f t="shared" ref="C324:C387" si="54">IF(AND($C$1=K324,$Y$1=YEAR(F324)),C323+1,C323)</f>
        <v>0</v>
      </c>
      <c r="D324" s="6" t="str">
        <f t="shared" ref="D324:D387" si="55">IF(F324&lt;&gt;0,IF(YEAR(F324)&lt;&gt;YEAR(F323),1,IF(M324=$AI$1,D323,D323+1)),"")</f>
        <v/>
      </c>
      <c r="E324" s="35" t="str">
        <f t="shared" si="51"/>
        <v/>
      </c>
      <c r="F324" s="31"/>
      <c r="G324" s="29"/>
      <c r="H324" s="78" t="str">
        <f t="shared" si="52"/>
        <v/>
      </c>
      <c r="I324" s="25"/>
      <c r="J324" s="25"/>
      <c r="K324" s="26"/>
      <c r="L324" s="26"/>
      <c r="M324" s="37"/>
      <c r="N324" s="27"/>
      <c r="O324" s="30"/>
      <c r="P324" s="39" t="str">
        <f t="shared" ref="P324:P387" si="56">IF(OR(T324=0,RIGHT(T324,1)=$W$1),"",VLOOKUP(K324,$AD$1:$AK$15,5,FALSE))</f>
        <v/>
      </c>
      <c r="Q324" s="40" t="str">
        <f>IF(OR(T324=0,RIGHT(T324,1)=$W$1),"",COUNTIF($T$3:T324,T324))</f>
        <v/>
      </c>
      <c r="S324" s="6">
        <f t="shared" ref="S324:S387" si="57">IF(AND($C$1=K324,$Y$1=YEAR(F324)),C324,0)</f>
        <v>0</v>
      </c>
      <c r="T324" s="36">
        <f t="shared" ref="T324:T387" si="58">IF(F324=0,0,YEAR(F324)&amp;VLOOKUP(K324,$AD$1:$AE$15,2,FALSE))</f>
        <v>0</v>
      </c>
      <c r="V324" s="6">
        <f t="shared" ref="V324:V387" si="59">IF(AND(YEAR(F324)=$Y$1,K324=$C$1,L324&amp;$V$1&lt;&gt;$V$1),L324,IF(AND(YEAR(F324)=$Y$1,K324=$C$1),1,0))</f>
        <v>0</v>
      </c>
      <c r="Y324" s="8">
        <f t="shared" ref="Y324:Y387" si="60">IF(M324&lt;&gt;$AI$1,$Y$2,F323)</f>
        <v>46023</v>
      </c>
    </row>
    <row r="325" spans="2:25" ht="18.75" x14ac:dyDescent="0.3">
      <c r="B325" s="6">
        <f t="shared" si="53"/>
        <v>0</v>
      </c>
      <c r="C325" s="6">
        <f t="shared" si="54"/>
        <v>0</v>
      </c>
      <c r="D325" s="6" t="str">
        <f t="shared" si="55"/>
        <v/>
      </c>
      <c r="E325" s="35" t="str">
        <f t="shared" si="51"/>
        <v/>
      </c>
      <c r="F325" s="31"/>
      <c r="G325" s="29"/>
      <c r="H325" s="78" t="str">
        <f t="shared" si="52"/>
        <v/>
      </c>
      <c r="I325" s="25"/>
      <c r="J325" s="25"/>
      <c r="K325" s="26"/>
      <c r="L325" s="26"/>
      <c r="M325" s="37"/>
      <c r="N325" s="27"/>
      <c r="O325" s="30"/>
      <c r="P325" s="39" t="str">
        <f t="shared" si="56"/>
        <v/>
      </c>
      <c r="Q325" s="40" t="str">
        <f>IF(OR(T325=0,RIGHT(T325,1)=$W$1),"",COUNTIF($T$3:T325,T325))</f>
        <v/>
      </c>
      <c r="S325" s="6">
        <f t="shared" si="57"/>
        <v>0</v>
      </c>
      <c r="T325" s="36">
        <f t="shared" si="58"/>
        <v>0</v>
      </c>
      <c r="V325" s="6">
        <f t="shared" si="59"/>
        <v>0</v>
      </c>
      <c r="Y325" s="8">
        <f t="shared" si="60"/>
        <v>46023</v>
      </c>
    </row>
    <row r="326" spans="2:25" ht="18.75" x14ac:dyDescent="0.3">
      <c r="B326" s="6">
        <f t="shared" si="53"/>
        <v>0</v>
      </c>
      <c r="C326" s="6">
        <f t="shared" si="54"/>
        <v>0</v>
      </c>
      <c r="D326" s="6" t="str">
        <f t="shared" si="55"/>
        <v/>
      </c>
      <c r="E326" s="35" t="str">
        <f t="shared" si="51"/>
        <v/>
      </c>
      <c r="F326" s="31"/>
      <c r="G326" s="29"/>
      <c r="H326" s="78" t="str">
        <f t="shared" si="52"/>
        <v/>
      </c>
      <c r="I326" s="25"/>
      <c r="J326" s="25"/>
      <c r="K326" s="26"/>
      <c r="L326" s="26"/>
      <c r="M326" s="37"/>
      <c r="N326" s="27"/>
      <c r="O326" s="30"/>
      <c r="P326" s="39" t="str">
        <f t="shared" si="56"/>
        <v/>
      </c>
      <c r="Q326" s="40" t="str">
        <f>IF(OR(T326=0,RIGHT(T326,1)=$W$1),"",COUNTIF($T$3:T326,T326))</f>
        <v/>
      </c>
      <c r="S326" s="6">
        <f t="shared" si="57"/>
        <v>0</v>
      </c>
      <c r="T326" s="36">
        <f t="shared" si="58"/>
        <v>0</v>
      </c>
      <c r="V326" s="6">
        <f t="shared" si="59"/>
        <v>0</v>
      </c>
      <c r="Y326" s="8">
        <f t="shared" si="60"/>
        <v>46023</v>
      </c>
    </row>
    <row r="327" spans="2:25" ht="18.75" x14ac:dyDescent="0.3">
      <c r="B327" s="6">
        <f t="shared" si="53"/>
        <v>0</v>
      </c>
      <c r="C327" s="6">
        <f t="shared" si="54"/>
        <v>0</v>
      </c>
      <c r="D327" s="6" t="str">
        <f t="shared" si="55"/>
        <v/>
      </c>
      <c r="E327" s="35" t="str">
        <f t="shared" si="51"/>
        <v/>
      </c>
      <c r="F327" s="31"/>
      <c r="G327" s="29"/>
      <c r="H327" s="78" t="str">
        <f t="shared" si="52"/>
        <v/>
      </c>
      <c r="I327" s="25"/>
      <c r="J327" s="25"/>
      <c r="K327" s="26"/>
      <c r="L327" s="26"/>
      <c r="M327" s="37"/>
      <c r="N327" s="27"/>
      <c r="O327" s="30"/>
      <c r="P327" s="39" t="str">
        <f t="shared" si="56"/>
        <v/>
      </c>
      <c r="Q327" s="40" t="str">
        <f>IF(OR(T327=0,RIGHT(T327,1)=$W$1),"",COUNTIF($T$3:T327,T327))</f>
        <v/>
      </c>
      <c r="S327" s="6">
        <f t="shared" si="57"/>
        <v>0</v>
      </c>
      <c r="T327" s="36">
        <f t="shared" si="58"/>
        <v>0</v>
      </c>
      <c r="V327" s="6">
        <f t="shared" si="59"/>
        <v>0</v>
      </c>
      <c r="Y327" s="8">
        <f t="shared" si="60"/>
        <v>46023</v>
      </c>
    </row>
    <row r="328" spans="2:25" ht="18.75" x14ac:dyDescent="0.3">
      <c r="B328" s="6">
        <f t="shared" si="53"/>
        <v>0</v>
      </c>
      <c r="C328" s="6">
        <f t="shared" si="54"/>
        <v>0</v>
      </c>
      <c r="D328" s="6" t="str">
        <f t="shared" si="55"/>
        <v/>
      </c>
      <c r="E328" s="35" t="str">
        <f t="shared" si="51"/>
        <v/>
      </c>
      <c r="F328" s="31"/>
      <c r="G328" s="29"/>
      <c r="H328" s="78" t="str">
        <f t="shared" si="52"/>
        <v/>
      </c>
      <c r="I328" s="25"/>
      <c r="J328" s="25"/>
      <c r="K328" s="26"/>
      <c r="L328" s="26"/>
      <c r="M328" s="37"/>
      <c r="N328" s="27"/>
      <c r="O328" s="30"/>
      <c r="P328" s="39" t="str">
        <f t="shared" si="56"/>
        <v/>
      </c>
      <c r="Q328" s="40" t="str">
        <f>IF(OR(T328=0,RIGHT(T328,1)=$W$1),"",COUNTIF($T$3:T328,T328))</f>
        <v/>
      </c>
      <c r="S328" s="6">
        <f t="shared" si="57"/>
        <v>0</v>
      </c>
      <c r="T328" s="36">
        <f t="shared" si="58"/>
        <v>0</v>
      </c>
      <c r="V328" s="6">
        <f t="shared" si="59"/>
        <v>0</v>
      </c>
      <c r="Y328" s="8">
        <f t="shared" si="60"/>
        <v>46023</v>
      </c>
    </row>
    <row r="329" spans="2:25" ht="18.75" x14ac:dyDescent="0.3">
      <c r="B329" s="6">
        <f t="shared" si="53"/>
        <v>0</v>
      </c>
      <c r="C329" s="6">
        <f t="shared" si="54"/>
        <v>0</v>
      </c>
      <c r="D329" s="6" t="str">
        <f t="shared" si="55"/>
        <v/>
      </c>
      <c r="E329" s="35" t="str">
        <f t="shared" si="51"/>
        <v/>
      </c>
      <c r="F329" s="31"/>
      <c r="G329" s="29"/>
      <c r="H329" s="78" t="str">
        <f t="shared" si="52"/>
        <v/>
      </c>
      <c r="I329" s="25"/>
      <c r="J329" s="25"/>
      <c r="K329" s="26"/>
      <c r="L329" s="26"/>
      <c r="M329" s="37"/>
      <c r="N329" s="27"/>
      <c r="O329" s="30"/>
      <c r="P329" s="39" t="str">
        <f t="shared" si="56"/>
        <v/>
      </c>
      <c r="Q329" s="40" t="str">
        <f>IF(OR(T329=0,RIGHT(T329,1)=$W$1),"",COUNTIF($T$3:T329,T329))</f>
        <v/>
      </c>
      <c r="S329" s="6">
        <f t="shared" si="57"/>
        <v>0</v>
      </c>
      <c r="T329" s="36">
        <f t="shared" si="58"/>
        <v>0</v>
      </c>
      <c r="V329" s="6">
        <f t="shared" si="59"/>
        <v>0</v>
      </c>
      <c r="Y329" s="8">
        <f t="shared" si="60"/>
        <v>46023</v>
      </c>
    </row>
    <row r="330" spans="2:25" ht="18.75" x14ac:dyDescent="0.3">
      <c r="B330" s="6">
        <f t="shared" si="53"/>
        <v>0</v>
      </c>
      <c r="C330" s="6">
        <f t="shared" si="54"/>
        <v>0</v>
      </c>
      <c r="D330" s="6" t="str">
        <f t="shared" si="55"/>
        <v/>
      </c>
      <c r="E330" s="35" t="str">
        <f t="shared" si="51"/>
        <v/>
      </c>
      <c r="F330" s="31"/>
      <c r="G330" s="29"/>
      <c r="H330" s="78" t="str">
        <f t="shared" si="52"/>
        <v/>
      </c>
      <c r="I330" s="25"/>
      <c r="J330" s="25"/>
      <c r="K330" s="26"/>
      <c r="L330" s="26"/>
      <c r="M330" s="37"/>
      <c r="N330" s="27"/>
      <c r="O330" s="30"/>
      <c r="P330" s="39" t="str">
        <f t="shared" si="56"/>
        <v/>
      </c>
      <c r="Q330" s="40" t="str">
        <f>IF(OR(T330=0,RIGHT(T330,1)=$W$1),"",COUNTIF($T$3:T330,T330))</f>
        <v/>
      </c>
      <c r="S330" s="6">
        <f t="shared" si="57"/>
        <v>0</v>
      </c>
      <c r="T330" s="36">
        <f t="shared" si="58"/>
        <v>0</v>
      </c>
      <c r="V330" s="6">
        <f t="shared" si="59"/>
        <v>0</v>
      </c>
      <c r="Y330" s="8">
        <f t="shared" si="60"/>
        <v>46023</v>
      </c>
    </row>
    <row r="331" spans="2:25" ht="18.75" x14ac:dyDescent="0.3">
      <c r="B331" s="6">
        <f t="shared" si="53"/>
        <v>0</v>
      </c>
      <c r="C331" s="6">
        <f t="shared" si="54"/>
        <v>0</v>
      </c>
      <c r="D331" s="6" t="str">
        <f t="shared" si="55"/>
        <v/>
      </c>
      <c r="E331" s="35" t="str">
        <f t="shared" si="51"/>
        <v/>
      </c>
      <c r="F331" s="31"/>
      <c r="G331" s="29"/>
      <c r="H331" s="78" t="str">
        <f t="shared" si="52"/>
        <v/>
      </c>
      <c r="I331" s="25"/>
      <c r="J331" s="25"/>
      <c r="K331" s="26"/>
      <c r="L331" s="26"/>
      <c r="M331" s="37"/>
      <c r="N331" s="27"/>
      <c r="O331" s="30"/>
      <c r="P331" s="39" t="str">
        <f t="shared" si="56"/>
        <v/>
      </c>
      <c r="Q331" s="40" t="str">
        <f>IF(OR(T331=0,RIGHT(T331,1)=$W$1),"",COUNTIF($T$3:T331,T331))</f>
        <v/>
      </c>
      <c r="S331" s="6">
        <f t="shared" si="57"/>
        <v>0</v>
      </c>
      <c r="T331" s="36">
        <f t="shared" si="58"/>
        <v>0</v>
      </c>
      <c r="V331" s="6">
        <f t="shared" si="59"/>
        <v>0</v>
      </c>
      <c r="Y331" s="8">
        <f t="shared" si="60"/>
        <v>46023</v>
      </c>
    </row>
    <row r="332" spans="2:25" ht="18.75" x14ac:dyDescent="0.3">
      <c r="B332" s="6">
        <f t="shared" si="53"/>
        <v>0</v>
      </c>
      <c r="C332" s="6">
        <f t="shared" si="54"/>
        <v>0</v>
      </c>
      <c r="D332" s="6" t="str">
        <f t="shared" si="55"/>
        <v/>
      </c>
      <c r="E332" s="35" t="str">
        <f t="shared" si="51"/>
        <v/>
      </c>
      <c r="F332" s="31"/>
      <c r="G332" s="29"/>
      <c r="H332" s="78" t="str">
        <f t="shared" si="52"/>
        <v/>
      </c>
      <c r="I332" s="25"/>
      <c r="J332" s="25"/>
      <c r="K332" s="26"/>
      <c r="L332" s="26"/>
      <c r="M332" s="37"/>
      <c r="N332" s="27"/>
      <c r="O332" s="30"/>
      <c r="P332" s="39" t="str">
        <f t="shared" si="56"/>
        <v/>
      </c>
      <c r="Q332" s="40" t="str">
        <f>IF(OR(T332=0,RIGHT(T332,1)=$W$1),"",COUNTIF($T$3:T332,T332))</f>
        <v/>
      </c>
      <c r="S332" s="6">
        <f t="shared" si="57"/>
        <v>0</v>
      </c>
      <c r="T332" s="36">
        <f t="shared" si="58"/>
        <v>0</v>
      </c>
      <c r="V332" s="6">
        <f t="shared" si="59"/>
        <v>0</v>
      </c>
      <c r="Y332" s="8">
        <f t="shared" si="60"/>
        <v>46023</v>
      </c>
    </row>
    <row r="333" spans="2:25" ht="18.75" x14ac:dyDescent="0.3">
      <c r="B333" s="6">
        <f t="shared" si="53"/>
        <v>0</v>
      </c>
      <c r="C333" s="6">
        <f t="shared" si="54"/>
        <v>0</v>
      </c>
      <c r="D333" s="6" t="str">
        <f t="shared" si="55"/>
        <v/>
      </c>
      <c r="E333" s="35" t="str">
        <f t="shared" si="51"/>
        <v/>
      </c>
      <c r="F333" s="31"/>
      <c r="G333" s="29"/>
      <c r="H333" s="78" t="str">
        <f t="shared" si="52"/>
        <v/>
      </c>
      <c r="I333" s="25"/>
      <c r="J333" s="25"/>
      <c r="K333" s="26"/>
      <c r="L333" s="26"/>
      <c r="M333" s="37"/>
      <c r="N333" s="27"/>
      <c r="O333" s="30"/>
      <c r="P333" s="39" t="str">
        <f t="shared" si="56"/>
        <v/>
      </c>
      <c r="Q333" s="40" t="str">
        <f>IF(OR(T333=0,RIGHT(T333,1)=$W$1),"",COUNTIF($T$3:T333,T333))</f>
        <v/>
      </c>
      <c r="S333" s="6">
        <f t="shared" si="57"/>
        <v>0</v>
      </c>
      <c r="T333" s="36">
        <f t="shared" si="58"/>
        <v>0</v>
      </c>
      <c r="V333" s="6">
        <f t="shared" si="59"/>
        <v>0</v>
      </c>
      <c r="Y333" s="8">
        <f t="shared" si="60"/>
        <v>46023</v>
      </c>
    </row>
    <row r="334" spans="2:25" ht="18.75" x14ac:dyDescent="0.3">
      <c r="B334" s="6">
        <f t="shared" si="53"/>
        <v>0</v>
      </c>
      <c r="C334" s="6">
        <f t="shared" si="54"/>
        <v>0</v>
      </c>
      <c r="D334" s="6" t="str">
        <f t="shared" si="55"/>
        <v/>
      </c>
      <c r="E334" s="35" t="str">
        <f t="shared" si="51"/>
        <v/>
      </c>
      <c r="F334" s="31"/>
      <c r="G334" s="29"/>
      <c r="H334" s="78" t="str">
        <f t="shared" si="52"/>
        <v/>
      </c>
      <c r="I334" s="25"/>
      <c r="J334" s="25"/>
      <c r="K334" s="26"/>
      <c r="L334" s="26"/>
      <c r="M334" s="37"/>
      <c r="N334" s="27"/>
      <c r="O334" s="30"/>
      <c r="P334" s="39" t="str">
        <f t="shared" si="56"/>
        <v/>
      </c>
      <c r="Q334" s="40" t="str">
        <f>IF(OR(T334=0,RIGHT(T334,1)=$W$1),"",COUNTIF($T$3:T334,T334))</f>
        <v/>
      </c>
      <c r="S334" s="6">
        <f t="shared" si="57"/>
        <v>0</v>
      </c>
      <c r="T334" s="36">
        <f t="shared" si="58"/>
        <v>0</v>
      </c>
      <c r="V334" s="6">
        <f t="shared" si="59"/>
        <v>0</v>
      </c>
      <c r="Y334" s="8">
        <f t="shared" si="60"/>
        <v>46023</v>
      </c>
    </row>
    <row r="335" spans="2:25" ht="18.75" x14ac:dyDescent="0.3">
      <c r="B335" s="6">
        <f t="shared" si="53"/>
        <v>0</v>
      </c>
      <c r="C335" s="6">
        <f t="shared" si="54"/>
        <v>0</v>
      </c>
      <c r="D335" s="6" t="str">
        <f t="shared" si="55"/>
        <v/>
      </c>
      <c r="E335" s="35" t="str">
        <f t="shared" si="51"/>
        <v/>
      </c>
      <c r="F335" s="31"/>
      <c r="G335" s="29"/>
      <c r="H335" s="78" t="str">
        <f t="shared" si="52"/>
        <v/>
      </c>
      <c r="I335" s="25"/>
      <c r="J335" s="25"/>
      <c r="K335" s="26"/>
      <c r="L335" s="26"/>
      <c r="M335" s="37"/>
      <c r="N335" s="27"/>
      <c r="O335" s="30"/>
      <c r="P335" s="39" t="str">
        <f t="shared" si="56"/>
        <v/>
      </c>
      <c r="Q335" s="40" t="str">
        <f>IF(OR(T335=0,RIGHT(T335,1)=$W$1),"",COUNTIF($T$3:T335,T335))</f>
        <v/>
      </c>
      <c r="S335" s="6">
        <f t="shared" si="57"/>
        <v>0</v>
      </c>
      <c r="T335" s="36">
        <f t="shared" si="58"/>
        <v>0</v>
      </c>
      <c r="V335" s="6">
        <f t="shared" si="59"/>
        <v>0</v>
      </c>
      <c r="Y335" s="8">
        <f t="shared" si="60"/>
        <v>46023</v>
      </c>
    </row>
    <row r="336" spans="2:25" ht="18.75" x14ac:dyDescent="0.3">
      <c r="B336" s="6">
        <f t="shared" si="53"/>
        <v>0</v>
      </c>
      <c r="C336" s="6">
        <f t="shared" si="54"/>
        <v>0</v>
      </c>
      <c r="D336" s="6" t="str">
        <f t="shared" si="55"/>
        <v/>
      </c>
      <c r="E336" s="35" t="str">
        <f t="shared" si="51"/>
        <v/>
      </c>
      <c r="F336" s="31"/>
      <c r="G336" s="29"/>
      <c r="H336" s="78" t="str">
        <f t="shared" si="52"/>
        <v/>
      </c>
      <c r="I336" s="25"/>
      <c r="J336" s="25"/>
      <c r="K336" s="26"/>
      <c r="L336" s="26"/>
      <c r="M336" s="37"/>
      <c r="N336" s="27"/>
      <c r="O336" s="30"/>
      <c r="P336" s="39" t="str">
        <f t="shared" si="56"/>
        <v/>
      </c>
      <c r="Q336" s="40" t="str">
        <f>IF(OR(T336=0,RIGHT(T336,1)=$W$1),"",COUNTIF($T$3:T336,T336))</f>
        <v/>
      </c>
      <c r="S336" s="6">
        <f t="shared" si="57"/>
        <v>0</v>
      </c>
      <c r="T336" s="36">
        <f t="shared" si="58"/>
        <v>0</v>
      </c>
      <c r="V336" s="6">
        <f t="shared" si="59"/>
        <v>0</v>
      </c>
      <c r="Y336" s="8">
        <f t="shared" si="60"/>
        <v>46023</v>
      </c>
    </row>
    <row r="337" spans="2:25" ht="18.75" x14ac:dyDescent="0.3">
      <c r="B337" s="6">
        <f t="shared" si="53"/>
        <v>0</v>
      </c>
      <c r="C337" s="6">
        <f t="shared" si="54"/>
        <v>0</v>
      </c>
      <c r="D337" s="6" t="str">
        <f t="shared" si="55"/>
        <v/>
      </c>
      <c r="E337" s="35" t="str">
        <f t="shared" si="51"/>
        <v/>
      </c>
      <c r="F337" s="31"/>
      <c r="G337" s="29"/>
      <c r="H337" s="78" t="str">
        <f t="shared" si="52"/>
        <v/>
      </c>
      <c r="I337" s="25"/>
      <c r="J337" s="25"/>
      <c r="K337" s="26"/>
      <c r="L337" s="26"/>
      <c r="M337" s="37"/>
      <c r="N337" s="27"/>
      <c r="O337" s="30"/>
      <c r="P337" s="39" t="str">
        <f t="shared" si="56"/>
        <v/>
      </c>
      <c r="Q337" s="40" t="str">
        <f>IF(OR(T337=0,RIGHT(T337,1)=$W$1),"",COUNTIF($T$3:T337,T337))</f>
        <v/>
      </c>
      <c r="S337" s="6">
        <f t="shared" si="57"/>
        <v>0</v>
      </c>
      <c r="T337" s="36">
        <f t="shared" si="58"/>
        <v>0</v>
      </c>
      <c r="V337" s="6">
        <f t="shared" si="59"/>
        <v>0</v>
      </c>
      <c r="Y337" s="8">
        <f t="shared" si="60"/>
        <v>46023</v>
      </c>
    </row>
    <row r="338" spans="2:25" ht="18.75" x14ac:dyDescent="0.3">
      <c r="B338" s="6">
        <f t="shared" si="53"/>
        <v>0</v>
      </c>
      <c r="C338" s="6">
        <f t="shared" si="54"/>
        <v>0</v>
      </c>
      <c r="D338" s="6" t="str">
        <f t="shared" si="55"/>
        <v/>
      </c>
      <c r="E338" s="35" t="str">
        <f t="shared" si="51"/>
        <v/>
      </c>
      <c r="F338" s="31"/>
      <c r="G338" s="29"/>
      <c r="H338" s="78" t="str">
        <f t="shared" si="52"/>
        <v/>
      </c>
      <c r="I338" s="25"/>
      <c r="J338" s="25"/>
      <c r="K338" s="26"/>
      <c r="L338" s="26"/>
      <c r="M338" s="37"/>
      <c r="N338" s="27"/>
      <c r="O338" s="30"/>
      <c r="P338" s="39" t="str">
        <f t="shared" si="56"/>
        <v/>
      </c>
      <c r="Q338" s="40" t="str">
        <f>IF(OR(T338=0,RIGHT(T338,1)=$W$1),"",COUNTIF($T$3:T338,T338))</f>
        <v/>
      </c>
      <c r="S338" s="6">
        <f t="shared" si="57"/>
        <v>0</v>
      </c>
      <c r="T338" s="36">
        <f t="shared" si="58"/>
        <v>0</v>
      </c>
      <c r="V338" s="6">
        <f t="shared" si="59"/>
        <v>0</v>
      </c>
      <c r="Y338" s="8">
        <f t="shared" si="60"/>
        <v>46023</v>
      </c>
    </row>
    <row r="339" spans="2:25" ht="18.75" x14ac:dyDescent="0.3">
      <c r="B339" s="6">
        <f t="shared" si="53"/>
        <v>0</v>
      </c>
      <c r="C339" s="6">
        <f t="shared" si="54"/>
        <v>0</v>
      </c>
      <c r="D339" s="6" t="str">
        <f t="shared" si="55"/>
        <v/>
      </c>
      <c r="E339" s="35" t="str">
        <f t="shared" si="51"/>
        <v/>
      </c>
      <c r="F339" s="31"/>
      <c r="G339" s="29"/>
      <c r="H339" s="78" t="str">
        <f t="shared" si="52"/>
        <v/>
      </c>
      <c r="I339" s="25"/>
      <c r="J339" s="25"/>
      <c r="K339" s="26"/>
      <c r="L339" s="26"/>
      <c r="M339" s="37"/>
      <c r="N339" s="27"/>
      <c r="O339" s="30"/>
      <c r="P339" s="39" t="str">
        <f t="shared" si="56"/>
        <v/>
      </c>
      <c r="Q339" s="40" t="str">
        <f>IF(OR(T339=0,RIGHT(T339,1)=$W$1),"",COUNTIF($T$3:T339,T339))</f>
        <v/>
      </c>
      <c r="S339" s="6">
        <f t="shared" si="57"/>
        <v>0</v>
      </c>
      <c r="T339" s="36">
        <f t="shared" si="58"/>
        <v>0</v>
      </c>
      <c r="V339" s="6">
        <f t="shared" si="59"/>
        <v>0</v>
      </c>
      <c r="Y339" s="8">
        <f t="shared" si="60"/>
        <v>46023</v>
      </c>
    </row>
    <row r="340" spans="2:25" ht="18.75" x14ac:dyDescent="0.3">
      <c r="B340" s="6">
        <f t="shared" si="53"/>
        <v>0</v>
      </c>
      <c r="C340" s="6">
        <f t="shared" si="54"/>
        <v>0</v>
      </c>
      <c r="D340" s="6" t="str">
        <f t="shared" si="55"/>
        <v/>
      </c>
      <c r="E340" s="35" t="str">
        <f t="shared" si="51"/>
        <v/>
      </c>
      <c r="F340" s="31"/>
      <c r="G340" s="29"/>
      <c r="H340" s="78" t="str">
        <f t="shared" si="52"/>
        <v/>
      </c>
      <c r="I340" s="25"/>
      <c r="J340" s="25"/>
      <c r="K340" s="26"/>
      <c r="L340" s="26"/>
      <c r="M340" s="37"/>
      <c r="N340" s="27"/>
      <c r="O340" s="30"/>
      <c r="P340" s="39" t="str">
        <f t="shared" si="56"/>
        <v/>
      </c>
      <c r="Q340" s="40" t="str">
        <f>IF(OR(T340=0,RIGHT(T340,1)=$W$1),"",COUNTIF($T$3:T340,T340))</f>
        <v/>
      </c>
      <c r="S340" s="6">
        <f t="shared" si="57"/>
        <v>0</v>
      </c>
      <c r="T340" s="36">
        <f t="shared" si="58"/>
        <v>0</v>
      </c>
      <c r="V340" s="6">
        <f t="shared" si="59"/>
        <v>0</v>
      </c>
      <c r="Y340" s="8">
        <f t="shared" si="60"/>
        <v>46023</v>
      </c>
    </row>
    <row r="341" spans="2:25" ht="18.75" x14ac:dyDescent="0.3">
      <c r="B341" s="6">
        <f t="shared" si="53"/>
        <v>0</v>
      </c>
      <c r="C341" s="6">
        <f t="shared" si="54"/>
        <v>0</v>
      </c>
      <c r="D341" s="6" t="str">
        <f t="shared" si="55"/>
        <v/>
      </c>
      <c r="E341" s="35" t="str">
        <f t="shared" si="51"/>
        <v/>
      </c>
      <c r="F341" s="31"/>
      <c r="G341" s="29"/>
      <c r="H341" s="78" t="str">
        <f t="shared" si="52"/>
        <v/>
      </c>
      <c r="I341" s="25"/>
      <c r="J341" s="25"/>
      <c r="K341" s="26"/>
      <c r="L341" s="26"/>
      <c r="M341" s="37"/>
      <c r="N341" s="27"/>
      <c r="O341" s="30"/>
      <c r="P341" s="39" t="str">
        <f t="shared" si="56"/>
        <v/>
      </c>
      <c r="Q341" s="40" t="str">
        <f>IF(OR(T341=0,RIGHT(T341,1)=$W$1),"",COUNTIF($T$3:T341,T341))</f>
        <v/>
      </c>
      <c r="S341" s="6">
        <f t="shared" si="57"/>
        <v>0</v>
      </c>
      <c r="T341" s="36">
        <f t="shared" si="58"/>
        <v>0</v>
      </c>
      <c r="V341" s="6">
        <f t="shared" si="59"/>
        <v>0</v>
      </c>
      <c r="Y341" s="8">
        <f t="shared" si="60"/>
        <v>46023</v>
      </c>
    </row>
    <row r="342" spans="2:25" ht="18.75" x14ac:dyDescent="0.3">
      <c r="B342" s="6">
        <f t="shared" si="53"/>
        <v>0</v>
      </c>
      <c r="C342" s="6">
        <f t="shared" si="54"/>
        <v>0</v>
      </c>
      <c r="D342" s="6" t="str">
        <f t="shared" si="55"/>
        <v/>
      </c>
      <c r="E342" s="35" t="str">
        <f t="shared" si="51"/>
        <v/>
      </c>
      <c r="F342" s="31"/>
      <c r="G342" s="29"/>
      <c r="H342" s="78" t="str">
        <f t="shared" si="52"/>
        <v/>
      </c>
      <c r="I342" s="25"/>
      <c r="J342" s="25"/>
      <c r="K342" s="26"/>
      <c r="L342" s="26"/>
      <c r="M342" s="37"/>
      <c r="N342" s="27"/>
      <c r="O342" s="30"/>
      <c r="P342" s="39" t="str">
        <f t="shared" si="56"/>
        <v/>
      </c>
      <c r="Q342" s="40" t="str">
        <f>IF(OR(T342=0,RIGHT(T342,1)=$W$1),"",COUNTIF($T$3:T342,T342))</f>
        <v/>
      </c>
      <c r="S342" s="6">
        <f t="shared" si="57"/>
        <v>0</v>
      </c>
      <c r="T342" s="36">
        <f t="shared" si="58"/>
        <v>0</v>
      </c>
      <c r="V342" s="6">
        <f t="shared" si="59"/>
        <v>0</v>
      </c>
      <c r="Y342" s="8">
        <f t="shared" si="60"/>
        <v>46023</v>
      </c>
    </row>
    <row r="343" spans="2:25" ht="18.75" x14ac:dyDescent="0.3">
      <c r="B343" s="6">
        <f t="shared" si="53"/>
        <v>0</v>
      </c>
      <c r="C343" s="6">
        <f t="shared" si="54"/>
        <v>0</v>
      </c>
      <c r="D343" s="6" t="str">
        <f t="shared" si="55"/>
        <v/>
      </c>
      <c r="E343" s="35" t="str">
        <f t="shared" si="51"/>
        <v/>
      </c>
      <c r="F343" s="31"/>
      <c r="G343" s="29"/>
      <c r="H343" s="78" t="str">
        <f t="shared" si="52"/>
        <v/>
      </c>
      <c r="I343" s="25"/>
      <c r="J343" s="25"/>
      <c r="K343" s="26"/>
      <c r="L343" s="26"/>
      <c r="M343" s="37"/>
      <c r="N343" s="27"/>
      <c r="O343" s="30"/>
      <c r="P343" s="39" t="str">
        <f t="shared" si="56"/>
        <v/>
      </c>
      <c r="Q343" s="40" t="str">
        <f>IF(OR(T343=0,RIGHT(T343,1)=$W$1),"",COUNTIF($T$3:T343,T343))</f>
        <v/>
      </c>
      <c r="S343" s="6">
        <f t="shared" si="57"/>
        <v>0</v>
      </c>
      <c r="T343" s="36">
        <f t="shared" si="58"/>
        <v>0</v>
      </c>
      <c r="V343" s="6">
        <f t="shared" si="59"/>
        <v>0</v>
      </c>
      <c r="Y343" s="8">
        <f t="shared" si="60"/>
        <v>46023</v>
      </c>
    </row>
    <row r="344" spans="2:25" ht="18.75" x14ac:dyDescent="0.3">
      <c r="B344" s="6">
        <f t="shared" si="53"/>
        <v>0</v>
      </c>
      <c r="C344" s="6">
        <f t="shared" si="54"/>
        <v>0</v>
      </c>
      <c r="D344" s="6" t="str">
        <f t="shared" si="55"/>
        <v/>
      </c>
      <c r="E344" s="35" t="str">
        <f t="shared" si="51"/>
        <v/>
      </c>
      <c r="F344" s="31"/>
      <c r="G344" s="29"/>
      <c r="H344" s="78" t="str">
        <f t="shared" si="52"/>
        <v/>
      </c>
      <c r="I344" s="25"/>
      <c r="J344" s="25"/>
      <c r="K344" s="26"/>
      <c r="L344" s="26"/>
      <c r="M344" s="37"/>
      <c r="N344" s="27"/>
      <c r="O344" s="30"/>
      <c r="P344" s="39" t="str">
        <f t="shared" si="56"/>
        <v/>
      </c>
      <c r="Q344" s="40" t="str">
        <f>IF(OR(T344=0,RIGHT(T344,1)=$W$1),"",COUNTIF($T$3:T344,T344))</f>
        <v/>
      </c>
      <c r="S344" s="6">
        <f t="shared" si="57"/>
        <v>0</v>
      </c>
      <c r="T344" s="36">
        <f t="shared" si="58"/>
        <v>0</v>
      </c>
      <c r="V344" s="6">
        <f t="shared" si="59"/>
        <v>0</v>
      </c>
      <c r="Y344" s="8">
        <f t="shared" si="60"/>
        <v>46023</v>
      </c>
    </row>
    <row r="345" spans="2:25" ht="18.75" x14ac:dyDescent="0.3">
      <c r="B345" s="6">
        <f t="shared" si="53"/>
        <v>0</v>
      </c>
      <c r="C345" s="6">
        <f t="shared" si="54"/>
        <v>0</v>
      </c>
      <c r="D345" s="6" t="str">
        <f t="shared" si="55"/>
        <v/>
      </c>
      <c r="E345" s="35" t="str">
        <f t="shared" si="51"/>
        <v/>
      </c>
      <c r="F345" s="31"/>
      <c r="G345" s="29"/>
      <c r="H345" s="78" t="str">
        <f t="shared" si="52"/>
        <v/>
      </c>
      <c r="I345" s="25"/>
      <c r="J345" s="25"/>
      <c r="K345" s="26"/>
      <c r="L345" s="26"/>
      <c r="M345" s="37"/>
      <c r="N345" s="27"/>
      <c r="O345" s="30"/>
      <c r="P345" s="39" t="str">
        <f t="shared" si="56"/>
        <v/>
      </c>
      <c r="Q345" s="40" t="str">
        <f>IF(OR(T345=0,RIGHT(T345,1)=$W$1),"",COUNTIF($T$3:T345,T345))</f>
        <v/>
      </c>
      <c r="S345" s="6">
        <f t="shared" si="57"/>
        <v>0</v>
      </c>
      <c r="T345" s="36">
        <f t="shared" si="58"/>
        <v>0</v>
      </c>
      <c r="V345" s="6">
        <f t="shared" si="59"/>
        <v>0</v>
      </c>
      <c r="Y345" s="8">
        <f t="shared" si="60"/>
        <v>46023</v>
      </c>
    </row>
    <row r="346" spans="2:25" ht="18.75" x14ac:dyDescent="0.3">
      <c r="B346" s="6">
        <f t="shared" si="53"/>
        <v>0</v>
      </c>
      <c r="C346" s="6">
        <f t="shared" si="54"/>
        <v>0</v>
      </c>
      <c r="D346" s="6" t="str">
        <f t="shared" si="55"/>
        <v/>
      </c>
      <c r="E346" s="35" t="str">
        <f t="shared" si="51"/>
        <v/>
      </c>
      <c r="F346" s="31"/>
      <c r="G346" s="29"/>
      <c r="H346" s="78" t="str">
        <f t="shared" si="52"/>
        <v/>
      </c>
      <c r="I346" s="25"/>
      <c r="J346" s="25"/>
      <c r="K346" s="26"/>
      <c r="L346" s="26"/>
      <c r="M346" s="37"/>
      <c r="N346" s="27"/>
      <c r="O346" s="30"/>
      <c r="P346" s="39" t="str">
        <f t="shared" si="56"/>
        <v/>
      </c>
      <c r="Q346" s="40" t="str">
        <f>IF(OR(T346=0,RIGHT(T346,1)=$W$1),"",COUNTIF($T$3:T346,T346))</f>
        <v/>
      </c>
      <c r="S346" s="6">
        <f t="shared" si="57"/>
        <v>0</v>
      </c>
      <c r="T346" s="36">
        <f t="shared" si="58"/>
        <v>0</v>
      </c>
      <c r="V346" s="6">
        <f t="shared" si="59"/>
        <v>0</v>
      </c>
      <c r="Y346" s="8">
        <f t="shared" si="60"/>
        <v>46023</v>
      </c>
    </row>
    <row r="347" spans="2:25" ht="18.75" x14ac:dyDescent="0.3">
      <c r="B347" s="6">
        <f t="shared" si="53"/>
        <v>0</v>
      </c>
      <c r="C347" s="6">
        <f t="shared" si="54"/>
        <v>0</v>
      </c>
      <c r="D347" s="6" t="str">
        <f t="shared" si="55"/>
        <v/>
      </c>
      <c r="E347" s="35" t="str">
        <f t="shared" si="51"/>
        <v/>
      </c>
      <c r="F347" s="31"/>
      <c r="G347" s="29"/>
      <c r="H347" s="78" t="str">
        <f t="shared" si="52"/>
        <v/>
      </c>
      <c r="I347" s="25"/>
      <c r="J347" s="25"/>
      <c r="K347" s="26"/>
      <c r="L347" s="26"/>
      <c r="M347" s="37"/>
      <c r="N347" s="27"/>
      <c r="O347" s="30"/>
      <c r="P347" s="39" t="str">
        <f t="shared" si="56"/>
        <v/>
      </c>
      <c r="Q347" s="40" t="str">
        <f>IF(OR(T347=0,RIGHT(T347,1)=$W$1),"",COUNTIF($T$3:T347,T347))</f>
        <v/>
      </c>
      <c r="S347" s="6">
        <f t="shared" si="57"/>
        <v>0</v>
      </c>
      <c r="T347" s="36">
        <f t="shared" si="58"/>
        <v>0</v>
      </c>
      <c r="V347" s="6">
        <f t="shared" si="59"/>
        <v>0</v>
      </c>
      <c r="Y347" s="8">
        <f t="shared" si="60"/>
        <v>46023</v>
      </c>
    </row>
    <row r="348" spans="2:25" ht="18.75" x14ac:dyDescent="0.3">
      <c r="B348" s="6">
        <f t="shared" si="53"/>
        <v>0</v>
      </c>
      <c r="C348" s="6">
        <f t="shared" si="54"/>
        <v>0</v>
      </c>
      <c r="D348" s="6" t="str">
        <f t="shared" si="55"/>
        <v/>
      </c>
      <c r="E348" s="35" t="str">
        <f t="shared" si="51"/>
        <v/>
      </c>
      <c r="F348" s="31"/>
      <c r="G348" s="29"/>
      <c r="H348" s="78" t="str">
        <f t="shared" si="52"/>
        <v/>
      </c>
      <c r="I348" s="25"/>
      <c r="J348" s="25"/>
      <c r="K348" s="26"/>
      <c r="L348" s="26"/>
      <c r="M348" s="37"/>
      <c r="N348" s="27"/>
      <c r="O348" s="30"/>
      <c r="P348" s="39" t="str">
        <f t="shared" si="56"/>
        <v/>
      </c>
      <c r="Q348" s="40" t="str">
        <f>IF(OR(T348=0,RIGHT(T348,1)=$W$1),"",COUNTIF($T$3:T348,T348))</f>
        <v/>
      </c>
      <c r="S348" s="6">
        <f t="shared" si="57"/>
        <v>0</v>
      </c>
      <c r="T348" s="36">
        <f t="shared" si="58"/>
        <v>0</v>
      </c>
      <c r="V348" s="6">
        <f t="shared" si="59"/>
        <v>0</v>
      </c>
      <c r="Y348" s="8">
        <f t="shared" si="60"/>
        <v>46023</v>
      </c>
    </row>
    <row r="349" spans="2:25" ht="18.75" x14ac:dyDescent="0.3">
      <c r="B349" s="6">
        <f t="shared" si="53"/>
        <v>0</v>
      </c>
      <c r="C349" s="6">
        <f t="shared" si="54"/>
        <v>0</v>
      </c>
      <c r="D349" s="6" t="str">
        <f t="shared" si="55"/>
        <v/>
      </c>
      <c r="E349" s="35" t="str">
        <f t="shared" si="51"/>
        <v/>
      </c>
      <c r="F349" s="31"/>
      <c r="G349" s="29"/>
      <c r="H349" s="78" t="str">
        <f t="shared" si="52"/>
        <v/>
      </c>
      <c r="I349" s="25"/>
      <c r="J349" s="25"/>
      <c r="K349" s="26"/>
      <c r="L349" s="26"/>
      <c r="M349" s="37"/>
      <c r="N349" s="27"/>
      <c r="O349" s="30"/>
      <c r="P349" s="39" t="str">
        <f t="shared" si="56"/>
        <v/>
      </c>
      <c r="Q349" s="40" t="str">
        <f>IF(OR(T349=0,RIGHT(T349,1)=$W$1),"",COUNTIF($T$3:T349,T349))</f>
        <v/>
      </c>
      <c r="S349" s="6">
        <f t="shared" si="57"/>
        <v>0</v>
      </c>
      <c r="T349" s="36">
        <f t="shared" si="58"/>
        <v>0</v>
      </c>
      <c r="V349" s="6">
        <f t="shared" si="59"/>
        <v>0</v>
      </c>
      <c r="Y349" s="8">
        <f t="shared" si="60"/>
        <v>46023</v>
      </c>
    </row>
    <row r="350" spans="2:25" ht="18.75" x14ac:dyDescent="0.3">
      <c r="B350" s="6">
        <f t="shared" si="53"/>
        <v>0</v>
      </c>
      <c r="C350" s="6">
        <f t="shared" si="54"/>
        <v>0</v>
      </c>
      <c r="D350" s="6" t="str">
        <f t="shared" si="55"/>
        <v/>
      </c>
      <c r="E350" s="35" t="str">
        <f t="shared" si="51"/>
        <v/>
      </c>
      <c r="F350" s="31"/>
      <c r="G350" s="29"/>
      <c r="H350" s="78" t="str">
        <f t="shared" si="52"/>
        <v/>
      </c>
      <c r="I350" s="25"/>
      <c r="J350" s="25"/>
      <c r="K350" s="26"/>
      <c r="L350" s="26"/>
      <c r="M350" s="37"/>
      <c r="N350" s="27"/>
      <c r="O350" s="30"/>
      <c r="P350" s="39" t="str">
        <f t="shared" si="56"/>
        <v/>
      </c>
      <c r="Q350" s="40" t="str">
        <f>IF(OR(T350=0,RIGHT(T350,1)=$W$1),"",COUNTIF($T$3:T350,T350))</f>
        <v/>
      </c>
      <c r="S350" s="6">
        <f t="shared" si="57"/>
        <v>0</v>
      </c>
      <c r="T350" s="36">
        <f t="shared" si="58"/>
        <v>0</v>
      </c>
      <c r="V350" s="6">
        <f t="shared" si="59"/>
        <v>0</v>
      </c>
      <c r="Y350" s="8">
        <f t="shared" si="60"/>
        <v>46023</v>
      </c>
    </row>
    <row r="351" spans="2:25" ht="18.75" x14ac:dyDescent="0.3">
      <c r="B351" s="6">
        <f t="shared" si="53"/>
        <v>0</v>
      </c>
      <c r="C351" s="6">
        <f t="shared" si="54"/>
        <v>0</v>
      </c>
      <c r="D351" s="6" t="str">
        <f t="shared" si="55"/>
        <v/>
      </c>
      <c r="E351" s="35" t="str">
        <f t="shared" si="51"/>
        <v/>
      </c>
      <c r="F351" s="31"/>
      <c r="G351" s="29"/>
      <c r="H351" s="78" t="str">
        <f t="shared" si="52"/>
        <v/>
      </c>
      <c r="I351" s="25"/>
      <c r="J351" s="25"/>
      <c r="K351" s="26"/>
      <c r="L351" s="26"/>
      <c r="M351" s="37"/>
      <c r="N351" s="27"/>
      <c r="O351" s="30"/>
      <c r="P351" s="39" t="str">
        <f t="shared" si="56"/>
        <v/>
      </c>
      <c r="Q351" s="40" t="str">
        <f>IF(OR(T351=0,RIGHT(T351,1)=$W$1),"",COUNTIF($T$3:T351,T351))</f>
        <v/>
      </c>
      <c r="S351" s="6">
        <f t="shared" si="57"/>
        <v>0</v>
      </c>
      <c r="T351" s="36">
        <f t="shared" si="58"/>
        <v>0</v>
      </c>
      <c r="V351" s="6">
        <f t="shared" si="59"/>
        <v>0</v>
      </c>
      <c r="Y351" s="8">
        <f t="shared" si="60"/>
        <v>46023</v>
      </c>
    </row>
    <row r="352" spans="2:25" ht="18.75" x14ac:dyDescent="0.3">
      <c r="B352" s="6">
        <f t="shared" si="53"/>
        <v>0</v>
      </c>
      <c r="C352" s="6">
        <f t="shared" si="54"/>
        <v>0</v>
      </c>
      <c r="D352" s="6" t="str">
        <f t="shared" si="55"/>
        <v/>
      </c>
      <c r="E352" s="35" t="str">
        <f t="shared" si="51"/>
        <v/>
      </c>
      <c r="F352" s="31"/>
      <c r="G352" s="29"/>
      <c r="H352" s="78" t="str">
        <f t="shared" si="52"/>
        <v/>
      </c>
      <c r="I352" s="25"/>
      <c r="J352" s="25"/>
      <c r="K352" s="26"/>
      <c r="L352" s="26"/>
      <c r="M352" s="37"/>
      <c r="N352" s="27"/>
      <c r="O352" s="30"/>
      <c r="P352" s="39" t="str">
        <f t="shared" si="56"/>
        <v/>
      </c>
      <c r="Q352" s="40" t="str">
        <f>IF(OR(T352=0,RIGHT(T352,1)=$W$1),"",COUNTIF($T$3:T352,T352))</f>
        <v/>
      </c>
      <c r="S352" s="6">
        <f t="shared" si="57"/>
        <v>0</v>
      </c>
      <c r="T352" s="36">
        <f t="shared" si="58"/>
        <v>0</v>
      </c>
      <c r="V352" s="6">
        <f t="shared" si="59"/>
        <v>0</v>
      </c>
      <c r="Y352" s="8">
        <f t="shared" si="60"/>
        <v>46023</v>
      </c>
    </row>
    <row r="353" spans="2:25" ht="18.75" x14ac:dyDescent="0.3">
      <c r="B353" s="6">
        <f t="shared" si="53"/>
        <v>0</v>
      </c>
      <c r="C353" s="6">
        <f t="shared" si="54"/>
        <v>0</v>
      </c>
      <c r="D353" s="6" t="str">
        <f t="shared" si="55"/>
        <v/>
      </c>
      <c r="E353" s="35" t="str">
        <f t="shared" si="51"/>
        <v/>
      </c>
      <c r="F353" s="31"/>
      <c r="G353" s="29"/>
      <c r="H353" s="78" t="str">
        <f t="shared" si="52"/>
        <v/>
      </c>
      <c r="I353" s="25"/>
      <c r="J353" s="25"/>
      <c r="K353" s="26"/>
      <c r="L353" s="26"/>
      <c r="M353" s="37"/>
      <c r="N353" s="27"/>
      <c r="O353" s="30"/>
      <c r="P353" s="39" t="str">
        <f t="shared" si="56"/>
        <v/>
      </c>
      <c r="Q353" s="40" t="str">
        <f>IF(OR(T353=0,RIGHT(T353,1)=$W$1),"",COUNTIF($T$3:T353,T353))</f>
        <v/>
      </c>
      <c r="S353" s="6">
        <f t="shared" si="57"/>
        <v>0</v>
      </c>
      <c r="T353" s="36">
        <f t="shared" si="58"/>
        <v>0</v>
      </c>
      <c r="V353" s="6">
        <f t="shared" si="59"/>
        <v>0</v>
      </c>
      <c r="Y353" s="8">
        <f t="shared" si="60"/>
        <v>46023</v>
      </c>
    </row>
    <row r="354" spans="2:25" ht="18.75" x14ac:dyDescent="0.3">
      <c r="B354" s="6">
        <f t="shared" si="53"/>
        <v>0</v>
      </c>
      <c r="C354" s="6">
        <f t="shared" si="54"/>
        <v>0</v>
      </c>
      <c r="D354" s="6" t="str">
        <f t="shared" si="55"/>
        <v/>
      </c>
      <c r="E354" s="35" t="str">
        <f t="shared" si="51"/>
        <v/>
      </c>
      <c r="F354" s="31"/>
      <c r="G354" s="29"/>
      <c r="H354" s="78" t="str">
        <f t="shared" si="52"/>
        <v/>
      </c>
      <c r="I354" s="25"/>
      <c r="J354" s="25"/>
      <c r="K354" s="26"/>
      <c r="L354" s="26"/>
      <c r="M354" s="37"/>
      <c r="N354" s="27"/>
      <c r="O354" s="30"/>
      <c r="P354" s="39" t="str">
        <f t="shared" si="56"/>
        <v/>
      </c>
      <c r="Q354" s="40" t="str">
        <f>IF(OR(T354=0,RIGHT(T354,1)=$W$1),"",COUNTIF($T$3:T354,T354))</f>
        <v/>
      </c>
      <c r="S354" s="6">
        <f t="shared" si="57"/>
        <v>0</v>
      </c>
      <c r="T354" s="36">
        <f t="shared" si="58"/>
        <v>0</v>
      </c>
      <c r="V354" s="6">
        <f t="shared" si="59"/>
        <v>0</v>
      </c>
      <c r="Y354" s="8">
        <f t="shared" si="60"/>
        <v>46023</v>
      </c>
    </row>
    <row r="355" spans="2:25" ht="18.75" x14ac:dyDescent="0.3">
      <c r="B355" s="6">
        <f t="shared" si="53"/>
        <v>0</v>
      </c>
      <c r="C355" s="6">
        <f t="shared" si="54"/>
        <v>0</v>
      </c>
      <c r="D355" s="6" t="str">
        <f t="shared" si="55"/>
        <v/>
      </c>
      <c r="E355" s="35" t="str">
        <f t="shared" si="51"/>
        <v/>
      </c>
      <c r="F355" s="31"/>
      <c r="G355" s="29"/>
      <c r="H355" s="78" t="str">
        <f t="shared" si="52"/>
        <v/>
      </c>
      <c r="I355" s="25"/>
      <c r="J355" s="25"/>
      <c r="K355" s="26"/>
      <c r="L355" s="26"/>
      <c r="M355" s="37"/>
      <c r="N355" s="27"/>
      <c r="O355" s="30"/>
      <c r="P355" s="39" t="str">
        <f t="shared" si="56"/>
        <v/>
      </c>
      <c r="Q355" s="40" t="str">
        <f>IF(OR(T355=0,RIGHT(T355,1)=$W$1),"",COUNTIF($T$3:T355,T355))</f>
        <v/>
      </c>
      <c r="S355" s="6">
        <f t="shared" si="57"/>
        <v>0</v>
      </c>
      <c r="T355" s="36">
        <f t="shared" si="58"/>
        <v>0</v>
      </c>
      <c r="V355" s="6">
        <f t="shared" si="59"/>
        <v>0</v>
      </c>
      <c r="Y355" s="8">
        <f t="shared" si="60"/>
        <v>46023</v>
      </c>
    </row>
    <row r="356" spans="2:25" ht="18.75" x14ac:dyDescent="0.3">
      <c r="B356" s="6">
        <f t="shared" si="53"/>
        <v>0</v>
      </c>
      <c r="C356" s="6">
        <f t="shared" si="54"/>
        <v>0</v>
      </c>
      <c r="D356" s="6" t="str">
        <f t="shared" si="55"/>
        <v/>
      </c>
      <c r="E356" s="35" t="str">
        <f t="shared" si="51"/>
        <v/>
      </c>
      <c r="F356" s="31"/>
      <c r="G356" s="29"/>
      <c r="H356" s="78" t="str">
        <f t="shared" si="52"/>
        <v/>
      </c>
      <c r="I356" s="25"/>
      <c r="J356" s="25"/>
      <c r="K356" s="26"/>
      <c r="L356" s="26"/>
      <c r="M356" s="37"/>
      <c r="N356" s="27"/>
      <c r="O356" s="30"/>
      <c r="P356" s="39" t="str">
        <f t="shared" si="56"/>
        <v/>
      </c>
      <c r="Q356" s="40" t="str">
        <f>IF(OR(T356=0,RIGHT(T356,1)=$W$1),"",COUNTIF($T$3:T356,T356))</f>
        <v/>
      </c>
      <c r="S356" s="6">
        <f t="shared" si="57"/>
        <v>0</v>
      </c>
      <c r="T356" s="36">
        <f t="shared" si="58"/>
        <v>0</v>
      </c>
      <c r="V356" s="6">
        <f t="shared" si="59"/>
        <v>0</v>
      </c>
      <c r="Y356" s="8">
        <f t="shared" si="60"/>
        <v>46023</v>
      </c>
    </row>
    <row r="357" spans="2:25" ht="18.75" x14ac:dyDescent="0.3">
      <c r="B357" s="6">
        <f t="shared" si="53"/>
        <v>0</v>
      </c>
      <c r="C357" s="6">
        <f t="shared" si="54"/>
        <v>0</v>
      </c>
      <c r="D357" s="6" t="str">
        <f t="shared" si="55"/>
        <v/>
      </c>
      <c r="E357" s="35" t="str">
        <f t="shared" si="51"/>
        <v/>
      </c>
      <c r="F357" s="31"/>
      <c r="G357" s="29"/>
      <c r="H357" s="78" t="str">
        <f t="shared" si="52"/>
        <v/>
      </c>
      <c r="I357" s="25"/>
      <c r="J357" s="25"/>
      <c r="K357" s="26"/>
      <c r="L357" s="26"/>
      <c r="M357" s="37"/>
      <c r="N357" s="27"/>
      <c r="O357" s="30"/>
      <c r="P357" s="39" t="str">
        <f t="shared" si="56"/>
        <v/>
      </c>
      <c r="Q357" s="40" t="str">
        <f>IF(OR(T357=0,RIGHT(T357,1)=$W$1),"",COUNTIF($T$3:T357,T357))</f>
        <v/>
      </c>
      <c r="S357" s="6">
        <f t="shared" si="57"/>
        <v>0</v>
      </c>
      <c r="T357" s="36">
        <f t="shared" si="58"/>
        <v>0</v>
      </c>
      <c r="V357" s="6">
        <f t="shared" si="59"/>
        <v>0</v>
      </c>
      <c r="Y357" s="8">
        <f t="shared" si="60"/>
        <v>46023</v>
      </c>
    </row>
    <row r="358" spans="2:25" ht="18.75" x14ac:dyDescent="0.3">
      <c r="B358" s="6">
        <f t="shared" si="53"/>
        <v>0</v>
      </c>
      <c r="C358" s="6">
        <f t="shared" si="54"/>
        <v>0</v>
      </c>
      <c r="D358" s="6" t="str">
        <f t="shared" si="55"/>
        <v/>
      </c>
      <c r="E358" s="35" t="str">
        <f t="shared" si="51"/>
        <v/>
      </c>
      <c r="F358" s="31"/>
      <c r="G358" s="29"/>
      <c r="H358" s="78" t="str">
        <f t="shared" si="52"/>
        <v/>
      </c>
      <c r="I358" s="25"/>
      <c r="J358" s="25"/>
      <c r="K358" s="26"/>
      <c r="L358" s="26"/>
      <c r="M358" s="37"/>
      <c r="N358" s="27"/>
      <c r="O358" s="30"/>
      <c r="P358" s="39" t="str">
        <f t="shared" si="56"/>
        <v/>
      </c>
      <c r="Q358" s="40" t="str">
        <f>IF(OR(T358=0,RIGHT(T358,1)=$W$1),"",COUNTIF($T$3:T358,T358))</f>
        <v/>
      </c>
      <c r="S358" s="6">
        <f t="shared" si="57"/>
        <v>0</v>
      </c>
      <c r="T358" s="36">
        <f t="shared" si="58"/>
        <v>0</v>
      </c>
      <c r="V358" s="6">
        <f t="shared" si="59"/>
        <v>0</v>
      </c>
      <c r="Y358" s="8">
        <f t="shared" si="60"/>
        <v>46023</v>
      </c>
    </row>
    <row r="359" spans="2:25" ht="18.75" x14ac:dyDescent="0.3">
      <c r="B359" s="6">
        <f t="shared" si="53"/>
        <v>0</v>
      </c>
      <c r="C359" s="6">
        <f t="shared" si="54"/>
        <v>0</v>
      </c>
      <c r="D359" s="6" t="str">
        <f t="shared" si="55"/>
        <v/>
      </c>
      <c r="E359" s="35" t="str">
        <f t="shared" si="51"/>
        <v/>
      </c>
      <c r="F359" s="31"/>
      <c r="G359" s="29"/>
      <c r="H359" s="78" t="str">
        <f t="shared" si="52"/>
        <v/>
      </c>
      <c r="I359" s="25"/>
      <c r="J359" s="25"/>
      <c r="K359" s="26"/>
      <c r="L359" s="26"/>
      <c r="M359" s="37"/>
      <c r="N359" s="27"/>
      <c r="O359" s="30"/>
      <c r="P359" s="39" t="str">
        <f t="shared" si="56"/>
        <v/>
      </c>
      <c r="Q359" s="40" t="str">
        <f>IF(OR(T359=0,RIGHT(T359,1)=$W$1),"",COUNTIF($T$3:T359,T359))</f>
        <v/>
      </c>
      <c r="S359" s="6">
        <f t="shared" si="57"/>
        <v>0</v>
      </c>
      <c r="T359" s="36">
        <f t="shared" si="58"/>
        <v>0</v>
      </c>
      <c r="V359" s="6">
        <f t="shared" si="59"/>
        <v>0</v>
      </c>
      <c r="Y359" s="8">
        <f t="shared" si="60"/>
        <v>46023</v>
      </c>
    </row>
    <row r="360" spans="2:25" ht="18.75" x14ac:dyDescent="0.3">
      <c r="B360" s="6">
        <f t="shared" si="53"/>
        <v>0</v>
      </c>
      <c r="C360" s="6">
        <f t="shared" si="54"/>
        <v>0</v>
      </c>
      <c r="D360" s="6" t="str">
        <f t="shared" si="55"/>
        <v/>
      </c>
      <c r="E360" s="35" t="str">
        <f t="shared" si="51"/>
        <v/>
      </c>
      <c r="F360" s="31"/>
      <c r="G360" s="29"/>
      <c r="H360" s="78" t="str">
        <f t="shared" si="52"/>
        <v/>
      </c>
      <c r="I360" s="25"/>
      <c r="J360" s="25"/>
      <c r="K360" s="26"/>
      <c r="L360" s="26"/>
      <c r="M360" s="37"/>
      <c r="N360" s="27"/>
      <c r="O360" s="30"/>
      <c r="P360" s="39" t="str">
        <f t="shared" si="56"/>
        <v/>
      </c>
      <c r="Q360" s="40" t="str">
        <f>IF(OR(T360=0,RIGHT(T360,1)=$W$1),"",COUNTIF($T$3:T360,T360))</f>
        <v/>
      </c>
      <c r="S360" s="6">
        <f t="shared" si="57"/>
        <v>0</v>
      </c>
      <c r="T360" s="36">
        <f t="shared" si="58"/>
        <v>0</v>
      </c>
      <c r="V360" s="6">
        <f t="shared" si="59"/>
        <v>0</v>
      </c>
      <c r="Y360" s="8">
        <f t="shared" si="60"/>
        <v>46023</v>
      </c>
    </row>
    <row r="361" spans="2:25" ht="18.75" x14ac:dyDescent="0.3">
      <c r="B361" s="6">
        <f t="shared" si="53"/>
        <v>0</v>
      </c>
      <c r="C361" s="6">
        <f t="shared" si="54"/>
        <v>0</v>
      </c>
      <c r="D361" s="6" t="str">
        <f t="shared" si="55"/>
        <v/>
      </c>
      <c r="E361" s="35" t="str">
        <f t="shared" si="51"/>
        <v/>
      </c>
      <c r="F361" s="31"/>
      <c r="G361" s="29"/>
      <c r="H361" s="78" t="str">
        <f t="shared" si="52"/>
        <v/>
      </c>
      <c r="I361" s="25"/>
      <c r="J361" s="25"/>
      <c r="K361" s="26"/>
      <c r="L361" s="26"/>
      <c r="M361" s="37"/>
      <c r="N361" s="27"/>
      <c r="O361" s="30"/>
      <c r="P361" s="39" t="str">
        <f t="shared" si="56"/>
        <v/>
      </c>
      <c r="Q361" s="40" t="str">
        <f>IF(OR(T361=0,RIGHT(T361,1)=$W$1),"",COUNTIF($T$3:T361,T361))</f>
        <v/>
      </c>
      <c r="S361" s="6">
        <f t="shared" si="57"/>
        <v>0</v>
      </c>
      <c r="T361" s="36">
        <f t="shared" si="58"/>
        <v>0</v>
      </c>
      <c r="V361" s="6">
        <f t="shared" si="59"/>
        <v>0</v>
      </c>
      <c r="Y361" s="8">
        <f t="shared" si="60"/>
        <v>46023</v>
      </c>
    </row>
    <row r="362" spans="2:25" ht="18.75" x14ac:dyDescent="0.3">
      <c r="B362" s="6">
        <f t="shared" si="53"/>
        <v>0</v>
      </c>
      <c r="C362" s="6">
        <f t="shared" si="54"/>
        <v>0</v>
      </c>
      <c r="D362" s="6" t="str">
        <f t="shared" si="55"/>
        <v/>
      </c>
      <c r="E362" s="35" t="str">
        <f t="shared" si="51"/>
        <v/>
      </c>
      <c r="F362" s="31"/>
      <c r="G362" s="29"/>
      <c r="H362" s="78" t="str">
        <f t="shared" si="52"/>
        <v/>
      </c>
      <c r="I362" s="25"/>
      <c r="J362" s="25"/>
      <c r="K362" s="26"/>
      <c r="L362" s="26"/>
      <c r="M362" s="37"/>
      <c r="N362" s="27"/>
      <c r="O362" s="30"/>
      <c r="P362" s="39" t="str">
        <f t="shared" si="56"/>
        <v/>
      </c>
      <c r="Q362" s="40" t="str">
        <f>IF(OR(T362=0,RIGHT(T362,1)=$W$1),"",COUNTIF($T$3:T362,T362))</f>
        <v/>
      </c>
      <c r="S362" s="6">
        <f t="shared" si="57"/>
        <v>0</v>
      </c>
      <c r="T362" s="36">
        <f t="shared" si="58"/>
        <v>0</v>
      </c>
      <c r="V362" s="6">
        <f t="shared" si="59"/>
        <v>0</v>
      </c>
      <c r="Y362" s="8">
        <f t="shared" si="60"/>
        <v>46023</v>
      </c>
    </row>
    <row r="363" spans="2:25" ht="18.75" x14ac:dyDescent="0.3">
      <c r="B363" s="6">
        <f t="shared" si="53"/>
        <v>0</v>
      </c>
      <c r="C363" s="6">
        <f t="shared" si="54"/>
        <v>0</v>
      </c>
      <c r="D363" s="6" t="str">
        <f t="shared" si="55"/>
        <v/>
      </c>
      <c r="E363" s="35" t="str">
        <f t="shared" si="51"/>
        <v/>
      </c>
      <c r="F363" s="31"/>
      <c r="G363" s="29"/>
      <c r="H363" s="78" t="str">
        <f t="shared" si="52"/>
        <v/>
      </c>
      <c r="I363" s="25"/>
      <c r="J363" s="25"/>
      <c r="K363" s="26"/>
      <c r="L363" s="26"/>
      <c r="M363" s="37"/>
      <c r="N363" s="27"/>
      <c r="O363" s="30"/>
      <c r="P363" s="39" t="str">
        <f t="shared" si="56"/>
        <v/>
      </c>
      <c r="Q363" s="40" t="str">
        <f>IF(OR(T363=0,RIGHT(T363,1)=$W$1),"",COUNTIF($T$3:T363,T363))</f>
        <v/>
      </c>
      <c r="S363" s="6">
        <f t="shared" si="57"/>
        <v>0</v>
      </c>
      <c r="T363" s="36">
        <f t="shared" si="58"/>
        <v>0</v>
      </c>
      <c r="V363" s="6">
        <f t="shared" si="59"/>
        <v>0</v>
      </c>
      <c r="Y363" s="8">
        <f t="shared" si="60"/>
        <v>46023</v>
      </c>
    </row>
    <row r="364" spans="2:25" ht="18.75" x14ac:dyDescent="0.3">
      <c r="B364" s="6">
        <f t="shared" si="53"/>
        <v>0</v>
      </c>
      <c r="C364" s="6">
        <f t="shared" si="54"/>
        <v>0</v>
      </c>
      <c r="D364" s="6" t="str">
        <f t="shared" si="55"/>
        <v/>
      </c>
      <c r="E364" s="35" t="str">
        <f t="shared" si="51"/>
        <v/>
      </c>
      <c r="F364" s="31"/>
      <c r="G364" s="29"/>
      <c r="H364" s="78" t="str">
        <f t="shared" si="52"/>
        <v/>
      </c>
      <c r="I364" s="25"/>
      <c r="J364" s="25"/>
      <c r="K364" s="26"/>
      <c r="L364" s="26"/>
      <c r="M364" s="37"/>
      <c r="N364" s="27"/>
      <c r="O364" s="30"/>
      <c r="P364" s="39" t="str">
        <f t="shared" si="56"/>
        <v/>
      </c>
      <c r="Q364" s="40" t="str">
        <f>IF(OR(T364=0,RIGHT(T364,1)=$W$1),"",COUNTIF($T$3:T364,T364))</f>
        <v/>
      </c>
      <c r="S364" s="6">
        <f t="shared" si="57"/>
        <v>0</v>
      </c>
      <c r="T364" s="36">
        <f t="shared" si="58"/>
        <v>0</v>
      </c>
      <c r="V364" s="6">
        <f t="shared" si="59"/>
        <v>0</v>
      </c>
      <c r="Y364" s="8">
        <f t="shared" si="60"/>
        <v>46023</v>
      </c>
    </row>
    <row r="365" spans="2:25" ht="18.75" x14ac:dyDescent="0.3">
      <c r="B365" s="6">
        <f t="shared" si="53"/>
        <v>0</v>
      </c>
      <c r="C365" s="6">
        <f t="shared" si="54"/>
        <v>0</v>
      </c>
      <c r="D365" s="6" t="str">
        <f t="shared" si="55"/>
        <v/>
      </c>
      <c r="E365" s="35" t="str">
        <f t="shared" si="51"/>
        <v/>
      </c>
      <c r="F365" s="31"/>
      <c r="G365" s="29"/>
      <c r="H365" s="78" t="str">
        <f t="shared" si="52"/>
        <v/>
      </c>
      <c r="I365" s="25"/>
      <c r="J365" s="25"/>
      <c r="K365" s="26"/>
      <c r="L365" s="26"/>
      <c r="M365" s="37"/>
      <c r="N365" s="27"/>
      <c r="O365" s="30"/>
      <c r="P365" s="39" t="str">
        <f t="shared" si="56"/>
        <v/>
      </c>
      <c r="Q365" s="40" t="str">
        <f>IF(OR(T365=0,RIGHT(T365,1)=$W$1),"",COUNTIF($T$3:T365,T365))</f>
        <v/>
      </c>
      <c r="S365" s="6">
        <f t="shared" si="57"/>
        <v>0</v>
      </c>
      <c r="T365" s="36">
        <f t="shared" si="58"/>
        <v>0</v>
      </c>
      <c r="V365" s="6">
        <f t="shared" si="59"/>
        <v>0</v>
      </c>
      <c r="Y365" s="8">
        <f t="shared" si="60"/>
        <v>46023</v>
      </c>
    </row>
    <row r="366" spans="2:25" ht="18.75" x14ac:dyDescent="0.3">
      <c r="B366" s="6">
        <f t="shared" si="53"/>
        <v>0</v>
      </c>
      <c r="C366" s="6">
        <f t="shared" si="54"/>
        <v>0</v>
      </c>
      <c r="D366" s="6" t="str">
        <f t="shared" si="55"/>
        <v/>
      </c>
      <c r="E366" s="35" t="str">
        <f t="shared" si="51"/>
        <v/>
      </c>
      <c r="F366" s="31"/>
      <c r="G366" s="29"/>
      <c r="H366" s="78" t="str">
        <f t="shared" si="52"/>
        <v/>
      </c>
      <c r="I366" s="25"/>
      <c r="J366" s="25"/>
      <c r="K366" s="26"/>
      <c r="L366" s="26"/>
      <c r="M366" s="37"/>
      <c r="N366" s="27"/>
      <c r="O366" s="30"/>
      <c r="P366" s="39" t="str">
        <f t="shared" si="56"/>
        <v/>
      </c>
      <c r="Q366" s="40" t="str">
        <f>IF(OR(T366=0,RIGHT(T366,1)=$W$1),"",COUNTIF($T$3:T366,T366))</f>
        <v/>
      </c>
      <c r="S366" s="6">
        <f t="shared" si="57"/>
        <v>0</v>
      </c>
      <c r="T366" s="36">
        <f t="shared" si="58"/>
        <v>0</v>
      </c>
      <c r="V366" s="6">
        <f t="shared" si="59"/>
        <v>0</v>
      </c>
      <c r="Y366" s="8">
        <f t="shared" si="60"/>
        <v>46023</v>
      </c>
    </row>
    <row r="367" spans="2:25" ht="18.75" x14ac:dyDescent="0.3">
      <c r="B367" s="6">
        <f t="shared" si="53"/>
        <v>0</v>
      </c>
      <c r="C367" s="6">
        <f t="shared" si="54"/>
        <v>0</v>
      </c>
      <c r="D367" s="6" t="str">
        <f t="shared" si="55"/>
        <v/>
      </c>
      <c r="E367" s="35" t="str">
        <f t="shared" si="51"/>
        <v/>
      </c>
      <c r="F367" s="31"/>
      <c r="G367" s="29"/>
      <c r="H367" s="78" t="str">
        <f t="shared" si="52"/>
        <v/>
      </c>
      <c r="I367" s="25"/>
      <c r="J367" s="25"/>
      <c r="K367" s="26"/>
      <c r="L367" s="26"/>
      <c r="M367" s="37"/>
      <c r="N367" s="27"/>
      <c r="O367" s="30"/>
      <c r="P367" s="39" t="str">
        <f t="shared" si="56"/>
        <v/>
      </c>
      <c r="Q367" s="40" t="str">
        <f>IF(OR(T367=0,RIGHT(T367,1)=$W$1),"",COUNTIF($T$3:T367,T367))</f>
        <v/>
      </c>
      <c r="S367" s="6">
        <f t="shared" si="57"/>
        <v>0</v>
      </c>
      <c r="T367" s="36">
        <f t="shared" si="58"/>
        <v>0</v>
      </c>
      <c r="V367" s="6">
        <f t="shared" si="59"/>
        <v>0</v>
      </c>
      <c r="Y367" s="8">
        <f t="shared" si="60"/>
        <v>46023</v>
      </c>
    </row>
    <row r="368" spans="2:25" ht="18.75" x14ac:dyDescent="0.3">
      <c r="B368" s="6">
        <f t="shared" si="53"/>
        <v>0</v>
      </c>
      <c r="C368" s="6">
        <f t="shared" si="54"/>
        <v>0</v>
      </c>
      <c r="D368" s="6" t="str">
        <f t="shared" si="55"/>
        <v/>
      </c>
      <c r="E368" s="35" t="str">
        <f t="shared" si="51"/>
        <v/>
      </c>
      <c r="F368" s="31"/>
      <c r="G368" s="29"/>
      <c r="H368" s="78" t="str">
        <f t="shared" si="52"/>
        <v/>
      </c>
      <c r="I368" s="25"/>
      <c r="J368" s="25"/>
      <c r="K368" s="26"/>
      <c r="L368" s="26"/>
      <c r="M368" s="37"/>
      <c r="N368" s="27"/>
      <c r="O368" s="30"/>
      <c r="P368" s="39" t="str">
        <f t="shared" si="56"/>
        <v/>
      </c>
      <c r="Q368" s="40" t="str">
        <f>IF(OR(T368=0,RIGHT(T368,1)=$W$1),"",COUNTIF($T$3:T368,T368))</f>
        <v/>
      </c>
      <c r="S368" s="6">
        <f t="shared" si="57"/>
        <v>0</v>
      </c>
      <c r="T368" s="36">
        <f t="shared" si="58"/>
        <v>0</v>
      </c>
      <c r="V368" s="6">
        <f t="shared" si="59"/>
        <v>0</v>
      </c>
      <c r="Y368" s="8">
        <f t="shared" si="60"/>
        <v>46023</v>
      </c>
    </row>
    <row r="369" spans="2:25" ht="18.75" x14ac:dyDescent="0.3">
      <c r="B369" s="6">
        <f t="shared" si="53"/>
        <v>0</v>
      </c>
      <c r="C369" s="6">
        <f t="shared" si="54"/>
        <v>0</v>
      </c>
      <c r="D369" s="6" t="str">
        <f t="shared" si="55"/>
        <v/>
      </c>
      <c r="E369" s="35" t="str">
        <f t="shared" si="51"/>
        <v/>
      </c>
      <c r="F369" s="31"/>
      <c r="G369" s="29"/>
      <c r="H369" s="78" t="str">
        <f t="shared" si="52"/>
        <v/>
      </c>
      <c r="I369" s="25"/>
      <c r="J369" s="25"/>
      <c r="K369" s="26"/>
      <c r="L369" s="26"/>
      <c r="M369" s="37"/>
      <c r="N369" s="27"/>
      <c r="O369" s="30"/>
      <c r="P369" s="39" t="str">
        <f t="shared" si="56"/>
        <v/>
      </c>
      <c r="Q369" s="40" t="str">
        <f>IF(OR(T369=0,RIGHT(T369,1)=$W$1),"",COUNTIF($T$3:T369,T369))</f>
        <v/>
      </c>
      <c r="S369" s="6">
        <f t="shared" si="57"/>
        <v>0</v>
      </c>
      <c r="T369" s="36">
        <f t="shared" si="58"/>
        <v>0</v>
      </c>
      <c r="V369" s="6">
        <f t="shared" si="59"/>
        <v>0</v>
      </c>
      <c r="Y369" s="8">
        <f t="shared" si="60"/>
        <v>46023</v>
      </c>
    </row>
    <row r="370" spans="2:25" ht="18.75" x14ac:dyDescent="0.3">
      <c r="B370" s="6">
        <f t="shared" si="53"/>
        <v>0</v>
      </c>
      <c r="C370" s="6">
        <f t="shared" si="54"/>
        <v>0</v>
      </c>
      <c r="D370" s="6" t="str">
        <f t="shared" si="55"/>
        <v/>
      </c>
      <c r="E370" s="35" t="str">
        <f t="shared" si="51"/>
        <v/>
      </c>
      <c r="F370" s="31"/>
      <c r="G370" s="29"/>
      <c r="H370" s="78" t="str">
        <f t="shared" si="52"/>
        <v/>
      </c>
      <c r="I370" s="25"/>
      <c r="J370" s="25"/>
      <c r="K370" s="26"/>
      <c r="L370" s="26"/>
      <c r="M370" s="37"/>
      <c r="N370" s="27"/>
      <c r="O370" s="30"/>
      <c r="P370" s="39" t="str">
        <f t="shared" si="56"/>
        <v/>
      </c>
      <c r="Q370" s="40" t="str">
        <f>IF(OR(T370=0,RIGHT(T370,1)=$W$1),"",COUNTIF($T$3:T370,T370))</f>
        <v/>
      </c>
      <c r="S370" s="6">
        <f t="shared" si="57"/>
        <v>0</v>
      </c>
      <c r="T370" s="36">
        <f t="shared" si="58"/>
        <v>0</v>
      </c>
      <c r="V370" s="6">
        <f t="shared" si="59"/>
        <v>0</v>
      </c>
      <c r="Y370" s="8">
        <f t="shared" si="60"/>
        <v>46023</v>
      </c>
    </row>
    <row r="371" spans="2:25" ht="18.75" x14ac:dyDescent="0.3">
      <c r="B371" s="6">
        <f t="shared" si="53"/>
        <v>0</v>
      </c>
      <c r="C371" s="6">
        <f t="shared" si="54"/>
        <v>0</v>
      </c>
      <c r="D371" s="6" t="str">
        <f t="shared" si="55"/>
        <v/>
      </c>
      <c r="E371" s="35" t="str">
        <f t="shared" si="51"/>
        <v/>
      </c>
      <c r="F371" s="31"/>
      <c r="G371" s="29"/>
      <c r="H371" s="78" t="str">
        <f t="shared" si="52"/>
        <v/>
      </c>
      <c r="I371" s="25"/>
      <c r="J371" s="25"/>
      <c r="K371" s="26"/>
      <c r="L371" s="26"/>
      <c r="M371" s="37"/>
      <c r="N371" s="27"/>
      <c r="O371" s="30"/>
      <c r="P371" s="39" t="str">
        <f t="shared" si="56"/>
        <v/>
      </c>
      <c r="Q371" s="40" t="str">
        <f>IF(OR(T371=0,RIGHT(T371,1)=$W$1),"",COUNTIF($T$3:T371,T371))</f>
        <v/>
      </c>
      <c r="S371" s="6">
        <f t="shared" si="57"/>
        <v>0</v>
      </c>
      <c r="T371" s="36">
        <f t="shared" si="58"/>
        <v>0</v>
      </c>
      <c r="V371" s="6">
        <f t="shared" si="59"/>
        <v>0</v>
      </c>
      <c r="Y371" s="8">
        <f t="shared" si="60"/>
        <v>46023</v>
      </c>
    </row>
    <row r="372" spans="2:25" ht="18.75" x14ac:dyDescent="0.3">
      <c r="B372" s="6">
        <f t="shared" si="53"/>
        <v>0</v>
      </c>
      <c r="C372" s="6">
        <f t="shared" si="54"/>
        <v>0</v>
      </c>
      <c r="D372" s="6" t="str">
        <f t="shared" si="55"/>
        <v/>
      </c>
      <c r="E372" s="35" t="str">
        <f t="shared" si="51"/>
        <v/>
      </c>
      <c r="F372" s="31"/>
      <c r="G372" s="29"/>
      <c r="H372" s="78" t="str">
        <f t="shared" si="52"/>
        <v/>
      </c>
      <c r="I372" s="25"/>
      <c r="J372" s="25"/>
      <c r="K372" s="26"/>
      <c r="L372" s="26"/>
      <c r="M372" s="37"/>
      <c r="N372" s="27"/>
      <c r="O372" s="30"/>
      <c r="P372" s="39" t="str">
        <f t="shared" si="56"/>
        <v/>
      </c>
      <c r="Q372" s="40" t="str">
        <f>IF(OR(T372=0,RIGHT(T372,1)=$W$1),"",COUNTIF($T$3:T372,T372))</f>
        <v/>
      </c>
      <c r="S372" s="6">
        <f t="shared" si="57"/>
        <v>0</v>
      </c>
      <c r="T372" s="36">
        <f t="shared" si="58"/>
        <v>0</v>
      </c>
      <c r="V372" s="6">
        <f t="shared" si="59"/>
        <v>0</v>
      </c>
      <c r="Y372" s="8">
        <f t="shared" si="60"/>
        <v>46023</v>
      </c>
    </row>
    <row r="373" spans="2:25" ht="18.75" x14ac:dyDescent="0.3">
      <c r="B373" s="6">
        <f t="shared" si="53"/>
        <v>0</v>
      </c>
      <c r="C373" s="6">
        <f t="shared" si="54"/>
        <v>0</v>
      </c>
      <c r="D373" s="6" t="str">
        <f t="shared" si="55"/>
        <v/>
      </c>
      <c r="E373" s="35" t="str">
        <f t="shared" si="51"/>
        <v/>
      </c>
      <c r="F373" s="31"/>
      <c r="G373" s="29"/>
      <c r="H373" s="78" t="str">
        <f t="shared" si="52"/>
        <v/>
      </c>
      <c r="I373" s="25"/>
      <c r="J373" s="25"/>
      <c r="K373" s="26"/>
      <c r="L373" s="26"/>
      <c r="M373" s="37"/>
      <c r="N373" s="27"/>
      <c r="O373" s="30"/>
      <c r="P373" s="39" t="str">
        <f t="shared" si="56"/>
        <v/>
      </c>
      <c r="Q373" s="40" t="str">
        <f>IF(OR(T373=0,RIGHT(T373,1)=$W$1),"",COUNTIF($T$3:T373,T373))</f>
        <v/>
      </c>
      <c r="S373" s="6">
        <f t="shared" si="57"/>
        <v>0</v>
      </c>
      <c r="T373" s="36">
        <f t="shared" si="58"/>
        <v>0</v>
      </c>
      <c r="V373" s="6">
        <f t="shared" si="59"/>
        <v>0</v>
      </c>
      <c r="Y373" s="8">
        <f t="shared" si="60"/>
        <v>46023</v>
      </c>
    </row>
    <row r="374" spans="2:25" ht="18.75" x14ac:dyDescent="0.3">
      <c r="B374" s="6">
        <f t="shared" si="53"/>
        <v>0</v>
      </c>
      <c r="C374" s="6">
        <f t="shared" si="54"/>
        <v>0</v>
      </c>
      <c r="D374" s="6" t="str">
        <f t="shared" si="55"/>
        <v/>
      </c>
      <c r="E374" s="35" t="str">
        <f t="shared" si="51"/>
        <v/>
      </c>
      <c r="F374" s="31"/>
      <c r="G374" s="29"/>
      <c r="H374" s="78" t="str">
        <f t="shared" si="52"/>
        <v/>
      </c>
      <c r="I374" s="25"/>
      <c r="J374" s="25"/>
      <c r="K374" s="26"/>
      <c r="L374" s="26"/>
      <c r="M374" s="37"/>
      <c r="N374" s="27"/>
      <c r="O374" s="30"/>
      <c r="P374" s="39" t="str">
        <f t="shared" si="56"/>
        <v/>
      </c>
      <c r="Q374" s="40" t="str">
        <f>IF(OR(T374=0,RIGHT(T374,1)=$W$1),"",COUNTIF($T$3:T374,T374))</f>
        <v/>
      </c>
      <c r="S374" s="6">
        <f t="shared" si="57"/>
        <v>0</v>
      </c>
      <c r="T374" s="36">
        <f t="shared" si="58"/>
        <v>0</v>
      </c>
      <c r="V374" s="6">
        <f t="shared" si="59"/>
        <v>0</v>
      </c>
      <c r="Y374" s="8">
        <f t="shared" si="60"/>
        <v>46023</v>
      </c>
    </row>
    <row r="375" spans="2:25" ht="18.75" x14ac:dyDescent="0.3">
      <c r="B375" s="6">
        <f t="shared" si="53"/>
        <v>0</v>
      </c>
      <c r="C375" s="6">
        <f t="shared" si="54"/>
        <v>0</v>
      </c>
      <c r="D375" s="6" t="str">
        <f t="shared" si="55"/>
        <v/>
      </c>
      <c r="E375" s="35" t="str">
        <f t="shared" si="51"/>
        <v/>
      </c>
      <c r="F375" s="31"/>
      <c r="G375" s="29"/>
      <c r="H375" s="78" t="str">
        <f t="shared" si="52"/>
        <v/>
      </c>
      <c r="I375" s="25"/>
      <c r="J375" s="25"/>
      <c r="K375" s="26"/>
      <c r="L375" s="26"/>
      <c r="M375" s="37"/>
      <c r="N375" s="27"/>
      <c r="O375" s="30"/>
      <c r="P375" s="39" t="str">
        <f t="shared" si="56"/>
        <v/>
      </c>
      <c r="Q375" s="40" t="str">
        <f>IF(OR(T375=0,RIGHT(T375,1)=$W$1),"",COUNTIF($T$3:T375,T375))</f>
        <v/>
      </c>
      <c r="S375" s="6">
        <f t="shared" si="57"/>
        <v>0</v>
      </c>
      <c r="T375" s="36">
        <f t="shared" si="58"/>
        <v>0</v>
      </c>
      <c r="V375" s="6">
        <f t="shared" si="59"/>
        <v>0</v>
      </c>
      <c r="Y375" s="8">
        <f t="shared" si="60"/>
        <v>46023</v>
      </c>
    </row>
    <row r="376" spans="2:25" ht="18.75" x14ac:dyDescent="0.3">
      <c r="B376" s="6">
        <f t="shared" si="53"/>
        <v>0</v>
      </c>
      <c r="C376" s="6">
        <f t="shared" si="54"/>
        <v>0</v>
      </c>
      <c r="D376" s="6" t="str">
        <f t="shared" si="55"/>
        <v/>
      </c>
      <c r="E376" s="35" t="str">
        <f t="shared" si="51"/>
        <v/>
      </c>
      <c r="F376" s="31"/>
      <c r="G376" s="29"/>
      <c r="H376" s="78" t="str">
        <f t="shared" si="52"/>
        <v/>
      </c>
      <c r="I376" s="25"/>
      <c r="J376" s="25"/>
      <c r="K376" s="26"/>
      <c r="L376" s="26"/>
      <c r="M376" s="37"/>
      <c r="N376" s="27"/>
      <c r="O376" s="30"/>
      <c r="P376" s="39" t="str">
        <f t="shared" si="56"/>
        <v/>
      </c>
      <c r="Q376" s="40" t="str">
        <f>IF(OR(T376=0,RIGHT(T376,1)=$W$1),"",COUNTIF($T$3:T376,T376))</f>
        <v/>
      </c>
      <c r="S376" s="6">
        <f t="shared" si="57"/>
        <v>0</v>
      </c>
      <c r="T376" s="36">
        <f t="shared" si="58"/>
        <v>0</v>
      </c>
      <c r="V376" s="6">
        <f t="shared" si="59"/>
        <v>0</v>
      </c>
      <c r="Y376" s="8">
        <f t="shared" si="60"/>
        <v>46023</v>
      </c>
    </row>
    <row r="377" spans="2:25" ht="18.75" x14ac:dyDescent="0.3">
      <c r="B377" s="6">
        <f t="shared" si="53"/>
        <v>0</v>
      </c>
      <c r="C377" s="6">
        <f t="shared" si="54"/>
        <v>0</v>
      </c>
      <c r="D377" s="6" t="str">
        <f t="shared" si="55"/>
        <v/>
      </c>
      <c r="E377" s="35" t="str">
        <f t="shared" si="51"/>
        <v/>
      </c>
      <c r="F377" s="31"/>
      <c r="G377" s="29"/>
      <c r="H377" s="78" t="str">
        <f t="shared" si="52"/>
        <v/>
      </c>
      <c r="I377" s="25"/>
      <c r="J377" s="25"/>
      <c r="K377" s="26"/>
      <c r="L377" s="26"/>
      <c r="M377" s="37"/>
      <c r="N377" s="27"/>
      <c r="O377" s="30"/>
      <c r="P377" s="39" t="str">
        <f t="shared" si="56"/>
        <v/>
      </c>
      <c r="Q377" s="40" t="str">
        <f>IF(OR(T377=0,RIGHT(T377,1)=$W$1),"",COUNTIF($T$3:T377,T377))</f>
        <v/>
      </c>
      <c r="S377" s="6">
        <f t="shared" si="57"/>
        <v>0</v>
      </c>
      <c r="T377" s="36">
        <f t="shared" si="58"/>
        <v>0</v>
      </c>
      <c r="V377" s="6">
        <f t="shared" si="59"/>
        <v>0</v>
      </c>
      <c r="Y377" s="8">
        <f t="shared" si="60"/>
        <v>46023</v>
      </c>
    </row>
    <row r="378" spans="2:25" ht="18.75" x14ac:dyDescent="0.3">
      <c r="B378" s="6">
        <f t="shared" si="53"/>
        <v>0</v>
      </c>
      <c r="C378" s="6">
        <f t="shared" si="54"/>
        <v>0</v>
      </c>
      <c r="D378" s="6" t="str">
        <f t="shared" si="55"/>
        <v/>
      </c>
      <c r="E378" s="35" t="str">
        <f t="shared" si="51"/>
        <v/>
      </c>
      <c r="F378" s="31"/>
      <c r="G378" s="29"/>
      <c r="H378" s="78" t="str">
        <f t="shared" si="52"/>
        <v/>
      </c>
      <c r="I378" s="25"/>
      <c r="J378" s="25"/>
      <c r="K378" s="26"/>
      <c r="L378" s="26"/>
      <c r="M378" s="37"/>
      <c r="N378" s="27"/>
      <c r="O378" s="30"/>
      <c r="P378" s="39" t="str">
        <f t="shared" si="56"/>
        <v/>
      </c>
      <c r="Q378" s="40" t="str">
        <f>IF(OR(T378=0,RIGHT(T378,1)=$W$1),"",COUNTIF($T$3:T378,T378))</f>
        <v/>
      </c>
      <c r="S378" s="6">
        <f t="shared" si="57"/>
        <v>0</v>
      </c>
      <c r="T378" s="36">
        <f t="shared" si="58"/>
        <v>0</v>
      </c>
      <c r="V378" s="6">
        <f t="shared" si="59"/>
        <v>0</v>
      </c>
      <c r="Y378" s="8">
        <f t="shared" si="60"/>
        <v>46023</v>
      </c>
    </row>
    <row r="379" spans="2:25" ht="18.75" x14ac:dyDescent="0.3">
      <c r="B379" s="6">
        <f t="shared" si="53"/>
        <v>0</v>
      </c>
      <c r="C379" s="6">
        <f t="shared" si="54"/>
        <v>0</v>
      </c>
      <c r="D379" s="6" t="str">
        <f t="shared" si="55"/>
        <v/>
      </c>
      <c r="E379" s="35" t="str">
        <f t="shared" si="51"/>
        <v/>
      </c>
      <c r="F379" s="31"/>
      <c r="G379" s="29"/>
      <c r="H379" s="78" t="str">
        <f t="shared" si="52"/>
        <v/>
      </c>
      <c r="I379" s="25"/>
      <c r="J379" s="25"/>
      <c r="K379" s="26"/>
      <c r="L379" s="26"/>
      <c r="M379" s="37"/>
      <c r="N379" s="27"/>
      <c r="O379" s="30"/>
      <c r="P379" s="39" t="str">
        <f t="shared" si="56"/>
        <v/>
      </c>
      <c r="Q379" s="40" t="str">
        <f>IF(OR(T379=0,RIGHT(T379,1)=$W$1),"",COUNTIF($T$3:T379,T379))</f>
        <v/>
      </c>
      <c r="S379" s="6">
        <f t="shared" si="57"/>
        <v>0</v>
      </c>
      <c r="T379" s="36">
        <f t="shared" si="58"/>
        <v>0</v>
      </c>
      <c r="V379" s="6">
        <f t="shared" si="59"/>
        <v>0</v>
      </c>
      <c r="Y379" s="8">
        <f t="shared" si="60"/>
        <v>46023</v>
      </c>
    </row>
    <row r="380" spans="2:25" ht="18.75" x14ac:dyDescent="0.3">
      <c r="B380" s="6">
        <f t="shared" si="53"/>
        <v>0</v>
      </c>
      <c r="C380" s="6">
        <f t="shared" si="54"/>
        <v>0</v>
      </c>
      <c r="D380" s="6" t="str">
        <f t="shared" si="55"/>
        <v/>
      </c>
      <c r="E380" s="35" t="str">
        <f t="shared" si="51"/>
        <v/>
      </c>
      <c r="F380" s="31"/>
      <c r="G380" s="29"/>
      <c r="H380" s="78" t="str">
        <f t="shared" si="52"/>
        <v/>
      </c>
      <c r="I380" s="25"/>
      <c r="J380" s="25"/>
      <c r="K380" s="26"/>
      <c r="L380" s="26"/>
      <c r="M380" s="37"/>
      <c r="N380" s="27"/>
      <c r="O380" s="30"/>
      <c r="P380" s="39" t="str">
        <f t="shared" si="56"/>
        <v/>
      </c>
      <c r="Q380" s="40" t="str">
        <f>IF(OR(T380=0,RIGHT(T380,1)=$W$1),"",COUNTIF($T$3:T380,T380))</f>
        <v/>
      </c>
      <c r="S380" s="6">
        <f t="shared" si="57"/>
        <v>0</v>
      </c>
      <c r="T380" s="36">
        <f t="shared" si="58"/>
        <v>0</v>
      </c>
      <c r="V380" s="6">
        <f t="shared" si="59"/>
        <v>0</v>
      </c>
      <c r="Y380" s="8">
        <f t="shared" si="60"/>
        <v>46023</v>
      </c>
    </row>
    <row r="381" spans="2:25" ht="18.75" x14ac:dyDescent="0.3">
      <c r="B381" s="6">
        <f t="shared" si="53"/>
        <v>0</v>
      </c>
      <c r="C381" s="6">
        <f t="shared" si="54"/>
        <v>0</v>
      </c>
      <c r="D381" s="6" t="str">
        <f t="shared" si="55"/>
        <v/>
      </c>
      <c r="E381" s="35" t="str">
        <f t="shared" si="51"/>
        <v/>
      </c>
      <c r="F381" s="31"/>
      <c r="G381" s="29"/>
      <c r="H381" s="78" t="str">
        <f t="shared" si="52"/>
        <v/>
      </c>
      <c r="I381" s="25"/>
      <c r="J381" s="25"/>
      <c r="K381" s="26"/>
      <c r="L381" s="26"/>
      <c r="M381" s="37"/>
      <c r="N381" s="27"/>
      <c r="O381" s="30"/>
      <c r="P381" s="39" t="str">
        <f t="shared" si="56"/>
        <v/>
      </c>
      <c r="Q381" s="40" t="str">
        <f>IF(OR(T381=0,RIGHT(T381,1)=$W$1),"",COUNTIF($T$3:T381,T381))</f>
        <v/>
      </c>
      <c r="S381" s="6">
        <f t="shared" si="57"/>
        <v>0</v>
      </c>
      <c r="T381" s="36">
        <f t="shared" si="58"/>
        <v>0</v>
      </c>
      <c r="V381" s="6">
        <f t="shared" si="59"/>
        <v>0</v>
      </c>
      <c r="Y381" s="8">
        <f t="shared" si="60"/>
        <v>46023</v>
      </c>
    </row>
    <row r="382" spans="2:25" ht="18.75" x14ac:dyDescent="0.3">
      <c r="B382" s="6">
        <f t="shared" si="53"/>
        <v>0</v>
      </c>
      <c r="C382" s="6">
        <f t="shared" si="54"/>
        <v>0</v>
      </c>
      <c r="D382" s="6" t="str">
        <f t="shared" si="55"/>
        <v/>
      </c>
      <c r="E382" s="35" t="str">
        <f t="shared" si="51"/>
        <v/>
      </c>
      <c r="F382" s="31"/>
      <c r="G382" s="29"/>
      <c r="H382" s="78" t="str">
        <f t="shared" si="52"/>
        <v/>
      </c>
      <c r="I382" s="25"/>
      <c r="J382" s="25"/>
      <c r="K382" s="26"/>
      <c r="L382" s="26"/>
      <c r="M382" s="37"/>
      <c r="N382" s="27"/>
      <c r="O382" s="30"/>
      <c r="P382" s="39" t="str">
        <f t="shared" si="56"/>
        <v/>
      </c>
      <c r="Q382" s="40" t="str">
        <f>IF(OR(T382=0,RIGHT(T382,1)=$W$1),"",COUNTIF($T$3:T382,T382))</f>
        <v/>
      </c>
      <c r="S382" s="6">
        <f t="shared" si="57"/>
        <v>0</v>
      </c>
      <c r="T382" s="36">
        <f t="shared" si="58"/>
        <v>0</v>
      </c>
      <c r="V382" s="6">
        <f t="shared" si="59"/>
        <v>0</v>
      </c>
      <c r="Y382" s="8">
        <f t="shared" si="60"/>
        <v>46023</v>
      </c>
    </row>
    <row r="383" spans="2:25" ht="18.75" x14ac:dyDescent="0.3">
      <c r="B383" s="6">
        <f t="shared" si="53"/>
        <v>0</v>
      </c>
      <c r="C383" s="6">
        <f t="shared" si="54"/>
        <v>0</v>
      </c>
      <c r="D383" s="6" t="str">
        <f t="shared" si="55"/>
        <v/>
      </c>
      <c r="E383" s="35" t="str">
        <f t="shared" si="51"/>
        <v/>
      </c>
      <c r="F383" s="31"/>
      <c r="G383" s="29"/>
      <c r="H383" s="78" t="str">
        <f t="shared" si="52"/>
        <v/>
      </c>
      <c r="I383" s="25"/>
      <c r="J383" s="25"/>
      <c r="K383" s="26"/>
      <c r="L383" s="26"/>
      <c r="M383" s="37"/>
      <c r="N383" s="27"/>
      <c r="O383" s="30"/>
      <c r="P383" s="39" t="str">
        <f t="shared" si="56"/>
        <v/>
      </c>
      <c r="Q383" s="40" t="str">
        <f>IF(OR(T383=0,RIGHT(T383,1)=$W$1),"",COUNTIF($T$3:T383,T383))</f>
        <v/>
      </c>
      <c r="S383" s="6">
        <f t="shared" si="57"/>
        <v>0</v>
      </c>
      <c r="T383" s="36">
        <f t="shared" si="58"/>
        <v>0</v>
      </c>
      <c r="V383" s="6">
        <f t="shared" si="59"/>
        <v>0</v>
      </c>
      <c r="Y383" s="8">
        <f t="shared" si="60"/>
        <v>46023</v>
      </c>
    </row>
    <row r="384" spans="2:25" ht="18.75" x14ac:dyDescent="0.3">
      <c r="B384" s="6">
        <f t="shared" si="53"/>
        <v>0</v>
      </c>
      <c r="C384" s="6">
        <f t="shared" si="54"/>
        <v>0</v>
      </c>
      <c r="D384" s="6" t="str">
        <f t="shared" si="55"/>
        <v/>
      </c>
      <c r="E384" s="35" t="str">
        <f t="shared" si="51"/>
        <v/>
      </c>
      <c r="F384" s="31"/>
      <c r="G384" s="29"/>
      <c r="H384" s="78" t="str">
        <f t="shared" si="52"/>
        <v/>
      </c>
      <c r="I384" s="25"/>
      <c r="J384" s="25"/>
      <c r="K384" s="26"/>
      <c r="L384" s="26"/>
      <c r="M384" s="37"/>
      <c r="N384" s="27"/>
      <c r="O384" s="30"/>
      <c r="P384" s="39" t="str">
        <f t="shared" si="56"/>
        <v/>
      </c>
      <c r="Q384" s="40" t="str">
        <f>IF(OR(T384=0,RIGHT(T384,1)=$W$1),"",COUNTIF($T$3:T384,T384))</f>
        <v/>
      </c>
      <c r="S384" s="6">
        <f t="shared" si="57"/>
        <v>0</v>
      </c>
      <c r="T384" s="36">
        <f t="shared" si="58"/>
        <v>0</v>
      </c>
      <c r="V384" s="6">
        <f t="shared" si="59"/>
        <v>0</v>
      </c>
      <c r="Y384" s="8">
        <f t="shared" si="60"/>
        <v>46023</v>
      </c>
    </row>
    <row r="385" spans="2:25" ht="18.75" x14ac:dyDescent="0.3">
      <c r="B385" s="6">
        <f t="shared" si="53"/>
        <v>0</v>
      </c>
      <c r="C385" s="6">
        <f t="shared" si="54"/>
        <v>0</v>
      </c>
      <c r="D385" s="6" t="str">
        <f t="shared" si="55"/>
        <v/>
      </c>
      <c r="E385" s="35" t="str">
        <f t="shared" si="51"/>
        <v/>
      </c>
      <c r="F385" s="31"/>
      <c r="G385" s="29"/>
      <c r="H385" s="78" t="str">
        <f t="shared" si="52"/>
        <v/>
      </c>
      <c r="I385" s="25"/>
      <c r="J385" s="25"/>
      <c r="K385" s="26"/>
      <c r="L385" s="26"/>
      <c r="M385" s="37"/>
      <c r="N385" s="27"/>
      <c r="O385" s="30"/>
      <c r="P385" s="39" t="str">
        <f t="shared" si="56"/>
        <v/>
      </c>
      <c r="Q385" s="40" t="str">
        <f>IF(OR(T385=0,RIGHT(T385,1)=$W$1),"",COUNTIF($T$3:T385,T385))</f>
        <v/>
      </c>
      <c r="S385" s="6">
        <f t="shared" si="57"/>
        <v>0</v>
      </c>
      <c r="T385" s="36">
        <f t="shared" si="58"/>
        <v>0</v>
      </c>
      <c r="V385" s="6">
        <f t="shared" si="59"/>
        <v>0</v>
      </c>
      <c r="Y385" s="8">
        <f t="shared" si="60"/>
        <v>46023</v>
      </c>
    </row>
    <row r="386" spans="2:25" ht="18.75" x14ac:dyDescent="0.3">
      <c r="B386" s="6">
        <f t="shared" si="53"/>
        <v>0</v>
      </c>
      <c r="C386" s="6">
        <f t="shared" si="54"/>
        <v>0</v>
      </c>
      <c r="D386" s="6" t="str">
        <f t="shared" si="55"/>
        <v/>
      </c>
      <c r="E386" s="35" t="str">
        <f t="shared" si="51"/>
        <v/>
      </c>
      <c r="F386" s="31"/>
      <c r="G386" s="29"/>
      <c r="H386" s="78" t="str">
        <f t="shared" si="52"/>
        <v/>
      </c>
      <c r="I386" s="25"/>
      <c r="J386" s="25"/>
      <c r="K386" s="26"/>
      <c r="L386" s="26"/>
      <c r="M386" s="37"/>
      <c r="N386" s="27"/>
      <c r="O386" s="30"/>
      <c r="P386" s="39" t="str">
        <f t="shared" si="56"/>
        <v/>
      </c>
      <c r="Q386" s="40" t="str">
        <f>IF(OR(T386=0,RIGHT(T386,1)=$W$1),"",COUNTIF($T$3:T386,T386))</f>
        <v/>
      </c>
      <c r="S386" s="6">
        <f t="shared" si="57"/>
        <v>0</v>
      </c>
      <c r="T386" s="36">
        <f t="shared" si="58"/>
        <v>0</v>
      </c>
      <c r="V386" s="6">
        <f t="shared" si="59"/>
        <v>0</v>
      </c>
      <c r="Y386" s="8">
        <f t="shared" si="60"/>
        <v>46023</v>
      </c>
    </row>
    <row r="387" spans="2:25" ht="18.75" x14ac:dyDescent="0.3">
      <c r="B387" s="6">
        <f t="shared" si="53"/>
        <v>0</v>
      </c>
      <c r="C387" s="6">
        <f t="shared" si="54"/>
        <v>0</v>
      </c>
      <c r="D387" s="6" t="str">
        <f t="shared" si="55"/>
        <v/>
      </c>
      <c r="E387" s="35" t="str">
        <f t="shared" ref="E387:E450" si="61">IF(D387&lt;&gt;"",D387&amp;" - "&amp;YEAR(F387),"")</f>
        <v/>
      </c>
      <c r="F387" s="31"/>
      <c r="G387" s="29"/>
      <c r="H387" s="78" t="str">
        <f t="shared" ref="H387:H450" si="62">IF(G387&lt;&gt;"",F387,"")</f>
        <v/>
      </c>
      <c r="I387" s="25"/>
      <c r="J387" s="25"/>
      <c r="K387" s="26"/>
      <c r="L387" s="26"/>
      <c r="M387" s="37"/>
      <c r="N387" s="27"/>
      <c r="O387" s="30"/>
      <c r="P387" s="39" t="str">
        <f t="shared" si="56"/>
        <v/>
      </c>
      <c r="Q387" s="40" t="str">
        <f>IF(OR(T387=0,RIGHT(T387,1)=$W$1),"",COUNTIF($T$3:T387,T387))</f>
        <v/>
      </c>
      <c r="S387" s="6">
        <f t="shared" si="57"/>
        <v>0</v>
      </c>
      <c r="T387" s="36">
        <f t="shared" si="58"/>
        <v>0</v>
      </c>
      <c r="V387" s="6">
        <f t="shared" si="59"/>
        <v>0</v>
      </c>
      <c r="Y387" s="8">
        <f t="shared" si="60"/>
        <v>46023</v>
      </c>
    </row>
    <row r="388" spans="2:25" ht="18.75" x14ac:dyDescent="0.3">
      <c r="B388" s="6">
        <f t="shared" ref="B388:B451" si="63">IF($B$1=YEAR(F388),B387+1,B387)</f>
        <v>0</v>
      </c>
      <c r="C388" s="6">
        <f t="shared" ref="C388:C451" si="64">IF(AND($C$1=K388,$Y$1=YEAR(F388)),C387+1,C387)</f>
        <v>0</v>
      </c>
      <c r="D388" s="6" t="str">
        <f t="shared" ref="D388:D451" si="65">IF(F388&lt;&gt;0,IF(YEAR(F388)&lt;&gt;YEAR(F387),1,IF(M388=$AI$1,D387,D387+1)),"")</f>
        <v/>
      </c>
      <c r="E388" s="35" t="str">
        <f t="shared" si="61"/>
        <v/>
      </c>
      <c r="F388" s="31"/>
      <c r="G388" s="29"/>
      <c r="H388" s="78" t="str">
        <f t="shared" si="62"/>
        <v/>
      </c>
      <c r="I388" s="25"/>
      <c r="J388" s="25"/>
      <c r="K388" s="26"/>
      <c r="L388" s="26"/>
      <c r="M388" s="37"/>
      <c r="N388" s="27"/>
      <c r="O388" s="30"/>
      <c r="P388" s="39" t="str">
        <f t="shared" ref="P388:P451" si="66">IF(OR(T388=0,RIGHT(T388,1)=$W$1),"",VLOOKUP(K388,$AD$1:$AK$15,5,FALSE))</f>
        <v/>
      </c>
      <c r="Q388" s="40" t="str">
        <f>IF(OR(T388=0,RIGHT(T388,1)=$W$1),"",COUNTIF($T$3:T388,T388))</f>
        <v/>
      </c>
      <c r="S388" s="6">
        <f t="shared" ref="S388:S451" si="67">IF(AND($C$1=K388,$Y$1=YEAR(F388)),C388,0)</f>
        <v>0</v>
      </c>
      <c r="T388" s="36">
        <f t="shared" ref="T388:T451" si="68">IF(F388=0,0,YEAR(F388)&amp;VLOOKUP(K388,$AD$1:$AE$15,2,FALSE))</f>
        <v>0</v>
      </c>
      <c r="V388" s="6">
        <f t="shared" ref="V388:V451" si="69">IF(AND(YEAR(F388)=$Y$1,K388=$C$1,L388&amp;$V$1&lt;&gt;$V$1),L388,IF(AND(YEAR(F388)=$Y$1,K388=$C$1),1,0))</f>
        <v>0</v>
      </c>
      <c r="Y388" s="8">
        <f t="shared" ref="Y388:Y451" si="70">IF(M388&lt;&gt;$AI$1,$Y$2,F387)</f>
        <v>46023</v>
      </c>
    </row>
    <row r="389" spans="2:25" ht="18.75" x14ac:dyDescent="0.3">
      <c r="B389" s="6">
        <f t="shared" si="63"/>
        <v>0</v>
      </c>
      <c r="C389" s="6">
        <f t="shared" si="64"/>
        <v>0</v>
      </c>
      <c r="D389" s="6" t="str">
        <f t="shared" si="65"/>
        <v/>
      </c>
      <c r="E389" s="35" t="str">
        <f t="shared" si="61"/>
        <v/>
      </c>
      <c r="F389" s="31"/>
      <c r="G389" s="29"/>
      <c r="H389" s="78" t="str">
        <f t="shared" si="62"/>
        <v/>
      </c>
      <c r="I389" s="25"/>
      <c r="J389" s="25"/>
      <c r="K389" s="26"/>
      <c r="L389" s="26"/>
      <c r="M389" s="37"/>
      <c r="N389" s="27"/>
      <c r="O389" s="30"/>
      <c r="P389" s="39" t="str">
        <f t="shared" si="66"/>
        <v/>
      </c>
      <c r="Q389" s="40" t="str">
        <f>IF(OR(T389=0,RIGHT(T389,1)=$W$1),"",COUNTIF($T$3:T389,T389))</f>
        <v/>
      </c>
      <c r="S389" s="6">
        <f t="shared" si="67"/>
        <v>0</v>
      </c>
      <c r="T389" s="36">
        <f t="shared" si="68"/>
        <v>0</v>
      </c>
      <c r="V389" s="6">
        <f t="shared" si="69"/>
        <v>0</v>
      </c>
      <c r="Y389" s="8">
        <f t="shared" si="70"/>
        <v>46023</v>
      </c>
    </row>
    <row r="390" spans="2:25" ht="18.75" x14ac:dyDescent="0.3">
      <c r="B390" s="6">
        <f t="shared" si="63"/>
        <v>0</v>
      </c>
      <c r="C390" s="6">
        <f t="shared" si="64"/>
        <v>0</v>
      </c>
      <c r="D390" s="6" t="str">
        <f t="shared" si="65"/>
        <v/>
      </c>
      <c r="E390" s="35" t="str">
        <f t="shared" si="61"/>
        <v/>
      </c>
      <c r="F390" s="31"/>
      <c r="G390" s="29"/>
      <c r="H390" s="78" t="str">
        <f t="shared" si="62"/>
        <v/>
      </c>
      <c r="I390" s="25"/>
      <c r="J390" s="25"/>
      <c r="K390" s="26"/>
      <c r="L390" s="26"/>
      <c r="M390" s="37"/>
      <c r="N390" s="27"/>
      <c r="O390" s="30"/>
      <c r="P390" s="39" t="str">
        <f t="shared" si="66"/>
        <v/>
      </c>
      <c r="Q390" s="40" t="str">
        <f>IF(OR(T390=0,RIGHT(T390,1)=$W$1),"",COUNTIF($T$3:T390,T390))</f>
        <v/>
      </c>
      <c r="S390" s="6">
        <f t="shared" si="67"/>
        <v>0</v>
      </c>
      <c r="T390" s="36">
        <f t="shared" si="68"/>
        <v>0</v>
      </c>
      <c r="V390" s="6">
        <f t="shared" si="69"/>
        <v>0</v>
      </c>
      <c r="Y390" s="8">
        <f t="shared" si="70"/>
        <v>46023</v>
      </c>
    </row>
    <row r="391" spans="2:25" ht="18.75" x14ac:dyDescent="0.3">
      <c r="B391" s="6">
        <f t="shared" si="63"/>
        <v>0</v>
      </c>
      <c r="C391" s="6">
        <f t="shared" si="64"/>
        <v>0</v>
      </c>
      <c r="D391" s="6" t="str">
        <f t="shared" si="65"/>
        <v/>
      </c>
      <c r="E391" s="35" t="str">
        <f t="shared" si="61"/>
        <v/>
      </c>
      <c r="F391" s="31"/>
      <c r="G391" s="29"/>
      <c r="H391" s="78" t="str">
        <f t="shared" si="62"/>
        <v/>
      </c>
      <c r="I391" s="25"/>
      <c r="J391" s="25"/>
      <c r="K391" s="26"/>
      <c r="L391" s="26"/>
      <c r="M391" s="37"/>
      <c r="N391" s="27"/>
      <c r="O391" s="30"/>
      <c r="P391" s="39" t="str">
        <f t="shared" si="66"/>
        <v/>
      </c>
      <c r="Q391" s="40" t="str">
        <f>IF(OR(T391=0,RIGHT(T391,1)=$W$1),"",COUNTIF($T$3:T391,T391))</f>
        <v/>
      </c>
      <c r="S391" s="6">
        <f t="shared" si="67"/>
        <v>0</v>
      </c>
      <c r="T391" s="36">
        <f t="shared" si="68"/>
        <v>0</v>
      </c>
      <c r="V391" s="6">
        <f t="shared" si="69"/>
        <v>0</v>
      </c>
      <c r="Y391" s="8">
        <f t="shared" si="70"/>
        <v>46023</v>
      </c>
    </row>
    <row r="392" spans="2:25" ht="18.75" x14ac:dyDescent="0.3">
      <c r="B392" s="6">
        <f t="shared" si="63"/>
        <v>0</v>
      </c>
      <c r="C392" s="6">
        <f t="shared" si="64"/>
        <v>0</v>
      </c>
      <c r="D392" s="6" t="str">
        <f t="shared" si="65"/>
        <v/>
      </c>
      <c r="E392" s="35" t="str">
        <f t="shared" si="61"/>
        <v/>
      </c>
      <c r="F392" s="31"/>
      <c r="G392" s="29"/>
      <c r="H392" s="78" t="str">
        <f t="shared" si="62"/>
        <v/>
      </c>
      <c r="I392" s="25"/>
      <c r="J392" s="25"/>
      <c r="K392" s="26"/>
      <c r="L392" s="26"/>
      <c r="M392" s="37"/>
      <c r="N392" s="27"/>
      <c r="O392" s="30"/>
      <c r="P392" s="39" t="str">
        <f t="shared" si="66"/>
        <v/>
      </c>
      <c r="Q392" s="40" t="str">
        <f>IF(OR(T392=0,RIGHT(T392,1)=$W$1),"",COUNTIF($T$3:T392,T392))</f>
        <v/>
      </c>
      <c r="S392" s="6">
        <f t="shared" si="67"/>
        <v>0</v>
      </c>
      <c r="T392" s="36">
        <f t="shared" si="68"/>
        <v>0</v>
      </c>
      <c r="V392" s="6">
        <f t="shared" si="69"/>
        <v>0</v>
      </c>
      <c r="Y392" s="8">
        <f t="shared" si="70"/>
        <v>46023</v>
      </c>
    </row>
    <row r="393" spans="2:25" ht="18.75" x14ac:dyDescent="0.3">
      <c r="B393" s="6">
        <f t="shared" si="63"/>
        <v>0</v>
      </c>
      <c r="C393" s="6">
        <f t="shared" si="64"/>
        <v>0</v>
      </c>
      <c r="D393" s="6" t="str">
        <f t="shared" si="65"/>
        <v/>
      </c>
      <c r="E393" s="35" t="str">
        <f t="shared" si="61"/>
        <v/>
      </c>
      <c r="F393" s="31"/>
      <c r="G393" s="29"/>
      <c r="H393" s="78" t="str">
        <f t="shared" si="62"/>
        <v/>
      </c>
      <c r="I393" s="25"/>
      <c r="J393" s="25"/>
      <c r="K393" s="26"/>
      <c r="L393" s="26"/>
      <c r="M393" s="37"/>
      <c r="N393" s="27"/>
      <c r="O393" s="30"/>
      <c r="P393" s="39" t="str">
        <f t="shared" si="66"/>
        <v/>
      </c>
      <c r="Q393" s="40" t="str">
        <f>IF(OR(T393=0,RIGHT(T393,1)=$W$1),"",COUNTIF($T$3:T393,T393))</f>
        <v/>
      </c>
      <c r="S393" s="6">
        <f t="shared" si="67"/>
        <v>0</v>
      </c>
      <c r="T393" s="36">
        <f t="shared" si="68"/>
        <v>0</v>
      </c>
      <c r="V393" s="6">
        <f t="shared" si="69"/>
        <v>0</v>
      </c>
      <c r="Y393" s="8">
        <f t="shared" si="70"/>
        <v>46023</v>
      </c>
    </row>
    <row r="394" spans="2:25" ht="18.75" x14ac:dyDescent="0.3">
      <c r="B394" s="6">
        <f t="shared" si="63"/>
        <v>0</v>
      </c>
      <c r="C394" s="6">
        <f t="shared" si="64"/>
        <v>0</v>
      </c>
      <c r="D394" s="6" t="str">
        <f t="shared" si="65"/>
        <v/>
      </c>
      <c r="E394" s="35" t="str">
        <f t="shared" si="61"/>
        <v/>
      </c>
      <c r="F394" s="31"/>
      <c r="G394" s="29"/>
      <c r="H394" s="78" t="str">
        <f t="shared" si="62"/>
        <v/>
      </c>
      <c r="I394" s="25"/>
      <c r="J394" s="25"/>
      <c r="K394" s="26"/>
      <c r="L394" s="26"/>
      <c r="M394" s="37"/>
      <c r="N394" s="27"/>
      <c r="O394" s="30"/>
      <c r="P394" s="39" t="str">
        <f t="shared" si="66"/>
        <v/>
      </c>
      <c r="Q394" s="40" t="str">
        <f>IF(OR(T394=0,RIGHT(T394,1)=$W$1),"",COUNTIF($T$3:T394,T394))</f>
        <v/>
      </c>
      <c r="S394" s="6">
        <f t="shared" si="67"/>
        <v>0</v>
      </c>
      <c r="T394" s="36">
        <f t="shared" si="68"/>
        <v>0</v>
      </c>
      <c r="V394" s="6">
        <f t="shared" si="69"/>
        <v>0</v>
      </c>
      <c r="Y394" s="8">
        <f t="shared" si="70"/>
        <v>46023</v>
      </c>
    </row>
    <row r="395" spans="2:25" ht="18.75" x14ac:dyDescent="0.3">
      <c r="B395" s="6">
        <f t="shared" si="63"/>
        <v>0</v>
      </c>
      <c r="C395" s="6">
        <f t="shared" si="64"/>
        <v>0</v>
      </c>
      <c r="D395" s="6" t="str">
        <f t="shared" si="65"/>
        <v/>
      </c>
      <c r="E395" s="35" t="str">
        <f t="shared" si="61"/>
        <v/>
      </c>
      <c r="F395" s="31"/>
      <c r="G395" s="29"/>
      <c r="H395" s="78" t="str">
        <f t="shared" si="62"/>
        <v/>
      </c>
      <c r="I395" s="25"/>
      <c r="J395" s="25"/>
      <c r="K395" s="26"/>
      <c r="L395" s="26"/>
      <c r="M395" s="37"/>
      <c r="N395" s="27"/>
      <c r="O395" s="30"/>
      <c r="P395" s="39" t="str">
        <f t="shared" si="66"/>
        <v/>
      </c>
      <c r="Q395" s="40" t="str">
        <f>IF(OR(T395=0,RIGHT(T395,1)=$W$1),"",COUNTIF($T$3:T395,T395))</f>
        <v/>
      </c>
      <c r="S395" s="6">
        <f t="shared" si="67"/>
        <v>0</v>
      </c>
      <c r="T395" s="36">
        <f t="shared" si="68"/>
        <v>0</v>
      </c>
      <c r="V395" s="6">
        <f t="shared" si="69"/>
        <v>0</v>
      </c>
      <c r="Y395" s="8">
        <f t="shared" si="70"/>
        <v>46023</v>
      </c>
    </row>
    <row r="396" spans="2:25" ht="18.75" x14ac:dyDescent="0.3">
      <c r="B396" s="6">
        <f t="shared" si="63"/>
        <v>0</v>
      </c>
      <c r="C396" s="6">
        <f t="shared" si="64"/>
        <v>0</v>
      </c>
      <c r="D396" s="6" t="str">
        <f t="shared" si="65"/>
        <v/>
      </c>
      <c r="E396" s="35" t="str">
        <f t="shared" si="61"/>
        <v/>
      </c>
      <c r="F396" s="31"/>
      <c r="G396" s="29"/>
      <c r="H396" s="78" t="str">
        <f t="shared" si="62"/>
        <v/>
      </c>
      <c r="I396" s="25"/>
      <c r="J396" s="25"/>
      <c r="K396" s="26"/>
      <c r="L396" s="26"/>
      <c r="M396" s="37"/>
      <c r="N396" s="27"/>
      <c r="O396" s="30"/>
      <c r="P396" s="39" t="str">
        <f t="shared" si="66"/>
        <v/>
      </c>
      <c r="Q396" s="40" t="str">
        <f>IF(OR(T396=0,RIGHT(T396,1)=$W$1),"",COUNTIF($T$3:T396,T396))</f>
        <v/>
      </c>
      <c r="S396" s="6">
        <f t="shared" si="67"/>
        <v>0</v>
      </c>
      <c r="T396" s="36">
        <f t="shared" si="68"/>
        <v>0</v>
      </c>
      <c r="V396" s="6">
        <f t="shared" si="69"/>
        <v>0</v>
      </c>
      <c r="Y396" s="8">
        <f t="shared" si="70"/>
        <v>46023</v>
      </c>
    </row>
    <row r="397" spans="2:25" ht="18.75" x14ac:dyDescent="0.3">
      <c r="B397" s="6">
        <f t="shared" si="63"/>
        <v>0</v>
      </c>
      <c r="C397" s="6">
        <f t="shared" si="64"/>
        <v>0</v>
      </c>
      <c r="D397" s="6" t="str">
        <f t="shared" si="65"/>
        <v/>
      </c>
      <c r="E397" s="35" t="str">
        <f t="shared" si="61"/>
        <v/>
      </c>
      <c r="F397" s="31"/>
      <c r="G397" s="29"/>
      <c r="H397" s="78" t="str">
        <f t="shared" si="62"/>
        <v/>
      </c>
      <c r="I397" s="25"/>
      <c r="J397" s="25"/>
      <c r="K397" s="26"/>
      <c r="L397" s="26"/>
      <c r="M397" s="37"/>
      <c r="N397" s="27"/>
      <c r="O397" s="30"/>
      <c r="P397" s="39" t="str">
        <f t="shared" si="66"/>
        <v/>
      </c>
      <c r="Q397" s="40" t="str">
        <f>IF(OR(T397=0,RIGHT(T397,1)=$W$1),"",COUNTIF($T$3:T397,T397))</f>
        <v/>
      </c>
      <c r="S397" s="6">
        <f t="shared" si="67"/>
        <v>0</v>
      </c>
      <c r="T397" s="36">
        <f t="shared" si="68"/>
        <v>0</v>
      </c>
      <c r="V397" s="6">
        <f t="shared" si="69"/>
        <v>0</v>
      </c>
      <c r="Y397" s="8">
        <f t="shared" si="70"/>
        <v>46023</v>
      </c>
    </row>
    <row r="398" spans="2:25" ht="18.75" x14ac:dyDescent="0.3">
      <c r="B398" s="6">
        <f t="shared" si="63"/>
        <v>0</v>
      </c>
      <c r="C398" s="6">
        <f t="shared" si="64"/>
        <v>0</v>
      </c>
      <c r="D398" s="6" t="str">
        <f t="shared" si="65"/>
        <v/>
      </c>
      <c r="E398" s="35" t="str">
        <f t="shared" si="61"/>
        <v/>
      </c>
      <c r="F398" s="31"/>
      <c r="G398" s="29"/>
      <c r="H398" s="78" t="str">
        <f t="shared" si="62"/>
        <v/>
      </c>
      <c r="I398" s="25"/>
      <c r="J398" s="25"/>
      <c r="K398" s="26"/>
      <c r="L398" s="26"/>
      <c r="M398" s="37"/>
      <c r="N398" s="27"/>
      <c r="O398" s="30"/>
      <c r="P398" s="39" t="str">
        <f t="shared" si="66"/>
        <v/>
      </c>
      <c r="Q398" s="40" t="str">
        <f>IF(OR(T398=0,RIGHT(T398,1)=$W$1),"",COUNTIF($T$3:T398,T398))</f>
        <v/>
      </c>
      <c r="S398" s="6">
        <f t="shared" si="67"/>
        <v>0</v>
      </c>
      <c r="T398" s="36">
        <f t="shared" si="68"/>
        <v>0</v>
      </c>
      <c r="V398" s="6">
        <f t="shared" si="69"/>
        <v>0</v>
      </c>
      <c r="Y398" s="8">
        <f t="shared" si="70"/>
        <v>46023</v>
      </c>
    </row>
    <row r="399" spans="2:25" ht="18.75" x14ac:dyDescent="0.3">
      <c r="B399" s="6">
        <f t="shared" si="63"/>
        <v>0</v>
      </c>
      <c r="C399" s="6">
        <f t="shared" si="64"/>
        <v>0</v>
      </c>
      <c r="D399" s="6" t="str">
        <f t="shared" si="65"/>
        <v/>
      </c>
      <c r="E399" s="35" t="str">
        <f t="shared" si="61"/>
        <v/>
      </c>
      <c r="F399" s="31"/>
      <c r="G399" s="29"/>
      <c r="H399" s="78" t="str">
        <f t="shared" si="62"/>
        <v/>
      </c>
      <c r="I399" s="25"/>
      <c r="J399" s="25"/>
      <c r="K399" s="26"/>
      <c r="L399" s="26"/>
      <c r="M399" s="37"/>
      <c r="N399" s="27"/>
      <c r="O399" s="30"/>
      <c r="P399" s="39" t="str">
        <f t="shared" si="66"/>
        <v/>
      </c>
      <c r="Q399" s="40" t="str">
        <f>IF(OR(T399=0,RIGHT(T399,1)=$W$1),"",COUNTIF($T$3:T399,T399))</f>
        <v/>
      </c>
      <c r="S399" s="6">
        <f t="shared" si="67"/>
        <v>0</v>
      </c>
      <c r="T399" s="36">
        <f t="shared" si="68"/>
        <v>0</v>
      </c>
      <c r="V399" s="6">
        <f t="shared" si="69"/>
        <v>0</v>
      </c>
      <c r="Y399" s="8">
        <f t="shared" si="70"/>
        <v>46023</v>
      </c>
    </row>
    <row r="400" spans="2:25" ht="18.75" x14ac:dyDescent="0.3">
      <c r="B400" s="6">
        <f t="shared" si="63"/>
        <v>0</v>
      </c>
      <c r="C400" s="6">
        <f t="shared" si="64"/>
        <v>0</v>
      </c>
      <c r="D400" s="6" t="str">
        <f t="shared" si="65"/>
        <v/>
      </c>
      <c r="E400" s="35" t="str">
        <f t="shared" si="61"/>
        <v/>
      </c>
      <c r="F400" s="31"/>
      <c r="G400" s="29"/>
      <c r="H400" s="78" t="str">
        <f t="shared" si="62"/>
        <v/>
      </c>
      <c r="I400" s="25"/>
      <c r="J400" s="25"/>
      <c r="K400" s="26"/>
      <c r="L400" s="26"/>
      <c r="M400" s="37"/>
      <c r="N400" s="27"/>
      <c r="O400" s="30"/>
      <c r="P400" s="39" t="str">
        <f t="shared" si="66"/>
        <v/>
      </c>
      <c r="Q400" s="40" t="str">
        <f>IF(OR(T400=0,RIGHT(T400,1)=$W$1),"",COUNTIF($T$3:T400,T400))</f>
        <v/>
      </c>
      <c r="S400" s="6">
        <f t="shared" si="67"/>
        <v>0</v>
      </c>
      <c r="T400" s="36">
        <f t="shared" si="68"/>
        <v>0</v>
      </c>
      <c r="V400" s="6">
        <f t="shared" si="69"/>
        <v>0</v>
      </c>
      <c r="Y400" s="8">
        <f t="shared" si="70"/>
        <v>46023</v>
      </c>
    </row>
    <row r="401" spans="2:25" ht="18.75" x14ac:dyDescent="0.3">
      <c r="B401" s="6">
        <f t="shared" si="63"/>
        <v>0</v>
      </c>
      <c r="C401" s="6">
        <f t="shared" si="64"/>
        <v>0</v>
      </c>
      <c r="D401" s="6" t="str">
        <f t="shared" si="65"/>
        <v/>
      </c>
      <c r="E401" s="35" t="str">
        <f t="shared" si="61"/>
        <v/>
      </c>
      <c r="F401" s="31"/>
      <c r="G401" s="29"/>
      <c r="H401" s="78" t="str">
        <f t="shared" si="62"/>
        <v/>
      </c>
      <c r="I401" s="25"/>
      <c r="J401" s="25"/>
      <c r="K401" s="26"/>
      <c r="L401" s="26"/>
      <c r="M401" s="37"/>
      <c r="N401" s="27"/>
      <c r="O401" s="30"/>
      <c r="P401" s="39" t="str">
        <f t="shared" si="66"/>
        <v/>
      </c>
      <c r="Q401" s="40" t="str">
        <f>IF(OR(T401=0,RIGHT(T401,1)=$W$1),"",COUNTIF($T$3:T401,T401))</f>
        <v/>
      </c>
      <c r="S401" s="6">
        <f t="shared" si="67"/>
        <v>0</v>
      </c>
      <c r="T401" s="36">
        <f t="shared" si="68"/>
        <v>0</v>
      </c>
      <c r="V401" s="6">
        <f t="shared" si="69"/>
        <v>0</v>
      </c>
      <c r="Y401" s="8">
        <f t="shared" si="70"/>
        <v>46023</v>
      </c>
    </row>
    <row r="402" spans="2:25" ht="18.75" x14ac:dyDescent="0.3">
      <c r="B402" s="6">
        <f t="shared" si="63"/>
        <v>0</v>
      </c>
      <c r="C402" s="6">
        <f t="shared" si="64"/>
        <v>0</v>
      </c>
      <c r="D402" s="6" t="str">
        <f t="shared" si="65"/>
        <v/>
      </c>
      <c r="E402" s="35" t="str">
        <f t="shared" si="61"/>
        <v/>
      </c>
      <c r="F402" s="31"/>
      <c r="G402" s="29"/>
      <c r="H402" s="78" t="str">
        <f t="shared" si="62"/>
        <v/>
      </c>
      <c r="I402" s="25"/>
      <c r="J402" s="25"/>
      <c r="K402" s="26"/>
      <c r="L402" s="26"/>
      <c r="M402" s="37"/>
      <c r="N402" s="27"/>
      <c r="O402" s="30"/>
      <c r="P402" s="39" t="str">
        <f t="shared" si="66"/>
        <v/>
      </c>
      <c r="Q402" s="40" t="str">
        <f>IF(OR(T402=0,RIGHT(T402,1)=$W$1),"",COUNTIF($T$3:T402,T402))</f>
        <v/>
      </c>
      <c r="S402" s="6">
        <f t="shared" si="67"/>
        <v>0</v>
      </c>
      <c r="T402" s="36">
        <f t="shared" si="68"/>
        <v>0</v>
      </c>
      <c r="V402" s="6">
        <f t="shared" si="69"/>
        <v>0</v>
      </c>
      <c r="Y402" s="8">
        <f t="shared" si="70"/>
        <v>46023</v>
      </c>
    </row>
    <row r="403" spans="2:25" ht="18.75" x14ac:dyDescent="0.3">
      <c r="B403" s="6">
        <f t="shared" si="63"/>
        <v>0</v>
      </c>
      <c r="C403" s="6">
        <f t="shared" si="64"/>
        <v>0</v>
      </c>
      <c r="D403" s="6" t="str">
        <f t="shared" si="65"/>
        <v/>
      </c>
      <c r="E403" s="35" t="str">
        <f t="shared" si="61"/>
        <v/>
      </c>
      <c r="F403" s="31"/>
      <c r="G403" s="29"/>
      <c r="H403" s="78" t="str">
        <f t="shared" si="62"/>
        <v/>
      </c>
      <c r="I403" s="25"/>
      <c r="J403" s="25"/>
      <c r="K403" s="26"/>
      <c r="L403" s="26"/>
      <c r="M403" s="37"/>
      <c r="N403" s="27"/>
      <c r="O403" s="30"/>
      <c r="P403" s="39" t="str">
        <f t="shared" si="66"/>
        <v/>
      </c>
      <c r="Q403" s="40" t="str">
        <f>IF(OR(T403=0,RIGHT(T403,1)=$W$1),"",COUNTIF($T$3:T403,T403))</f>
        <v/>
      </c>
      <c r="S403" s="6">
        <f t="shared" si="67"/>
        <v>0</v>
      </c>
      <c r="T403" s="36">
        <f t="shared" si="68"/>
        <v>0</v>
      </c>
      <c r="V403" s="6">
        <f t="shared" si="69"/>
        <v>0</v>
      </c>
      <c r="Y403" s="8">
        <f t="shared" si="70"/>
        <v>46023</v>
      </c>
    </row>
    <row r="404" spans="2:25" ht="18.75" x14ac:dyDescent="0.3">
      <c r="B404" s="6">
        <f t="shared" si="63"/>
        <v>0</v>
      </c>
      <c r="C404" s="6">
        <f t="shared" si="64"/>
        <v>0</v>
      </c>
      <c r="D404" s="6" t="str">
        <f t="shared" si="65"/>
        <v/>
      </c>
      <c r="E404" s="35" t="str">
        <f t="shared" si="61"/>
        <v/>
      </c>
      <c r="F404" s="31"/>
      <c r="G404" s="29"/>
      <c r="H404" s="78" t="str">
        <f t="shared" si="62"/>
        <v/>
      </c>
      <c r="I404" s="25"/>
      <c r="J404" s="25"/>
      <c r="K404" s="26"/>
      <c r="L404" s="26"/>
      <c r="M404" s="37"/>
      <c r="N404" s="27"/>
      <c r="O404" s="30"/>
      <c r="P404" s="39" t="str">
        <f t="shared" si="66"/>
        <v/>
      </c>
      <c r="Q404" s="40" t="str">
        <f>IF(OR(T404=0,RIGHT(T404,1)=$W$1),"",COUNTIF($T$3:T404,T404))</f>
        <v/>
      </c>
      <c r="S404" s="6">
        <f t="shared" si="67"/>
        <v>0</v>
      </c>
      <c r="T404" s="36">
        <f t="shared" si="68"/>
        <v>0</v>
      </c>
      <c r="V404" s="6">
        <f t="shared" si="69"/>
        <v>0</v>
      </c>
      <c r="Y404" s="8">
        <f t="shared" si="70"/>
        <v>46023</v>
      </c>
    </row>
    <row r="405" spans="2:25" ht="18.75" x14ac:dyDescent="0.3">
      <c r="B405" s="6">
        <f t="shared" si="63"/>
        <v>0</v>
      </c>
      <c r="C405" s="6">
        <f t="shared" si="64"/>
        <v>0</v>
      </c>
      <c r="D405" s="6" t="str">
        <f t="shared" si="65"/>
        <v/>
      </c>
      <c r="E405" s="35" t="str">
        <f t="shared" si="61"/>
        <v/>
      </c>
      <c r="F405" s="31"/>
      <c r="G405" s="29"/>
      <c r="H405" s="78" t="str">
        <f t="shared" si="62"/>
        <v/>
      </c>
      <c r="I405" s="25"/>
      <c r="J405" s="25"/>
      <c r="K405" s="26"/>
      <c r="L405" s="26"/>
      <c r="M405" s="37"/>
      <c r="N405" s="27"/>
      <c r="O405" s="30"/>
      <c r="P405" s="39" t="str">
        <f t="shared" si="66"/>
        <v/>
      </c>
      <c r="Q405" s="40" t="str">
        <f>IF(OR(T405=0,RIGHT(T405,1)=$W$1),"",COUNTIF($T$3:T405,T405))</f>
        <v/>
      </c>
      <c r="S405" s="6">
        <f t="shared" si="67"/>
        <v>0</v>
      </c>
      <c r="T405" s="36">
        <f t="shared" si="68"/>
        <v>0</v>
      </c>
      <c r="V405" s="6">
        <f t="shared" si="69"/>
        <v>0</v>
      </c>
      <c r="Y405" s="8">
        <f t="shared" si="70"/>
        <v>46023</v>
      </c>
    </row>
    <row r="406" spans="2:25" ht="18.75" x14ac:dyDescent="0.3">
      <c r="B406" s="6">
        <f t="shared" si="63"/>
        <v>0</v>
      </c>
      <c r="C406" s="6">
        <f t="shared" si="64"/>
        <v>0</v>
      </c>
      <c r="D406" s="6" t="str">
        <f t="shared" si="65"/>
        <v/>
      </c>
      <c r="E406" s="35" t="str">
        <f t="shared" si="61"/>
        <v/>
      </c>
      <c r="F406" s="31"/>
      <c r="G406" s="29"/>
      <c r="H406" s="78" t="str">
        <f t="shared" si="62"/>
        <v/>
      </c>
      <c r="I406" s="25"/>
      <c r="J406" s="25"/>
      <c r="K406" s="26"/>
      <c r="L406" s="26"/>
      <c r="M406" s="37"/>
      <c r="N406" s="27"/>
      <c r="O406" s="30"/>
      <c r="P406" s="39" t="str">
        <f t="shared" si="66"/>
        <v/>
      </c>
      <c r="Q406" s="40" t="str">
        <f>IF(OR(T406=0,RIGHT(T406,1)=$W$1),"",COUNTIF($T$3:T406,T406))</f>
        <v/>
      </c>
      <c r="S406" s="6">
        <f t="shared" si="67"/>
        <v>0</v>
      </c>
      <c r="T406" s="36">
        <f t="shared" si="68"/>
        <v>0</v>
      </c>
      <c r="V406" s="6">
        <f t="shared" si="69"/>
        <v>0</v>
      </c>
      <c r="Y406" s="8">
        <f t="shared" si="70"/>
        <v>46023</v>
      </c>
    </row>
    <row r="407" spans="2:25" ht="18.75" x14ac:dyDescent="0.3">
      <c r="B407" s="6">
        <f t="shared" si="63"/>
        <v>0</v>
      </c>
      <c r="C407" s="6">
        <f t="shared" si="64"/>
        <v>0</v>
      </c>
      <c r="D407" s="6" t="str">
        <f t="shared" si="65"/>
        <v/>
      </c>
      <c r="E407" s="35" t="str">
        <f t="shared" si="61"/>
        <v/>
      </c>
      <c r="F407" s="31"/>
      <c r="G407" s="29"/>
      <c r="H407" s="78" t="str">
        <f t="shared" si="62"/>
        <v/>
      </c>
      <c r="I407" s="25"/>
      <c r="J407" s="25"/>
      <c r="K407" s="26"/>
      <c r="L407" s="26"/>
      <c r="M407" s="37"/>
      <c r="N407" s="27"/>
      <c r="O407" s="30"/>
      <c r="P407" s="39" t="str">
        <f t="shared" si="66"/>
        <v/>
      </c>
      <c r="Q407" s="40" t="str">
        <f>IF(OR(T407=0,RIGHT(T407,1)=$W$1),"",COUNTIF($T$3:T407,T407))</f>
        <v/>
      </c>
      <c r="S407" s="6">
        <f t="shared" si="67"/>
        <v>0</v>
      </c>
      <c r="T407" s="36">
        <f t="shared" si="68"/>
        <v>0</v>
      </c>
      <c r="V407" s="6">
        <f t="shared" si="69"/>
        <v>0</v>
      </c>
      <c r="Y407" s="8">
        <f t="shared" si="70"/>
        <v>46023</v>
      </c>
    </row>
    <row r="408" spans="2:25" ht="18.75" x14ac:dyDescent="0.3">
      <c r="B408" s="6">
        <f t="shared" si="63"/>
        <v>0</v>
      </c>
      <c r="C408" s="6">
        <f t="shared" si="64"/>
        <v>0</v>
      </c>
      <c r="D408" s="6" t="str">
        <f t="shared" si="65"/>
        <v/>
      </c>
      <c r="E408" s="35" t="str">
        <f t="shared" si="61"/>
        <v/>
      </c>
      <c r="F408" s="31"/>
      <c r="G408" s="29"/>
      <c r="H408" s="78" t="str">
        <f t="shared" si="62"/>
        <v/>
      </c>
      <c r="I408" s="25"/>
      <c r="J408" s="25"/>
      <c r="K408" s="26"/>
      <c r="L408" s="26"/>
      <c r="M408" s="37"/>
      <c r="N408" s="27"/>
      <c r="O408" s="30"/>
      <c r="P408" s="39" t="str">
        <f t="shared" si="66"/>
        <v/>
      </c>
      <c r="Q408" s="40" t="str">
        <f>IF(OR(T408=0,RIGHT(T408,1)=$W$1),"",COUNTIF($T$3:T408,T408))</f>
        <v/>
      </c>
      <c r="S408" s="6">
        <f t="shared" si="67"/>
        <v>0</v>
      </c>
      <c r="T408" s="36">
        <f t="shared" si="68"/>
        <v>0</v>
      </c>
      <c r="V408" s="6">
        <f t="shared" si="69"/>
        <v>0</v>
      </c>
      <c r="Y408" s="8">
        <f t="shared" si="70"/>
        <v>46023</v>
      </c>
    </row>
    <row r="409" spans="2:25" ht="18.75" x14ac:dyDescent="0.3">
      <c r="B409" s="6">
        <f t="shared" si="63"/>
        <v>0</v>
      </c>
      <c r="C409" s="6">
        <f t="shared" si="64"/>
        <v>0</v>
      </c>
      <c r="D409" s="6" t="str">
        <f t="shared" si="65"/>
        <v/>
      </c>
      <c r="E409" s="35" t="str">
        <f t="shared" si="61"/>
        <v/>
      </c>
      <c r="F409" s="31"/>
      <c r="G409" s="29"/>
      <c r="H409" s="78" t="str">
        <f t="shared" si="62"/>
        <v/>
      </c>
      <c r="I409" s="25"/>
      <c r="J409" s="25"/>
      <c r="K409" s="26"/>
      <c r="L409" s="26"/>
      <c r="M409" s="37"/>
      <c r="N409" s="27"/>
      <c r="O409" s="30"/>
      <c r="P409" s="39" t="str">
        <f t="shared" si="66"/>
        <v/>
      </c>
      <c r="Q409" s="40" t="str">
        <f>IF(OR(T409=0,RIGHT(T409,1)=$W$1),"",COUNTIF($T$3:T409,T409))</f>
        <v/>
      </c>
      <c r="S409" s="6">
        <f t="shared" si="67"/>
        <v>0</v>
      </c>
      <c r="T409" s="36">
        <f t="shared" si="68"/>
        <v>0</v>
      </c>
      <c r="V409" s="6">
        <f t="shared" si="69"/>
        <v>0</v>
      </c>
      <c r="Y409" s="8">
        <f t="shared" si="70"/>
        <v>46023</v>
      </c>
    </row>
    <row r="410" spans="2:25" ht="18.75" x14ac:dyDescent="0.3">
      <c r="B410" s="6">
        <f t="shared" si="63"/>
        <v>0</v>
      </c>
      <c r="C410" s="6">
        <f t="shared" si="64"/>
        <v>0</v>
      </c>
      <c r="D410" s="6" t="str">
        <f t="shared" si="65"/>
        <v/>
      </c>
      <c r="E410" s="35" t="str">
        <f t="shared" si="61"/>
        <v/>
      </c>
      <c r="F410" s="31"/>
      <c r="G410" s="29"/>
      <c r="H410" s="78" t="str">
        <f t="shared" si="62"/>
        <v/>
      </c>
      <c r="I410" s="25"/>
      <c r="J410" s="25"/>
      <c r="K410" s="26"/>
      <c r="L410" s="26"/>
      <c r="M410" s="37"/>
      <c r="N410" s="27"/>
      <c r="O410" s="30"/>
      <c r="P410" s="39" t="str">
        <f t="shared" si="66"/>
        <v/>
      </c>
      <c r="Q410" s="40" t="str">
        <f>IF(OR(T410=0,RIGHT(T410,1)=$W$1),"",COUNTIF($T$3:T410,T410))</f>
        <v/>
      </c>
      <c r="S410" s="6">
        <f t="shared" si="67"/>
        <v>0</v>
      </c>
      <c r="T410" s="36">
        <f t="shared" si="68"/>
        <v>0</v>
      </c>
      <c r="V410" s="6">
        <f t="shared" si="69"/>
        <v>0</v>
      </c>
      <c r="Y410" s="8">
        <f t="shared" si="70"/>
        <v>46023</v>
      </c>
    </row>
    <row r="411" spans="2:25" ht="18.75" x14ac:dyDescent="0.3">
      <c r="B411" s="6">
        <f t="shared" si="63"/>
        <v>0</v>
      </c>
      <c r="C411" s="6">
        <f t="shared" si="64"/>
        <v>0</v>
      </c>
      <c r="D411" s="6" t="str">
        <f t="shared" si="65"/>
        <v/>
      </c>
      <c r="E411" s="35" t="str">
        <f t="shared" si="61"/>
        <v/>
      </c>
      <c r="F411" s="31"/>
      <c r="G411" s="29"/>
      <c r="H411" s="78" t="str">
        <f t="shared" si="62"/>
        <v/>
      </c>
      <c r="I411" s="25"/>
      <c r="J411" s="25"/>
      <c r="K411" s="26"/>
      <c r="L411" s="26"/>
      <c r="M411" s="37"/>
      <c r="N411" s="27"/>
      <c r="O411" s="30"/>
      <c r="P411" s="39" t="str">
        <f t="shared" si="66"/>
        <v/>
      </c>
      <c r="Q411" s="40" t="str">
        <f>IF(OR(T411=0,RIGHT(T411,1)=$W$1),"",COUNTIF($T$3:T411,T411))</f>
        <v/>
      </c>
      <c r="S411" s="6">
        <f t="shared" si="67"/>
        <v>0</v>
      </c>
      <c r="T411" s="36">
        <f t="shared" si="68"/>
        <v>0</v>
      </c>
      <c r="V411" s="6">
        <f t="shared" si="69"/>
        <v>0</v>
      </c>
      <c r="Y411" s="8">
        <f t="shared" si="70"/>
        <v>46023</v>
      </c>
    </row>
    <row r="412" spans="2:25" ht="18.75" x14ac:dyDescent="0.3">
      <c r="B412" s="6">
        <f t="shared" si="63"/>
        <v>0</v>
      </c>
      <c r="C412" s="6">
        <f t="shared" si="64"/>
        <v>0</v>
      </c>
      <c r="D412" s="6" t="str">
        <f t="shared" si="65"/>
        <v/>
      </c>
      <c r="E412" s="35" t="str">
        <f t="shared" si="61"/>
        <v/>
      </c>
      <c r="F412" s="31"/>
      <c r="G412" s="29"/>
      <c r="H412" s="78" t="str">
        <f t="shared" si="62"/>
        <v/>
      </c>
      <c r="I412" s="25"/>
      <c r="J412" s="25"/>
      <c r="K412" s="26"/>
      <c r="L412" s="26"/>
      <c r="M412" s="37"/>
      <c r="N412" s="27"/>
      <c r="O412" s="30"/>
      <c r="P412" s="39" t="str">
        <f t="shared" si="66"/>
        <v/>
      </c>
      <c r="Q412" s="40" t="str">
        <f>IF(OR(T412=0,RIGHT(T412,1)=$W$1),"",COUNTIF($T$3:T412,T412))</f>
        <v/>
      </c>
      <c r="S412" s="6">
        <f t="shared" si="67"/>
        <v>0</v>
      </c>
      <c r="T412" s="36">
        <f t="shared" si="68"/>
        <v>0</v>
      </c>
      <c r="V412" s="6">
        <f t="shared" si="69"/>
        <v>0</v>
      </c>
      <c r="Y412" s="8">
        <f t="shared" si="70"/>
        <v>46023</v>
      </c>
    </row>
    <row r="413" spans="2:25" ht="18.75" x14ac:dyDescent="0.3">
      <c r="B413" s="6">
        <f t="shared" si="63"/>
        <v>0</v>
      </c>
      <c r="C413" s="6">
        <f t="shared" si="64"/>
        <v>0</v>
      </c>
      <c r="D413" s="6" t="str">
        <f t="shared" si="65"/>
        <v/>
      </c>
      <c r="E413" s="35" t="str">
        <f t="shared" si="61"/>
        <v/>
      </c>
      <c r="F413" s="31"/>
      <c r="G413" s="29"/>
      <c r="H413" s="78" t="str">
        <f t="shared" si="62"/>
        <v/>
      </c>
      <c r="I413" s="25"/>
      <c r="J413" s="25"/>
      <c r="K413" s="26"/>
      <c r="L413" s="26"/>
      <c r="M413" s="37"/>
      <c r="N413" s="27"/>
      <c r="O413" s="30"/>
      <c r="P413" s="39" t="str">
        <f t="shared" si="66"/>
        <v/>
      </c>
      <c r="Q413" s="40" t="str">
        <f>IF(OR(T413=0,RIGHT(T413,1)=$W$1),"",COUNTIF($T$3:T413,T413))</f>
        <v/>
      </c>
      <c r="S413" s="6">
        <f t="shared" si="67"/>
        <v>0</v>
      </c>
      <c r="T413" s="36">
        <f t="shared" si="68"/>
        <v>0</v>
      </c>
      <c r="V413" s="6">
        <f t="shared" si="69"/>
        <v>0</v>
      </c>
      <c r="Y413" s="8">
        <f t="shared" si="70"/>
        <v>46023</v>
      </c>
    </row>
    <row r="414" spans="2:25" ht="18.75" x14ac:dyDescent="0.3">
      <c r="B414" s="6">
        <f t="shared" si="63"/>
        <v>0</v>
      </c>
      <c r="C414" s="6">
        <f t="shared" si="64"/>
        <v>0</v>
      </c>
      <c r="D414" s="6" t="str">
        <f t="shared" si="65"/>
        <v/>
      </c>
      <c r="E414" s="35" t="str">
        <f t="shared" si="61"/>
        <v/>
      </c>
      <c r="F414" s="31"/>
      <c r="G414" s="29"/>
      <c r="H414" s="78" t="str">
        <f t="shared" si="62"/>
        <v/>
      </c>
      <c r="I414" s="25"/>
      <c r="J414" s="25"/>
      <c r="K414" s="26"/>
      <c r="L414" s="26"/>
      <c r="M414" s="37"/>
      <c r="N414" s="27"/>
      <c r="O414" s="30"/>
      <c r="P414" s="39" t="str">
        <f t="shared" si="66"/>
        <v/>
      </c>
      <c r="Q414" s="40" t="str">
        <f>IF(OR(T414=0,RIGHT(T414,1)=$W$1),"",COUNTIF($T$3:T414,T414))</f>
        <v/>
      </c>
      <c r="S414" s="6">
        <f t="shared" si="67"/>
        <v>0</v>
      </c>
      <c r="T414" s="36">
        <f t="shared" si="68"/>
        <v>0</v>
      </c>
      <c r="V414" s="6">
        <f t="shared" si="69"/>
        <v>0</v>
      </c>
      <c r="Y414" s="8">
        <f t="shared" si="70"/>
        <v>46023</v>
      </c>
    </row>
    <row r="415" spans="2:25" ht="18.75" x14ac:dyDescent="0.3">
      <c r="B415" s="6">
        <f t="shared" si="63"/>
        <v>0</v>
      </c>
      <c r="C415" s="6">
        <f t="shared" si="64"/>
        <v>0</v>
      </c>
      <c r="D415" s="6" t="str">
        <f t="shared" si="65"/>
        <v/>
      </c>
      <c r="E415" s="35" t="str">
        <f t="shared" si="61"/>
        <v/>
      </c>
      <c r="F415" s="31"/>
      <c r="G415" s="29"/>
      <c r="H415" s="78" t="str">
        <f t="shared" si="62"/>
        <v/>
      </c>
      <c r="I415" s="25"/>
      <c r="J415" s="25"/>
      <c r="K415" s="26"/>
      <c r="L415" s="26"/>
      <c r="M415" s="37"/>
      <c r="N415" s="27"/>
      <c r="O415" s="30"/>
      <c r="P415" s="39" t="str">
        <f t="shared" si="66"/>
        <v/>
      </c>
      <c r="Q415" s="40" t="str">
        <f>IF(OR(T415=0,RIGHT(T415,1)=$W$1),"",COUNTIF($T$3:T415,T415))</f>
        <v/>
      </c>
      <c r="S415" s="6">
        <f t="shared" si="67"/>
        <v>0</v>
      </c>
      <c r="T415" s="36">
        <f t="shared" si="68"/>
        <v>0</v>
      </c>
      <c r="V415" s="6">
        <f t="shared" si="69"/>
        <v>0</v>
      </c>
      <c r="Y415" s="8">
        <f t="shared" si="70"/>
        <v>46023</v>
      </c>
    </row>
    <row r="416" spans="2:25" ht="18.75" x14ac:dyDescent="0.3">
      <c r="B416" s="6">
        <f t="shared" si="63"/>
        <v>0</v>
      </c>
      <c r="C416" s="6">
        <f t="shared" si="64"/>
        <v>0</v>
      </c>
      <c r="D416" s="6" t="str">
        <f t="shared" si="65"/>
        <v/>
      </c>
      <c r="E416" s="35" t="str">
        <f t="shared" si="61"/>
        <v/>
      </c>
      <c r="F416" s="31"/>
      <c r="G416" s="29"/>
      <c r="H416" s="78" t="str">
        <f t="shared" si="62"/>
        <v/>
      </c>
      <c r="I416" s="25"/>
      <c r="J416" s="25"/>
      <c r="K416" s="26"/>
      <c r="L416" s="26"/>
      <c r="M416" s="37"/>
      <c r="N416" s="27"/>
      <c r="O416" s="30"/>
      <c r="P416" s="39" t="str">
        <f t="shared" si="66"/>
        <v/>
      </c>
      <c r="Q416" s="40" t="str">
        <f>IF(OR(T416=0,RIGHT(T416,1)=$W$1),"",COUNTIF($T$3:T416,T416))</f>
        <v/>
      </c>
      <c r="S416" s="6">
        <f t="shared" si="67"/>
        <v>0</v>
      </c>
      <c r="T416" s="36">
        <f t="shared" si="68"/>
        <v>0</v>
      </c>
      <c r="V416" s="6">
        <f t="shared" si="69"/>
        <v>0</v>
      </c>
      <c r="Y416" s="8">
        <f t="shared" si="70"/>
        <v>46023</v>
      </c>
    </row>
    <row r="417" spans="2:25" ht="18.75" x14ac:dyDescent="0.3">
      <c r="B417" s="6">
        <f t="shared" si="63"/>
        <v>0</v>
      </c>
      <c r="C417" s="6">
        <f t="shared" si="64"/>
        <v>0</v>
      </c>
      <c r="D417" s="6" t="str">
        <f t="shared" si="65"/>
        <v/>
      </c>
      <c r="E417" s="35" t="str">
        <f t="shared" si="61"/>
        <v/>
      </c>
      <c r="F417" s="31"/>
      <c r="G417" s="29"/>
      <c r="H417" s="78" t="str">
        <f t="shared" si="62"/>
        <v/>
      </c>
      <c r="I417" s="25"/>
      <c r="J417" s="25"/>
      <c r="K417" s="26"/>
      <c r="L417" s="26"/>
      <c r="M417" s="37"/>
      <c r="N417" s="27"/>
      <c r="O417" s="30"/>
      <c r="P417" s="39" t="str">
        <f t="shared" si="66"/>
        <v/>
      </c>
      <c r="Q417" s="40" t="str">
        <f>IF(OR(T417=0,RIGHT(T417,1)=$W$1),"",COUNTIF($T$3:T417,T417))</f>
        <v/>
      </c>
      <c r="S417" s="6">
        <f t="shared" si="67"/>
        <v>0</v>
      </c>
      <c r="T417" s="36">
        <f t="shared" si="68"/>
        <v>0</v>
      </c>
      <c r="V417" s="6">
        <f t="shared" si="69"/>
        <v>0</v>
      </c>
      <c r="Y417" s="8">
        <f t="shared" si="70"/>
        <v>46023</v>
      </c>
    </row>
    <row r="418" spans="2:25" ht="18.75" x14ac:dyDescent="0.3">
      <c r="B418" s="6">
        <f t="shared" si="63"/>
        <v>0</v>
      </c>
      <c r="C418" s="6">
        <f t="shared" si="64"/>
        <v>0</v>
      </c>
      <c r="D418" s="6" t="str">
        <f t="shared" si="65"/>
        <v/>
      </c>
      <c r="E418" s="35" t="str">
        <f t="shared" si="61"/>
        <v/>
      </c>
      <c r="F418" s="31"/>
      <c r="G418" s="29"/>
      <c r="H418" s="78" t="str">
        <f t="shared" si="62"/>
        <v/>
      </c>
      <c r="I418" s="25"/>
      <c r="J418" s="25"/>
      <c r="K418" s="26"/>
      <c r="L418" s="26"/>
      <c r="M418" s="37"/>
      <c r="N418" s="27"/>
      <c r="O418" s="30"/>
      <c r="P418" s="39" t="str">
        <f t="shared" si="66"/>
        <v/>
      </c>
      <c r="Q418" s="40" t="str">
        <f>IF(OR(T418=0,RIGHT(T418,1)=$W$1),"",COUNTIF($T$3:T418,T418))</f>
        <v/>
      </c>
      <c r="S418" s="6">
        <f t="shared" si="67"/>
        <v>0</v>
      </c>
      <c r="T418" s="36">
        <f t="shared" si="68"/>
        <v>0</v>
      </c>
      <c r="V418" s="6">
        <f t="shared" si="69"/>
        <v>0</v>
      </c>
      <c r="Y418" s="8">
        <f t="shared" si="70"/>
        <v>46023</v>
      </c>
    </row>
    <row r="419" spans="2:25" ht="18.75" x14ac:dyDescent="0.3">
      <c r="B419" s="6">
        <f t="shared" si="63"/>
        <v>0</v>
      </c>
      <c r="C419" s="6">
        <f t="shared" si="64"/>
        <v>0</v>
      </c>
      <c r="D419" s="6" t="str">
        <f t="shared" si="65"/>
        <v/>
      </c>
      <c r="E419" s="35" t="str">
        <f t="shared" si="61"/>
        <v/>
      </c>
      <c r="F419" s="31"/>
      <c r="G419" s="29"/>
      <c r="H419" s="78" t="str">
        <f t="shared" si="62"/>
        <v/>
      </c>
      <c r="I419" s="25"/>
      <c r="J419" s="25"/>
      <c r="K419" s="26"/>
      <c r="L419" s="26"/>
      <c r="M419" s="37"/>
      <c r="N419" s="27"/>
      <c r="O419" s="30"/>
      <c r="P419" s="39" t="str">
        <f t="shared" si="66"/>
        <v/>
      </c>
      <c r="Q419" s="40" t="str">
        <f>IF(OR(T419=0,RIGHT(T419,1)=$W$1),"",COUNTIF($T$3:T419,T419))</f>
        <v/>
      </c>
      <c r="S419" s="6">
        <f t="shared" si="67"/>
        <v>0</v>
      </c>
      <c r="T419" s="36">
        <f t="shared" si="68"/>
        <v>0</v>
      </c>
      <c r="V419" s="6">
        <f t="shared" si="69"/>
        <v>0</v>
      </c>
      <c r="Y419" s="8">
        <f t="shared" si="70"/>
        <v>46023</v>
      </c>
    </row>
    <row r="420" spans="2:25" ht="18.75" x14ac:dyDescent="0.3">
      <c r="B420" s="6">
        <f t="shared" si="63"/>
        <v>0</v>
      </c>
      <c r="C420" s="6">
        <f t="shared" si="64"/>
        <v>0</v>
      </c>
      <c r="D420" s="6" t="str">
        <f t="shared" si="65"/>
        <v/>
      </c>
      <c r="E420" s="35" t="str">
        <f t="shared" si="61"/>
        <v/>
      </c>
      <c r="F420" s="31"/>
      <c r="G420" s="29"/>
      <c r="H420" s="78" t="str">
        <f t="shared" si="62"/>
        <v/>
      </c>
      <c r="I420" s="25"/>
      <c r="J420" s="25"/>
      <c r="K420" s="26"/>
      <c r="L420" s="26"/>
      <c r="M420" s="37"/>
      <c r="N420" s="27"/>
      <c r="O420" s="30"/>
      <c r="P420" s="39" t="str">
        <f t="shared" si="66"/>
        <v/>
      </c>
      <c r="Q420" s="40" t="str">
        <f>IF(OR(T420=0,RIGHT(T420,1)=$W$1),"",COUNTIF($T$3:T420,T420))</f>
        <v/>
      </c>
      <c r="S420" s="6">
        <f t="shared" si="67"/>
        <v>0</v>
      </c>
      <c r="T420" s="36">
        <f t="shared" si="68"/>
        <v>0</v>
      </c>
      <c r="V420" s="6">
        <f t="shared" si="69"/>
        <v>0</v>
      </c>
      <c r="Y420" s="8">
        <f t="shared" si="70"/>
        <v>46023</v>
      </c>
    </row>
    <row r="421" spans="2:25" ht="18.75" x14ac:dyDescent="0.3">
      <c r="B421" s="6">
        <f t="shared" si="63"/>
        <v>0</v>
      </c>
      <c r="C421" s="6">
        <f t="shared" si="64"/>
        <v>0</v>
      </c>
      <c r="D421" s="6" t="str">
        <f t="shared" si="65"/>
        <v/>
      </c>
      <c r="E421" s="35" t="str">
        <f t="shared" si="61"/>
        <v/>
      </c>
      <c r="F421" s="31"/>
      <c r="G421" s="29"/>
      <c r="H421" s="78" t="str">
        <f t="shared" si="62"/>
        <v/>
      </c>
      <c r="I421" s="25"/>
      <c r="J421" s="25"/>
      <c r="K421" s="26"/>
      <c r="L421" s="26"/>
      <c r="M421" s="37"/>
      <c r="N421" s="27"/>
      <c r="O421" s="30"/>
      <c r="P421" s="39" t="str">
        <f t="shared" si="66"/>
        <v/>
      </c>
      <c r="Q421" s="40" t="str">
        <f>IF(OR(T421=0,RIGHT(T421,1)=$W$1),"",COUNTIF($T$3:T421,T421))</f>
        <v/>
      </c>
      <c r="S421" s="6">
        <f t="shared" si="67"/>
        <v>0</v>
      </c>
      <c r="T421" s="36">
        <f t="shared" si="68"/>
        <v>0</v>
      </c>
      <c r="V421" s="6">
        <f t="shared" si="69"/>
        <v>0</v>
      </c>
      <c r="Y421" s="8">
        <f t="shared" si="70"/>
        <v>46023</v>
      </c>
    </row>
    <row r="422" spans="2:25" ht="18.75" x14ac:dyDescent="0.3">
      <c r="B422" s="6">
        <f t="shared" si="63"/>
        <v>0</v>
      </c>
      <c r="C422" s="6">
        <f t="shared" si="64"/>
        <v>0</v>
      </c>
      <c r="D422" s="6" t="str">
        <f t="shared" si="65"/>
        <v/>
      </c>
      <c r="E422" s="35" t="str">
        <f t="shared" si="61"/>
        <v/>
      </c>
      <c r="F422" s="31"/>
      <c r="G422" s="29"/>
      <c r="H422" s="78" t="str">
        <f t="shared" si="62"/>
        <v/>
      </c>
      <c r="I422" s="25"/>
      <c r="J422" s="25"/>
      <c r="K422" s="26"/>
      <c r="L422" s="26"/>
      <c r="M422" s="37"/>
      <c r="N422" s="27"/>
      <c r="O422" s="30"/>
      <c r="P422" s="39" t="str">
        <f t="shared" si="66"/>
        <v/>
      </c>
      <c r="Q422" s="40" t="str">
        <f>IF(OR(T422=0,RIGHT(T422,1)=$W$1),"",COUNTIF($T$3:T422,T422))</f>
        <v/>
      </c>
      <c r="S422" s="6">
        <f t="shared" si="67"/>
        <v>0</v>
      </c>
      <c r="T422" s="36">
        <f t="shared" si="68"/>
        <v>0</v>
      </c>
      <c r="V422" s="6">
        <f t="shared" si="69"/>
        <v>0</v>
      </c>
      <c r="Y422" s="8">
        <f t="shared" si="70"/>
        <v>46023</v>
      </c>
    </row>
    <row r="423" spans="2:25" ht="18.75" x14ac:dyDescent="0.3">
      <c r="B423" s="6">
        <f t="shared" si="63"/>
        <v>0</v>
      </c>
      <c r="C423" s="6">
        <f t="shared" si="64"/>
        <v>0</v>
      </c>
      <c r="D423" s="6" t="str">
        <f t="shared" si="65"/>
        <v/>
      </c>
      <c r="E423" s="35" t="str">
        <f t="shared" si="61"/>
        <v/>
      </c>
      <c r="F423" s="31"/>
      <c r="G423" s="29"/>
      <c r="H423" s="78" t="str">
        <f t="shared" si="62"/>
        <v/>
      </c>
      <c r="I423" s="25"/>
      <c r="J423" s="25"/>
      <c r="K423" s="26"/>
      <c r="L423" s="26"/>
      <c r="M423" s="37"/>
      <c r="N423" s="27"/>
      <c r="O423" s="30"/>
      <c r="P423" s="39" t="str">
        <f t="shared" si="66"/>
        <v/>
      </c>
      <c r="Q423" s="40" t="str">
        <f>IF(OR(T423=0,RIGHT(T423,1)=$W$1),"",COUNTIF($T$3:T423,T423))</f>
        <v/>
      </c>
      <c r="S423" s="6">
        <f t="shared" si="67"/>
        <v>0</v>
      </c>
      <c r="T423" s="36">
        <f t="shared" si="68"/>
        <v>0</v>
      </c>
      <c r="V423" s="6">
        <f t="shared" si="69"/>
        <v>0</v>
      </c>
      <c r="Y423" s="8">
        <f t="shared" si="70"/>
        <v>46023</v>
      </c>
    </row>
    <row r="424" spans="2:25" ht="18.75" x14ac:dyDescent="0.3">
      <c r="B424" s="6">
        <f t="shared" si="63"/>
        <v>0</v>
      </c>
      <c r="C424" s="6">
        <f t="shared" si="64"/>
        <v>0</v>
      </c>
      <c r="D424" s="6" t="str">
        <f t="shared" si="65"/>
        <v/>
      </c>
      <c r="E424" s="35" t="str">
        <f t="shared" si="61"/>
        <v/>
      </c>
      <c r="F424" s="31"/>
      <c r="G424" s="29"/>
      <c r="H424" s="78" t="str">
        <f t="shared" si="62"/>
        <v/>
      </c>
      <c r="I424" s="25"/>
      <c r="J424" s="25"/>
      <c r="K424" s="26"/>
      <c r="L424" s="26"/>
      <c r="M424" s="37"/>
      <c r="N424" s="27"/>
      <c r="O424" s="30"/>
      <c r="P424" s="39" t="str">
        <f t="shared" si="66"/>
        <v/>
      </c>
      <c r="Q424" s="40" t="str">
        <f>IF(OR(T424=0,RIGHT(T424,1)=$W$1),"",COUNTIF($T$3:T424,T424))</f>
        <v/>
      </c>
      <c r="S424" s="6">
        <f t="shared" si="67"/>
        <v>0</v>
      </c>
      <c r="T424" s="36">
        <f t="shared" si="68"/>
        <v>0</v>
      </c>
      <c r="V424" s="6">
        <f t="shared" si="69"/>
        <v>0</v>
      </c>
      <c r="Y424" s="8">
        <f t="shared" si="70"/>
        <v>46023</v>
      </c>
    </row>
    <row r="425" spans="2:25" ht="18.75" x14ac:dyDescent="0.3">
      <c r="B425" s="6">
        <f t="shared" si="63"/>
        <v>0</v>
      </c>
      <c r="C425" s="6">
        <f t="shared" si="64"/>
        <v>0</v>
      </c>
      <c r="D425" s="6" t="str">
        <f t="shared" si="65"/>
        <v/>
      </c>
      <c r="E425" s="35" t="str">
        <f t="shared" si="61"/>
        <v/>
      </c>
      <c r="F425" s="31"/>
      <c r="G425" s="29"/>
      <c r="H425" s="78" t="str">
        <f t="shared" si="62"/>
        <v/>
      </c>
      <c r="I425" s="25"/>
      <c r="J425" s="25"/>
      <c r="K425" s="26"/>
      <c r="L425" s="26"/>
      <c r="M425" s="37"/>
      <c r="N425" s="27"/>
      <c r="O425" s="30"/>
      <c r="P425" s="39" t="str">
        <f t="shared" si="66"/>
        <v/>
      </c>
      <c r="Q425" s="40" t="str">
        <f>IF(OR(T425=0,RIGHT(T425,1)=$W$1),"",COUNTIF($T$3:T425,T425))</f>
        <v/>
      </c>
      <c r="S425" s="6">
        <f t="shared" si="67"/>
        <v>0</v>
      </c>
      <c r="T425" s="36">
        <f t="shared" si="68"/>
        <v>0</v>
      </c>
      <c r="V425" s="6">
        <f t="shared" si="69"/>
        <v>0</v>
      </c>
      <c r="Y425" s="8">
        <f t="shared" si="70"/>
        <v>46023</v>
      </c>
    </row>
    <row r="426" spans="2:25" ht="18.75" x14ac:dyDescent="0.3">
      <c r="B426" s="6">
        <f t="shared" si="63"/>
        <v>0</v>
      </c>
      <c r="C426" s="6">
        <f t="shared" si="64"/>
        <v>0</v>
      </c>
      <c r="D426" s="6" t="str">
        <f t="shared" si="65"/>
        <v/>
      </c>
      <c r="E426" s="35" t="str">
        <f t="shared" si="61"/>
        <v/>
      </c>
      <c r="F426" s="31"/>
      <c r="G426" s="29"/>
      <c r="H426" s="78" t="str">
        <f t="shared" si="62"/>
        <v/>
      </c>
      <c r="I426" s="25"/>
      <c r="J426" s="25"/>
      <c r="K426" s="26"/>
      <c r="L426" s="26"/>
      <c r="M426" s="37"/>
      <c r="N426" s="27"/>
      <c r="O426" s="30"/>
      <c r="P426" s="39" t="str">
        <f t="shared" si="66"/>
        <v/>
      </c>
      <c r="Q426" s="40" t="str">
        <f>IF(OR(T426=0,RIGHT(T426,1)=$W$1),"",COUNTIF($T$3:T426,T426))</f>
        <v/>
      </c>
      <c r="S426" s="6">
        <f t="shared" si="67"/>
        <v>0</v>
      </c>
      <c r="T426" s="36">
        <f t="shared" si="68"/>
        <v>0</v>
      </c>
      <c r="V426" s="6">
        <f t="shared" si="69"/>
        <v>0</v>
      </c>
      <c r="Y426" s="8">
        <f t="shared" si="70"/>
        <v>46023</v>
      </c>
    </row>
    <row r="427" spans="2:25" ht="18.75" x14ac:dyDescent="0.3">
      <c r="B427" s="6">
        <f t="shared" si="63"/>
        <v>0</v>
      </c>
      <c r="C427" s="6">
        <f t="shared" si="64"/>
        <v>0</v>
      </c>
      <c r="D427" s="6" t="str">
        <f t="shared" si="65"/>
        <v/>
      </c>
      <c r="E427" s="35" t="str">
        <f t="shared" si="61"/>
        <v/>
      </c>
      <c r="F427" s="31"/>
      <c r="G427" s="29"/>
      <c r="H427" s="78" t="str">
        <f t="shared" si="62"/>
        <v/>
      </c>
      <c r="I427" s="25"/>
      <c r="J427" s="25"/>
      <c r="K427" s="26"/>
      <c r="L427" s="26"/>
      <c r="M427" s="37"/>
      <c r="N427" s="27"/>
      <c r="O427" s="30"/>
      <c r="P427" s="39" t="str">
        <f t="shared" si="66"/>
        <v/>
      </c>
      <c r="Q427" s="40" t="str">
        <f>IF(OR(T427=0,RIGHT(T427,1)=$W$1),"",COUNTIF($T$3:T427,T427))</f>
        <v/>
      </c>
      <c r="S427" s="6">
        <f t="shared" si="67"/>
        <v>0</v>
      </c>
      <c r="T427" s="36">
        <f t="shared" si="68"/>
        <v>0</v>
      </c>
      <c r="V427" s="6">
        <f t="shared" si="69"/>
        <v>0</v>
      </c>
      <c r="Y427" s="8">
        <f t="shared" si="70"/>
        <v>46023</v>
      </c>
    </row>
    <row r="428" spans="2:25" ht="18.75" x14ac:dyDescent="0.3">
      <c r="B428" s="6">
        <f t="shared" si="63"/>
        <v>0</v>
      </c>
      <c r="C428" s="6">
        <f t="shared" si="64"/>
        <v>0</v>
      </c>
      <c r="D428" s="6" t="str">
        <f t="shared" si="65"/>
        <v/>
      </c>
      <c r="E428" s="35" t="str">
        <f t="shared" si="61"/>
        <v/>
      </c>
      <c r="F428" s="31"/>
      <c r="G428" s="29"/>
      <c r="H428" s="78" t="str">
        <f t="shared" si="62"/>
        <v/>
      </c>
      <c r="I428" s="25"/>
      <c r="J428" s="25"/>
      <c r="K428" s="26"/>
      <c r="L428" s="26"/>
      <c r="M428" s="37"/>
      <c r="N428" s="27"/>
      <c r="O428" s="30"/>
      <c r="P428" s="39" t="str">
        <f t="shared" si="66"/>
        <v/>
      </c>
      <c r="Q428" s="40" t="str">
        <f>IF(OR(T428=0,RIGHT(T428,1)=$W$1),"",COUNTIF($T$3:T428,T428))</f>
        <v/>
      </c>
      <c r="S428" s="6">
        <f t="shared" si="67"/>
        <v>0</v>
      </c>
      <c r="T428" s="36">
        <f t="shared" si="68"/>
        <v>0</v>
      </c>
      <c r="V428" s="6">
        <f t="shared" si="69"/>
        <v>0</v>
      </c>
      <c r="Y428" s="8">
        <f t="shared" si="70"/>
        <v>46023</v>
      </c>
    </row>
    <row r="429" spans="2:25" ht="18.75" x14ac:dyDescent="0.3">
      <c r="B429" s="6">
        <f t="shared" si="63"/>
        <v>0</v>
      </c>
      <c r="C429" s="6">
        <f t="shared" si="64"/>
        <v>0</v>
      </c>
      <c r="D429" s="6" t="str">
        <f t="shared" si="65"/>
        <v/>
      </c>
      <c r="E429" s="35" t="str">
        <f t="shared" si="61"/>
        <v/>
      </c>
      <c r="F429" s="31"/>
      <c r="G429" s="29"/>
      <c r="H429" s="78" t="str">
        <f t="shared" si="62"/>
        <v/>
      </c>
      <c r="I429" s="25"/>
      <c r="J429" s="25"/>
      <c r="K429" s="26"/>
      <c r="L429" s="26"/>
      <c r="M429" s="37"/>
      <c r="N429" s="27"/>
      <c r="O429" s="30"/>
      <c r="P429" s="39" t="str">
        <f t="shared" si="66"/>
        <v/>
      </c>
      <c r="Q429" s="40" t="str">
        <f>IF(OR(T429=0,RIGHT(T429,1)=$W$1),"",COUNTIF($T$3:T429,T429))</f>
        <v/>
      </c>
      <c r="S429" s="6">
        <f t="shared" si="67"/>
        <v>0</v>
      </c>
      <c r="T429" s="36">
        <f t="shared" si="68"/>
        <v>0</v>
      </c>
      <c r="V429" s="6">
        <f t="shared" si="69"/>
        <v>0</v>
      </c>
      <c r="Y429" s="8">
        <f t="shared" si="70"/>
        <v>46023</v>
      </c>
    </row>
    <row r="430" spans="2:25" ht="18.75" x14ac:dyDescent="0.3">
      <c r="B430" s="6">
        <f t="shared" si="63"/>
        <v>0</v>
      </c>
      <c r="C430" s="6">
        <f t="shared" si="64"/>
        <v>0</v>
      </c>
      <c r="D430" s="6" t="str">
        <f t="shared" si="65"/>
        <v/>
      </c>
      <c r="E430" s="35" t="str">
        <f t="shared" si="61"/>
        <v/>
      </c>
      <c r="F430" s="31"/>
      <c r="G430" s="29"/>
      <c r="H430" s="78" t="str">
        <f t="shared" si="62"/>
        <v/>
      </c>
      <c r="I430" s="25"/>
      <c r="J430" s="25"/>
      <c r="K430" s="26"/>
      <c r="L430" s="26"/>
      <c r="M430" s="37"/>
      <c r="N430" s="27"/>
      <c r="O430" s="30"/>
      <c r="P430" s="39" t="str">
        <f t="shared" si="66"/>
        <v/>
      </c>
      <c r="Q430" s="40" t="str">
        <f>IF(OR(T430=0,RIGHT(T430,1)=$W$1),"",COUNTIF($T$3:T430,T430))</f>
        <v/>
      </c>
      <c r="S430" s="6">
        <f t="shared" si="67"/>
        <v>0</v>
      </c>
      <c r="T430" s="36">
        <f t="shared" si="68"/>
        <v>0</v>
      </c>
      <c r="V430" s="6">
        <f t="shared" si="69"/>
        <v>0</v>
      </c>
      <c r="Y430" s="8">
        <f t="shared" si="70"/>
        <v>46023</v>
      </c>
    </row>
    <row r="431" spans="2:25" ht="18.75" x14ac:dyDescent="0.3">
      <c r="B431" s="6">
        <f t="shared" si="63"/>
        <v>0</v>
      </c>
      <c r="C431" s="6">
        <f t="shared" si="64"/>
        <v>0</v>
      </c>
      <c r="D431" s="6" t="str">
        <f t="shared" si="65"/>
        <v/>
      </c>
      <c r="E431" s="35" t="str">
        <f t="shared" si="61"/>
        <v/>
      </c>
      <c r="F431" s="31"/>
      <c r="G431" s="29"/>
      <c r="H431" s="78" t="str">
        <f t="shared" si="62"/>
        <v/>
      </c>
      <c r="I431" s="25"/>
      <c r="J431" s="25"/>
      <c r="K431" s="26"/>
      <c r="L431" s="26"/>
      <c r="M431" s="37"/>
      <c r="N431" s="27"/>
      <c r="O431" s="30"/>
      <c r="P431" s="39" t="str">
        <f t="shared" si="66"/>
        <v/>
      </c>
      <c r="Q431" s="40" t="str">
        <f>IF(OR(T431=0,RIGHT(T431,1)=$W$1),"",COUNTIF($T$3:T431,T431))</f>
        <v/>
      </c>
      <c r="S431" s="6">
        <f t="shared" si="67"/>
        <v>0</v>
      </c>
      <c r="T431" s="36">
        <f t="shared" si="68"/>
        <v>0</v>
      </c>
      <c r="V431" s="6">
        <f t="shared" si="69"/>
        <v>0</v>
      </c>
      <c r="Y431" s="8">
        <f t="shared" si="70"/>
        <v>46023</v>
      </c>
    </row>
    <row r="432" spans="2:25" ht="18.75" x14ac:dyDescent="0.3">
      <c r="B432" s="6">
        <f t="shared" si="63"/>
        <v>0</v>
      </c>
      <c r="C432" s="6">
        <f t="shared" si="64"/>
        <v>0</v>
      </c>
      <c r="D432" s="6" t="str">
        <f t="shared" si="65"/>
        <v/>
      </c>
      <c r="E432" s="35" t="str">
        <f t="shared" si="61"/>
        <v/>
      </c>
      <c r="F432" s="31"/>
      <c r="G432" s="29"/>
      <c r="H432" s="78" t="str">
        <f t="shared" si="62"/>
        <v/>
      </c>
      <c r="I432" s="25"/>
      <c r="J432" s="25"/>
      <c r="K432" s="26"/>
      <c r="L432" s="26"/>
      <c r="M432" s="37"/>
      <c r="N432" s="27"/>
      <c r="O432" s="30"/>
      <c r="P432" s="39" t="str">
        <f t="shared" si="66"/>
        <v/>
      </c>
      <c r="Q432" s="40" t="str">
        <f>IF(OR(T432=0,RIGHT(T432,1)=$W$1),"",COUNTIF($T$3:T432,T432))</f>
        <v/>
      </c>
      <c r="S432" s="6">
        <f t="shared" si="67"/>
        <v>0</v>
      </c>
      <c r="T432" s="36">
        <f t="shared" si="68"/>
        <v>0</v>
      </c>
      <c r="V432" s="6">
        <f t="shared" si="69"/>
        <v>0</v>
      </c>
      <c r="Y432" s="8">
        <f t="shared" si="70"/>
        <v>46023</v>
      </c>
    </row>
    <row r="433" spans="2:25" ht="18.75" x14ac:dyDescent="0.3">
      <c r="B433" s="6">
        <f t="shared" si="63"/>
        <v>0</v>
      </c>
      <c r="C433" s="6">
        <f t="shared" si="64"/>
        <v>0</v>
      </c>
      <c r="D433" s="6" t="str">
        <f t="shared" si="65"/>
        <v/>
      </c>
      <c r="E433" s="35" t="str">
        <f t="shared" si="61"/>
        <v/>
      </c>
      <c r="F433" s="31"/>
      <c r="G433" s="29"/>
      <c r="H433" s="78" t="str">
        <f t="shared" si="62"/>
        <v/>
      </c>
      <c r="I433" s="25"/>
      <c r="J433" s="25"/>
      <c r="K433" s="26"/>
      <c r="L433" s="26"/>
      <c r="M433" s="37"/>
      <c r="N433" s="27"/>
      <c r="O433" s="30"/>
      <c r="P433" s="39" t="str">
        <f t="shared" si="66"/>
        <v/>
      </c>
      <c r="Q433" s="40" t="str">
        <f>IF(OR(T433=0,RIGHT(T433,1)=$W$1),"",COUNTIF($T$3:T433,T433))</f>
        <v/>
      </c>
      <c r="S433" s="6">
        <f t="shared" si="67"/>
        <v>0</v>
      </c>
      <c r="T433" s="36">
        <f t="shared" si="68"/>
        <v>0</v>
      </c>
      <c r="V433" s="6">
        <f t="shared" si="69"/>
        <v>0</v>
      </c>
      <c r="Y433" s="8">
        <f t="shared" si="70"/>
        <v>46023</v>
      </c>
    </row>
    <row r="434" spans="2:25" ht="18.75" x14ac:dyDescent="0.3">
      <c r="B434" s="6">
        <f t="shared" si="63"/>
        <v>0</v>
      </c>
      <c r="C434" s="6">
        <f t="shared" si="64"/>
        <v>0</v>
      </c>
      <c r="D434" s="6" t="str">
        <f t="shared" si="65"/>
        <v/>
      </c>
      <c r="E434" s="35" t="str">
        <f t="shared" si="61"/>
        <v/>
      </c>
      <c r="F434" s="31"/>
      <c r="G434" s="29"/>
      <c r="H434" s="78" t="str">
        <f t="shared" si="62"/>
        <v/>
      </c>
      <c r="I434" s="25"/>
      <c r="J434" s="25"/>
      <c r="K434" s="26"/>
      <c r="L434" s="26"/>
      <c r="M434" s="37"/>
      <c r="N434" s="27"/>
      <c r="O434" s="30"/>
      <c r="P434" s="39" t="str">
        <f t="shared" si="66"/>
        <v/>
      </c>
      <c r="Q434" s="40" t="str">
        <f>IF(OR(T434=0,RIGHT(T434,1)=$W$1),"",COUNTIF($T$3:T434,T434))</f>
        <v/>
      </c>
      <c r="S434" s="6">
        <f t="shared" si="67"/>
        <v>0</v>
      </c>
      <c r="T434" s="36">
        <f t="shared" si="68"/>
        <v>0</v>
      </c>
      <c r="V434" s="6">
        <f t="shared" si="69"/>
        <v>0</v>
      </c>
      <c r="Y434" s="8">
        <f t="shared" si="70"/>
        <v>46023</v>
      </c>
    </row>
    <row r="435" spans="2:25" ht="18.75" x14ac:dyDescent="0.3">
      <c r="B435" s="6">
        <f t="shared" si="63"/>
        <v>0</v>
      </c>
      <c r="C435" s="6">
        <f t="shared" si="64"/>
        <v>0</v>
      </c>
      <c r="D435" s="6" t="str">
        <f t="shared" si="65"/>
        <v/>
      </c>
      <c r="E435" s="35" t="str">
        <f t="shared" si="61"/>
        <v/>
      </c>
      <c r="F435" s="31"/>
      <c r="G435" s="29"/>
      <c r="H435" s="78" t="str">
        <f t="shared" si="62"/>
        <v/>
      </c>
      <c r="I435" s="25"/>
      <c r="J435" s="25"/>
      <c r="K435" s="26"/>
      <c r="L435" s="26"/>
      <c r="M435" s="37"/>
      <c r="N435" s="27"/>
      <c r="O435" s="30"/>
      <c r="P435" s="39" t="str">
        <f t="shared" si="66"/>
        <v/>
      </c>
      <c r="Q435" s="40" t="str">
        <f>IF(OR(T435=0,RIGHT(T435,1)=$W$1),"",COUNTIF($T$3:T435,T435))</f>
        <v/>
      </c>
      <c r="S435" s="6">
        <f t="shared" si="67"/>
        <v>0</v>
      </c>
      <c r="T435" s="36">
        <f t="shared" si="68"/>
        <v>0</v>
      </c>
      <c r="V435" s="6">
        <f t="shared" si="69"/>
        <v>0</v>
      </c>
      <c r="Y435" s="8">
        <f t="shared" si="70"/>
        <v>46023</v>
      </c>
    </row>
    <row r="436" spans="2:25" ht="18.75" x14ac:dyDescent="0.3">
      <c r="B436" s="6">
        <f t="shared" si="63"/>
        <v>0</v>
      </c>
      <c r="C436" s="6">
        <f t="shared" si="64"/>
        <v>0</v>
      </c>
      <c r="D436" s="6" t="str">
        <f t="shared" si="65"/>
        <v/>
      </c>
      <c r="E436" s="35" t="str">
        <f t="shared" si="61"/>
        <v/>
      </c>
      <c r="F436" s="31"/>
      <c r="G436" s="29"/>
      <c r="H436" s="78" t="str">
        <f t="shared" si="62"/>
        <v/>
      </c>
      <c r="I436" s="25"/>
      <c r="J436" s="25"/>
      <c r="K436" s="26"/>
      <c r="L436" s="26"/>
      <c r="M436" s="37"/>
      <c r="N436" s="27"/>
      <c r="O436" s="30"/>
      <c r="P436" s="39" t="str">
        <f t="shared" si="66"/>
        <v/>
      </c>
      <c r="Q436" s="40" t="str">
        <f>IF(OR(T436=0,RIGHT(T436,1)=$W$1),"",COUNTIF($T$3:T436,T436))</f>
        <v/>
      </c>
      <c r="S436" s="6">
        <f t="shared" si="67"/>
        <v>0</v>
      </c>
      <c r="T436" s="36">
        <f t="shared" si="68"/>
        <v>0</v>
      </c>
      <c r="V436" s="6">
        <f t="shared" si="69"/>
        <v>0</v>
      </c>
      <c r="Y436" s="8">
        <f t="shared" si="70"/>
        <v>46023</v>
      </c>
    </row>
    <row r="437" spans="2:25" ht="18.75" x14ac:dyDescent="0.3">
      <c r="B437" s="6">
        <f t="shared" si="63"/>
        <v>0</v>
      </c>
      <c r="C437" s="6">
        <f t="shared" si="64"/>
        <v>0</v>
      </c>
      <c r="D437" s="6" t="str">
        <f t="shared" si="65"/>
        <v/>
      </c>
      <c r="E437" s="35" t="str">
        <f t="shared" si="61"/>
        <v/>
      </c>
      <c r="F437" s="31"/>
      <c r="G437" s="29"/>
      <c r="H437" s="78" t="str">
        <f t="shared" si="62"/>
        <v/>
      </c>
      <c r="I437" s="25"/>
      <c r="J437" s="25"/>
      <c r="K437" s="26"/>
      <c r="L437" s="26"/>
      <c r="M437" s="37"/>
      <c r="N437" s="27"/>
      <c r="O437" s="30"/>
      <c r="P437" s="39" t="str">
        <f t="shared" si="66"/>
        <v/>
      </c>
      <c r="Q437" s="40" t="str">
        <f>IF(OR(T437=0,RIGHT(T437,1)=$W$1),"",COUNTIF($T$3:T437,T437))</f>
        <v/>
      </c>
      <c r="S437" s="6">
        <f t="shared" si="67"/>
        <v>0</v>
      </c>
      <c r="T437" s="36">
        <f t="shared" si="68"/>
        <v>0</v>
      </c>
      <c r="V437" s="6">
        <f t="shared" si="69"/>
        <v>0</v>
      </c>
      <c r="Y437" s="8">
        <f t="shared" si="70"/>
        <v>46023</v>
      </c>
    </row>
    <row r="438" spans="2:25" ht="18.75" x14ac:dyDescent="0.3">
      <c r="B438" s="6">
        <f t="shared" si="63"/>
        <v>0</v>
      </c>
      <c r="C438" s="6">
        <f t="shared" si="64"/>
        <v>0</v>
      </c>
      <c r="D438" s="6" t="str">
        <f t="shared" si="65"/>
        <v/>
      </c>
      <c r="E438" s="35" t="str">
        <f t="shared" si="61"/>
        <v/>
      </c>
      <c r="F438" s="31"/>
      <c r="G438" s="29"/>
      <c r="H438" s="78" t="str">
        <f t="shared" si="62"/>
        <v/>
      </c>
      <c r="I438" s="25"/>
      <c r="J438" s="25"/>
      <c r="K438" s="26"/>
      <c r="L438" s="26"/>
      <c r="M438" s="37"/>
      <c r="N438" s="27"/>
      <c r="O438" s="30"/>
      <c r="P438" s="39" t="str">
        <f t="shared" si="66"/>
        <v/>
      </c>
      <c r="Q438" s="40" t="str">
        <f>IF(OR(T438=0,RIGHT(T438,1)=$W$1),"",COUNTIF($T$3:T438,T438))</f>
        <v/>
      </c>
      <c r="S438" s="6">
        <f t="shared" si="67"/>
        <v>0</v>
      </c>
      <c r="T438" s="36">
        <f t="shared" si="68"/>
        <v>0</v>
      </c>
      <c r="V438" s="6">
        <f t="shared" si="69"/>
        <v>0</v>
      </c>
      <c r="Y438" s="8">
        <f t="shared" si="70"/>
        <v>46023</v>
      </c>
    </row>
    <row r="439" spans="2:25" ht="18.75" x14ac:dyDescent="0.3">
      <c r="B439" s="6">
        <f t="shared" si="63"/>
        <v>0</v>
      </c>
      <c r="C439" s="6">
        <f t="shared" si="64"/>
        <v>0</v>
      </c>
      <c r="D439" s="6" t="str">
        <f t="shared" si="65"/>
        <v/>
      </c>
      <c r="E439" s="35" t="str">
        <f t="shared" si="61"/>
        <v/>
      </c>
      <c r="F439" s="31"/>
      <c r="G439" s="29"/>
      <c r="H439" s="78" t="str">
        <f t="shared" si="62"/>
        <v/>
      </c>
      <c r="I439" s="25"/>
      <c r="J439" s="25"/>
      <c r="K439" s="26"/>
      <c r="L439" s="26"/>
      <c r="M439" s="37"/>
      <c r="N439" s="27"/>
      <c r="O439" s="30"/>
      <c r="P439" s="39" t="str">
        <f t="shared" si="66"/>
        <v/>
      </c>
      <c r="Q439" s="40" t="str">
        <f>IF(OR(T439=0,RIGHT(T439,1)=$W$1),"",COUNTIF($T$3:T439,T439))</f>
        <v/>
      </c>
      <c r="S439" s="6">
        <f t="shared" si="67"/>
        <v>0</v>
      </c>
      <c r="T439" s="36">
        <f t="shared" si="68"/>
        <v>0</v>
      </c>
      <c r="V439" s="6">
        <f t="shared" si="69"/>
        <v>0</v>
      </c>
      <c r="Y439" s="8">
        <f t="shared" si="70"/>
        <v>46023</v>
      </c>
    </row>
    <row r="440" spans="2:25" ht="18.75" x14ac:dyDescent="0.3">
      <c r="B440" s="6">
        <f t="shared" si="63"/>
        <v>0</v>
      </c>
      <c r="C440" s="6">
        <f t="shared" si="64"/>
        <v>0</v>
      </c>
      <c r="D440" s="6" t="str">
        <f t="shared" si="65"/>
        <v/>
      </c>
      <c r="E440" s="35" t="str">
        <f t="shared" si="61"/>
        <v/>
      </c>
      <c r="F440" s="31"/>
      <c r="G440" s="29"/>
      <c r="H440" s="78" t="str">
        <f t="shared" si="62"/>
        <v/>
      </c>
      <c r="I440" s="25"/>
      <c r="J440" s="25"/>
      <c r="K440" s="26"/>
      <c r="L440" s="26"/>
      <c r="M440" s="37"/>
      <c r="N440" s="27"/>
      <c r="O440" s="30"/>
      <c r="P440" s="39" t="str">
        <f t="shared" si="66"/>
        <v/>
      </c>
      <c r="Q440" s="40" t="str">
        <f>IF(OR(T440=0,RIGHT(T440,1)=$W$1),"",COUNTIF($T$3:T440,T440))</f>
        <v/>
      </c>
      <c r="S440" s="6">
        <f t="shared" si="67"/>
        <v>0</v>
      </c>
      <c r="T440" s="36">
        <f t="shared" si="68"/>
        <v>0</v>
      </c>
      <c r="V440" s="6">
        <f t="shared" si="69"/>
        <v>0</v>
      </c>
      <c r="Y440" s="8">
        <f t="shared" si="70"/>
        <v>46023</v>
      </c>
    </row>
    <row r="441" spans="2:25" ht="18.75" x14ac:dyDescent="0.3">
      <c r="B441" s="6">
        <f t="shared" si="63"/>
        <v>0</v>
      </c>
      <c r="C441" s="6">
        <f t="shared" si="64"/>
        <v>0</v>
      </c>
      <c r="D441" s="6" t="str">
        <f t="shared" si="65"/>
        <v/>
      </c>
      <c r="E441" s="35" t="str">
        <f t="shared" si="61"/>
        <v/>
      </c>
      <c r="F441" s="31"/>
      <c r="G441" s="29"/>
      <c r="H441" s="78" t="str">
        <f t="shared" si="62"/>
        <v/>
      </c>
      <c r="I441" s="25"/>
      <c r="J441" s="25"/>
      <c r="K441" s="26"/>
      <c r="L441" s="26"/>
      <c r="M441" s="37"/>
      <c r="N441" s="27"/>
      <c r="O441" s="30"/>
      <c r="P441" s="39" t="str">
        <f t="shared" si="66"/>
        <v/>
      </c>
      <c r="Q441" s="40" t="str">
        <f>IF(OR(T441=0,RIGHT(T441,1)=$W$1),"",COUNTIF($T$3:T441,T441))</f>
        <v/>
      </c>
      <c r="S441" s="6">
        <f t="shared" si="67"/>
        <v>0</v>
      </c>
      <c r="T441" s="36">
        <f t="shared" si="68"/>
        <v>0</v>
      </c>
      <c r="V441" s="6">
        <f t="shared" si="69"/>
        <v>0</v>
      </c>
      <c r="Y441" s="8">
        <f t="shared" si="70"/>
        <v>46023</v>
      </c>
    </row>
    <row r="442" spans="2:25" ht="18.75" x14ac:dyDescent="0.3">
      <c r="B442" s="6">
        <f t="shared" si="63"/>
        <v>0</v>
      </c>
      <c r="C442" s="6">
        <f t="shared" si="64"/>
        <v>0</v>
      </c>
      <c r="D442" s="6" t="str">
        <f t="shared" si="65"/>
        <v/>
      </c>
      <c r="E442" s="35" t="str">
        <f t="shared" si="61"/>
        <v/>
      </c>
      <c r="F442" s="31"/>
      <c r="G442" s="29"/>
      <c r="H442" s="78" t="str">
        <f t="shared" si="62"/>
        <v/>
      </c>
      <c r="I442" s="25"/>
      <c r="J442" s="25"/>
      <c r="K442" s="26"/>
      <c r="L442" s="26"/>
      <c r="M442" s="37"/>
      <c r="N442" s="27"/>
      <c r="O442" s="30"/>
      <c r="P442" s="39" t="str">
        <f t="shared" si="66"/>
        <v/>
      </c>
      <c r="Q442" s="40" t="str">
        <f>IF(OR(T442=0,RIGHT(T442,1)=$W$1),"",COUNTIF($T$3:T442,T442))</f>
        <v/>
      </c>
      <c r="S442" s="6">
        <f t="shared" si="67"/>
        <v>0</v>
      </c>
      <c r="T442" s="36">
        <f t="shared" si="68"/>
        <v>0</v>
      </c>
      <c r="V442" s="6">
        <f t="shared" si="69"/>
        <v>0</v>
      </c>
      <c r="Y442" s="8">
        <f t="shared" si="70"/>
        <v>46023</v>
      </c>
    </row>
    <row r="443" spans="2:25" ht="18.75" x14ac:dyDescent="0.3">
      <c r="B443" s="6">
        <f t="shared" si="63"/>
        <v>0</v>
      </c>
      <c r="C443" s="6">
        <f t="shared" si="64"/>
        <v>0</v>
      </c>
      <c r="D443" s="6" t="str">
        <f t="shared" si="65"/>
        <v/>
      </c>
      <c r="E443" s="35" t="str">
        <f t="shared" si="61"/>
        <v/>
      </c>
      <c r="F443" s="31"/>
      <c r="G443" s="29"/>
      <c r="H443" s="78" t="str">
        <f t="shared" si="62"/>
        <v/>
      </c>
      <c r="I443" s="25"/>
      <c r="J443" s="25"/>
      <c r="K443" s="26"/>
      <c r="L443" s="26"/>
      <c r="M443" s="37"/>
      <c r="N443" s="27"/>
      <c r="O443" s="30"/>
      <c r="P443" s="39" t="str">
        <f t="shared" si="66"/>
        <v/>
      </c>
      <c r="Q443" s="40" t="str">
        <f>IF(OR(T443=0,RIGHT(T443,1)=$W$1),"",COUNTIF($T$3:T443,T443))</f>
        <v/>
      </c>
      <c r="S443" s="6">
        <f t="shared" si="67"/>
        <v>0</v>
      </c>
      <c r="T443" s="36">
        <f t="shared" si="68"/>
        <v>0</v>
      </c>
      <c r="V443" s="6">
        <f t="shared" si="69"/>
        <v>0</v>
      </c>
      <c r="Y443" s="8">
        <f t="shared" si="70"/>
        <v>46023</v>
      </c>
    </row>
    <row r="444" spans="2:25" ht="18.75" x14ac:dyDescent="0.3">
      <c r="B444" s="6">
        <f t="shared" si="63"/>
        <v>0</v>
      </c>
      <c r="C444" s="6">
        <f t="shared" si="64"/>
        <v>0</v>
      </c>
      <c r="D444" s="6" t="str">
        <f t="shared" si="65"/>
        <v/>
      </c>
      <c r="E444" s="35" t="str">
        <f t="shared" si="61"/>
        <v/>
      </c>
      <c r="F444" s="31"/>
      <c r="G444" s="29"/>
      <c r="H444" s="78" t="str">
        <f t="shared" si="62"/>
        <v/>
      </c>
      <c r="I444" s="25"/>
      <c r="J444" s="25"/>
      <c r="K444" s="26"/>
      <c r="L444" s="26"/>
      <c r="M444" s="37"/>
      <c r="N444" s="27"/>
      <c r="O444" s="30"/>
      <c r="P444" s="39" t="str">
        <f t="shared" si="66"/>
        <v/>
      </c>
      <c r="Q444" s="40" t="str">
        <f>IF(OR(T444=0,RIGHT(T444,1)=$W$1),"",COUNTIF($T$3:T444,T444))</f>
        <v/>
      </c>
      <c r="S444" s="6">
        <f t="shared" si="67"/>
        <v>0</v>
      </c>
      <c r="T444" s="36">
        <f t="shared" si="68"/>
        <v>0</v>
      </c>
      <c r="V444" s="6">
        <f t="shared" si="69"/>
        <v>0</v>
      </c>
      <c r="Y444" s="8">
        <f t="shared" si="70"/>
        <v>46023</v>
      </c>
    </row>
    <row r="445" spans="2:25" ht="18.75" x14ac:dyDescent="0.3">
      <c r="B445" s="6">
        <f t="shared" si="63"/>
        <v>0</v>
      </c>
      <c r="C445" s="6">
        <f t="shared" si="64"/>
        <v>0</v>
      </c>
      <c r="D445" s="6" t="str">
        <f t="shared" si="65"/>
        <v/>
      </c>
      <c r="E445" s="35" t="str">
        <f t="shared" si="61"/>
        <v/>
      </c>
      <c r="F445" s="31"/>
      <c r="G445" s="29"/>
      <c r="H445" s="78" t="str">
        <f t="shared" si="62"/>
        <v/>
      </c>
      <c r="I445" s="25"/>
      <c r="J445" s="25"/>
      <c r="K445" s="26"/>
      <c r="L445" s="26"/>
      <c r="M445" s="37"/>
      <c r="N445" s="27"/>
      <c r="O445" s="30"/>
      <c r="P445" s="39" t="str">
        <f t="shared" si="66"/>
        <v/>
      </c>
      <c r="Q445" s="40" t="str">
        <f>IF(OR(T445=0,RIGHT(T445,1)=$W$1),"",COUNTIF($T$3:T445,T445))</f>
        <v/>
      </c>
      <c r="S445" s="6">
        <f t="shared" si="67"/>
        <v>0</v>
      </c>
      <c r="T445" s="36">
        <f t="shared" si="68"/>
        <v>0</v>
      </c>
      <c r="V445" s="6">
        <f t="shared" si="69"/>
        <v>0</v>
      </c>
      <c r="Y445" s="8">
        <f t="shared" si="70"/>
        <v>46023</v>
      </c>
    </row>
    <row r="446" spans="2:25" ht="18.75" x14ac:dyDescent="0.3">
      <c r="B446" s="6">
        <f t="shared" si="63"/>
        <v>0</v>
      </c>
      <c r="C446" s="6">
        <f t="shared" si="64"/>
        <v>0</v>
      </c>
      <c r="D446" s="6" t="str">
        <f t="shared" si="65"/>
        <v/>
      </c>
      <c r="E446" s="35" t="str">
        <f t="shared" si="61"/>
        <v/>
      </c>
      <c r="F446" s="31"/>
      <c r="G446" s="29"/>
      <c r="H446" s="78" t="str">
        <f t="shared" si="62"/>
        <v/>
      </c>
      <c r="I446" s="25"/>
      <c r="J446" s="25"/>
      <c r="K446" s="26"/>
      <c r="L446" s="26"/>
      <c r="M446" s="37"/>
      <c r="N446" s="27"/>
      <c r="O446" s="30"/>
      <c r="P446" s="39" t="str">
        <f t="shared" si="66"/>
        <v/>
      </c>
      <c r="Q446" s="40" t="str">
        <f>IF(OR(T446=0,RIGHT(T446,1)=$W$1),"",COUNTIF($T$3:T446,T446))</f>
        <v/>
      </c>
      <c r="S446" s="6">
        <f t="shared" si="67"/>
        <v>0</v>
      </c>
      <c r="T446" s="36">
        <f t="shared" si="68"/>
        <v>0</v>
      </c>
      <c r="V446" s="6">
        <f t="shared" si="69"/>
        <v>0</v>
      </c>
      <c r="Y446" s="8">
        <f t="shared" si="70"/>
        <v>46023</v>
      </c>
    </row>
    <row r="447" spans="2:25" ht="18.75" x14ac:dyDescent="0.3">
      <c r="B447" s="6">
        <f t="shared" si="63"/>
        <v>0</v>
      </c>
      <c r="C447" s="6">
        <f t="shared" si="64"/>
        <v>0</v>
      </c>
      <c r="D447" s="6" t="str">
        <f t="shared" si="65"/>
        <v/>
      </c>
      <c r="E447" s="35" t="str">
        <f t="shared" si="61"/>
        <v/>
      </c>
      <c r="F447" s="31"/>
      <c r="G447" s="29"/>
      <c r="H447" s="78" t="str">
        <f t="shared" si="62"/>
        <v/>
      </c>
      <c r="I447" s="25"/>
      <c r="J447" s="25"/>
      <c r="K447" s="26"/>
      <c r="L447" s="26"/>
      <c r="M447" s="37"/>
      <c r="N447" s="27"/>
      <c r="O447" s="30"/>
      <c r="P447" s="39" t="str">
        <f t="shared" si="66"/>
        <v/>
      </c>
      <c r="Q447" s="40" t="str">
        <f>IF(OR(T447=0,RIGHT(T447,1)=$W$1),"",COUNTIF($T$3:T447,T447))</f>
        <v/>
      </c>
      <c r="S447" s="6">
        <f t="shared" si="67"/>
        <v>0</v>
      </c>
      <c r="T447" s="36">
        <f t="shared" si="68"/>
        <v>0</v>
      </c>
      <c r="V447" s="6">
        <f t="shared" si="69"/>
        <v>0</v>
      </c>
      <c r="Y447" s="8">
        <f t="shared" si="70"/>
        <v>46023</v>
      </c>
    </row>
    <row r="448" spans="2:25" ht="18.75" x14ac:dyDescent="0.3">
      <c r="B448" s="6">
        <f t="shared" si="63"/>
        <v>0</v>
      </c>
      <c r="C448" s="6">
        <f t="shared" si="64"/>
        <v>0</v>
      </c>
      <c r="D448" s="6" t="str">
        <f t="shared" si="65"/>
        <v/>
      </c>
      <c r="E448" s="35" t="str">
        <f t="shared" si="61"/>
        <v/>
      </c>
      <c r="F448" s="31"/>
      <c r="G448" s="29"/>
      <c r="H448" s="78" t="str">
        <f t="shared" si="62"/>
        <v/>
      </c>
      <c r="I448" s="25"/>
      <c r="J448" s="25"/>
      <c r="K448" s="26"/>
      <c r="L448" s="26"/>
      <c r="M448" s="37"/>
      <c r="N448" s="27"/>
      <c r="O448" s="30"/>
      <c r="P448" s="39" t="str">
        <f t="shared" si="66"/>
        <v/>
      </c>
      <c r="Q448" s="40" t="str">
        <f>IF(OR(T448=0,RIGHT(T448,1)=$W$1),"",COUNTIF($T$3:T448,T448))</f>
        <v/>
      </c>
      <c r="S448" s="6">
        <f t="shared" si="67"/>
        <v>0</v>
      </c>
      <c r="T448" s="36">
        <f t="shared" si="68"/>
        <v>0</v>
      </c>
      <c r="V448" s="6">
        <f t="shared" si="69"/>
        <v>0</v>
      </c>
      <c r="Y448" s="8">
        <f t="shared" si="70"/>
        <v>46023</v>
      </c>
    </row>
    <row r="449" spans="2:25" ht="18.75" x14ac:dyDescent="0.3">
      <c r="B449" s="6">
        <f t="shared" si="63"/>
        <v>0</v>
      </c>
      <c r="C449" s="6">
        <f t="shared" si="64"/>
        <v>0</v>
      </c>
      <c r="D449" s="6" t="str">
        <f t="shared" si="65"/>
        <v/>
      </c>
      <c r="E449" s="35" t="str">
        <f t="shared" si="61"/>
        <v/>
      </c>
      <c r="F449" s="31"/>
      <c r="G449" s="29"/>
      <c r="H449" s="78" t="str">
        <f t="shared" si="62"/>
        <v/>
      </c>
      <c r="I449" s="25"/>
      <c r="J449" s="25"/>
      <c r="K449" s="26"/>
      <c r="L449" s="26"/>
      <c r="M449" s="37"/>
      <c r="N449" s="27"/>
      <c r="O449" s="30"/>
      <c r="P449" s="39" t="str">
        <f t="shared" si="66"/>
        <v/>
      </c>
      <c r="Q449" s="40" t="str">
        <f>IF(OR(T449=0,RIGHT(T449,1)=$W$1),"",COUNTIF($T$3:T449,T449))</f>
        <v/>
      </c>
      <c r="S449" s="6">
        <f t="shared" si="67"/>
        <v>0</v>
      </c>
      <c r="T449" s="36">
        <f t="shared" si="68"/>
        <v>0</v>
      </c>
      <c r="V449" s="6">
        <f t="shared" si="69"/>
        <v>0</v>
      </c>
      <c r="Y449" s="8">
        <f t="shared" si="70"/>
        <v>46023</v>
      </c>
    </row>
    <row r="450" spans="2:25" ht="18.75" x14ac:dyDescent="0.3">
      <c r="B450" s="6">
        <f t="shared" si="63"/>
        <v>0</v>
      </c>
      <c r="C450" s="6">
        <f t="shared" si="64"/>
        <v>0</v>
      </c>
      <c r="D450" s="6" t="str">
        <f t="shared" si="65"/>
        <v/>
      </c>
      <c r="E450" s="35" t="str">
        <f t="shared" si="61"/>
        <v/>
      </c>
      <c r="F450" s="31"/>
      <c r="G450" s="29"/>
      <c r="H450" s="78" t="str">
        <f t="shared" si="62"/>
        <v/>
      </c>
      <c r="I450" s="25"/>
      <c r="J450" s="25"/>
      <c r="K450" s="26"/>
      <c r="L450" s="26"/>
      <c r="M450" s="37"/>
      <c r="N450" s="27"/>
      <c r="O450" s="30"/>
      <c r="P450" s="39" t="str">
        <f t="shared" si="66"/>
        <v/>
      </c>
      <c r="Q450" s="40" t="str">
        <f>IF(OR(T450=0,RIGHT(T450,1)=$W$1),"",COUNTIF($T$3:T450,T450))</f>
        <v/>
      </c>
      <c r="S450" s="6">
        <f t="shared" si="67"/>
        <v>0</v>
      </c>
      <c r="T450" s="36">
        <f t="shared" si="68"/>
        <v>0</v>
      </c>
      <c r="V450" s="6">
        <f t="shared" si="69"/>
        <v>0</v>
      </c>
      <c r="Y450" s="8">
        <f t="shared" si="70"/>
        <v>46023</v>
      </c>
    </row>
    <row r="451" spans="2:25" ht="18.75" x14ac:dyDescent="0.3">
      <c r="B451" s="6">
        <f t="shared" si="63"/>
        <v>0</v>
      </c>
      <c r="C451" s="6">
        <f t="shared" si="64"/>
        <v>0</v>
      </c>
      <c r="D451" s="6" t="str">
        <f t="shared" si="65"/>
        <v/>
      </c>
      <c r="E451" s="35" t="str">
        <f t="shared" ref="E451:E514" si="71">IF(D451&lt;&gt;"",D451&amp;" - "&amp;YEAR(F451),"")</f>
        <v/>
      </c>
      <c r="F451" s="31"/>
      <c r="G451" s="29"/>
      <c r="H451" s="78" t="str">
        <f t="shared" ref="H451:H514" si="72">IF(G451&lt;&gt;"",F451,"")</f>
        <v/>
      </c>
      <c r="I451" s="25"/>
      <c r="J451" s="25"/>
      <c r="K451" s="26"/>
      <c r="L451" s="26"/>
      <c r="M451" s="37"/>
      <c r="N451" s="27"/>
      <c r="O451" s="30"/>
      <c r="P451" s="39" t="str">
        <f t="shared" si="66"/>
        <v/>
      </c>
      <c r="Q451" s="40" t="str">
        <f>IF(OR(T451=0,RIGHT(T451,1)=$W$1),"",COUNTIF($T$3:T451,T451))</f>
        <v/>
      </c>
      <c r="S451" s="6">
        <f t="shared" si="67"/>
        <v>0</v>
      </c>
      <c r="T451" s="36">
        <f t="shared" si="68"/>
        <v>0</v>
      </c>
      <c r="V451" s="6">
        <f t="shared" si="69"/>
        <v>0</v>
      </c>
      <c r="Y451" s="8">
        <f t="shared" si="70"/>
        <v>46023</v>
      </c>
    </row>
    <row r="452" spans="2:25" ht="18.75" x14ac:dyDescent="0.3">
      <c r="B452" s="6">
        <f t="shared" ref="B452:B515" si="73">IF($B$1=YEAR(F452),B451+1,B451)</f>
        <v>0</v>
      </c>
      <c r="C452" s="6">
        <f t="shared" ref="C452:C515" si="74">IF(AND($C$1=K452,$Y$1=YEAR(F452)),C451+1,C451)</f>
        <v>0</v>
      </c>
      <c r="D452" s="6" t="str">
        <f t="shared" ref="D452:D515" si="75">IF(F452&lt;&gt;0,IF(YEAR(F452)&lt;&gt;YEAR(F451),1,IF(M452=$AI$1,D451,D451+1)),"")</f>
        <v/>
      </c>
      <c r="E452" s="35" t="str">
        <f t="shared" si="71"/>
        <v/>
      </c>
      <c r="F452" s="31"/>
      <c r="G452" s="29"/>
      <c r="H452" s="78" t="str">
        <f t="shared" si="72"/>
        <v/>
      </c>
      <c r="I452" s="25"/>
      <c r="J452" s="25"/>
      <c r="K452" s="26"/>
      <c r="L452" s="26"/>
      <c r="M452" s="37"/>
      <c r="N452" s="27"/>
      <c r="O452" s="30"/>
      <c r="P452" s="39" t="str">
        <f t="shared" ref="P452:P515" si="76">IF(OR(T452=0,RIGHT(T452,1)=$W$1),"",VLOOKUP(K452,$AD$1:$AK$15,5,FALSE))</f>
        <v/>
      </c>
      <c r="Q452" s="40" t="str">
        <f>IF(OR(T452=0,RIGHT(T452,1)=$W$1),"",COUNTIF($T$3:T452,T452))</f>
        <v/>
      </c>
      <c r="S452" s="6">
        <f t="shared" ref="S452:S515" si="77">IF(AND($C$1=K452,$Y$1=YEAR(F452)),C452,0)</f>
        <v>0</v>
      </c>
      <c r="T452" s="36">
        <f t="shared" ref="T452:T515" si="78">IF(F452=0,0,YEAR(F452)&amp;VLOOKUP(K452,$AD$1:$AE$15,2,FALSE))</f>
        <v>0</v>
      </c>
      <c r="V452" s="6">
        <f t="shared" ref="V452:V515" si="79">IF(AND(YEAR(F452)=$Y$1,K452=$C$1,L452&amp;$V$1&lt;&gt;$V$1),L452,IF(AND(YEAR(F452)=$Y$1,K452=$C$1),1,0))</f>
        <v>0</v>
      </c>
      <c r="Y452" s="8">
        <f t="shared" ref="Y452:Y515" si="80">IF(M452&lt;&gt;$AI$1,$Y$2,F451)</f>
        <v>46023</v>
      </c>
    </row>
    <row r="453" spans="2:25" ht="18.75" x14ac:dyDescent="0.3">
      <c r="B453" s="6">
        <f t="shared" si="73"/>
        <v>0</v>
      </c>
      <c r="C453" s="6">
        <f t="shared" si="74"/>
        <v>0</v>
      </c>
      <c r="D453" s="6" t="str">
        <f t="shared" si="75"/>
        <v/>
      </c>
      <c r="E453" s="35" t="str">
        <f t="shared" si="71"/>
        <v/>
      </c>
      <c r="F453" s="31"/>
      <c r="G453" s="29"/>
      <c r="H453" s="78" t="str">
        <f t="shared" si="72"/>
        <v/>
      </c>
      <c r="I453" s="25"/>
      <c r="J453" s="25"/>
      <c r="K453" s="26"/>
      <c r="L453" s="26"/>
      <c r="M453" s="37"/>
      <c r="N453" s="27"/>
      <c r="O453" s="30"/>
      <c r="P453" s="39" t="str">
        <f t="shared" si="76"/>
        <v/>
      </c>
      <c r="Q453" s="40" t="str">
        <f>IF(OR(T453=0,RIGHT(T453,1)=$W$1),"",COUNTIF($T$3:T453,T453))</f>
        <v/>
      </c>
      <c r="S453" s="6">
        <f t="shared" si="77"/>
        <v>0</v>
      </c>
      <c r="T453" s="36">
        <f t="shared" si="78"/>
        <v>0</v>
      </c>
      <c r="V453" s="6">
        <f t="shared" si="79"/>
        <v>0</v>
      </c>
      <c r="Y453" s="8">
        <f t="shared" si="80"/>
        <v>46023</v>
      </c>
    </row>
    <row r="454" spans="2:25" ht="18.75" x14ac:dyDescent="0.3">
      <c r="B454" s="6">
        <f t="shared" si="73"/>
        <v>0</v>
      </c>
      <c r="C454" s="6">
        <f t="shared" si="74"/>
        <v>0</v>
      </c>
      <c r="D454" s="6" t="str">
        <f t="shared" si="75"/>
        <v/>
      </c>
      <c r="E454" s="35" t="str">
        <f t="shared" si="71"/>
        <v/>
      </c>
      <c r="F454" s="31"/>
      <c r="G454" s="29"/>
      <c r="H454" s="78" t="str">
        <f t="shared" si="72"/>
        <v/>
      </c>
      <c r="I454" s="25"/>
      <c r="J454" s="25"/>
      <c r="K454" s="26"/>
      <c r="L454" s="26"/>
      <c r="M454" s="37"/>
      <c r="N454" s="27"/>
      <c r="O454" s="30"/>
      <c r="P454" s="39" t="str">
        <f t="shared" si="76"/>
        <v/>
      </c>
      <c r="Q454" s="40" t="str">
        <f>IF(OR(T454=0,RIGHT(T454,1)=$W$1),"",COUNTIF($T$3:T454,T454))</f>
        <v/>
      </c>
      <c r="S454" s="6">
        <f t="shared" si="77"/>
        <v>0</v>
      </c>
      <c r="T454" s="36">
        <f t="shared" si="78"/>
        <v>0</v>
      </c>
      <c r="V454" s="6">
        <f t="shared" si="79"/>
        <v>0</v>
      </c>
      <c r="Y454" s="8">
        <f t="shared" si="80"/>
        <v>46023</v>
      </c>
    </row>
    <row r="455" spans="2:25" ht="18.75" x14ac:dyDescent="0.3">
      <c r="B455" s="6">
        <f t="shared" si="73"/>
        <v>0</v>
      </c>
      <c r="C455" s="6">
        <f t="shared" si="74"/>
        <v>0</v>
      </c>
      <c r="D455" s="6" t="str">
        <f t="shared" si="75"/>
        <v/>
      </c>
      <c r="E455" s="35" t="str">
        <f t="shared" si="71"/>
        <v/>
      </c>
      <c r="F455" s="31"/>
      <c r="G455" s="29"/>
      <c r="H455" s="78" t="str">
        <f t="shared" si="72"/>
        <v/>
      </c>
      <c r="I455" s="25"/>
      <c r="J455" s="25"/>
      <c r="K455" s="26"/>
      <c r="L455" s="26"/>
      <c r="M455" s="37"/>
      <c r="N455" s="27"/>
      <c r="O455" s="30"/>
      <c r="P455" s="39" t="str">
        <f t="shared" si="76"/>
        <v/>
      </c>
      <c r="Q455" s="40" t="str">
        <f>IF(OR(T455=0,RIGHT(T455,1)=$W$1),"",COUNTIF($T$3:T455,T455))</f>
        <v/>
      </c>
      <c r="S455" s="6">
        <f t="shared" si="77"/>
        <v>0</v>
      </c>
      <c r="T455" s="36">
        <f t="shared" si="78"/>
        <v>0</v>
      </c>
      <c r="V455" s="6">
        <f t="shared" si="79"/>
        <v>0</v>
      </c>
      <c r="Y455" s="8">
        <f t="shared" si="80"/>
        <v>46023</v>
      </c>
    </row>
    <row r="456" spans="2:25" ht="18.75" x14ac:dyDescent="0.3">
      <c r="B456" s="6">
        <f t="shared" si="73"/>
        <v>0</v>
      </c>
      <c r="C456" s="6">
        <f t="shared" si="74"/>
        <v>0</v>
      </c>
      <c r="D456" s="6" t="str">
        <f t="shared" si="75"/>
        <v/>
      </c>
      <c r="E456" s="35" t="str">
        <f t="shared" si="71"/>
        <v/>
      </c>
      <c r="F456" s="31"/>
      <c r="G456" s="29"/>
      <c r="H456" s="78" t="str">
        <f t="shared" si="72"/>
        <v/>
      </c>
      <c r="I456" s="25"/>
      <c r="J456" s="25"/>
      <c r="K456" s="26"/>
      <c r="L456" s="26"/>
      <c r="M456" s="37"/>
      <c r="N456" s="27"/>
      <c r="O456" s="30"/>
      <c r="P456" s="39" t="str">
        <f t="shared" si="76"/>
        <v/>
      </c>
      <c r="Q456" s="40" t="str">
        <f>IF(OR(T456=0,RIGHT(T456,1)=$W$1),"",COUNTIF($T$3:T456,T456))</f>
        <v/>
      </c>
      <c r="S456" s="6">
        <f t="shared" si="77"/>
        <v>0</v>
      </c>
      <c r="T456" s="36">
        <f t="shared" si="78"/>
        <v>0</v>
      </c>
      <c r="V456" s="6">
        <f t="shared" si="79"/>
        <v>0</v>
      </c>
      <c r="Y456" s="8">
        <f t="shared" si="80"/>
        <v>46023</v>
      </c>
    </row>
    <row r="457" spans="2:25" ht="18.75" x14ac:dyDescent="0.3">
      <c r="B457" s="6">
        <f t="shared" si="73"/>
        <v>0</v>
      </c>
      <c r="C457" s="6">
        <f t="shared" si="74"/>
        <v>0</v>
      </c>
      <c r="D457" s="6" t="str">
        <f t="shared" si="75"/>
        <v/>
      </c>
      <c r="E457" s="35" t="str">
        <f t="shared" si="71"/>
        <v/>
      </c>
      <c r="F457" s="31"/>
      <c r="G457" s="29"/>
      <c r="H457" s="78" t="str">
        <f t="shared" si="72"/>
        <v/>
      </c>
      <c r="I457" s="25"/>
      <c r="J457" s="25"/>
      <c r="K457" s="26"/>
      <c r="L457" s="26"/>
      <c r="M457" s="37"/>
      <c r="N457" s="27"/>
      <c r="O457" s="30"/>
      <c r="P457" s="39" t="str">
        <f t="shared" si="76"/>
        <v/>
      </c>
      <c r="Q457" s="40" t="str">
        <f>IF(OR(T457=0,RIGHT(T457,1)=$W$1),"",COUNTIF($T$3:T457,T457))</f>
        <v/>
      </c>
      <c r="S457" s="6">
        <f t="shared" si="77"/>
        <v>0</v>
      </c>
      <c r="T457" s="36">
        <f t="shared" si="78"/>
        <v>0</v>
      </c>
      <c r="V457" s="6">
        <f t="shared" si="79"/>
        <v>0</v>
      </c>
      <c r="Y457" s="8">
        <f t="shared" si="80"/>
        <v>46023</v>
      </c>
    </row>
    <row r="458" spans="2:25" ht="18.75" x14ac:dyDescent="0.3">
      <c r="B458" s="6">
        <f t="shared" si="73"/>
        <v>0</v>
      </c>
      <c r="C458" s="6">
        <f t="shared" si="74"/>
        <v>0</v>
      </c>
      <c r="D458" s="6" t="str">
        <f t="shared" si="75"/>
        <v/>
      </c>
      <c r="E458" s="35" t="str">
        <f t="shared" si="71"/>
        <v/>
      </c>
      <c r="F458" s="31"/>
      <c r="G458" s="29"/>
      <c r="H458" s="78" t="str">
        <f t="shared" si="72"/>
        <v/>
      </c>
      <c r="I458" s="25"/>
      <c r="J458" s="25"/>
      <c r="K458" s="26"/>
      <c r="L458" s="26"/>
      <c r="M458" s="37"/>
      <c r="N458" s="27"/>
      <c r="O458" s="30"/>
      <c r="P458" s="39" t="str">
        <f t="shared" si="76"/>
        <v/>
      </c>
      <c r="Q458" s="40" t="str">
        <f>IF(OR(T458=0,RIGHT(T458,1)=$W$1),"",COUNTIF($T$3:T458,T458))</f>
        <v/>
      </c>
      <c r="S458" s="6">
        <f t="shared" si="77"/>
        <v>0</v>
      </c>
      <c r="T458" s="36">
        <f t="shared" si="78"/>
        <v>0</v>
      </c>
      <c r="V458" s="6">
        <f t="shared" si="79"/>
        <v>0</v>
      </c>
      <c r="Y458" s="8">
        <f t="shared" si="80"/>
        <v>46023</v>
      </c>
    </row>
    <row r="459" spans="2:25" ht="18.75" x14ac:dyDescent="0.3">
      <c r="B459" s="6">
        <f t="shared" si="73"/>
        <v>0</v>
      </c>
      <c r="C459" s="6">
        <f t="shared" si="74"/>
        <v>0</v>
      </c>
      <c r="D459" s="6" t="str">
        <f t="shared" si="75"/>
        <v/>
      </c>
      <c r="E459" s="35" t="str">
        <f t="shared" si="71"/>
        <v/>
      </c>
      <c r="F459" s="31"/>
      <c r="G459" s="29"/>
      <c r="H459" s="78" t="str">
        <f t="shared" si="72"/>
        <v/>
      </c>
      <c r="I459" s="25"/>
      <c r="J459" s="25"/>
      <c r="K459" s="26"/>
      <c r="L459" s="26"/>
      <c r="M459" s="37"/>
      <c r="N459" s="27"/>
      <c r="O459" s="30"/>
      <c r="P459" s="39" t="str">
        <f t="shared" si="76"/>
        <v/>
      </c>
      <c r="Q459" s="40" t="str">
        <f>IF(OR(T459=0,RIGHT(T459,1)=$W$1),"",COUNTIF($T$3:T459,T459))</f>
        <v/>
      </c>
      <c r="S459" s="6">
        <f t="shared" si="77"/>
        <v>0</v>
      </c>
      <c r="T459" s="36">
        <f t="shared" si="78"/>
        <v>0</v>
      </c>
      <c r="V459" s="6">
        <f t="shared" si="79"/>
        <v>0</v>
      </c>
      <c r="Y459" s="8">
        <f t="shared" si="80"/>
        <v>46023</v>
      </c>
    </row>
    <row r="460" spans="2:25" ht="18.75" x14ac:dyDescent="0.3">
      <c r="B460" s="6">
        <f t="shared" si="73"/>
        <v>0</v>
      </c>
      <c r="C460" s="6">
        <f t="shared" si="74"/>
        <v>0</v>
      </c>
      <c r="D460" s="6" t="str">
        <f t="shared" si="75"/>
        <v/>
      </c>
      <c r="E460" s="35" t="str">
        <f t="shared" si="71"/>
        <v/>
      </c>
      <c r="F460" s="31"/>
      <c r="G460" s="29"/>
      <c r="H460" s="78" t="str">
        <f t="shared" si="72"/>
        <v/>
      </c>
      <c r="I460" s="25"/>
      <c r="J460" s="25"/>
      <c r="K460" s="26"/>
      <c r="L460" s="26"/>
      <c r="M460" s="37"/>
      <c r="N460" s="27"/>
      <c r="O460" s="30"/>
      <c r="P460" s="39" t="str">
        <f t="shared" si="76"/>
        <v/>
      </c>
      <c r="Q460" s="40" t="str">
        <f>IF(OR(T460=0,RIGHT(T460,1)=$W$1),"",COUNTIF($T$3:T460,T460))</f>
        <v/>
      </c>
      <c r="S460" s="6">
        <f t="shared" si="77"/>
        <v>0</v>
      </c>
      <c r="T460" s="36">
        <f t="shared" si="78"/>
        <v>0</v>
      </c>
      <c r="V460" s="6">
        <f t="shared" si="79"/>
        <v>0</v>
      </c>
      <c r="Y460" s="8">
        <f t="shared" si="80"/>
        <v>46023</v>
      </c>
    </row>
    <row r="461" spans="2:25" ht="18.75" x14ac:dyDescent="0.3">
      <c r="B461" s="6">
        <f t="shared" si="73"/>
        <v>0</v>
      </c>
      <c r="C461" s="6">
        <f t="shared" si="74"/>
        <v>0</v>
      </c>
      <c r="D461" s="6" t="str">
        <f t="shared" si="75"/>
        <v/>
      </c>
      <c r="E461" s="35" t="str">
        <f t="shared" si="71"/>
        <v/>
      </c>
      <c r="F461" s="31"/>
      <c r="G461" s="29"/>
      <c r="H461" s="78" t="str">
        <f t="shared" si="72"/>
        <v/>
      </c>
      <c r="I461" s="25"/>
      <c r="J461" s="25"/>
      <c r="K461" s="26"/>
      <c r="L461" s="26"/>
      <c r="M461" s="37"/>
      <c r="N461" s="27"/>
      <c r="O461" s="30"/>
      <c r="P461" s="39" t="str">
        <f t="shared" si="76"/>
        <v/>
      </c>
      <c r="Q461" s="40" t="str">
        <f>IF(OR(T461=0,RIGHT(T461,1)=$W$1),"",COUNTIF($T$3:T461,T461))</f>
        <v/>
      </c>
      <c r="S461" s="6">
        <f t="shared" si="77"/>
        <v>0</v>
      </c>
      <c r="T461" s="36">
        <f t="shared" si="78"/>
        <v>0</v>
      </c>
      <c r="V461" s="6">
        <f t="shared" si="79"/>
        <v>0</v>
      </c>
      <c r="Y461" s="8">
        <f t="shared" si="80"/>
        <v>46023</v>
      </c>
    </row>
    <row r="462" spans="2:25" ht="18.75" x14ac:dyDescent="0.3">
      <c r="B462" s="6">
        <f t="shared" si="73"/>
        <v>0</v>
      </c>
      <c r="C462" s="6">
        <f t="shared" si="74"/>
        <v>0</v>
      </c>
      <c r="D462" s="6" t="str">
        <f t="shared" si="75"/>
        <v/>
      </c>
      <c r="E462" s="35" t="str">
        <f t="shared" si="71"/>
        <v/>
      </c>
      <c r="F462" s="31"/>
      <c r="G462" s="29"/>
      <c r="H462" s="78" t="str">
        <f t="shared" si="72"/>
        <v/>
      </c>
      <c r="I462" s="25"/>
      <c r="J462" s="25"/>
      <c r="K462" s="26"/>
      <c r="L462" s="26"/>
      <c r="M462" s="37"/>
      <c r="N462" s="27"/>
      <c r="O462" s="30"/>
      <c r="P462" s="39" t="str">
        <f t="shared" si="76"/>
        <v/>
      </c>
      <c r="Q462" s="40" t="str">
        <f>IF(OR(T462=0,RIGHT(T462,1)=$W$1),"",COUNTIF($T$3:T462,T462))</f>
        <v/>
      </c>
      <c r="S462" s="6">
        <f t="shared" si="77"/>
        <v>0</v>
      </c>
      <c r="T462" s="36">
        <f t="shared" si="78"/>
        <v>0</v>
      </c>
      <c r="V462" s="6">
        <f t="shared" si="79"/>
        <v>0</v>
      </c>
      <c r="Y462" s="8">
        <f t="shared" si="80"/>
        <v>46023</v>
      </c>
    </row>
    <row r="463" spans="2:25" ht="18.75" x14ac:dyDescent="0.3">
      <c r="B463" s="6">
        <f t="shared" si="73"/>
        <v>0</v>
      </c>
      <c r="C463" s="6">
        <f t="shared" si="74"/>
        <v>0</v>
      </c>
      <c r="D463" s="6" t="str">
        <f t="shared" si="75"/>
        <v/>
      </c>
      <c r="E463" s="35" t="str">
        <f t="shared" si="71"/>
        <v/>
      </c>
      <c r="F463" s="31"/>
      <c r="G463" s="29"/>
      <c r="H463" s="78" t="str">
        <f t="shared" si="72"/>
        <v/>
      </c>
      <c r="I463" s="25"/>
      <c r="J463" s="25"/>
      <c r="K463" s="26"/>
      <c r="L463" s="26"/>
      <c r="M463" s="37"/>
      <c r="N463" s="27"/>
      <c r="O463" s="30"/>
      <c r="P463" s="39" t="str">
        <f t="shared" si="76"/>
        <v/>
      </c>
      <c r="Q463" s="40" t="str">
        <f>IF(OR(T463=0,RIGHT(T463,1)=$W$1),"",COUNTIF($T$3:T463,T463))</f>
        <v/>
      </c>
      <c r="S463" s="6">
        <f t="shared" si="77"/>
        <v>0</v>
      </c>
      <c r="T463" s="36">
        <f t="shared" si="78"/>
        <v>0</v>
      </c>
      <c r="V463" s="6">
        <f t="shared" si="79"/>
        <v>0</v>
      </c>
      <c r="Y463" s="8">
        <f t="shared" si="80"/>
        <v>46023</v>
      </c>
    </row>
    <row r="464" spans="2:25" ht="18.75" x14ac:dyDescent="0.3">
      <c r="B464" s="6">
        <f t="shared" si="73"/>
        <v>0</v>
      </c>
      <c r="C464" s="6">
        <f t="shared" si="74"/>
        <v>0</v>
      </c>
      <c r="D464" s="6" t="str">
        <f t="shared" si="75"/>
        <v/>
      </c>
      <c r="E464" s="35" t="str">
        <f t="shared" si="71"/>
        <v/>
      </c>
      <c r="F464" s="31"/>
      <c r="G464" s="29"/>
      <c r="H464" s="78" t="str">
        <f t="shared" si="72"/>
        <v/>
      </c>
      <c r="I464" s="25"/>
      <c r="J464" s="25"/>
      <c r="K464" s="26"/>
      <c r="L464" s="26"/>
      <c r="M464" s="37"/>
      <c r="N464" s="27"/>
      <c r="O464" s="30"/>
      <c r="P464" s="39" t="str">
        <f t="shared" si="76"/>
        <v/>
      </c>
      <c r="Q464" s="40" t="str">
        <f>IF(OR(T464=0,RIGHT(T464,1)=$W$1),"",COUNTIF($T$3:T464,T464))</f>
        <v/>
      </c>
      <c r="S464" s="6">
        <f t="shared" si="77"/>
        <v>0</v>
      </c>
      <c r="T464" s="36">
        <f t="shared" si="78"/>
        <v>0</v>
      </c>
      <c r="V464" s="6">
        <f t="shared" si="79"/>
        <v>0</v>
      </c>
      <c r="Y464" s="8">
        <f t="shared" si="80"/>
        <v>46023</v>
      </c>
    </row>
    <row r="465" spans="2:25" ht="18.75" x14ac:dyDescent="0.3">
      <c r="B465" s="6">
        <f t="shared" si="73"/>
        <v>0</v>
      </c>
      <c r="C465" s="6">
        <f t="shared" si="74"/>
        <v>0</v>
      </c>
      <c r="D465" s="6" t="str">
        <f t="shared" si="75"/>
        <v/>
      </c>
      <c r="E465" s="35" t="str">
        <f t="shared" si="71"/>
        <v/>
      </c>
      <c r="F465" s="31"/>
      <c r="G465" s="29"/>
      <c r="H465" s="78" t="str">
        <f t="shared" si="72"/>
        <v/>
      </c>
      <c r="I465" s="25"/>
      <c r="J465" s="25"/>
      <c r="K465" s="26"/>
      <c r="L465" s="26"/>
      <c r="M465" s="37"/>
      <c r="N465" s="27"/>
      <c r="O465" s="30"/>
      <c r="P465" s="39" t="str">
        <f t="shared" si="76"/>
        <v/>
      </c>
      <c r="Q465" s="40" t="str">
        <f>IF(OR(T465=0,RIGHT(T465,1)=$W$1),"",COUNTIF($T$3:T465,T465))</f>
        <v/>
      </c>
      <c r="S465" s="6">
        <f t="shared" si="77"/>
        <v>0</v>
      </c>
      <c r="T465" s="36">
        <f t="shared" si="78"/>
        <v>0</v>
      </c>
      <c r="V465" s="6">
        <f t="shared" si="79"/>
        <v>0</v>
      </c>
      <c r="Y465" s="8">
        <f t="shared" si="80"/>
        <v>46023</v>
      </c>
    </row>
    <row r="466" spans="2:25" ht="18.75" x14ac:dyDescent="0.3">
      <c r="B466" s="6">
        <f t="shared" si="73"/>
        <v>0</v>
      </c>
      <c r="C466" s="6">
        <f t="shared" si="74"/>
        <v>0</v>
      </c>
      <c r="D466" s="6" t="str">
        <f t="shared" si="75"/>
        <v/>
      </c>
      <c r="E466" s="35" t="str">
        <f t="shared" si="71"/>
        <v/>
      </c>
      <c r="F466" s="31"/>
      <c r="G466" s="29"/>
      <c r="H466" s="78" t="str">
        <f t="shared" si="72"/>
        <v/>
      </c>
      <c r="I466" s="25"/>
      <c r="J466" s="25"/>
      <c r="K466" s="26"/>
      <c r="L466" s="26"/>
      <c r="M466" s="37"/>
      <c r="N466" s="27"/>
      <c r="O466" s="30"/>
      <c r="P466" s="39" t="str">
        <f t="shared" si="76"/>
        <v/>
      </c>
      <c r="Q466" s="40" t="str">
        <f>IF(OR(T466=0,RIGHT(T466,1)=$W$1),"",COUNTIF($T$3:T466,T466))</f>
        <v/>
      </c>
      <c r="S466" s="6">
        <f t="shared" si="77"/>
        <v>0</v>
      </c>
      <c r="T466" s="36">
        <f t="shared" si="78"/>
        <v>0</v>
      </c>
      <c r="V466" s="6">
        <f t="shared" si="79"/>
        <v>0</v>
      </c>
      <c r="Y466" s="8">
        <f t="shared" si="80"/>
        <v>46023</v>
      </c>
    </row>
    <row r="467" spans="2:25" ht="18.75" x14ac:dyDescent="0.3">
      <c r="B467" s="6">
        <f t="shared" si="73"/>
        <v>0</v>
      </c>
      <c r="C467" s="6">
        <f t="shared" si="74"/>
        <v>0</v>
      </c>
      <c r="D467" s="6" t="str">
        <f t="shared" si="75"/>
        <v/>
      </c>
      <c r="E467" s="35" t="str">
        <f t="shared" si="71"/>
        <v/>
      </c>
      <c r="F467" s="31"/>
      <c r="G467" s="29"/>
      <c r="H467" s="78" t="str">
        <f t="shared" si="72"/>
        <v/>
      </c>
      <c r="I467" s="25"/>
      <c r="J467" s="25"/>
      <c r="K467" s="26"/>
      <c r="L467" s="26"/>
      <c r="M467" s="37"/>
      <c r="N467" s="27"/>
      <c r="O467" s="30"/>
      <c r="P467" s="39" t="str">
        <f t="shared" si="76"/>
        <v/>
      </c>
      <c r="Q467" s="40" t="str">
        <f>IF(OR(T467=0,RIGHT(T467,1)=$W$1),"",COUNTIF($T$3:T467,T467))</f>
        <v/>
      </c>
      <c r="S467" s="6">
        <f t="shared" si="77"/>
        <v>0</v>
      </c>
      <c r="T467" s="36">
        <f t="shared" si="78"/>
        <v>0</v>
      </c>
      <c r="V467" s="6">
        <f t="shared" si="79"/>
        <v>0</v>
      </c>
      <c r="Y467" s="8">
        <f t="shared" si="80"/>
        <v>46023</v>
      </c>
    </row>
    <row r="468" spans="2:25" ht="18.75" x14ac:dyDescent="0.3">
      <c r="B468" s="6">
        <f t="shared" si="73"/>
        <v>0</v>
      </c>
      <c r="C468" s="6">
        <f t="shared" si="74"/>
        <v>0</v>
      </c>
      <c r="D468" s="6" t="str">
        <f t="shared" si="75"/>
        <v/>
      </c>
      <c r="E468" s="35" t="str">
        <f t="shared" si="71"/>
        <v/>
      </c>
      <c r="F468" s="31"/>
      <c r="G468" s="29"/>
      <c r="H468" s="78" t="str">
        <f t="shared" si="72"/>
        <v/>
      </c>
      <c r="I468" s="25"/>
      <c r="J468" s="25"/>
      <c r="K468" s="26"/>
      <c r="L468" s="26"/>
      <c r="M468" s="37"/>
      <c r="N468" s="27"/>
      <c r="O468" s="30"/>
      <c r="P468" s="39" t="str">
        <f t="shared" si="76"/>
        <v/>
      </c>
      <c r="Q468" s="40" t="str">
        <f>IF(OR(T468=0,RIGHT(T468,1)=$W$1),"",COUNTIF($T$3:T468,T468))</f>
        <v/>
      </c>
      <c r="S468" s="6">
        <f t="shared" si="77"/>
        <v>0</v>
      </c>
      <c r="T468" s="36">
        <f t="shared" si="78"/>
        <v>0</v>
      </c>
      <c r="V468" s="6">
        <f t="shared" si="79"/>
        <v>0</v>
      </c>
      <c r="Y468" s="8">
        <f t="shared" si="80"/>
        <v>46023</v>
      </c>
    </row>
    <row r="469" spans="2:25" ht="18.75" x14ac:dyDescent="0.3">
      <c r="B469" s="6">
        <f t="shared" si="73"/>
        <v>0</v>
      </c>
      <c r="C469" s="6">
        <f t="shared" si="74"/>
        <v>0</v>
      </c>
      <c r="D469" s="6" t="str">
        <f t="shared" si="75"/>
        <v/>
      </c>
      <c r="E469" s="35" t="str">
        <f t="shared" si="71"/>
        <v/>
      </c>
      <c r="F469" s="31"/>
      <c r="G469" s="29"/>
      <c r="H469" s="78" t="str">
        <f t="shared" si="72"/>
        <v/>
      </c>
      <c r="I469" s="25"/>
      <c r="J469" s="25"/>
      <c r="K469" s="26"/>
      <c r="L469" s="26"/>
      <c r="M469" s="37"/>
      <c r="N469" s="27"/>
      <c r="O469" s="30"/>
      <c r="P469" s="39" t="str">
        <f t="shared" si="76"/>
        <v/>
      </c>
      <c r="Q469" s="40" t="str">
        <f>IF(OR(T469=0,RIGHT(T469,1)=$W$1),"",COUNTIF($T$3:T469,T469))</f>
        <v/>
      </c>
      <c r="S469" s="6">
        <f t="shared" si="77"/>
        <v>0</v>
      </c>
      <c r="T469" s="36">
        <f t="shared" si="78"/>
        <v>0</v>
      </c>
      <c r="V469" s="6">
        <f t="shared" si="79"/>
        <v>0</v>
      </c>
      <c r="Y469" s="8">
        <f t="shared" si="80"/>
        <v>46023</v>
      </c>
    </row>
    <row r="470" spans="2:25" ht="18.75" x14ac:dyDescent="0.3">
      <c r="B470" s="6">
        <f t="shared" si="73"/>
        <v>0</v>
      </c>
      <c r="C470" s="6">
        <f t="shared" si="74"/>
        <v>0</v>
      </c>
      <c r="D470" s="6" t="str">
        <f t="shared" si="75"/>
        <v/>
      </c>
      <c r="E470" s="35" t="str">
        <f t="shared" si="71"/>
        <v/>
      </c>
      <c r="F470" s="31"/>
      <c r="G470" s="29"/>
      <c r="H470" s="78" t="str">
        <f t="shared" si="72"/>
        <v/>
      </c>
      <c r="I470" s="25"/>
      <c r="J470" s="25"/>
      <c r="K470" s="26"/>
      <c r="L470" s="26"/>
      <c r="M470" s="37"/>
      <c r="N470" s="27"/>
      <c r="O470" s="30"/>
      <c r="P470" s="39" t="str">
        <f t="shared" si="76"/>
        <v/>
      </c>
      <c r="Q470" s="40" t="str">
        <f>IF(OR(T470=0,RIGHT(T470,1)=$W$1),"",COUNTIF($T$3:T470,T470))</f>
        <v/>
      </c>
      <c r="S470" s="6">
        <f t="shared" si="77"/>
        <v>0</v>
      </c>
      <c r="T470" s="36">
        <f t="shared" si="78"/>
        <v>0</v>
      </c>
      <c r="V470" s="6">
        <f t="shared" si="79"/>
        <v>0</v>
      </c>
      <c r="Y470" s="8">
        <f t="shared" si="80"/>
        <v>46023</v>
      </c>
    </row>
    <row r="471" spans="2:25" ht="18.75" x14ac:dyDescent="0.3">
      <c r="B471" s="6">
        <f t="shared" si="73"/>
        <v>0</v>
      </c>
      <c r="C471" s="6">
        <f t="shared" si="74"/>
        <v>0</v>
      </c>
      <c r="D471" s="6" t="str">
        <f t="shared" si="75"/>
        <v/>
      </c>
      <c r="E471" s="35" t="str">
        <f t="shared" si="71"/>
        <v/>
      </c>
      <c r="F471" s="31"/>
      <c r="G471" s="29"/>
      <c r="H471" s="78" t="str">
        <f t="shared" si="72"/>
        <v/>
      </c>
      <c r="I471" s="25"/>
      <c r="J471" s="25"/>
      <c r="K471" s="26"/>
      <c r="L471" s="26"/>
      <c r="M471" s="37"/>
      <c r="N471" s="27"/>
      <c r="O471" s="30"/>
      <c r="P471" s="39" t="str">
        <f t="shared" si="76"/>
        <v/>
      </c>
      <c r="Q471" s="40" t="str">
        <f>IF(OR(T471=0,RIGHT(T471,1)=$W$1),"",COUNTIF($T$3:T471,T471))</f>
        <v/>
      </c>
      <c r="S471" s="6">
        <f t="shared" si="77"/>
        <v>0</v>
      </c>
      <c r="T471" s="36">
        <f t="shared" si="78"/>
        <v>0</v>
      </c>
      <c r="V471" s="6">
        <f t="shared" si="79"/>
        <v>0</v>
      </c>
      <c r="Y471" s="8">
        <f t="shared" si="80"/>
        <v>46023</v>
      </c>
    </row>
    <row r="472" spans="2:25" ht="18.75" x14ac:dyDescent="0.3">
      <c r="B472" s="6">
        <f t="shared" si="73"/>
        <v>0</v>
      </c>
      <c r="C472" s="6">
        <f t="shared" si="74"/>
        <v>0</v>
      </c>
      <c r="D472" s="6" t="str">
        <f t="shared" si="75"/>
        <v/>
      </c>
      <c r="E472" s="35" t="str">
        <f t="shared" si="71"/>
        <v/>
      </c>
      <c r="F472" s="31"/>
      <c r="G472" s="29"/>
      <c r="H472" s="78" t="str">
        <f t="shared" si="72"/>
        <v/>
      </c>
      <c r="I472" s="25"/>
      <c r="J472" s="25"/>
      <c r="K472" s="26"/>
      <c r="L472" s="26"/>
      <c r="M472" s="37"/>
      <c r="N472" s="27"/>
      <c r="O472" s="30"/>
      <c r="P472" s="39" t="str">
        <f t="shared" si="76"/>
        <v/>
      </c>
      <c r="Q472" s="40" t="str">
        <f>IF(OR(T472=0,RIGHT(T472,1)=$W$1),"",COUNTIF($T$3:T472,T472))</f>
        <v/>
      </c>
      <c r="S472" s="6">
        <f t="shared" si="77"/>
        <v>0</v>
      </c>
      <c r="T472" s="36">
        <f t="shared" si="78"/>
        <v>0</v>
      </c>
      <c r="V472" s="6">
        <f t="shared" si="79"/>
        <v>0</v>
      </c>
      <c r="Y472" s="8">
        <f t="shared" si="80"/>
        <v>46023</v>
      </c>
    </row>
    <row r="473" spans="2:25" ht="18.75" x14ac:dyDescent="0.3">
      <c r="B473" s="6">
        <f t="shared" si="73"/>
        <v>0</v>
      </c>
      <c r="C473" s="6">
        <f t="shared" si="74"/>
        <v>0</v>
      </c>
      <c r="D473" s="6" t="str">
        <f t="shared" si="75"/>
        <v/>
      </c>
      <c r="E473" s="35" t="str">
        <f t="shared" si="71"/>
        <v/>
      </c>
      <c r="F473" s="31"/>
      <c r="G473" s="29"/>
      <c r="H473" s="78" t="str">
        <f t="shared" si="72"/>
        <v/>
      </c>
      <c r="I473" s="25"/>
      <c r="J473" s="25"/>
      <c r="K473" s="26"/>
      <c r="L473" s="26"/>
      <c r="M473" s="37"/>
      <c r="N473" s="27"/>
      <c r="O473" s="30"/>
      <c r="P473" s="39" t="str">
        <f t="shared" si="76"/>
        <v/>
      </c>
      <c r="Q473" s="40" t="str">
        <f>IF(OR(T473=0,RIGHT(T473,1)=$W$1),"",COUNTIF($T$3:T473,T473))</f>
        <v/>
      </c>
      <c r="S473" s="6">
        <f t="shared" si="77"/>
        <v>0</v>
      </c>
      <c r="T473" s="36">
        <f t="shared" si="78"/>
        <v>0</v>
      </c>
      <c r="V473" s="6">
        <f t="shared" si="79"/>
        <v>0</v>
      </c>
      <c r="Y473" s="8">
        <f t="shared" si="80"/>
        <v>46023</v>
      </c>
    </row>
    <row r="474" spans="2:25" ht="18.75" x14ac:dyDescent="0.3">
      <c r="B474" s="6">
        <f t="shared" si="73"/>
        <v>0</v>
      </c>
      <c r="C474" s="6">
        <f t="shared" si="74"/>
        <v>0</v>
      </c>
      <c r="D474" s="6" t="str">
        <f t="shared" si="75"/>
        <v/>
      </c>
      <c r="E474" s="35" t="str">
        <f t="shared" si="71"/>
        <v/>
      </c>
      <c r="F474" s="31"/>
      <c r="G474" s="29"/>
      <c r="H474" s="78" t="str">
        <f t="shared" si="72"/>
        <v/>
      </c>
      <c r="I474" s="25"/>
      <c r="J474" s="25"/>
      <c r="K474" s="26"/>
      <c r="L474" s="26"/>
      <c r="M474" s="37"/>
      <c r="N474" s="27"/>
      <c r="O474" s="30"/>
      <c r="P474" s="39" t="str">
        <f t="shared" si="76"/>
        <v/>
      </c>
      <c r="Q474" s="40" t="str">
        <f>IF(OR(T474=0,RIGHT(T474,1)=$W$1),"",COUNTIF($T$3:T474,T474))</f>
        <v/>
      </c>
      <c r="S474" s="6">
        <f t="shared" si="77"/>
        <v>0</v>
      </c>
      <c r="T474" s="36">
        <f t="shared" si="78"/>
        <v>0</v>
      </c>
      <c r="V474" s="6">
        <f t="shared" si="79"/>
        <v>0</v>
      </c>
      <c r="Y474" s="8">
        <f t="shared" si="80"/>
        <v>46023</v>
      </c>
    </row>
    <row r="475" spans="2:25" ht="18.75" x14ac:dyDescent="0.3">
      <c r="B475" s="6">
        <f t="shared" si="73"/>
        <v>0</v>
      </c>
      <c r="C475" s="6">
        <f t="shared" si="74"/>
        <v>0</v>
      </c>
      <c r="D475" s="6" t="str">
        <f t="shared" si="75"/>
        <v/>
      </c>
      <c r="E475" s="35" t="str">
        <f t="shared" si="71"/>
        <v/>
      </c>
      <c r="F475" s="31"/>
      <c r="G475" s="29"/>
      <c r="H475" s="78" t="str">
        <f t="shared" si="72"/>
        <v/>
      </c>
      <c r="I475" s="25"/>
      <c r="J475" s="25"/>
      <c r="K475" s="26"/>
      <c r="L475" s="26"/>
      <c r="M475" s="37"/>
      <c r="N475" s="27"/>
      <c r="O475" s="30"/>
      <c r="P475" s="39" t="str">
        <f t="shared" si="76"/>
        <v/>
      </c>
      <c r="Q475" s="40" t="str">
        <f>IF(OR(T475=0,RIGHT(T475,1)=$W$1),"",COUNTIF($T$3:T475,T475))</f>
        <v/>
      </c>
      <c r="S475" s="6">
        <f t="shared" si="77"/>
        <v>0</v>
      </c>
      <c r="T475" s="36">
        <f t="shared" si="78"/>
        <v>0</v>
      </c>
      <c r="V475" s="6">
        <f t="shared" si="79"/>
        <v>0</v>
      </c>
      <c r="Y475" s="8">
        <f t="shared" si="80"/>
        <v>46023</v>
      </c>
    </row>
    <row r="476" spans="2:25" ht="18.75" x14ac:dyDescent="0.3">
      <c r="B476" s="6">
        <f t="shared" si="73"/>
        <v>0</v>
      </c>
      <c r="C476" s="6">
        <f t="shared" si="74"/>
        <v>0</v>
      </c>
      <c r="D476" s="6" t="str">
        <f t="shared" si="75"/>
        <v/>
      </c>
      <c r="E476" s="35" t="str">
        <f t="shared" si="71"/>
        <v/>
      </c>
      <c r="F476" s="31"/>
      <c r="G476" s="29"/>
      <c r="H476" s="78" t="str">
        <f t="shared" si="72"/>
        <v/>
      </c>
      <c r="I476" s="25"/>
      <c r="J476" s="25"/>
      <c r="K476" s="26"/>
      <c r="L476" s="26"/>
      <c r="M476" s="37"/>
      <c r="N476" s="27"/>
      <c r="O476" s="30"/>
      <c r="P476" s="39" t="str">
        <f t="shared" si="76"/>
        <v/>
      </c>
      <c r="Q476" s="40" t="str">
        <f>IF(OR(T476=0,RIGHT(T476,1)=$W$1),"",COUNTIF($T$3:T476,T476))</f>
        <v/>
      </c>
      <c r="S476" s="6">
        <f t="shared" si="77"/>
        <v>0</v>
      </c>
      <c r="T476" s="36">
        <f t="shared" si="78"/>
        <v>0</v>
      </c>
      <c r="V476" s="6">
        <f t="shared" si="79"/>
        <v>0</v>
      </c>
      <c r="Y476" s="8">
        <f t="shared" si="80"/>
        <v>46023</v>
      </c>
    </row>
    <row r="477" spans="2:25" ht="18.75" x14ac:dyDescent="0.3">
      <c r="B477" s="6">
        <f t="shared" si="73"/>
        <v>0</v>
      </c>
      <c r="C477" s="6">
        <f t="shared" si="74"/>
        <v>0</v>
      </c>
      <c r="D477" s="6" t="str">
        <f t="shared" si="75"/>
        <v/>
      </c>
      <c r="E477" s="35" t="str">
        <f t="shared" si="71"/>
        <v/>
      </c>
      <c r="F477" s="31"/>
      <c r="G477" s="29"/>
      <c r="H477" s="78" t="str">
        <f t="shared" si="72"/>
        <v/>
      </c>
      <c r="I477" s="25"/>
      <c r="J477" s="25"/>
      <c r="K477" s="26"/>
      <c r="L477" s="26"/>
      <c r="M477" s="37"/>
      <c r="N477" s="27"/>
      <c r="O477" s="30"/>
      <c r="P477" s="39" t="str">
        <f t="shared" si="76"/>
        <v/>
      </c>
      <c r="Q477" s="40" t="str">
        <f>IF(OR(T477=0,RIGHT(T477,1)=$W$1),"",COUNTIF($T$3:T477,T477))</f>
        <v/>
      </c>
      <c r="S477" s="6">
        <f t="shared" si="77"/>
        <v>0</v>
      </c>
      <c r="T477" s="36">
        <f t="shared" si="78"/>
        <v>0</v>
      </c>
      <c r="V477" s="6">
        <f t="shared" si="79"/>
        <v>0</v>
      </c>
      <c r="Y477" s="8">
        <f t="shared" si="80"/>
        <v>46023</v>
      </c>
    </row>
    <row r="478" spans="2:25" ht="18.75" x14ac:dyDescent="0.3">
      <c r="B478" s="6">
        <f t="shared" si="73"/>
        <v>0</v>
      </c>
      <c r="C478" s="6">
        <f t="shared" si="74"/>
        <v>0</v>
      </c>
      <c r="D478" s="6" t="str">
        <f t="shared" si="75"/>
        <v/>
      </c>
      <c r="E478" s="35" t="str">
        <f t="shared" si="71"/>
        <v/>
      </c>
      <c r="F478" s="31"/>
      <c r="G478" s="29"/>
      <c r="H478" s="78" t="str">
        <f t="shared" si="72"/>
        <v/>
      </c>
      <c r="I478" s="25"/>
      <c r="J478" s="25"/>
      <c r="K478" s="26"/>
      <c r="L478" s="26"/>
      <c r="M478" s="37"/>
      <c r="N478" s="27"/>
      <c r="O478" s="30"/>
      <c r="P478" s="39" t="str">
        <f t="shared" si="76"/>
        <v/>
      </c>
      <c r="Q478" s="40" t="str">
        <f>IF(OR(T478=0,RIGHT(T478,1)=$W$1),"",COUNTIF($T$3:T478,T478))</f>
        <v/>
      </c>
      <c r="S478" s="6">
        <f t="shared" si="77"/>
        <v>0</v>
      </c>
      <c r="T478" s="36">
        <f t="shared" si="78"/>
        <v>0</v>
      </c>
      <c r="V478" s="6">
        <f t="shared" si="79"/>
        <v>0</v>
      </c>
      <c r="Y478" s="8">
        <f t="shared" si="80"/>
        <v>46023</v>
      </c>
    </row>
    <row r="479" spans="2:25" ht="18.75" x14ac:dyDescent="0.3">
      <c r="B479" s="6">
        <f t="shared" si="73"/>
        <v>0</v>
      </c>
      <c r="C479" s="6">
        <f t="shared" si="74"/>
        <v>0</v>
      </c>
      <c r="D479" s="6" t="str">
        <f t="shared" si="75"/>
        <v/>
      </c>
      <c r="E479" s="35" t="str">
        <f t="shared" si="71"/>
        <v/>
      </c>
      <c r="F479" s="31"/>
      <c r="G479" s="29"/>
      <c r="H479" s="78" t="str">
        <f t="shared" si="72"/>
        <v/>
      </c>
      <c r="I479" s="25"/>
      <c r="J479" s="25"/>
      <c r="K479" s="26"/>
      <c r="L479" s="26"/>
      <c r="M479" s="37"/>
      <c r="N479" s="27"/>
      <c r="O479" s="30"/>
      <c r="P479" s="39" t="str">
        <f t="shared" si="76"/>
        <v/>
      </c>
      <c r="Q479" s="40" t="str">
        <f>IF(OR(T479=0,RIGHT(T479,1)=$W$1),"",COUNTIF($T$3:T479,T479))</f>
        <v/>
      </c>
      <c r="S479" s="6">
        <f t="shared" si="77"/>
        <v>0</v>
      </c>
      <c r="T479" s="36">
        <f t="shared" si="78"/>
        <v>0</v>
      </c>
      <c r="V479" s="6">
        <f t="shared" si="79"/>
        <v>0</v>
      </c>
      <c r="Y479" s="8">
        <f t="shared" si="80"/>
        <v>46023</v>
      </c>
    </row>
    <row r="480" spans="2:25" ht="18.75" x14ac:dyDescent="0.3">
      <c r="B480" s="6">
        <f t="shared" si="73"/>
        <v>0</v>
      </c>
      <c r="C480" s="6">
        <f t="shared" si="74"/>
        <v>0</v>
      </c>
      <c r="D480" s="6" t="str">
        <f t="shared" si="75"/>
        <v/>
      </c>
      <c r="E480" s="35" t="str">
        <f t="shared" si="71"/>
        <v/>
      </c>
      <c r="F480" s="31"/>
      <c r="G480" s="29"/>
      <c r="H480" s="78" t="str">
        <f t="shared" si="72"/>
        <v/>
      </c>
      <c r="I480" s="25"/>
      <c r="J480" s="25"/>
      <c r="K480" s="26"/>
      <c r="L480" s="26"/>
      <c r="M480" s="37"/>
      <c r="N480" s="27"/>
      <c r="O480" s="30"/>
      <c r="P480" s="39" t="str">
        <f t="shared" si="76"/>
        <v/>
      </c>
      <c r="Q480" s="40" t="str">
        <f>IF(OR(T480=0,RIGHT(T480,1)=$W$1),"",COUNTIF($T$3:T480,T480))</f>
        <v/>
      </c>
      <c r="S480" s="6">
        <f t="shared" si="77"/>
        <v>0</v>
      </c>
      <c r="T480" s="36">
        <f t="shared" si="78"/>
        <v>0</v>
      </c>
      <c r="V480" s="6">
        <f t="shared" si="79"/>
        <v>0</v>
      </c>
      <c r="Y480" s="8">
        <f t="shared" si="80"/>
        <v>46023</v>
      </c>
    </row>
    <row r="481" spans="2:25" ht="18.75" x14ac:dyDescent="0.3">
      <c r="B481" s="6">
        <f t="shared" si="73"/>
        <v>0</v>
      </c>
      <c r="C481" s="6">
        <f t="shared" si="74"/>
        <v>0</v>
      </c>
      <c r="D481" s="6" t="str">
        <f t="shared" si="75"/>
        <v/>
      </c>
      <c r="E481" s="35" t="str">
        <f t="shared" si="71"/>
        <v/>
      </c>
      <c r="F481" s="31"/>
      <c r="G481" s="29"/>
      <c r="H481" s="78" t="str">
        <f t="shared" si="72"/>
        <v/>
      </c>
      <c r="I481" s="25"/>
      <c r="J481" s="25"/>
      <c r="K481" s="26"/>
      <c r="L481" s="26"/>
      <c r="M481" s="37"/>
      <c r="N481" s="27"/>
      <c r="O481" s="30"/>
      <c r="P481" s="39" t="str">
        <f t="shared" si="76"/>
        <v/>
      </c>
      <c r="Q481" s="40" t="str">
        <f>IF(OR(T481=0,RIGHT(T481,1)=$W$1),"",COUNTIF($T$3:T481,T481))</f>
        <v/>
      </c>
      <c r="S481" s="6">
        <f t="shared" si="77"/>
        <v>0</v>
      </c>
      <c r="T481" s="36">
        <f t="shared" si="78"/>
        <v>0</v>
      </c>
      <c r="V481" s="6">
        <f t="shared" si="79"/>
        <v>0</v>
      </c>
      <c r="Y481" s="8">
        <f t="shared" si="80"/>
        <v>46023</v>
      </c>
    </row>
    <row r="482" spans="2:25" ht="18.75" x14ac:dyDescent="0.3">
      <c r="B482" s="6">
        <f t="shared" si="73"/>
        <v>0</v>
      </c>
      <c r="C482" s="6">
        <f t="shared" si="74"/>
        <v>0</v>
      </c>
      <c r="D482" s="6" t="str">
        <f t="shared" si="75"/>
        <v/>
      </c>
      <c r="E482" s="35" t="str">
        <f t="shared" si="71"/>
        <v/>
      </c>
      <c r="F482" s="31"/>
      <c r="G482" s="29"/>
      <c r="H482" s="78" t="str">
        <f t="shared" si="72"/>
        <v/>
      </c>
      <c r="I482" s="25"/>
      <c r="J482" s="25"/>
      <c r="K482" s="26"/>
      <c r="L482" s="26"/>
      <c r="M482" s="37"/>
      <c r="N482" s="27"/>
      <c r="O482" s="30"/>
      <c r="P482" s="39" t="str">
        <f t="shared" si="76"/>
        <v/>
      </c>
      <c r="Q482" s="40" t="str">
        <f>IF(OR(T482=0,RIGHT(T482,1)=$W$1),"",COUNTIF($T$3:T482,T482))</f>
        <v/>
      </c>
      <c r="S482" s="6">
        <f t="shared" si="77"/>
        <v>0</v>
      </c>
      <c r="T482" s="36">
        <f t="shared" si="78"/>
        <v>0</v>
      </c>
      <c r="V482" s="6">
        <f t="shared" si="79"/>
        <v>0</v>
      </c>
      <c r="Y482" s="8">
        <f t="shared" si="80"/>
        <v>46023</v>
      </c>
    </row>
    <row r="483" spans="2:25" ht="18.75" x14ac:dyDescent="0.3">
      <c r="B483" s="6">
        <f t="shared" si="73"/>
        <v>0</v>
      </c>
      <c r="C483" s="6">
        <f t="shared" si="74"/>
        <v>0</v>
      </c>
      <c r="D483" s="6" t="str">
        <f t="shared" si="75"/>
        <v/>
      </c>
      <c r="E483" s="35" t="str">
        <f t="shared" si="71"/>
        <v/>
      </c>
      <c r="F483" s="31"/>
      <c r="G483" s="29"/>
      <c r="H483" s="78" t="str">
        <f t="shared" si="72"/>
        <v/>
      </c>
      <c r="I483" s="25"/>
      <c r="J483" s="25"/>
      <c r="K483" s="26"/>
      <c r="L483" s="26"/>
      <c r="M483" s="37"/>
      <c r="N483" s="27"/>
      <c r="O483" s="30"/>
      <c r="P483" s="39" t="str">
        <f t="shared" si="76"/>
        <v/>
      </c>
      <c r="Q483" s="40" t="str">
        <f>IF(OR(T483=0,RIGHT(T483,1)=$W$1),"",COUNTIF($T$3:T483,T483))</f>
        <v/>
      </c>
      <c r="S483" s="6">
        <f t="shared" si="77"/>
        <v>0</v>
      </c>
      <c r="T483" s="36">
        <f t="shared" si="78"/>
        <v>0</v>
      </c>
      <c r="V483" s="6">
        <f t="shared" si="79"/>
        <v>0</v>
      </c>
      <c r="Y483" s="8">
        <f t="shared" si="80"/>
        <v>46023</v>
      </c>
    </row>
    <row r="484" spans="2:25" ht="18.75" x14ac:dyDescent="0.3">
      <c r="B484" s="6">
        <f t="shared" si="73"/>
        <v>0</v>
      </c>
      <c r="C484" s="6">
        <f t="shared" si="74"/>
        <v>0</v>
      </c>
      <c r="D484" s="6" t="str">
        <f t="shared" si="75"/>
        <v/>
      </c>
      <c r="E484" s="35" t="str">
        <f t="shared" si="71"/>
        <v/>
      </c>
      <c r="F484" s="31"/>
      <c r="G484" s="29"/>
      <c r="H484" s="78" t="str">
        <f t="shared" si="72"/>
        <v/>
      </c>
      <c r="I484" s="25"/>
      <c r="J484" s="25"/>
      <c r="K484" s="26"/>
      <c r="L484" s="26"/>
      <c r="M484" s="37"/>
      <c r="N484" s="27"/>
      <c r="O484" s="30"/>
      <c r="P484" s="39" t="str">
        <f t="shared" si="76"/>
        <v/>
      </c>
      <c r="Q484" s="40" t="str">
        <f>IF(OR(T484=0,RIGHT(T484,1)=$W$1),"",COUNTIF($T$3:T484,T484))</f>
        <v/>
      </c>
      <c r="S484" s="6">
        <f t="shared" si="77"/>
        <v>0</v>
      </c>
      <c r="T484" s="36">
        <f t="shared" si="78"/>
        <v>0</v>
      </c>
      <c r="V484" s="6">
        <f t="shared" si="79"/>
        <v>0</v>
      </c>
      <c r="Y484" s="8">
        <f t="shared" si="80"/>
        <v>46023</v>
      </c>
    </row>
    <row r="485" spans="2:25" ht="18.75" x14ac:dyDescent="0.3">
      <c r="B485" s="6">
        <f t="shared" si="73"/>
        <v>0</v>
      </c>
      <c r="C485" s="6">
        <f t="shared" si="74"/>
        <v>0</v>
      </c>
      <c r="D485" s="6" t="str">
        <f t="shared" si="75"/>
        <v/>
      </c>
      <c r="E485" s="35" t="str">
        <f t="shared" si="71"/>
        <v/>
      </c>
      <c r="F485" s="31"/>
      <c r="G485" s="29"/>
      <c r="H485" s="78" t="str">
        <f t="shared" si="72"/>
        <v/>
      </c>
      <c r="I485" s="25"/>
      <c r="J485" s="25"/>
      <c r="K485" s="26"/>
      <c r="L485" s="26"/>
      <c r="M485" s="37"/>
      <c r="N485" s="27"/>
      <c r="O485" s="30"/>
      <c r="P485" s="39" t="str">
        <f t="shared" si="76"/>
        <v/>
      </c>
      <c r="Q485" s="40" t="str">
        <f>IF(OR(T485=0,RIGHT(T485,1)=$W$1),"",COUNTIF($T$3:T485,T485))</f>
        <v/>
      </c>
      <c r="S485" s="6">
        <f t="shared" si="77"/>
        <v>0</v>
      </c>
      <c r="T485" s="36">
        <f t="shared" si="78"/>
        <v>0</v>
      </c>
      <c r="V485" s="6">
        <f t="shared" si="79"/>
        <v>0</v>
      </c>
      <c r="Y485" s="8">
        <f t="shared" si="80"/>
        <v>46023</v>
      </c>
    </row>
    <row r="486" spans="2:25" ht="18.75" x14ac:dyDescent="0.3">
      <c r="B486" s="6">
        <f t="shared" si="73"/>
        <v>0</v>
      </c>
      <c r="C486" s="6">
        <f t="shared" si="74"/>
        <v>0</v>
      </c>
      <c r="D486" s="6" t="str">
        <f t="shared" si="75"/>
        <v/>
      </c>
      <c r="E486" s="35" t="str">
        <f t="shared" si="71"/>
        <v/>
      </c>
      <c r="F486" s="31"/>
      <c r="G486" s="29"/>
      <c r="H486" s="78" t="str">
        <f t="shared" si="72"/>
        <v/>
      </c>
      <c r="I486" s="25"/>
      <c r="J486" s="25"/>
      <c r="K486" s="26"/>
      <c r="L486" s="26"/>
      <c r="M486" s="37"/>
      <c r="N486" s="27"/>
      <c r="O486" s="30"/>
      <c r="P486" s="39" t="str">
        <f t="shared" si="76"/>
        <v/>
      </c>
      <c r="Q486" s="40" t="str">
        <f>IF(OR(T486=0,RIGHT(T486,1)=$W$1),"",COUNTIF($T$3:T486,T486))</f>
        <v/>
      </c>
      <c r="S486" s="6">
        <f t="shared" si="77"/>
        <v>0</v>
      </c>
      <c r="T486" s="36">
        <f t="shared" si="78"/>
        <v>0</v>
      </c>
      <c r="V486" s="6">
        <f t="shared" si="79"/>
        <v>0</v>
      </c>
      <c r="Y486" s="8">
        <f t="shared" si="80"/>
        <v>46023</v>
      </c>
    </row>
    <row r="487" spans="2:25" ht="18.75" x14ac:dyDescent="0.3">
      <c r="B487" s="6">
        <f t="shared" si="73"/>
        <v>0</v>
      </c>
      <c r="C487" s="6">
        <f t="shared" si="74"/>
        <v>0</v>
      </c>
      <c r="D487" s="6" t="str">
        <f t="shared" si="75"/>
        <v/>
      </c>
      <c r="E487" s="35" t="str">
        <f t="shared" si="71"/>
        <v/>
      </c>
      <c r="F487" s="31"/>
      <c r="G487" s="29"/>
      <c r="H487" s="78" t="str">
        <f t="shared" si="72"/>
        <v/>
      </c>
      <c r="I487" s="25"/>
      <c r="J487" s="25"/>
      <c r="K487" s="26"/>
      <c r="L487" s="26"/>
      <c r="M487" s="37"/>
      <c r="N487" s="27"/>
      <c r="O487" s="30"/>
      <c r="P487" s="39" t="str">
        <f t="shared" si="76"/>
        <v/>
      </c>
      <c r="Q487" s="40" t="str">
        <f>IF(OR(T487=0,RIGHT(T487,1)=$W$1),"",COUNTIF($T$3:T487,T487))</f>
        <v/>
      </c>
      <c r="S487" s="6">
        <f t="shared" si="77"/>
        <v>0</v>
      </c>
      <c r="T487" s="36">
        <f t="shared" si="78"/>
        <v>0</v>
      </c>
      <c r="V487" s="6">
        <f t="shared" si="79"/>
        <v>0</v>
      </c>
      <c r="Y487" s="8">
        <f t="shared" si="80"/>
        <v>46023</v>
      </c>
    </row>
    <row r="488" spans="2:25" ht="18.75" x14ac:dyDescent="0.3">
      <c r="B488" s="6">
        <f t="shared" si="73"/>
        <v>0</v>
      </c>
      <c r="C488" s="6">
        <f t="shared" si="74"/>
        <v>0</v>
      </c>
      <c r="D488" s="6" t="str">
        <f t="shared" si="75"/>
        <v/>
      </c>
      <c r="E488" s="35" t="str">
        <f t="shared" si="71"/>
        <v/>
      </c>
      <c r="F488" s="31"/>
      <c r="G488" s="29"/>
      <c r="H488" s="78" t="str">
        <f t="shared" si="72"/>
        <v/>
      </c>
      <c r="I488" s="25"/>
      <c r="J488" s="25"/>
      <c r="K488" s="26"/>
      <c r="L488" s="26"/>
      <c r="M488" s="37"/>
      <c r="N488" s="27"/>
      <c r="O488" s="30"/>
      <c r="P488" s="39" t="str">
        <f t="shared" si="76"/>
        <v/>
      </c>
      <c r="Q488" s="40" t="str">
        <f>IF(OR(T488=0,RIGHT(T488,1)=$W$1),"",COUNTIF($T$3:T488,T488))</f>
        <v/>
      </c>
      <c r="S488" s="6">
        <f t="shared" si="77"/>
        <v>0</v>
      </c>
      <c r="T488" s="36">
        <f t="shared" si="78"/>
        <v>0</v>
      </c>
      <c r="V488" s="6">
        <f t="shared" si="79"/>
        <v>0</v>
      </c>
      <c r="Y488" s="8">
        <f t="shared" si="80"/>
        <v>46023</v>
      </c>
    </row>
    <row r="489" spans="2:25" ht="18.75" x14ac:dyDescent="0.3">
      <c r="B489" s="6">
        <f t="shared" si="73"/>
        <v>0</v>
      </c>
      <c r="C489" s="6">
        <f t="shared" si="74"/>
        <v>0</v>
      </c>
      <c r="D489" s="6" t="str">
        <f t="shared" si="75"/>
        <v/>
      </c>
      <c r="E489" s="35" t="str">
        <f t="shared" si="71"/>
        <v/>
      </c>
      <c r="F489" s="31"/>
      <c r="G489" s="29"/>
      <c r="H489" s="78" t="str">
        <f t="shared" si="72"/>
        <v/>
      </c>
      <c r="I489" s="25"/>
      <c r="J489" s="25"/>
      <c r="K489" s="26"/>
      <c r="L489" s="26"/>
      <c r="M489" s="37"/>
      <c r="N489" s="27"/>
      <c r="O489" s="30"/>
      <c r="P489" s="39" t="str">
        <f t="shared" si="76"/>
        <v/>
      </c>
      <c r="Q489" s="40" t="str">
        <f>IF(OR(T489=0,RIGHT(T489,1)=$W$1),"",COUNTIF($T$3:T489,T489))</f>
        <v/>
      </c>
      <c r="S489" s="6">
        <f t="shared" si="77"/>
        <v>0</v>
      </c>
      <c r="T489" s="36">
        <f t="shared" si="78"/>
        <v>0</v>
      </c>
      <c r="V489" s="6">
        <f t="shared" si="79"/>
        <v>0</v>
      </c>
      <c r="Y489" s="8">
        <f t="shared" si="80"/>
        <v>46023</v>
      </c>
    </row>
    <row r="490" spans="2:25" ht="18.75" x14ac:dyDescent="0.3">
      <c r="B490" s="6">
        <f t="shared" si="73"/>
        <v>0</v>
      </c>
      <c r="C490" s="6">
        <f t="shared" si="74"/>
        <v>0</v>
      </c>
      <c r="D490" s="6" t="str">
        <f t="shared" si="75"/>
        <v/>
      </c>
      <c r="E490" s="35" t="str">
        <f t="shared" si="71"/>
        <v/>
      </c>
      <c r="F490" s="31"/>
      <c r="G490" s="29"/>
      <c r="H490" s="78" t="str">
        <f t="shared" si="72"/>
        <v/>
      </c>
      <c r="I490" s="25"/>
      <c r="J490" s="25"/>
      <c r="K490" s="26"/>
      <c r="L490" s="26"/>
      <c r="M490" s="37"/>
      <c r="N490" s="27"/>
      <c r="O490" s="30"/>
      <c r="P490" s="39" t="str">
        <f t="shared" si="76"/>
        <v/>
      </c>
      <c r="Q490" s="40" t="str">
        <f>IF(OR(T490=0,RIGHT(T490,1)=$W$1),"",COUNTIF($T$3:T490,T490))</f>
        <v/>
      </c>
      <c r="S490" s="6">
        <f t="shared" si="77"/>
        <v>0</v>
      </c>
      <c r="T490" s="36">
        <f t="shared" si="78"/>
        <v>0</v>
      </c>
      <c r="V490" s="6">
        <f t="shared" si="79"/>
        <v>0</v>
      </c>
      <c r="Y490" s="8">
        <f t="shared" si="80"/>
        <v>46023</v>
      </c>
    </row>
    <row r="491" spans="2:25" ht="18.75" x14ac:dyDescent="0.3">
      <c r="B491" s="6">
        <f t="shared" si="73"/>
        <v>0</v>
      </c>
      <c r="C491" s="6">
        <f t="shared" si="74"/>
        <v>0</v>
      </c>
      <c r="D491" s="6" t="str">
        <f t="shared" si="75"/>
        <v/>
      </c>
      <c r="E491" s="35" t="str">
        <f t="shared" si="71"/>
        <v/>
      </c>
      <c r="F491" s="31"/>
      <c r="G491" s="29"/>
      <c r="H491" s="78" t="str">
        <f t="shared" si="72"/>
        <v/>
      </c>
      <c r="I491" s="25"/>
      <c r="J491" s="25"/>
      <c r="K491" s="26"/>
      <c r="L491" s="26"/>
      <c r="M491" s="37"/>
      <c r="N491" s="27"/>
      <c r="O491" s="30"/>
      <c r="P491" s="39" t="str">
        <f t="shared" si="76"/>
        <v/>
      </c>
      <c r="Q491" s="40" t="str">
        <f>IF(OR(T491=0,RIGHT(T491,1)=$W$1),"",COUNTIF($T$3:T491,T491))</f>
        <v/>
      </c>
      <c r="S491" s="6">
        <f t="shared" si="77"/>
        <v>0</v>
      </c>
      <c r="T491" s="36">
        <f t="shared" si="78"/>
        <v>0</v>
      </c>
      <c r="V491" s="6">
        <f t="shared" si="79"/>
        <v>0</v>
      </c>
      <c r="Y491" s="8">
        <f t="shared" si="80"/>
        <v>46023</v>
      </c>
    </row>
    <row r="492" spans="2:25" ht="18.75" x14ac:dyDescent="0.3">
      <c r="B492" s="6">
        <f t="shared" si="73"/>
        <v>0</v>
      </c>
      <c r="C492" s="6">
        <f t="shared" si="74"/>
        <v>0</v>
      </c>
      <c r="D492" s="6" t="str">
        <f t="shared" si="75"/>
        <v/>
      </c>
      <c r="E492" s="35" t="str">
        <f t="shared" si="71"/>
        <v/>
      </c>
      <c r="F492" s="31"/>
      <c r="G492" s="29"/>
      <c r="H492" s="78" t="str">
        <f t="shared" si="72"/>
        <v/>
      </c>
      <c r="I492" s="25"/>
      <c r="J492" s="25"/>
      <c r="K492" s="26"/>
      <c r="L492" s="26"/>
      <c r="M492" s="37"/>
      <c r="N492" s="27"/>
      <c r="O492" s="30"/>
      <c r="P492" s="39" t="str">
        <f t="shared" si="76"/>
        <v/>
      </c>
      <c r="Q492" s="40" t="str">
        <f>IF(OR(T492=0,RIGHT(T492,1)=$W$1),"",COUNTIF($T$3:T492,T492))</f>
        <v/>
      </c>
      <c r="S492" s="6">
        <f t="shared" si="77"/>
        <v>0</v>
      </c>
      <c r="T492" s="36">
        <f t="shared" si="78"/>
        <v>0</v>
      </c>
      <c r="V492" s="6">
        <f t="shared" si="79"/>
        <v>0</v>
      </c>
      <c r="Y492" s="8">
        <f t="shared" si="80"/>
        <v>46023</v>
      </c>
    </row>
    <row r="493" spans="2:25" ht="18.75" x14ac:dyDescent="0.3">
      <c r="B493" s="6">
        <f t="shared" si="73"/>
        <v>0</v>
      </c>
      <c r="C493" s="6">
        <f t="shared" si="74"/>
        <v>0</v>
      </c>
      <c r="D493" s="6" t="str">
        <f t="shared" si="75"/>
        <v/>
      </c>
      <c r="E493" s="35" t="str">
        <f t="shared" si="71"/>
        <v/>
      </c>
      <c r="F493" s="31"/>
      <c r="G493" s="29"/>
      <c r="H493" s="78" t="str">
        <f t="shared" si="72"/>
        <v/>
      </c>
      <c r="I493" s="25"/>
      <c r="J493" s="25"/>
      <c r="K493" s="26"/>
      <c r="L493" s="26"/>
      <c r="M493" s="37"/>
      <c r="N493" s="27"/>
      <c r="O493" s="30"/>
      <c r="P493" s="39" t="str">
        <f t="shared" si="76"/>
        <v/>
      </c>
      <c r="Q493" s="40" t="str">
        <f>IF(OR(T493=0,RIGHT(T493,1)=$W$1),"",COUNTIF($T$3:T493,T493))</f>
        <v/>
      </c>
      <c r="S493" s="6">
        <f t="shared" si="77"/>
        <v>0</v>
      </c>
      <c r="T493" s="36">
        <f t="shared" si="78"/>
        <v>0</v>
      </c>
      <c r="V493" s="6">
        <f t="shared" si="79"/>
        <v>0</v>
      </c>
      <c r="Y493" s="8">
        <f t="shared" si="80"/>
        <v>46023</v>
      </c>
    </row>
    <row r="494" spans="2:25" ht="18.75" x14ac:dyDescent="0.3">
      <c r="B494" s="6">
        <f t="shared" si="73"/>
        <v>0</v>
      </c>
      <c r="C494" s="6">
        <f t="shared" si="74"/>
        <v>0</v>
      </c>
      <c r="D494" s="6" t="str">
        <f t="shared" si="75"/>
        <v/>
      </c>
      <c r="E494" s="35" t="str">
        <f t="shared" si="71"/>
        <v/>
      </c>
      <c r="F494" s="31"/>
      <c r="G494" s="29"/>
      <c r="H494" s="78" t="str">
        <f t="shared" si="72"/>
        <v/>
      </c>
      <c r="I494" s="25"/>
      <c r="J494" s="25"/>
      <c r="K494" s="26"/>
      <c r="L494" s="26"/>
      <c r="M494" s="37"/>
      <c r="N494" s="27"/>
      <c r="O494" s="30"/>
      <c r="P494" s="39" t="str">
        <f t="shared" si="76"/>
        <v/>
      </c>
      <c r="Q494" s="40" t="str">
        <f>IF(OR(T494=0,RIGHT(T494,1)=$W$1),"",COUNTIF($T$3:T494,T494))</f>
        <v/>
      </c>
      <c r="S494" s="6">
        <f t="shared" si="77"/>
        <v>0</v>
      </c>
      <c r="T494" s="36">
        <f t="shared" si="78"/>
        <v>0</v>
      </c>
      <c r="V494" s="6">
        <f t="shared" si="79"/>
        <v>0</v>
      </c>
      <c r="Y494" s="8">
        <f t="shared" si="80"/>
        <v>46023</v>
      </c>
    </row>
    <row r="495" spans="2:25" ht="18.75" x14ac:dyDescent="0.3">
      <c r="B495" s="6">
        <f t="shared" si="73"/>
        <v>0</v>
      </c>
      <c r="C495" s="6">
        <f t="shared" si="74"/>
        <v>0</v>
      </c>
      <c r="D495" s="6" t="str">
        <f t="shared" si="75"/>
        <v/>
      </c>
      <c r="E495" s="35" t="str">
        <f t="shared" si="71"/>
        <v/>
      </c>
      <c r="F495" s="31"/>
      <c r="G495" s="29"/>
      <c r="H495" s="78" t="str">
        <f t="shared" si="72"/>
        <v/>
      </c>
      <c r="I495" s="25"/>
      <c r="J495" s="25"/>
      <c r="K495" s="26"/>
      <c r="L495" s="26"/>
      <c r="M495" s="37"/>
      <c r="N495" s="27"/>
      <c r="O495" s="30"/>
      <c r="P495" s="39" t="str">
        <f t="shared" si="76"/>
        <v/>
      </c>
      <c r="Q495" s="40" t="str">
        <f>IF(OR(T495=0,RIGHT(T495,1)=$W$1),"",COUNTIF($T$3:T495,T495))</f>
        <v/>
      </c>
      <c r="S495" s="6">
        <f t="shared" si="77"/>
        <v>0</v>
      </c>
      <c r="T495" s="36">
        <f t="shared" si="78"/>
        <v>0</v>
      </c>
      <c r="V495" s="6">
        <f t="shared" si="79"/>
        <v>0</v>
      </c>
      <c r="Y495" s="8">
        <f t="shared" si="80"/>
        <v>46023</v>
      </c>
    </row>
    <row r="496" spans="2:25" ht="18.75" x14ac:dyDescent="0.3">
      <c r="B496" s="6">
        <f t="shared" si="73"/>
        <v>0</v>
      </c>
      <c r="C496" s="6">
        <f t="shared" si="74"/>
        <v>0</v>
      </c>
      <c r="D496" s="6" t="str">
        <f t="shared" si="75"/>
        <v/>
      </c>
      <c r="E496" s="35" t="str">
        <f t="shared" si="71"/>
        <v/>
      </c>
      <c r="F496" s="31"/>
      <c r="G496" s="29"/>
      <c r="H496" s="78" t="str">
        <f t="shared" si="72"/>
        <v/>
      </c>
      <c r="I496" s="25"/>
      <c r="J496" s="25"/>
      <c r="K496" s="26"/>
      <c r="L496" s="26"/>
      <c r="M496" s="37"/>
      <c r="N496" s="27"/>
      <c r="O496" s="30"/>
      <c r="P496" s="39" t="str">
        <f t="shared" si="76"/>
        <v/>
      </c>
      <c r="Q496" s="40" t="str">
        <f>IF(OR(T496=0,RIGHT(T496,1)=$W$1),"",COUNTIF($T$3:T496,T496))</f>
        <v/>
      </c>
      <c r="S496" s="6">
        <f t="shared" si="77"/>
        <v>0</v>
      </c>
      <c r="T496" s="36">
        <f t="shared" si="78"/>
        <v>0</v>
      </c>
      <c r="V496" s="6">
        <f t="shared" si="79"/>
        <v>0</v>
      </c>
      <c r="Y496" s="8">
        <f t="shared" si="80"/>
        <v>46023</v>
      </c>
    </row>
    <row r="497" spans="2:25" ht="18.75" x14ac:dyDescent="0.3">
      <c r="B497" s="6">
        <f t="shared" si="73"/>
        <v>0</v>
      </c>
      <c r="C497" s="6">
        <f t="shared" si="74"/>
        <v>0</v>
      </c>
      <c r="D497" s="6" t="str">
        <f t="shared" si="75"/>
        <v/>
      </c>
      <c r="E497" s="35" t="str">
        <f t="shared" si="71"/>
        <v/>
      </c>
      <c r="F497" s="31"/>
      <c r="G497" s="29"/>
      <c r="H497" s="78" t="str">
        <f t="shared" si="72"/>
        <v/>
      </c>
      <c r="I497" s="25"/>
      <c r="J497" s="25"/>
      <c r="K497" s="26"/>
      <c r="L497" s="26"/>
      <c r="M497" s="37"/>
      <c r="N497" s="27"/>
      <c r="O497" s="30"/>
      <c r="P497" s="39" t="str">
        <f t="shared" si="76"/>
        <v/>
      </c>
      <c r="Q497" s="40" t="str">
        <f>IF(OR(T497=0,RIGHT(T497,1)=$W$1),"",COUNTIF($T$3:T497,T497))</f>
        <v/>
      </c>
      <c r="S497" s="6">
        <f t="shared" si="77"/>
        <v>0</v>
      </c>
      <c r="T497" s="36">
        <f t="shared" si="78"/>
        <v>0</v>
      </c>
      <c r="V497" s="6">
        <f t="shared" si="79"/>
        <v>0</v>
      </c>
      <c r="Y497" s="8">
        <f t="shared" si="80"/>
        <v>46023</v>
      </c>
    </row>
    <row r="498" spans="2:25" ht="18.75" x14ac:dyDescent="0.3">
      <c r="B498" s="6">
        <f t="shared" si="73"/>
        <v>0</v>
      </c>
      <c r="C498" s="6">
        <f t="shared" si="74"/>
        <v>0</v>
      </c>
      <c r="D498" s="6" t="str">
        <f t="shared" si="75"/>
        <v/>
      </c>
      <c r="E498" s="35" t="str">
        <f t="shared" si="71"/>
        <v/>
      </c>
      <c r="F498" s="31"/>
      <c r="G498" s="29"/>
      <c r="H498" s="78" t="str">
        <f t="shared" si="72"/>
        <v/>
      </c>
      <c r="I498" s="25"/>
      <c r="J498" s="25"/>
      <c r="K498" s="26"/>
      <c r="L498" s="26"/>
      <c r="M498" s="37"/>
      <c r="N498" s="27"/>
      <c r="O498" s="30"/>
      <c r="P498" s="39" t="str">
        <f t="shared" si="76"/>
        <v/>
      </c>
      <c r="Q498" s="40" t="str">
        <f>IF(OR(T498=0,RIGHT(T498,1)=$W$1),"",COUNTIF($T$3:T498,T498))</f>
        <v/>
      </c>
      <c r="S498" s="6">
        <f t="shared" si="77"/>
        <v>0</v>
      </c>
      <c r="T498" s="36">
        <f t="shared" si="78"/>
        <v>0</v>
      </c>
      <c r="V498" s="6">
        <f t="shared" si="79"/>
        <v>0</v>
      </c>
      <c r="Y498" s="8">
        <f t="shared" si="80"/>
        <v>46023</v>
      </c>
    </row>
    <row r="499" spans="2:25" ht="18.75" x14ac:dyDescent="0.3">
      <c r="B499" s="6">
        <f t="shared" si="73"/>
        <v>0</v>
      </c>
      <c r="C499" s="6">
        <f t="shared" si="74"/>
        <v>0</v>
      </c>
      <c r="D499" s="6" t="str">
        <f t="shared" si="75"/>
        <v/>
      </c>
      <c r="E499" s="35" t="str">
        <f t="shared" si="71"/>
        <v/>
      </c>
      <c r="F499" s="31"/>
      <c r="G499" s="29"/>
      <c r="H499" s="78" t="str">
        <f t="shared" si="72"/>
        <v/>
      </c>
      <c r="I499" s="25"/>
      <c r="J499" s="25"/>
      <c r="K499" s="26"/>
      <c r="L499" s="26"/>
      <c r="M499" s="37"/>
      <c r="N499" s="27"/>
      <c r="O499" s="30"/>
      <c r="P499" s="39" t="str">
        <f t="shared" si="76"/>
        <v/>
      </c>
      <c r="Q499" s="40" t="str">
        <f>IF(OR(T499=0,RIGHT(T499,1)=$W$1),"",COUNTIF($T$3:T499,T499))</f>
        <v/>
      </c>
      <c r="S499" s="6">
        <f t="shared" si="77"/>
        <v>0</v>
      </c>
      <c r="T499" s="36">
        <f t="shared" si="78"/>
        <v>0</v>
      </c>
      <c r="V499" s="6">
        <f t="shared" si="79"/>
        <v>0</v>
      </c>
      <c r="Y499" s="8">
        <f t="shared" si="80"/>
        <v>46023</v>
      </c>
    </row>
    <row r="500" spans="2:25" ht="18.75" x14ac:dyDescent="0.3">
      <c r="B500" s="6">
        <f t="shared" si="73"/>
        <v>0</v>
      </c>
      <c r="C500" s="6">
        <f t="shared" si="74"/>
        <v>0</v>
      </c>
      <c r="D500" s="6" t="str">
        <f t="shared" si="75"/>
        <v/>
      </c>
      <c r="E500" s="35" t="str">
        <f t="shared" si="71"/>
        <v/>
      </c>
      <c r="F500" s="31"/>
      <c r="G500" s="29"/>
      <c r="H500" s="78" t="str">
        <f t="shared" si="72"/>
        <v/>
      </c>
      <c r="I500" s="25"/>
      <c r="J500" s="25"/>
      <c r="K500" s="26"/>
      <c r="L500" s="26"/>
      <c r="M500" s="37"/>
      <c r="N500" s="27"/>
      <c r="O500" s="30"/>
      <c r="P500" s="39" t="str">
        <f t="shared" si="76"/>
        <v/>
      </c>
      <c r="Q500" s="40" t="str">
        <f>IF(OR(T500=0,RIGHT(T500,1)=$W$1),"",COUNTIF($T$3:T500,T500))</f>
        <v/>
      </c>
      <c r="S500" s="6">
        <f t="shared" si="77"/>
        <v>0</v>
      </c>
      <c r="T500" s="36">
        <f t="shared" si="78"/>
        <v>0</v>
      </c>
      <c r="V500" s="6">
        <f t="shared" si="79"/>
        <v>0</v>
      </c>
      <c r="Y500" s="8">
        <f t="shared" si="80"/>
        <v>46023</v>
      </c>
    </row>
    <row r="501" spans="2:25" ht="18.75" x14ac:dyDescent="0.3">
      <c r="B501" s="6">
        <f t="shared" si="73"/>
        <v>0</v>
      </c>
      <c r="C501" s="6">
        <f t="shared" si="74"/>
        <v>0</v>
      </c>
      <c r="D501" s="6" t="str">
        <f t="shared" si="75"/>
        <v/>
      </c>
      <c r="E501" s="35" t="str">
        <f t="shared" si="71"/>
        <v/>
      </c>
      <c r="F501" s="31"/>
      <c r="G501" s="29"/>
      <c r="H501" s="78" t="str">
        <f t="shared" si="72"/>
        <v/>
      </c>
      <c r="I501" s="25"/>
      <c r="J501" s="25"/>
      <c r="K501" s="26"/>
      <c r="L501" s="26"/>
      <c r="M501" s="37"/>
      <c r="N501" s="27"/>
      <c r="O501" s="30"/>
      <c r="P501" s="39" t="str">
        <f t="shared" si="76"/>
        <v/>
      </c>
      <c r="Q501" s="40" t="str">
        <f>IF(OR(T501=0,RIGHT(T501,1)=$W$1),"",COUNTIF($T$3:T501,T501))</f>
        <v/>
      </c>
      <c r="S501" s="6">
        <f t="shared" si="77"/>
        <v>0</v>
      </c>
      <c r="T501" s="36">
        <f t="shared" si="78"/>
        <v>0</v>
      </c>
      <c r="V501" s="6">
        <f t="shared" si="79"/>
        <v>0</v>
      </c>
      <c r="Y501" s="8">
        <f t="shared" si="80"/>
        <v>46023</v>
      </c>
    </row>
    <row r="502" spans="2:25" ht="18.75" x14ac:dyDescent="0.3">
      <c r="B502" s="6">
        <f t="shared" si="73"/>
        <v>0</v>
      </c>
      <c r="C502" s="6">
        <f t="shared" si="74"/>
        <v>0</v>
      </c>
      <c r="D502" s="6" t="str">
        <f t="shared" si="75"/>
        <v/>
      </c>
      <c r="E502" s="35" t="str">
        <f t="shared" si="71"/>
        <v/>
      </c>
      <c r="F502" s="31"/>
      <c r="G502" s="29"/>
      <c r="H502" s="78" t="str">
        <f t="shared" si="72"/>
        <v/>
      </c>
      <c r="I502" s="25"/>
      <c r="J502" s="25"/>
      <c r="K502" s="26"/>
      <c r="L502" s="26"/>
      <c r="M502" s="37"/>
      <c r="N502" s="27"/>
      <c r="O502" s="30"/>
      <c r="P502" s="39" t="str">
        <f t="shared" si="76"/>
        <v/>
      </c>
      <c r="Q502" s="40" t="str">
        <f>IF(OR(T502=0,RIGHT(T502,1)=$W$1),"",COUNTIF($T$3:T502,T502))</f>
        <v/>
      </c>
      <c r="S502" s="6">
        <f t="shared" si="77"/>
        <v>0</v>
      </c>
      <c r="T502" s="36">
        <f t="shared" si="78"/>
        <v>0</v>
      </c>
      <c r="V502" s="6">
        <f t="shared" si="79"/>
        <v>0</v>
      </c>
      <c r="Y502" s="8">
        <f t="shared" si="80"/>
        <v>46023</v>
      </c>
    </row>
    <row r="503" spans="2:25" ht="18.75" x14ac:dyDescent="0.3">
      <c r="B503" s="6">
        <f t="shared" si="73"/>
        <v>0</v>
      </c>
      <c r="C503" s="6">
        <f t="shared" si="74"/>
        <v>0</v>
      </c>
      <c r="D503" s="6" t="str">
        <f t="shared" si="75"/>
        <v/>
      </c>
      <c r="E503" s="35" t="str">
        <f t="shared" si="71"/>
        <v/>
      </c>
      <c r="F503" s="31"/>
      <c r="G503" s="29"/>
      <c r="H503" s="78" t="str">
        <f t="shared" si="72"/>
        <v/>
      </c>
      <c r="I503" s="25"/>
      <c r="J503" s="25"/>
      <c r="K503" s="26"/>
      <c r="L503" s="26"/>
      <c r="M503" s="37"/>
      <c r="N503" s="27"/>
      <c r="O503" s="30"/>
      <c r="P503" s="39" t="str">
        <f t="shared" si="76"/>
        <v/>
      </c>
      <c r="Q503" s="40" t="str">
        <f>IF(OR(T503=0,RIGHT(T503,1)=$W$1),"",COUNTIF($T$3:T503,T503))</f>
        <v/>
      </c>
      <c r="S503" s="6">
        <f t="shared" si="77"/>
        <v>0</v>
      </c>
      <c r="T503" s="36">
        <f t="shared" si="78"/>
        <v>0</v>
      </c>
      <c r="V503" s="6">
        <f t="shared" si="79"/>
        <v>0</v>
      </c>
      <c r="Y503" s="8">
        <f t="shared" si="80"/>
        <v>46023</v>
      </c>
    </row>
    <row r="504" spans="2:25" ht="18.75" x14ac:dyDescent="0.3">
      <c r="B504" s="6">
        <f t="shared" si="73"/>
        <v>0</v>
      </c>
      <c r="C504" s="6">
        <f t="shared" si="74"/>
        <v>0</v>
      </c>
      <c r="D504" s="6" t="str">
        <f t="shared" si="75"/>
        <v/>
      </c>
      <c r="E504" s="35" t="str">
        <f t="shared" si="71"/>
        <v/>
      </c>
      <c r="F504" s="31"/>
      <c r="G504" s="29"/>
      <c r="H504" s="78" t="str">
        <f t="shared" si="72"/>
        <v/>
      </c>
      <c r="I504" s="25"/>
      <c r="J504" s="25"/>
      <c r="K504" s="26"/>
      <c r="L504" s="26"/>
      <c r="M504" s="37"/>
      <c r="N504" s="27"/>
      <c r="O504" s="30"/>
      <c r="P504" s="39" t="str">
        <f t="shared" si="76"/>
        <v/>
      </c>
      <c r="Q504" s="40" t="str">
        <f>IF(OR(T504=0,RIGHT(T504,1)=$W$1),"",COUNTIF($T$3:T504,T504))</f>
        <v/>
      </c>
      <c r="S504" s="6">
        <f t="shared" si="77"/>
        <v>0</v>
      </c>
      <c r="T504" s="36">
        <f t="shared" si="78"/>
        <v>0</v>
      </c>
      <c r="V504" s="6">
        <f t="shared" si="79"/>
        <v>0</v>
      </c>
      <c r="Y504" s="8">
        <f t="shared" si="80"/>
        <v>46023</v>
      </c>
    </row>
    <row r="505" spans="2:25" ht="18.75" x14ac:dyDescent="0.3">
      <c r="B505" s="6">
        <f t="shared" si="73"/>
        <v>0</v>
      </c>
      <c r="C505" s="6">
        <f t="shared" si="74"/>
        <v>0</v>
      </c>
      <c r="D505" s="6" t="str">
        <f t="shared" si="75"/>
        <v/>
      </c>
      <c r="E505" s="35" t="str">
        <f t="shared" si="71"/>
        <v/>
      </c>
      <c r="F505" s="31"/>
      <c r="G505" s="29"/>
      <c r="H505" s="78" t="str">
        <f t="shared" si="72"/>
        <v/>
      </c>
      <c r="I505" s="25"/>
      <c r="J505" s="25"/>
      <c r="K505" s="26"/>
      <c r="L505" s="26"/>
      <c r="M505" s="37"/>
      <c r="N505" s="27"/>
      <c r="O505" s="30"/>
      <c r="P505" s="39" t="str">
        <f t="shared" si="76"/>
        <v/>
      </c>
      <c r="Q505" s="40" t="str">
        <f>IF(OR(T505=0,RIGHT(T505,1)=$W$1),"",COUNTIF($T$3:T505,T505))</f>
        <v/>
      </c>
      <c r="S505" s="6">
        <f t="shared" si="77"/>
        <v>0</v>
      </c>
      <c r="T505" s="36">
        <f t="shared" si="78"/>
        <v>0</v>
      </c>
      <c r="V505" s="6">
        <f t="shared" si="79"/>
        <v>0</v>
      </c>
      <c r="Y505" s="8">
        <f t="shared" si="80"/>
        <v>46023</v>
      </c>
    </row>
    <row r="506" spans="2:25" ht="18.75" x14ac:dyDescent="0.3">
      <c r="B506" s="6">
        <f t="shared" si="73"/>
        <v>0</v>
      </c>
      <c r="C506" s="6">
        <f t="shared" si="74"/>
        <v>0</v>
      </c>
      <c r="D506" s="6" t="str">
        <f t="shared" si="75"/>
        <v/>
      </c>
      <c r="E506" s="35" t="str">
        <f t="shared" si="71"/>
        <v/>
      </c>
      <c r="F506" s="31"/>
      <c r="G506" s="29"/>
      <c r="H506" s="78" t="str">
        <f t="shared" si="72"/>
        <v/>
      </c>
      <c r="I506" s="25"/>
      <c r="J506" s="25"/>
      <c r="K506" s="26"/>
      <c r="L506" s="26"/>
      <c r="M506" s="37"/>
      <c r="N506" s="27"/>
      <c r="O506" s="30"/>
      <c r="P506" s="39" t="str">
        <f t="shared" si="76"/>
        <v/>
      </c>
      <c r="Q506" s="40" t="str">
        <f>IF(OR(T506=0,RIGHT(T506,1)=$W$1),"",COUNTIF($T$3:T506,T506))</f>
        <v/>
      </c>
      <c r="S506" s="6">
        <f t="shared" si="77"/>
        <v>0</v>
      </c>
      <c r="T506" s="36">
        <f t="shared" si="78"/>
        <v>0</v>
      </c>
      <c r="V506" s="6">
        <f t="shared" si="79"/>
        <v>0</v>
      </c>
      <c r="Y506" s="8">
        <f t="shared" si="80"/>
        <v>46023</v>
      </c>
    </row>
    <row r="507" spans="2:25" ht="18.75" x14ac:dyDescent="0.3">
      <c r="B507" s="6">
        <f t="shared" si="73"/>
        <v>0</v>
      </c>
      <c r="C507" s="6">
        <f t="shared" si="74"/>
        <v>0</v>
      </c>
      <c r="D507" s="6" t="str">
        <f t="shared" si="75"/>
        <v/>
      </c>
      <c r="E507" s="35" t="str">
        <f t="shared" si="71"/>
        <v/>
      </c>
      <c r="F507" s="31"/>
      <c r="G507" s="29"/>
      <c r="H507" s="78" t="str">
        <f t="shared" si="72"/>
        <v/>
      </c>
      <c r="I507" s="25"/>
      <c r="J507" s="25"/>
      <c r="K507" s="26"/>
      <c r="L507" s="26"/>
      <c r="M507" s="37"/>
      <c r="N507" s="27"/>
      <c r="O507" s="30"/>
      <c r="P507" s="39" t="str">
        <f t="shared" si="76"/>
        <v/>
      </c>
      <c r="Q507" s="40" t="str">
        <f>IF(OR(T507=0,RIGHT(T507,1)=$W$1),"",COUNTIF($T$3:T507,T507))</f>
        <v/>
      </c>
      <c r="S507" s="6">
        <f t="shared" si="77"/>
        <v>0</v>
      </c>
      <c r="T507" s="36">
        <f t="shared" si="78"/>
        <v>0</v>
      </c>
      <c r="V507" s="6">
        <f t="shared" si="79"/>
        <v>0</v>
      </c>
      <c r="Y507" s="8">
        <f t="shared" si="80"/>
        <v>46023</v>
      </c>
    </row>
    <row r="508" spans="2:25" ht="18.75" x14ac:dyDescent="0.3">
      <c r="B508" s="6">
        <f t="shared" si="73"/>
        <v>0</v>
      </c>
      <c r="C508" s="6">
        <f t="shared" si="74"/>
        <v>0</v>
      </c>
      <c r="D508" s="6" t="str">
        <f t="shared" si="75"/>
        <v/>
      </c>
      <c r="E508" s="35" t="str">
        <f t="shared" si="71"/>
        <v/>
      </c>
      <c r="F508" s="31"/>
      <c r="G508" s="29"/>
      <c r="H508" s="78" t="str">
        <f t="shared" si="72"/>
        <v/>
      </c>
      <c r="I508" s="25"/>
      <c r="J508" s="25"/>
      <c r="K508" s="26"/>
      <c r="L508" s="26"/>
      <c r="M508" s="37"/>
      <c r="N508" s="27"/>
      <c r="O508" s="30"/>
      <c r="P508" s="39" t="str">
        <f t="shared" si="76"/>
        <v/>
      </c>
      <c r="Q508" s="40" t="str">
        <f>IF(OR(T508=0,RIGHT(T508,1)=$W$1),"",COUNTIF($T$3:T508,T508))</f>
        <v/>
      </c>
      <c r="S508" s="6">
        <f t="shared" si="77"/>
        <v>0</v>
      </c>
      <c r="T508" s="36">
        <f t="shared" si="78"/>
        <v>0</v>
      </c>
      <c r="V508" s="6">
        <f t="shared" si="79"/>
        <v>0</v>
      </c>
      <c r="Y508" s="8">
        <f t="shared" si="80"/>
        <v>46023</v>
      </c>
    </row>
    <row r="509" spans="2:25" ht="18.75" x14ac:dyDescent="0.3">
      <c r="B509" s="6">
        <f t="shared" si="73"/>
        <v>0</v>
      </c>
      <c r="C509" s="6">
        <f t="shared" si="74"/>
        <v>0</v>
      </c>
      <c r="D509" s="6" t="str">
        <f t="shared" si="75"/>
        <v/>
      </c>
      <c r="E509" s="35" t="str">
        <f t="shared" si="71"/>
        <v/>
      </c>
      <c r="F509" s="31"/>
      <c r="G509" s="29"/>
      <c r="H509" s="78" t="str">
        <f t="shared" si="72"/>
        <v/>
      </c>
      <c r="I509" s="25"/>
      <c r="J509" s="25"/>
      <c r="K509" s="26"/>
      <c r="L509" s="26"/>
      <c r="M509" s="37"/>
      <c r="N509" s="27"/>
      <c r="O509" s="30"/>
      <c r="P509" s="39" t="str">
        <f t="shared" si="76"/>
        <v/>
      </c>
      <c r="Q509" s="40" t="str">
        <f>IF(OR(T509=0,RIGHT(T509,1)=$W$1),"",COUNTIF($T$3:T509,T509))</f>
        <v/>
      </c>
      <c r="S509" s="6">
        <f t="shared" si="77"/>
        <v>0</v>
      </c>
      <c r="T509" s="36">
        <f t="shared" si="78"/>
        <v>0</v>
      </c>
      <c r="V509" s="6">
        <f t="shared" si="79"/>
        <v>0</v>
      </c>
      <c r="Y509" s="8">
        <f t="shared" si="80"/>
        <v>46023</v>
      </c>
    </row>
    <row r="510" spans="2:25" ht="18.75" x14ac:dyDescent="0.3">
      <c r="B510" s="6">
        <f t="shared" si="73"/>
        <v>0</v>
      </c>
      <c r="C510" s="6">
        <f t="shared" si="74"/>
        <v>0</v>
      </c>
      <c r="D510" s="6" t="str">
        <f t="shared" si="75"/>
        <v/>
      </c>
      <c r="E510" s="35" t="str">
        <f t="shared" si="71"/>
        <v/>
      </c>
      <c r="F510" s="31"/>
      <c r="G510" s="29"/>
      <c r="H510" s="78" t="str">
        <f t="shared" si="72"/>
        <v/>
      </c>
      <c r="I510" s="25"/>
      <c r="J510" s="25"/>
      <c r="K510" s="26"/>
      <c r="L510" s="26"/>
      <c r="M510" s="37"/>
      <c r="N510" s="27"/>
      <c r="O510" s="30"/>
      <c r="P510" s="39" t="str">
        <f t="shared" si="76"/>
        <v/>
      </c>
      <c r="Q510" s="40" t="str">
        <f>IF(OR(T510=0,RIGHT(T510,1)=$W$1),"",COUNTIF($T$3:T510,T510))</f>
        <v/>
      </c>
      <c r="S510" s="6">
        <f t="shared" si="77"/>
        <v>0</v>
      </c>
      <c r="T510" s="36">
        <f t="shared" si="78"/>
        <v>0</v>
      </c>
      <c r="V510" s="6">
        <f t="shared" si="79"/>
        <v>0</v>
      </c>
      <c r="Y510" s="8">
        <f t="shared" si="80"/>
        <v>46023</v>
      </c>
    </row>
    <row r="511" spans="2:25" ht="18.75" x14ac:dyDescent="0.3">
      <c r="B511" s="6">
        <f t="shared" si="73"/>
        <v>0</v>
      </c>
      <c r="C511" s="6">
        <f t="shared" si="74"/>
        <v>0</v>
      </c>
      <c r="D511" s="6" t="str">
        <f t="shared" si="75"/>
        <v/>
      </c>
      <c r="E511" s="35" t="str">
        <f t="shared" si="71"/>
        <v/>
      </c>
      <c r="F511" s="31"/>
      <c r="G511" s="29"/>
      <c r="H511" s="78" t="str">
        <f t="shared" si="72"/>
        <v/>
      </c>
      <c r="I511" s="25"/>
      <c r="J511" s="25"/>
      <c r="K511" s="26"/>
      <c r="L511" s="26"/>
      <c r="M511" s="37"/>
      <c r="N511" s="27"/>
      <c r="O511" s="30"/>
      <c r="P511" s="39" t="str">
        <f t="shared" si="76"/>
        <v/>
      </c>
      <c r="Q511" s="40" t="str">
        <f>IF(OR(T511=0,RIGHT(T511,1)=$W$1),"",COUNTIF($T$3:T511,T511))</f>
        <v/>
      </c>
      <c r="S511" s="6">
        <f t="shared" si="77"/>
        <v>0</v>
      </c>
      <c r="T511" s="36">
        <f t="shared" si="78"/>
        <v>0</v>
      </c>
      <c r="V511" s="6">
        <f t="shared" si="79"/>
        <v>0</v>
      </c>
      <c r="Y511" s="8">
        <f t="shared" si="80"/>
        <v>46023</v>
      </c>
    </row>
    <row r="512" spans="2:25" ht="18.75" x14ac:dyDescent="0.3">
      <c r="B512" s="6">
        <f t="shared" si="73"/>
        <v>0</v>
      </c>
      <c r="C512" s="6">
        <f t="shared" si="74"/>
        <v>0</v>
      </c>
      <c r="D512" s="6" t="str">
        <f t="shared" si="75"/>
        <v/>
      </c>
      <c r="E512" s="35" t="str">
        <f t="shared" si="71"/>
        <v/>
      </c>
      <c r="F512" s="31"/>
      <c r="G512" s="29"/>
      <c r="H512" s="78" t="str">
        <f t="shared" si="72"/>
        <v/>
      </c>
      <c r="I512" s="25"/>
      <c r="J512" s="25"/>
      <c r="K512" s="26"/>
      <c r="L512" s="26"/>
      <c r="M512" s="37"/>
      <c r="N512" s="27"/>
      <c r="O512" s="30"/>
      <c r="P512" s="39" t="str">
        <f t="shared" si="76"/>
        <v/>
      </c>
      <c r="Q512" s="40" t="str">
        <f>IF(OR(T512=0,RIGHT(T512,1)=$W$1),"",COUNTIF($T$3:T512,T512))</f>
        <v/>
      </c>
      <c r="S512" s="6">
        <f t="shared" si="77"/>
        <v>0</v>
      </c>
      <c r="T512" s="36">
        <f t="shared" si="78"/>
        <v>0</v>
      </c>
      <c r="V512" s="6">
        <f t="shared" si="79"/>
        <v>0</v>
      </c>
      <c r="Y512" s="8">
        <f t="shared" si="80"/>
        <v>46023</v>
      </c>
    </row>
    <row r="513" spans="2:25" ht="18.75" x14ac:dyDescent="0.3">
      <c r="B513" s="6">
        <f t="shared" si="73"/>
        <v>0</v>
      </c>
      <c r="C513" s="6">
        <f t="shared" si="74"/>
        <v>0</v>
      </c>
      <c r="D513" s="6" t="str">
        <f t="shared" si="75"/>
        <v/>
      </c>
      <c r="E513" s="35" t="str">
        <f t="shared" si="71"/>
        <v/>
      </c>
      <c r="F513" s="31"/>
      <c r="G513" s="29"/>
      <c r="H513" s="78" t="str">
        <f t="shared" si="72"/>
        <v/>
      </c>
      <c r="I513" s="25"/>
      <c r="J513" s="25"/>
      <c r="K513" s="26"/>
      <c r="L513" s="26"/>
      <c r="M513" s="37"/>
      <c r="N513" s="27"/>
      <c r="O513" s="30"/>
      <c r="P513" s="39" t="str">
        <f t="shared" si="76"/>
        <v/>
      </c>
      <c r="Q513" s="40" t="str">
        <f>IF(OR(T513=0,RIGHT(T513,1)=$W$1),"",COUNTIF($T$3:T513,T513))</f>
        <v/>
      </c>
      <c r="S513" s="6">
        <f t="shared" si="77"/>
        <v>0</v>
      </c>
      <c r="T513" s="36">
        <f t="shared" si="78"/>
        <v>0</v>
      </c>
      <c r="V513" s="6">
        <f t="shared" si="79"/>
        <v>0</v>
      </c>
      <c r="Y513" s="8">
        <f t="shared" si="80"/>
        <v>46023</v>
      </c>
    </row>
    <row r="514" spans="2:25" ht="18.75" x14ac:dyDescent="0.3">
      <c r="B514" s="6">
        <f t="shared" si="73"/>
        <v>0</v>
      </c>
      <c r="C514" s="6">
        <f t="shared" si="74"/>
        <v>0</v>
      </c>
      <c r="D514" s="6" t="str">
        <f t="shared" si="75"/>
        <v/>
      </c>
      <c r="E514" s="35" t="str">
        <f t="shared" si="71"/>
        <v/>
      </c>
      <c r="F514" s="31"/>
      <c r="G514" s="29"/>
      <c r="H514" s="78" t="str">
        <f t="shared" si="72"/>
        <v/>
      </c>
      <c r="I514" s="25"/>
      <c r="J514" s="25"/>
      <c r="K514" s="26"/>
      <c r="L514" s="26"/>
      <c r="M514" s="37"/>
      <c r="N514" s="27"/>
      <c r="O514" s="30"/>
      <c r="P514" s="39" t="str">
        <f t="shared" si="76"/>
        <v/>
      </c>
      <c r="Q514" s="40" t="str">
        <f>IF(OR(T514=0,RIGHT(T514,1)=$W$1),"",COUNTIF($T$3:T514,T514))</f>
        <v/>
      </c>
      <c r="S514" s="6">
        <f t="shared" si="77"/>
        <v>0</v>
      </c>
      <c r="T514" s="36">
        <f t="shared" si="78"/>
        <v>0</v>
      </c>
      <c r="V514" s="6">
        <f t="shared" si="79"/>
        <v>0</v>
      </c>
      <c r="Y514" s="8">
        <f t="shared" si="80"/>
        <v>46023</v>
      </c>
    </row>
    <row r="515" spans="2:25" ht="18.75" x14ac:dyDescent="0.3">
      <c r="B515" s="6">
        <f t="shared" si="73"/>
        <v>0</v>
      </c>
      <c r="C515" s="6">
        <f t="shared" si="74"/>
        <v>0</v>
      </c>
      <c r="D515" s="6" t="str">
        <f t="shared" si="75"/>
        <v/>
      </c>
      <c r="E515" s="35" t="str">
        <f t="shared" ref="E515:E578" si="81">IF(D515&lt;&gt;"",D515&amp;" - "&amp;YEAR(F515),"")</f>
        <v/>
      </c>
      <c r="F515" s="31"/>
      <c r="G515" s="29"/>
      <c r="H515" s="78" t="str">
        <f t="shared" ref="H515:H578" si="82">IF(G515&lt;&gt;"",F515,"")</f>
        <v/>
      </c>
      <c r="I515" s="25"/>
      <c r="J515" s="25"/>
      <c r="K515" s="26"/>
      <c r="L515" s="26"/>
      <c r="M515" s="37"/>
      <c r="N515" s="27"/>
      <c r="O515" s="30"/>
      <c r="P515" s="39" t="str">
        <f t="shared" si="76"/>
        <v/>
      </c>
      <c r="Q515" s="40" t="str">
        <f>IF(OR(T515=0,RIGHT(T515,1)=$W$1),"",COUNTIF($T$3:T515,T515))</f>
        <v/>
      </c>
      <c r="S515" s="6">
        <f t="shared" si="77"/>
        <v>0</v>
      </c>
      <c r="T515" s="36">
        <f t="shared" si="78"/>
        <v>0</v>
      </c>
      <c r="V515" s="6">
        <f t="shared" si="79"/>
        <v>0</v>
      </c>
      <c r="Y515" s="8">
        <f t="shared" si="80"/>
        <v>46023</v>
      </c>
    </row>
    <row r="516" spans="2:25" ht="18.75" x14ac:dyDescent="0.3">
      <c r="B516" s="6">
        <f t="shared" ref="B516:B579" si="83">IF($B$1=YEAR(F516),B515+1,B515)</f>
        <v>0</v>
      </c>
      <c r="C516" s="6">
        <f t="shared" ref="C516:C579" si="84">IF(AND($C$1=K516,$Y$1=YEAR(F516)),C515+1,C515)</f>
        <v>0</v>
      </c>
      <c r="D516" s="6" t="str">
        <f t="shared" ref="D516:D579" si="85">IF(F516&lt;&gt;0,IF(YEAR(F516)&lt;&gt;YEAR(F515),1,IF(M516=$AI$1,D515,D515+1)),"")</f>
        <v/>
      </c>
      <c r="E516" s="35" t="str">
        <f t="shared" si="81"/>
        <v/>
      </c>
      <c r="F516" s="31"/>
      <c r="G516" s="29"/>
      <c r="H516" s="78" t="str">
        <f t="shared" si="82"/>
        <v/>
      </c>
      <c r="I516" s="25"/>
      <c r="J516" s="25"/>
      <c r="K516" s="26"/>
      <c r="L516" s="26"/>
      <c r="M516" s="37"/>
      <c r="N516" s="27"/>
      <c r="O516" s="30"/>
      <c r="P516" s="39" t="str">
        <f t="shared" ref="P516:P579" si="86">IF(OR(T516=0,RIGHT(T516,1)=$W$1),"",VLOOKUP(K516,$AD$1:$AK$15,5,FALSE))</f>
        <v/>
      </c>
      <c r="Q516" s="40" t="str">
        <f>IF(OR(T516=0,RIGHT(T516,1)=$W$1),"",COUNTIF($T$3:T516,T516))</f>
        <v/>
      </c>
      <c r="S516" s="6">
        <f t="shared" ref="S516:S579" si="87">IF(AND($C$1=K516,$Y$1=YEAR(F516)),C516,0)</f>
        <v>0</v>
      </c>
      <c r="T516" s="36">
        <f t="shared" ref="T516:T579" si="88">IF(F516=0,0,YEAR(F516)&amp;VLOOKUP(K516,$AD$1:$AE$15,2,FALSE))</f>
        <v>0</v>
      </c>
      <c r="V516" s="6">
        <f t="shared" ref="V516:V579" si="89">IF(AND(YEAR(F516)=$Y$1,K516=$C$1,L516&amp;$V$1&lt;&gt;$V$1),L516,IF(AND(YEAR(F516)=$Y$1,K516=$C$1),1,0))</f>
        <v>0</v>
      </c>
      <c r="Y516" s="8">
        <f t="shared" ref="Y516:Y579" si="90">IF(M516&lt;&gt;$AI$1,$Y$2,F515)</f>
        <v>46023</v>
      </c>
    </row>
    <row r="517" spans="2:25" ht="18.75" x14ac:dyDescent="0.3">
      <c r="B517" s="6">
        <f t="shared" si="83"/>
        <v>0</v>
      </c>
      <c r="C517" s="6">
        <f t="shared" si="84"/>
        <v>0</v>
      </c>
      <c r="D517" s="6" t="str">
        <f t="shared" si="85"/>
        <v/>
      </c>
      <c r="E517" s="35" t="str">
        <f t="shared" si="81"/>
        <v/>
      </c>
      <c r="F517" s="31"/>
      <c r="G517" s="29"/>
      <c r="H517" s="78" t="str">
        <f t="shared" si="82"/>
        <v/>
      </c>
      <c r="I517" s="25"/>
      <c r="J517" s="25"/>
      <c r="K517" s="26"/>
      <c r="L517" s="26"/>
      <c r="M517" s="37"/>
      <c r="N517" s="27"/>
      <c r="O517" s="30"/>
      <c r="P517" s="39" t="str">
        <f t="shared" si="86"/>
        <v/>
      </c>
      <c r="Q517" s="40" t="str">
        <f>IF(OR(T517=0,RIGHT(T517,1)=$W$1),"",COUNTIF($T$3:T517,T517))</f>
        <v/>
      </c>
      <c r="S517" s="6">
        <f t="shared" si="87"/>
        <v>0</v>
      </c>
      <c r="T517" s="36">
        <f t="shared" si="88"/>
        <v>0</v>
      </c>
      <c r="V517" s="6">
        <f t="shared" si="89"/>
        <v>0</v>
      </c>
      <c r="Y517" s="8">
        <f t="shared" si="90"/>
        <v>46023</v>
      </c>
    </row>
    <row r="518" spans="2:25" ht="18.75" x14ac:dyDescent="0.3">
      <c r="B518" s="6">
        <f t="shared" si="83"/>
        <v>0</v>
      </c>
      <c r="C518" s="6">
        <f t="shared" si="84"/>
        <v>0</v>
      </c>
      <c r="D518" s="6" t="str">
        <f t="shared" si="85"/>
        <v/>
      </c>
      <c r="E518" s="35" t="str">
        <f t="shared" si="81"/>
        <v/>
      </c>
      <c r="F518" s="31"/>
      <c r="G518" s="29"/>
      <c r="H518" s="78" t="str">
        <f t="shared" si="82"/>
        <v/>
      </c>
      <c r="I518" s="25"/>
      <c r="J518" s="25"/>
      <c r="K518" s="26"/>
      <c r="L518" s="26"/>
      <c r="M518" s="37"/>
      <c r="N518" s="27"/>
      <c r="O518" s="30"/>
      <c r="P518" s="39" t="str">
        <f t="shared" si="86"/>
        <v/>
      </c>
      <c r="Q518" s="40" t="str">
        <f>IF(OR(T518=0,RIGHT(T518,1)=$W$1),"",COUNTIF($T$3:T518,T518))</f>
        <v/>
      </c>
      <c r="S518" s="6">
        <f t="shared" si="87"/>
        <v>0</v>
      </c>
      <c r="T518" s="36">
        <f t="shared" si="88"/>
        <v>0</v>
      </c>
      <c r="V518" s="6">
        <f t="shared" si="89"/>
        <v>0</v>
      </c>
      <c r="Y518" s="8">
        <f t="shared" si="90"/>
        <v>46023</v>
      </c>
    </row>
    <row r="519" spans="2:25" ht="18.75" x14ac:dyDescent="0.3">
      <c r="B519" s="6">
        <f t="shared" si="83"/>
        <v>0</v>
      </c>
      <c r="C519" s="6">
        <f t="shared" si="84"/>
        <v>0</v>
      </c>
      <c r="D519" s="6" t="str">
        <f t="shared" si="85"/>
        <v/>
      </c>
      <c r="E519" s="35" t="str">
        <f t="shared" si="81"/>
        <v/>
      </c>
      <c r="F519" s="31"/>
      <c r="G519" s="29"/>
      <c r="H519" s="78" t="str">
        <f t="shared" si="82"/>
        <v/>
      </c>
      <c r="I519" s="25"/>
      <c r="J519" s="25"/>
      <c r="K519" s="26"/>
      <c r="L519" s="26"/>
      <c r="M519" s="37"/>
      <c r="N519" s="27"/>
      <c r="O519" s="30"/>
      <c r="P519" s="39" t="str">
        <f t="shared" si="86"/>
        <v/>
      </c>
      <c r="Q519" s="40" t="str">
        <f>IF(OR(T519=0,RIGHT(T519,1)=$W$1),"",COUNTIF($T$3:T519,T519))</f>
        <v/>
      </c>
      <c r="S519" s="6">
        <f t="shared" si="87"/>
        <v>0</v>
      </c>
      <c r="T519" s="36">
        <f t="shared" si="88"/>
        <v>0</v>
      </c>
      <c r="V519" s="6">
        <f t="shared" si="89"/>
        <v>0</v>
      </c>
      <c r="Y519" s="8">
        <f t="shared" si="90"/>
        <v>46023</v>
      </c>
    </row>
    <row r="520" spans="2:25" ht="18.75" x14ac:dyDescent="0.3">
      <c r="B520" s="6">
        <f t="shared" si="83"/>
        <v>0</v>
      </c>
      <c r="C520" s="6">
        <f t="shared" si="84"/>
        <v>0</v>
      </c>
      <c r="D520" s="6" t="str">
        <f t="shared" si="85"/>
        <v/>
      </c>
      <c r="E520" s="35" t="str">
        <f t="shared" si="81"/>
        <v/>
      </c>
      <c r="F520" s="31"/>
      <c r="G520" s="29"/>
      <c r="H520" s="78" t="str">
        <f t="shared" si="82"/>
        <v/>
      </c>
      <c r="I520" s="25"/>
      <c r="J520" s="25"/>
      <c r="K520" s="26"/>
      <c r="L520" s="26"/>
      <c r="M520" s="37"/>
      <c r="N520" s="27"/>
      <c r="O520" s="30"/>
      <c r="P520" s="39" t="str">
        <f t="shared" si="86"/>
        <v/>
      </c>
      <c r="Q520" s="40" t="str">
        <f>IF(OR(T520=0,RIGHT(T520,1)=$W$1),"",COUNTIF($T$3:T520,T520))</f>
        <v/>
      </c>
      <c r="S520" s="6">
        <f t="shared" si="87"/>
        <v>0</v>
      </c>
      <c r="T520" s="36">
        <f t="shared" si="88"/>
        <v>0</v>
      </c>
      <c r="V520" s="6">
        <f t="shared" si="89"/>
        <v>0</v>
      </c>
      <c r="Y520" s="8">
        <f t="shared" si="90"/>
        <v>46023</v>
      </c>
    </row>
    <row r="521" spans="2:25" ht="18.75" x14ac:dyDescent="0.3">
      <c r="B521" s="6">
        <f t="shared" si="83"/>
        <v>0</v>
      </c>
      <c r="C521" s="6">
        <f t="shared" si="84"/>
        <v>0</v>
      </c>
      <c r="D521" s="6" t="str">
        <f t="shared" si="85"/>
        <v/>
      </c>
      <c r="E521" s="35" t="str">
        <f t="shared" si="81"/>
        <v/>
      </c>
      <c r="F521" s="31"/>
      <c r="G521" s="29"/>
      <c r="H521" s="78" t="str">
        <f t="shared" si="82"/>
        <v/>
      </c>
      <c r="I521" s="25"/>
      <c r="J521" s="25"/>
      <c r="K521" s="26"/>
      <c r="L521" s="26"/>
      <c r="M521" s="37"/>
      <c r="N521" s="27"/>
      <c r="O521" s="30"/>
      <c r="P521" s="39" t="str">
        <f t="shared" si="86"/>
        <v/>
      </c>
      <c r="Q521" s="40" t="str">
        <f>IF(OR(T521=0,RIGHT(T521,1)=$W$1),"",COUNTIF($T$3:T521,T521))</f>
        <v/>
      </c>
      <c r="S521" s="6">
        <f t="shared" si="87"/>
        <v>0</v>
      </c>
      <c r="T521" s="36">
        <f t="shared" si="88"/>
        <v>0</v>
      </c>
      <c r="V521" s="6">
        <f t="shared" si="89"/>
        <v>0</v>
      </c>
      <c r="Y521" s="8">
        <f t="shared" si="90"/>
        <v>46023</v>
      </c>
    </row>
    <row r="522" spans="2:25" ht="18.75" x14ac:dyDescent="0.3">
      <c r="B522" s="6">
        <f t="shared" si="83"/>
        <v>0</v>
      </c>
      <c r="C522" s="6">
        <f t="shared" si="84"/>
        <v>0</v>
      </c>
      <c r="D522" s="6" t="str">
        <f t="shared" si="85"/>
        <v/>
      </c>
      <c r="E522" s="35" t="str">
        <f t="shared" si="81"/>
        <v/>
      </c>
      <c r="F522" s="31"/>
      <c r="G522" s="29"/>
      <c r="H522" s="78" t="str">
        <f t="shared" si="82"/>
        <v/>
      </c>
      <c r="I522" s="25"/>
      <c r="J522" s="25"/>
      <c r="K522" s="26"/>
      <c r="L522" s="26"/>
      <c r="M522" s="37"/>
      <c r="N522" s="27"/>
      <c r="O522" s="30"/>
      <c r="P522" s="39" t="str">
        <f t="shared" si="86"/>
        <v/>
      </c>
      <c r="Q522" s="40" t="str">
        <f>IF(OR(T522=0,RIGHT(T522,1)=$W$1),"",COUNTIF($T$3:T522,T522))</f>
        <v/>
      </c>
      <c r="S522" s="6">
        <f t="shared" si="87"/>
        <v>0</v>
      </c>
      <c r="T522" s="36">
        <f t="shared" si="88"/>
        <v>0</v>
      </c>
      <c r="V522" s="6">
        <f t="shared" si="89"/>
        <v>0</v>
      </c>
      <c r="Y522" s="8">
        <f t="shared" si="90"/>
        <v>46023</v>
      </c>
    </row>
    <row r="523" spans="2:25" ht="18.75" x14ac:dyDescent="0.3">
      <c r="B523" s="6">
        <f t="shared" si="83"/>
        <v>0</v>
      </c>
      <c r="C523" s="6">
        <f t="shared" si="84"/>
        <v>0</v>
      </c>
      <c r="D523" s="6" t="str">
        <f t="shared" si="85"/>
        <v/>
      </c>
      <c r="E523" s="35" t="str">
        <f t="shared" si="81"/>
        <v/>
      </c>
      <c r="F523" s="31"/>
      <c r="G523" s="29"/>
      <c r="H523" s="78" t="str">
        <f t="shared" si="82"/>
        <v/>
      </c>
      <c r="I523" s="25"/>
      <c r="J523" s="25"/>
      <c r="K523" s="26"/>
      <c r="L523" s="26"/>
      <c r="M523" s="37"/>
      <c r="N523" s="27"/>
      <c r="O523" s="30"/>
      <c r="P523" s="39" t="str">
        <f t="shared" si="86"/>
        <v/>
      </c>
      <c r="Q523" s="40" t="str">
        <f>IF(OR(T523=0,RIGHT(T523,1)=$W$1),"",COUNTIF($T$3:T523,T523))</f>
        <v/>
      </c>
      <c r="S523" s="6">
        <f t="shared" si="87"/>
        <v>0</v>
      </c>
      <c r="T523" s="36">
        <f t="shared" si="88"/>
        <v>0</v>
      </c>
      <c r="V523" s="6">
        <f t="shared" si="89"/>
        <v>0</v>
      </c>
      <c r="Y523" s="8">
        <f t="shared" si="90"/>
        <v>46023</v>
      </c>
    </row>
    <row r="524" spans="2:25" ht="18.75" x14ac:dyDescent="0.3">
      <c r="B524" s="6">
        <f t="shared" si="83"/>
        <v>0</v>
      </c>
      <c r="C524" s="6">
        <f t="shared" si="84"/>
        <v>0</v>
      </c>
      <c r="D524" s="6" t="str">
        <f t="shared" si="85"/>
        <v/>
      </c>
      <c r="E524" s="35" t="str">
        <f t="shared" si="81"/>
        <v/>
      </c>
      <c r="F524" s="31"/>
      <c r="G524" s="29"/>
      <c r="H524" s="78" t="str">
        <f t="shared" si="82"/>
        <v/>
      </c>
      <c r="I524" s="25"/>
      <c r="J524" s="25"/>
      <c r="K524" s="26"/>
      <c r="L524" s="26"/>
      <c r="M524" s="37"/>
      <c r="N524" s="27"/>
      <c r="O524" s="30"/>
      <c r="P524" s="39" t="str">
        <f t="shared" si="86"/>
        <v/>
      </c>
      <c r="Q524" s="40" t="str">
        <f>IF(OR(T524=0,RIGHT(T524,1)=$W$1),"",COUNTIF($T$3:T524,T524))</f>
        <v/>
      </c>
      <c r="S524" s="6">
        <f t="shared" si="87"/>
        <v>0</v>
      </c>
      <c r="T524" s="36">
        <f t="shared" si="88"/>
        <v>0</v>
      </c>
      <c r="V524" s="6">
        <f t="shared" si="89"/>
        <v>0</v>
      </c>
      <c r="Y524" s="8">
        <f t="shared" si="90"/>
        <v>46023</v>
      </c>
    </row>
    <row r="525" spans="2:25" ht="18.75" x14ac:dyDescent="0.3">
      <c r="B525" s="6">
        <f t="shared" si="83"/>
        <v>0</v>
      </c>
      <c r="C525" s="6">
        <f t="shared" si="84"/>
        <v>0</v>
      </c>
      <c r="D525" s="6" t="str">
        <f t="shared" si="85"/>
        <v/>
      </c>
      <c r="E525" s="35" t="str">
        <f t="shared" si="81"/>
        <v/>
      </c>
      <c r="F525" s="31"/>
      <c r="G525" s="29"/>
      <c r="H525" s="78" t="str">
        <f t="shared" si="82"/>
        <v/>
      </c>
      <c r="I525" s="25"/>
      <c r="J525" s="25"/>
      <c r="K525" s="26"/>
      <c r="L525" s="26"/>
      <c r="M525" s="37"/>
      <c r="N525" s="27"/>
      <c r="O525" s="30"/>
      <c r="P525" s="39" t="str">
        <f t="shared" si="86"/>
        <v/>
      </c>
      <c r="Q525" s="40" t="str">
        <f>IF(OR(T525=0,RIGHT(T525,1)=$W$1),"",COUNTIF($T$3:T525,T525))</f>
        <v/>
      </c>
      <c r="S525" s="6">
        <f t="shared" si="87"/>
        <v>0</v>
      </c>
      <c r="T525" s="36">
        <f t="shared" si="88"/>
        <v>0</v>
      </c>
      <c r="V525" s="6">
        <f t="shared" si="89"/>
        <v>0</v>
      </c>
      <c r="Y525" s="8">
        <f t="shared" si="90"/>
        <v>46023</v>
      </c>
    </row>
    <row r="526" spans="2:25" ht="18.75" x14ac:dyDescent="0.3">
      <c r="B526" s="6">
        <f t="shared" si="83"/>
        <v>0</v>
      </c>
      <c r="C526" s="6">
        <f t="shared" si="84"/>
        <v>0</v>
      </c>
      <c r="D526" s="6" t="str">
        <f t="shared" si="85"/>
        <v/>
      </c>
      <c r="E526" s="35" t="str">
        <f t="shared" si="81"/>
        <v/>
      </c>
      <c r="F526" s="31"/>
      <c r="G526" s="29"/>
      <c r="H526" s="78" t="str">
        <f t="shared" si="82"/>
        <v/>
      </c>
      <c r="I526" s="25"/>
      <c r="J526" s="25"/>
      <c r="K526" s="26"/>
      <c r="L526" s="26"/>
      <c r="M526" s="37"/>
      <c r="N526" s="27"/>
      <c r="O526" s="30"/>
      <c r="P526" s="39" t="str">
        <f t="shared" si="86"/>
        <v/>
      </c>
      <c r="Q526" s="40" t="str">
        <f>IF(OR(T526=0,RIGHT(T526,1)=$W$1),"",COUNTIF($T$3:T526,T526))</f>
        <v/>
      </c>
      <c r="S526" s="6">
        <f t="shared" si="87"/>
        <v>0</v>
      </c>
      <c r="T526" s="36">
        <f t="shared" si="88"/>
        <v>0</v>
      </c>
      <c r="V526" s="6">
        <f t="shared" si="89"/>
        <v>0</v>
      </c>
      <c r="Y526" s="8">
        <f t="shared" si="90"/>
        <v>46023</v>
      </c>
    </row>
    <row r="527" spans="2:25" ht="18.75" x14ac:dyDescent="0.3">
      <c r="B527" s="6">
        <f t="shared" si="83"/>
        <v>0</v>
      </c>
      <c r="C527" s="6">
        <f t="shared" si="84"/>
        <v>0</v>
      </c>
      <c r="D527" s="6" t="str">
        <f t="shared" si="85"/>
        <v/>
      </c>
      <c r="E527" s="35" t="str">
        <f t="shared" si="81"/>
        <v/>
      </c>
      <c r="F527" s="31"/>
      <c r="G527" s="29"/>
      <c r="H527" s="78" t="str">
        <f t="shared" si="82"/>
        <v/>
      </c>
      <c r="I527" s="25"/>
      <c r="J527" s="25"/>
      <c r="K527" s="26"/>
      <c r="L527" s="26"/>
      <c r="M527" s="37"/>
      <c r="N527" s="27"/>
      <c r="O527" s="30"/>
      <c r="P527" s="39" t="str">
        <f t="shared" si="86"/>
        <v/>
      </c>
      <c r="Q527" s="40" t="str">
        <f>IF(OR(T527=0,RIGHT(T527,1)=$W$1),"",COUNTIF($T$3:T527,T527))</f>
        <v/>
      </c>
      <c r="S527" s="6">
        <f t="shared" si="87"/>
        <v>0</v>
      </c>
      <c r="T527" s="36">
        <f t="shared" si="88"/>
        <v>0</v>
      </c>
      <c r="V527" s="6">
        <f t="shared" si="89"/>
        <v>0</v>
      </c>
      <c r="Y527" s="8">
        <f t="shared" si="90"/>
        <v>46023</v>
      </c>
    </row>
    <row r="528" spans="2:25" ht="18.75" x14ac:dyDescent="0.3">
      <c r="B528" s="6">
        <f t="shared" si="83"/>
        <v>0</v>
      </c>
      <c r="C528" s="6">
        <f t="shared" si="84"/>
        <v>0</v>
      </c>
      <c r="D528" s="6" t="str">
        <f t="shared" si="85"/>
        <v/>
      </c>
      <c r="E528" s="35" t="str">
        <f t="shared" si="81"/>
        <v/>
      </c>
      <c r="F528" s="31"/>
      <c r="G528" s="29"/>
      <c r="H528" s="78" t="str">
        <f t="shared" si="82"/>
        <v/>
      </c>
      <c r="I528" s="25"/>
      <c r="J528" s="25"/>
      <c r="K528" s="26"/>
      <c r="L528" s="26"/>
      <c r="M528" s="37"/>
      <c r="N528" s="27"/>
      <c r="O528" s="30"/>
      <c r="P528" s="39" t="str">
        <f t="shared" si="86"/>
        <v/>
      </c>
      <c r="Q528" s="40" t="str">
        <f>IF(OR(T528=0,RIGHT(T528,1)=$W$1),"",COUNTIF($T$3:T528,T528))</f>
        <v/>
      </c>
      <c r="S528" s="6">
        <f t="shared" si="87"/>
        <v>0</v>
      </c>
      <c r="T528" s="36">
        <f t="shared" si="88"/>
        <v>0</v>
      </c>
      <c r="V528" s="6">
        <f t="shared" si="89"/>
        <v>0</v>
      </c>
      <c r="Y528" s="8">
        <f t="shared" si="90"/>
        <v>46023</v>
      </c>
    </row>
    <row r="529" spans="2:25" ht="18.75" x14ac:dyDescent="0.3">
      <c r="B529" s="6">
        <f t="shared" si="83"/>
        <v>0</v>
      </c>
      <c r="C529" s="6">
        <f t="shared" si="84"/>
        <v>0</v>
      </c>
      <c r="D529" s="6" t="str">
        <f t="shared" si="85"/>
        <v/>
      </c>
      <c r="E529" s="35" t="str">
        <f t="shared" si="81"/>
        <v/>
      </c>
      <c r="F529" s="31"/>
      <c r="G529" s="29"/>
      <c r="H529" s="78" t="str">
        <f t="shared" si="82"/>
        <v/>
      </c>
      <c r="I529" s="25"/>
      <c r="J529" s="25"/>
      <c r="K529" s="26"/>
      <c r="L529" s="26"/>
      <c r="M529" s="37"/>
      <c r="N529" s="27"/>
      <c r="O529" s="30"/>
      <c r="P529" s="39" t="str">
        <f t="shared" si="86"/>
        <v/>
      </c>
      <c r="Q529" s="40" t="str">
        <f>IF(OR(T529=0,RIGHT(T529,1)=$W$1),"",COUNTIF($T$3:T529,T529))</f>
        <v/>
      </c>
      <c r="S529" s="6">
        <f t="shared" si="87"/>
        <v>0</v>
      </c>
      <c r="T529" s="36">
        <f t="shared" si="88"/>
        <v>0</v>
      </c>
      <c r="V529" s="6">
        <f t="shared" si="89"/>
        <v>0</v>
      </c>
      <c r="Y529" s="8">
        <f t="shared" si="90"/>
        <v>46023</v>
      </c>
    </row>
    <row r="530" spans="2:25" ht="18.75" x14ac:dyDescent="0.3">
      <c r="B530" s="6">
        <f t="shared" si="83"/>
        <v>0</v>
      </c>
      <c r="C530" s="6">
        <f t="shared" si="84"/>
        <v>0</v>
      </c>
      <c r="D530" s="6" t="str">
        <f t="shared" si="85"/>
        <v/>
      </c>
      <c r="E530" s="35" t="str">
        <f t="shared" si="81"/>
        <v/>
      </c>
      <c r="F530" s="31"/>
      <c r="G530" s="29"/>
      <c r="H530" s="78" t="str">
        <f t="shared" si="82"/>
        <v/>
      </c>
      <c r="I530" s="25"/>
      <c r="J530" s="25"/>
      <c r="K530" s="26"/>
      <c r="L530" s="26"/>
      <c r="M530" s="37"/>
      <c r="N530" s="27"/>
      <c r="O530" s="30"/>
      <c r="P530" s="39" t="str">
        <f t="shared" si="86"/>
        <v/>
      </c>
      <c r="Q530" s="40" t="str">
        <f>IF(OR(T530=0,RIGHT(T530,1)=$W$1),"",COUNTIF($T$3:T530,T530))</f>
        <v/>
      </c>
      <c r="S530" s="6">
        <f t="shared" si="87"/>
        <v>0</v>
      </c>
      <c r="T530" s="36">
        <f t="shared" si="88"/>
        <v>0</v>
      </c>
      <c r="V530" s="6">
        <f t="shared" si="89"/>
        <v>0</v>
      </c>
      <c r="Y530" s="8">
        <f t="shared" si="90"/>
        <v>46023</v>
      </c>
    </row>
    <row r="531" spans="2:25" ht="18.75" x14ac:dyDescent="0.3">
      <c r="B531" s="6">
        <f t="shared" si="83"/>
        <v>0</v>
      </c>
      <c r="C531" s="6">
        <f t="shared" si="84"/>
        <v>0</v>
      </c>
      <c r="D531" s="6" t="str">
        <f t="shared" si="85"/>
        <v/>
      </c>
      <c r="E531" s="35" t="str">
        <f t="shared" si="81"/>
        <v/>
      </c>
      <c r="F531" s="31"/>
      <c r="G531" s="29"/>
      <c r="H531" s="78" t="str">
        <f t="shared" si="82"/>
        <v/>
      </c>
      <c r="I531" s="25"/>
      <c r="J531" s="25"/>
      <c r="K531" s="26"/>
      <c r="L531" s="26"/>
      <c r="M531" s="37"/>
      <c r="N531" s="27"/>
      <c r="O531" s="30"/>
      <c r="P531" s="39" t="str">
        <f t="shared" si="86"/>
        <v/>
      </c>
      <c r="Q531" s="40" t="str">
        <f>IF(OR(T531=0,RIGHT(T531,1)=$W$1),"",COUNTIF($T$3:T531,T531))</f>
        <v/>
      </c>
      <c r="S531" s="6">
        <f t="shared" si="87"/>
        <v>0</v>
      </c>
      <c r="T531" s="36">
        <f t="shared" si="88"/>
        <v>0</v>
      </c>
      <c r="V531" s="6">
        <f t="shared" si="89"/>
        <v>0</v>
      </c>
      <c r="Y531" s="8">
        <f t="shared" si="90"/>
        <v>46023</v>
      </c>
    </row>
    <row r="532" spans="2:25" ht="18.75" x14ac:dyDescent="0.3">
      <c r="B532" s="6">
        <f t="shared" si="83"/>
        <v>0</v>
      </c>
      <c r="C532" s="6">
        <f t="shared" si="84"/>
        <v>0</v>
      </c>
      <c r="D532" s="6" t="str">
        <f t="shared" si="85"/>
        <v/>
      </c>
      <c r="E532" s="35" t="str">
        <f t="shared" si="81"/>
        <v/>
      </c>
      <c r="F532" s="31"/>
      <c r="G532" s="29"/>
      <c r="H532" s="78" t="str">
        <f t="shared" si="82"/>
        <v/>
      </c>
      <c r="I532" s="25"/>
      <c r="J532" s="25"/>
      <c r="K532" s="26"/>
      <c r="L532" s="26"/>
      <c r="M532" s="37"/>
      <c r="N532" s="27"/>
      <c r="O532" s="30"/>
      <c r="P532" s="39" t="str">
        <f t="shared" si="86"/>
        <v/>
      </c>
      <c r="Q532" s="40" t="str">
        <f>IF(OR(T532=0,RIGHT(T532,1)=$W$1),"",COUNTIF($T$3:T532,T532))</f>
        <v/>
      </c>
      <c r="S532" s="6">
        <f t="shared" si="87"/>
        <v>0</v>
      </c>
      <c r="T532" s="36">
        <f t="shared" si="88"/>
        <v>0</v>
      </c>
      <c r="V532" s="6">
        <f t="shared" si="89"/>
        <v>0</v>
      </c>
      <c r="Y532" s="8">
        <f t="shared" si="90"/>
        <v>46023</v>
      </c>
    </row>
    <row r="533" spans="2:25" ht="18.75" x14ac:dyDescent="0.3">
      <c r="B533" s="6">
        <f t="shared" si="83"/>
        <v>0</v>
      </c>
      <c r="C533" s="6">
        <f t="shared" si="84"/>
        <v>0</v>
      </c>
      <c r="D533" s="6" t="str">
        <f t="shared" si="85"/>
        <v/>
      </c>
      <c r="E533" s="35" t="str">
        <f t="shared" si="81"/>
        <v/>
      </c>
      <c r="F533" s="31"/>
      <c r="G533" s="29"/>
      <c r="H533" s="78" t="str">
        <f t="shared" si="82"/>
        <v/>
      </c>
      <c r="I533" s="25"/>
      <c r="J533" s="25"/>
      <c r="K533" s="26"/>
      <c r="L533" s="26"/>
      <c r="M533" s="37"/>
      <c r="N533" s="27"/>
      <c r="O533" s="30"/>
      <c r="P533" s="39" t="str">
        <f t="shared" si="86"/>
        <v/>
      </c>
      <c r="Q533" s="40" t="str">
        <f>IF(OR(T533=0,RIGHT(T533,1)=$W$1),"",COUNTIF($T$3:T533,T533))</f>
        <v/>
      </c>
      <c r="S533" s="6">
        <f t="shared" si="87"/>
        <v>0</v>
      </c>
      <c r="T533" s="36">
        <f t="shared" si="88"/>
        <v>0</v>
      </c>
      <c r="V533" s="6">
        <f t="shared" si="89"/>
        <v>0</v>
      </c>
      <c r="Y533" s="8">
        <f t="shared" si="90"/>
        <v>46023</v>
      </c>
    </row>
    <row r="534" spans="2:25" ht="18.75" x14ac:dyDescent="0.3">
      <c r="B534" s="6">
        <f t="shared" si="83"/>
        <v>0</v>
      </c>
      <c r="C534" s="6">
        <f t="shared" si="84"/>
        <v>0</v>
      </c>
      <c r="D534" s="6" t="str">
        <f t="shared" si="85"/>
        <v/>
      </c>
      <c r="E534" s="35" t="str">
        <f t="shared" si="81"/>
        <v/>
      </c>
      <c r="F534" s="31"/>
      <c r="G534" s="29"/>
      <c r="H534" s="78" t="str">
        <f t="shared" si="82"/>
        <v/>
      </c>
      <c r="I534" s="25"/>
      <c r="J534" s="25"/>
      <c r="K534" s="26"/>
      <c r="L534" s="26"/>
      <c r="M534" s="37"/>
      <c r="N534" s="27"/>
      <c r="O534" s="30"/>
      <c r="P534" s="39" t="str">
        <f t="shared" si="86"/>
        <v/>
      </c>
      <c r="Q534" s="40" t="str">
        <f>IF(OR(T534=0,RIGHT(T534,1)=$W$1),"",COUNTIF($T$3:T534,T534))</f>
        <v/>
      </c>
      <c r="S534" s="6">
        <f t="shared" si="87"/>
        <v>0</v>
      </c>
      <c r="T534" s="36">
        <f t="shared" si="88"/>
        <v>0</v>
      </c>
      <c r="V534" s="6">
        <f t="shared" si="89"/>
        <v>0</v>
      </c>
      <c r="Y534" s="8">
        <f t="shared" si="90"/>
        <v>46023</v>
      </c>
    </row>
    <row r="535" spans="2:25" ht="18.75" x14ac:dyDescent="0.3">
      <c r="B535" s="6">
        <f t="shared" si="83"/>
        <v>0</v>
      </c>
      <c r="C535" s="6">
        <f t="shared" si="84"/>
        <v>0</v>
      </c>
      <c r="D535" s="6" t="str">
        <f t="shared" si="85"/>
        <v/>
      </c>
      <c r="E535" s="35" t="str">
        <f t="shared" si="81"/>
        <v/>
      </c>
      <c r="F535" s="31"/>
      <c r="G535" s="29"/>
      <c r="H535" s="78" t="str">
        <f t="shared" si="82"/>
        <v/>
      </c>
      <c r="I535" s="25"/>
      <c r="J535" s="25"/>
      <c r="K535" s="26"/>
      <c r="L535" s="26"/>
      <c r="M535" s="37"/>
      <c r="N535" s="27"/>
      <c r="O535" s="30"/>
      <c r="P535" s="39" t="str">
        <f t="shared" si="86"/>
        <v/>
      </c>
      <c r="Q535" s="40" t="str">
        <f>IF(OR(T535=0,RIGHT(T535,1)=$W$1),"",COUNTIF($T$3:T535,T535))</f>
        <v/>
      </c>
      <c r="S535" s="6">
        <f t="shared" si="87"/>
        <v>0</v>
      </c>
      <c r="T535" s="36">
        <f t="shared" si="88"/>
        <v>0</v>
      </c>
      <c r="V535" s="6">
        <f t="shared" si="89"/>
        <v>0</v>
      </c>
      <c r="Y535" s="8">
        <f t="shared" si="90"/>
        <v>46023</v>
      </c>
    </row>
    <row r="536" spans="2:25" ht="18.75" x14ac:dyDescent="0.3">
      <c r="B536" s="6">
        <f t="shared" si="83"/>
        <v>0</v>
      </c>
      <c r="C536" s="6">
        <f t="shared" si="84"/>
        <v>0</v>
      </c>
      <c r="D536" s="6" t="str">
        <f t="shared" si="85"/>
        <v/>
      </c>
      <c r="E536" s="35" t="str">
        <f t="shared" si="81"/>
        <v/>
      </c>
      <c r="F536" s="31"/>
      <c r="G536" s="29"/>
      <c r="H536" s="78" t="str">
        <f t="shared" si="82"/>
        <v/>
      </c>
      <c r="I536" s="25"/>
      <c r="J536" s="25"/>
      <c r="K536" s="26"/>
      <c r="L536" s="26"/>
      <c r="M536" s="37"/>
      <c r="N536" s="27"/>
      <c r="O536" s="30"/>
      <c r="P536" s="39" t="str">
        <f t="shared" si="86"/>
        <v/>
      </c>
      <c r="Q536" s="40" t="str">
        <f>IF(OR(T536=0,RIGHT(T536,1)=$W$1),"",COUNTIF($T$3:T536,T536))</f>
        <v/>
      </c>
      <c r="S536" s="6">
        <f t="shared" si="87"/>
        <v>0</v>
      </c>
      <c r="T536" s="36">
        <f t="shared" si="88"/>
        <v>0</v>
      </c>
      <c r="V536" s="6">
        <f t="shared" si="89"/>
        <v>0</v>
      </c>
      <c r="Y536" s="8">
        <f t="shared" si="90"/>
        <v>46023</v>
      </c>
    </row>
    <row r="537" spans="2:25" ht="18.75" x14ac:dyDescent="0.3">
      <c r="B537" s="6">
        <f t="shared" si="83"/>
        <v>0</v>
      </c>
      <c r="C537" s="6">
        <f t="shared" si="84"/>
        <v>0</v>
      </c>
      <c r="D537" s="6" t="str">
        <f t="shared" si="85"/>
        <v/>
      </c>
      <c r="E537" s="35" t="str">
        <f t="shared" si="81"/>
        <v/>
      </c>
      <c r="F537" s="31"/>
      <c r="G537" s="29"/>
      <c r="H537" s="78" t="str">
        <f t="shared" si="82"/>
        <v/>
      </c>
      <c r="I537" s="25"/>
      <c r="J537" s="25"/>
      <c r="K537" s="26"/>
      <c r="L537" s="26"/>
      <c r="M537" s="37"/>
      <c r="N537" s="27"/>
      <c r="O537" s="30"/>
      <c r="P537" s="39" t="str">
        <f t="shared" si="86"/>
        <v/>
      </c>
      <c r="Q537" s="40" t="str">
        <f>IF(OR(T537=0,RIGHT(T537,1)=$W$1),"",COUNTIF($T$3:T537,T537))</f>
        <v/>
      </c>
      <c r="S537" s="6">
        <f t="shared" si="87"/>
        <v>0</v>
      </c>
      <c r="T537" s="36">
        <f t="shared" si="88"/>
        <v>0</v>
      </c>
      <c r="V537" s="6">
        <f t="shared" si="89"/>
        <v>0</v>
      </c>
      <c r="Y537" s="8">
        <f t="shared" si="90"/>
        <v>46023</v>
      </c>
    </row>
    <row r="538" spans="2:25" ht="18.75" x14ac:dyDescent="0.3">
      <c r="B538" s="6">
        <f t="shared" si="83"/>
        <v>0</v>
      </c>
      <c r="C538" s="6">
        <f t="shared" si="84"/>
        <v>0</v>
      </c>
      <c r="D538" s="6" t="str">
        <f t="shared" si="85"/>
        <v/>
      </c>
      <c r="E538" s="35" t="str">
        <f t="shared" si="81"/>
        <v/>
      </c>
      <c r="F538" s="31"/>
      <c r="G538" s="29"/>
      <c r="H538" s="78" t="str">
        <f t="shared" si="82"/>
        <v/>
      </c>
      <c r="I538" s="25"/>
      <c r="J538" s="25"/>
      <c r="K538" s="26"/>
      <c r="L538" s="26"/>
      <c r="M538" s="37"/>
      <c r="N538" s="27"/>
      <c r="O538" s="30"/>
      <c r="P538" s="39" t="str">
        <f t="shared" si="86"/>
        <v/>
      </c>
      <c r="Q538" s="40" t="str">
        <f>IF(OR(T538=0,RIGHT(T538,1)=$W$1),"",COUNTIF($T$3:T538,T538))</f>
        <v/>
      </c>
      <c r="S538" s="6">
        <f t="shared" si="87"/>
        <v>0</v>
      </c>
      <c r="T538" s="36">
        <f t="shared" si="88"/>
        <v>0</v>
      </c>
      <c r="V538" s="6">
        <f t="shared" si="89"/>
        <v>0</v>
      </c>
      <c r="Y538" s="8">
        <f t="shared" si="90"/>
        <v>46023</v>
      </c>
    </row>
    <row r="539" spans="2:25" ht="18.75" x14ac:dyDescent="0.3">
      <c r="B539" s="6">
        <f t="shared" si="83"/>
        <v>0</v>
      </c>
      <c r="C539" s="6">
        <f t="shared" si="84"/>
        <v>0</v>
      </c>
      <c r="D539" s="6" t="str">
        <f t="shared" si="85"/>
        <v/>
      </c>
      <c r="E539" s="35" t="str">
        <f t="shared" si="81"/>
        <v/>
      </c>
      <c r="F539" s="31"/>
      <c r="G539" s="29"/>
      <c r="H539" s="78" t="str">
        <f t="shared" si="82"/>
        <v/>
      </c>
      <c r="I539" s="25"/>
      <c r="J539" s="25"/>
      <c r="K539" s="26"/>
      <c r="L539" s="26"/>
      <c r="M539" s="37"/>
      <c r="N539" s="27"/>
      <c r="O539" s="30"/>
      <c r="P539" s="39" t="str">
        <f t="shared" si="86"/>
        <v/>
      </c>
      <c r="Q539" s="40" t="str">
        <f>IF(OR(T539=0,RIGHT(T539,1)=$W$1),"",COUNTIF($T$3:T539,T539))</f>
        <v/>
      </c>
      <c r="S539" s="6">
        <f t="shared" si="87"/>
        <v>0</v>
      </c>
      <c r="T539" s="36">
        <f t="shared" si="88"/>
        <v>0</v>
      </c>
      <c r="V539" s="6">
        <f t="shared" si="89"/>
        <v>0</v>
      </c>
      <c r="Y539" s="8">
        <f t="shared" si="90"/>
        <v>46023</v>
      </c>
    </row>
    <row r="540" spans="2:25" ht="18.75" x14ac:dyDescent="0.3">
      <c r="B540" s="6">
        <f t="shared" si="83"/>
        <v>0</v>
      </c>
      <c r="C540" s="6">
        <f t="shared" si="84"/>
        <v>0</v>
      </c>
      <c r="D540" s="6" t="str">
        <f t="shared" si="85"/>
        <v/>
      </c>
      <c r="E540" s="35" t="str">
        <f t="shared" si="81"/>
        <v/>
      </c>
      <c r="F540" s="31"/>
      <c r="G540" s="29"/>
      <c r="H540" s="78" t="str">
        <f t="shared" si="82"/>
        <v/>
      </c>
      <c r="I540" s="25"/>
      <c r="J540" s="25"/>
      <c r="K540" s="26"/>
      <c r="L540" s="26"/>
      <c r="M540" s="37"/>
      <c r="N540" s="27"/>
      <c r="O540" s="30"/>
      <c r="P540" s="39" t="str">
        <f t="shared" si="86"/>
        <v/>
      </c>
      <c r="Q540" s="40" t="str">
        <f>IF(OR(T540=0,RIGHT(T540,1)=$W$1),"",COUNTIF($T$3:T540,T540))</f>
        <v/>
      </c>
      <c r="S540" s="6">
        <f t="shared" si="87"/>
        <v>0</v>
      </c>
      <c r="T540" s="36">
        <f t="shared" si="88"/>
        <v>0</v>
      </c>
      <c r="V540" s="6">
        <f t="shared" si="89"/>
        <v>0</v>
      </c>
      <c r="Y540" s="8">
        <f t="shared" si="90"/>
        <v>46023</v>
      </c>
    </row>
    <row r="541" spans="2:25" ht="18.75" x14ac:dyDescent="0.3">
      <c r="B541" s="6">
        <f t="shared" si="83"/>
        <v>0</v>
      </c>
      <c r="C541" s="6">
        <f t="shared" si="84"/>
        <v>0</v>
      </c>
      <c r="D541" s="6" t="str">
        <f t="shared" si="85"/>
        <v/>
      </c>
      <c r="E541" s="35" t="str">
        <f t="shared" si="81"/>
        <v/>
      </c>
      <c r="F541" s="31"/>
      <c r="G541" s="29"/>
      <c r="H541" s="78" t="str">
        <f t="shared" si="82"/>
        <v/>
      </c>
      <c r="I541" s="25"/>
      <c r="J541" s="25"/>
      <c r="K541" s="26"/>
      <c r="L541" s="26"/>
      <c r="M541" s="37"/>
      <c r="N541" s="27"/>
      <c r="O541" s="30"/>
      <c r="P541" s="39" t="str">
        <f t="shared" si="86"/>
        <v/>
      </c>
      <c r="Q541" s="40" t="str">
        <f>IF(OR(T541=0,RIGHT(T541,1)=$W$1),"",COUNTIF($T$3:T541,T541))</f>
        <v/>
      </c>
      <c r="S541" s="6">
        <f t="shared" si="87"/>
        <v>0</v>
      </c>
      <c r="T541" s="36">
        <f t="shared" si="88"/>
        <v>0</v>
      </c>
      <c r="V541" s="6">
        <f t="shared" si="89"/>
        <v>0</v>
      </c>
      <c r="Y541" s="8">
        <f t="shared" si="90"/>
        <v>46023</v>
      </c>
    </row>
    <row r="542" spans="2:25" ht="18.75" x14ac:dyDescent="0.3">
      <c r="B542" s="6">
        <f t="shared" si="83"/>
        <v>0</v>
      </c>
      <c r="C542" s="6">
        <f t="shared" si="84"/>
        <v>0</v>
      </c>
      <c r="D542" s="6" t="str">
        <f t="shared" si="85"/>
        <v/>
      </c>
      <c r="E542" s="35" t="str">
        <f t="shared" si="81"/>
        <v/>
      </c>
      <c r="F542" s="31"/>
      <c r="G542" s="29"/>
      <c r="H542" s="78" t="str">
        <f t="shared" si="82"/>
        <v/>
      </c>
      <c r="I542" s="25"/>
      <c r="J542" s="25"/>
      <c r="K542" s="26"/>
      <c r="L542" s="26"/>
      <c r="M542" s="37"/>
      <c r="N542" s="27"/>
      <c r="O542" s="30"/>
      <c r="P542" s="39" t="str">
        <f t="shared" si="86"/>
        <v/>
      </c>
      <c r="Q542" s="40" t="str">
        <f>IF(OR(T542=0,RIGHT(T542,1)=$W$1),"",COUNTIF($T$3:T542,T542))</f>
        <v/>
      </c>
      <c r="S542" s="6">
        <f t="shared" si="87"/>
        <v>0</v>
      </c>
      <c r="T542" s="36">
        <f t="shared" si="88"/>
        <v>0</v>
      </c>
      <c r="V542" s="6">
        <f t="shared" si="89"/>
        <v>0</v>
      </c>
      <c r="Y542" s="8">
        <f t="shared" si="90"/>
        <v>46023</v>
      </c>
    </row>
    <row r="543" spans="2:25" ht="18.75" x14ac:dyDescent="0.3">
      <c r="B543" s="6">
        <f t="shared" si="83"/>
        <v>0</v>
      </c>
      <c r="C543" s="6">
        <f t="shared" si="84"/>
        <v>0</v>
      </c>
      <c r="D543" s="6" t="str">
        <f t="shared" si="85"/>
        <v/>
      </c>
      <c r="E543" s="35" t="str">
        <f t="shared" si="81"/>
        <v/>
      </c>
      <c r="F543" s="31"/>
      <c r="G543" s="29"/>
      <c r="H543" s="78" t="str">
        <f t="shared" si="82"/>
        <v/>
      </c>
      <c r="I543" s="25"/>
      <c r="J543" s="25"/>
      <c r="K543" s="26"/>
      <c r="L543" s="26"/>
      <c r="M543" s="37"/>
      <c r="N543" s="27"/>
      <c r="O543" s="30"/>
      <c r="P543" s="39" t="str">
        <f t="shared" si="86"/>
        <v/>
      </c>
      <c r="Q543" s="40" t="str">
        <f>IF(OR(T543=0,RIGHT(T543,1)=$W$1),"",COUNTIF($T$3:T543,T543))</f>
        <v/>
      </c>
      <c r="S543" s="6">
        <f t="shared" si="87"/>
        <v>0</v>
      </c>
      <c r="T543" s="36">
        <f t="shared" si="88"/>
        <v>0</v>
      </c>
      <c r="V543" s="6">
        <f t="shared" si="89"/>
        <v>0</v>
      </c>
      <c r="Y543" s="8">
        <f t="shared" si="90"/>
        <v>46023</v>
      </c>
    </row>
    <row r="544" spans="2:25" ht="18.75" x14ac:dyDescent="0.3">
      <c r="B544" s="6">
        <f t="shared" si="83"/>
        <v>0</v>
      </c>
      <c r="C544" s="6">
        <f t="shared" si="84"/>
        <v>0</v>
      </c>
      <c r="D544" s="6" t="str">
        <f t="shared" si="85"/>
        <v/>
      </c>
      <c r="E544" s="35" t="str">
        <f t="shared" si="81"/>
        <v/>
      </c>
      <c r="F544" s="31"/>
      <c r="G544" s="29"/>
      <c r="H544" s="78" t="str">
        <f t="shared" si="82"/>
        <v/>
      </c>
      <c r="I544" s="25"/>
      <c r="J544" s="25"/>
      <c r="K544" s="26"/>
      <c r="L544" s="26"/>
      <c r="M544" s="37"/>
      <c r="N544" s="27"/>
      <c r="O544" s="30"/>
      <c r="P544" s="39" t="str">
        <f t="shared" si="86"/>
        <v/>
      </c>
      <c r="Q544" s="40" t="str">
        <f>IF(OR(T544=0,RIGHT(T544,1)=$W$1),"",COUNTIF($T$3:T544,T544))</f>
        <v/>
      </c>
      <c r="S544" s="6">
        <f t="shared" si="87"/>
        <v>0</v>
      </c>
      <c r="T544" s="36">
        <f t="shared" si="88"/>
        <v>0</v>
      </c>
      <c r="V544" s="6">
        <f t="shared" si="89"/>
        <v>0</v>
      </c>
      <c r="Y544" s="8">
        <f t="shared" si="90"/>
        <v>46023</v>
      </c>
    </row>
    <row r="545" spans="2:25" ht="18.75" x14ac:dyDescent="0.3">
      <c r="B545" s="6">
        <f t="shared" si="83"/>
        <v>0</v>
      </c>
      <c r="C545" s="6">
        <f t="shared" si="84"/>
        <v>0</v>
      </c>
      <c r="D545" s="6" t="str">
        <f t="shared" si="85"/>
        <v/>
      </c>
      <c r="E545" s="35" t="str">
        <f t="shared" si="81"/>
        <v/>
      </c>
      <c r="F545" s="31"/>
      <c r="G545" s="29"/>
      <c r="H545" s="78" t="str">
        <f t="shared" si="82"/>
        <v/>
      </c>
      <c r="I545" s="25"/>
      <c r="J545" s="25"/>
      <c r="K545" s="26"/>
      <c r="L545" s="26"/>
      <c r="M545" s="37"/>
      <c r="N545" s="27"/>
      <c r="O545" s="30"/>
      <c r="P545" s="39" t="str">
        <f t="shared" si="86"/>
        <v/>
      </c>
      <c r="Q545" s="40" t="str">
        <f>IF(OR(T545=0,RIGHT(T545,1)=$W$1),"",COUNTIF($T$3:T545,T545))</f>
        <v/>
      </c>
      <c r="S545" s="6">
        <f t="shared" si="87"/>
        <v>0</v>
      </c>
      <c r="T545" s="36">
        <f t="shared" si="88"/>
        <v>0</v>
      </c>
      <c r="V545" s="6">
        <f t="shared" si="89"/>
        <v>0</v>
      </c>
      <c r="Y545" s="8">
        <f t="shared" si="90"/>
        <v>46023</v>
      </c>
    </row>
    <row r="546" spans="2:25" ht="18.75" x14ac:dyDescent="0.3">
      <c r="B546" s="6">
        <f t="shared" si="83"/>
        <v>0</v>
      </c>
      <c r="C546" s="6">
        <f t="shared" si="84"/>
        <v>0</v>
      </c>
      <c r="D546" s="6" t="str">
        <f t="shared" si="85"/>
        <v/>
      </c>
      <c r="E546" s="35" t="str">
        <f t="shared" si="81"/>
        <v/>
      </c>
      <c r="F546" s="31"/>
      <c r="G546" s="29"/>
      <c r="H546" s="78" t="str">
        <f t="shared" si="82"/>
        <v/>
      </c>
      <c r="I546" s="25"/>
      <c r="J546" s="25"/>
      <c r="K546" s="26"/>
      <c r="L546" s="26"/>
      <c r="M546" s="37"/>
      <c r="N546" s="27"/>
      <c r="O546" s="30"/>
      <c r="P546" s="39" t="str">
        <f t="shared" si="86"/>
        <v/>
      </c>
      <c r="Q546" s="40" t="str">
        <f>IF(OR(T546=0,RIGHT(T546,1)=$W$1),"",COUNTIF($T$3:T546,T546))</f>
        <v/>
      </c>
      <c r="S546" s="6">
        <f t="shared" si="87"/>
        <v>0</v>
      </c>
      <c r="T546" s="36">
        <f t="shared" si="88"/>
        <v>0</v>
      </c>
      <c r="V546" s="6">
        <f t="shared" si="89"/>
        <v>0</v>
      </c>
      <c r="Y546" s="8">
        <f t="shared" si="90"/>
        <v>46023</v>
      </c>
    </row>
    <row r="547" spans="2:25" ht="18.75" x14ac:dyDescent="0.3">
      <c r="B547" s="6">
        <f t="shared" si="83"/>
        <v>0</v>
      </c>
      <c r="C547" s="6">
        <f t="shared" si="84"/>
        <v>0</v>
      </c>
      <c r="D547" s="6" t="str">
        <f t="shared" si="85"/>
        <v/>
      </c>
      <c r="E547" s="35" t="str">
        <f t="shared" si="81"/>
        <v/>
      </c>
      <c r="F547" s="31"/>
      <c r="G547" s="29"/>
      <c r="H547" s="78" t="str">
        <f t="shared" si="82"/>
        <v/>
      </c>
      <c r="I547" s="25"/>
      <c r="J547" s="25"/>
      <c r="K547" s="26"/>
      <c r="L547" s="26"/>
      <c r="M547" s="37"/>
      <c r="N547" s="27"/>
      <c r="O547" s="30"/>
      <c r="P547" s="39" t="str">
        <f t="shared" si="86"/>
        <v/>
      </c>
      <c r="Q547" s="40" t="str">
        <f>IF(OR(T547=0,RIGHT(T547,1)=$W$1),"",COUNTIF($T$3:T547,T547))</f>
        <v/>
      </c>
      <c r="S547" s="6">
        <f t="shared" si="87"/>
        <v>0</v>
      </c>
      <c r="T547" s="36">
        <f t="shared" si="88"/>
        <v>0</v>
      </c>
      <c r="V547" s="6">
        <f t="shared" si="89"/>
        <v>0</v>
      </c>
      <c r="Y547" s="8">
        <f t="shared" si="90"/>
        <v>46023</v>
      </c>
    </row>
    <row r="548" spans="2:25" ht="18.75" x14ac:dyDescent="0.3">
      <c r="B548" s="6">
        <f t="shared" si="83"/>
        <v>0</v>
      </c>
      <c r="C548" s="6">
        <f t="shared" si="84"/>
        <v>0</v>
      </c>
      <c r="D548" s="6" t="str">
        <f t="shared" si="85"/>
        <v/>
      </c>
      <c r="E548" s="35" t="str">
        <f t="shared" si="81"/>
        <v/>
      </c>
      <c r="F548" s="31"/>
      <c r="G548" s="29"/>
      <c r="H548" s="78" t="str">
        <f t="shared" si="82"/>
        <v/>
      </c>
      <c r="I548" s="25"/>
      <c r="J548" s="25"/>
      <c r="K548" s="26"/>
      <c r="L548" s="26"/>
      <c r="M548" s="37"/>
      <c r="N548" s="27"/>
      <c r="O548" s="30"/>
      <c r="P548" s="39" t="str">
        <f t="shared" si="86"/>
        <v/>
      </c>
      <c r="Q548" s="40" t="str">
        <f>IF(OR(T548=0,RIGHT(T548,1)=$W$1),"",COUNTIF($T$3:T548,T548))</f>
        <v/>
      </c>
      <c r="S548" s="6">
        <f t="shared" si="87"/>
        <v>0</v>
      </c>
      <c r="T548" s="36">
        <f t="shared" si="88"/>
        <v>0</v>
      </c>
      <c r="V548" s="6">
        <f t="shared" si="89"/>
        <v>0</v>
      </c>
      <c r="Y548" s="8">
        <f t="shared" si="90"/>
        <v>46023</v>
      </c>
    </row>
    <row r="549" spans="2:25" ht="18.75" x14ac:dyDescent="0.3">
      <c r="B549" s="6">
        <f t="shared" si="83"/>
        <v>0</v>
      </c>
      <c r="C549" s="6">
        <f t="shared" si="84"/>
        <v>0</v>
      </c>
      <c r="D549" s="6" t="str">
        <f t="shared" si="85"/>
        <v/>
      </c>
      <c r="E549" s="35" t="str">
        <f t="shared" si="81"/>
        <v/>
      </c>
      <c r="F549" s="31"/>
      <c r="G549" s="29"/>
      <c r="H549" s="78" t="str">
        <f t="shared" si="82"/>
        <v/>
      </c>
      <c r="I549" s="25"/>
      <c r="J549" s="25"/>
      <c r="K549" s="26"/>
      <c r="L549" s="26"/>
      <c r="M549" s="37"/>
      <c r="N549" s="27"/>
      <c r="O549" s="30"/>
      <c r="P549" s="39" t="str">
        <f t="shared" si="86"/>
        <v/>
      </c>
      <c r="Q549" s="40" t="str">
        <f>IF(OR(T549=0,RIGHT(T549,1)=$W$1),"",COUNTIF($T$3:T549,T549))</f>
        <v/>
      </c>
      <c r="S549" s="6">
        <f t="shared" si="87"/>
        <v>0</v>
      </c>
      <c r="T549" s="36">
        <f t="shared" si="88"/>
        <v>0</v>
      </c>
      <c r="V549" s="6">
        <f t="shared" si="89"/>
        <v>0</v>
      </c>
      <c r="Y549" s="8">
        <f t="shared" si="90"/>
        <v>46023</v>
      </c>
    </row>
    <row r="550" spans="2:25" ht="18.75" x14ac:dyDescent="0.3">
      <c r="B550" s="6">
        <f t="shared" si="83"/>
        <v>0</v>
      </c>
      <c r="C550" s="6">
        <f t="shared" si="84"/>
        <v>0</v>
      </c>
      <c r="D550" s="6" t="str">
        <f t="shared" si="85"/>
        <v/>
      </c>
      <c r="E550" s="35" t="str">
        <f t="shared" si="81"/>
        <v/>
      </c>
      <c r="F550" s="31"/>
      <c r="G550" s="29"/>
      <c r="H550" s="78" t="str">
        <f t="shared" si="82"/>
        <v/>
      </c>
      <c r="I550" s="25"/>
      <c r="J550" s="25"/>
      <c r="K550" s="26"/>
      <c r="L550" s="26"/>
      <c r="M550" s="37"/>
      <c r="N550" s="27"/>
      <c r="O550" s="30"/>
      <c r="P550" s="39" t="str">
        <f t="shared" si="86"/>
        <v/>
      </c>
      <c r="Q550" s="40" t="str">
        <f>IF(OR(T550=0,RIGHT(T550,1)=$W$1),"",COUNTIF($T$3:T550,T550))</f>
        <v/>
      </c>
      <c r="S550" s="6">
        <f t="shared" si="87"/>
        <v>0</v>
      </c>
      <c r="T550" s="36">
        <f t="shared" si="88"/>
        <v>0</v>
      </c>
      <c r="V550" s="6">
        <f t="shared" si="89"/>
        <v>0</v>
      </c>
      <c r="Y550" s="8">
        <f t="shared" si="90"/>
        <v>46023</v>
      </c>
    </row>
    <row r="551" spans="2:25" ht="18.75" x14ac:dyDescent="0.3">
      <c r="B551" s="6">
        <f t="shared" si="83"/>
        <v>0</v>
      </c>
      <c r="C551" s="6">
        <f t="shared" si="84"/>
        <v>0</v>
      </c>
      <c r="D551" s="6" t="str">
        <f t="shared" si="85"/>
        <v/>
      </c>
      <c r="E551" s="35" t="str">
        <f t="shared" si="81"/>
        <v/>
      </c>
      <c r="F551" s="31"/>
      <c r="G551" s="29"/>
      <c r="H551" s="78" t="str">
        <f t="shared" si="82"/>
        <v/>
      </c>
      <c r="I551" s="25"/>
      <c r="J551" s="25"/>
      <c r="K551" s="26"/>
      <c r="L551" s="26"/>
      <c r="M551" s="37"/>
      <c r="N551" s="27"/>
      <c r="O551" s="30"/>
      <c r="P551" s="39" t="str">
        <f t="shared" si="86"/>
        <v/>
      </c>
      <c r="Q551" s="40" t="str">
        <f>IF(OR(T551=0,RIGHT(T551,1)=$W$1),"",COUNTIF($T$3:T551,T551))</f>
        <v/>
      </c>
      <c r="S551" s="6">
        <f t="shared" si="87"/>
        <v>0</v>
      </c>
      <c r="T551" s="36">
        <f t="shared" si="88"/>
        <v>0</v>
      </c>
      <c r="V551" s="6">
        <f t="shared" si="89"/>
        <v>0</v>
      </c>
      <c r="Y551" s="8">
        <f t="shared" si="90"/>
        <v>46023</v>
      </c>
    </row>
    <row r="552" spans="2:25" ht="18.75" x14ac:dyDescent="0.3">
      <c r="B552" s="6">
        <f t="shared" si="83"/>
        <v>0</v>
      </c>
      <c r="C552" s="6">
        <f t="shared" si="84"/>
        <v>0</v>
      </c>
      <c r="D552" s="6" t="str">
        <f t="shared" si="85"/>
        <v/>
      </c>
      <c r="E552" s="35" t="str">
        <f t="shared" si="81"/>
        <v/>
      </c>
      <c r="F552" s="31"/>
      <c r="G552" s="29"/>
      <c r="H552" s="78" t="str">
        <f t="shared" si="82"/>
        <v/>
      </c>
      <c r="I552" s="25"/>
      <c r="J552" s="25"/>
      <c r="K552" s="26"/>
      <c r="L552" s="26"/>
      <c r="M552" s="37"/>
      <c r="N552" s="27"/>
      <c r="O552" s="30"/>
      <c r="P552" s="39" t="str">
        <f t="shared" si="86"/>
        <v/>
      </c>
      <c r="Q552" s="40" t="str">
        <f>IF(OR(T552=0,RIGHT(T552,1)=$W$1),"",COUNTIF($T$3:T552,T552))</f>
        <v/>
      </c>
      <c r="S552" s="6">
        <f t="shared" si="87"/>
        <v>0</v>
      </c>
      <c r="T552" s="36">
        <f t="shared" si="88"/>
        <v>0</v>
      </c>
      <c r="V552" s="6">
        <f t="shared" si="89"/>
        <v>0</v>
      </c>
      <c r="Y552" s="8">
        <f t="shared" si="90"/>
        <v>46023</v>
      </c>
    </row>
    <row r="553" spans="2:25" ht="18.75" x14ac:dyDescent="0.3">
      <c r="B553" s="6">
        <f t="shared" si="83"/>
        <v>0</v>
      </c>
      <c r="C553" s="6">
        <f t="shared" si="84"/>
        <v>0</v>
      </c>
      <c r="D553" s="6" t="str">
        <f t="shared" si="85"/>
        <v/>
      </c>
      <c r="E553" s="35" t="str">
        <f t="shared" si="81"/>
        <v/>
      </c>
      <c r="F553" s="31"/>
      <c r="G553" s="29"/>
      <c r="H553" s="78" t="str">
        <f t="shared" si="82"/>
        <v/>
      </c>
      <c r="I553" s="25"/>
      <c r="J553" s="25"/>
      <c r="K553" s="26"/>
      <c r="L553" s="26"/>
      <c r="M553" s="37"/>
      <c r="N553" s="27"/>
      <c r="O553" s="30"/>
      <c r="P553" s="39" t="str">
        <f t="shared" si="86"/>
        <v/>
      </c>
      <c r="Q553" s="40" t="str">
        <f>IF(OR(T553=0,RIGHT(T553,1)=$W$1),"",COUNTIF($T$3:T553,T553))</f>
        <v/>
      </c>
      <c r="S553" s="6">
        <f t="shared" si="87"/>
        <v>0</v>
      </c>
      <c r="T553" s="36">
        <f t="shared" si="88"/>
        <v>0</v>
      </c>
      <c r="V553" s="6">
        <f t="shared" si="89"/>
        <v>0</v>
      </c>
      <c r="Y553" s="8">
        <f t="shared" si="90"/>
        <v>46023</v>
      </c>
    </row>
    <row r="554" spans="2:25" ht="18.75" x14ac:dyDescent="0.3">
      <c r="B554" s="6">
        <f t="shared" si="83"/>
        <v>0</v>
      </c>
      <c r="C554" s="6">
        <f t="shared" si="84"/>
        <v>0</v>
      </c>
      <c r="D554" s="6" t="str">
        <f t="shared" si="85"/>
        <v/>
      </c>
      <c r="E554" s="35" t="str">
        <f t="shared" si="81"/>
        <v/>
      </c>
      <c r="F554" s="31"/>
      <c r="G554" s="29"/>
      <c r="H554" s="78" t="str">
        <f t="shared" si="82"/>
        <v/>
      </c>
      <c r="I554" s="25"/>
      <c r="J554" s="25"/>
      <c r="K554" s="26"/>
      <c r="L554" s="26"/>
      <c r="M554" s="37"/>
      <c r="N554" s="27"/>
      <c r="O554" s="30"/>
      <c r="P554" s="39" t="str">
        <f t="shared" si="86"/>
        <v/>
      </c>
      <c r="Q554" s="40" t="str">
        <f>IF(OR(T554=0,RIGHT(T554,1)=$W$1),"",COUNTIF($T$3:T554,T554))</f>
        <v/>
      </c>
      <c r="S554" s="6">
        <f t="shared" si="87"/>
        <v>0</v>
      </c>
      <c r="T554" s="36">
        <f t="shared" si="88"/>
        <v>0</v>
      </c>
      <c r="V554" s="6">
        <f t="shared" si="89"/>
        <v>0</v>
      </c>
      <c r="Y554" s="8">
        <f t="shared" si="90"/>
        <v>46023</v>
      </c>
    </row>
    <row r="555" spans="2:25" ht="18.75" x14ac:dyDescent="0.3">
      <c r="B555" s="6">
        <f t="shared" si="83"/>
        <v>0</v>
      </c>
      <c r="C555" s="6">
        <f t="shared" si="84"/>
        <v>0</v>
      </c>
      <c r="D555" s="6" t="str">
        <f t="shared" si="85"/>
        <v/>
      </c>
      <c r="E555" s="35" t="str">
        <f t="shared" si="81"/>
        <v/>
      </c>
      <c r="F555" s="31"/>
      <c r="G555" s="29"/>
      <c r="H555" s="78" t="str">
        <f t="shared" si="82"/>
        <v/>
      </c>
      <c r="I555" s="25"/>
      <c r="J555" s="25"/>
      <c r="K555" s="26"/>
      <c r="L555" s="26"/>
      <c r="M555" s="37"/>
      <c r="N555" s="27"/>
      <c r="O555" s="30"/>
      <c r="P555" s="39" t="str">
        <f t="shared" si="86"/>
        <v/>
      </c>
      <c r="Q555" s="40" t="str">
        <f>IF(OR(T555=0,RIGHT(T555,1)=$W$1),"",COUNTIF($T$3:T555,T555))</f>
        <v/>
      </c>
      <c r="S555" s="6">
        <f t="shared" si="87"/>
        <v>0</v>
      </c>
      <c r="T555" s="36">
        <f t="shared" si="88"/>
        <v>0</v>
      </c>
      <c r="V555" s="6">
        <f t="shared" si="89"/>
        <v>0</v>
      </c>
      <c r="Y555" s="8">
        <f t="shared" si="90"/>
        <v>46023</v>
      </c>
    </row>
    <row r="556" spans="2:25" ht="18.75" x14ac:dyDescent="0.3">
      <c r="B556" s="6">
        <f t="shared" si="83"/>
        <v>0</v>
      </c>
      <c r="C556" s="6">
        <f t="shared" si="84"/>
        <v>0</v>
      </c>
      <c r="D556" s="6" t="str">
        <f t="shared" si="85"/>
        <v/>
      </c>
      <c r="E556" s="35" t="str">
        <f t="shared" si="81"/>
        <v/>
      </c>
      <c r="F556" s="31"/>
      <c r="G556" s="29"/>
      <c r="H556" s="78" t="str">
        <f t="shared" si="82"/>
        <v/>
      </c>
      <c r="I556" s="25"/>
      <c r="J556" s="25"/>
      <c r="K556" s="26"/>
      <c r="L556" s="26"/>
      <c r="M556" s="37"/>
      <c r="N556" s="27"/>
      <c r="O556" s="30"/>
      <c r="P556" s="39" t="str">
        <f t="shared" si="86"/>
        <v/>
      </c>
      <c r="Q556" s="40" t="str">
        <f>IF(OR(T556=0,RIGHT(T556,1)=$W$1),"",COUNTIF($T$3:T556,T556))</f>
        <v/>
      </c>
      <c r="S556" s="6">
        <f t="shared" si="87"/>
        <v>0</v>
      </c>
      <c r="T556" s="36">
        <f t="shared" si="88"/>
        <v>0</v>
      </c>
      <c r="V556" s="6">
        <f t="shared" si="89"/>
        <v>0</v>
      </c>
      <c r="Y556" s="8">
        <f t="shared" si="90"/>
        <v>46023</v>
      </c>
    </row>
    <row r="557" spans="2:25" ht="18.75" x14ac:dyDescent="0.3">
      <c r="B557" s="6">
        <f t="shared" si="83"/>
        <v>0</v>
      </c>
      <c r="C557" s="6">
        <f t="shared" si="84"/>
        <v>0</v>
      </c>
      <c r="D557" s="6" t="str">
        <f t="shared" si="85"/>
        <v/>
      </c>
      <c r="E557" s="35" t="str">
        <f t="shared" si="81"/>
        <v/>
      </c>
      <c r="F557" s="31"/>
      <c r="G557" s="29"/>
      <c r="H557" s="78" t="str">
        <f t="shared" si="82"/>
        <v/>
      </c>
      <c r="I557" s="25"/>
      <c r="J557" s="25"/>
      <c r="K557" s="26"/>
      <c r="L557" s="26"/>
      <c r="M557" s="37"/>
      <c r="N557" s="27"/>
      <c r="O557" s="30"/>
      <c r="P557" s="39" t="str">
        <f t="shared" si="86"/>
        <v/>
      </c>
      <c r="Q557" s="40" t="str">
        <f>IF(OR(T557=0,RIGHT(T557,1)=$W$1),"",COUNTIF($T$3:T557,T557))</f>
        <v/>
      </c>
      <c r="S557" s="6">
        <f t="shared" si="87"/>
        <v>0</v>
      </c>
      <c r="T557" s="36">
        <f t="shared" si="88"/>
        <v>0</v>
      </c>
      <c r="V557" s="6">
        <f t="shared" si="89"/>
        <v>0</v>
      </c>
      <c r="Y557" s="8">
        <f t="shared" si="90"/>
        <v>46023</v>
      </c>
    </row>
    <row r="558" spans="2:25" ht="18.75" x14ac:dyDescent="0.3">
      <c r="B558" s="6">
        <f t="shared" si="83"/>
        <v>0</v>
      </c>
      <c r="C558" s="6">
        <f t="shared" si="84"/>
        <v>0</v>
      </c>
      <c r="D558" s="6" t="str">
        <f t="shared" si="85"/>
        <v/>
      </c>
      <c r="E558" s="35" t="str">
        <f t="shared" si="81"/>
        <v/>
      </c>
      <c r="F558" s="31"/>
      <c r="G558" s="29"/>
      <c r="H558" s="78" t="str">
        <f t="shared" si="82"/>
        <v/>
      </c>
      <c r="I558" s="25"/>
      <c r="J558" s="25"/>
      <c r="K558" s="26"/>
      <c r="L558" s="26"/>
      <c r="M558" s="37"/>
      <c r="N558" s="27"/>
      <c r="O558" s="30"/>
      <c r="P558" s="39" t="str">
        <f t="shared" si="86"/>
        <v/>
      </c>
      <c r="Q558" s="40" t="str">
        <f>IF(OR(T558=0,RIGHT(T558,1)=$W$1),"",COUNTIF($T$3:T558,T558))</f>
        <v/>
      </c>
      <c r="S558" s="6">
        <f t="shared" si="87"/>
        <v>0</v>
      </c>
      <c r="T558" s="36">
        <f t="shared" si="88"/>
        <v>0</v>
      </c>
      <c r="V558" s="6">
        <f t="shared" si="89"/>
        <v>0</v>
      </c>
      <c r="Y558" s="8">
        <f t="shared" si="90"/>
        <v>46023</v>
      </c>
    </row>
    <row r="559" spans="2:25" ht="18.75" x14ac:dyDescent="0.3">
      <c r="B559" s="6">
        <f t="shared" si="83"/>
        <v>0</v>
      </c>
      <c r="C559" s="6">
        <f t="shared" si="84"/>
        <v>0</v>
      </c>
      <c r="D559" s="6" t="str">
        <f t="shared" si="85"/>
        <v/>
      </c>
      <c r="E559" s="35" t="str">
        <f t="shared" si="81"/>
        <v/>
      </c>
      <c r="F559" s="31"/>
      <c r="G559" s="29"/>
      <c r="H559" s="78" t="str">
        <f t="shared" si="82"/>
        <v/>
      </c>
      <c r="I559" s="25"/>
      <c r="J559" s="25"/>
      <c r="K559" s="26"/>
      <c r="L559" s="26"/>
      <c r="M559" s="37"/>
      <c r="N559" s="27"/>
      <c r="O559" s="30"/>
      <c r="P559" s="39" t="str">
        <f t="shared" si="86"/>
        <v/>
      </c>
      <c r="Q559" s="40" t="str">
        <f>IF(OR(T559=0,RIGHT(T559,1)=$W$1),"",COUNTIF($T$3:T559,T559))</f>
        <v/>
      </c>
      <c r="S559" s="6">
        <f t="shared" si="87"/>
        <v>0</v>
      </c>
      <c r="T559" s="36">
        <f t="shared" si="88"/>
        <v>0</v>
      </c>
      <c r="V559" s="6">
        <f t="shared" si="89"/>
        <v>0</v>
      </c>
      <c r="Y559" s="8">
        <f t="shared" si="90"/>
        <v>46023</v>
      </c>
    </row>
    <row r="560" spans="2:25" ht="18.75" x14ac:dyDescent="0.3">
      <c r="B560" s="6">
        <f t="shared" si="83"/>
        <v>0</v>
      </c>
      <c r="C560" s="6">
        <f t="shared" si="84"/>
        <v>0</v>
      </c>
      <c r="D560" s="6" t="str">
        <f t="shared" si="85"/>
        <v/>
      </c>
      <c r="E560" s="35" t="str">
        <f t="shared" si="81"/>
        <v/>
      </c>
      <c r="F560" s="31"/>
      <c r="G560" s="29"/>
      <c r="H560" s="78" t="str">
        <f t="shared" si="82"/>
        <v/>
      </c>
      <c r="I560" s="25"/>
      <c r="J560" s="25"/>
      <c r="K560" s="26"/>
      <c r="L560" s="26"/>
      <c r="M560" s="37"/>
      <c r="N560" s="27"/>
      <c r="O560" s="30"/>
      <c r="P560" s="39" t="str">
        <f t="shared" si="86"/>
        <v/>
      </c>
      <c r="Q560" s="40" t="str">
        <f>IF(OR(T560=0,RIGHT(T560,1)=$W$1),"",COUNTIF($T$3:T560,T560))</f>
        <v/>
      </c>
      <c r="S560" s="6">
        <f t="shared" si="87"/>
        <v>0</v>
      </c>
      <c r="T560" s="36">
        <f t="shared" si="88"/>
        <v>0</v>
      </c>
      <c r="V560" s="6">
        <f t="shared" si="89"/>
        <v>0</v>
      </c>
      <c r="Y560" s="8">
        <f t="shared" si="90"/>
        <v>46023</v>
      </c>
    </row>
    <row r="561" spans="2:25" ht="18.75" x14ac:dyDescent="0.3">
      <c r="B561" s="6">
        <f t="shared" si="83"/>
        <v>0</v>
      </c>
      <c r="C561" s="6">
        <f t="shared" si="84"/>
        <v>0</v>
      </c>
      <c r="D561" s="6" t="str">
        <f t="shared" si="85"/>
        <v/>
      </c>
      <c r="E561" s="35" t="str">
        <f t="shared" si="81"/>
        <v/>
      </c>
      <c r="F561" s="31"/>
      <c r="G561" s="29"/>
      <c r="H561" s="78" t="str">
        <f t="shared" si="82"/>
        <v/>
      </c>
      <c r="I561" s="25"/>
      <c r="J561" s="25"/>
      <c r="K561" s="26"/>
      <c r="L561" s="26"/>
      <c r="M561" s="37"/>
      <c r="N561" s="27"/>
      <c r="O561" s="30"/>
      <c r="P561" s="39" t="str">
        <f t="shared" si="86"/>
        <v/>
      </c>
      <c r="Q561" s="40" t="str">
        <f>IF(OR(T561=0,RIGHT(T561,1)=$W$1),"",COUNTIF($T$3:T561,T561))</f>
        <v/>
      </c>
      <c r="S561" s="6">
        <f t="shared" si="87"/>
        <v>0</v>
      </c>
      <c r="T561" s="36">
        <f t="shared" si="88"/>
        <v>0</v>
      </c>
      <c r="V561" s="6">
        <f t="shared" si="89"/>
        <v>0</v>
      </c>
      <c r="Y561" s="8">
        <f t="shared" si="90"/>
        <v>46023</v>
      </c>
    </row>
    <row r="562" spans="2:25" ht="18.75" x14ac:dyDescent="0.3">
      <c r="B562" s="6">
        <f t="shared" si="83"/>
        <v>0</v>
      </c>
      <c r="C562" s="6">
        <f t="shared" si="84"/>
        <v>0</v>
      </c>
      <c r="D562" s="6" t="str">
        <f t="shared" si="85"/>
        <v/>
      </c>
      <c r="E562" s="35" t="str">
        <f t="shared" si="81"/>
        <v/>
      </c>
      <c r="F562" s="31"/>
      <c r="G562" s="29"/>
      <c r="H562" s="78" t="str">
        <f t="shared" si="82"/>
        <v/>
      </c>
      <c r="I562" s="25"/>
      <c r="J562" s="25"/>
      <c r="K562" s="26"/>
      <c r="L562" s="26"/>
      <c r="M562" s="37"/>
      <c r="N562" s="27"/>
      <c r="O562" s="30"/>
      <c r="P562" s="39" t="str">
        <f t="shared" si="86"/>
        <v/>
      </c>
      <c r="Q562" s="40" t="str">
        <f>IF(OR(T562=0,RIGHT(T562,1)=$W$1),"",COUNTIF($T$3:T562,T562))</f>
        <v/>
      </c>
      <c r="S562" s="6">
        <f t="shared" si="87"/>
        <v>0</v>
      </c>
      <c r="T562" s="36">
        <f t="shared" si="88"/>
        <v>0</v>
      </c>
      <c r="V562" s="6">
        <f t="shared" si="89"/>
        <v>0</v>
      </c>
      <c r="Y562" s="8">
        <f t="shared" si="90"/>
        <v>46023</v>
      </c>
    </row>
    <row r="563" spans="2:25" ht="18.75" x14ac:dyDescent="0.3">
      <c r="B563" s="6">
        <f t="shared" si="83"/>
        <v>0</v>
      </c>
      <c r="C563" s="6">
        <f t="shared" si="84"/>
        <v>0</v>
      </c>
      <c r="D563" s="6" t="str">
        <f t="shared" si="85"/>
        <v/>
      </c>
      <c r="E563" s="35" t="str">
        <f t="shared" si="81"/>
        <v/>
      </c>
      <c r="F563" s="31"/>
      <c r="G563" s="29"/>
      <c r="H563" s="78" t="str">
        <f t="shared" si="82"/>
        <v/>
      </c>
      <c r="I563" s="25"/>
      <c r="J563" s="25"/>
      <c r="K563" s="26"/>
      <c r="L563" s="26"/>
      <c r="M563" s="37"/>
      <c r="N563" s="27"/>
      <c r="O563" s="30"/>
      <c r="P563" s="39" t="str">
        <f t="shared" si="86"/>
        <v/>
      </c>
      <c r="Q563" s="40" t="str">
        <f>IF(OR(T563=0,RIGHT(T563,1)=$W$1),"",COUNTIF($T$3:T563,T563))</f>
        <v/>
      </c>
      <c r="S563" s="6">
        <f t="shared" si="87"/>
        <v>0</v>
      </c>
      <c r="T563" s="36">
        <f t="shared" si="88"/>
        <v>0</v>
      </c>
      <c r="V563" s="6">
        <f t="shared" si="89"/>
        <v>0</v>
      </c>
      <c r="Y563" s="8">
        <f t="shared" si="90"/>
        <v>46023</v>
      </c>
    </row>
    <row r="564" spans="2:25" ht="18.75" x14ac:dyDescent="0.3">
      <c r="B564" s="6">
        <f t="shared" si="83"/>
        <v>0</v>
      </c>
      <c r="C564" s="6">
        <f t="shared" si="84"/>
        <v>0</v>
      </c>
      <c r="D564" s="6" t="str">
        <f t="shared" si="85"/>
        <v/>
      </c>
      <c r="E564" s="35" t="str">
        <f t="shared" si="81"/>
        <v/>
      </c>
      <c r="F564" s="31"/>
      <c r="G564" s="29"/>
      <c r="H564" s="78" t="str">
        <f t="shared" si="82"/>
        <v/>
      </c>
      <c r="I564" s="25"/>
      <c r="J564" s="25"/>
      <c r="K564" s="26"/>
      <c r="L564" s="26"/>
      <c r="M564" s="37"/>
      <c r="N564" s="27"/>
      <c r="O564" s="30"/>
      <c r="P564" s="39" t="str">
        <f t="shared" si="86"/>
        <v/>
      </c>
      <c r="Q564" s="40" t="str">
        <f>IF(OR(T564=0,RIGHT(T564,1)=$W$1),"",COUNTIF($T$3:T564,T564))</f>
        <v/>
      </c>
      <c r="S564" s="6">
        <f t="shared" si="87"/>
        <v>0</v>
      </c>
      <c r="T564" s="36">
        <f t="shared" si="88"/>
        <v>0</v>
      </c>
      <c r="V564" s="6">
        <f t="shared" si="89"/>
        <v>0</v>
      </c>
      <c r="Y564" s="8">
        <f t="shared" si="90"/>
        <v>46023</v>
      </c>
    </row>
    <row r="565" spans="2:25" ht="18.75" x14ac:dyDescent="0.3">
      <c r="B565" s="6">
        <f t="shared" si="83"/>
        <v>0</v>
      </c>
      <c r="C565" s="6">
        <f t="shared" si="84"/>
        <v>0</v>
      </c>
      <c r="D565" s="6" t="str">
        <f t="shared" si="85"/>
        <v/>
      </c>
      <c r="E565" s="35" t="str">
        <f t="shared" si="81"/>
        <v/>
      </c>
      <c r="F565" s="31"/>
      <c r="G565" s="29"/>
      <c r="H565" s="78" t="str">
        <f t="shared" si="82"/>
        <v/>
      </c>
      <c r="I565" s="25"/>
      <c r="J565" s="25"/>
      <c r="K565" s="26"/>
      <c r="L565" s="26"/>
      <c r="M565" s="37"/>
      <c r="N565" s="27"/>
      <c r="O565" s="30"/>
      <c r="P565" s="39" t="str">
        <f t="shared" si="86"/>
        <v/>
      </c>
      <c r="Q565" s="40" t="str">
        <f>IF(OR(T565=0,RIGHT(T565,1)=$W$1),"",COUNTIF($T$3:T565,T565))</f>
        <v/>
      </c>
      <c r="S565" s="6">
        <f t="shared" si="87"/>
        <v>0</v>
      </c>
      <c r="T565" s="36">
        <f t="shared" si="88"/>
        <v>0</v>
      </c>
      <c r="V565" s="6">
        <f t="shared" si="89"/>
        <v>0</v>
      </c>
      <c r="Y565" s="8">
        <f t="shared" si="90"/>
        <v>46023</v>
      </c>
    </row>
    <row r="566" spans="2:25" ht="18.75" x14ac:dyDescent="0.3">
      <c r="B566" s="6">
        <f t="shared" si="83"/>
        <v>0</v>
      </c>
      <c r="C566" s="6">
        <f t="shared" si="84"/>
        <v>0</v>
      </c>
      <c r="D566" s="6" t="str">
        <f t="shared" si="85"/>
        <v/>
      </c>
      <c r="E566" s="35" t="str">
        <f t="shared" si="81"/>
        <v/>
      </c>
      <c r="F566" s="31"/>
      <c r="G566" s="29"/>
      <c r="H566" s="78" t="str">
        <f t="shared" si="82"/>
        <v/>
      </c>
      <c r="I566" s="25"/>
      <c r="J566" s="25"/>
      <c r="K566" s="26"/>
      <c r="L566" s="26"/>
      <c r="M566" s="37"/>
      <c r="N566" s="27"/>
      <c r="O566" s="30"/>
      <c r="P566" s="39" t="str">
        <f t="shared" si="86"/>
        <v/>
      </c>
      <c r="Q566" s="40" t="str">
        <f>IF(OR(T566=0,RIGHT(T566,1)=$W$1),"",COUNTIF($T$3:T566,T566))</f>
        <v/>
      </c>
      <c r="S566" s="6">
        <f t="shared" si="87"/>
        <v>0</v>
      </c>
      <c r="T566" s="36">
        <f t="shared" si="88"/>
        <v>0</v>
      </c>
      <c r="V566" s="6">
        <f t="shared" si="89"/>
        <v>0</v>
      </c>
      <c r="Y566" s="8">
        <f t="shared" si="90"/>
        <v>46023</v>
      </c>
    </row>
    <row r="567" spans="2:25" ht="18.75" x14ac:dyDescent="0.3">
      <c r="B567" s="6">
        <f t="shared" si="83"/>
        <v>0</v>
      </c>
      <c r="C567" s="6">
        <f t="shared" si="84"/>
        <v>0</v>
      </c>
      <c r="D567" s="6" t="str">
        <f t="shared" si="85"/>
        <v/>
      </c>
      <c r="E567" s="35" t="str">
        <f t="shared" si="81"/>
        <v/>
      </c>
      <c r="F567" s="31"/>
      <c r="G567" s="29"/>
      <c r="H567" s="78" t="str">
        <f t="shared" si="82"/>
        <v/>
      </c>
      <c r="I567" s="25"/>
      <c r="J567" s="25"/>
      <c r="K567" s="26"/>
      <c r="L567" s="26"/>
      <c r="M567" s="37"/>
      <c r="N567" s="27"/>
      <c r="O567" s="30"/>
      <c r="P567" s="39" t="str">
        <f t="shared" si="86"/>
        <v/>
      </c>
      <c r="Q567" s="40" t="str">
        <f>IF(OR(T567=0,RIGHT(T567,1)=$W$1),"",COUNTIF($T$3:T567,T567))</f>
        <v/>
      </c>
      <c r="S567" s="6">
        <f t="shared" si="87"/>
        <v>0</v>
      </c>
      <c r="T567" s="36">
        <f t="shared" si="88"/>
        <v>0</v>
      </c>
      <c r="V567" s="6">
        <f t="shared" si="89"/>
        <v>0</v>
      </c>
      <c r="Y567" s="8">
        <f t="shared" si="90"/>
        <v>46023</v>
      </c>
    </row>
    <row r="568" spans="2:25" ht="18.75" x14ac:dyDescent="0.3">
      <c r="B568" s="6">
        <f t="shared" si="83"/>
        <v>0</v>
      </c>
      <c r="C568" s="6">
        <f t="shared" si="84"/>
        <v>0</v>
      </c>
      <c r="D568" s="6" t="str">
        <f t="shared" si="85"/>
        <v/>
      </c>
      <c r="E568" s="35" t="str">
        <f t="shared" si="81"/>
        <v/>
      </c>
      <c r="F568" s="31"/>
      <c r="G568" s="29"/>
      <c r="H568" s="78" t="str">
        <f t="shared" si="82"/>
        <v/>
      </c>
      <c r="I568" s="25"/>
      <c r="J568" s="25"/>
      <c r="K568" s="26"/>
      <c r="L568" s="26"/>
      <c r="M568" s="37"/>
      <c r="N568" s="27"/>
      <c r="O568" s="30"/>
      <c r="P568" s="39" t="str">
        <f t="shared" si="86"/>
        <v/>
      </c>
      <c r="Q568" s="40" t="str">
        <f>IF(OR(T568=0,RIGHT(T568,1)=$W$1),"",COUNTIF($T$3:T568,T568))</f>
        <v/>
      </c>
      <c r="S568" s="6">
        <f t="shared" si="87"/>
        <v>0</v>
      </c>
      <c r="T568" s="36">
        <f t="shared" si="88"/>
        <v>0</v>
      </c>
      <c r="V568" s="6">
        <f t="shared" si="89"/>
        <v>0</v>
      </c>
      <c r="Y568" s="8">
        <f t="shared" si="90"/>
        <v>46023</v>
      </c>
    </row>
    <row r="569" spans="2:25" ht="18.75" x14ac:dyDescent="0.3">
      <c r="B569" s="6">
        <f t="shared" si="83"/>
        <v>0</v>
      </c>
      <c r="C569" s="6">
        <f t="shared" si="84"/>
        <v>0</v>
      </c>
      <c r="D569" s="6" t="str">
        <f t="shared" si="85"/>
        <v/>
      </c>
      <c r="E569" s="35" t="str">
        <f t="shared" si="81"/>
        <v/>
      </c>
      <c r="F569" s="31"/>
      <c r="G569" s="29"/>
      <c r="H569" s="78" t="str">
        <f t="shared" si="82"/>
        <v/>
      </c>
      <c r="I569" s="25"/>
      <c r="J569" s="25"/>
      <c r="K569" s="26"/>
      <c r="L569" s="26"/>
      <c r="M569" s="37"/>
      <c r="N569" s="27"/>
      <c r="O569" s="30"/>
      <c r="P569" s="39" t="str">
        <f t="shared" si="86"/>
        <v/>
      </c>
      <c r="Q569" s="40" t="str">
        <f>IF(OR(T569=0,RIGHT(T569,1)=$W$1),"",COUNTIF($T$3:T569,T569))</f>
        <v/>
      </c>
      <c r="S569" s="6">
        <f t="shared" si="87"/>
        <v>0</v>
      </c>
      <c r="T569" s="36">
        <f t="shared" si="88"/>
        <v>0</v>
      </c>
      <c r="V569" s="6">
        <f t="shared" si="89"/>
        <v>0</v>
      </c>
      <c r="Y569" s="8">
        <f t="shared" si="90"/>
        <v>46023</v>
      </c>
    </row>
    <row r="570" spans="2:25" ht="18.75" x14ac:dyDescent="0.3">
      <c r="B570" s="6">
        <f t="shared" si="83"/>
        <v>0</v>
      </c>
      <c r="C570" s="6">
        <f t="shared" si="84"/>
        <v>0</v>
      </c>
      <c r="D570" s="6" t="str">
        <f t="shared" si="85"/>
        <v/>
      </c>
      <c r="E570" s="35" t="str">
        <f t="shared" si="81"/>
        <v/>
      </c>
      <c r="F570" s="31"/>
      <c r="G570" s="29"/>
      <c r="H570" s="78" t="str">
        <f t="shared" si="82"/>
        <v/>
      </c>
      <c r="I570" s="25"/>
      <c r="J570" s="25"/>
      <c r="K570" s="26"/>
      <c r="L570" s="26"/>
      <c r="M570" s="37"/>
      <c r="N570" s="27"/>
      <c r="O570" s="30"/>
      <c r="P570" s="39" t="str">
        <f t="shared" si="86"/>
        <v/>
      </c>
      <c r="Q570" s="40" t="str">
        <f>IF(OR(T570=0,RIGHT(T570,1)=$W$1),"",COUNTIF($T$3:T570,T570))</f>
        <v/>
      </c>
      <c r="S570" s="6">
        <f t="shared" si="87"/>
        <v>0</v>
      </c>
      <c r="T570" s="36">
        <f t="shared" si="88"/>
        <v>0</v>
      </c>
      <c r="V570" s="6">
        <f t="shared" si="89"/>
        <v>0</v>
      </c>
      <c r="Y570" s="8">
        <f t="shared" si="90"/>
        <v>46023</v>
      </c>
    </row>
    <row r="571" spans="2:25" ht="18.75" x14ac:dyDescent="0.3">
      <c r="B571" s="6">
        <f t="shared" si="83"/>
        <v>0</v>
      </c>
      <c r="C571" s="6">
        <f t="shared" si="84"/>
        <v>0</v>
      </c>
      <c r="D571" s="6" t="str">
        <f t="shared" si="85"/>
        <v/>
      </c>
      <c r="E571" s="35" t="str">
        <f t="shared" si="81"/>
        <v/>
      </c>
      <c r="F571" s="31"/>
      <c r="G571" s="29"/>
      <c r="H571" s="78" t="str">
        <f t="shared" si="82"/>
        <v/>
      </c>
      <c r="I571" s="25"/>
      <c r="J571" s="25"/>
      <c r="K571" s="26"/>
      <c r="L571" s="26"/>
      <c r="M571" s="37"/>
      <c r="N571" s="27"/>
      <c r="O571" s="30"/>
      <c r="P571" s="39" t="str">
        <f t="shared" si="86"/>
        <v/>
      </c>
      <c r="Q571" s="40" t="str">
        <f>IF(OR(T571=0,RIGHT(T571,1)=$W$1),"",COUNTIF($T$3:T571,T571))</f>
        <v/>
      </c>
      <c r="S571" s="6">
        <f t="shared" si="87"/>
        <v>0</v>
      </c>
      <c r="T571" s="36">
        <f t="shared" si="88"/>
        <v>0</v>
      </c>
      <c r="V571" s="6">
        <f t="shared" si="89"/>
        <v>0</v>
      </c>
      <c r="Y571" s="8">
        <f t="shared" si="90"/>
        <v>46023</v>
      </c>
    </row>
    <row r="572" spans="2:25" ht="18.75" x14ac:dyDescent="0.3">
      <c r="B572" s="6">
        <f t="shared" si="83"/>
        <v>0</v>
      </c>
      <c r="C572" s="6">
        <f t="shared" si="84"/>
        <v>0</v>
      </c>
      <c r="D572" s="6" t="str">
        <f t="shared" si="85"/>
        <v/>
      </c>
      <c r="E572" s="35" t="str">
        <f t="shared" si="81"/>
        <v/>
      </c>
      <c r="F572" s="31"/>
      <c r="G572" s="29"/>
      <c r="H572" s="78" t="str">
        <f t="shared" si="82"/>
        <v/>
      </c>
      <c r="I572" s="25"/>
      <c r="J572" s="25"/>
      <c r="K572" s="26"/>
      <c r="L572" s="26"/>
      <c r="M572" s="37"/>
      <c r="N572" s="27"/>
      <c r="O572" s="30"/>
      <c r="P572" s="39" t="str">
        <f t="shared" si="86"/>
        <v/>
      </c>
      <c r="Q572" s="40" t="str">
        <f>IF(OR(T572=0,RIGHT(T572,1)=$W$1),"",COUNTIF($T$3:T572,T572))</f>
        <v/>
      </c>
      <c r="S572" s="6">
        <f t="shared" si="87"/>
        <v>0</v>
      </c>
      <c r="T572" s="36">
        <f t="shared" si="88"/>
        <v>0</v>
      </c>
      <c r="V572" s="6">
        <f t="shared" si="89"/>
        <v>0</v>
      </c>
      <c r="Y572" s="8">
        <f t="shared" si="90"/>
        <v>46023</v>
      </c>
    </row>
    <row r="573" spans="2:25" ht="18.75" x14ac:dyDescent="0.3">
      <c r="B573" s="6">
        <f t="shared" si="83"/>
        <v>0</v>
      </c>
      <c r="C573" s="6">
        <f t="shared" si="84"/>
        <v>0</v>
      </c>
      <c r="D573" s="6" t="str">
        <f t="shared" si="85"/>
        <v/>
      </c>
      <c r="E573" s="35" t="str">
        <f t="shared" si="81"/>
        <v/>
      </c>
      <c r="F573" s="31"/>
      <c r="G573" s="29"/>
      <c r="H573" s="78" t="str">
        <f t="shared" si="82"/>
        <v/>
      </c>
      <c r="I573" s="25"/>
      <c r="J573" s="25"/>
      <c r="K573" s="26"/>
      <c r="L573" s="26"/>
      <c r="M573" s="37"/>
      <c r="N573" s="27"/>
      <c r="O573" s="30"/>
      <c r="P573" s="39" t="str">
        <f t="shared" si="86"/>
        <v/>
      </c>
      <c r="Q573" s="40" t="str">
        <f>IF(OR(T573=0,RIGHT(T573,1)=$W$1),"",COUNTIF($T$3:T573,T573))</f>
        <v/>
      </c>
      <c r="S573" s="6">
        <f t="shared" si="87"/>
        <v>0</v>
      </c>
      <c r="T573" s="36">
        <f t="shared" si="88"/>
        <v>0</v>
      </c>
      <c r="V573" s="6">
        <f t="shared" si="89"/>
        <v>0</v>
      </c>
      <c r="Y573" s="8">
        <f t="shared" si="90"/>
        <v>46023</v>
      </c>
    </row>
    <row r="574" spans="2:25" ht="18.75" x14ac:dyDescent="0.3">
      <c r="B574" s="6">
        <f t="shared" si="83"/>
        <v>0</v>
      </c>
      <c r="C574" s="6">
        <f t="shared" si="84"/>
        <v>0</v>
      </c>
      <c r="D574" s="6" t="str">
        <f t="shared" si="85"/>
        <v/>
      </c>
      <c r="E574" s="35" t="str">
        <f t="shared" si="81"/>
        <v/>
      </c>
      <c r="F574" s="31"/>
      <c r="G574" s="29"/>
      <c r="H574" s="78" t="str">
        <f t="shared" si="82"/>
        <v/>
      </c>
      <c r="I574" s="25"/>
      <c r="J574" s="25"/>
      <c r="K574" s="26"/>
      <c r="L574" s="26"/>
      <c r="M574" s="37"/>
      <c r="N574" s="27"/>
      <c r="O574" s="30"/>
      <c r="P574" s="39" t="str">
        <f t="shared" si="86"/>
        <v/>
      </c>
      <c r="Q574" s="40" t="str">
        <f>IF(OR(T574=0,RIGHT(T574,1)=$W$1),"",COUNTIF($T$3:T574,T574))</f>
        <v/>
      </c>
      <c r="S574" s="6">
        <f t="shared" si="87"/>
        <v>0</v>
      </c>
      <c r="T574" s="36">
        <f t="shared" si="88"/>
        <v>0</v>
      </c>
      <c r="V574" s="6">
        <f t="shared" si="89"/>
        <v>0</v>
      </c>
      <c r="Y574" s="8">
        <f t="shared" si="90"/>
        <v>46023</v>
      </c>
    </row>
    <row r="575" spans="2:25" ht="18.75" x14ac:dyDescent="0.3">
      <c r="B575" s="6">
        <f t="shared" si="83"/>
        <v>0</v>
      </c>
      <c r="C575" s="6">
        <f t="shared" si="84"/>
        <v>0</v>
      </c>
      <c r="D575" s="6" t="str">
        <f t="shared" si="85"/>
        <v/>
      </c>
      <c r="E575" s="35" t="str">
        <f t="shared" si="81"/>
        <v/>
      </c>
      <c r="F575" s="31"/>
      <c r="G575" s="29"/>
      <c r="H575" s="78" t="str">
        <f t="shared" si="82"/>
        <v/>
      </c>
      <c r="I575" s="25"/>
      <c r="J575" s="25"/>
      <c r="K575" s="26"/>
      <c r="L575" s="26"/>
      <c r="M575" s="37"/>
      <c r="N575" s="27"/>
      <c r="O575" s="30"/>
      <c r="P575" s="39" t="str">
        <f t="shared" si="86"/>
        <v/>
      </c>
      <c r="Q575" s="40" t="str">
        <f>IF(OR(T575=0,RIGHT(T575,1)=$W$1),"",COUNTIF($T$3:T575,T575))</f>
        <v/>
      </c>
      <c r="S575" s="6">
        <f t="shared" si="87"/>
        <v>0</v>
      </c>
      <c r="T575" s="36">
        <f t="shared" si="88"/>
        <v>0</v>
      </c>
      <c r="V575" s="6">
        <f t="shared" si="89"/>
        <v>0</v>
      </c>
      <c r="Y575" s="8">
        <f t="shared" si="90"/>
        <v>46023</v>
      </c>
    </row>
    <row r="576" spans="2:25" ht="18.75" x14ac:dyDescent="0.3">
      <c r="B576" s="6">
        <f t="shared" si="83"/>
        <v>0</v>
      </c>
      <c r="C576" s="6">
        <f t="shared" si="84"/>
        <v>0</v>
      </c>
      <c r="D576" s="6" t="str">
        <f t="shared" si="85"/>
        <v/>
      </c>
      <c r="E576" s="35" t="str">
        <f t="shared" si="81"/>
        <v/>
      </c>
      <c r="F576" s="31"/>
      <c r="G576" s="29"/>
      <c r="H576" s="78" t="str">
        <f t="shared" si="82"/>
        <v/>
      </c>
      <c r="I576" s="25"/>
      <c r="J576" s="25"/>
      <c r="K576" s="26"/>
      <c r="L576" s="26"/>
      <c r="M576" s="37"/>
      <c r="N576" s="27"/>
      <c r="O576" s="30"/>
      <c r="P576" s="39" t="str">
        <f t="shared" si="86"/>
        <v/>
      </c>
      <c r="Q576" s="40" t="str">
        <f>IF(OR(T576=0,RIGHT(T576,1)=$W$1),"",COUNTIF($T$3:T576,T576))</f>
        <v/>
      </c>
      <c r="S576" s="6">
        <f t="shared" si="87"/>
        <v>0</v>
      </c>
      <c r="T576" s="36">
        <f t="shared" si="88"/>
        <v>0</v>
      </c>
      <c r="V576" s="6">
        <f t="shared" si="89"/>
        <v>0</v>
      </c>
      <c r="Y576" s="8">
        <f t="shared" si="90"/>
        <v>46023</v>
      </c>
    </row>
    <row r="577" spans="2:25" ht="18.75" x14ac:dyDescent="0.3">
      <c r="B577" s="6">
        <f t="shared" si="83"/>
        <v>0</v>
      </c>
      <c r="C577" s="6">
        <f t="shared" si="84"/>
        <v>0</v>
      </c>
      <c r="D577" s="6" t="str">
        <f t="shared" si="85"/>
        <v/>
      </c>
      <c r="E577" s="35" t="str">
        <f t="shared" si="81"/>
        <v/>
      </c>
      <c r="F577" s="31"/>
      <c r="G577" s="29"/>
      <c r="H577" s="78" t="str">
        <f t="shared" si="82"/>
        <v/>
      </c>
      <c r="I577" s="25"/>
      <c r="J577" s="25"/>
      <c r="K577" s="26"/>
      <c r="L577" s="26"/>
      <c r="M577" s="37"/>
      <c r="N577" s="27"/>
      <c r="O577" s="30"/>
      <c r="P577" s="39" t="str">
        <f t="shared" si="86"/>
        <v/>
      </c>
      <c r="Q577" s="40" t="str">
        <f>IF(OR(T577=0,RIGHT(T577,1)=$W$1),"",COUNTIF($T$3:T577,T577))</f>
        <v/>
      </c>
      <c r="S577" s="6">
        <f t="shared" si="87"/>
        <v>0</v>
      </c>
      <c r="T577" s="36">
        <f t="shared" si="88"/>
        <v>0</v>
      </c>
      <c r="V577" s="6">
        <f t="shared" si="89"/>
        <v>0</v>
      </c>
      <c r="Y577" s="8">
        <f t="shared" si="90"/>
        <v>46023</v>
      </c>
    </row>
    <row r="578" spans="2:25" ht="18.75" x14ac:dyDescent="0.3">
      <c r="B578" s="6">
        <f t="shared" si="83"/>
        <v>0</v>
      </c>
      <c r="C578" s="6">
        <f t="shared" si="84"/>
        <v>0</v>
      </c>
      <c r="D578" s="6" t="str">
        <f t="shared" si="85"/>
        <v/>
      </c>
      <c r="E578" s="35" t="str">
        <f t="shared" si="81"/>
        <v/>
      </c>
      <c r="F578" s="31"/>
      <c r="G578" s="29"/>
      <c r="H578" s="78" t="str">
        <f t="shared" si="82"/>
        <v/>
      </c>
      <c r="I578" s="25"/>
      <c r="J578" s="25"/>
      <c r="K578" s="26"/>
      <c r="L578" s="26"/>
      <c r="M578" s="37"/>
      <c r="N578" s="27"/>
      <c r="O578" s="30"/>
      <c r="P578" s="39" t="str">
        <f t="shared" si="86"/>
        <v/>
      </c>
      <c r="Q578" s="40" t="str">
        <f>IF(OR(T578=0,RIGHT(T578,1)=$W$1),"",COUNTIF($T$3:T578,T578))</f>
        <v/>
      </c>
      <c r="S578" s="6">
        <f t="shared" si="87"/>
        <v>0</v>
      </c>
      <c r="T578" s="36">
        <f t="shared" si="88"/>
        <v>0</v>
      </c>
      <c r="V578" s="6">
        <f t="shared" si="89"/>
        <v>0</v>
      </c>
      <c r="Y578" s="8">
        <f t="shared" si="90"/>
        <v>46023</v>
      </c>
    </row>
    <row r="579" spans="2:25" ht="18.75" x14ac:dyDescent="0.3">
      <c r="B579" s="6">
        <f t="shared" si="83"/>
        <v>0</v>
      </c>
      <c r="C579" s="6">
        <f t="shared" si="84"/>
        <v>0</v>
      </c>
      <c r="D579" s="6" t="str">
        <f t="shared" si="85"/>
        <v/>
      </c>
      <c r="E579" s="35" t="str">
        <f t="shared" ref="E579:E642" si="91">IF(D579&lt;&gt;"",D579&amp;" - "&amp;YEAR(F579),"")</f>
        <v/>
      </c>
      <c r="F579" s="31"/>
      <c r="G579" s="29"/>
      <c r="H579" s="78" t="str">
        <f t="shared" ref="H579:H642" si="92">IF(G579&lt;&gt;"",F579,"")</f>
        <v/>
      </c>
      <c r="I579" s="25"/>
      <c r="J579" s="25"/>
      <c r="K579" s="26"/>
      <c r="L579" s="26"/>
      <c r="M579" s="37"/>
      <c r="N579" s="27"/>
      <c r="O579" s="30"/>
      <c r="P579" s="39" t="str">
        <f t="shared" si="86"/>
        <v/>
      </c>
      <c r="Q579" s="40" t="str">
        <f>IF(OR(T579=0,RIGHT(T579,1)=$W$1),"",COUNTIF($T$3:T579,T579))</f>
        <v/>
      </c>
      <c r="S579" s="6">
        <f t="shared" si="87"/>
        <v>0</v>
      </c>
      <c r="T579" s="36">
        <f t="shared" si="88"/>
        <v>0</v>
      </c>
      <c r="V579" s="6">
        <f t="shared" si="89"/>
        <v>0</v>
      </c>
      <c r="Y579" s="8">
        <f t="shared" si="90"/>
        <v>46023</v>
      </c>
    </row>
    <row r="580" spans="2:25" ht="18.75" x14ac:dyDescent="0.3">
      <c r="B580" s="6">
        <f t="shared" ref="B580:B643" si="93">IF($B$1=YEAR(F580),B579+1,B579)</f>
        <v>0</v>
      </c>
      <c r="C580" s="6">
        <f t="shared" ref="C580:C643" si="94">IF(AND($C$1=K580,$Y$1=YEAR(F580)),C579+1,C579)</f>
        <v>0</v>
      </c>
      <c r="D580" s="6" t="str">
        <f t="shared" ref="D580:D643" si="95">IF(F580&lt;&gt;0,IF(YEAR(F580)&lt;&gt;YEAR(F579),1,IF(M580=$AI$1,D579,D579+1)),"")</f>
        <v/>
      </c>
      <c r="E580" s="35" t="str">
        <f t="shared" si="91"/>
        <v/>
      </c>
      <c r="F580" s="31"/>
      <c r="G580" s="29"/>
      <c r="H580" s="78" t="str">
        <f t="shared" si="92"/>
        <v/>
      </c>
      <c r="I580" s="25"/>
      <c r="J580" s="25"/>
      <c r="K580" s="26"/>
      <c r="L580" s="26"/>
      <c r="M580" s="37"/>
      <c r="N580" s="27"/>
      <c r="O580" s="30"/>
      <c r="P580" s="39" t="str">
        <f t="shared" ref="P580:P643" si="96">IF(OR(T580=0,RIGHT(T580,1)=$W$1),"",VLOOKUP(K580,$AD$1:$AK$15,5,FALSE))</f>
        <v/>
      </c>
      <c r="Q580" s="40" t="str">
        <f>IF(OR(T580=0,RIGHT(T580,1)=$W$1),"",COUNTIF($T$3:T580,T580))</f>
        <v/>
      </c>
      <c r="S580" s="6">
        <f t="shared" ref="S580:S643" si="97">IF(AND($C$1=K580,$Y$1=YEAR(F580)),C580,0)</f>
        <v>0</v>
      </c>
      <c r="T580" s="36">
        <f t="shared" ref="T580:T643" si="98">IF(F580=0,0,YEAR(F580)&amp;VLOOKUP(K580,$AD$1:$AE$15,2,FALSE))</f>
        <v>0</v>
      </c>
      <c r="V580" s="6">
        <f t="shared" ref="V580:V643" si="99">IF(AND(YEAR(F580)=$Y$1,K580=$C$1,L580&amp;$V$1&lt;&gt;$V$1),L580,IF(AND(YEAR(F580)=$Y$1,K580=$C$1),1,0))</f>
        <v>0</v>
      </c>
      <c r="Y580" s="8">
        <f t="shared" ref="Y580:Y643" si="100">IF(M580&lt;&gt;$AI$1,$Y$2,F579)</f>
        <v>46023</v>
      </c>
    </row>
    <row r="581" spans="2:25" ht="18.75" x14ac:dyDescent="0.3">
      <c r="B581" s="6">
        <f t="shared" si="93"/>
        <v>0</v>
      </c>
      <c r="C581" s="6">
        <f t="shared" si="94"/>
        <v>0</v>
      </c>
      <c r="D581" s="6" t="str">
        <f t="shared" si="95"/>
        <v/>
      </c>
      <c r="E581" s="35" t="str">
        <f t="shared" si="91"/>
        <v/>
      </c>
      <c r="F581" s="31"/>
      <c r="G581" s="29"/>
      <c r="H581" s="78" t="str">
        <f t="shared" si="92"/>
        <v/>
      </c>
      <c r="I581" s="25"/>
      <c r="J581" s="25"/>
      <c r="K581" s="26"/>
      <c r="L581" s="26"/>
      <c r="M581" s="37"/>
      <c r="N581" s="27"/>
      <c r="O581" s="30"/>
      <c r="P581" s="39" t="str">
        <f t="shared" si="96"/>
        <v/>
      </c>
      <c r="Q581" s="40" t="str">
        <f>IF(OR(T581=0,RIGHT(T581,1)=$W$1),"",COUNTIF($T$3:T581,T581))</f>
        <v/>
      </c>
      <c r="S581" s="6">
        <f t="shared" si="97"/>
        <v>0</v>
      </c>
      <c r="T581" s="36">
        <f t="shared" si="98"/>
        <v>0</v>
      </c>
      <c r="V581" s="6">
        <f t="shared" si="99"/>
        <v>0</v>
      </c>
      <c r="Y581" s="8">
        <f t="shared" si="100"/>
        <v>46023</v>
      </c>
    </row>
    <row r="582" spans="2:25" ht="18.75" x14ac:dyDescent="0.3">
      <c r="B582" s="6">
        <f t="shared" si="93"/>
        <v>0</v>
      </c>
      <c r="C582" s="6">
        <f t="shared" si="94"/>
        <v>0</v>
      </c>
      <c r="D582" s="6" t="str">
        <f t="shared" si="95"/>
        <v/>
      </c>
      <c r="E582" s="35" t="str">
        <f t="shared" si="91"/>
        <v/>
      </c>
      <c r="F582" s="31"/>
      <c r="G582" s="29"/>
      <c r="H582" s="78" t="str">
        <f t="shared" si="92"/>
        <v/>
      </c>
      <c r="I582" s="25"/>
      <c r="J582" s="25"/>
      <c r="K582" s="26"/>
      <c r="L582" s="26"/>
      <c r="M582" s="37"/>
      <c r="N582" s="27"/>
      <c r="O582" s="30"/>
      <c r="P582" s="39" t="str">
        <f t="shared" si="96"/>
        <v/>
      </c>
      <c r="Q582" s="40" t="str">
        <f>IF(OR(T582=0,RIGHT(T582,1)=$W$1),"",COUNTIF($T$3:T582,T582))</f>
        <v/>
      </c>
      <c r="S582" s="6">
        <f t="shared" si="97"/>
        <v>0</v>
      </c>
      <c r="T582" s="36">
        <f t="shared" si="98"/>
        <v>0</v>
      </c>
      <c r="V582" s="6">
        <f t="shared" si="99"/>
        <v>0</v>
      </c>
      <c r="Y582" s="8">
        <f t="shared" si="100"/>
        <v>46023</v>
      </c>
    </row>
    <row r="583" spans="2:25" ht="18.75" x14ac:dyDescent="0.3">
      <c r="B583" s="6">
        <f t="shared" si="93"/>
        <v>0</v>
      </c>
      <c r="C583" s="6">
        <f t="shared" si="94"/>
        <v>0</v>
      </c>
      <c r="D583" s="6" t="str">
        <f t="shared" si="95"/>
        <v/>
      </c>
      <c r="E583" s="35" t="str">
        <f t="shared" si="91"/>
        <v/>
      </c>
      <c r="F583" s="31"/>
      <c r="G583" s="29"/>
      <c r="H583" s="78" t="str">
        <f t="shared" si="92"/>
        <v/>
      </c>
      <c r="I583" s="25"/>
      <c r="J583" s="25"/>
      <c r="K583" s="26"/>
      <c r="L583" s="26"/>
      <c r="M583" s="37"/>
      <c r="N583" s="27"/>
      <c r="O583" s="30"/>
      <c r="P583" s="39" t="str">
        <f t="shared" si="96"/>
        <v/>
      </c>
      <c r="Q583" s="40" t="str">
        <f>IF(OR(T583=0,RIGHT(T583,1)=$W$1),"",COUNTIF($T$3:T583,T583))</f>
        <v/>
      </c>
      <c r="S583" s="6">
        <f t="shared" si="97"/>
        <v>0</v>
      </c>
      <c r="T583" s="36">
        <f t="shared" si="98"/>
        <v>0</v>
      </c>
      <c r="V583" s="6">
        <f t="shared" si="99"/>
        <v>0</v>
      </c>
      <c r="Y583" s="8">
        <f t="shared" si="100"/>
        <v>46023</v>
      </c>
    </row>
    <row r="584" spans="2:25" ht="18.75" x14ac:dyDescent="0.3">
      <c r="B584" s="6">
        <f t="shared" si="93"/>
        <v>0</v>
      </c>
      <c r="C584" s="6">
        <f t="shared" si="94"/>
        <v>0</v>
      </c>
      <c r="D584" s="6" t="str">
        <f t="shared" si="95"/>
        <v/>
      </c>
      <c r="E584" s="35" t="str">
        <f t="shared" si="91"/>
        <v/>
      </c>
      <c r="F584" s="31"/>
      <c r="G584" s="29"/>
      <c r="H584" s="78" t="str">
        <f t="shared" si="92"/>
        <v/>
      </c>
      <c r="I584" s="25"/>
      <c r="J584" s="25"/>
      <c r="K584" s="26"/>
      <c r="L584" s="26"/>
      <c r="M584" s="37"/>
      <c r="N584" s="27"/>
      <c r="O584" s="30"/>
      <c r="P584" s="39" t="str">
        <f t="shared" si="96"/>
        <v/>
      </c>
      <c r="Q584" s="40" t="str">
        <f>IF(OR(T584=0,RIGHT(T584,1)=$W$1),"",COUNTIF($T$3:T584,T584))</f>
        <v/>
      </c>
      <c r="S584" s="6">
        <f t="shared" si="97"/>
        <v>0</v>
      </c>
      <c r="T584" s="36">
        <f t="shared" si="98"/>
        <v>0</v>
      </c>
      <c r="V584" s="6">
        <f t="shared" si="99"/>
        <v>0</v>
      </c>
      <c r="Y584" s="8">
        <f t="shared" si="100"/>
        <v>46023</v>
      </c>
    </row>
    <row r="585" spans="2:25" ht="18.75" x14ac:dyDescent="0.3">
      <c r="B585" s="6">
        <f t="shared" si="93"/>
        <v>0</v>
      </c>
      <c r="C585" s="6">
        <f t="shared" si="94"/>
        <v>0</v>
      </c>
      <c r="D585" s="6" t="str">
        <f t="shared" si="95"/>
        <v/>
      </c>
      <c r="E585" s="35" t="str">
        <f t="shared" si="91"/>
        <v/>
      </c>
      <c r="F585" s="31"/>
      <c r="G585" s="29"/>
      <c r="H585" s="78" t="str">
        <f t="shared" si="92"/>
        <v/>
      </c>
      <c r="I585" s="25"/>
      <c r="J585" s="25"/>
      <c r="K585" s="26"/>
      <c r="L585" s="26"/>
      <c r="M585" s="37"/>
      <c r="N585" s="27"/>
      <c r="O585" s="30"/>
      <c r="P585" s="39" t="str">
        <f t="shared" si="96"/>
        <v/>
      </c>
      <c r="Q585" s="40" t="str">
        <f>IF(OR(T585=0,RIGHT(T585,1)=$W$1),"",COUNTIF($T$3:T585,T585))</f>
        <v/>
      </c>
      <c r="S585" s="6">
        <f t="shared" si="97"/>
        <v>0</v>
      </c>
      <c r="T585" s="36">
        <f t="shared" si="98"/>
        <v>0</v>
      </c>
      <c r="V585" s="6">
        <f t="shared" si="99"/>
        <v>0</v>
      </c>
      <c r="Y585" s="8">
        <f t="shared" si="100"/>
        <v>46023</v>
      </c>
    </row>
    <row r="586" spans="2:25" ht="18.75" x14ac:dyDescent="0.3">
      <c r="B586" s="6">
        <f t="shared" si="93"/>
        <v>0</v>
      </c>
      <c r="C586" s="6">
        <f t="shared" si="94"/>
        <v>0</v>
      </c>
      <c r="D586" s="6" t="str">
        <f t="shared" si="95"/>
        <v/>
      </c>
      <c r="E586" s="35" t="str">
        <f t="shared" si="91"/>
        <v/>
      </c>
      <c r="F586" s="31"/>
      <c r="G586" s="29"/>
      <c r="H586" s="78" t="str">
        <f t="shared" si="92"/>
        <v/>
      </c>
      <c r="I586" s="25"/>
      <c r="J586" s="25"/>
      <c r="K586" s="26"/>
      <c r="L586" s="26"/>
      <c r="M586" s="37"/>
      <c r="N586" s="27"/>
      <c r="O586" s="30"/>
      <c r="P586" s="39" t="str">
        <f t="shared" si="96"/>
        <v/>
      </c>
      <c r="Q586" s="40" t="str">
        <f>IF(OR(T586=0,RIGHT(T586,1)=$W$1),"",COUNTIF($T$3:T586,T586))</f>
        <v/>
      </c>
      <c r="S586" s="6">
        <f t="shared" si="97"/>
        <v>0</v>
      </c>
      <c r="T586" s="36">
        <f t="shared" si="98"/>
        <v>0</v>
      </c>
      <c r="V586" s="6">
        <f t="shared" si="99"/>
        <v>0</v>
      </c>
      <c r="Y586" s="8">
        <f t="shared" si="100"/>
        <v>46023</v>
      </c>
    </row>
    <row r="587" spans="2:25" ht="18.75" x14ac:dyDescent="0.3">
      <c r="B587" s="6">
        <f t="shared" si="93"/>
        <v>0</v>
      </c>
      <c r="C587" s="6">
        <f t="shared" si="94"/>
        <v>0</v>
      </c>
      <c r="D587" s="6" t="str">
        <f t="shared" si="95"/>
        <v/>
      </c>
      <c r="E587" s="35" t="str">
        <f t="shared" si="91"/>
        <v/>
      </c>
      <c r="F587" s="31"/>
      <c r="G587" s="29"/>
      <c r="H587" s="78" t="str">
        <f t="shared" si="92"/>
        <v/>
      </c>
      <c r="I587" s="25"/>
      <c r="J587" s="25"/>
      <c r="K587" s="26"/>
      <c r="L587" s="26"/>
      <c r="M587" s="37"/>
      <c r="N587" s="27"/>
      <c r="O587" s="30"/>
      <c r="P587" s="39" t="str">
        <f t="shared" si="96"/>
        <v/>
      </c>
      <c r="Q587" s="40" t="str">
        <f>IF(OR(T587=0,RIGHT(T587,1)=$W$1),"",COUNTIF($T$3:T587,T587))</f>
        <v/>
      </c>
      <c r="S587" s="6">
        <f t="shared" si="97"/>
        <v>0</v>
      </c>
      <c r="T587" s="36">
        <f t="shared" si="98"/>
        <v>0</v>
      </c>
      <c r="V587" s="6">
        <f t="shared" si="99"/>
        <v>0</v>
      </c>
      <c r="Y587" s="8">
        <f t="shared" si="100"/>
        <v>46023</v>
      </c>
    </row>
    <row r="588" spans="2:25" ht="18.75" x14ac:dyDescent="0.3">
      <c r="B588" s="6">
        <f t="shared" si="93"/>
        <v>0</v>
      </c>
      <c r="C588" s="6">
        <f t="shared" si="94"/>
        <v>0</v>
      </c>
      <c r="D588" s="6" t="str">
        <f t="shared" si="95"/>
        <v/>
      </c>
      <c r="E588" s="35" t="str">
        <f t="shared" si="91"/>
        <v/>
      </c>
      <c r="F588" s="31"/>
      <c r="G588" s="29"/>
      <c r="H588" s="78" t="str">
        <f t="shared" si="92"/>
        <v/>
      </c>
      <c r="I588" s="25"/>
      <c r="J588" s="25"/>
      <c r="K588" s="26"/>
      <c r="L588" s="26"/>
      <c r="M588" s="37"/>
      <c r="N588" s="27"/>
      <c r="O588" s="30"/>
      <c r="P588" s="39" t="str">
        <f t="shared" si="96"/>
        <v/>
      </c>
      <c r="Q588" s="40" t="str">
        <f>IF(OR(T588=0,RIGHT(T588,1)=$W$1),"",COUNTIF($T$3:T588,T588))</f>
        <v/>
      </c>
      <c r="S588" s="6">
        <f t="shared" si="97"/>
        <v>0</v>
      </c>
      <c r="T588" s="36">
        <f t="shared" si="98"/>
        <v>0</v>
      </c>
      <c r="V588" s="6">
        <f t="shared" si="99"/>
        <v>0</v>
      </c>
      <c r="Y588" s="8">
        <f t="shared" si="100"/>
        <v>46023</v>
      </c>
    </row>
    <row r="589" spans="2:25" ht="18.75" x14ac:dyDescent="0.3">
      <c r="B589" s="6">
        <f t="shared" si="93"/>
        <v>0</v>
      </c>
      <c r="C589" s="6">
        <f t="shared" si="94"/>
        <v>0</v>
      </c>
      <c r="D589" s="6" t="str">
        <f t="shared" si="95"/>
        <v/>
      </c>
      <c r="E589" s="35" t="str">
        <f t="shared" si="91"/>
        <v/>
      </c>
      <c r="F589" s="31"/>
      <c r="G589" s="29"/>
      <c r="H589" s="78" t="str">
        <f t="shared" si="92"/>
        <v/>
      </c>
      <c r="I589" s="25"/>
      <c r="J589" s="25"/>
      <c r="K589" s="26"/>
      <c r="L589" s="26"/>
      <c r="M589" s="37"/>
      <c r="N589" s="27"/>
      <c r="O589" s="30"/>
      <c r="P589" s="39" t="str">
        <f t="shared" si="96"/>
        <v/>
      </c>
      <c r="Q589" s="40" t="str">
        <f>IF(OR(T589=0,RIGHT(T589,1)=$W$1),"",COUNTIF($T$3:T589,T589))</f>
        <v/>
      </c>
      <c r="S589" s="6">
        <f t="shared" si="97"/>
        <v>0</v>
      </c>
      <c r="T589" s="36">
        <f t="shared" si="98"/>
        <v>0</v>
      </c>
      <c r="V589" s="6">
        <f t="shared" si="99"/>
        <v>0</v>
      </c>
      <c r="Y589" s="8">
        <f t="shared" si="100"/>
        <v>46023</v>
      </c>
    </row>
    <row r="590" spans="2:25" ht="18.75" x14ac:dyDescent="0.3">
      <c r="B590" s="6">
        <f t="shared" si="93"/>
        <v>0</v>
      </c>
      <c r="C590" s="6">
        <f t="shared" si="94"/>
        <v>0</v>
      </c>
      <c r="D590" s="6" t="str">
        <f t="shared" si="95"/>
        <v/>
      </c>
      <c r="E590" s="35" t="str">
        <f t="shared" si="91"/>
        <v/>
      </c>
      <c r="F590" s="31"/>
      <c r="G590" s="29"/>
      <c r="H590" s="78" t="str">
        <f t="shared" si="92"/>
        <v/>
      </c>
      <c r="I590" s="25"/>
      <c r="J590" s="25"/>
      <c r="K590" s="26"/>
      <c r="L590" s="26"/>
      <c r="M590" s="37"/>
      <c r="N590" s="27"/>
      <c r="O590" s="30"/>
      <c r="P590" s="39" t="str">
        <f t="shared" si="96"/>
        <v/>
      </c>
      <c r="Q590" s="40" t="str">
        <f>IF(OR(T590=0,RIGHT(T590,1)=$W$1),"",COUNTIF($T$3:T590,T590))</f>
        <v/>
      </c>
      <c r="S590" s="6">
        <f t="shared" si="97"/>
        <v>0</v>
      </c>
      <c r="T590" s="36">
        <f t="shared" si="98"/>
        <v>0</v>
      </c>
      <c r="V590" s="6">
        <f t="shared" si="99"/>
        <v>0</v>
      </c>
      <c r="Y590" s="8">
        <f t="shared" si="100"/>
        <v>46023</v>
      </c>
    </row>
    <row r="591" spans="2:25" ht="18.75" x14ac:dyDescent="0.3">
      <c r="B591" s="6">
        <f t="shared" si="93"/>
        <v>0</v>
      </c>
      <c r="C591" s="6">
        <f t="shared" si="94"/>
        <v>0</v>
      </c>
      <c r="D591" s="6" t="str">
        <f t="shared" si="95"/>
        <v/>
      </c>
      <c r="E591" s="35" t="str">
        <f t="shared" si="91"/>
        <v/>
      </c>
      <c r="F591" s="31"/>
      <c r="G591" s="29"/>
      <c r="H591" s="78" t="str">
        <f t="shared" si="92"/>
        <v/>
      </c>
      <c r="I591" s="25"/>
      <c r="J591" s="25"/>
      <c r="K591" s="26"/>
      <c r="L591" s="26"/>
      <c r="M591" s="37"/>
      <c r="N591" s="27"/>
      <c r="O591" s="30"/>
      <c r="P591" s="39" t="str">
        <f t="shared" si="96"/>
        <v/>
      </c>
      <c r="Q591" s="40" t="str">
        <f>IF(OR(T591=0,RIGHT(T591,1)=$W$1),"",COUNTIF($T$3:T591,T591))</f>
        <v/>
      </c>
      <c r="S591" s="6">
        <f t="shared" si="97"/>
        <v>0</v>
      </c>
      <c r="T591" s="36">
        <f t="shared" si="98"/>
        <v>0</v>
      </c>
      <c r="V591" s="6">
        <f t="shared" si="99"/>
        <v>0</v>
      </c>
      <c r="Y591" s="8">
        <f t="shared" si="100"/>
        <v>46023</v>
      </c>
    </row>
    <row r="592" spans="2:25" ht="18.75" x14ac:dyDescent="0.3">
      <c r="B592" s="6">
        <f t="shared" si="93"/>
        <v>0</v>
      </c>
      <c r="C592" s="6">
        <f t="shared" si="94"/>
        <v>0</v>
      </c>
      <c r="D592" s="6" t="str">
        <f t="shared" si="95"/>
        <v/>
      </c>
      <c r="E592" s="35" t="str">
        <f t="shared" si="91"/>
        <v/>
      </c>
      <c r="F592" s="31"/>
      <c r="G592" s="29"/>
      <c r="H592" s="78" t="str">
        <f t="shared" si="92"/>
        <v/>
      </c>
      <c r="I592" s="25"/>
      <c r="J592" s="25"/>
      <c r="K592" s="26"/>
      <c r="L592" s="26"/>
      <c r="M592" s="37"/>
      <c r="N592" s="27"/>
      <c r="O592" s="30"/>
      <c r="P592" s="39" t="str">
        <f t="shared" si="96"/>
        <v/>
      </c>
      <c r="Q592" s="40" t="str">
        <f>IF(OR(T592=0,RIGHT(T592,1)=$W$1),"",COUNTIF($T$3:T592,T592))</f>
        <v/>
      </c>
      <c r="S592" s="6">
        <f t="shared" si="97"/>
        <v>0</v>
      </c>
      <c r="T592" s="36">
        <f t="shared" si="98"/>
        <v>0</v>
      </c>
      <c r="V592" s="6">
        <f t="shared" si="99"/>
        <v>0</v>
      </c>
      <c r="Y592" s="8">
        <f t="shared" si="100"/>
        <v>46023</v>
      </c>
    </row>
    <row r="593" spans="2:25" ht="18.75" x14ac:dyDescent="0.3">
      <c r="B593" s="6">
        <f t="shared" si="93"/>
        <v>0</v>
      </c>
      <c r="C593" s="6">
        <f t="shared" si="94"/>
        <v>0</v>
      </c>
      <c r="D593" s="6" t="str">
        <f t="shared" si="95"/>
        <v/>
      </c>
      <c r="E593" s="35" t="str">
        <f t="shared" si="91"/>
        <v/>
      </c>
      <c r="F593" s="31"/>
      <c r="G593" s="29"/>
      <c r="H593" s="78" t="str">
        <f t="shared" si="92"/>
        <v/>
      </c>
      <c r="I593" s="25"/>
      <c r="J593" s="25"/>
      <c r="K593" s="26"/>
      <c r="L593" s="26"/>
      <c r="M593" s="37"/>
      <c r="N593" s="27"/>
      <c r="O593" s="30"/>
      <c r="P593" s="39" t="str">
        <f t="shared" si="96"/>
        <v/>
      </c>
      <c r="Q593" s="40" t="str">
        <f>IF(OR(T593=0,RIGHT(T593,1)=$W$1),"",COUNTIF($T$3:T593,T593))</f>
        <v/>
      </c>
      <c r="S593" s="6">
        <f t="shared" si="97"/>
        <v>0</v>
      </c>
      <c r="T593" s="36">
        <f t="shared" si="98"/>
        <v>0</v>
      </c>
      <c r="V593" s="6">
        <f t="shared" si="99"/>
        <v>0</v>
      </c>
      <c r="Y593" s="8">
        <f t="shared" si="100"/>
        <v>46023</v>
      </c>
    </row>
    <row r="594" spans="2:25" ht="18.75" x14ac:dyDescent="0.3">
      <c r="B594" s="6">
        <f t="shared" si="93"/>
        <v>0</v>
      </c>
      <c r="C594" s="6">
        <f t="shared" si="94"/>
        <v>0</v>
      </c>
      <c r="D594" s="6" t="str">
        <f t="shared" si="95"/>
        <v/>
      </c>
      <c r="E594" s="35" t="str">
        <f t="shared" si="91"/>
        <v/>
      </c>
      <c r="F594" s="31"/>
      <c r="G594" s="29"/>
      <c r="H594" s="78" t="str">
        <f t="shared" si="92"/>
        <v/>
      </c>
      <c r="I594" s="25"/>
      <c r="J594" s="25"/>
      <c r="K594" s="26"/>
      <c r="L594" s="26"/>
      <c r="M594" s="37"/>
      <c r="N594" s="27"/>
      <c r="O594" s="30"/>
      <c r="P594" s="39" t="str">
        <f t="shared" si="96"/>
        <v/>
      </c>
      <c r="Q594" s="40" t="str">
        <f>IF(OR(T594=0,RIGHT(T594,1)=$W$1),"",COUNTIF($T$3:T594,T594))</f>
        <v/>
      </c>
      <c r="S594" s="6">
        <f t="shared" si="97"/>
        <v>0</v>
      </c>
      <c r="T594" s="36">
        <f t="shared" si="98"/>
        <v>0</v>
      </c>
      <c r="V594" s="6">
        <f t="shared" si="99"/>
        <v>0</v>
      </c>
      <c r="Y594" s="8">
        <f t="shared" si="100"/>
        <v>46023</v>
      </c>
    </row>
    <row r="595" spans="2:25" ht="18.75" x14ac:dyDescent="0.3">
      <c r="B595" s="6">
        <f t="shared" si="93"/>
        <v>0</v>
      </c>
      <c r="C595" s="6">
        <f t="shared" si="94"/>
        <v>0</v>
      </c>
      <c r="D595" s="6" t="str">
        <f t="shared" si="95"/>
        <v/>
      </c>
      <c r="E595" s="35" t="str">
        <f t="shared" si="91"/>
        <v/>
      </c>
      <c r="F595" s="31"/>
      <c r="G595" s="29"/>
      <c r="H595" s="78" t="str">
        <f t="shared" si="92"/>
        <v/>
      </c>
      <c r="I595" s="25"/>
      <c r="J595" s="25"/>
      <c r="K595" s="26"/>
      <c r="L595" s="26"/>
      <c r="M595" s="37"/>
      <c r="N595" s="27"/>
      <c r="O595" s="30"/>
      <c r="P595" s="39" t="str">
        <f t="shared" si="96"/>
        <v/>
      </c>
      <c r="Q595" s="40" t="str">
        <f>IF(OR(T595=0,RIGHT(T595,1)=$W$1),"",COUNTIF($T$3:T595,T595))</f>
        <v/>
      </c>
      <c r="S595" s="6">
        <f t="shared" si="97"/>
        <v>0</v>
      </c>
      <c r="T595" s="36">
        <f t="shared" si="98"/>
        <v>0</v>
      </c>
      <c r="V595" s="6">
        <f t="shared" si="99"/>
        <v>0</v>
      </c>
      <c r="Y595" s="8">
        <f t="shared" si="100"/>
        <v>46023</v>
      </c>
    </row>
    <row r="596" spans="2:25" ht="18.75" x14ac:dyDescent="0.3">
      <c r="B596" s="6">
        <f t="shared" si="93"/>
        <v>0</v>
      </c>
      <c r="C596" s="6">
        <f t="shared" si="94"/>
        <v>0</v>
      </c>
      <c r="D596" s="6" t="str">
        <f t="shared" si="95"/>
        <v/>
      </c>
      <c r="E596" s="35" t="str">
        <f t="shared" si="91"/>
        <v/>
      </c>
      <c r="F596" s="31"/>
      <c r="G596" s="29"/>
      <c r="H596" s="78" t="str">
        <f t="shared" si="92"/>
        <v/>
      </c>
      <c r="I596" s="25"/>
      <c r="J596" s="25"/>
      <c r="K596" s="26"/>
      <c r="L596" s="26"/>
      <c r="M596" s="37"/>
      <c r="N596" s="27"/>
      <c r="O596" s="30"/>
      <c r="P596" s="39" t="str">
        <f t="shared" si="96"/>
        <v/>
      </c>
      <c r="Q596" s="40" t="str">
        <f>IF(OR(T596=0,RIGHT(T596,1)=$W$1),"",COUNTIF($T$3:T596,T596))</f>
        <v/>
      </c>
      <c r="S596" s="6">
        <f t="shared" si="97"/>
        <v>0</v>
      </c>
      <c r="T596" s="36">
        <f t="shared" si="98"/>
        <v>0</v>
      </c>
      <c r="V596" s="6">
        <f t="shared" si="99"/>
        <v>0</v>
      </c>
      <c r="Y596" s="8">
        <f t="shared" si="100"/>
        <v>46023</v>
      </c>
    </row>
    <row r="597" spans="2:25" ht="18.75" x14ac:dyDescent="0.3">
      <c r="B597" s="6">
        <f t="shared" si="93"/>
        <v>0</v>
      </c>
      <c r="C597" s="6">
        <f t="shared" si="94"/>
        <v>0</v>
      </c>
      <c r="D597" s="6" t="str">
        <f t="shared" si="95"/>
        <v/>
      </c>
      <c r="E597" s="35" t="str">
        <f t="shared" si="91"/>
        <v/>
      </c>
      <c r="F597" s="31"/>
      <c r="G597" s="29"/>
      <c r="H597" s="78" t="str">
        <f t="shared" si="92"/>
        <v/>
      </c>
      <c r="I597" s="25"/>
      <c r="J597" s="25"/>
      <c r="K597" s="26"/>
      <c r="L597" s="26"/>
      <c r="M597" s="37"/>
      <c r="N597" s="27"/>
      <c r="O597" s="30"/>
      <c r="P597" s="39" t="str">
        <f t="shared" si="96"/>
        <v/>
      </c>
      <c r="Q597" s="40" t="str">
        <f>IF(OR(T597=0,RIGHT(T597,1)=$W$1),"",COUNTIF($T$3:T597,T597))</f>
        <v/>
      </c>
      <c r="S597" s="6">
        <f t="shared" si="97"/>
        <v>0</v>
      </c>
      <c r="T597" s="36">
        <f t="shared" si="98"/>
        <v>0</v>
      </c>
      <c r="V597" s="6">
        <f t="shared" si="99"/>
        <v>0</v>
      </c>
      <c r="Y597" s="8">
        <f t="shared" si="100"/>
        <v>46023</v>
      </c>
    </row>
    <row r="598" spans="2:25" ht="18.75" x14ac:dyDescent="0.3">
      <c r="B598" s="6">
        <f t="shared" si="93"/>
        <v>0</v>
      </c>
      <c r="C598" s="6">
        <f t="shared" si="94"/>
        <v>0</v>
      </c>
      <c r="D598" s="6" t="str">
        <f t="shared" si="95"/>
        <v/>
      </c>
      <c r="E598" s="35" t="str">
        <f t="shared" si="91"/>
        <v/>
      </c>
      <c r="F598" s="31"/>
      <c r="G598" s="29"/>
      <c r="H598" s="78" t="str">
        <f t="shared" si="92"/>
        <v/>
      </c>
      <c r="I598" s="25"/>
      <c r="J598" s="25"/>
      <c r="K598" s="26"/>
      <c r="L598" s="26"/>
      <c r="M598" s="37"/>
      <c r="N598" s="27"/>
      <c r="O598" s="30"/>
      <c r="P598" s="39" t="str">
        <f t="shared" si="96"/>
        <v/>
      </c>
      <c r="Q598" s="40" t="str">
        <f>IF(OR(T598=0,RIGHT(T598,1)=$W$1),"",COUNTIF($T$3:T598,T598))</f>
        <v/>
      </c>
      <c r="S598" s="6">
        <f t="shared" si="97"/>
        <v>0</v>
      </c>
      <c r="T598" s="36">
        <f t="shared" si="98"/>
        <v>0</v>
      </c>
      <c r="V598" s="6">
        <f t="shared" si="99"/>
        <v>0</v>
      </c>
      <c r="Y598" s="8">
        <f t="shared" si="100"/>
        <v>46023</v>
      </c>
    </row>
    <row r="599" spans="2:25" ht="18.75" x14ac:dyDescent="0.3">
      <c r="B599" s="6">
        <f t="shared" si="93"/>
        <v>0</v>
      </c>
      <c r="C599" s="6">
        <f t="shared" si="94"/>
        <v>0</v>
      </c>
      <c r="D599" s="6" t="str">
        <f t="shared" si="95"/>
        <v/>
      </c>
      <c r="E599" s="35" t="str">
        <f t="shared" si="91"/>
        <v/>
      </c>
      <c r="F599" s="31"/>
      <c r="G599" s="29"/>
      <c r="H599" s="78" t="str">
        <f t="shared" si="92"/>
        <v/>
      </c>
      <c r="I599" s="25"/>
      <c r="J599" s="25"/>
      <c r="K599" s="26"/>
      <c r="L599" s="26"/>
      <c r="M599" s="37"/>
      <c r="N599" s="27"/>
      <c r="O599" s="30"/>
      <c r="P599" s="39" t="str">
        <f t="shared" si="96"/>
        <v/>
      </c>
      <c r="Q599" s="40" t="str">
        <f>IF(OR(T599=0,RIGHT(T599,1)=$W$1),"",COUNTIF($T$3:T599,T599))</f>
        <v/>
      </c>
      <c r="S599" s="6">
        <f t="shared" si="97"/>
        <v>0</v>
      </c>
      <c r="T599" s="36">
        <f t="shared" si="98"/>
        <v>0</v>
      </c>
      <c r="V599" s="6">
        <f t="shared" si="99"/>
        <v>0</v>
      </c>
      <c r="Y599" s="8">
        <f t="shared" si="100"/>
        <v>46023</v>
      </c>
    </row>
    <row r="600" spans="2:25" ht="18.75" x14ac:dyDescent="0.3">
      <c r="B600" s="6">
        <f t="shared" si="93"/>
        <v>0</v>
      </c>
      <c r="C600" s="6">
        <f t="shared" si="94"/>
        <v>0</v>
      </c>
      <c r="D600" s="6" t="str">
        <f t="shared" si="95"/>
        <v/>
      </c>
      <c r="E600" s="35" t="str">
        <f t="shared" si="91"/>
        <v/>
      </c>
      <c r="F600" s="31"/>
      <c r="G600" s="29"/>
      <c r="H600" s="78" t="str">
        <f t="shared" si="92"/>
        <v/>
      </c>
      <c r="I600" s="25"/>
      <c r="J600" s="25"/>
      <c r="K600" s="26"/>
      <c r="L600" s="26"/>
      <c r="M600" s="37"/>
      <c r="N600" s="27"/>
      <c r="O600" s="30"/>
      <c r="P600" s="39" t="str">
        <f t="shared" si="96"/>
        <v/>
      </c>
      <c r="Q600" s="40" t="str">
        <f>IF(OR(T600=0,RIGHT(T600,1)=$W$1),"",COUNTIF($T$3:T600,T600))</f>
        <v/>
      </c>
      <c r="S600" s="6">
        <f t="shared" si="97"/>
        <v>0</v>
      </c>
      <c r="T600" s="36">
        <f t="shared" si="98"/>
        <v>0</v>
      </c>
      <c r="V600" s="6">
        <f t="shared" si="99"/>
        <v>0</v>
      </c>
      <c r="Y600" s="8">
        <f t="shared" si="100"/>
        <v>46023</v>
      </c>
    </row>
    <row r="601" spans="2:25" ht="18.75" x14ac:dyDescent="0.3">
      <c r="B601" s="6">
        <f t="shared" si="93"/>
        <v>0</v>
      </c>
      <c r="C601" s="6">
        <f t="shared" si="94"/>
        <v>0</v>
      </c>
      <c r="D601" s="6" t="str">
        <f t="shared" si="95"/>
        <v/>
      </c>
      <c r="E601" s="35" t="str">
        <f t="shared" si="91"/>
        <v/>
      </c>
      <c r="F601" s="31"/>
      <c r="G601" s="29"/>
      <c r="H601" s="78" t="str">
        <f t="shared" si="92"/>
        <v/>
      </c>
      <c r="I601" s="25"/>
      <c r="J601" s="25"/>
      <c r="K601" s="26"/>
      <c r="L601" s="26"/>
      <c r="M601" s="37"/>
      <c r="N601" s="27"/>
      <c r="O601" s="30"/>
      <c r="P601" s="39" t="str">
        <f t="shared" si="96"/>
        <v/>
      </c>
      <c r="Q601" s="40" t="str">
        <f>IF(OR(T601=0,RIGHT(T601,1)=$W$1),"",COUNTIF($T$3:T601,T601))</f>
        <v/>
      </c>
      <c r="S601" s="6">
        <f t="shared" si="97"/>
        <v>0</v>
      </c>
      <c r="T601" s="36">
        <f t="shared" si="98"/>
        <v>0</v>
      </c>
      <c r="V601" s="6">
        <f t="shared" si="99"/>
        <v>0</v>
      </c>
      <c r="Y601" s="8">
        <f t="shared" si="100"/>
        <v>46023</v>
      </c>
    </row>
    <row r="602" spans="2:25" ht="18.75" x14ac:dyDescent="0.3">
      <c r="B602" s="6">
        <f t="shared" si="93"/>
        <v>0</v>
      </c>
      <c r="C602" s="6">
        <f t="shared" si="94"/>
        <v>0</v>
      </c>
      <c r="D602" s="6" t="str">
        <f t="shared" si="95"/>
        <v/>
      </c>
      <c r="E602" s="35" t="str">
        <f t="shared" si="91"/>
        <v/>
      </c>
      <c r="F602" s="31"/>
      <c r="G602" s="29"/>
      <c r="H602" s="78" t="str">
        <f t="shared" si="92"/>
        <v/>
      </c>
      <c r="I602" s="25"/>
      <c r="J602" s="25"/>
      <c r="K602" s="26"/>
      <c r="L602" s="26"/>
      <c r="M602" s="37"/>
      <c r="N602" s="27"/>
      <c r="O602" s="30"/>
      <c r="P602" s="39" t="str">
        <f t="shared" si="96"/>
        <v/>
      </c>
      <c r="Q602" s="40" t="str">
        <f>IF(OR(T602=0,RIGHT(T602,1)=$W$1),"",COUNTIF($T$3:T602,T602))</f>
        <v/>
      </c>
      <c r="S602" s="6">
        <f t="shared" si="97"/>
        <v>0</v>
      </c>
      <c r="T602" s="36">
        <f t="shared" si="98"/>
        <v>0</v>
      </c>
      <c r="V602" s="6">
        <f t="shared" si="99"/>
        <v>0</v>
      </c>
      <c r="Y602" s="8">
        <f t="shared" si="100"/>
        <v>46023</v>
      </c>
    </row>
    <row r="603" spans="2:25" ht="18.75" x14ac:dyDescent="0.3">
      <c r="B603" s="6">
        <f t="shared" si="93"/>
        <v>0</v>
      </c>
      <c r="C603" s="6">
        <f t="shared" si="94"/>
        <v>0</v>
      </c>
      <c r="D603" s="6" t="str">
        <f t="shared" si="95"/>
        <v/>
      </c>
      <c r="E603" s="35" t="str">
        <f t="shared" si="91"/>
        <v/>
      </c>
      <c r="F603" s="31"/>
      <c r="G603" s="29"/>
      <c r="H603" s="78" t="str">
        <f t="shared" si="92"/>
        <v/>
      </c>
      <c r="I603" s="25"/>
      <c r="J603" s="25"/>
      <c r="K603" s="26"/>
      <c r="L603" s="26"/>
      <c r="M603" s="37"/>
      <c r="N603" s="27"/>
      <c r="O603" s="30"/>
      <c r="P603" s="39" t="str">
        <f t="shared" si="96"/>
        <v/>
      </c>
      <c r="Q603" s="40" t="str">
        <f>IF(OR(T603=0,RIGHT(T603,1)=$W$1),"",COUNTIF($T$3:T603,T603))</f>
        <v/>
      </c>
      <c r="S603" s="6">
        <f t="shared" si="97"/>
        <v>0</v>
      </c>
      <c r="T603" s="36">
        <f t="shared" si="98"/>
        <v>0</v>
      </c>
      <c r="V603" s="6">
        <f t="shared" si="99"/>
        <v>0</v>
      </c>
      <c r="Y603" s="8">
        <f t="shared" si="100"/>
        <v>46023</v>
      </c>
    </row>
    <row r="604" spans="2:25" ht="18.75" x14ac:dyDescent="0.3">
      <c r="B604" s="6">
        <f t="shared" si="93"/>
        <v>0</v>
      </c>
      <c r="C604" s="6">
        <f t="shared" si="94"/>
        <v>0</v>
      </c>
      <c r="D604" s="6" t="str">
        <f t="shared" si="95"/>
        <v/>
      </c>
      <c r="E604" s="35" t="str">
        <f t="shared" si="91"/>
        <v/>
      </c>
      <c r="F604" s="31"/>
      <c r="G604" s="29"/>
      <c r="H604" s="78" t="str">
        <f t="shared" si="92"/>
        <v/>
      </c>
      <c r="I604" s="25"/>
      <c r="J604" s="25"/>
      <c r="K604" s="26"/>
      <c r="L604" s="26"/>
      <c r="M604" s="37"/>
      <c r="N604" s="27"/>
      <c r="O604" s="30"/>
      <c r="P604" s="39" t="str">
        <f t="shared" si="96"/>
        <v/>
      </c>
      <c r="Q604" s="40" t="str">
        <f>IF(OR(T604=0,RIGHT(T604,1)=$W$1),"",COUNTIF($T$3:T604,T604))</f>
        <v/>
      </c>
      <c r="S604" s="6">
        <f t="shared" si="97"/>
        <v>0</v>
      </c>
      <c r="T604" s="36">
        <f t="shared" si="98"/>
        <v>0</v>
      </c>
      <c r="V604" s="6">
        <f t="shared" si="99"/>
        <v>0</v>
      </c>
      <c r="Y604" s="8">
        <f t="shared" si="100"/>
        <v>46023</v>
      </c>
    </row>
    <row r="605" spans="2:25" ht="18.75" x14ac:dyDescent="0.3">
      <c r="B605" s="6">
        <f t="shared" si="93"/>
        <v>0</v>
      </c>
      <c r="C605" s="6">
        <f t="shared" si="94"/>
        <v>0</v>
      </c>
      <c r="D605" s="6" t="str">
        <f t="shared" si="95"/>
        <v/>
      </c>
      <c r="E605" s="35" t="str">
        <f t="shared" si="91"/>
        <v/>
      </c>
      <c r="F605" s="31"/>
      <c r="G605" s="29"/>
      <c r="H605" s="78" t="str">
        <f t="shared" si="92"/>
        <v/>
      </c>
      <c r="I605" s="25"/>
      <c r="J605" s="25"/>
      <c r="K605" s="26"/>
      <c r="L605" s="26"/>
      <c r="M605" s="37"/>
      <c r="N605" s="27"/>
      <c r="O605" s="30"/>
      <c r="P605" s="39" t="str">
        <f t="shared" si="96"/>
        <v/>
      </c>
      <c r="Q605" s="40" t="str">
        <f>IF(OR(T605=0,RIGHT(T605,1)=$W$1),"",COUNTIF($T$3:T605,T605))</f>
        <v/>
      </c>
      <c r="S605" s="6">
        <f t="shared" si="97"/>
        <v>0</v>
      </c>
      <c r="T605" s="36">
        <f t="shared" si="98"/>
        <v>0</v>
      </c>
      <c r="V605" s="6">
        <f t="shared" si="99"/>
        <v>0</v>
      </c>
      <c r="Y605" s="8">
        <f t="shared" si="100"/>
        <v>46023</v>
      </c>
    </row>
    <row r="606" spans="2:25" ht="18.75" x14ac:dyDescent="0.3">
      <c r="B606" s="6">
        <f t="shared" si="93"/>
        <v>0</v>
      </c>
      <c r="C606" s="6">
        <f t="shared" si="94"/>
        <v>0</v>
      </c>
      <c r="D606" s="6" t="str">
        <f t="shared" si="95"/>
        <v/>
      </c>
      <c r="E606" s="35" t="str">
        <f t="shared" si="91"/>
        <v/>
      </c>
      <c r="F606" s="31"/>
      <c r="G606" s="29"/>
      <c r="H606" s="78" t="str">
        <f t="shared" si="92"/>
        <v/>
      </c>
      <c r="I606" s="25"/>
      <c r="J606" s="25"/>
      <c r="K606" s="26"/>
      <c r="L606" s="26"/>
      <c r="M606" s="37"/>
      <c r="N606" s="27"/>
      <c r="O606" s="30"/>
      <c r="P606" s="39" t="str">
        <f t="shared" si="96"/>
        <v/>
      </c>
      <c r="Q606" s="40" t="str">
        <f>IF(OR(T606=0,RIGHT(T606,1)=$W$1),"",COUNTIF($T$3:T606,T606))</f>
        <v/>
      </c>
      <c r="S606" s="6">
        <f t="shared" si="97"/>
        <v>0</v>
      </c>
      <c r="T606" s="36">
        <f t="shared" si="98"/>
        <v>0</v>
      </c>
      <c r="V606" s="6">
        <f t="shared" si="99"/>
        <v>0</v>
      </c>
      <c r="Y606" s="8">
        <f t="shared" si="100"/>
        <v>46023</v>
      </c>
    </row>
    <row r="607" spans="2:25" ht="18.75" x14ac:dyDescent="0.3">
      <c r="B607" s="6">
        <f t="shared" si="93"/>
        <v>0</v>
      </c>
      <c r="C607" s="6">
        <f t="shared" si="94"/>
        <v>0</v>
      </c>
      <c r="D607" s="6" t="str">
        <f t="shared" si="95"/>
        <v/>
      </c>
      <c r="E607" s="35" t="str">
        <f t="shared" si="91"/>
        <v/>
      </c>
      <c r="F607" s="31"/>
      <c r="G607" s="29"/>
      <c r="H607" s="78" t="str">
        <f t="shared" si="92"/>
        <v/>
      </c>
      <c r="I607" s="25"/>
      <c r="J607" s="25"/>
      <c r="K607" s="26"/>
      <c r="L607" s="26"/>
      <c r="M607" s="37"/>
      <c r="N607" s="27"/>
      <c r="O607" s="30"/>
      <c r="P607" s="39" t="str">
        <f t="shared" si="96"/>
        <v/>
      </c>
      <c r="Q607" s="40" t="str">
        <f>IF(OR(T607=0,RIGHT(T607,1)=$W$1),"",COUNTIF($T$3:T607,T607))</f>
        <v/>
      </c>
      <c r="S607" s="6">
        <f t="shared" si="97"/>
        <v>0</v>
      </c>
      <c r="T607" s="36">
        <f t="shared" si="98"/>
        <v>0</v>
      </c>
      <c r="V607" s="6">
        <f t="shared" si="99"/>
        <v>0</v>
      </c>
      <c r="Y607" s="8">
        <f t="shared" si="100"/>
        <v>46023</v>
      </c>
    </row>
    <row r="608" spans="2:25" ht="18.75" x14ac:dyDescent="0.3">
      <c r="B608" s="6">
        <f t="shared" si="93"/>
        <v>0</v>
      </c>
      <c r="C608" s="6">
        <f t="shared" si="94"/>
        <v>0</v>
      </c>
      <c r="D608" s="6" t="str">
        <f t="shared" si="95"/>
        <v/>
      </c>
      <c r="E608" s="35" t="str">
        <f t="shared" si="91"/>
        <v/>
      </c>
      <c r="F608" s="31"/>
      <c r="G608" s="29"/>
      <c r="H608" s="78" t="str">
        <f t="shared" si="92"/>
        <v/>
      </c>
      <c r="I608" s="25"/>
      <c r="J608" s="25"/>
      <c r="K608" s="26"/>
      <c r="L608" s="26"/>
      <c r="M608" s="37"/>
      <c r="N608" s="27"/>
      <c r="O608" s="30"/>
      <c r="P608" s="39" t="str">
        <f t="shared" si="96"/>
        <v/>
      </c>
      <c r="Q608" s="40" t="str">
        <f>IF(OR(T608=0,RIGHT(T608,1)=$W$1),"",COUNTIF($T$3:T608,T608))</f>
        <v/>
      </c>
      <c r="S608" s="6">
        <f t="shared" si="97"/>
        <v>0</v>
      </c>
      <c r="T608" s="36">
        <f t="shared" si="98"/>
        <v>0</v>
      </c>
      <c r="V608" s="6">
        <f t="shared" si="99"/>
        <v>0</v>
      </c>
      <c r="Y608" s="8">
        <f t="shared" si="100"/>
        <v>46023</v>
      </c>
    </row>
    <row r="609" spans="2:25" ht="18.75" x14ac:dyDescent="0.3">
      <c r="B609" s="6">
        <f t="shared" si="93"/>
        <v>0</v>
      </c>
      <c r="C609" s="6">
        <f t="shared" si="94"/>
        <v>0</v>
      </c>
      <c r="D609" s="6" t="str">
        <f t="shared" si="95"/>
        <v/>
      </c>
      <c r="E609" s="35" t="str">
        <f t="shared" si="91"/>
        <v/>
      </c>
      <c r="F609" s="31"/>
      <c r="G609" s="29"/>
      <c r="H609" s="78" t="str">
        <f t="shared" si="92"/>
        <v/>
      </c>
      <c r="I609" s="25"/>
      <c r="J609" s="25"/>
      <c r="K609" s="26"/>
      <c r="L609" s="26"/>
      <c r="M609" s="37"/>
      <c r="N609" s="27"/>
      <c r="O609" s="30"/>
      <c r="P609" s="39" t="str">
        <f t="shared" si="96"/>
        <v/>
      </c>
      <c r="Q609" s="40" t="str">
        <f>IF(OR(T609=0,RIGHT(T609,1)=$W$1),"",COUNTIF($T$3:T609,T609))</f>
        <v/>
      </c>
      <c r="S609" s="6">
        <f t="shared" si="97"/>
        <v>0</v>
      </c>
      <c r="T609" s="36">
        <f t="shared" si="98"/>
        <v>0</v>
      </c>
      <c r="V609" s="6">
        <f t="shared" si="99"/>
        <v>0</v>
      </c>
      <c r="Y609" s="8">
        <f t="shared" si="100"/>
        <v>46023</v>
      </c>
    </row>
    <row r="610" spans="2:25" ht="18.75" x14ac:dyDescent="0.3">
      <c r="B610" s="6">
        <f t="shared" si="93"/>
        <v>0</v>
      </c>
      <c r="C610" s="6">
        <f t="shared" si="94"/>
        <v>0</v>
      </c>
      <c r="D610" s="6" t="str">
        <f t="shared" si="95"/>
        <v/>
      </c>
      <c r="E610" s="35" t="str">
        <f t="shared" si="91"/>
        <v/>
      </c>
      <c r="F610" s="31"/>
      <c r="G610" s="29"/>
      <c r="H610" s="78" t="str">
        <f t="shared" si="92"/>
        <v/>
      </c>
      <c r="I610" s="25"/>
      <c r="J610" s="25"/>
      <c r="K610" s="26"/>
      <c r="L610" s="26"/>
      <c r="M610" s="37"/>
      <c r="N610" s="27"/>
      <c r="O610" s="30"/>
      <c r="P610" s="39" t="str">
        <f t="shared" si="96"/>
        <v/>
      </c>
      <c r="Q610" s="40" t="str">
        <f>IF(OR(T610=0,RIGHT(T610,1)=$W$1),"",COUNTIF($T$3:T610,T610))</f>
        <v/>
      </c>
      <c r="S610" s="6">
        <f t="shared" si="97"/>
        <v>0</v>
      </c>
      <c r="T610" s="36">
        <f t="shared" si="98"/>
        <v>0</v>
      </c>
      <c r="V610" s="6">
        <f t="shared" si="99"/>
        <v>0</v>
      </c>
      <c r="Y610" s="8">
        <f t="shared" si="100"/>
        <v>46023</v>
      </c>
    </row>
    <row r="611" spans="2:25" ht="18.75" x14ac:dyDescent="0.3">
      <c r="B611" s="6">
        <f t="shared" si="93"/>
        <v>0</v>
      </c>
      <c r="C611" s="6">
        <f t="shared" si="94"/>
        <v>0</v>
      </c>
      <c r="D611" s="6" t="str">
        <f t="shared" si="95"/>
        <v/>
      </c>
      <c r="E611" s="35" t="str">
        <f t="shared" si="91"/>
        <v/>
      </c>
      <c r="F611" s="31"/>
      <c r="G611" s="29"/>
      <c r="H611" s="78" t="str">
        <f t="shared" si="92"/>
        <v/>
      </c>
      <c r="I611" s="25"/>
      <c r="J611" s="25"/>
      <c r="K611" s="26"/>
      <c r="L611" s="26"/>
      <c r="M611" s="37"/>
      <c r="N611" s="27"/>
      <c r="O611" s="30"/>
      <c r="P611" s="39" t="str">
        <f t="shared" si="96"/>
        <v/>
      </c>
      <c r="Q611" s="40" t="str">
        <f>IF(OR(T611=0,RIGHT(T611,1)=$W$1),"",COUNTIF($T$3:T611,T611))</f>
        <v/>
      </c>
      <c r="S611" s="6">
        <f t="shared" si="97"/>
        <v>0</v>
      </c>
      <c r="T611" s="36">
        <f t="shared" si="98"/>
        <v>0</v>
      </c>
      <c r="V611" s="6">
        <f t="shared" si="99"/>
        <v>0</v>
      </c>
      <c r="Y611" s="8">
        <f t="shared" si="100"/>
        <v>46023</v>
      </c>
    </row>
    <row r="612" spans="2:25" ht="18.75" x14ac:dyDescent="0.3">
      <c r="B612" s="6">
        <f t="shared" si="93"/>
        <v>0</v>
      </c>
      <c r="C612" s="6">
        <f t="shared" si="94"/>
        <v>0</v>
      </c>
      <c r="D612" s="6" t="str">
        <f t="shared" si="95"/>
        <v/>
      </c>
      <c r="E612" s="35" t="str">
        <f t="shared" si="91"/>
        <v/>
      </c>
      <c r="F612" s="31"/>
      <c r="G612" s="29"/>
      <c r="H612" s="78" t="str">
        <f t="shared" si="92"/>
        <v/>
      </c>
      <c r="I612" s="25"/>
      <c r="J612" s="25"/>
      <c r="K612" s="26"/>
      <c r="L612" s="26"/>
      <c r="M612" s="37"/>
      <c r="N612" s="27"/>
      <c r="O612" s="30"/>
      <c r="P612" s="39" t="str">
        <f t="shared" si="96"/>
        <v/>
      </c>
      <c r="Q612" s="40" t="str">
        <f>IF(OR(T612=0,RIGHT(T612,1)=$W$1),"",COUNTIF($T$3:T612,T612))</f>
        <v/>
      </c>
      <c r="S612" s="6">
        <f t="shared" si="97"/>
        <v>0</v>
      </c>
      <c r="T612" s="36">
        <f t="shared" si="98"/>
        <v>0</v>
      </c>
      <c r="V612" s="6">
        <f t="shared" si="99"/>
        <v>0</v>
      </c>
      <c r="Y612" s="8">
        <f t="shared" si="100"/>
        <v>46023</v>
      </c>
    </row>
    <row r="613" spans="2:25" ht="18.75" x14ac:dyDescent="0.3">
      <c r="B613" s="6">
        <f t="shared" si="93"/>
        <v>0</v>
      </c>
      <c r="C613" s="6">
        <f t="shared" si="94"/>
        <v>0</v>
      </c>
      <c r="D613" s="6" t="str">
        <f t="shared" si="95"/>
        <v/>
      </c>
      <c r="E613" s="35" t="str">
        <f t="shared" si="91"/>
        <v/>
      </c>
      <c r="F613" s="31"/>
      <c r="G613" s="29"/>
      <c r="H613" s="78" t="str">
        <f t="shared" si="92"/>
        <v/>
      </c>
      <c r="I613" s="25"/>
      <c r="J613" s="25"/>
      <c r="K613" s="26"/>
      <c r="L613" s="26"/>
      <c r="M613" s="37"/>
      <c r="N613" s="27"/>
      <c r="O613" s="30"/>
      <c r="P613" s="39" t="str">
        <f t="shared" si="96"/>
        <v/>
      </c>
      <c r="Q613" s="40" t="str">
        <f>IF(OR(T613=0,RIGHT(T613,1)=$W$1),"",COUNTIF($T$3:T613,T613))</f>
        <v/>
      </c>
      <c r="S613" s="6">
        <f t="shared" si="97"/>
        <v>0</v>
      </c>
      <c r="T613" s="36">
        <f t="shared" si="98"/>
        <v>0</v>
      </c>
      <c r="V613" s="6">
        <f t="shared" si="99"/>
        <v>0</v>
      </c>
      <c r="Y613" s="8">
        <f t="shared" si="100"/>
        <v>46023</v>
      </c>
    </row>
    <row r="614" spans="2:25" ht="18.75" x14ac:dyDescent="0.3">
      <c r="B614" s="6">
        <f t="shared" si="93"/>
        <v>0</v>
      </c>
      <c r="C614" s="6">
        <f t="shared" si="94"/>
        <v>0</v>
      </c>
      <c r="D614" s="6" t="str">
        <f t="shared" si="95"/>
        <v/>
      </c>
      <c r="E614" s="35" t="str">
        <f t="shared" si="91"/>
        <v/>
      </c>
      <c r="F614" s="31"/>
      <c r="G614" s="29"/>
      <c r="H614" s="78" t="str">
        <f t="shared" si="92"/>
        <v/>
      </c>
      <c r="I614" s="25"/>
      <c r="J614" s="25"/>
      <c r="K614" s="26"/>
      <c r="L614" s="26"/>
      <c r="M614" s="37"/>
      <c r="N614" s="27"/>
      <c r="O614" s="30"/>
      <c r="P614" s="39" t="str">
        <f t="shared" si="96"/>
        <v/>
      </c>
      <c r="Q614" s="40" t="str">
        <f>IF(OR(T614=0,RIGHT(T614,1)=$W$1),"",COUNTIF($T$3:T614,T614))</f>
        <v/>
      </c>
      <c r="S614" s="6">
        <f t="shared" si="97"/>
        <v>0</v>
      </c>
      <c r="T614" s="36">
        <f t="shared" si="98"/>
        <v>0</v>
      </c>
      <c r="V614" s="6">
        <f t="shared" si="99"/>
        <v>0</v>
      </c>
      <c r="Y614" s="8">
        <f t="shared" si="100"/>
        <v>46023</v>
      </c>
    </row>
    <row r="615" spans="2:25" ht="18.75" x14ac:dyDescent="0.3">
      <c r="B615" s="6">
        <f t="shared" si="93"/>
        <v>0</v>
      </c>
      <c r="C615" s="6">
        <f t="shared" si="94"/>
        <v>0</v>
      </c>
      <c r="D615" s="6" t="str">
        <f t="shared" si="95"/>
        <v/>
      </c>
      <c r="E615" s="35" t="str">
        <f t="shared" si="91"/>
        <v/>
      </c>
      <c r="F615" s="31"/>
      <c r="G615" s="29"/>
      <c r="H615" s="78" t="str">
        <f t="shared" si="92"/>
        <v/>
      </c>
      <c r="I615" s="25"/>
      <c r="J615" s="25"/>
      <c r="K615" s="26"/>
      <c r="L615" s="26"/>
      <c r="M615" s="37"/>
      <c r="N615" s="27"/>
      <c r="O615" s="30"/>
      <c r="P615" s="39" t="str">
        <f t="shared" si="96"/>
        <v/>
      </c>
      <c r="Q615" s="40" t="str">
        <f>IF(OR(T615=0,RIGHT(T615,1)=$W$1),"",COUNTIF($T$3:T615,T615))</f>
        <v/>
      </c>
      <c r="S615" s="6">
        <f t="shared" si="97"/>
        <v>0</v>
      </c>
      <c r="T615" s="36">
        <f t="shared" si="98"/>
        <v>0</v>
      </c>
      <c r="V615" s="6">
        <f t="shared" si="99"/>
        <v>0</v>
      </c>
      <c r="Y615" s="8">
        <f t="shared" si="100"/>
        <v>46023</v>
      </c>
    </row>
    <row r="616" spans="2:25" ht="18.75" x14ac:dyDescent="0.3">
      <c r="B616" s="6">
        <f t="shared" si="93"/>
        <v>0</v>
      </c>
      <c r="C616" s="6">
        <f t="shared" si="94"/>
        <v>0</v>
      </c>
      <c r="D616" s="6" t="str">
        <f t="shared" si="95"/>
        <v/>
      </c>
      <c r="E616" s="35" t="str">
        <f t="shared" si="91"/>
        <v/>
      </c>
      <c r="F616" s="31"/>
      <c r="G616" s="29"/>
      <c r="H616" s="78" t="str">
        <f t="shared" si="92"/>
        <v/>
      </c>
      <c r="I616" s="25"/>
      <c r="J616" s="25"/>
      <c r="K616" s="26"/>
      <c r="L616" s="26"/>
      <c r="M616" s="37"/>
      <c r="N616" s="27"/>
      <c r="O616" s="30"/>
      <c r="P616" s="39" t="str">
        <f t="shared" si="96"/>
        <v/>
      </c>
      <c r="Q616" s="40" t="str">
        <f>IF(OR(T616=0,RIGHT(T616,1)=$W$1),"",COUNTIF($T$3:T616,T616))</f>
        <v/>
      </c>
      <c r="S616" s="6">
        <f t="shared" si="97"/>
        <v>0</v>
      </c>
      <c r="T616" s="36">
        <f t="shared" si="98"/>
        <v>0</v>
      </c>
      <c r="V616" s="6">
        <f t="shared" si="99"/>
        <v>0</v>
      </c>
      <c r="Y616" s="8">
        <f t="shared" si="100"/>
        <v>46023</v>
      </c>
    </row>
    <row r="617" spans="2:25" ht="18.75" x14ac:dyDescent="0.3">
      <c r="B617" s="6">
        <f t="shared" si="93"/>
        <v>0</v>
      </c>
      <c r="C617" s="6">
        <f t="shared" si="94"/>
        <v>0</v>
      </c>
      <c r="D617" s="6" t="str">
        <f t="shared" si="95"/>
        <v/>
      </c>
      <c r="E617" s="35" t="str">
        <f t="shared" si="91"/>
        <v/>
      </c>
      <c r="F617" s="31"/>
      <c r="G617" s="29"/>
      <c r="H617" s="78" t="str">
        <f t="shared" si="92"/>
        <v/>
      </c>
      <c r="I617" s="25"/>
      <c r="J617" s="25"/>
      <c r="K617" s="26"/>
      <c r="L617" s="26"/>
      <c r="M617" s="37"/>
      <c r="N617" s="27"/>
      <c r="O617" s="30"/>
      <c r="P617" s="39" t="str">
        <f t="shared" si="96"/>
        <v/>
      </c>
      <c r="Q617" s="40" t="str">
        <f>IF(OR(T617=0,RIGHT(T617,1)=$W$1),"",COUNTIF($T$3:T617,T617))</f>
        <v/>
      </c>
      <c r="S617" s="6">
        <f t="shared" si="97"/>
        <v>0</v>
      </c>
      <c r="T617" s="36">
        <f t="shared" si="98"/>
        <v>0</v>
      </c>
      <c r="V617" s="6">
        <f t="shared" si="99"/>
        <v>0</v>
      </c>
      <c r="Y617" s="8">
        <f t="shared" si="100"/>
        <v>46023</v>
      </c>
    </row>
    <row r="618" spans="2:25" ht="18.75" x14ac:dyDescent="0.3">
      <c r="B618" s="6">
        <f t="shared" si="93"/>
        <v>0</v>
      </c>
      <c r="C618" s="6">
        <f t="shared" si="94"/>
        <v>0</v>
      </c>
      <c r="D618" s="6" t="str">
        <f t="shared" si="95"/>
        <v/>
      </c>
      <c r="E618" s="35" t="str">
        <f t="shared" si="91"/>
        <v/>
      </c>
      <c r="F618" s="31"/>
      <c r="G618" s="29"/>
      <c r="H618" s="78" t="str">
        <f t="shared" si="92"/>
        <v/>
      </c>
      <c r="I618" s="25"/>
      <c r="J618" s="25"/>
      <c r="K618" s="26"/>
      <c r="L618" s="26"/>
      <c r="M618" s="37"/>
      <c r="N618" s="27"/>
      <c r="O618" s="30"/>
      <c r="P618" s="39" t="str">
        <f t="shared" si="96"/>
        <v/>
      </c>
      <c r="Q618" s="40" t="str">
        <f>IF(OR(T618=0,RIGHT(T618,1)=$W$1),"",COUNTIF($T$3:T618,T618))</f>
        <v/>
      </c>
      <c r="S618" s="6">
        <f t="shared" si="97"/>
        <v>0</v>
      </c>
      <c r="T618" s="36">
        <f t="shared" si="98"/>
        <v>0</v>
      </c>
      <c r="V618" s="6">
        <f t="shared" si="99"/>
        <v>0</v>
      </c>
      <c r="Y618" s="8">
        <f t="shared" si="100"/>
        <v>46023</v>
      </c>
    </row>
    <row r="619" spans="2:25" ht="18.75" x14ac:dyDescent="0.3">
      <c r="B619" s="6">
        <f t="shared" si="93"/>
        <v>0</v>
      </c>
      <c r="C619" s="6">
        <f t="shared" si="94"/>
        <v>0</v>
      </c>
      <c r="D619" s="6" t="str">
        <f t="shared" si="95"/>
        <v/>
      </c>
      <c r="E619" s="35" t="str">
        <f t="shared" si="91"/>
        <v/>
      </c>
      <c r="F619" s="31"/>
      <c r="G619" s="29"/>
      <c r="H619" s="78" t="str">
        <f t="shared" si="92"/>
        <v/>
      </c>
      <c r="I619" s="25"/>
      <c r="J619" s="25"/>
      <c r="K619" s="26"/>
      <c r="L619" s="26"/>
      <c r="M619" s="37"/>
      <c r="N619" s="27"/>
      <c r="O619" s="30"/>
      <c r="P619" s="39" t="str">
        <f t="shared" si="96"/>
        <v/>
      </c>
      <c r="Q619" s="40" t="str">
        <f>IF(OR(T619=0,RIGHT(T619,1)=$W$1),"",COUNTIF($T$3:T619,T619))</f>
        <v/>
      </c>
      <c r="S619" s="6">
        <f t="shared" si="97"/>
        <v>0</v>
      </c>
      <c r="T619" s="36">
        <f t="shared" si="98"/>
        <v>0</v>
      </c>
      <c r="V619" s="6">
        <f t="shared" si="99"/>
        <v>0</v>
      </c>
      <c r="Y619" s="8">
        <f t="shared" si="100"/>
        <v>46023</v>
      </c>
    </row>
    <row r="620" spans="2:25" ht="18.75" x14ac:dyDescent="0.3">
      <c r="B620" s="6">
        <f t="shared" si="93"/>
        <v>0</v>
      </c>
      <c r="C620" s="6">
        <f t="shared" si="94"/>
        <v>0</v>
      </c>
      <c r="D620" s="6" t="str">
        <f t="shared" si="95"/>
        <v/>
      </c>
      <c r="E620" s="35" t="str">
        <f t="shared" si="91"/>
        <v/>
      </c>
      <c r="F620" s="31"/>
      <c r="G620" s="29"/>
      <c r="H620" s="78" t="str">
        <f t="shared" si="92"/>
        <v/>
      </c>
      <c r="I620" s="25"/>
      <c r="J620" s="25"/>
      <c r="K620" s="26"/>
      <c r="L620" s="26"/>
      <c r="M620" s="37"/>
      <c r="N620" s="27"/>
      <c r="O620" s="30"/>
      <c r="P620" s="39" t="str">
        <f t="shared" si="96"/>
        <v/>
      </c>
      <c r="Q620" s="40" t="str">
        <f>IF(OR(T620=0,RIGHT(T620,1)=$W$1),"",COUNTIF($T$3:T620,T620))</f>
        <v/>
      </c>
      <c r="S620" s="6">
        <f t="shared" si="97"/>
        <v>0</v>
      </c>
      <c r="T620" s="36">
        <f t="shared" si="98"/>
        <v>0</v>
      </c>
      <c r="V620" s="6">
        <f t="shared" si="99"/>
        <v>0</v>
      </c>
      <c r="Y620" s="8">
        <f t="shared" si="100"/>
        <v>46023</v>
      </c>
    </row>
    <row r="621" spans="2:25" ht="18.75" x14ac:dyDescent="0.3">
      <c r="B621" s="6">
        <f t="shared" si="93"/>
        <v>0</v>
      </c>
      <c r="C621" s="6">
        <f t="shared" si="94"/>
        <v>0</v>
      </c>
      <c r="D621" s="6" t="str">
        <f t="shared" si="95"/>
        <v/>
      </c>
      <c r="E621" s="35" t="str">
        <f t="shared" si="91"/>
        <v/>
      </c>
      <c r="F621" s="31"/>
      <c r="G621" s="29"/>
      <c r="H621" s="78" t="str">
        <f t="shared" si="92"/>
        <v/>
      </c>
      <c r="I621" s="25"/>
      <c r="J621" s="25"/>
      <c r="K621" s="26"/>
      <c r="L621" s="26"/>
      <c r="M621" s="37"/>
      <c r="N621" s="27"/>
      <c r="O621" s="30"/>
      <c r="P621" s="39" t="str">
        <f t="shared" si="96"/>
        <v/>
      </c>
      <c r="Q621" s="40" t="str">
        <f>IF(OR(T621=0,RIGHT(T621,1)=$W$1),"",COUNTIF($T$3:T621,T621))</f>
        <v/>
      </c>
      <c r="S621" s="6">
        <f t="shared" si="97"/>
        <v>0</v>
      </c>
      <c r="T621" s="36">
        <f t="shared" si="98"/>
        <v>0</v>
      </c>
      <c r="V621" s="6">
        <f t="shared" si="99"/>
        <v>0</v>
      </c>
      <c r="Y621" s="8">
        <f t="shared" si="100"/>
        <v>46023</v>
      </c>
    </row>
    <row r="622" spans="2:25" ht="18.75" x14ac:dyDescent="0.3">
      <c r="B622" s="6">
        <f t="shared" si="93"/>
        <v>0</v>
      </c>
      <c r="C622" s="6">
        <f t="shared" si="94"/>
        <v>0</v>
      </c>
      <c r="D622" s="6" t="str">
        <f t="shared" si="95"/>
        <v/>
      </c>
      <c r="E622" s="35" t="str">
        <f t="shared" si="91"/>
        <v/>
      </c>
      <c r="F622" s="31"/>
      <c r="G622" s="29"/>
      <c r="H622" s="78" t="str">
        <f t="shared" si="92"/>
        <v/>
      </c>
      <c r="I622" s="25"/>
      <c r="J622" s="25"/>
      <c r="K622" s="26"/>
      <c r="L622" s="26"/>
      <c r="M622" s="37"/>
      <c r="N622" s="27"/>
      <c r="O622" s="30"/>
      <c r="P622" s="39" t="str">
        <f t="shared" si="96"/>
        <v/>
      </c>
      <c r="Q622" s="40" t="str">
        <f>IF(OR(T622=0,RIGHT(T622,1)=$W$1),"",COUNTIF($T$3:T622,T622))</f>
        <v/>
      </c>
      <c r="S622" s="6">
        <f t="shared" si="97"/>
        <v>0</v>
      </c>
      <c r="T622" s="36">
        <f t="shared" si="98"/>
        <v>0</v>
      </c>
      <c r="V622" s="6">
        <f t="shared" si="99"/>
        <v>0</v>
      </c>
      <c r="Y622" s="8">
        <f t="shared" si="100"/>
        <v>46023</v>
      </c>
    </row>
    <row r="623" spans="2:25" ht="18.75" x14ac:dyDescent="0.3">
      <c r="B623" s="6">
        <f t="shared" si="93"/>
        <v>0</v>
      </c>
      <c r="C623" s="6">
        <f t="shared" si="94"/>
        <v>0</v>
      </c>
      <c r="D623" s="6" t="str">
        <f t="shared" si="95"/>
        <v/>
      </c>
      <c r="E623" s="35" t="str">
        <f t="shared" si="91"/>
        <v/>
      </c>
      <c r="F623" s="31"/>
      <c r="G623" s="29"/>
      <c r="H623" s="78" t="str">
        <f t="shared" si="92"/>
        <v/>
      </c>
      <c r="I623" s="25"/>
      <c r="J623" s="25"/>
      <c r="K623" s="26"/>
      <c r="L623" s="26"/>
      <c r="M623" s="37"/>
      <c r="N623" s="27"/>
      <c r="O623" s="30"/>
      <c r="P623" s="39" t="str">
        <f t="shared" si="96"/>
        <v/>
      </c>
      <c r="Q623" s="40" t="str">
        <f>IF(OR(T623=0,RIGHT(T623,1)=$W$1),"",COUNTIF($T$3:T623,T623))</f>
        <v/>
      </c>
      <c r="S623" s="6">
        <f t="shared" si="97"/>
        <v>0</v>
      </c>
      <c r="T623" s="36">
        <f t="shared" si="98"/>
        <v>0</v>
      </c>
      <c r="V623" s="6">
        <f t="shared" si="99"/>
        <v>0</v>
      </c>
      <c r="Y623" s="8">
        <f t="shared" si="100"/>
        <v>46023</v>
      </c>
    </row>
    <row r="624" spans="2:25" ht="18.75" x14ac:dyDescent="0.3">
      <c r="B624" s="6">
        <f t="shared" si="93"/>
        <v>0</v>
      </c>
      <c r="C624" s="6">
        <f t="shared" si="94"/>
        <v>0</v>
      </c>
      <c r="D624" s="6" t="str">
        <f t="shared" si="95"/>
        <v/>
      </c>
      <c r="E624" s="35" t="str">
        <f t="shared" si="91"/>
        <v/>
      </c>
      <c r="F624" s="31"/>
      <c r="G624" s="29"/>
      <c r="H624" s="78" t="str">
        <f t="shared" si="92"/>
        <v/>
      </c>
      <c r="I624" s="25"/>
      <c r="J624" s="25"/>
      <c r="K624" s="26"/>
      <c r="L624" s="26"/>
      <c r="M624" s="37"/>
      <c r="N624" s="27"/>
      <c r="O624" s="30"/>
      <c r="P624" s="39" t="str">
        <f t="shared" si="96"/>
        <v/>
      </c>
      <c r="Q624" s="40" t="str">
        <f>IF(OR(T624=0,RIGHT(T624,1)=$W$1),"",COUNTIF($T$3:T624,T624))</f>
        <v/>
      </c>
      <c r="S624" s="6">
        <f t="shared" si="97"/>
        <v>0</v>
      </c>
      <c r="T624" s="36">
        <f t="shared" si="98"/>
        <v>0</v>
      </c>
      <c r="V624" s="6">
        <f t="shared" si="99"/>
        <v>0</v>
      </c>
      <c r="Y624" s="8">
        <f t="shared" si="100"/>
        <v>46023</v>
      </c>
    </row>
    <row r="625" spans="2:25" ht="18.75" x14ac:dyDescent="0.3">
      <c r="B625" s="6">
        <f t="shared" si="93"/>
        <v>0</v>
      </c>
      <c r="C625" s="6">
        <f t="shared" si="94"/>
        <v>0</v>
      </c>
      <c r="D625" s="6" t="str">
        <f t="shared" si="95"/>
        <v/>
      </c>
      <c r="E625" s="35" t="str">
        <f t="shared" si="91"/>
        <v/>
      </c>
      <c r="F625" s="31"/>
      <c r="G625" s="29"/>
      <c r="H625" s="78" t="str">
        <f t="shared" si="92"/>
        <v/>
      </c>
      <c r="I625" s="25"/>
      <c r="J625" s="25"/>
      <c r="K625" s="26"/>
      <c r="L625" s="26"/>
      <c r="M625" s="37"/>
      <c r="N625" s="27"/>
      <c r="O625" s="30"/>
      <c r="P625" s="39" t="str">
        <f t="shared" si="96"/>
        <v/>
      </c>
      <c r="Q625" s="40" t="str">
        <f>IF(OR(T625=0,RIGHT(T625,1)=$W$1),"",COUNTIF($T$3:T625,T625))</f>
        <v/>
      </c>
      <c r="S625" s="6">
        <f t="shared" si="97"/>
        <v>0</v>
      </c>
      <c r="T625" s="36">
        <f t="shared" si="98"/>
        <v>0</v>
      </c>
      <c r="V625" s="6">
        <f t="shared" si="99"/>
        <v>0</v>
      </c>
      <c r="Y625" s="8">
        <f t="shared" si="100"/>
        <v>46023</v>
      </c>
    </row>
    <row r="626" spans="2:25" ht="18.75" x14ac:dyDescent="0.3">
      <c r="B626" s="6">
        <f t="shared" si="93"/>
        <v>0</v>
      </c>
      <c r="C626" s="6">
        <f t="shared" si="94"/>
        <v>0</v>
      </c>
      <c r="D626" s="6" t="str">
        <f t="shared" si="95"/>
        <v/>
      </c>
      <c r="E626" s="35" t="str">
        <f t="shared" si="91"/>
        <v/>
      </c>
      <c r="F626" s="31"/>
      <c r="G626" s="29"/>
      <c r="H626" s="78" t="str">
        <f t="shared" si="92"/>
        <v/>
      </c>
      <c r="I626" s="25"/>
      <c r="J626" s="25"/>
      <c r="K626" s="26"/>
      <c r="L626" s="26"/>
      <c r="M626" s="37"/>
      <c r="N626" s="27"/>
      <c r="O626" s="30"/>
      <c r="P626" s="39" t="str">
        <f t="shared" si="96"/>
        <v/>
      </c>
      <c r="Q626" s="40" t="str">
        <f>IF(OR(T626=0,RIGHT(T626,1)=$W$1),"",COUNTIF($T$3:T626,T626))</f>
        <v/>
      </c>
      <c r="S626" s="6">
        <f t="shared" si="97"/>
        <v>0</v>
      </c>
      <c r="T626" s="36">
        <f t="shared" si="98"/>
        <v>0</v>
      </c>
      <c r="V626" s="6">
        <f t="shared" si="99"/>
        <v>0</v>
      </c>
      <c r="Y626" s="8">
        <f t="shared" si="100"/>
        <v>46023</v>
      </c>
    </row>
    <row r="627" spans="2:25" ht="18.75" x14ac:dyDescent="0.3">
      <c r="B627" s="6">
        <f t="shared" si="93"/>
        <v>0</v>
      </c>
      <c r="C627" s="6">
        <f t="shared" si="94"/>
        <v>0</v>
      </c>
      <c r="D627" s="6" t="str">
        <f t="shared" si="95"/>
        <v/>
      </c>
      <c r="E627" s="35" t="str">
        <f t="shared" si="91"/>
        <v/>
      </c>
      <c r="F627" s="31"/>
      <c r="G627" s="29"/>
      <c r="H627" s="78" t="str">
        <f t="shared" si="92"/>
        <v/>
      </c>
      <c r="I627" s="25"/>
      <c r="J627" s="25"/>
      <c r="K627" s="26"/>
      <c r="L627" s="26"/>
      <c r="M627" s="37"/>
      <c r="N627" s="27"/>
      <c r="O627" s="30"/>
      <c r="P627" s="39" t="str">
        <f t="shared" si="96"/>
        <v/>
      </c>
      <c r="Q627" s="40" t="str">
        <f>IF(OR(T627=0,RIGHT(T627,1)=$W$1),"",COUNTIF($T$3:T627,T627))</f>
        <v/>
      </c>
      <c r="S627" s="6">
        <f t="shared" si="97"/>
        <v>0</v>
      </c>
      <c r="T627" s="36">
        <f t="shared" si="98"/>
        <v>0</v>
      </c>
      <c r="V627" s="6">
        <f t="shared" si="99"/>
        <v>0</v>
      </c>
      <c r="Y627" s="8">
        <f t="shared" si="100"/>
        <v>46023</v>
      </c>
    </row>
    <row r="628" spans="2:25" ht="18.75" x14ac:dyDescent="0.3">
      <c r="B628" s="6">
        <f t="shared" si="93"/>
        <v>0</v>
      </c>
      <c r="C628" s="6">
        <f t="shared" si="94"/>
        <v>0</v>
      </c>
      <c r="D628" s="6" t="str">
        <f t="shared" si="95"/>
        <v/>
      </c>
      <c r="E628" s="35" t="str">
        <f t="shared" si="91"/>
        <v/>
      </c>
      <c r="F628" s="31"/>
      <c r="G628" s="29"/>
      <c r="H628" s="78" t="str">
        <f t="shared" si="92"/>
        <v/>
      </c>
      <c r="I628" s="25"/>
      <c r="J628" s="25"/>
      <c r="K628" s="26"/>
      <c r="L628" s="26"/>
      <c r="M628" s="37"/>
      <c r="N628" s="27"/>
      <c r="O628" s="30"/>
      <c r="P628" s="39" t="str">
        <f t="shared" si="96"/>
        <v/>
      </c>
      <c r="Q628" s="40" t="str">
        <f>IF(OR(T628=0,RIGHT(T628,1)=$W$1),"",COUNTIF($T$3:T628,T628))</f>
        <v/>
      </c>
      <c r="S628" s="6">
        <f t="shared" si="97"/>
        <v>0</v>
      </c>
      <c r="T628" s="36">
        <f t="shared" si="98"/>
        <v>0</v>
      </c>
      <c r="V628" s="6">
        <f t="shared" si="99"/>
        <v>0</v>
      </c>
      <c r="Y628" s="8">
        <f t="shared" si="100"/>
        <v>46023</v>
      </c>
    </row>
    <row r="629" spans="2:25" ht="18.75" x14ac:dyDescent="0.3">
      <c r="B629" s="6">
        <f t="shared" si="93"/>
        <v>0</v>
      </c>
      <c r="C629" s="6">
        <f t="shared" si="94"/>
        <v>0</v>
      </c>
      <c r="D629" s="6" t="str">
        <f t="shared" si="95"/>
        <v/>
      </c>
      <c r="E629" s="35" t="str">
        <f t="shared" si="91"/>
        <v/>
      </c>
      <c r="F629" s="31"/>
      <c r="G629" s="29"/>
      <c r="H629" s="78" t="str">
        <f t="shared" si="92"/>
        <v/>
      </c>
      <c r="I629" s="25"/>
      <c r="J629" s="25"/>
      <c r="K629" s="26"/>
      <c r="L629" s="26"/>
      <c r="M629" s="37"/>
      <c r="N629" s="27"/>
      <c r="O629" s="30"/>
      <c r="P629" s="39" t="str">
        <f t="shared" si="96"/>
        <v/>
      </c>
      <c r="Q629" s="40" t="str">
        <f>IF(OR(T629=0,RIGHT(T629,1)=$W$1),"",COUNTIF($T$3:T629,T629))</f>
        <v/>
      </c>
      <c r="S629" s="6">
        <f t="shared" si="97"/>
        <v>0</v>
      </c>
      <c r="T629" s="36">
        <f t="shared" si="98"/>
        <v>0</v>
      </c>
      <c r="V629" s="6">
        <f t="shared" si="99"/>
        <v>0</v>
      </c>
      <c r="Y629" s="8">
        <f t="shared" si="100"/>
        <v>46023</v>
      </c>
    </row>
    <row r="630" spans="2:25" ht="18.75" x14ac:dyDescent="0.3">
      <c r="B630" s="6">
        <f t="shared" si="93"/>
        <v>0</v>
      </c>
      <c r="C630" s="6">
        <f t="shared" si="94"/>
        <v>0</v>
      </c>
      <c r="D630" s="6" t="str">
        <f t="shared" si="95"/>
        <v/>
      </c>
      <c r="E630" s="35" t="str">
        <f t="shared" si="91"/>
        <v/>
      </c>
      <c r="F630" s="31"/>
      <c r="G630" s="29"/>
      <c r="H630" s="78" t="str">
        <f t="shared" si="92"/>
        <v/>
      </c>
      <c r="I630" s="25"/>
      <c r="J630" s="25"/>
      <c r="K630" s="26"/>
      <c r="L630" s="26"/>
      <c r="M630" s="37"/>
      <c r="N630" s="27"/>
      <c r="O630" s="30"/>
      <c r="P630" s="39" t="str">
        <f t="shared" si="96"/>
        <v/>
      </c>
      <c r="Q630" s="40" t="str">
        <f>IF(OR(T630=0,RIGHT(T630,1)=$W$1),"",COUNTIF($T$3:T630,T630))</f>
        <v/>
      </c>
      <c r="S630" s="6">
        <f t="shared" si="97"/>
        <v>0</v>
      </c>
      <c r="T630" s="36">
        <f t="shared" si="98"/>
        <v>0</v>
      </c>
      <c r="V630" s="6">
        <f t="shared" si="99"/>
        <v>0</v>
      </c>
      <c r="Y630" s="8">
        <f t="shared" si="100"/>
        <v>46023</v>
      </c>
    </row>
    <row r="631" spans="2:25" ht="18.75" x14ac:dyDescent="0.3">
      <c r="B631" s="6">
        <f t="shared" si="93"/>
        <v>0</v>
      </c>
      <c r="C631" s="6">
        <f t="shared" si="94"/>
        <v>0</v>
      </c>
      <c r="D631" s="6" t="str">
        <f t="shared" si="95"/>
        <v/>
      </c>
      <c r="E631" s="35" t="str">
        <f t="shared" si="91"/>
        <v/>
      </c>
      <c r="F631" s="31"/>
      <c r="G631" s="29"/>
      <c r="H631" s="78" t="str">
        <f t="shared" si="92"/>
        <v/>
      </c>
      <c r="I631" s="25"/>
      <c r="J631" s="25"/>
      <c r="K631" s="26"/>
      <c r="L631" s="26"/>
      <c r="M631" s="37"/>
      <c r="N631" s="27"/>
      <c r="O631" s="30"/>
      <c r="P631" s="39" t="str">
        <f t="shared" si="96"/>
        <v/>
      </c>
      <c r="Q631" s="40" t="str">
        <f>IF(OR(T631=0,RIGHT(T631,1)=$W$1),"",COUNTIF($T$3:T631,T631))</f>
        <v/>
      </c>
      <c r="S631" s="6">
        <f t="shared" si="97"/>
        <v>0</v>
      </c>
      <c r="T631" s="36">
        <f t="shared" si="98"/>
        <v>0</v>
      </c>
      <c r="V631" s="6">
        <f t="shared" si="99"/>
        <v>0</v>
      </c>
      <c r="Y631" s="8">
        <f t="shared" si="100"/>
        <v>46023</v>
      </c>
    </row>
    <row r="632" spans="2:25" ht="18.75" x14ac:dyDescent="0.3">
      <c r="B632" s="6">
        <f t="shared" si="93"/>
        <v>0</v>
      </c>
      <c r="C632" s="6">
        <f t="shared" si="94"/>
        <v>0</v>
      </c>
      <c r="D632" s="6" t="str">
        <f t="shared" si="95"/>
        <v/>
      </c>
      <c r="E632" s="35" t="str">
        <f t="shared" si="91"/>
        <v/>
      </c>
      <c r="F632" s="31"/>
      <c r="G632" s="29"/>
      <c r="H632" s="78" t="str">
        <f t="shared" si="92"/>
        <v/>
      </c>
      <c r="I632" s="25"/>
      <c r="J632" s="25"/>
      <c r="K632" s="26"/>
      <c r="L632" s="26"/>
      <c r="M632" s="37"/>
      <c r="N632" s="27"/>
      <c r="O632" s="30"/>
      <c r="P632" s="39" t="str">
        <f t="shared" si="96"/>
        <v/>
      </c>
      <c r="Q632" s="40" t="str">
        <f>IF(OR(T632=0,RIGHT(T632,1)=$W$1),"",COUNTIF($T$3:T632,T632))</f>
        <v/>
      </c>
      <c r="S632" s="6">
        <f t="shared" si="97"/>
        <v>0</v>
      </c>
      <c r="T632" s="36">
        <f t="shared" si="98"/>
        <v>0</v>
      </c>
      <c r="V632" s="6">
        <f t="shared" si="99"/>
        <v>0</v>
      </c>
      <c r="Y632" s="8">
        <f t="shared" si="100"/>
        <v>46023</v>
      </c>
    </row>
    <row r="633" spans="2:25" ht="18.75" x14ac:dyDescent="0.3">
      <c r="B633" s="6">
        <f t="shared" si="93"/>
        <v>0</v>
      </c>
      <c r="C633" s="6">
        <f t="shared" si="94"/>
        <v>0</v>
      </c>
      <c r="D633" s="6" t="str">
        <f t="shared" si="95"/>
        <v/>
      </c>
      <c r="E633" s="35" t="str">
        <f t="shared" si="91"/>
        <v/>
      </c>
      <c r="F633" s="31"/>
      <c r="G633" s="29"/>
      <c r="H633" s="78" t="str">
        <f t="shared" si="92"/>
        <v/>
      </c>
      <c r="I633" s="25"/>
      <c r="J633" s="25"/>
      <c r="K633" s="26"/>
      <c r="L633" s="26"/>
      <c r="M633" s="37"/>
      <c r="N633" s="27"/>
      <c r="O633" s="30"/>
      <c r="P633" s="39" t="str">
        <f t="shared" si="96"/>
        <v/>
      </c>
      <c r="Q633" s="40" t="str">
        <f>IF(OR(T633=0,RIGHT(T633,1)=$W$1),"",COUNTIF($T$3:T633,T633))</f>
        <v/>
      </c>
      <c r="S633" s="6">
        <f t="shared" si="97"/>
        <v>0</v>
      </c>
      <c r="T633" s="36">
        <f t="shared" si="98"/>
        <v>0</v>
      </c>
      <c r="V633" s="6">
        <f t="shared" si="99"/>
        <v>0</v>
      </c>
      <c r="Y633" s="8">
        <f t="shared" si="100"/>
        <v>46023</v>
      </c>
    </row>
    <row r="634" spans="2:25" ht="18.75" x14ac:dyDescent="0.3">
      <c r="B634" s="6">
        <f t="shared" si="93"/>
        <v>0</v>
      </c>
      <c r="C634" s="6">
        <f t="shared" si="94"/>
        <v>0</v>
      </c>
      <c r="D634" s="6" t="str">
        <f t="shared" si="95"/>
        <v/>
      </c>
      <c r="E634" s="35" t="str">
        <f t="shared" si="91"/>
        <v/>
      </c>
      <c r="F634" s="31"/>
      <c r="G634" s="29"/>
      <c r="H634" s="78" t="str">
        <f t="shared" si="92"/>
        <v/>
      </c>
      <c r="I634" s="25"/>
      <c r="J634" s="25"/>
      <c r="K634" s="26"/>
      <c r="L634" s="26"/>
      <c r="M634" s="37"/>
      <c r="N634" s="27"/>
      <c r="O634" s="30"/>
      <c r="P634" s="39" t="str">
        <f t="shared" si="96"/>
        <v/>
      </c>
      <c r="Q634" s="40" t="str">
        <f>IF(OR(T634=0,RIGHT(T634,1)=$W$1),"",COUNTIF($T$3:T634,T634))</f>
        <v/>
      </c>
      <c r="S634" s="6">
        <f t="shared" si="97"/>
        <v>0</v>
      </c>
      <c r="T634" s="36">
        <f t="shared" si="98"/>
        <v>0</v>
      </c>
      <c r="V634" s="6">
        <f t="shared" si="99"/>
        <v>0</v>
      </c>
      <c r="Y634" s="8">
        <f t="shared" si="100"/>
        <v>46023</v>
      </c>
    </row>
    <row r="635" spans="2:25" ht="18.75" x14ac:dyDescent="0.3">
      <c r="B635" s="6">
        <f t="shared" si="93"/>
        <v>0</v>
      </c>
      <c r="C635" s="6">
        <f t="shared" si="94"/>
        <v>0</v>
      </c>
      <c r="D635" s="6" t="str">
        <f t="shared" si="95"/>
        <v/>
      </c>
      <c r="E635" s="35" t="str">
        <f t="shared" si="91"/>
        <v/>
      </c>
      <c r="F635" s="31"/>
      <c r="G635" s="29"/>
      <c r="H635" s="78" t="str">
        <f t="shared" si="92"/>
        <v/>
      </c>
      <c r="I635" s="25"/>
      <c r="J635" s="25"/>
      <c r="K635" s="26"/>
      <c r="L635" s="26"/>
      <c r="M635" s="37"/>
      <c r="N635" s="27"/>
      <c r="O635" s="30"/>
      <c r="P635" s="39" t="str">
        <f t="shared" si="96"/>
        <v/>
      </c>
      <c r="Q635" s="40" t="str">
        <f>IF(OR(T635=0,RIGHT(T635,1)=$W$1),"",COUNTIF($T$3:T635,T635))</f>
        <v/>
      </c>
      <c r="S635" s="6">
        <f t="shared" si="97"/>
        <v>0</v>
      </c>
      <c r="T635" s="36">
        <f t="shared" si="98"/>
        <v>0</v>
      </c>
      <c r="V635" s="6">
        <f t="shared" si="99"/>
        <v>0</v>
      </c>
      <c r="Y635" s="8">
        <f t="shared" si="100"/>
        <v>46023</v>
      </c>
    </row>
    <row r="636" spans="2:25" ht="18.75" x14ac:dyDescent="0.3">
      <c r="B636" s="6">
        <f t="shared" si="93"/>
        <v>0</v>
      </c>
      <c r="C636" s="6">
        <f t="shared" si="94"/>
        <v>0</v>
      </c>
      <c r="D636" s="6" t="str">
        <f t="shared" si="95"/>
        <v/>
      </c>
      <c r="E636" s="35" t="str">
        <f t="shared" si="91"/>
        <v/>
      </c>
      <c r="F636" s="31"/>
      <c r="G636" s="29"/>
      <c r="H636" s="78" t="str">
        <f t="shared" si="92"/>
        <v/>
      </c>
      <c r="I636" s="25"/>
      <c r="J636" s="25"/>
      <c r="K636" s="26"/>
      <c r="L636" s="26"/>
      <c r="M636" s="37"/>
      <c r="N636" s="27"/>
      <c r="O636" s="30"/>
      <c r="P636" s="39" t="str">
        <f t="shared" si="96"/>
        <v/>
      </c>
      <c r="Q636" s="40" t="str">
        <f>IF(OR(T636=0,RIGHT(T636,1)=$W$1),"",COUNTIF($T$3:T636,T636))</f>
        <v/>
      </c>
      <c r="S636" s="6">
        <f t="shared" si="97"/>
        <v>0</v>
      </c>
      <c r="T636" s="36">
        <f t="shared" si="98"/>
        <v>0</v>
      </c>
      <c r="V636" s="6">
        <f t="shared" si="99"/>
        <v>0</v>
      </c>
      <c r="Y636" s="8">
        <f t="shared" si="100"/>
        <v>46023</v>
      </c>
    </row>
    <row r="637" spans="2:25" ht="18.75" x14ac:dyDescent="0.3">
      <c r="B637" s="6">
        <f t="shared" si="93"/>
        <v>0</v>
      </c>
      <c r="C637" s="6">
        <f t="shared" si="94"/>
        <v>0</v>
      </c>
      <c r="D637" s="6" t="str">
        <f t="shared" si="95"/>
        <v/>
      </c>
      <c r="E637" s="35" t="str">
        <f t="shared" si="91"/>
        <v/>
      </c>
      <c r="F637" s="31"/>
      <c r="G637" s="29"/>
      <c r="H637" s="78" t="str">
        <f t="shared" si="92"/>
        <v/>
      </c>
      <c r="I637" s="25"/>
      <c r="J637" s="25"/>
      <c r="K637" s="26"/>
      <c r="L637" s="26"/>
      <c r="M637" s="37"/>
      <c r="N637" s="27"/>
      <c r="O637" s="30"/>
      <c r="P637" s="39" t="str">
        <f t="shared" si="96"/>
        <v/>
      </c>
      <c r="Q637" s="40" t="str">
        <f>IF(OR(T637=0,RIGHT(T637,1)=$W$1),"",COUNTIF($T$3:T637,T637))</f>
        <v/>
      </c>
      <c r="S637" s="6">
        <f t="shared" si="97"/>
        <v>0</v>
      </c>
      <c r="T637" s="36">
        <f t="shared" si="98"/>
        <v>0</v>
      </c>
      <c r="V637" s="6">
        <f t="shared" si="99"/>
        <v>0</v>
      </c>
      <c r="Y637" s="8">
        <f t="shared" si="100"/>
        <v>46023</v>
      </c>
    </row>
    <row r="638" spans="2:25" ht="18.75" x14ac:dyDescent="0.3">
      <c r="B638" s="6">
        <f t="shared" si="93"/>
        <v>0</v>
      </c>
      <c r="C638" s="6">
        <f t="shared" si="94"/>
        <v>0</v>
      </c>
      <c r="D638" s="6" t="str">
        <f t="shared" si="95"/>
        <v/>
      </c>
      <c r="E638" s="35" t="str">
        <f t="shared" si="91"/>
        <v/>
      </c>
      <c r="F638" s="31"/>
      <c r="G638" s="29"/>
      <c r="H638" s="78" t="str">
        <f t="shared" si="92"/>
        <v/>
      </c>
      <c r="I638" s="25"/>
      <c r="J638" s="25"/>
      <c r="K638" s="26"/>
      <c r="L638" s="26"/>
      <c r="M638" s="37"/>
      <c r="N638" s="27"/>
      <c r="O638" s="30"/>
      <c r="P638" s="39" t="str">
        <f t="shared" si="96"/>
        <v/>
      </c>
      <c r="Q638" s="40" t="str">
        <f>IF(OR(T638=0,RIGHT(T638,1)=$W$1),"",COUNTIF($T$3:T638,T638))</f>
        <v/>
      </c>
      <c r="S638" s="6">
        <f t="shared" si="97"/>
        <v>0</v>
      </c>
      <c r="T638" s="36">
        <f t="shared" si="98"/>
        <v>0</v>
      </c>
      <c r="V638" s="6">
        <f t="shared" si="99"/>
        <v>0</v>
      </c>
      <c r="Y638" s="8">
        <f t="shared" si="100"/>
        <v>46023</v>
      </c>
    </row>
    <row r="639" spans="2:25" ht="18.75" x14ac:dyDescent="0.3">
      <c r="B639" s="6">
        <f t="shared" si="93"/>
        <v>0</v>
      </c>
      <c r="C639" s="6">
        <f t="shared" si="94"/>
        <v>0</v>
      </c>
      <c r="D639" s="6" t="str">
        <f t="shared" si="95"/>
        <v/>
      </c>
      <c r="E639" s="35" t="str">
        <f t="shared" si="91"/>
        <v/>
      </c>
      <c r="F639" s="31"/>
      <c r="G639" s="29"/>
      <c r="H639" s="78" t="str">
        <f t="shared" si="92"/>
        <v/>
      </c>
      <c r="I639" s="25"/>
      <c r="J639" s="25"/>
      <c r="K639" s="26"/>
      <c r="L639" s="26"/>
      <c r="M639" s="37"/>
      <c r="N639" s="27"/>
      <c r="O639" s="30"/>
      <c r="P639" s="39" t="str">
        <f t="shared" si="96"/>
        <v/>
      </c>
      <c r="Q639" s="40" t="str">
        <f>IF(OR(T639=0,RIGHT(T639,1)=$W$1),"",COUNTIF($T$3:T639,T639))</f>
        <v/>
      </c>
      <c r="S639" s="6">
        <f t="shared" si="97"/>
        <v>0</v>
      </c>
      <c r="T639" s="36">
        <f t="shared" si="98"/>
        <v>0</v>
      </c>
      <c r="V639" s="6">
        <f t="shared" si="99"/>
        <v>0</v>
      </c>
      <c r="Y639" s="8">
        <f t="shared" si="100"/>
        <v>46023</v>
      </c>
    </row>
    <row r="640" spans="2:25" ht="18.75" x14ac:dyDescent="0.3">
      <c r="B640" s="6">
        <f t="shared" si="93"/>
        <v>0</v>
      </c>
      <c r="C640" s="6">
        <f t="shared" si="94"/>
        <v>0</v>
      </c>
      <c r="D640" s="6" t="str">
        <f t="shared" si="95"/>
        <v/>
      </c>
      <c r="E640" s="35" t="str">
        <f t="shared" si="91"/>
        <v/>
      </c>
      <c r="F640" s="31"/>
      <c r="G640" s="29"/>
      <c r="H640" s="78" t="str">
        <f t="shared" si="92"/>
        <v/>
      </c>
      <c r="I640" s="25"/>
      <c r="J640" s="25"/>
      <c r="K640" s="26"/>
      <c r="L640" s="26"/>
      <c r="M640" s="37"/>
      <c r="N640" s="27"/>
      <c r="O640" s="30"/>
      <c r="P640" s="39" t="str">
        <f t="shared" si="96"/>
        <v/>
      </c>
      <c r="Q640" s="40" t="str">
        <f>IF(OR(T640=0,RIGHT(T640,1)=$W$1),"",COUNTIF($T$3:T640,T640))</f>
        <v/>
      </c>
      <c r="S640" s="6">
        <f t="shared" si="97"/>
        <v>0</v>
      </c>
      <c r="T640" s="36">
        <f t="shared" si="98"/>
        <v>0</v>
      </c>
      <c r="V640" s="6">
        <f t="shared" si="99"/>
        <v>0</v>
      </c>
      <c r="Y640" s="8">
        <f t="shared" si="100"/>
        <v>46023</v>
      </c>
    </row>
    <row r="641" spans="2:25" ht="18.75" x14ac:dyDescent="0.3">
      <c r="B641" s="6">
        <f t="shared" si="93"/>
        <v>0</v>
      </c>
      <c r="C641" s="6">
        <f t="shared" si="94"/>
        <v>0</v>
      </c>
      <c r="D641" s="6" t="str">
        <f t="shared" si="95"/>
        <v/>
      </c>
      <c r="E641" s="35" t="str">
        <f t="shared" si="91"/>
        <v/>
      </c>
      <c r="F641" s="31"/>
      <c r="G641" s="29"/>
      <c r="H641" s="78" t="str">
        <f t="shared" si="92"/>
        <v/>
      </c>
      <c r="I641" s="25"/>
      <c r="J641" s="25"/>
      <c r="K641" s="26"/>
      <c r="L641" s="26"/>
      <c r="M641" s="37"/>
      <c r="N641" s="27"/>
      <c r="O641" s="30"/>
      <c r="P641" s="39" t="str">
        <f t="shared" si="96"/>
        <v/>
      </c>
      <c r="Q641" s="40" t="str">
        <f>IF(OR(T641=0,RIGHT(T641,1)=$W$1),"",COUNTIF($T$3:T641,T641))</f>
        <v/>
      </c>
      <c r="S641" s="6">
        <f t="shared" si="97"/>
        <v>0</v>
      </c>
      <c r="T641" s="36">
        <f t="shared" si="98"/>
        <v>0</v>
      </c>
      <c r="V641" s="6">
        <f t="shared" si="99"/>
        <v>0</v>
      </c>
      <c r="Y641" s="8">
        <f t="shared" si="100"/>
        <v>46023</v>
      </c>
    </row>
    <row r="642" spans="2:25" ht="18.75" x14ac:dyDescent="0.3">
      <c r="B642" s="6">
        <f t="shared" si="93"/>
        <v>0</v>
      </c>
      <c r="C642" s="6">
        <f t="shared" si="94"/>
        <v>0</v>
      </c>
      <c r="D642" s="6" t="str">
        <f t="shared" si="95"/>
        <v/>
      </c>
      <c r="E642" s="35" t="str">
        <f t="shared" si="91"/>
        <v/>
      </c>
      <c r="F642" s="31"/>
      <c r="G642" s="29"/>
      <c r="H642" s="78" t="str">
        <f t="shared" si="92"/>
        <v/>
      </c>
      <c r="I642" s="25"/>
      <c r="J642" s="25"/>
      <c r="K642" s="26"/>
      <c r="L642" s="26"/>
      <c r="M642" s="37"/>
      <c r="N642" s="27"/>
      <c r="O642" s="30"/>
      <c r="P642" s="39" t="str">
        <f t="shared" si="96"/>
        <v/>
      </c>
      <c r="Q642" s="40" t="str">
        <f>IF(OR(T642=0,RIGHT(T642,1)=$W$1),"",COUNTIF($T$3:T642,T642))</f>
        <v/>
      </c>
      <c r="S642" s="6">
        <f t="shared" si="97"/>
        <v>0</v>
      </c>
      <c r="T642" s="36">
        <f t="shared" si="98"/>
        <v>0</v>
      </c>
      <c r="V642" s="6">
        <f t="shared" si="99"/>
        <v>0</v>
      </c>
      <c r="Y642" s="8">
        <f t="shared" si="100"/>
        <v>46023</v>
      </c>
    </row>
    <row r="643" spans="2:25" ht="18.75" x14ac:dyDescent="0.3">
      <c r="B643" s="6">
        <f t="shared" si="93"/>
        <v>0</v>
      </c>
      <c r="C643" s="6">
        <f t="shared" si="94"/>
        <v>0</v>
      </c>
      <c r="D643" s="6" t="str">
        <f t="shared" si="95"/>
        <v/>
      </c>
      <c r="E643" s="35" t="str">
        <f t="shared" ref="E643:E706" si="101">IF(D643&lt;&gt;"",D643&amp;" - "&amp;YEAR(F643),"")</f>
        <v/>
      </c>
      <c r="F643" s="31"/>
      <c r="G643" s="29"/>
      <c r="H643" s="78" t="str">
        <f t="shared" ref="H643:H650" si="102">IF(G643&lt;&gt;"",F643,"")</f>
        <v/>
      </c>
      <c r="I643" s="25"/>
      <c r="J643" s="25"/>
      <c r="K643" s="26"/>
      <c r="L643" s="26"/>
      <c r="M643" s="37"/>
      <c r="N643" s="27"/>
      <c r="O643" s="30"/>
      <c r="P643" s="39" t="str">
        <f t="shared" si="96"/>
        <v/>
      </c>
      <c r="Q643" s="40" t="str">
        <f>IF(OR(T643=0,RIGHT(T643,1)=$W$1),"",COUNTIF($T$3:T643,T643))</f>
        <v/>
      </c>
      <c r="S643" s="6">
        <f t="shared" si="97"/>
        <v>0</v>
      </c>
      <c r="T643" s="36">
        <f t="shared" si="98"/>
        <v>0</v>
      </c>
      <c r="V643" s="6">
        <f t="shared" si="99"/>
        <v>0</v>
      </c>
      <c r="Y643" s="8">
        <f t="shared" si="100"/>
        <v>46023</v>
      </c>
    </row>
    <row r="644" spans="2:25" ht="18.75" x14ac:dyDescent="0.3">
      <c r="B644" s="6">
        <f t="shared" ref="B644:B707" si="103">IF($B$1=YEAR(F644),B643+1,B643)</f>
        <v>0</v>
      </c>
      <c r="C644" s="6">
        <f t="shared" ref="C644:C707" si="104">IF(AND($C$1=K644,$Y$1=YEAR(F644)),C643+1,C643)</f>
        <v>0</v>
      </c>
      <c r="D644" s="6" t="str">
        <f t="shared" ref="D644:D707" si="105">IF(F644&lt;&gt;0,IF(YEAR(F644)&lt;&gt;YEAR(F643),1,IF(M644=$AI$1,D643,D643+1)),"")</f>
        <v/>
      </c>
      <c r="E644" s="35" t="str">
        <f t="shared" si="101"/>
        <v/>
      </c>
      <c r="F644" s="31"/>
      <c r="G644" s="29"/>
      <c r="H644" s="78" t="str">
        <f t="shared" si="102"/>
        <v/>
      </c>
      <c r="I644" s="25"/>
      <c r="J644" s="25"/>
      <c r="K644" s="26"/>
      <c r="L644" s="26"/>
      <c r="M644" s="37"/>
      <c r="N644" s="27"/>
      <c r="O644" s="30"/>
      <c r="P644" s="39" t="str">
        <f t="shared" ref="P644:P707" si="106">IF(OR(T644=0,RIGHT(T644,1)=$W$1),"",VLOOKUP(K644,$AD$1:$AK$15,5,FALSE))</f>
        <v/>
      </c>
      <c r="Q644" s="40" t="str">
        <f>IF(OR(T644=0,RIGHT(T644,1)=$W$1),"",COUNTIF($T$3:T644,T644))</f>
        <v/>
      </c>
      <c r="S644" s="6">
        <f t="shared" ref="S644:S707" si="107">IF(AND($C$1=K644,$Y$1=YEAR(F644)),C644,0)</f>
        <v>0</v>
      </c>
      <c r="T644" s="36">
        <f t="shared" ref="T644:T707" si="108">IF(F644=0,0,YEAR(F644)&amp;VLOOKUP(K644,$AD$1:$AE$15,2,FALSE))</f>
        <v>0</v>
      </c>
      <c r="V644" s="6">
        <f t="shared" ref="V644:V707" si="109">IF(AND(YEAR(F644)=$Y$1,K644=$C$1,L644&amp;$V$1&lt;&gt;$V$1),L644,IF(AND(YEAR(F644)=$Y$1,K644=$C$1),1,0))</f>
        <v>0</v>
      </c>
      <c r="Y644" s="8">
        <f t="shared" ref="Y644:Y707" si="110">IF(M644&lt;&gt;$AI$1,$Y$2,F643)</f>
        <v>46023</v>
      </c>
    </row>
    <row r="645" spans="2:25" ht="18.75" x14ac:dyDescent="0.3">
      <c r="B645" s="6">
        <f t="shared" si="103"/>
        <v>0</v>
      </c>
      <c r="C645" s="6">
        <f t="shared" si="104"/>
        <v>0</v>
      </c>
      <c r="D645" s="6" t="str">
        <f t="shared" si="105"/>
        <v/>
      </c>
      <c r="E645" s="35" t="str">
        <f t="shared" si="101"/>
        <v/>
      </c>
      <c r="F645" s="31"/>
      <c r="G645" s="29"/>
      <c r="H645" s="78" t="str">
        <f t="shared" si="102"/>
        <v/>
      </c>
      <c r="I645" s="25"/>
      <c r="J645" s="25"/>
      <c r="K645" s="26"/>
      <c r="L645" s="26"/>
      <c r="M645" s="37"/>
      <c r="N645" s="27"/>
      <c r="O645" s="30"/>
      <c r="P645" s="39" t="str">
        <f t="shared" si="106"/>
        <v/>
      </c>
      <c r="Q645" s="40" t="str">
        <f>IF(OR(T645=0,RIGHT(T645,1)=$W$1),"",COUNTIF($T$3:T645,T645))</f>
        <v/>
      </c>
      <c r="S645" s="6">
        <f t="shared" si="107"/>
        <v>0</v>
      </c>
      <c r="T645" s="36">
        <f t="shared" si="108"/>
        <v>0</v>
      </c>
      <c r="V645" s="6">
        <f t="shared" si="109"/>
        <v>0</v>
      </c>
      <c r="Y645" s="8">
        <f t="shared" si="110"/>
        <v>46023</v>
      </c>
    </row>
    <row r="646" spans="2:25" ht="18.75" x14ac:dyDescent="0.3">
      <c r="B646" s="6">
        <f t="shared" si="103"/>
        <v>0</v>
      </c>
      <c r="C646" s="6">
        <f t="shared" si="104"/>
        <v>0</v>
      </c>
      <c r="D646" s="6" t="str">
        <f t="shared" si="105"/>
        <v/>
      </c>
      <c r="E646" s="35" t="str">
        <f t="shared" si="101"/>
        <v/>
      </c>
      <c r="F646" s="31"/>
      <c r="G646" s="29"/>
      <c r="H646" s="78" t="str">
        <f t="shared" si="102"/>
        <v/>
      </c>
      <c r="I646" s="25"/>
      <c r="J646" s="25"/>
      <c r="K646" s="26"/>
      <c r="L646" s="26"/>
      <c r="M646" s="37"/>
      <c r="N646" s="27"/>
      <c r="O646" s="30"/>
      <c r="P646" s="39" t="str">
        <f t="shared" si="106"/>
        <v/>
      </c>
      <c r="Q646" s="40" t="str">
        <f>IF(OR(T646=0,RIGHT(T646,1)=$W$1),"",COUNTIF($T$3:T646,T646))</f>
        <v/>
      </c>
      <c r="S646" s="6">
        <f t="shared" si="107"/>
        <v>0</v>
      </c>
      <c r="T646" s="36">
        <f t="shared" si="108"/>
        <v>0</v>
      </c>
      <c r="V646" s="6">
        <f t="shared" si="109"/>
        <v>0</v>
      </c>
      <c r="Y646" s="8">
        <f t="shared" si="110"/>
        <v>46023</v>
      </c>
    </row>
    <row r="647" spans="2:25" ht="18.75" x14ac:dyDescent="0.3">
      <c r="B647" s="6">
        <f t="shared" si="103"/>
        <v>0</v>
      </c>
      <c r="C647" s="6">
        <f t="shared" si="104"/>
        <v>0</v>
      </c>
      <c r="D647" s="6" t="str">
        <f t="shared" si="105"/>
        <v/>
      </c>
      <c r="E647" s="35" t="str">
        <f t="shared" si="101"/>
        <v/>
      </c>
      <c r="F647" s="31"/>
      <c r="G647" s="29"/>
      <c r="H647" s="78" t="str">
        <f t="shared" si="102"/>
        <v/>
      </c>
      <c r="I647" s="25"/>
      <c r="J647" s="25"/>
      <c r="K647" s="26"/>
      <c r="L647" s="26"/>
      <c r="M647" s="37"/>
      <c r="N647" s="27"/>
      <c r="O647" s="30"/>
      <c r="P647" s="39" t="str">
        <f t="shared" si="106"/>
        <v/>
      </c>
      <c r="Q647" s="40" t="str">
        <f>IF(OR(T647=0,RIGHT(T647,1)=$W$1),"",COUNTIF($T$3:T647,T647))</f>
        <v/>
      </c>
      <c r="S647" s="6">
        <f t="shared" si="107"/>
        <v>0</v>
      </c>
      <c r="T647" s="36">
        <f t="shared" si="108"/>
        <v>0</v>
      </c>
      <c r="V647" s="6">
        <f t="shared" si="109"/>
        <v>0</v>
      </c>
      <c r="Y647" s="8">
        <f t="shared" si="110"/>
        <v>46023</v>
      </c>
    </row>
    <row r="648" spans="2:25" ht="18.75" x14ac:dyDescent="0.3">
      <c r="B648" s="6">
        <f t="shared" si="103"/>
        <v>0</v>
      </c>
      <c r="C648" s="6">
        <f t="shared" si="104"/>
        <v>0</v>
      </c>
      <c r="D648" s="6" t="str">
        <f t="shared" si="105"/>
        <v/>
      </c>
      <c r="E648" s="35" t="str">
        <f t="shared" si="101"/>
        <v/>
      </c>
      <c r="F648" s="31"/>
      <c r="G648" s="29"/>
      <c r="H648" s="78" t="str">
        <f t="shared" si="102"/>
        <v/>
      </c>
      <c r="I648" s="25"/>
      <c r="J648" s="25"/>
      <c r="K648" s="26"/>
      <c r="L648" s="26"/>
      <c r="M648" s="37"/>
      <c r="N648" s="27"/>
      <c r="O648" s="30"/>
      <c r="P648" s="39" t="str">
        <f t="shared" si="106"/>
        <v/>
      </c>
      <c r="Q648" s="40" t="str">
        <f>IF(OR(T648=0,RIGHT(T648,1)=$W$1),"",COUNTIF($T$3:T648,T648))</f>
        <v/>
      </c>
      <c r="S648" s="6">
        <f t="shared" si="107"/>
        <v>0</v>
      </c>
      <c r="T648" s="36">
        <f t="shared" si="108"/>
        <v>0</v>
      </c>
      <c r="V648" s="6">
        <f t="shared" si="109"/>
        <v>0</v>
      </c>
      <c r="Y648" s="8">
        <f t="shared" si="110"/>
        <v>46023</v>
      </c>
    </row>
    <row r="649" spans="2:25" ht="18.75" x14ac:dyDescent="0.3">
      <c r="B649" s="6">
        <f t="shared" si="103"/>
        <v>0</v>
      </c>
      <c r="C649" s="6">
        <f t="shared" si="104"/>
        <v>0</v>
      </c>
      <c r="D649" s="6" t="str">
        <f t="shared" si="105"/>
        <v/>
      </c>
      <c r="E649" s="35" t="str">
        <f t="shared" si="101"/>
        <v/>
      </c>
      <c r="F649" s="31"/>
      <c r="G649" s="29"/>
      <c r="H649" s="78" t="str">
        <f t="shared" si="102"/>
        <v/>
      </c>
      <c r="I649" s="25"/>
      <c r="J649" s="25"/>
      <c r="K649" s="26"/>
      <c r="L649" s="26"/>
      <c r="M649" s="37"/>
      <c r="N649" s="27"/>
      <c r="O649" s="30"/>
      <c r="P649" s="39" t="str">
        <f t="shared" si="106"/>
        <v/>
      </c>
      <c r="Q649" s="40" t="str">
        <f>IF(OR(T649=0,RIGHT(T649,1)=$W$1),"",COUNTIF($T$3:T649,T649))</f>
        <v/>
      </c>
      <c r="S649" s="6">
        <f t="shared" si="107"/>
        <v>0</v>
      </c>
      <c r="T649" s="36">
        <f t="shared" si="108"/>
        <v>0</v>
      </c>
      <c r="V649" s="6">
        <f t="shared" si="109"/>
        <v>0</v>
      </c>
      <c r="Y649" s="8">
        <f t="shared" si="110"/>
        <v>46023</v>
      </c>
    </row>
    <row r="650" spans="2:25" ht="18.75" x14ac:dyDescent="0.3">
      <c r="B650" s="6">
        <f t="shared" si="103"/>
        <v>0</v>
      </c>
      <c r="C650" s="6">
        <f t="shared" si="104"/>
        <v>0</v>
      </c>
      <c r="D650" s="6" t="str">
        <f t="shared" si="105"/>
        <v/>
      </c>
      <c r="E650" s="35" t="str">
        <f t="shared" si="101"/>
        <v/>
      </c>
      <c r="F650" s="31"/>
      <c r="G650" s="29"/>
      <c r="H650" s="78" t="str">
        <f t="shared" si="102"/>
        <v/>
      </c>
      <c r="I650" s="25"/>
      <c r="J650" s="25"/>
      <c r="K650" s="26"/>
      <c r="L650" s="26"/>
      <c r="M650" s="37"/>
      <c r="N650" s="27"/>
      <c r="O650" s="30"/>
      <c r="P650" s="39" t="str">
        <f t="shared" si="106"/>
        <v/>
      </c>
      <c r="Q650" s="40" t="str">
        <f>IF(OR(T650=0,RIGHT(T650,1)=$W$1),"",COUNTIF($T$3:T650,T650))</f>
        <v/>
      </c>
      <c r="S650" s="6">
        <f t="shared" si="107"/>
        <v>0</v>
      </c>
      <c r="T650" s="36">
        <f t="shared" si="108"/>
        <v>0</v>
      </c>
      <c r="V650" s="6">
        <f t="shared" si="109"/>
        <v>0</v>
      </c>
      <c r="Y650" s="8">
        <f t="shared" si="110"/>
        <v>46023</v>
      </c>
    </row>
    <row r="651" spans="2:25" ht="18.75" x14ac:dyDescent="0.3">
      <c r="B651" s="6">
        <f t="shared" si="103"/>
        <v>0</v>
      </c>
      <c r="C651" s="6">
        <f t="shared" si="104"/>
        <v>0</v>
      </c>
      <c r="D651" s="6" t="str">
        <f t="shared" si="105"/>
        <v/>
      </c>
      <c r="E651" s="35" t="str">
        <f t="shared" si="101"/>
        <v/>
      </c>
      <c r="F651" s="31"/>
      <c r="G651" s="29"/>
      <c r="H651" s="78" t="str">
        <f t="shared" ref="H651:H707" si="111">IF(G651&lt;&gt;"",F651,"")</f>
        <v/>
      </c>
      <c r="I651" s="25"/>
      <c r="J651" s="25"/>
      <c r="K651" s="26"/>
      <c r="L651" s="26"/>
      <c r="M651" s="37"/>
      <c r="N651" s="27"/>
      <c r="O651" s="30"/>
      <c r="P651" s="39" t="str">
        <f t="shared" si="106"/>
        <v/>
      </c>
      <c r="Q651" s="40" t="str">
        <f>IF(OR(T651=0,RIGHT(T651,1)=$W$1),"",COUNTIF($T$3:T651,T651))</f>
        <v/>
      </c>
      <c r="S651" s="6">
        <f t="shared" si="107"/>
        <v>0</v>
      </c>
      <c r="T651" s="36">
        <f t="shared" si="108"/>
        <v>0</v>
      </c>
      <c r="V651" s="6">
        <f t="shared" si="109"/>
        <v>0</v>
      </c>
      <c r="Y651" s="8">
        <f t="shared" si="110"/>
        <v>46023</v>
      </c>
    </row>
    <row r="652" spans="2:25" ht="18.75" x14ac:dyDescent="0.3">
      <c r="B652" s="6">
        <f t="shared" si="103"/>
        <v>0</v>
      </c>
      <c r="C652" s="6">
        <f t="shared" si="104"/>
        <v>0</v>
      </c>
      <c r="D652" s="6" t="str">
        <f t="shared" si="105"/>
        <v/>
      </c>
      <c r="E652" s="35" t="str">
        <f t="shared" si="101"/>
        <v/>
      </c>
      <c r="F652" s="31"/>
      <c r="G652" s="29"/>
      <c r="H652" s="78" t="str">
        <f t="shared" si="111"/>
        <v/>
      </c>
      <c r="I652" s="25"/>
      <c r="J652" s="25"/>
      <c r="K652" s="26"/>
      <c r="L652" s="26"/>
      <c r="M652" s="37"/>
      <c r="N652" s="27"/>
      <c r="O652" s="30"/>
      <c r="P652" s="39" t="str">
        <f t="shared" si="106"/>
        <v/>
      </c>
      <c r="Q652" s="40" t="str">
        <f>IF(OR(T652=0,RIGHT(T652,1)=$W$1),"",COUNTIF($T$3:T652,T652))</f>
        <v/>
      </c>
      <c r="S652" s="6">
        <f t="shared" si="107"/>
        <v>0</v>
      </c>
      <c r="T652" s="36">
        <f t="shared" si="108"/>
        <v>0</v>
      </c>
      <c r="V652" s="6">
        <f t="shared" si="109"/>
        <v>0</v>
      </c>
      <c r="Y652" s="8">
        <f t="shared" si="110"/>
        <v>46023</v>
      </c>
    </row>
    <row r="653" spans="2:25" ht="18.75" x14ac:dyDescent="0.3">
      <c r="B653" s="6">
        <f t="shared" si="103"/>
        <v>0</v>
      </c>
      <c r="C653" s="6">
        <f t="shared" si="104"/>
        <v>0</v>
      </c>
      <c r="D653" s="6" t="str">
        <f t="shared" si="105"/>
        <v/>
      </c>
      <c r="E653" s="35" t="str">
        <f t="shared" si="101"/>
        <v/>
      </c>
      <c r="F653" s="31"/>
      <c r="G653" s="29"/>
      <c r="H653" s="78" t="str">
        <f t="shared" si="111"/>
        <v/>
      </c>
      <c r="I653" s="25"/>
      <c r="J653" s="25"/>
      <c r="K653" s="26"/>
      <c r="L653" s="26"/>
      <c r="M653" s="37"/>
      <c r="N653" s="27"/>
      <c r="O653" s="30"/>
      <c r="P653" s="39" t="str">
        <f t="shared" si="106"/>
        <v/>
      </c>
      <c r="Q653" s="40" t="str">
        <f>IF(OR(T653=0,RIGHT(T653,1)=$W$1),"",COUNTIF($T$3:T653,T653))</f>
        <v/>
      </c>
      <c r="S653" s="6">
        <f t="shared" si="107"/>
        <v>0</v>
      </c>
      <c r="T653" s="36">
        <f t="shared" si="108"/>
        <v>0</v>
      </c>
      <c r="V653" s="6">
        <f t="shared" si="109"/>
        <v>0</v>
      </c>
      <c r="Y653" s="8">
        <f t="shared" si="110"/>
        <v>46023</v>
      </c>
    </row>
    <row r="654" spans="2:25" ht="18.75" x14ac:dyDescent="0.3">
      <c r="B654" s="6">
        <f t="shared" si="103"/>
        <v>0</v>
      </c>
      <c r="C654" s="6">
        <f t="shared" si="104"/>
        <v>0</v>
      </c>
      <c r="D654" s="6" t="str">
        <f t="shared" si="105"/>
        <v/>
      </c>
      <c r="E654" s="35" t="str">
        <f t="shared" si="101"/>
        <v/>
      </c>
      <c r="F654" s="31"/>
      <c r="G654" s="29"/>
      <c r="H654" s="78" t="str">
        <f t="shared" si="111"/>
        <v/>
      </c>
      <c r="I654" s="25"/>
      <c r="J654" s="25"/>
      <c r="K654" s="26"/>
      <c r="L654" s="26"/>
      <c r="M654" s="37"/>
      <c r="N654" s="27"/>
      <c r="O654" s="30"/>
      <c r="P654" s="39" t="str">
        <f t="shared" si="106"/>
        <v/>
      </c>
      <c r="Q654" s="40" t="str">
        <f>IF(OR(T654=0,RIGHT(T654,1)=$W$1),"",COUNTIF($T$3:T654,T654))</f>
        <v/>
      </c>
      <c r="S654" s="6">
        <f t="shared" si="107"/>
        <v>0</v>
      </c>
      <c r="T654" s="36">
        <f t="shared" si="108"/>
        <v>0</v>
      </c>
      <c r="V654" s="6">
        <f t="shared" si="109"/>
        <v>0</v>
      </c>
      <c r="Y654" s="8">
        <f t="shared" si="110"/>
        <v>46023</v>
      </c>
    </row>
    <row r="655" spans="2:25" ht="18.75" x14ac:dyDescent="0.3">
      <c r="B655" s="6">
        <f t="shared" si="103"/>
        <v>0</v>
      </c>
      <c r="C655" s="6">
        <f t="shared" si="104"/>
        <v>0</v>
      </c>
      <c r="D655" s="6" t="str">
        <f t="shared" si="105"/>
        <v/>
      </c>
      <c r="E655" s="35" t="str">
        <f t="shared" si="101"/>
        <v/>
      </c>
      <c r="F655" s="31"/>
      <c r="G655" s="29"/>
      <c r="H655" s="78" t="str">
        <f t="shared" si="111"/>
        <v/>
      </c>
      <c r="I655" s="25"/>
      <c r="J655" s="25"/>
      <c r="K655" s="26"/>
      <c r="L655" s="26"/>
      <c r="M655" s="37"/>
      <c r="N655" s="27"/>
      <c r="O655" s="30"/>
      <c r="P655" s="39" t="str">
        <f t="shared" si="106"/>
        <v/>
      </c>
      <c r="Q655" s="40" t="str">
        <f>IF(OR(T655=0,RIGHT(T655,1)=$W$1),"",COUNTIF($T$3:T655,T655))</f>
        <v/>
      </c>
      <c r="S655" s="6">
        <f t="shared" si="107"/>
        <v>0</v>
      </c>
      <c r="T655" s="36">
        <f t="shared" si="108"/>
        <v>0</v>
      </c>
      <c r="V655" s="6">
        <f t="shared" si="109"/>
        <v>0</v>
      </c>
      <c r="Y655" s="8">
        <f t="shared" si="110"/>
        <v>46023</v>
      </c>
    </row>
    <row r="656" spans="2:25" ht="18.75" x14ac:dyDescent="0.3">
      <c r="B656" s="6">
        <f t="shared" si="103"/>
        <v>0</v>
      </c>
      <c r="C656" s="6">
        <f t="shared" si="104"/>
        <v>0</v>
      </c>
      <c r="D656" s="6" t="str">
        <f t="shared" si="105"/>
        <v/>
      </c>
      <c r="E656" s="35" t="str">
        <f t="shared" si="101"/>
        <v/>
      </c>
      <c r="F656" s="31"/>
      <c r="G656" s="29"/>
      <c r="H656" s="78" t="str">
        <f t="shared" si="111"/>
        <v/>
      </c>
      <c r="I656" s="25"/>
      <c r="J656" s="25"/>
      <c r="K656" s="26"/>
      <c r="L656" s="26"/>
      <c r="M656" s="37"/>
      <c r="N656" s="27"/>
      <c r="O656" s="30"/>
      <c r="P656" s="39" t="str">
        <f t="shared" si="106"/>
        <v/>
      </c>
      <c r="Q656" s="40" t="str">
        <f>IF(OR(T656=0,RIGHT(T656,1)=$W$1),"",COUNTIF($T$3:T656,T656))</f>
        <v/>
      </c>
      <c r="S656" s="6">
        <f t="shared" si="107"/>
        <v>0</v>
      </c>
      <c r="T656" s="36">
        <f t="shared" si="108"/>
        <v>0</v>
      </c>
      <c r="V656" s="6">
        <f t="shared" si="109"/>
        <v>0</v>
      </c>
      <c r="Y656" s="8">
        <f t="shared" si="110"/>
        <v>46023</v>
      </c>
    </row>
    <row r="657" spans="2:25" ht="18.75" x14ac:dyDescent="0.3">
      <c r="B657" s="6">
        <f t="shared" si="103"/>
        <v>0</v>
      </c>
      <c r="C657" s="6">
        <f t="shared" si="104"/>
        <v>0</v>
      </c>
      <c r="D657" s="6" t="str">
        <f t="shared" si="105"/>
        <v/>
      </c>
      <c r="E657" s="35" t="str">
        <f t="shared" si="101"/>
        <v/>
      </c>
      <c r="F657" s="31"/>
      <c r="G657" s="29"/>
      <c r="H657" s="78" t="str">
        <f t="shared" si="111"/>
        <v/>
      </c>
      <c r="I657" s="25"/>
      <c r="J657" s="25"/>
      <c r="K657" s="26"/>
      <c r="L657" s="26"/>
      <c r="M657" s="37"/>
      <c r="N657" s="27"/>
      <c r="O657" s="30"/>
      <c r="P657" s="39" t="str">
        <f t="shared" si="106"/>
        <v/>
      </c>
      <c r="Q657" s="40" t="str">
        <f>IF(OR(T657=0,RIGHT(T657,1)=$W$1),"",COUNTIF($T$3:T657,T657))</f>
        <v/>
      </c>
      <c r="S657" s="6">
        <f t="shared" si="107"/>
        <v>0</v>
      </c>
      <c r="T657" s="36">
        <f t="shared" si="108"/>
        <v>0</v>
      </c>
      <c r="V657" s="6">
        <f t="shared" si="109"/>
        <v>0</v>
      </c>
      <c r="Y657" s="8">
        <f t="shared" si="110"/>
        <v>46023</v>
      </c>
    </row>
    <row r="658" spans="2:25" ht="18.75" x14ac:dyDescent="0.3">
      <c r="B658" s="6">
        <f t="shared" si="103"/>
        <v>0</v>
      </c>
      <c r="C658" s="6">
        <f t="shared" si="104"/>
        <v>0</v>
      </c>
      <c r="D658" s="6" t="str">
        <f t="shared" si="105"/>
        <v/>
      </c>
      <c r="E658" s="35" t="str">
        <f t="shared" si="101"/>
        <v/>
      </c>
      <c r="F658" s="31"/>
      <c r="G658" s="29"/>
      <c r="H658" s="78" t="str">
        <f t="shared" si="111"/>
        <v/>
      </c>
      <c r="I658" s="25"/>
      <c r="J658" s="25"/>
      <c r="K658" s="26"/>
      <c r="L658" s="26"/>
      <c r="M658" s="37"/>
      <c r="N658" s="27"/>
      <c r="O658" s="30"/>
      <c r="P658" s="39" t="str">
        <f t="shared" si="106"/>
        <v/>
      </c>
      <c r="Q658" s="40" t="str">
        <f>IF(OR(T658=0,RIGHT(T658,1)=$W$1),"",COUNTIF($T$3:T658,T658))</f>
        <v/>
      </c>
      <c r="S658" s="6">
        <f t="shared" si="107"/>
        <v>0</v>
      </c>
      <c r="T658" s="36">
        <f t="shared" si="108"/>
        <v>0</v>
      </c>
      <c r="V658" s="6">
        <f t="shared" si="109"/>
        <v>0</v>
      </c>
      <c r="Y658" s="8">
        <f t="shared" si="110"/>
        <v>46023</v>
      </c>
    </row>
    <row r="659" spans="2:25" ht="18.75" x14ac:dyDescent="0.3">
      <c r="B659" s="6">
        <f t="shared" si="103"/>
        <v>0</v>
      </c>
      <c r="C659" s="6">
        <f t="shared" si="104"/>
        <v>0</v>
      </c>
      <c r="D659" s="6" t="str">
        <f t="shared" si="105"/>
        <v/>
      </c>
      <c r="E659" s="35" t="str">
        <f t="shared" si="101"/>
        <v/>
      </c>
      <c r="F659" s="31"/>
      <c r="G659" s="29"/>
      <c r="H659" s="78" t="str">
        <f t="shared" si="111"/>
        <v/>
      </c>
      <c r="I659" s="25"/>
      <c r="J659" s="25"/>
      <c r="K659" s="26"/>
      <c r="L659" s="26"/>
      <c r="M659" s="37"/>
      <c r="N659" s="27"/>
      <c r="O659" s="30"/>
      <c r="P659" s="39" t="str">
        <f t="shared" si="106"/>
        <v/>
      </c>
      <c r="Q659" s="40" t="str">
        <f>IF(OR(T659=0,RIGHT(T659,1)=$W$1),"",COUNTIF($T$3:T659,T659))</f>
        <v/>
      </c>
      <c r="S659" s="6">
        <f t="shared" si="107"/>
        <v>0</v>
      </c>
      <c r="T659" s="36">
        <f t="shared" si="108"/>
        <v>0</v>
      </c>
      <c r="V659" s="6">
        <f t="shared" si="109"/>
        <v>0</v>
      </c>
      <c r="Y659" s="8">
        <f t="shared" si="110"/>
        <v>46023</v>
      </c>
    </row>
    <row r="660" spans="2:25" ht="18.75" x14ac:dyDescent="0.3">
      <c r="B660" s="6">
        <f t="shared" si="103"/>
        <v>0</v>
      </c>
      <c r="C660" s="6">
        <f t="shared" si="104"/>
        <v>0</v>
      </c>
      <c r="D660" s="6" t="str">
        <f t="shared" si="105"/>
        <v/>
      </c>
      <c r="E660" s="35" t="str">
        <f t="shared" si="101"/>
        <v/>
      </c>
      <c r="F660" s="31"/>
      <c r="G660" s="29"/>
      <c r="H660" s="78" t="str">
        <f t="shared" si="111"/>
        <v/>
      </c>
      <c r="I660" s="25"/>
      <c r="J660" s="25"/>
      <c r="K660" s="26"/>
      <c r="L660" s="26"/>
      <c r="M660" s="37"/>
      <c r="N660" s="27"/>
      <c r="O660" s="30"/>
      <c r="P660" s="39" t="str">
        <f t="shared" si="106"/>
        <v/>
      </c>
      <c r="Q660" s="40" t="str">
        <f>IF(OR(T660=0,RIGHT(T660,1)=$W$1),"",COUNTIF($T$3:T660,T660))</f>
        <v/>
      </c>
      <c r="S660" s="6">
        <f t="shared" si="107"/>
        <v>0</v>
      </c>
      <c r="T660" s="36">
        <f t="shared" si="108"/>
        <v>0</v>
      </c>
      <c r="V660" s="6">
        <f t="shared" si="109"/>
        <v>0</v>
      </c>
      <c r="Y660" s="8">
        <f t="shared" si="110"/>
        <v>46023</v>
      </c>
    </row>
    <row r="661" spans="2:25" ht="18.75" x14ac:dyDescent="0.3">
      <c r="B661" s="6">
        <f t="shared" si="103"/>
        <v>0</v>
      </c>
      <c r="C661" s="6">
        <f t="shared" si="104"/>
        <v>0</v>
      </c>
      <c r="D661" s="6" t="str">
        <f t="shared" si="105"/>
        <v/>
      </c>
      <c r="E661" s="35" t="str">
        <f t="shared" si="101"/>
        <v/>
      </c>
      <c r="F661" s="31"/>
      <c r="G661" s="29"/>
      <c r="H661" s="78" t="str">
        <f t="shared" si="111"/>
        <v/>
      </c>
      <c r="I661" s="25"/>
      <c r="J661" s="25"/>
      <c r="K661" s="26"/>
      <c r="L661" s="26"/>
      <c r="M661" s="37"/>
      <c r="N661" s="27"/>
      <c r="O661" s="30"/>
      <c r="P661" s="39" t="str">
        <f t="shared" si="106"/>
        <v/>
      </c>
      <c r="Q661" s="40" t="str">
        <f>IF(OR(T661=0,RIGHT(T661,1)=$W$1),"",COUNTIF($T$3:T661,T661))</f>
        <v/>
      </c>
      <c r="S661" s="6">
        <f t="shared" si="107"/>
        <v>0</v>
      </c>
      <c r="T661" s="36">
        <f t="shared" si="108"/>
        <v>0</v>
      </c>
      <c r="V661" s="6">
        <f t="shared" si="109"/>
        <v>0</v>
      </c>
      <c r="Y661" s="8">
        <f t="shared" si="110"/>
        <v>46023</v>
      </c>
    </row>
    <row r="662" spans="2:25" ht="18.75" x14ac:dyDescent="0.3">
      <c r="B662" s="6">
        <f t="shared" si="103"/>
        <v>0</v>
      </c>
      <c r="C662" s="6">
        <f t="shared" si="104"/>
        <v>0</v>
      </c>
      <c r="D662" s="6" t="str">
        <f t="shared" si="105"/>
        <v/>
      </c>
      <c r="E662" s="35" t="str">
        <f t="shared" si="101"/>
        <v/>
      </c>
      <c r="F662" s="31"/>
      <c r="G662" s="29"/>
      <c r="H662" s="78" t="str">
        <f t="shared" si="111"/>
        <v/>
      </c>
      <c r="I662" s="25"/>
      <c r="J662" s="25"/>
      <c r="K662" s="26"/>
      <c r="L662" s="26"/>
      <c r="M662" s="37"/>
      <c r="N662" s="27"/>
      <c r="O662" s="30"/>
      <c r="P662" s="39" t="str">
        <f t="shared" si="106"/>
        <v/>
      </c>
      <c r="Q662" s="40" t="str">
        <f>IF(OR(T662=0,RIGHT(T662,1)=$W$1),"",COUNTIF($T$3:T662,T662))</f>
        <v/>
      </c>
      <c r="S662" s="6">
        <f t="shared" si="107"/>
        <v>0</v>
      </c>
      <c r="T662" s="36">
        <f t="shared" si="108"/>
        <v>0</v>
      </c>
      <c r="V662" s="6">
        <f t="shared" si="109"/>
        <v>0</v>
      </c>
      <c r="Y662" s="8">
        <f t="shared" si="110"/>
        <v>46023</v>
      </c>
    </row>
    <row r="663" spans="2:25" ht="18.75" x14ac:dyDescent="0.3">
      <c r="B663" s="6">
        <f t="shared" si="103"/>
        <v>0</v>
      </c>
      <c r="C663" s="6">
        <f t="shared" si="104"/>
        <v>0</v>
      </c>
      <c r="D663" s="6" t="str">
        <f t="shared" si="105"/>
        <v/>
      </c>
      <c r="E663" s="35" t="str">
        <f t="shared" si="101"/>
        <v/>
      </c>
      <c r="F663" s="31"/>
      <c r="G663" s="29"/>
      <c r="H663" s="78" t="str">
        <f t="shared" si="111"/>
        <v/>
      </c>
      <c r="I663" s="25"/>
      <c r="J663" s="25"/>
      <c r="K663" s="26"/>
      <c r="L663" s="26"/>
      <c r="M663" s="37"/>
      <c r="N663" s="27"/>
      <c r="O663" s="30"/>
      <c r="P663" s="39" t="str">
        <f t="shared" si="106"/>
        <v/>
      </c>
      <c r="Q663" s="40" t="str">
        <f>IF(OR(T663=0,RIGHT(T663,1)=$W$1),"",COUNTIF($T$3:T663,T663))</f>
        <v/>
      </c>
      <c r="S663" s="6">
        <f t="shared" si="107"/>
        <v>0</v>
      </c>
      <c r="T663" s="36">
        <f t="shared" si="108"/>
        <v>0</v>
      </c>
      <c r="V663" s="6">
        <f t="shared" si="109"/>
        <v>0</v>
      </c>
      <c r="Y663" s="8">
        <f t="shared" si="110"/>
        <v>46023</v>
      </c>
    </row>
    <row r="664" spans="2:25" ht="18.75" x14ac:dyDescent="0.3">
      <c r="B664" s="6">
        <f t="shared" si="103"/>
        <v>0</v>
      </c>
      <c r="C664" s="6">
        <f t="shared" si="104"/>
        <v>0</v>
      </c>
      <c r="D664" s="6" t="str">
        <f t="shared" si="105"/>
        <v/>
      </c>
      <c r="E664" s="35" t="str">
        <f t="shared" si="101"/>
        <v/>
      </c>
      <c r="F664" s="31"/>
      <c r="G664" s="29"/>
      <c r="H664" s="78" t="str">
        <f t="shared" si="111"/>
        <v/>
      </c>
      <c r="I664" s="25"/>
      <c r="J664" s="25"/>
      <c r="K664" s="26"/>
      <c r="L664" s="26"/>
      <c r="M664" s="37"/>
      <c r="N664" s="27"/>
      <c r="O664" s="30"/>
      <c r="P664" s="39" t="str">
        <f t="shared" si="106"/>
        <v/>
      </c>
      <c r="Q664" s="40" t="str">
        <f>IF(OR(T664=0,RIGHT(T664,1)=$W$1),"",COUNTIF($T$3:T664,T664))</f>
        <v/>
      </c>
      <c r="S664" s="6">
        <f t="shared" si="107"/>
        <v>0</v>
      </c>
      <c r="T664" s="36">
        <f t="shared" si="108"/>
        <v>0</v>
      </c>
      <c r="V664" s="6">
        <f t="shared" si="109"/>
        <v>0</v>
      </c>
      <c r="Y664" s="8">
        <f t="shared" si="110"/>
        <v>46023</v>
      </c>
    </row>
    <row r="665" spans="2:25" ht="18.75" x14ac:dyDescent="0.3">
      <c r="B665" s="6">
        <f t="shared" si="103"/>
        <v>0</v>
      </c>
      <c r="C665" s="6">
        <f t="shared" si="104"/>
        <v>0</v>
      </c>
      <c r="D665" s="6" t="str">
        <f t="shared" si="105"/>
        <v/>
      </c>
      <c r="E665" s="35" t="str">
        <f t="shared" si="101"/>
        <v/>
      </c>
      <c r="F665" s="31"/>
      <c r="G665" s="29"/>
      <c r="H665" s="78" t="str">
        <f t="shared" si="111"/>
        <v/>
      </c>
      <c r="I665" s="25"/>
      <c r="J665" s="25"/>
      <c r="K665" s="26"/>
      <c r="L665" s="26"/>
      <c r="M665" s="37"/>
      <c r="N665" s="27"/>
      <c r="O665" s="30"/>
      <c r="P665" s="39" t="str">
        <f t="shared" si="106"/>
        <v/>
      </c>
      <c r="Q665" s="40" t="str">
        <f>IF(OR(T665=0,RIGHT(T665,1)=$W$1),"",COUNTIF($T$3:T665,T665))</f>
        <v/>
      </c>
      <c r="S665" s="6">
        <f t="shared" si="107"/>
        <v>0</v>
      </c>
      <c r="T665" s="36">
        <f t="shared" si="108"/>
        <v>0</v>
      </c>
      <c r="V665" s="6">
        <f t="shared" si="109"/>
        <v>0</v>
      </c>
      <c r="Y665" s="8">
        <f t="shared" si="110"/>
        <v>46023</v>
      </c>
    </row>
    <row r="666" spans="2:25" ht="18.75" x14ac:dyDescent="0.3">
      <c r="B666" s="6">
        <f t="shared" si="103"/>
        <v>0</v>
      </c>
      <c r="C666" s="6">
        <f t="shared" si="104"/>
        <v>0</v>
      </c>
      <c r="D666" s="6" t="str">
        <f t="shared" si="105"/>
        <v/>
      </c>
      <c r="E666" s="35" t="str">
        <f t="shared" si="101"/>
        <v/>
      </c>
      <c r="F666" s="31"/>
      <c r="G666" s="29"/>
      <c r="H666" s="78" t="str">
        <f t="shared" si="111"/>
        <v/>
      </c>
      <c r="I666" s="25"/>
      <c r="J666" s="25"/>
      <c r="K666" s="26"/>
      <c r="L666" s="26"/>
      <c r="M666" s="37"/>
      <c r="N666" s="27"/>
      <c r="O666" s="30"/>
      <c r="P666" s="39" t="str">
        <f t="shared" si="106"/>
        <v/>
      </c>
      <c r="Q666" s="40" t="str">
        <f>IF(OR(T666=0,RIGHT(T666,1)=$W$1),"",COUNTIF($T$3:T666,T666))</f>
        <v/>
      </c>
      <c r="S666" s="6">
        <f t="shared" si="107"/>
        <v>0</v>
      </c>
      <c r="T666" s="36">
        <f t="shared" si="108"/>
        <v>0</v>
      </c>
      <c r="V666" s="6">
        <f t="shared" si="109"/>
        <v>0</v>
      </c>
      <c r="Y666" s="8">
        <f t="shared" si="110"/>
        <v>46023</v>
      </c>
    </row>
    <row r="667" spans="2:25" ht="18.75" x14ac:dyDescent="0.3">
      <c r="B667" s="6">
        <f t="shared" si="103"/>
        <v>0</v>
      </c>
      <c r="C667" s="6">
        <f t="shared" si="104"/>
        <v>0</v>
      </c>
      <c r="D667" s="6" t="str">
        <f t="shared" si="105"/>
        <v/>
      </c>
      <c r="E667" s="35" t="str">
        <f t="shared" si="101"/>
        <v/>
      </c>
      <c r="F667" s="31"/>
      <c r="G667" s="29"/>
      <c r="H667" s="78" t="str">
        <f t="shared" si="111"/>
        <v/>
      </c>
      <c r="I667" s="25"/>
      <c r="J667" s="25"/>
      <c r="K667" s="26"/>
      <c r="L667" s="26"/>
      <c r="M667" s="37"/>
      <c r="N667" s="27"/>
      <c r="O667" s="30"/>
      <c r="P667" s="39" t="str">
        <f t="shared" si="106"/>
        <v/>
      </c>
      <c r="Q667" s="40" t="str">
        <f>IF(OR(T667=0,RIGHT(T667,1)=$W$1),"",COUNTIF($T$3:T667,T667))</f>
        <v/>
      </c>
      <c r="S667" s="6">
        <f t="shared" si="107"/>
        <v>0</v>
      </c>
      <c r="T667" s="36">
        <f t="shared" si="108"/>
        <v>0</v>
      </c>
      <c r="V667" s="6">
        <f t="shared" si="109"/>
        <v>0</v>
      </c>
      <c r="Y667" s="8">
        <f t="shared" si="110"/>
        <v>46023</v>
      </c>
    </row>
    <row r="668" spans="2:25" ht="18.75" x14ac:dyDescent="0.3">
      <c r="B668" s="6">
        <f t="shared" si="103"/>
        <v>0</v>
      </c>
      <c r="C668" s="6">
        <f t="shared" si="104"/>
        <v>0</v>
      </c>
      <c r="D668" s="6" t="str">
        <f t="shared" si="105"/>
        <v/>
      </c>
      <c r="E668" s="35" t="str">
        <f t="shared" si="101"/>
        <v/>
      </c>
      <c r="F668" s="31"/>
      <c r="G668" s="29"/>
      <c r="H668" s="78" t="str">
        <f t="shared" si="111"/>
        <v/>
      </c>
      <c r="I668" s="25"/>
      <c r="J668" s="25"/>
      <c r="K668" s="26"/>
      <c r="L668" s="26"/>
      <c r="M668" s="37"/>
      <c r="N668" s="27"/>
      <c r="O668" s="30"/>
      <c r="P668" s="39" t="str">
        <f t="shared" si="106"/>
        <v/>
      </c>
      <c r="Q668" s="40" t="str">
        <f>IF(OR(T668=0,RIGHT(T668,1)=$W$1),"",COUNTIF($T$3:T668,T668))</f>
        <v/>
      </c>
      <c r="S668" s="6">
        <f t="shared" si="107"/>
        <v>0</v>
      </c>
      <c r="T668" s="36">
        <f t="shared" si="108"/>
        <v>0</v>
      </c>
      <c r="V668" s="6">
        <f t="shared" si="109"/>
        <v>0</v>
      </c>
      <c r="Y668" s="8">
        <f t="shared" si="110"/>
        <v>46023</v>
      </c>
    </row>
    <row r="669" spans="2:25" ht="18.75" x14ac:dyDescent="0.3">
      <c r="B669" s="6">
        <f t="shared" si="103"/>
        <v>0</v>
      </c>
      <c r="C669" s="6">
        <f t="shared" si="104"/>
        <v>0</v>
      </c>
      <c r="D669" s="6" t="str">
        <f t="shared" si="105"/>
        <v/>
      </c>
      <c r="E669" s="35" t="str">
        <f t="shared" si="101"/>
        <v/>
      </c>
      <c r="F669" s="31"/>
      <c r="G669" s="29"/>
      <c r="H669" s="78" t="str">
        <f t="shared" si="111"/>
        <v/>
      </c>
      <c r="I669" s="25"/>
      <c r="J669" s="25"/>
      <c r="K669" s="26"/>
      <c r="L669" s="26"/>
      <c r="M669" s="37"/>
      <c r="N669" s="27"/>
      <c r="O669" s="30"/>
      <c r="P669" s="39" t="str">
        <f t="shared" si="106"/>
        <v/>
      </c>
      <c r="Q669" s="40" t="str">
        <f>IF(OR(T669=0,RIGHT(T669,1)=$W$1),"",COUNTIF($T$3:T669,T669))</f>
        <v/>
      </c>
      <c r="S669" s="6">
        <f t="shared" si="107"/>
        <v>0</v>
      </c>
      <c r="T669" s="36">
        <f t="shared" si="108"/>
        <v>0</v>
      </c>
      <c r="V669" s="6">
        <f t="shared" si="109"/>
        <v>0</v>
      </c>
      <c r="Y669" s="8">
        <f t="shared" si="110"/>
        <v>46023</v>
      </c>
    </row>
    <row r="670" spans="2:25" ht="18.75" x14ac:dyDescent="0.3">
      <c r="B670" s="6">
        <f t="shared" si="103"/>
        <v>0</v>
      </c>
      <c r="C670" s="6">
        <f t="shared" si="104"/>
        <v>0</v>
      </c>
      <c r="D670" s="6" t="str">
        <f t="shared" si="105"/>
        <v/>
      </c>
      <c r="E670" s="35" t="str">
        <f t="shared" si="101"/>
        <v/>
      </c>
      <c r="F670" s="31"/>
      <c r="G670" s="29"/>
      <c r="H670" s="78" t="str">
        <f t="shared" si="111"/>
        <v/>
      </c>
      <c r="I670" s="25"/>
      <c r="J670" s="25"/>
      <c r="K670" s="26"/>
      <c r="L670" s="26"/>
      <c r="M670" s="37"/>
      <c r="N670" s="27"/>
      <c r="O670" s="30"/>
      <c r="P670" s="39" t="str">
        <f t="shared" si="106"/>
        <v/>
      </c>
      <c r="Q670" s="40" t="str">
        <f>IF(OR(T670=0,RIGHT(T670,1)=$W$1),"",COUNTIF($T$3:T670,T670))</f>
        <v/>
      </c>
      <c r="S670" s="6">
        <f t="shared" si="107"/>
        <v>0</v>
      </c>
      <c r="T670" s="36">
        <f t="shared" si="108"/>
        <v>0</v>
      </c>
      <c r="V670" s="6">
        <f t="shared" si="109"/>
        <v>0</v>
      </c>
      <c r="Y670" s="8">
        <f t="shared" si="110"/>
        <v>46023</v>
      </c>
    </row>
    <row r="671" spans="2:25" ht="18.75" x14ac:dyDescent="0.3">
      <c r="B671" s="6">
        <f t="shared" si="103"/>
        <v>0</v>
      </c>
      <c r="C671" s="6">
        <f t="shared" si="104"/>
        <v>0</v>
      </c>
      <c r="D671" s="6" t="str">
        <f t="shared" si="105"/>
        <v/>
      </c>
      <c r="E671" s="35" t="str">
        <f t="shared" si="101"/>
        <v/>
      </c>
      <c r="F671" s="31"/>
      <c r="G671" s="29"/>
      <c r="H671" s="78" t="str">
        <f t="shared" si="111"/>
        <v/>
      </c>
      <c r="I671" s="25"/>
      <c r="J671" s="25"/>
      <c r="K671" s="26"/>
      <c r="L671" s="26"/>
      <c r="M671" s="37"/>
      <c r="N671" s="27"/>
      <c r="O671" s="30"/>
      <c r="P671" s="39" t="str">
        <f t="shared" si="106"/>
        <v/>
      </c>
      <c r="Q671" s="40" t="str">
        <f>IF(OR(T671=0,RIGHT(T671,1)=$W$1),"",COUNTIF($T$3:T671,T671))</f>
        <v/>
      </c>
      <c r="S671" s="6">
        <f t="shared" si="107"/>
        <v>0</v>
      </c>
      <c r="T671" s="36">
        <f t="shared" si="108"/>
        <v>0</v>
      </c>
      <c r="V671" s="6">
        <f t="shared" si="109"/>
        <v>0</v>
      </c>
      <c r="Y671" s="8">
        <f t="shared" si="110"/>
        <v>46023</v>
      </c>
    </row>
    <row r="672" spans="2:25" ht="18.75" x14ac:dyDescent="0.3">
      <c r="B672" s="6">
        <f t="shared" si="103"/>
        <v>0</v>
      </c>
      <c r="C672" s="6">
        <f t="shared" si="104"/>
        <v>0</v>
      </c>
      <c r="D672" s="6" t="str">
        <f t="shared" si="105"/>
        <v/>
      </c>
      <c r="E672" s="35" t="str">
        <f t="shared" si="101"/>
        <v/>
      </c>
      <c r="F672" s="31"/>
      <c r="G672" s="29"/>
      <c r="H672" s="78" t="str">
        <f t="shared" si="111"/>
        <v/>
      </c>
      <c r="I672" s="25"/>
      <c r="J672" s="25"/>
      <c r="K672" s="26"/>
      <c r="L672" s="26"/>
      <c r="M672" s="37"/>
      <c r="N672" s="27"/>
      <c r="O672" s="30"/>
      <c r="P672" s="39" t="str">
        <f t="shared" si="106"/>
        <v/>
      </c>
      <c r="Q672" s="40" t="str">
        <f>IF(OR(T672=0,RIGHT(T672,1)=$W$1),"",COUNTIF($T$3:T672,T672))</f>
        <v/>
      </c>
      <c r="S672" s="6">
        <f t="shared" si="107"/>
        <v>0</v>
      </c>
      <c r="T672" s="36">
        <f t="shared" si="108"/>
        <v>0</v>
      </c>
      <c r="V672" s="6">
        <f t="shared" si="109"/>
        <v>0</v>
      </c>
      <c r="Y672" s="8">
        <f t="shared" si="110"/>
        <v>46023</v>
      </c>
    </row>
    <row r="673" spans="2:25" ht="18.75" x14ac:dyDescent="0.3">
      <c r="B673" s="6">
        <f t="shared" si="103"/>
        <v>0</v>
      </c>
      <c r="C673" s="6">
        <f t="shared" si="104"/>
        <v>0</v>
      </c>
      <c r="D673" s="6" t="str">
        <f t="shared" si="105"/>
        <v/>
      </c>
      <c r="E673" s="35" t="str">
        <f t="shared" si="101"/>
        <v/>
      </c>
      <c r="F673" s="31"/>
      <c r="G673" s="29"/>
      <c r="H673" s="78" t="str">
        <f t="shared" si="111"/>
        <v/>
      </c>
      <c r="I673" s="25"/>
      <c r="J673" s="25"/>
      <c r="K673" s="26"/>
      <c r="L673" s="26"/>
      <c r="M673" s="37"/>
      <c r="N673" s="27"/>
      <c r="O673" s="30"/>
      <c r="P673" s="39" t="str">
        <f t="shared" si="106"/>
        <v/>
      </c>
      <c r="Q673" s="40" t="str">
        <f>IF(OR(T673=0,RIGHT(T673,1)=$W$1),"",COUNTIF($T$3:T673,T673))</f>
        <v/>
      </c>
      <c r="S673" s="6">
        <f t="shared" si="107"/>
        <v>0</v>
      </c>
      <c r="T673" s="36">
        <f t="shared" si="108"/>
        <v>0</v>
      </c>
      <c r="V673" s="6">
        <f t="shared" si="109"/>
        <v>0</v>
      </c>
      <c r="Y673" s="8">
        <f t="shared" si="110"/>
        <v>46023</v>
      </c>
    </row>
    <row r="674" spans="2:25" ht="18.75" x14ac:dyDescent="0.3">
      <c r="B674" s="6">
        <f t="shared" si="103"/>
        <v>0</v>
      </c>
      <c r="C674" s="6">
        <f t="shared" si="104"/>
        <v>0</v>
      </c>
      <c r="D674" s="6" t="str">
        <f t="shared" si="105"/>
        <v/>
      </c>
      <c r="E674" s="35" t="str">
        <f t="shared" si="101"/>
        <v/>
      </c>
      <c r="F674" s="31"/>
      <c r="G674" s="29"/>
      <c r="H674" s="78" t="str">
        <f t="shared" si="111"/>
        <v/>
      </c>
      <c r="I674" s="25"/>
      <c r="J674" s="25"/>
      <c r="K674" s="26"/>
      <c r="L674" s="26"/>
      <c r="M674" s="37"/>
      <c r="N674" s="27"/>
      <c r="O674" s="30"/>
      <c r="P674" s="39" t="str">
        <f t="shared" si="106"/>
        <v/>
      </c>
      <c r="Q674" s="40" t="str">
        <f>IF(OR(T674=0,RIGHT(T674,1)=$W$1),"",COUNTIF($T$3:T674,T674))</f>
        <v/>
      </c>
      <c r="S674" s="6">
        <f t="shared" si="107"/>
        <v>0</v>
      </c>
      <c r="T674" s="36">
        <f t="shared" si="108"/>
        <v>0</v>
      </c>
      <c r="V674" s="6">
        <f t="shared" si="109"/>
        <v>0</v>
      </c>
      <c r="Y674" s="8">
        <f t="shared" si="110"/>
        <v>46023</v>
      </c>
    </row>
    <row r="675" spans="2:25" ht="18.75" x14ac:dyDescent="0.3">
      <c r="B675" s="6">
        <f t="shared" si="103"/>
        <v>0</v>
      </c>
      <c r="C675" s="6">
        <f t="shared" si="104"/>
        <v>0</v>
      </c>
      <c r="D675" s="6" t="str">
        <f t="shared" si="105"/>
        <v/>
      </c>
      <c r="E675" s="35" t="str">
        <f t="shared" si="101"/>
        <v/>
      </c>
      <c r="F675" s="31"/>
      <c r="G675" s="29"/>
      <c r="H675" s="78" t="str">
        <f t="shared" si="111"/>
        <v/>
      </c>
      <c r="I675" s="25"/>
      <c r="J675" s="25"/>
      <c r="K675" s="26"/>
      <c r="L675" s="26"/>
      <c r="M675" s="37"/>
      <c r="N675" s="27"/>
      <c r="O675" s="30"/>
      <c r="P675" s="39" t="str">
        <f t="shared" si="106"/>
        <v/>
      </c>
      <c r="Q675" s="40" t="str">
        <f>IF(OR(T675=0,RIGHT(T675,1)=$W$1),"",COUNTIF($T$3:T675,T675))</f>
        <v/>
      </c>
      <c r="S675" s="6">
        <f t="shared" si="107"/>
        <v>0</v>
      </c>
      <c r="T675" s="36">
        <f t="shared" si="108"/>
        <v>0</v>
      </c>
      <c r="V675" s="6">
        <f t="shared" si="109"/>
        <v>0</v>
      </c>
      <c r="Y675" s="8">
        <f t="shared" si="110"/>
        <v>46023</v>
      </c>
    </row>
    <row r="676" spans="2:25" ht="18.75" x14ac:dyDescent="0.3">
      <c r="B676" s="6">
        <f t="shared" si="103"/>
        <v>0</v>
      </c>
      <c r="C676" s="6">
        <f t="shared" si="104"/>
        <v>0</v>
      </c>
      <c r="D676" s="6" t="str">
        <f t="shared" si="105"/>
        <v/>
      </c>
      <c r="E676" s="35" t="str">
        <f t="shared" si="101"/>
        <v/>
      </c>
      <c r="F676" s="31"/>
      <c r="G676" s="29"/>
      <c r="H676" s="78" t="str">
        <f t="shared" si="111"/>
        <v/>
      </c>
      <c r="I676" s="25"/>
      <c r="J676" s="25"/>
      <c r="K676" s="26"/>
      <c r="L676" s="26"/>
      <c r="M676" s="37"/>
      <c r="N676" s="27"/>
      <c r="O676" s="30"/>
      <c r="P676" s="39" t="str">
        <f t="shared" si="106"/>
        <v/>
      </c>
      <c r="Q676" s="40" t="str">
        <f>IF(OR(T676=0,RIGHT(T676,1)=$W$1),"",COUNTIF($T$3:T676,T676))</f>
        <v/>
      </c>
      <c r="S676" s="6">
        <f t="shared" si="107"/>
        <v>0</v>
      </c>
      <c r="T676" s="36">
        <f t="shared" si="108"/>
        <v>0</v>
      </c>
      <c r="V676" s="6">
        <f t="shared" si="109"/>
        <v>0</v>
      </c>
      <c r="Y676" s="8">
        <f t="shared" si="110"/>
        <v>46023</v>
      </c>
    </row>
    <row r="677" spans="2:25" ht="18.75" x14ac:dyDescent="0.3">
      <c r="B677" s="6">
        <f t="shared" si="103"/>
        <v>0</v>
      </c>
      <c r="C677" s="6">
        <f t="shared" si="104"/>
        <v>0</v>
      </c>
      <c r="D677" s="6" t="str">
        <f t="shared" si="105"/>
        <v/>
      </c>
      <c r="E677" s="35" t="str">
        <f t="shared" si="101"/>
        <v/>
      </c>
      <c r="F677" s="31"/>
      <c r="G677" s="29"/>
      <c r="H677" s="78" t="str">
        <f t="shared" si="111"/>
        <v/>
      </c>
      <c r="I677" s="25"/>
      <c r="J677" s="25"/>
      <c r="K677" s="26"/>
      <c r="L677" s="26"/>
      <c r="M677" s="37"/>
      <c r="N677" s="27"/>
      <c r="O677" s="30"/>
      <c r="P677" s="39" t="str">
        <f t="shared" si="106"/>
        <v/>
      </c>
      <c r="Q677" s="40" t="str">
        <f>IF(OR(T677=0,RIGHT(T677,1)=$W$1),"",COUNTIF($T$3:T677,T677))</f>
        <v/>
      </c>
      <c r="S677" s="6">
        <f t="shared" si="107"/>
        <v>0</v>
      </c>
      <c r="T677" s="36">
        <f t="shared" si="108"/>
        <v>0</v>
      </c>
      <c r="V677" s="6">
        <f t="shared" si="109"/>
        <v>0</v>
      </c>
      <c r="Y677" s="8">
        <f t="shared" si="110"/>
        <v>46023</v>
      </c>
    </row>
    <row r="678" spans="2:25" ht="18.75" x14ac:dyDescent="0.3">
      <c r="B678" s="6">
        <f t="shared" si="103"/>
        <v>0</v>
      </c>
      <c r="C678" s="6">
        <f t="shared" si="104"/>
        <v>0</v>
      </c>
      <c r="D678" s="6" t="str">
        <f t="shared" si="105"/>
        <v/>
      </c>
      <c r="E678" s="35" t="str">
        <f t="shared" si="101"/>
        <v/>
      </c>
      <c r="F678" s="31"/>
      <c r="G678" s="29"/>
      <c r="H678" s="78" t="str">
        <f t="shared" si="111"/>
        <v/>
      </c>
      <c r="I678" s="25"/>
      <c r="J678" s="25"/>
      <c r="K678" s="26"/>
      <c r="L678" s="26"/>
      <c r="M678" s="37"/>
      <c r="N678" s="27"/>
      <c r="O678" s="30"/>
      <c r="P678" s="39" t="str">
        <f t="shared" si="106"/>
        <v/>
      </c>
      <c r="Q678" s="40" t="str">
        <f>IF(OR(T678=0,RIGHT(T678,1)=$W$1),"",COUNTIF($T$3:T678,T678))</f>
        <v/>
      </c>
      <c r="S678" s="6">
        <f t="shared" si="107"/>
        <v>0</v>
      </c>
      <c r="T678" s="36">
        <f t="shared" si="108"/>
        <v>0</v>
      </c>
      <c r="V678" s="6">
        <f t="shared" si="109"/>
        <v>0</v>
      </c>
      <c r="Y678" s="8">
        <f t="shared" si="110"/>
        <v>46023</v>
      </c>
    </row>
    <row r="679" spans="2:25" ht="18.75" x14ac:dyDescent="0.3">
      <c r="B679" s="6">
        <f t="shared" si="103"/>
        <v>0</v>
      </c>
      <c r="C679" s="6">
        <f t="shared" si="104"/>
        <v>0</v>
      </c>
      <c r="D679" s="6" t="str">
        <f t="shared" si="105"/>
        <v/>
      </c>
      <c r="E679" s="35" t="str">
        <f t="shared" si="101"/>
        <v/>
      </c>
      <c r="F679" s="31"/>
      <c r="G679" s="29"/>
      <c r="H679" s="78" t="str">
        <f t="shared" si="111"/>
        <v/>
      </c>
      <c r="I679" s="25"/>
      <c r="J679" s="25"/>
      <c r="K679" s="26"/>
      <c r="L679" s="26"/>
      <c r="M679" s="37"/>
      <c r="N679" s="27"/>
      <c r="O679" s="30"/>
      <c r="P679" s="39" t="str">
        <f t="shared" si="106"/>
        <v/>
      </c>
      <c r="Q679" s="40" t="str">
        <f>IF(OR(T679=0,RIGHT(T679,1)=$W$1),"",COUNTIF($T$3:T679,T679))</f>
        <v/>
      </c>
      <c r="S679" s="6">
        <f t="shared" si="107"/>
        <v>0</v>
      </c>
      <c r="T679" s="36">
        <f t="shared" si="108"/>
        <v>0</v>
      </c>
      <c r="V679" s="6">
        <f t="shared" si="109"/>
        <v>0</v>
      </c>
      <c r="Y679" s="8">
        <f t="shared" si="110"/>
        <v>46023</v>
      </c>
    </row>
    <row r="680" spans="2:25" ht="18.75" x14ac:dyDescent="0.3">
      <c r="B680" s="6">
        <f t="shared" si="103"/>
        <v>0</v>
      </c>
      <c r="C680" s="6">
        <f t="shared" si="104"/>
        <v>0</v>
      </c>
      <c r="D680" s="6" t="str">
        <f t="shared" si="105"/>
        <v/>
      </c>
      <c r="E680" s="35" t="str">
        <f t="shared" si="101"/>
        <v/>
      </c>
      <c r="F680" s="31"/>
      <c r="G680" s="29"/>
      <c r="H680" s="78" t="str">
        <f t="shared" si="111"/>
        <v/>
      </c>
      <c r="I680" s="25"/>
      <c r="J680" s="25"/>
      <c r="K680" s="26"/>
      <c r="L680" s="26"/>
      <c r="M680" s="37"/>
      <c r="N680" s="27"/>
      <c r="O680" s="30"/>
      <c r="P680" s="39" t="str">
        <f t="shared" si="106"/>
        <v/>
      </c>
      <c r="Q680" s="40" t="str">
        <f>IF(OR(T680=0,RIGHT(T680,1)=$W$1),"",COUNTIF($T$3:T680,T680))</f>
        <v/>
      </c>
      <c r="S680" s="6">
        <f t="shared" si="107"/>
        <v>0</v>
      </c>
      <c r="T680" s="36">
        <f t="shared" si="108"/>
        <v>0</v>
      </c>
      <c r="V680" s="6">
        <f t="shared" si="109"/>
        <v>0</v>
      </c>
      <c r="Y680" s="8">
        <f t="shared" si="110"/>
        <v>46023</v>
      </c>
    </row>
    <row r="681" spans="2:25" ht="18.75" x14ac:dyDescent="0.3">
      <c r="B681" s="6">
        <f t="shared" si="103"/>
        <v>0</v>
      </c>
      <c r="C681" s="6">
        <f t="shared" si="104"/>
        <v>0</v>
      </c>
      <c r="D681" s="6" t="str">
        <f t="shared" si="105"/>
        <v/>
      </c>
      <c r="E681" s="35" t="str">
        <f t="shared" si="101"/>
        <v/>
      </c>
      <c r="F681" s="31"/>
      <c r="G681" s="29"/>
      <c r="H681" s="78" t="str">
        <f t="shared" si="111"/>
        <v/>
      </c>
      <c r="I681" s="25"/>
      <c r="J681" s="25"/>
      <c r="K681" s="26"/>
      <c r="L681" s="26"/>
      <c r="M681" s="37"/>
      <c r="N681" s="27"/>
      <c r="O681" s="30"/>
      <c r="P681" s="39" t="str">
        <f t="shared" si="106"/>
        <v/>
      </c>
      <c r="Q681" s="40" t="str">
        <f>IF(OR(T681=0,RIGHT(T681,1)=$W$1),"",COUNTIF($T$3:T681,T681))</f>
        <v/>
      </c>
      <c r="S681" s="6">
        <f t="shared" si="107"/>
        <v>0</v>
      </c>
      <c r="T681" s="36">
        <f t="shared" si="108"/>
        <v>0</v>
      </c>
      <c r="V681" s="6">
        <f t="shared" si="109"/>
        <v>0</v>
      </c>
      <c r="Y681" s="8">
        <f t="shared" si="110"/>
        <v>46023</v>
      </c>
    </row>
    <row r="682" spans="2:25" ht="18.75" x14ac:dyDescent="0.3">
      <c r="B682" s="6">
        <f t="shared" si="103"/>
        <v>0</v>
      </c>
      <c r="C682" s="6">
        <f t="shared" si="104"/>
        <v>0</v>
      </c>
      <c r="D682" s="6" t="str">
        <f t="shared" si="105"/>
        <v/>
      </c>
      <c r="E682" s="35" t="str">
        <f t="shared" si="101"/>
        <v/>
      </c>
      <c r="F682" s="31"/>
      <c r="G682" s="29"/>
      <c r="H682" s="78" t="str">
        <f t="shared" si="111"/>
        <v/>
      </c>
      <c r="I682" s="25"/>
      <c r="J682" s="25"/>
      <c r="K682" s="26"/>
      <c r="L682" s="26"/>
      <c r="M682" s="37"/>
      <c r="N682" s="27"/>
      <c r="O682" s="30"/>
      <c r="P682" s="39" t="str">
        <f t="shared" si="106"/>
        <v/>
      </c>
      <c r="Q682" s="40" t="str">
        <f>IF(OR(T682=0,RIGHT(T682,1)=$W$1),"",COUNTIF($T$3:T682,T682))</f>
        <v/>
      </c>
      <c r="S682" s="6">
        <f t="shared" si="107"/>
        <v>0</v>
      </c>
      <c r="T682" s="36">
        <f t="shared" si="108"/>
        <v>0</v>
      </c>
      <c r="V682" s="6">
        <f t="shared" si="109"/>
        <v>0</v>
      </c>
      <c r="Y682" s="8">
        <f t="shared" si="110"/>
        <v>46023</v>
      </c>
    </row>
    <row r="683" spans="2:25" ht="18.75" x14ac:dyDescent="0.3">
      <c r="B683" s="6">
        <f t="shared" si="103"/>
        <v>0</v>
      </c>
      <c r="C683" s="6">
        <f t="shared" si="104"/>
        <v>0</v>
      </c>
      <c r="D683" s="6" t="str">
        <f t="shared" si="105"/>
        <v/>
      </c>
      <c r="E683" s="35" t="str">
        <f t="shared" si="101"/>
        <v/>
      </c>
      <c r="F683" s="31"/>
      <c r="G683" s="29"/>
      <c r="H683" s="78" t="str">
        <f t="shared" si="111"/>
        <v/>
      </c>
      <c r="I683" s="25"/>
      <c r="J683" s="25"/>
      <c r="K683" s="26"/>
      <c r="L683" s="26"/>
      <c r="M683" s="37"/>
      <c r="N683" s="27"/>
      <c r="O683" s="30"/>
      <c r="P683" s="39" t="str">
        <f t="shared" si="106"/>
        <v/>
      </c>
      <c r="Q683" s="40" t="str">
        <f>IF(OR(T683=0,RIGHT(T683,1)=$W$1),"",COUNTIF($T$3:T683,T683))</f>
        <v/>
      </c>
      <c r="S683" s="6">
        <f t="shared" si="107"/>
        <v>0</v>
      </c>
      <c r="T683" s="36">
        <f t="shared" si="108"/>
        <v>0</v>
      </c>
      <c r="V683" s="6">
        <f t="shared" si="109"/>
        <v>0</v>
      </c>
      <c r="Y683" s="8">
        <f t="shared" si="110"/>
        <v>46023</v>
      </c>
    </row>
    <row r="684" spans="2:25" ht="18.75" x14ac:dyDescent="0.3">
      <c r="B684" s="6">
        <f t="shared" si="103"/>
        <v>0</v>
      </c>
      <c r="C684" s="6">
        <f t="shared" si="104"/>
        <v>0</v>
      </c>
      <c r="D684" s="6" t="str">
        <f t="shared" si="105"/>
        <v/>
      </c>
      <c r="E684" s="35" t="str">
        <f t="shared" si="101"/>
        <v/>
      </c>
      <c r="F684" s="31"/>
      <c r="G684" s="29"/>
      <c r="H684" s="78" t="str">
        <f t="shared" si="111"/>
        <v/>
      </c>
      <c r="I684" s="25"/>
      <c r="J684" s="25"/>
      <c r="K684" s="26"/>
      <c r="L684" s="26"/>
      <c r="M684" s="37"/>
      <c r="N684" s="27"/>
      <c r="O684" s="30"/>
      <c r="P684" s="39" t="str">
        <f t="shared" si="106"/>
        <v/>
      </c>
      <c r="Q684" s="40" t="str">
        <f>IF(OR(T684=0,RIGHT(T684,1)=$W$1),"",COUNTIF($T$3:T684,T684))</f>
        <v/>
      </c>
      <c r="S684" s="6">
        <f t="shared" si="107"/>
        <v>0</v>
      </c>
      <c r="T684" s="36">
        <f t="shared" si="108"/>
        <v>0</v>
      </c>
      <c r="V684" s="6">
        <f t="shared" si="109"/>
        <v>0</v>
      </c>
      <c r="Y684" s="8">
        <f t="shared" si="110"/>
        <v>46023</v>
      </c>
    </row>
    <row r="685" spans="2:25" ht="18.75" x14ac:dyDescent="0.3">
      <c r="B685" s="6">
        <f t="shared" si="103"/>
        <v>0</v>
      </c>
      <c r="C685" s="6">
        <f t="shared" si="104"/>
        <v>0</v>
      </c>
      <c r="D685" s="6" t="str">
        <f t="shared" si="105"/>
        <v/>
      </c>
      <c r="E685" s="35" t="str">
        <f t="shared" si="101"/>
        <v/>
      </c>
      <c r="F685" s="31"/>
      <c r="G685" s="29"/>
      <c r="H685" s="78" t="str">
        <f t="shared" si="111"/>
        <v/>
      </c>
      <c r="I685" s="25"/>
      <c r="J685" s="25"/>
      <c r="K685" s="26"/>
      <c r="L685" s="26"/>
      <c r="M685" s="37"/>
      <c r="N685" s="27"/>
      <c r="O685" s="30"/>
      <c r="P685" s="39" t="str">
        <f t="shared" si="106"/>
        <v/>
      </c>
      <c r="Q685" s="40" t="str">
        <f>IF(OR(T685=0,RIGHT(T685,1)=$W$1),"",COUNTIF($T$3:T685,T685))</f>
        <v/>
      </c>
      <c r="S685" s="6">
        <f t="shared" si="107"/>
        <v>0</v>
      </c>
      <c r="T685" s="36">
        <f t="shared" si="108"/>
        <v>0</v>
      </c>
      <c r="V685" s="6">
        <f t="shared" si="109"/>
        <v>0</v>
      </c>
      <c r="Y685" s="8">
        <f t="shared" si="110"/>
        <v>46023</v>
      </c>
    </row>
    <row r="686" spans="2:25" ht="18.75" x14ac:dyDescent="0.3">
      <c r="B686" s="6">
        <f t="shared" si="103"/>
        <v>0</v>
      </c>
      <c r="C686" s="6">
        <f t="shared" si="104"/>
        <v>0</v>
      </c>
      <c r="D686" s="6" t="str">
        <f t="shared" si="105"/>
        <v/>
      </c>
      <c r="E686" s="35" t="str">
        <f t="shared" si="101"/>
        <v/>
      </c>
      <c r="F686" s="31"/>
      <c r="G686" s="29"/>
      <c r="H686" s="78" t="str">
        <f t="shared" si="111"/>
        <v/>
      </c>
      <c r="I686" s="25"/>
      <c r="J686" s="25"/>
      <c r="K686" s="26"/>
      <c r="L686" s="26"/>
      <c r="M686" s="37"/>
      <c r="N686" s="27"/>
      <c r="O686" s="30"/>
      <c r="P686" s="39" t="str">
        <f t="shared" si="106"/>
        <v/>
      </c>
      <c r="Q686" s="40" t="str">
        <f>IF(OR(T686=0,RIGHT(T686,1)=$W$1),"",COUNTIF($T$3:T686,T686))</f>
        <v/>
      </c>
      <c r="S686" s="6">
        <f t="shared" si="107"/>
        <v>0</v>
      </c>
      <c r="T686" s="36">
        <f t="shared" si="108"/>
        <v>0</v>
      </c>
      <c r="V686" s="6">
        <f t="shared" si="109"/>
        <v>0</v>
      </c>
      <c r="Y686" s="8">
        <f t="shared" si="110"/>
        <v>46023</v>
      </c>
    </row>
    <row r="687" spans="2:25" ht="18.75" x14ac:dyDescent="0.3">
      <c r="B687" s="6">
        <f t="shared" si="103"/>
        <v>0</v>
      </c>
      <c r="C687" s="6">
        <f t="shared" si="104"/>
        <v>0</v>
      </c>
      <c r="D687" s="6" t="str">
        <f t="shared" si="105"/>
        <v/>
      </c>
      <c r="E687" s="35" t="str">
        <f t="shared" si="101"/>
        <v/>
      </c>
      <c r="F687" s="31"/>
      <c r="G687" s="29"/>
      <c r="H687" s="78" t="str">
        <f t="shared" si="111"/>
        <v/>
      </c>
      <c r="I687" s="25"/>
      <c r="J687" s="25"/>
      <c r="K687" s="26"/>
      <c r="L687" s="26"/>
      <c r="M687" s="37"/>
      <c r="N687" s="27"/>
      <c r="O687" s="30"/>
      <c r="P687" s="39" t="str">
        <f t="shared" si="106"/>
        <v/>
      </c>
      <c r="Q687" s="40" t="str">
        <f>IF(OR(T687=0,RIGHT(T687,1)=$W$1),"",COUNTIF($T$3:T687,T687))</f>
        <v/>
      </c>
      <c r="S687" s="6">
        <f t="shared" si="107"/>
        <v>0</v>
      </c>
      <c r="T687" s="36">
        <f t="shared" si="108"/>
        <v>0</v>
      </c>
      <c r="V687" s="6">
        <f t="shared" si="109"/>
        <v>0</v>
      </c>
      <c r="Y687" s="8">
        <f t="shared" si="110"/>
        <v>46023</v>
      </c>
    </row>
    <row r="688" spans="2:25" ht="18.75" x14ac:dyDescent="0.3">
      <c r="B688" s="6">
        <f t="shared" si="103"/>
        <v>0</v>
      </c>
      <c r="C688" s="6">
        <f t="shared" si="104"/>
        <v>0</v>
      </c>
      <c r="D688" s="6" t="str">
        <f t="shared" si="105"/>
        <v/>
      </c>
      <c r="E688" s="35" t="str">
        <f t="shared" si="101"/>
        <v/>
      </c>
      <c r="F688" s="31"/>
      <c r="G688" s="29"/>
      <c r="H688" s="78" t="str">
        <f t="shared" si="111"/>
        <v/>
      </c>
      <c r="I688" s="25"/>
      <c r="J688" s="25"/>
      <c r="K688" s="26"/>
      <c r="L688" s="26"/>
      <c r="M688" s="37"/>
      <c r="N688" s="27"/>
      <c r="O688" s="30"/>
      <c r="P688" s="39" t="str">
        <f t="shared" si="106"/>
        <v/>
      </c>
      <c r="Q688" s="40" t="str">
        <f>IF(OR(T688=0,RIGHT(T688,1)=$W$1),"",COUNTIF($T$3:T688,T688))</f>
        <v/>
      </c>
      <c r="S688" s="6">
        <f t="shared" si="107"/>
        <v>0</v>
      </c>
      <c r="T688" s="36">
        <f t="shared" si="108"/>
        <v>0</v>
      </c>
      <c r="V688" s="6">
        <f t="shared" si="109"/>
        <v>0</v>
      </c>
      <c r="Y688" s="8">
        <f t="shared" si="110"/>
        <v>46023</v>
      </c>
    </row>
    <row r="689" spans="2:25" ht="18.75" x14ac:dyDescent="0.3">
      <c r="B689" s="6">
        <f t="shared" si="103"/>
        <v>0</v>
      </c>
      <c r="C689" s="6">
        <f t="shared" si="104"/>
        <v>0</v>
      </c>
      <c r="D689" s="6" t="str">
        <f t="shared" si="105"/>
        <v/>
      </c>
      <c r="E689" s="35" t="str">
        <f t="shared" si="101"/>
        <v/>
      </c>
      <c r="F689" s="31"/>
      <c r="G689" s="29"/>
      <c r="H689" s="78" t="str">
        <f t="shared" si="111"/>
        <v/>
      </c>
      <c r="I689" s="25"/>
      <c r="J689" s="25"/>
      <c r="K689" s="26"/>
      <c r="L689" s="26"/>
      <c r="M689" s="37"/>
      <c r="N689" s="27"/>
      <c r="O689" s="30"/>
      <c r="P689" s="39" t="str">
        <f t="shared" si="106"/>
        <v/>
      </c>
      <c r="Q689" s="40" t="str">
        <f>IF(OR(T689=0,RIGHT(T689,1)=$W$1),"",COUNTIF($T$3:T689,T689))</f>
        <v/>
      </c>
      <c r="S689" s="6">
        <f t="shared" si="107"/>
        <v>0</v>
      </c>
      <c r="T689" s="36">
        <f t="shared" si="108"/>
        <v>0</v>
      </c>
      <c r="V689" s="6">
        <f t="shared" si="109"/>
        <v>0</v>
      </c>
      <c r="Y689" s="8">
        <f t="shared" si="110"/>
        <v>46023</v>
      </c>
    </row>
    <row r="690" spans="2:25" ht="18.75" x14ac:dyDescent="0.3">
      <c r="B690" s="6">
        <f t="shared" si="103"/>
        <v>0</v>
      </c>
      <c r="C690" s="6">
        <f t="shared" si="104"/>
        <v>0</v>
      </c>
      <c r="D690" s="6" t="str">
        <f t="shared" si="105"/>
        <v/>
      </c>
      <c r="E690" s="35" t="str">
        <f t="shared" si="101"/>
        <v/>
      </c>
      <c r="F690" s="31"/>
      <c r="G690" s="29"/>
      <c r="H690" s="78" t="str">
        <f t="shared" si="111"/>
        <v/>
      </c>
      <c r="I690" s="25"/>
      <c r="J690" s="25"/>
      <c r="K690" s="26"/>
      <c r="L690" s="26"/>
      <c r="M690" s="37"/>
      <c r="N690" s="27"/>
      <c r="O690" s="30"/>
      <c r="P690" s="39" t="str">
        <f t="shared" si="106"/>
        <v/>
      </c>
      <c r="Q690" s="40" t="str">
        <f>IF(OR(T690=0,RIGHT(T690,1)=$W$1),"",COUNTIF($T$3:T690,T690))</f>
        <v/>
      </c>
      <c r="S690" s="6">
        <f t="shared" si="107"/>
        <v>0</v>
      </c>
      <c r="T690" s="36">
        <f t="shared" si="108"/>
        <v>0</v>
      </c>
      <c r="V690" s="6">
        <f t="shared" si="109"/>
        <v>0</v>
      </c>
      <c r="Y690" s="8">
        <f t="shared" si="110"/>
        <v>46023</v>
      </c>
    </row>
    <row r="691" spans="2:25" ht="18.75" x14ac:dyDescent="0.3">
      <c r="B691" s="6">
        <f t="shared" si="103"/>
        <v>0</v>
      </c>
      <c r="C691" s="6">
        <f t="shared" si="104"/>
        <v>0</v>
      </c>
      <c r="D691" s="6" t="str">
        <f t="shared" si="105"/>
        <v/>
      </c>
      <c r="E691" s="35" t="str">
        <f t="shared" si="101"/>
        <v/>
      </c>
      <c r="F691" s="31"/>
      <c r="G691" s="29"/>
      <c r="H691" s="78" t="str">
        <f t="shared" si="111"/>
        <v/>
      </c>
      <c r="I691" s="25"/>
      <c r="J691" s="25"/>
      <c r="K691" s="26"/>
      <c r="L691" s="26"/>
      <c r="M691" s="37"/>
      <c r="N691" s="27"/>
      <c r="O691" s="30"/>
      <c r="P691" s="39" t="str">
        <f t="shared" si="106"/>
        <v/>
      </c>
      <c r="Q691" s="40" t="str">
        <f>IF(OR(T691=0,RIGHT(T691,1)=$W$1),"",COUNTIF($T$3:T691,T691))</f>
        <v/>
      </c>
      <c r="S691" s="6">
        <f t="shared" si="107"/>
        <v>0</v>
      </c>
      <c r="T691" s="36">
        <f t="shared" si="108"/>
        <v>0</v>
      </c>
      <c r="V691" s="6">
        <f t="shared" si="109"/>
        <v>0</v>
      </c>
      <c r="Y691" s="8">
        <f t="shared" si="110"/>
        <v>46023</v>
      </c>
    </row>
    <row r="692" spans="2:25" ht="18.75" x14ac:dyDescent="0.3">
      <c r="B692" s="6">
        <f t="shared" si="103"/>
        <v>0</v>
      </c>
      <c r="C692" s="6">
        <f t="shared" si="104"/>
        <v>0</v>
      </c>
      <c r="D692" s="6" t="str">
        <f t="shared" si="105"/>
        <v/>
      </c>
      <c r="E692" s="35" t="str">
        <f t="shared" si="101"/>
        <v/>
      </c>
      <c r="F692" s="31"/>
      <c r="G692" s="29"/>
      <c r="H692" s="78" t="str">
        <f t="shared" si="111"/>
        <v/>
      </c>
      <c r="I692" s="25"/>
      <c r="J692" s="25"/>
      <c r="K692" s="26"/>
      <c r="L692" s="26"/>
      <c r="M692" s="37"/>
      <c r="N692" s="27"/>
      <c r="O692" s="30"/>
      <c r="P692" s="39" t="str">
        <f t="shared" si="106"/>
        <v/>
      </c>
      <c r="Q692" s="40" t="str">
        <f>IF(OR(T692=0,RIGHT(T692,1)=$W$1),"",COUNTIF($T$3:T692,T692))</f>
        <v/>
      </c>
      <c r="S692" s="6">
        <f t="shared" si="107"/>
        <v>0</v>
      </c>
      <c r="T692" s="36">
        <f t="shared" si="108"/>
        <v>0</v>
      </c>
      <c r="V692" s="6">
        <f t="shared" si="109"/>
        <v>0</v>
      </c>
      <c r="Y692" s="8">
        <f t="shared" si="110"/>
        <v>46023</v>
      </c>
    </row>
    <row r="693" spans="2:25" ht="18.75" x14ac:dyDescent="0.3">
      <c r="B693" s="6">
        <f t="shared" si="103"/>
        <v>0</v>
      </c>
      <c r="C693" s="6">
        <f t="shared" si="104"/>
        <v>0</v>
      </c>
      <c r="D693" s="6" t="str">
        <f t="shared" si="105"/>
        <v/>
      </c>
      <c r="E693" s="35" t="str">
        <f t="shared" si="101"/>
        <v/>
      </c>
      <c r="F693" s="31"/>
      <c r="G693" s="29"/>
      <c r="H693" s="78" t="str">
        <f t="shared" si="111"/>
        <v/>
      </c>
      <c r="I693" s="25"/>
      <c r="J693" s="25"/>
      <c r="K693" s="26"/>
      <c r="L693" s="26"/>
      <c r="M693" s="37"/>
      <c r="N693" s="27"/>
      <c r="O693" s="30"/>
      <c r="P693" s="39" t="str">
        <f t="shared" si="106"/>
        <v/>
      </c>
      <c r="Q693" s="40" t="str">
        <f>IF(OR(T693=0,RIGHT(T693,1)=$W$1),"",COUNTIF($T$3:T693,T693))</f>
        <v/>
      </c>
      <c r="S693" s="6">
        <f t="shared" si="107"/>
        <v>0</v>
      </c>
      <c r="T693" s="36">
        <f t="shared" si="108"/>
        <v>0</v>
      </c>
      <c r="V693" s="6">
        <f t="shared" si="109"/>
        <v>0</v>
      </c>
      <c r="Y693" s="8">
        <f t="shared" si="110"/>
        <v>46023</v>
      </c>
    </row>
    <row r="694" spans="2:25" ht="18.75" x14ac:dyDescent="0.3">
      <c r="B694" s="6">
        <f t="shared" si="103"/>
        <v>0</v>
      </c>
      <c r="C694" s="6">
        <f t="shared" si="104"/>
        <v>0</v>
      </c>
      <c r="D694" s="6" t="str">
        <f t="shared" si="105"/>
        <v/>
      </c>
      <c r="E694" s="35" t="str">
        <f t="shared" si="101"/>
        <v/>
      </c>
      <c r="F694" s="31"/>
      <c r="G694" s="29"/>
      <c r="H694" s="78" t="str">
        <f t="shared" si="111"/>
        <v/>
      </c>
      <c r="I694" s="25"/>
      <c r="J694" s="25"/>
      <c r="K694" s="26"/>
      <c r="L694" s="26"/>
      <c r="M694" s="37"/>
      <c r="N694" s="27"/>
      <c r="O694" s="30"/>
      <c r="P694" s="39" t="str">
        <f t="shared" si="106"/>
        <v/>
      </c>
      <c r="Q694" s="40" t="str">
        <f>IF(OR(T694=0,RIGHT(T694,1)=$W$1),"",COUNTIF($T$3:T694,T694))</f>
        <v/>
      </c>
      <c r="S694" s="6">
        <f t="shared" si="107"/>
        <v>0</v>
      </c>
      <c r="T694" s="36">
        <f t="shared" si="108"/>
        <v>0</v>
      </c>
      <c r="V694" s="6">
        <f t="shared" si="109"/>
        <v>0</v>
      </c>
      <c r="Y694" s="8">
        <f t="shared" si="110"/>
        <v>46023</v>
      </c>
    </row>
    <row r="695" spans="2:25" ht="18.75" x14ac:dyDescent="0.3">
      <c r="B695" s="6">
        <f t="shared" si="103"/>
        <v>0</v>
      </c>
      <c r="C695" s="6">
        <f t="shared" si="104"/>
        <v>0</v>
      </c>
      <c r="D695" s="6" t="str">
        <f t="shared" si="105"/>
        <v/>
      </c>
      <c r="E695" s="35" t="str">
        <f t="shared" si="101"/>
        <v/>
      </c>
      <c r="F695" s="31"/>
      <c r="G695" s="29"/>
      <c r="H695" s="78" t="str">
        <f t="shared" si="111"/>
        <v/>
      </c>
      <c r="I695" s="25"/>
      <c r="J695" s="25"/>
      <c r="K695" s="26"/>
      <c r="L695" s="26"/>
      <c r="M695" s="37"/>
      <c r="N695" s="27"/>
      <c r="O695" s="30"/>
      <c r="P695" s="39" t="str">
        <f t="shared" si="106"/>
        <v/>
      </c>
      <c r="Q695" s="40" t="str">
        <f>IF(OR(T695=0,RIGHT(T695,1)=$W$1),"",COUNTIF($T$3:T695,T695))</f>
        <v/>
      </c>
      <c r="S695" s="6">
        <f t="shared" si="107"/>
        <v>0</v>
      </c>
      <c r="T695" s="36">
        <f t="shared" si="108"/>
        <v>0</v>
      </c>
      <c r="V695" s="6">
        <f t="shared" si="109"/>
        <v>0</v>
      </c>
      <c r="Y695" s="8">
        <f t="shared" si="110"/>
        <v>46023</v>
      </c>
    </row>
    <row r="696" spans="2:25" ht="18.75" x14ac:dyDescent="0.3">
      <c r="B696" s="6">
        <f t="shared" si="103"/>
        <v>0</v>
      </c>
      <c r="C696" s="6">
        <f t="shared" si="104"/>
        <v>0</v>
      </c>
      <c r="D696" s="6" t="str">
        <f t="shared" si="105"/>
        <v/>
      </c>
      <c r="E696" s="35" t="str">
        <f t="shared" si="101"/>
        <v/>
      </c>
      <c r="F696" s="31"/>
      <c r="G696" s="29"/>
      <c r="H696" s="78" t="str">
        <f t="shared" si="111"/>
        <v/>
      </c>
      <c r="I696" s="25"/>
      <c r="J696" s="25"/>
      <c r="K696" s="26"/>
      <c r="L696" s="26"/>
      <c r="M696" s="37"/>
      <c r="N696" s="27"/>
      <c r="O696" s="30"/>
      <c r="P696" s="39" t="str">
        <f t="shared" si="106"/>
        <v/>
      </c>
      <c r="Q696" s="40" t="str">
        <f>IF(OR(T696=0,RIGHT(T696,1)=$W$1),"",COUNTIF($T$3:T696,T696))</f>
        <v/>
      </c>
      <c r="S696" s="6">
        <f t="shared" si="107"/>
        <v>0</v>
      </c>
      <c r="T696" s="36">
        <f t="shared" si="108"/>
        <v>0</v>
      </c>
      <c r="V696" s="6">
        <f t="shared" si="109"/>
        <v>0</v>
      </c>
      <c r="Y696" s="8">
        <f t="shared" si="110"/>
        <v>46023</v>
      </c>
    </row>
    <row r="697" spans="2:25" ht="18.75" x14ac:dyDescent="0.3">
      <c r="B697" s="6">
        <f t="shared" si="103"/>
        <v>0</v>
      </c>
      <c r="C697" s="6">
        <f t="shared" si="104"/>
        <v>0</v>
      </c>
      <c r="D697" s="6" t="str">
        <f t="shared" si="105"/>
        <v/>
      </c>
      <c r="E697" s="35" t="str">
        <f t="shared" si="101"/>
        <v/>
      </c>
      <c r="F697" s="31"/>
      <c r="G697" s="29"/>
      <c r="H697" s="78" t="str">
        <f t="shared" si="111"/>
        <v/>
      </c>
      <c r="I697" s="25"/>
      <c r="J697" s="25"/>
      <c r="K697" s="26"/>
      <c r="L697" s="26"/>
      <c r="M697" s="37"/>
      <c r="N697" s="27"/>
      <c r="O697" s="30"/>
      <c r="P697" s="39" t="str">
        <f t="shared" si="106"/>
        <v/>
      </c>
      <c r="Q697" s="40" t="str">
        <f>IF(OR(T697=0,RIGHT(T697,1)=$W$1),"",COUNTIF($T$3:T697,T697))</f>
        <v/>
      </c>
      <c r="S697" s="6">
        <f t="shared" si="107"/>
        <v>0</v>
      </c>
      <c r="T697" s="36">
        <f t="shared" si="108"/>
        <v>0</v>
      </c>
      <c r="V697" s="6">
        <f t="shared" si="109"/>
        <v>0</v>
      </c>
      <c r="Y697" s="8">
        <f t="shared" si="110"/>
        <v>46023</v>
      </c>
    </row>
    <row r="698" spans="2:25" ht="18.75" x14ac:dyDescent="0.3">
      <c r="B698" s="6">
        <f t="shared" si="103"/>
        <v>0</v>
      </c>
      <c r="C698" s="6">
        <f t="shared" si="104"/>
        <v>0</v>
      </c>
      <c r="D698" s="6" t="str">
        <f t="shared" si="105"/>
        <v/>
      </c>
      <c r="E698" s="35" t="str">
        <f t="shared" si="101"/>
        <v/>
      </c>
      <c r="F698" s="31"/>
      <c r="G698" s="29"/>
      <c r="H698" s="78" t="str">
        <f t="shared" si="111"/>
        <v/>
      </c>
      <c r="I698" s="25"/>
      <c r="J698" s="25"/>
      <c r="K698" s="26"/>
      <c r="L698" s="26"/>
      <c r="M698" s="37"/>
      <c r="N698" s="27"/>
      <c r="O698" s="30"/>
      <c r="P698" s="39" t="str">
        <f t="shared" si="106"/>
        <v/>
      </c>
      <c r="Q698" s="40" t="str">
        <f>IF(OR(T698=0,RIGHT(T698,1)=$W$1),"",COUNTIF($T$3:T698,T698))</f>
        <v/>
      </c>
      <c r="S698" s="6">
        <f t="shared" si="107"/>
        <v>0</v>
      </c>
      <c r="T698" s="36">
        <f t="shared" si="108"/>
        <v>0</v>
      </c>
      <c r="V698" s="6">
        <f t="shared" si="109"/>
        <v>0</v>
      </c>
      <c r="Y698" s="8">
        <f t="shared" si="110"/>
        <v>46023</v>
      </c>
    </row>
    <row r="699" spans="2:25" ht="18.75" x14ac:dyDescent="0.3">
      <c r="B699" s="6">
        <f t="shared" si="103"/>
        <v>0</v>
      </c>
      <c r="C699" s="6">
        <f t="shared" si="104"/>
        <v>0</v>
      </c>
      <c r="D699" s="6" t="str">
        <f t="shared" si="105"/>
        <v/>
      </c>
      <c r="E699" s="35" t="str">
        <f t="shared" si="101"/>
        <v/>
      </c>
      <c r="F699" s="31"/>
      <c r="G699" s="29"/>
      <c r="H699" s="78" t="str">
        <f t="shared" si="111"/>
        <v/>
      </c>
      <c r="I699" s="25"/>
      <c r="J699" s="25"/>
      <c r="K699" s="26"/>
      <c r="L699" s="26"/>
      <c r="M699" s="37"/>
      <c r="N699" s="27"/>
      <c r="O699" s="30"/>
      <c r="P699" s="39" t="str">
        <f t="shared" si="106"/>
        <v/>
      </c>
      <c r="Q699" s="40" t="str">
        <f>IF(OR(T699=0,RIGHT(T699,1)=$W$1),"",COUNTIF($T$3:T699,T699))</f>
        <v/>
      </c>
      <c r="S699" s="6">
        <f t="shared" si="107"/>
        <v>0</v>
      </c>
      <c r="T699" s="36">
        <f t="shared" si="108"/>
        <v>0</v>
      </c>
      <c r="V699" s="6">
        <f t="shared" si="109"/>
        <v>0</v>
      </c>
      <c r="Y699" s="8">
        <f t="shared" si="110"/>
        <v>46023</v>
      </c>
    </row>
    <row r="700" spans="2:25" ht="18.75" x14ac:dyDescent="0.3">
      <c r="B700" s="6">
        <f t="shared" si="103"/>
        <v>0</v>
      </c>
      <c r="C700" s="6">
        <f t="shared" si="104"/>
        <v>0</v>
      </c>
      <c r="D700" s="6" t="str">
        <f t="shared" si="105"/>
        <v/>
      </c>
      <c r="E700" s="35" t="str">
        <f t="shared" si="101"/>
        <v/>
      </c>
      <c r="F700" s="31"/>
      <c r="G700" s="29"/>
      <c r="H700" s="78" t="str">
        <f t="shared" si="111"/>
        <v/>
      </c>
      <c r="I700" s="25"/>
      <c r="J700" s="25"/>
      <c r="K700" s="26"/>
      <c r="L700" s="26"/>
      <c r="M700" s="37"/>
      <c r="N700" s="27"/>
      <c r="O700" s="30"/>
      <c r="P700" s="39" t="str">
        <f t="shared" si="106"/>
        <v/>
      </c>
      <c r="Q700" s="40" t="str">
        <f>IF(OR(T700=0,RIGHT(T700,1)=$W$1),"",COUNTIF($T$3:T700,T700))</f>
        <v/>
      </c>
      <c r="S700" s="6">
        <f t="shared" si="107"/>
        <v>0</v>
      </c>
      <c r="T700" s="36">
        <f t="shared" si="108"/>
        <v>0</v>
      </c>
      <c r="V700" s="6">
        <f t="shared" si="109"/>
        <v>0</v>
      </c>
      <c r="Y700" s="8">
        <f t="shared" si="110"/>
        <v>46023</v>
      </c>
    </row>
    <row r="701" spans="2:25" ht="18.75" x14ac:dyDescent="0.3">
      <c r="B701" s="6">
        <f t="shared" si="103"/>
        <v>0</v>
      </c>
      <c r="C701" s="6">
        <f t="shared" si="104"/>
        <v>0</v>
      </c>
      <c r="D701" s="6" t="str">
        <f t="shared" si="105"/>
        <v/>
      </c>
      <c r="E701" s="35" t="str">
        <f t="shared" si="101"/>
        <v/>
      </c>
      <c r="F701" s="31"/>
      <c r="G701" s="29"/>
      <c r="H701" s="78" t="str">
        <f t="shared" si="111"/>
        <v/>
      </c>
      <c r="I701" s="25"/>
      <c r="J701" s="25"/>
      <c r="K701" s="26"/>
      <c r="L701" s="26"/>
      <c r="M701" s="37"/>
      <c r="N701" s="27"/>
      <c r="O701" s="30"/>
      <c r="P701" s="39" t="str">
        <f t="shared" si="106"/>
        <v/>
      </c>
      <c r="Q701" s="40" t="str">
        <f>IF(OR(T701=0,RIGHT(T701,1)=$W$1),"",COUNTIF($T$3:T701,T701))</f>
        <v/>
      </c>
      <c r="S701" s="6">
        <f t="shared" si="107"/>
        <v>0</v>
      </c>
      <c r="T701" s="36">
        <f t="shared" si="108"/>
        <v>0</v>
      </c>
      <c r="V701" s="6">
        <f t="shared" si="109"/>
        <v>0</v>
      </c>
      <c r="Y701" s="8">
        <f t="shared" si="110"/>
        <v>46023</v>
      </c>
    </row>
    <row r="702" spans="2:25" ht="18.75" x14ac:dyDescent="0.3">
      <c r="B702" s="6">
        <f t="shared" si="103"/>
        <v>0</v>
      </c>
      <c r="C702" s="6">
        <f t="shared" si="104"/>
        <v>0</v>
      </c>
      <c r="D702" s="6" t="str">
        <f t="shared" si="105"/>
        <v/>
      </c>
      <c r="E702" s="35" t="str">
        <f t="shared" si="101"/>
        <v/>
      </c>
      <c r="F702" s="31"/>
      <c r="G702" s="29"/>
      <c r="H702" s="78" t="str">
        <f t="shared" si="111"/>
        <v/>
      </c>
      <c r="I702" s="25"/>
      <c r="J702" s="25"/>
      <c r="K702" s="26"/>
      <c r="L702" s="26"/>
      <c r="M702" s="37"/>
      <c r="N702" s="27"/>
      <c r="O702" s="30"/>
      <c r="P702" s="39" t="str">
        <f t="shared" si="106"/>
        <v/>
      </c>
      <c r="Q702" s="40" t="str">
        <f>IF(OR(T702=0,RIGHT(T702,1)=$W$1),"",COUNTIF($T$3:T702,T702))</f>
        <v/>
      </c>
      <c r="S702" s="6">
        <f t="shared" si="107"/>
        <v>0</v>
      </c>
      <c r="T702" s="36">
        <f t="shared" si="108"/>
        <v>0</v>
      </c>
      <c r="V702" s="6">
        <f t="shared" si="109"/>
        <v>0</v>
      </c>
      <c r="Y702" s="8">
        <f t="shared" si="110"/>
        <v>46023</v>
      </c>
    </row>
    <row r="703" spans="2:25" ht="18.75" x14ac:dyDescent="0.3">
      <c r="B703" s="6">
        <f t="shared" si="103"/>
        <v>0</v>
      </c>
      <c r="C703" s="6">
        <f t="shared" si="104"/>
        <v>0</v>
      </c>
      <c r="D703" s="6" t="str">
        <f t="shared" si="105"/>
        <v/>
      </c>
      <c r="E703" s="35" t="str">
        <f t="shared" si="101"/>
        <v/>
      </c>
      <c r="F703" s="31"/>
      <c r="G703" s="29"/>
      <c r="H703" s="78" t="str">
        <f t="shared" si="111"/>
        <v/>
      </c>
      <c r="I703" s="25"/>
      <c r="J703" s="25"/>
      <c r="K703" s="26"/>
      <c r="L703" s="26"/>
      <c r="M703" s="37"/>
      <c r="N703" s="27"/>
      <c r="O703" s="30"/>
      <c r="P703" s="39" t="str">
        <f t="shared" si="106"/>
        <v/>
      </c>
      <c r="Q703" s="40" t="str">
        <f>IF(OR(T703=0,RIGHT(T703,1)=$W$1),"",COUNTIF($T$3:T703,T703))</f>
        <v/>
      </c>
      <c r="S703" s="6">
        <f t="shared" si="107"/>
        <v>0</v>
      </c>
      <c r="T703" s="36">
        <f t="shared" si="108"/>
        <v>0</v>
      </c>
      <c r="V703" s="6">
        <f t="shared" si="109"/>
        <v>0</v>
      </c>
      <c r="Y703" s="8">
        <f t="shared" si="110"/>
        <v>46023</v>
      </c>
    </row>
    <row r="704" spans="2:25" ht="18.75" x14ac:dyDescent="0.3">
      <c r="B704" s="6">
        <f t="shared" si="103"/>
        <v>0</v>
      </c>
      <c r="C704" s="6">
        <f t="shared" si="104"/>
        <v>0</v>
      </c>
      <c r="D704" s="6" t="str">
        <f t="shared" si="105"/>
        <v/>
      </c>
      <c r="E704" s="35" t="str">
        <f t="shared" si="101"/>
        <v/>
      </c>
      <c r="F704" s="31"/>
      <c r="G704" s="29"/>
      <c r="H704" s="78" t="str">
        <f t="shared" si="111"/>
        <v/>
      </c>
      <c r="I704" s="25"/>
      <c r="J704" s="25"/>
      <c r="K704" s="26"/>
      <c r="L704" s="26"/>
      <c r="M704" s="37"/>
      <c r="N704" s="27"/>
      <c r="O704" s="30"/>
      <c r="P704" s="39" t="str">
        <f t="shared" si="106"/>
        <v/>
      </c>
      <c r="Q704" s="40" t="str">
        <f>IF(OR(T704=0,RIGHT(T704,1)=$W$1),"",COUNTIF($T$3:T704,T704))</f>
        <v/>
      </c>
      <c r="S704" s="6">
        <f t="shared" si="107"/>
        <v>0</v>
      </c>
      <c r="T704" s="36">
        <f t="shared" si="108"/>
        <v>0</v>
      </c>
      <c r="V704" s="6">
        <f t="shared" si="109"/>
        <v>0</v>
      </c>
      <c r="Y704" s="8">
        <f t="shared" si="110"/>
        <v>46023</v>
      </c>
    </row>
    <row r="705" spans="2:25" ht="18.75" x14ac:dyDescent="0.3">
      <c r="B705" s="6">
        <f t="shared" si="103"/>
        <v>0</v>
      </c>
      <c r="C705" s="6">
        <f t="shared" si="104"/>
        <v>0</v>
      </c>
      <c r="D705" s="6" t="str">
        <f t="shared" si="105"/>
        <v/>
      </c>
      <c r="E705" s="35" t="str">
        <f t="shared" si="101"/>
        <v/>
      </c>
      <c r="F705" s="31"/>
      <c r="G705" s="29"/>
      <c r="H705" s="78" t="str">
        <f t="shared" si="111"/>
        <v/>
      </c>
      <c r="I705" s="25"/>
      <c r="J705" s="25"/>
      <c r="K705" s="26"/>
      <c r="L705" s="26"/>
      <c r="M705" s="37"/>
      <c r="N705" s="27"/>
      <c r="O705" s="30"/>
      <c r="P705" s="39" t="str">
        <f t="shared" si="106"/>
        <v/>
      </c>
      <c r="Q705" s="40" t="str">
        <f>IF(OR(T705=0,RIGHT(T705,1)=$W$1),"",COUNTIF($T$3:T705,T705))</f>
        <v/>
      </c>
      <c r="S705" s="6">
        <f t="shared" si="107"/>
        <v>0</v>
      </c>
      <c r="T705" s="36">
        <f t="shared" si="108"/>
        <v>0</v>
      </c>
      <c r="V705" s="6">
        <f t="shared" si="109"/>
        <v>0</v>
      </c>
      <c r="Y705" s="8">
        <f t="shared" si="110"/>
        <v>46023</v>
      </c>
    </row>
    <row r="706" spans="2:25" ht="18.75" x14ac:dyDescent="0.3">
      <c r="B706" s="6">
        <f t="shared" si="103"/>
        <v>0</v>
      </c>
      <c r="C706" s="6">
        <f t="shared" si="104"/>
        <v>0</v>
      </c>
      <c r="D706" s="6" t="str">
        <f t="shared" si="105"/>
        <v/>
      </c>
      <c r="E706" s="35" t="str">
        <f t="shared" si="101"/>
        <v/>
      </c>
      <c r="F706" s="31"/>
      <c r="G706" s="29"/>
      <c r="H706" s="78" t="str">
        <f t="shared" si="111"/>
        <v/>
      </c>
      <c r="I706" s="25"/>
      <c r="J706" s="25"/>
      <c r="K706" s="26"/>
      <c r="L706" s="26"/>
      <c r="M706" s="37"/>
      <c r="N706" s="27"/>
      <c r="O706" s="30"/>
      <c r="P706" s="39" t="str">
        <f t="shared" si="106"/>
        <v/>
      </c>
      <c r="Q706" s="40" t="str">
        <f>IF(OR(T706=0,RIGHT(T706,1)=$W$1),"",COUNTIF($T$3:T706,T706))</f>
        <v/>
      </c>
      <c r="S706" s="6">
        <f t="shared" si="107"/>
        <v>0</v>
      </c>
      <c r="T706" s="36">
        <f t="shared" si="108"/>
        <v>0</v>
      </c>
      <c r="V706" s="6">
        <f t="shared" si="109"/>
        <v>0</v>
      </c>
      <c r="Y706" s="8">
        <f t="shared" si="110"/>
        <v>46023</v>
      </c>
    </row>
    <row r="707" spans="2:25" ht="18.75" x14ac:dyDescent="0.3">
      <c r="B707" s="6">
        <f t="shared" si="103"/>
        <v>0</v>
      </c>
      <c r="C707" s="6">
        <f t="shared" si="104"/>
        <v>0</v>
      </c>
      <c r="D707" s="6" t="str">
        <f t="shared" si="105"/>
        <v/>
      </c>
      <c r="E707" s="35" t="str">
        <f t="shared" ref="E707:E770" si="112">IF(D707&lt;&gt;"",D707&amp;" - "&amp;YEAR(F707),"")</f>
        <v/>
      </c>
      <c r="F707" s="31"/>
      <c r="G707" s="29"/>
      <c r="H707" s="78" t="str">
        <f t="shared" si="111"/>
        <v/>
      </c>
      <c r="I707" s="25"/>
      <c r="J707" s="25"/>
      <c r="K707" s="26"/>
      <c r="L707" s="26"/>
      <c r="M707" s="37"/>
      <c r="N707" s="27"/>
      <c r="O707" s="30"/>
      <c r="P707" s="39" t="str">
        <f t="shared" si="106"/>
        <v/>
      </c>
      <c r="Q707" s="40" t="str">
        <f>IF(OR(T707=0,RIGHT(T707,1)=$W$1),"",COUNTIF($T$3:T707,T707))</f>
        <v/>
      </c>
      <c r="S707" s="6">
        <f t="shared" si="107"/>
        <v>0</v>
      </c>
      <c r="T707" s="36">
        <f t="shared" si="108"/>
        <v>0</v>
      </c>
      <c r="V707" s="6">
        <f t="shared" si="109"/>
        <v>0</v>
      </c>
      <c r="Y707" s="8">
        <f t="shared" si="110"/>
        <v>46023</v>
      </c>
    </row>
    <row r="708" spans="2:25" ht="18.75" x14ac:dyDescent="0.3">
      <c r="B708" s="6">
        <f t="shared" ref="B708:B771" si="113">IF($B$1=YEAR(F708),B707+1,B707)</f>
        <v>0</v>
      </c>
      <c r="C708" s="6">
        <f t="shared" ref="C708:C771" si="114">IF(AND($C$1=K708,$Y$1=YEAR(F708)),C707+1,C707)</f>
        <v>0</v>
      </c>
      <c r="D708" s="6" t="str">
        <f t="shared" ref="D708:D771" si="115">IF(F708&lt;&gt;0,IF(YEAR(F708)&lt;&gt;YEAR(F707),1,IF(M708=$AI$1,D707,D707+1)),"")</f>
        <v/>
      </c>
      <c r="E708" s="35" t="str">
        <f t="shared" si="112"/>
        <v/>
      </c>
      <c r="F708" s="31"/>
      <c r="G708" s="29"/>
      <c r="H708" s="78" t="str">
        <f t="shared" ref="H708:H771" si="116">IF(G708&lt;&gt;"",F708,"")</f>
        <v/>
      </c>
      <c r="I708" s="25"/>
      <c r="J708" s="25"/>
      <c r="K708" s="26"/>
      <c r="L708" s="26"/>
      <c r="M708" s="37"/>
      <c r="N708" s="27"/>
      <c r="O708" s="30"/>
      <c r="P708" s="39" t="str">
        <f t="shared" ref="P708:P771" si="117">IF(OR(T708=0,RIGHT(T708,1)=$W$1),"",VLOOKUP(K708,$AD$1:$AK$15,5,FALSE))</f>
        <v/>
      </c>
      <c r="Q708" s="40" t="str">
        <f>IF(OR(T708=0,RIGHT(T708,1)=$W$1),"",COUNTIF($T$3:T708,T708))</f>
        <v/>
      </c>
      <c r="S708" s="6">
        <f t="shared" ref="S708:S771" si="118">IF(AND($C$1=K708,$Y$1=YEAR(F708)),C708,0)</f>
        <v>0</v>
      </c>
      <c r="T708" s="36">
        <f t="shared" ref="T708:T771" si="119">IF(F708=0,0,YEAR(F708)&amp;VLOOKUP(K708,$AD$1:$AE$15,2,FALSE))</f>
        <v>0</v>
      </c>
      <c r="V708" s="6">
        <f t="shared" ref="V708:V771" si="120">IF(AND(YEAR(F708)=$Y$1,K708=$C$1,L708&amp;$V$1&lt;&gt;$V$1),L708,IF(AND(YEAR(F708)=$Y$1,K708=$C$1),1,0))</f>
        <v>0</v>
      </c>
      <c r="Y708" s="8">
        <f t="shared" ref="Y708:Y771" si="121">IF(M708&lt;&gt;$AI$1,$Y$2,F707)</f>
        <v>46023</v>
      </c>
    </row>
    <row r="709" spans="2:25" ht="18.75" x14ac:dyDescent="0.3">
      <c r="B709" s="6">
        <f t="shared" si="113"/>
        <v>0</v>
      </c>
      <c r="C709" s="6">
        <f t="shared" si="114"/>
        <v>0</v>
      </c>
      <c r="D709" s="6" t="str">
        <f t="shared" si="115"/>
        <v/>
      </c>
      <c r="E709" s="35" t="str">
        <f t="shared" si="112"/>
        <v/>
      </c>
      <c r="F709" s="31"/>
      <c r="G709" s="29"/>
      <c r="H709" s="78" t="str">
        <f t="shared" si="116"/>
        <v/>
      </c>
      <c r="I709" s="25"/>
      <c r="J709" s="25"/>
      <c r="K709" s="26"/>
      <c r="L709" s="26"/>
      <c r="M709" s="37"/>
      <c r="N709" s="27"/>
      <c r="O709" s="30"/>
      <c r="P709" s="39" t="str">
        <f t="shared" si="117"/>
        <v/>
      </c>
      <c r="Q709" s="40" t="str">
        <f>IF(OR(T709=0,RIGHT(T709,1)=$W$1),"",COUNTIF($T$3:T709,T709))</f>
        <v/>
      </c>
      <c r="S709" s="6">
        <f t="shared" si="118"/>
        <v>0</v>
      </c>
      <c r="T709" s="36">
        <f t="shared" si="119"/>
        <v>0</v>
      </c>
      <c r="V709" s="6">
        <f t="shared" si="120"/>
        <v>0</v>
      </c>
      <c r="Y709" s="8">
        <f t="shared" si="121"/>
        <v>46023</v>
      </c>
    </row>
    <row r="710" spans="2:25" ht="18.75" x14ac:dyDescent="0.3">
      <c r="B710" s="6">
        <f t="shared" si="113"/>
        <v>0</v>
      </c>
      <c r="C710" s="6">
        <f t="shared" si="114"/>
        <v>0</v>
      </c>
      <c r="D710" s="6" t="str">
        <f t="shared" si="115"/>
        <v/>
      </c>
      <c r="E710" s="35" t="str">
        <f t="shared" si="112"/>
        <v/>
      </c>
      <c r="F710" s="31"/>
      <c r="G710" s="29"/>
      <c r="H710" s="78" t="str">
        <f t="shared" si="116"/>
        <v/>
      </c>
      <c r="I710" s="25"/>
      <c r="J710" s="25"/>
      <c r="K710" s="26"/>
      <c r="L710" s="26"/>
      <c r="M710" s="37"/>
      <c r="N710" s="27"/>
      <c r="O710" s="30"/>
      <c r="P710" s="39" t="str">
        <f t="shared" si="117"/>
        <v/>
      </c>
      <c r="Q710" s="40" t="str">
        <f>IF(OR(T710=0,RIGHT(T710,1)=$W$1),"",COUNTIF($T$3:T710,T710))</f>
        <v/>
      </c>
      <c r="S710" s="6">
        <f t="shared" si="118"/>
        <v>0</v>
      </c>
      <c r="T710" s="36">
        <f t="shared" si="119"/>
        <v>0</v>
      </c>
      <c r="V710" s="6">
        <f t="shared" si="120"/>
        <v>0</v>
      </c>
      <c r="Y710" s="8">
        <f t="shared" si="121"/>
        <v>46023</v>
      </c>
    </row>
    <row r="711" spans="2:25" ht="18.75" x14ac:dyDescent="0.3">
      <c r="B711" s="6">
        <f t="shared" si="113"/>
        <v>0</v>
      </c>
      <c r="C711" s="6">
        <f t="shared" si="114"/>
        <v>0</v>
      </c>
      <c r="D711" s="6" t="str">
        <f t="shared" si="115"/>
        <v/>
      </c>
      <c r="E711" s="35" t="str">
        <f t="shared" si="112"/>
        <v/>
      </c>
      <c r="F711" s="31"/>
      <c r="G711" s="29"/>
      <c r="H711" s="78" t="str">
        <f t="shared" si="116"/>
        <v/>
      </c>
      <c r="I711" s="25"/>
      <c r="J711" s="25"/>
      <c r="K711" s="26"/>
      <c r="L711" s="26"/>
      <c r="M711" s="37"/>
      <c r="N711" s="27"/>
      <c r="O711" s="30"/>
      <c r="P711" s="39" t="str">
        <f t="shared" si="117"/>
        <v/>
      </c>
      <c r="Q711" s="40" t="str">
        <f>IF(OR(T711=0,RIGHT(T711,1)=$W$1),"",COUNTIF($T$3:T711,T711))</f>
        <v/>
      </c>
      <c r="S711" s="6">
        <f t="shared" si="118"/>
        <v>0</v>
      </c>
      <c r="T711" s="36">
        <f t="shared" si="119"/>
        <v>0</v>
      </c>
      <c r="V711" s="6">
        <f t="shared" si="120"/>
        <v>0</v>
      </c>
      <c r="Y711" s="8">
        <f t="shared" si="121"/>
        <v>46023</v>
      </c>
    </row>
    <row r="712" spans="2:25" ht="18.75" x14ac:dyDescent="0.3">
      <c r="B712" s="6">
        <f t="shared" si="113"/>
        <v>0</v>
      </c>
      <c r="C712" s="6">
        <f t="shared" si="114"/>
        <v>0</v>
      </c>
      <c r="D712" s="6" t="str">
        <f t="shared" si="115"/>
        <v/>
      </c>
      <c r="E712" s="35" t="str">
        <f t="shared" si="112"/>
        <v/>
      </c>
      <c r="F712" s="31"/>
      <c r="G712" s="29"/>
      <c r="H712" s="78" t="str">
        <f t="shared" si="116"/>
        <v/>
      </c>
      <c r="I712" s="25"/>
      <c r="J712" s="25"/>
      <c r="K712" s="26"/>
      <c r="L712" s="26"/>
      <c r="M712" s="37"/>
      <c r="N712" s="27"/>
      <c r="O712" s="30"/>
      <c r="P712" s="39" t="str">
        <f t="shared" si="117"/>
        <v/>
      </c>
      <c r="Q712" s="40" t="str">
        <f>IF(OR(T712=0,RIGHT(T712,1)=$W$1),"",COUNTIF($T$3:T712,T712))</f>
        <v/>
      </c>
      <c r="S712" s="6">
        <f t="shared" si="118"/>
        <v>0</v>
      </c>
      <c r="T712" s="36">
        <f t="shared" si="119"/>
        <v>0</v>
      </c>
      <c r="V712" s="6">
        <f t="shared" si="120"/>
        <v>0</v>
      </c>
      <c r="Y712" s="8">
        <f t="shared" si="121"/>
        <v>46023</v>
      </c>
    </row>
    <row r="713" spans="2:25" ht="18.75" x14ac:dyDescent="0.3">
      <c r="B713" s="6">
        <f t="shared" si="113"/>
        <v>0</v>
      </c>
      <c r="C713" s="6">
        <f t="shared" si="114"/>
        <v>0</v>
      </c>
      <c r="D713" s="6" t="str">
        <f t="shared" si="115"/>
        <v/>
      </c>
      <c r="E713" s="35" t="str">
        <f t="shared" si="112"/>
        <v/>
      </c>
      <c r="F713" s="31"/>
      <c r="G713" s="29"/>
      <c r="H713" s="78" t="str">
        <f t="shared" si="116"/>
        <v/>
      </c>
      <c r="I713" s="25"/>
      <c r="J713" s="25"/>
      <c r="K713" s="26"/>
      <c r="L713" s="26"/>
      <c r="M713" s="37"/>
      <c r="N713" s="27"/>
      <c r="O713" s="30"/>
      <c r="P713" s="39" t="str">
        <f t="shared" si="117"/>
        <v/>
      </c>
      <c r="Q713" s="40" t="str">
        <f>IF(OR(T713=0,RIGHT(T713,1)=$W$1),"",COUNTIF($T$3:T713,T713))</f>
        <v/>
      </c>
      <c r="S713" s="6">
        <f t="shared" si="118"/>
        <v>0</v>
      </c>
      <c r="T713" s="36">
        <f t="shared" si="119"/>
        <v>0</v>
      </c>
      <c r="V713" s="6">
        <f t="shared" si="120"/>
        <v>0</v>
      </c>
      <c r="Y713" s="8">
        <f t="shared" si="121"/>
        <v>46023</v>
      </c>
    </row>
    <row r="714" spans="2:25" ht="18.75" x14ac:dyDescent="0.3">
      <c r="B714" s="6">
        <f t="shared" si="113"/>
        <v>0</v>
      </c>
      <c r="C714" s="6">
        <f t="shared" si="114"/>
        <v>0</v>
      </c>
      <c r="D714" s="6" t="str">
        <f t="shared" si="115"/>
        <v/>
      </c>
      <c r="E714" s="35" t="str">
        <f t="shared" si="112"/>
        <v/>
      </c>
      <c r="F714" s="31"/>
      <c r="G714" s="29"/>
      <c r="H714" s="78" t="str">
        <f t="shared" si="116"/>
        <v/>
      </c>
      <c r="I714" s="25"/>
      <c r="J714" s="25"/>
      <c r="K714" s="26"/>
      <c r="L714" s="26"/>
      <c r="M714" s="37"/>
      <c r="N714" s="27"/>
      <c r="O714" s="30"/>
      <c r="P714" s="39" t="str">
        <f t="shared" si="117"/>
        <v/>
      </c>
      <c r="Q714" s="40" t="str">
        <f>IF(OR(T714=0,RIGHT(T714,1)=$W$1),"",COUNTIF($T$3:T714,T714))</f>
        <v/>
      </c>
      <c r="S714" s="6">
        <f t="shared" si="118"/>
        <v>0</v>
      </c>
      <c r="T714" s="36">
        <f t="shared" si="119"/>
        <v>0</v>
      </c>
      <c r="V714" s="6">
        <f t="shared" si="120"/>
        <v>0</v>
      </c>
      <c r="Y714" s="8">
        <f t="shared" si="121"/>
        <v>46023</v>
      </c>
    </row>
    <row r="715" spans="2:25" ht="18.75" x14ac:dyDescent="0.3">
      <c r="B715" s="6">
        <f t="shared" si="113"/>
        <v>0</v>
      </c>
      <c r="C715" s="6">
        <f t="shared" si="114"/>
        <v>0</v>
      </c>
      <c r="D715" s="6" t="str">
        <f t="shared" si="115"/>
        <v/>
      </c>
      <c r="E715" s="35" t="str">
        <f t="shared" si="112"/>
        <v/>
      </c>
      <c r="F715" s="31"/>
      <c r="G715" s="29"/>
      <c r="H715" s="78" t="str">
        <f t="shared" si="116"/>
        <v/>
      </c>
      <c r="I715" s="25"/>
      <c r="J715" s="25"/>
      <c r="K715" s="26"/>
      <c r="L715" s="26"/>
      <c r="M715" s="37"/>
      <c r="N715" s="27"/>
      <c r="O715" s="30"/>
      <c r="P715" s="39" t="str">
        <f t="shared" si="117"/>
        <v/>
      </c>
      <c r="Q715" s="40" t="str">
        <f>IF(OR(T715=0,RIGHT(T715,1)=$W$1),"",COUNTIF($T$3:T715,T715))</f>
        <v/>
      </c>
      <c r="S715" s="6">
        <f t="shared" si="118"/>
        <v>0</v>
      </c>
      <c r="T715" s="36">
        <f t="shared" si="119"/>
        <v>0</v>
      </c>
      <c r="V715" s="6">
        <f t="shared" si="120"/>
        <v>0</v>
      </c>
      <c r="Y715" s="8">
        <f t="shared" si="121"/>
        <v>46023</v>
      </c>
    </row>
    <row r="716" spans="2:25" ht="18.75" x14ac:dyDescent="0.3">
      <c r="B716" s="6">
        <f t="shared" si="113"/>
        <v>0</v>
      </c>
      <c r="C716" s="6">
        <f t="shared" si="114"/>
        <v>0</v>
      </c>
      <c r="D716" s="6" t="str">
        <f t="shared" si="115"/>
        <v/>
      </c>
      <c r="E716" s="35" t="str">
        <f t="shared" si="112"/>
        <v/>
      </c>
      <c r="F716" s="31"/>
      <c r="G716" s="29"/>
      <c r="H716" s="78" t="str">
        <f t="shared" si="116"/>
        <v/>
      </c>
      <c r="I716" s="25"/>
      <c r="J716" s="25"/>
      <c r="K716" s="26"/>
      <c r="L716" s="26"/>
      <c r="M716" s="37"/>
      <c r="N716" s="27"/>
      <c r="O716" s="30"/>
      <c r="P716" s="39" t="str">
        <f t="shared" si="117"/>
        <v/>
      </c>
      <c r="Q716" s="40" t="str">
        <f>IF(OR(T716=0,RIGHT(T716,1)=$W$1),"",COUNTIF($T$3:T716,T716))</f>
        <v/>
      </c>
      <c r="S716" s="6">
        <f t="shared" si="118"/>
        <v>0</v>
      </c>
      <c r="T716" s="36">
        <f t="shared" si="119"/>
        <v>0</v>
      </c>
      <c r="V716" s="6">
        <f t="shared" si="120"/>
        <v>0</v>
      </c>
      <c r="Y716" s="8">
        <f t="shared" si="121"/>
        <v>46023</v>
      </c>
    </row>
    <row r="717" spans="2:25" ht="18.75" x14ac:dyDescent="0.3">
      <c r="B717" s="6">
        <f t="shared" si="113"/>
        <v>0</v>
      </c>
      <c r="C717" s="6">
        <f t="shared" si="114"/>
        <v>0</v>
      </c>
      <c r="D717" s="6" t="str">
        <f t="shared" si="115"/>
        <v/>
      </c>
      <c r="E717" s="35" t="str">
        <f t="shared" si="112"/>
        <v/>
      </c>
      <c r="F717" s="31"/>
      <c r="G717" s="29"/>
      <c r="H717" s="78" t="str">
        <f t="shared" si="116"/>
        <v/>
      </c>
      <c r="I717" s="25"/>
      <c r="J717" s="25"/>
      <c r="K717" s="26"/>
      <c r="L717" s="26"/>
      <c r="M717" s="37"/>
      <c r="N717" s="27"/>
      <c r="O717" s="30"/>
      <c r="P717" s="39" t="str">
        <f t="shared" si="117"/>
        <v/>
      </c>
      <c r="Q717" s="40" t="str">
        <f>IF(OR(T717=0,RIGHT(T717,1)=$W$1),"",COUNTIF($T$3:T717,T717))</f>
        <v/>
      </c>
      <c r="S717" s="6">
        <f t="shared" si="118"/>
        <v>0</v>
      </c>
      <c r="T717" s="36">
        <f t="shared" si="119"/>
        <v>0</v>
      </c>
      <c r="V717" s="6">
        <f t="shared" si="120"/>
        <v>0</v>
      </c>
      <c r="Y717" s="8">
        <f t="shared" si="121"/>
        <v>46023</v>
      </c>
    </row>
    <row r="718" spans="2:25" ht="18.75" x14ac:dyDescent="0.3">
      <c r="B718" s="6">
        <f t="shared" si="113"/>
        <v>0</v>
      </c>
      <c r="C718" s="6">
        <f t="shared" si="114"/>
        <v>0</v>
      </c>
      <c r="D718" s="6" t="str">
        <f t="shared" si="115"/>
        <v/>
      </c>
      <c r="E718" s="35" t="str">
        <f t="shared" si="112"/>
        <v/>
      </c>
      <c r="F718" s="31"/>
      <c r="G718" s="29"/>
      <c r="H718" s="78" t="str">
        <f t="shared" si="116"/>
        <v/>
      </c>
      <c r="I718" s="25"/>
      <c r="J718" s="25"/>
      <c r="K718" s="26"/>
      <c r="L718" s="26"/>
      <c r="M718" s="37"/>
      <c r="N718" s="27"/>
      <c r="O718" s="30"/>
      <c r="P718" s="39" t="str">
        <f t="shared" si="117"/>
        <v/>
      </c>
      <c r="Q718" s="40" t="str">
        <f>IF(OR(T718=0,RIGHT(T718,1)=$W$1),"",COUNTIF($T$3:T718,T718))</f>
        <v/>
      </c>
      <c r="S718" s="6">
        <f t="shared" si="118"/>
        <v>0</v>
      </c>
      <c r="T718" s="36">
        <f t="shared" si="119"/>
        <v>0</v>
      </c>
      <c r="V718" s="6">
        <f t="shared" si="120"/>
        <v>0</v>
      </c>
      <c r="Y718" s="8">
        <f t="shared" si="121"/>
        <v>46023</v>
      </c>
    </row>
    <row r="719" spans="2:25" ht="18.75" x14ac:dyDescent="0.3">
      <c r="B719" s="6">
        <f t="shared" si="113"/>
        <v>0</v>
      </c>
      <c r="C719" s="6">
        <f t="shared" si="114"/>
        <v>0</v>
      </c>
      <c r="D719" s="6" t="str">
        <f t="shared" si="115"/>
        <v/>
      </c>
      <c r="E719" s="35" t="str">
        <f t="shared" si="112"/>
        <v/>
      </c>
      <c r="F719" s="31"/>
      <c r="G719" s="29"/>
      <c r="H719" s="78" t="str">
        <f t="shared" si="116"/>
        <v/>
      </c>
      <c r="I719" s="25"/>
      <c r="J719" s="25"/>
      <c r="K719" s="26"/>
      <c r="L719" s="26"/>
      <c r="M719" s="37"/>
      <c r="N719" s="27"/>
      <c r="O719" s="30"/>
      <c r="P719" s="39" t="str">
        <f t="shared" si="117"/>
        <v/>
      </c>
      <c r="Q719" s="40" t="str">
        <f>IF(OR(T719=0,RIGHT(T719,1)=$W$1),"",COUNTIF($T$3:T719,T719))</f>
        <v/>
      </c>
      <c r="S719" s="6">
        <f t="shared" si="118"/>
        <v>0</v>
      </c>
      <c r="T719" s="36">
        <f t="shared" si="119"/>
        <v>0</v>
      </c>
      <c r="V719" s="6">
        <f t="shared" si="120"/>
        <v>0</v>
      </c>
      <c r="Y719" s="8">
        <f t="shared" si="121"/>
        <v>46023</v>
      </c>
    </row>
    <row r="720" spans="2:25" ht="18.75" x14ac:dyDescent="0.3">
      <c r="B720" s="6">
        <f t="shared" si="113"/>
        <v>0</v>
      </c>
      <c r="C720" s="6">
        <f t="shared" si="114"/>
        <v>0</v>
      </c>
      <c r="D720" s="6" t="str">
        <f t="shared" si="115"/>
        <v/>
      </c>
      <c r="E720" s="35" t="str">
        <f t="shared" si="112"/>
        <v/>
      </c>
      <c r="F720" s="31"/>
      <c r="G720" s="29"/>
      <c r="H720" s="78" t="str">
        <f t="shared" si="116"/>
        <v/>
      </c>
      <c r="I720" s="25"/>
      <c r="J720" s="25"/>
      <c r="K720" s="26"/>
      <c r="L720" s="26"/>
      <c r="M720" s="37"/>
      <c r="N720" s="27"/>
      <c r="O720" s="30"/>
      <c r="P720" s="39" t="str">
        <f t="shared" si="117"/>
        <v/>
      </c>
      <c r="Q720" s="40" t="str">
        <f>IF(OR(T720=0,RIGHT(T720,1)=$W$1),"",COUNTIF($T$3:T720,T720))</f>
        <v/>
      </c>
      <c r="S720" s="6">
        <f t="shared" si="118"/>
        <v>0</v>
      </c>
      <c r="T720" s="36">
        <f t="shared" si="119"/>
        <v>0</v>
      </c>
      <c r="V720" s="6">
        <f t="shared" si="120"/>
        <v>0</v>
      </c>
      <c r="Y720" s="8">
        <f t="shared" si="121"/>
        <v>46023</v>
      </c>
    </row>
    <row r="721" spans="2:25" ht="18.75" x14ac:dyDescent="0.3">
      <c r="B721" s="6">
        <f t="shared" si="113"/>
        <v>0</v>
      </c>
      <c r="C721" s="6">
        <f t="shared" si="114"/>
        <v>0</v>
      </c>
      <c r="D721" s="6" t="str">
        <f t="shared" si="115"/>
        <v/>
      </c>
      <c r="E721" s="35" t="str">
        <f t="shared" si="112"/>
        <v/>
      </c>
      <c r="F721" s="31"/>
      <c r="G721" s="29"/>
      <c r="H721" s="78" t="str">
        <f t="shared" si="116"/>
        <v/>
      </c>
      <c r="I721" s="25"/>
      <c r="J721" s="25"/>
      <c r="K721" s="26"/>
      <c r="L721" s="26"/>
      <c r="M721" s="37"/>
      <c r="N721" s="27"/>
      <c r="O721" s="30"/>
      <c r="P721" s="39" t="str">
        <f t="shared" si="117"/>
        <v/>
      </c>
      <c r="Q721" s="40" t="str">
        <f>IF(OR(T721=0,RIGHT(T721,1)=$W$1),"",COUNTIF($T$3:T721,T721))</f>
        <v/>
      </c>
      <c r="S721" s="6">
        <f t="shared" si="118"/>
        <v>0</v>
      </c>
      <c r="T721" s="36">
        <f t="shared" si="119"/>
        <v>0</v>
      </c>
      <c r="V721" s="6">
        <f t="shared" si="120"/>
        <v>0</v>
      </c>
      <c r="Y721" s="8">
        <f t="shared" si="121"/>
        <v>46023</v>
      </c>
    </row>
    <row r="722" spans="2:25" ht="18.75" x14ac:dyDescent="0.3">
      <c r="B722" s="6">
        <f t="shared" si="113"/>
        <v>0</v>
      </c>
      <c r="C722" s="6">
        <f t="shared" si="114"/>
        <v>0</v>
      </c>
      <c r="D722" s="6" t="str">
        <f t="shared" si="115"/>
        <v/>
      </c>
      <c r="E722" s="35" t="str">
        <f t="shared" si="112"/>
        <v/>
      </c>
      <c r="F722" s="31"/>
      <c r="G722" s="29"/>
      <c r="H722" s="78" t="str">
        <f t="shared" si="116"/>
        <v/>
      </c>
      <c r="I722" s="25"/>
      <c r="J722" s="25"/>
      <c r="K722" s="26"/>
      <c r="L722" s="26"/>
      <c r="M722" s="37"/>
      <c r="N722" s="27"/>
      <c r="O722" s="30"/>
      <c r="P722" s="39" t="str">
        <f t="shared" si="117"/>
        <v/>
      </c>
      <c r="Q722" s="40" t="str">
        <f>IF(OR(T722=0,RIGHT(T722,1)=$W$1),"",COUNTIF($T$3:T722,T722))</f>
        <v/>
      </c>
      <c r="S722" s="6">
        <f t="shared" si="118"/>
        <v>0</v>
      </c>
      <c r="T722" s="36">
        <f t="shared" si="119"/>
        <v>0</v>
      </c>
      <c r="V722" s="6">
        <f t="shared" si="120"/>
        <v>0</v>
      </c>
      <c r="Y722" s="8">
        <f t="shared" si="121"/>
        <v>46023</v>
      </c>
    </row>
    <row r="723" spans="2:25" ht="18.75" x14ac:dyDescent="0.3">
      <c r="B723" s="6">
        <f t="shared" si="113"/>
        <v>0</v>
      </c>
      <c r="C723" s="6">
        <f t="shared" si="114"/>
        <v>0</v>
      </c>
      <c r="D723" s="6" t="str">
        <f t="shared" si="115"/>
        <v/>
      </c>
      <c r="E723" s="35" t="str">
        <f t="shared" si="112"/>
        <v/>
      </c>
      <c r="F723" s="31"/>
      <c r="G723" s="29"/>
      <c r="H723" s="78" t="str">
        <f t="shared" si="116"/>
        <v/>
      </c>
      <c r="I723" s="25"/>
      <c r="J723" s="25"/>
      <c r="K723" s="26"/>
      <c r="L723" s="26"/>
      <c r="M723" s="37"/>
      <c r="N723" s="27"/>
      <c r="O723" s="30"/>
      <c r="P723" s="39" t="str">
        <f t="shared" si="117"/>
        <v/>
      </c>
      <c r="Q723" s="40" t="str">
        <f>IF(OR(T723=0,RIGHT(T723,1)=$W$1),"",COUNTIF($T$3:T723,T723))</f>
        <v/>
      </c>
      <c r="S723" s="6">
        <f t="shared" si="118"/>
        <v>0</v>
      </c>
      <c r="T723" s="36">
        <f t="shared" si="119"/>
        <v>0</v>
      </c>
      <c r="V723" s="6">
        <f t="shared" si="120"/>
        <v>0</v>
      </c>
      <c r="Y723" s="8">
        <f t="shared" si="121"/>
        <v>46023</v>
      </c>
    </row>
    <row r="724" spans="2:25" ht="18.75" x14ac:dyDescent="0.3">
      <c r="B724" s="6">
        <f t="shared" si="113"/>
        <v>0</v>
      </c>
      <c r="C724" s="6">
        <f t="shared" si="114"/>
        <v>0</v>
      </c>
      <c r="D724" s="6" t="str">
        <f t="shared" si="115"/>
        <v/>
      </c>
      <c r="E724" s="35" t="str">
        <f t="shared" si="112"/>
        <v/>
      </c>
      <c r="F724" s="31"/>
      <c r="G724" s="29"/>
      <c r="H724" s="78" t="str">
        <f t="shared" si="116"/>
        <v/>
      </c>
      <c r="I724" s="25"/>
      <c r="J724" s="25"/>
      <c r="K724" s="26"/>
      <c r="L724" s="26"/>
      <c r="M724" s="37"/>
      <c r="N724" s="27"/>
      <c r="O724" s="30"/>
      <c r="P724" s="39" t="str">
        <f t="shared" si="117"/>
        <v/>
      </c>
      <c r="Q724" s="40" t="str">
        <f>IF(OR(T724=0,RIGHT(T724,1)=$W$1),"",COUNTIF($T$3:T724,T724))</f>
        <v/>
      </c>
      <c r="S724" s="6">
        <f t="shared" si="118"/>
        <v>0</v>
      </c>
      <c r="T724" s="36">
        <f t="shared" si="119"/>
        <v>0</v>
      </c>
      <c r="V724" s="6">
        <f t="shared" si="120"/>
        <v>0</v>
      </c>
      <c r="Y724" s="8">
        <f t="shared" si="121"/>
        <v>46023</v>
      </c>
    </row>
    <row r="725" spans="2:25" ht="18.75" x14ac:dyDescent="0.3">
      <c r="B725" s="6">
        <f t="shared" si="113"/>
        <v>0</v>
      </c>
      <c r="C725" s="6">
        <f t="shared" si="114"/>
        <v>0</v>
      </c>
      <c r="D725" s="6" t="str">
        <f t="shared" si="115"/>
        <v/>
      </c>
      <c r="E725" s="35" t="str">
        <f t="shared" si="112"/>
        <v/>
      </c>
      <c r="F725" s="31"/>
      <c r="G725" s="29"/>
      <c r="H725" s="78" t="str">
        <f t="shared" si="116"/>
        <v/>
      </c>
      <c r="I725" s="25"/>
      <c r="J725" s="25"/>
      <c r="K725" s="26"/>
      <c r="L725" s="26"/>
      <c r="M725" s="37"/>
      <c r="N725" s="27"/>
      <c r="O725" s="30"/>
      <c r="P725" s="39" t="str">
        <f t="shared" si="117"/>
        <v/>
      </c>
      <c r="Q725" s="40" t="str">
        <f>IF(OR(T725=0,RIGHT(T725,1)=$W$1),"",COUNTIF($T$3:T725,T725))</f>
        <v/>
      </c>
      <c r="S725" s="6">
        <f t="shared" si="118"/>
        <v>0</v>
      </c>
      <c r="T725" s="36">
        <f t="shared" si="119"/>
        <v>0</v>
      </c>
      <c r="V725" s="6">
        <f t="shared" si="120"/>
        <v>0</v>
      </c>
      <c r="Y725" s="8">
        <f t="shared" si="121"/>
        <v>46023</v>
      </c>
    </row>
    <row r="726" spans="2:25" ht="18.75" x14ac:dyDescent="0.3">
      <c r="B726" s="6">
        <f t="shared" si="113"/>
        <v>0</v>
      </c>
      <c r="C726" s="6">
        <f t="shared" si="114"/>
        <v>0</v>
      </c>
      <c r="D726" s="6" t="str">
        <f t="shared" si="115"/>
        <v/>
      </c>
      <c r="E726" s="35" t="str">
        <f t="shared" si="112"/>
        <v/>
      </c>
      <c r="F726" s="31"/>
      <c r="G726" s="29"/>
      <c r="H726" s="78" t="str">
        <f t="shared" si="116"/>
        <v/>
      </c>
      <c r="I726" s="25"/>
      <c r="J726" s="25"/>
      <c r="K726" s="26"/>
      <c r="L726" s="26"/>
      <c r="M726" s="37"/>
      <c r="N726" s="27"/>
      <c r="O726" s="30"/>
      <c r="P726" s="39" t="str">
        <f t="shared" si="117"/>
        <v/>
      </c>
      <c r="Q726" s="40" t="str">
        <f>IF(OR(T726=0,RIGHT(T726,1)=$W$1),"",COUNTIF($T$3:T726,T726))</f>
        <v/>
      </c>
      <c r="S726" s="6">
        <f t="shared" si="118"/>
        <v>0</v>
      </c>
      <c r="T726" s="36">
        <f t="shared" si="119"/>
        <v>0</v>
      </c>
      <c r="V726" s="6">
        <f t="shared" si="120"/>
        <v>0</v>
      </c>
      <c r="Y726" s="8">
        <f t="shared" si="121"/>
        <v>46023</v>
      </c>
    </row>
    <row r="727" spans="2:25" ht="18.75" x14ac:dyDescent="0.3">
      <c r="B727" s="6">
        <f t="shared" si="113"/>
        <v>0</v>
      </c>
      <c r="C727" s="6">
        <f t="shared" si="114"/>
        <v>0</v>
      </c>
      <c r="D727" s="6" t="str">
        <f t="shared" si="115"/>
        <v/>
      </c>
      <c r="E727" s="35" t="str">
        <f t="shared" si="112"/>
        <v/>
      </c>
      <c r="F727" s="31"/>
      <c r="G727" s="29"/>
      <c r="H727" s="78" t="str">
        <f t="shared" si="116"/>
        <v/>
      </c>
      <c r="I727" s="25"/>
      <c r="J727" s="25"/>
      <c r="K727" s="26"/>
      <c r="L727" s="26"/>
      <c r="M727" s="37"/>
      <c r="N727" s="27"/>
      <c r="O727" s="30"/>
      <c r="P727" s="39" t="str">
        <f t="shared" si="117"/>
        <v/>
      </c>
      <c r="Q727" s="40" t="str">
        <f>IF(OR(T727=0,RIGHT(T727,1)=$W$1),"",COUNTIF($T$3:T727,T727))</f>
        <v/>
      </c>
      <c r="S727" s="6">
        <f t="shared" si="118"/>
        <v>0</v>
      </c>
      <c r="T727" s="36">
        <f t="shared" si="119"/>
        <v>0</v>
      </c>
      <c r="V727" s="6">
        <f t="shared" si="120"/>
        <v>0</v>
      </c>
      <c r="Y727" s="8">
        <f t="shared" si="121"/>
        <v>46023</v>
      </c>
    </row>
    <row r="728" spans="2:25" ht="18.75" x14ac:dyDescent="0.3">
      <c r="B728" s="6">
        <f t="shared" si="113"/>
        <v>0</v>
      </c>
      <c r="C728" s="6">
        <f t="shared" si="114"/>
        <v>0</v>
      </c>
      <c r="D728" s="6" t="str">
        <f t="shared" si="115"/>
        <v/>
      </c>
      <c r="E728" s="35" t="str">
        <f t="shared" si="112"/>
        <v/>
      </c>
      <c r="F728" s="31"/>
      <c r="G728" s="29"/>
      <c r="H728" s="78" t="str">
        <f t="shared" si="116"/>
        <v/>
      </c>
      <c r="I728" s="25"/>
      <c r="J728" s="25"/>
      <c r="K728" s="26"/>
      <c r="L728" s="26"/>
      <c r="M728" s="37"/>
      <c r="N728" s="27"/>
      <c r="O728" s="30"/>
      <c r="P728" s="39" t="str">
        <f t="shared" si="117"/>
        <v/>
      </c>
      <c r="Q728" s="40" t="str">
        <f>IF(OR(T728=0,RIGHT(T728,1)=$W$1),"",COUNTIF($T$3:T728,T728))</f>
        <v/>
      </c>
      <c r="S728" s="6">
        <f t="shared" si="118"/>
        <v>0</v>
      </c>
      <c r="T728" s="36">
        <f t="shared" si="119"/>
        <v>0</v>
      </c>
      <c r="V728" s="6">
        <f t="shared" si="120"/>
        <v>0</v>
      </c>
      <c r="Y728" s="8">
        <f t="shared" si="121"/>
        <v>46023</v>
      </c>
    </row>
    <row r="729" spans="2:25" ht="18.75" x14ac:dyDescent="0.3">
      <c r="B729" s="6">
        <f t="shared" si="113"/>
        <v>0</v>
      </c>
      <c r="C729" s="6">
        <f t="shared" si="114"/>
        <v>0</v>
      </c>
      <c r="D729" s="6" t="str">
        <f t="shared" si="115"/>
        <v/>
      </c>
      <c r="E729" s="35" t="str">
        <f t="shared" si="112"/>
        <v/>
      </c>
      <c r="F729" s="31"/>
      <c r="G729" s="29"/>
      <c r="H729" s="78" t="str">
        <f t="shared" si="116"/>
        <v/>
      </c>
      <c r="I729" s="25"/>
      <c r="J729" s="25"/>
      <c r="K729" s="26"/>
      <c r="L729" s="26"/>
      <c r="M729" s="37"/>
      <c r="N729" s="27"/>
      <c r="O729" s="30"/>
      <c r="P729" s="39" t="str">
        <f t="shared" si="117"/>
        <v/>
      </c>
      <c r="Q729" s="40" t="str">
        <f>IF(OR(T729=0,RIGHT(T729,1)=$W$1),"",COUNTIF($T$3:T729,T729))</f>
        <v/>
      </c>
      <c r="S729" s="6">
        <f t="shared" si="118"/>
        <v>0</v>
      </c>
      <c r="T729" s="36">
        <f t="shared" si="119"/>
        <v>0</v>
      </c>
      <c r="V729" s="6">
        <f t="shared" si="120"/>
        <v>0</v>
      </c>
      <c r="Y729" s="8">
        <f t="shared" si="121"/>
        <v>46023</v>
      </c>
    </row>
    <row r="730" spans="2:25" ht="18.75" x14ac:dyDescent="0.3">
      <c r="B730" s="6">
        <f t="shared" si="113"/>
        <v>0</v>
      </c>
      <c r="C730" s="6">
        <f t="shared" si="114"/>
        <v>0</v>
      </c>
      <c r="D730" s="6" t="str">
        <f t="shared" si="115"/>
        <v/>
      </c>
      <c r="E730" s="35" t="str">
        <f t="shared" si="112"/>
        <v/>
      </c>
      <c r="F730" s="31"/>
      <c r="G730" s="29"/>
      <c r="H730" s="78" t="str">
        <f t="shared" si="116"/>
        <v/>
      </c>
      <c r="I730" s="25"/>
      <c r="J730" s="25"/>
      <c r="K730" s="26"/>
      <c r="L730" s="26"/>
      <c r="M730" s="37"/>
      <c r="N730" s="27"/>
      <c r="O730" s="30"/>
      <c r="P730" s="39" t="str">
        <f t="shared" si="117"/>
        <v/>
      </c>
      <c r="Q730" s="40" t="str">
        <f>IF(OR(T730=0,RIGHT(T730,1)=$W$1),"",COUNTIF($T$3:T730,T730))</f>
        <v/>
      </c>
      <c r="S730" s="6">
        <f t="shared" si="118"/>
        <v>0</v>
      </c>
      <c r="T730" s="36">
        <f t="shared" si="119"/>
        <v>0</v>
      </c>
      <c r="V730" s="6">
        <f t="shared" si="120"/>
        <v>0</v>
      </c>
      <c r="Y730" s="8">
        <f t="shared" si="121"/>
        <v>46023</v>
      </c>
    </row>
    <row r="731" spans="2:25" ht="18.75" x14ac:dyDescent="0.3">
      <c r="B731" s="6">
        <f t="shared" si="113"/>
        <v>0</v>
      </c>
      <c r="C731" s="6">
        <f t="shared" si="114"/>
        <v>0</v>
      </c>
      <c r="D731" s="6" t="str">
        <f t="shared" si="115"/>
        <v/>
      </c>
      <c r="E731" s="35" t="str">
        <f t="shared" si="112"/>
        <v/>
      </c>
      <c r="F731" s="31"/>
      <c r="G731" s="29"/>
      <c r="H731" s="78" t="str">
        <f t="shared" si="116"/>
        <v/>
      </c>
      <c r="I731" s="25"/>
      <c r="J731" s="25"/>
      <c r="K731" s="26"/>
      <c r="L731" s="26"/>
      <c r="M731" s="37"/>
      <c r="N731" s="27"/>
      <c r="O731" s="30"/>
      <c r="P731" s="39" t="str">
        <f t="shared" si="117"/>
        <v/>
      </c>
      <c r="Q731" s="40" t="str">
        <f>IF(OR(T731=0,RIGHT(T731,1)=$W$1),"",COUNTIF($T$3:T731,T731))</f>
        <v/>
      </c>
      <c r="S731" s="6">
        <f t="shared" si="118"/>
        <v>0</v>
      </c>
      <c r="T731" s="36">
        <f t="shared" si="119"/>
        <v>0</v>
      </c>
      <c r="V731" s="6">
        <f t="shared" si="120"/>
        <v>0</v>
      </c>
      <c r="Y731" s="8">
        <f t="shared" si="121"/>
        <v>46023</v>
      </c>
    </row>
    <row r="732" spans="2:25" ht="18.75" x14ac:dyDescent="0.3">
      <c r="B732" s="6">
        <f t="shared" si="113"/>
        <v>0</v>
      </c>
      <c r="C732" s="6">
        <f t="shared" si="114"/>
        <v>0</v>
      </c>
      <c r="D732" s="6" t="str">
        <f t="shared" si="115"/>
        <v/>
      </c>
      <c r="E732" s="35" t="str">
        <f t="shared" si="112"/>
        <v/>
      </c>
      <c r="F732" s="31"/>
      <c r="G732" s="29"/>
      <c r="H732" s="78" t="str">
        <f t="shared" si="116"/>
        <v/>
      </c>
      <c r="I732" s="25"/>
      <c r="J732" s="25"/>
      <c r="K732" s="26"/>
      <c r="L732" s="26"/>
      <c r="M732" s="37"/>
      <c r="N732" s="27"/>
      <c r="O732" s="30"/>
      <c r="P732" s="39" t="str">
        <f t="shared" si="117"/>
        <v/>
      </c>
      <c r="Q732" s="40" t="str">
        <f>IF(OR(T732=0,RIGHT(T732,1)=$W$1),"",COUNTIF($T$3:T732,T732))</f>
        <v/>
      </c>
      <c r="S732" s="6">
        <f t="shared" si="118"/>
        <v>0</v>
      </c>
      <c r="T732" s="36">
        <f t="shared" si="119"/>
        <v>0</v>
      </c>
      <c r="V732" s="6">
        <f t="shared" si="120"/>
        <v>0</v>
      </c>
      <c r="Y732" s="8">
        <f t="shared" si="121"/>
        <v>46023</v>
      </c>
    </row>
    <row r="733" spans="2:25" ht="18.75" x14ac:dyDescent="0.3">
      <c r="B733" s="6">
        <f t="shared" si="113"/>
        <v>0</v>
      </c>
      <c r="C733" s="6">
        <f t="shared" si="114"/>
        <v>0</v>
      </c>
      <c r="D733" s="6" t="str">
        <f t="shared" si="115"/>
        <v/>
      </c>
      <c r="E733" s="35" t="str">
        <f t="shared" si="112"/>
        <v/>
      </c>
      <c r="F733" s="31"/>
      <c r="G733" s="29"/>
      <c r="H733" s="78" t="str">
        <f t="shared" si="116"/>
        <v/>
      </c>
      <c r="I733" s="25"/>
      <c r="J733" s="25"/>
      <c r="K733" s="26"/>
      <c r="L733" s="26"/>
      <c r="M733" s="37"/>
      <c r="N733" s="27"/>
      <c r="O733" s="30"/>
      <c r="P733" s="39" t="str">
        <f t="shared" si="117"/>
        <v/>
      </c>
      <c r="Q733" s="40" t="str">
        <f>IF(OR(T733=0,RIGHT(T733,1)=$W$1),"",COUNTIF($T$3:T733,T733))</f>
        <v/>
      </c>
      <c r="S733" s="6">
        <f t="shared" si="118"/>
        <v>0</v>
      </c>
      <c r="T733" s="36">
        <f t="shared" si="119"/>
        <v>0</v>
      </c>
      <c r="V733" s="6">
        <f t="shared" si="120"/>
        <v>0</v>
      </c>
      <c r="Y733" s="8">
        <f t="shared" si="121"/>
        <v>46023</v>
      </c>
    </row>
    <row r="734" spans="2:25" ht="18.75" x14ac:dyDescent="0.3">
      <c r="B734" s="6">
        <f t="shared" si="113"/>
        <v>0</v>
      </c>
      <c r="C734" s="6">
        <f t="shared" si="114"/>
        <v>0</v>
      </c>
      <c r="D734" s="6" t="str">
        <f t="shared" si="115"/>
        <v/>
      </c>
      <c r="E734" s="35" t="str">
        <f t="shared" si="112"/>
        <v/>
      </c>
      <c r="F734" s="31"/>
      <c r="G734" s="29"/>
      <c r="H734" s="78" t="str">
        <f t="shared" si="116"/>
        <v/>
      </c>
      <c r="I734" s="25"/>
      <c r="J734" s="25"/>
      <c r="K734" s="26"/>
      <c r="L734" s="26"/>
      <c r="M734" s="37"/>
      <c r="N734" s="27"/>
      <c r="O734" s="30"/>
      <c r="P734" s="39" t="str">
        <f t="shared" si="117"/>
        <v/>
      </c>
      <c r="Q734" s="40" t="str">
        <f>IF(OR(T734=0,RIGHT(T734,1)=$W$1),"",COUNTIF($T$3:T734,T734))</f>
        <v/>
      </c>
      <c r="S734" s="6">
        <f t="shared" si="118"/>
        <v>0</v>
      </c>
      <c r="T734" s="36">
        <f t="shared" si="119"/>
        <v>0</v>
      </c>
      <c r="V734" s="6">
        <f t="shared" si="120"/>
        <v>0</v>
      </c>
      <c r="Y734" s="8">
        <f t="shared" si="121"/>
        <v>46023</v>
      </c>
    </row>
    <row r="735" spans="2:25" ht="18.75" x14ac:dyDescent="0.3">
      <c r="B735" s="6">
        <f t="shared" si="113"/>
        <v>0</v>
      </c>
      <c r="C735" s="6">
        <f t="shared" si="114"/>
        <v>0</v>
      </c>
      <c r="D735" s="6" t="str">
        <f t="shared" si="115"/>
        <v/>
      </c>
      <c r="E735" s="35" t="str">
        <f t="shared" si="112"/>
        <v/>
      </c>
      <c r="F735" s="31"/>
      <c r="G735" s="29"/>
      <c r="H735" s="78" t="str">
        <f t="shared" si="116"/>
        <v/>
      </c>
      <c r="I735" s="25"/>
      <c r="J735" s="25"/>
      <c r="K735" s="26"/>
      <c r="L735" s="26"/>
      <c r="M735" s="37"/>
      <c r="N735" s="27"/>
      <c r="O735" s="30"/>
      <c r="P735" s="39" t="str">
        <f t="shared" si="117"/>
        <v/>
      </c>
      <c r="Q735" s="40" t="str">
        <f>IF(OR(T735=0,RIGHT(T735,1)=$W$1),"",COUNTIF($T$3:T735,T735))</f>
        <v/>
      </c>
      <c r="S735" s="6">
        <f t="shared" si="118"/>
        <v>0</v>
      </c>
      <c r="T735" s="36">
        <f t="shared" si="119"/>
        <v>0</v>
      </c>
      <c r="V735" s="6">
        <f t="shared" si="120"/>
        <v>0</v>
      </c>
      <c r="Y735" s="8">
        <f t="shared" si="121"/>
        <v>46023</v>
      </c>
    </row>
    <row r="736" spans="2:25" ht="18.75" x14ac:dyDescent="0.3">
      <c r="B736" s="6">
        <f t="shared" si="113"/>
        <v>0</v>
      </c>
      <c r="C736" s="6">
        <f t="shared" si="114"/>
        <v>0</v>
      </c>
      <c r="D736" s="6" t="str">
        <f t="shared" si="115"/>
        <v/>
      </c>
      <c r="E736" s="35" t="str">
        <f t="shared" si="112"/>
        <v/>
      </c>
      <c r="F736" s="31"/>
      <c r="G736" s="29"/>
      <c r="H736" s="78" t="str">
        <f t="shared" si="116"/>
        <v/>
      </c>
      <c r="I736" s="25"/>
      <c r="J736" s="25"/>
      <c r="K736" s="26"/>
      <c r="L736" s="26"/>
      <c r="M736" s="37"/>
      <c r="N736" s="27"/>
      <c r="O736" s="30"/>
      <c r="P736" s="39" t="str">
        <f t="shared" si="117"/>
        <v/>
      </c>
      <c r="Q736" s="40" t="str">
        <f>IF(OR(T736=0,RIGHT(T736,1)=$W$1),"",COUNTIF($T$3:T736,T736))</f>
        <v/>
      </c>
      <c r="S736" s="6">
        <f t="shared" si="118"/>
        <v>0</v>
      </c>
      <c r="T736" s="36">
        <f t="shared" si="119"/>
        <v>0</v>
      </c>
      <c r="V736" s="6">
        <f t="shared" si="120"/>
        <v>0</v>
      </c>
      <c r="Y736" s="8">
        <f t="shared" si="121"/>
        <v>46023</v>
      </c>
    </row>
    <row r="737" spans="2:25" ht="18.75" x14ac:dyDescent="0.3">
      <c r="B737" s="6">
        <f t="shared" si="113"/>
        <v>0</v>
      </c>
      <c r="C737" s="6">
        <f t="shared" si="114"/>
        <v>0</v>
      </c>
      <c r="D737" s="6" t="str">
        <f t="shared" si="115"/>
        <v/>
      </c>
      <c r="E737" s="35" t="str">
        <f t="shared" si="112"/>
        <v/>
      </c>
      <c r="F737" s="31"/>
      <c r="G737" s="29"/>
      <c r="H737" s="78" t="str">
        <f t="shared" si="116"/>
        <v/>
      </c>
      <c r="I737" s="25"/>
      <c r="J737" s="25"/>
      <c r="K737" s="26"/>
      <c r="L737" s="26"/>
      <c r="M737" s="37"/>
      <c r="N737" s="27"/>
      <c r="O737" s="30"/>
      <c r="P737" s="39" t="str">
        <f t="shared" si="117"/>
        <v/>
      </c>
      <c r="Q737" s="40" t="str">
        <f>IF(OR(T737=0,RIGHT(T737,1)=$W$1),"",COUNTIF($T$3:T737,T737))</f>
        <v/>
      </c>
      <c r="S737" s="6">
        <f t="shared" si="118"/>
        <v>0</v>
      </c>
      <c r="T737" s="36">
        <f t="shared" si="119"/>
        <v>0</v>
      </c>
      <c r="V737" s="6">
        <f t="shared" si="120"/>
        <v>0</v>
      </c>
      <c r="Y737" s="8">
        <f t="shared" si="121"/>
        <v>46023</v>
      </c>
    </row>
    <row r="738" spans="2:25" ht="18.75" x14ac:dyDescent="0.3">
      <c r="B738" s="6">
        <f t="shared" si="113"/>
        <v>0</v>
      </c>
      <c r="C738" s="6">
        <f t="shared" si="114"/>
        <v>0</v>
      </c>
      <c r="D738" s="6" t="str">
        <f t="shared" si="115"/>
        <v/>
      </c>
      <c r="E738" s="35" t="str">
        <f t="shared" si="112"/>
        <v/>
      </c>
      <c r="F738" s="31"/>
      <c r="G738" s="29"/>
      <c r="H738" s="78" t="str">
        <f t="shared" si="116"/>
        <v/>
      </c>
      <c r="I738" s="25"/>
      <c r="J738" s="25"/>
      <c r="K738" s="26"/>
      <c r="L738" s="26"/>
      <c r="M738" s="37"/>
      <c r="N738" s="27"/>
      <c r="O738" s="30"/>
      <c r="P738" s="39" t="str">
        <f t="shared" si="117"/>
        <v/>
      </c>
      <c r="Q738" s="40" t="str">
        <f>IF(OR(T738=0,RIGHT(T738,1)=$W$1),"",COUNTIF($T$3:T738,T738))</f>
        <v/>
      </c>
      <c r="S738" s="6">
        <f t="shared" si="118"/>
        <v>0</v>
      </c>
      <c r="T738" s="36">
        <f t="shared" si="119"/>
        <v>0</v>
      </c>
      <c r="V738" s="6">
        <f t="shared" si="120"/>
        <v>0</v>
      </c>
      <c r="Y738" s="8">
        <f t="shared" si="121"/>
        <v>46023</v>
      </c>
    </row>
    <row r="739" spans="2:25" ht="18.75" x14ac:dyDescent="0.3">
      <c r="B739" s="6">
        <f t="shared" si="113"/>
        <v>0</v>
      </c>
      <c r="C739" s="6">
        <f t="shared" si="114"/>
        <v>0</v>
      </c>
      <c r="D739" s="6" t="str">
        <f t="shared" si="115"/>
        <v/>
      </c>
      <c r="E739" s="35" t="str">
        <f t="shared" si="112"/>
        <v/>
      </c>
      <c r="F739" s="31"/>
      <c r="G739" s="29"/>
      <c r="H739" s="78" t="str">
        <f t="shared" si="116"/>
        <v/>
      </c>
      <c r="I739" s="25"/>
      <c r="J739" s="25"/>
      <c r="K739" s="26"/>
      <c r="L739" s="26"/>
      <c r="M739" s="37"/>
      <c r="N739" s="27"/>
      <c r="O739" s="30"/>
      <c r="P739" s="39" t="str">
        <f t="shared" si="117"/>
        <v/>
      </c>
      <c r="Q739" s="40" t="str">
        <f>IF(OR(T739=0,RIGHT(T739,1)=$W$1),"",COUNTIF($T$3:T739,T739))</f>
        <v/>
      </c>
      <c r="S739" s="6">
        <f t="shared" si="118"/>
        <v>0</v>
      </c>
      <c r="T739" s="36">
        <f t="shared" si="119"/>
        <v>0</v>
      </c>
      <c r="V739" s="6">
        <f t="shared" si="120"/>
        <v>0</v>
      </c>
      <c r="Y739" s="8">
        <f t="shared" si="121"/>
        <v>46023</v>
      </c>
    </row>
    <row r="740" spans="2:25" ht="18.75" x14ac:dyDescent="0.3">
      <c r="B740" s="6">
        <f t="shared" si="113"/>
        <v>0</v>
      </c>
      <c r="C740" s="6">
        <f t="shared" si="114"/>
        <v>0</v>
      </c>
      <c r="D740" s="6" t="str">
        <f t="shared" si="115"/>
        <v/>
      </c>
      <c r="E740" s="35" t="str">
        <f t="shared" si="112"/>
        <v/>
      </c>
      <c r="F740" s="31"/>
      <c r="G740" s="29"/>
      <c r="H740" s="78" t="str">
        <f t="shared" si="116"/>
        <v/>
      </c>
      <c r="I740" s="25"/>
      <c r="J740" s="25"/>
      <c r="K740" s="26"/>
      <c r="L740" s="26"/>
      <c r="M740" s="37"/>
      <c r="N740" s="27"/>
      <c r="O740" s="30"/>
      <c r="P740" s="39" t="str">
        <f t="shared" si="117"/>
        <v/>
      </c>
      <c r="Q740" s="40" t="str">
        <f>IF(OR(T740=0,RIGHT(T740,1)=$W$1),"",COUNTIF($T$3:T740,T740))</f>
        <v/>
      </c>
      <c r="S740" s="6">
        <f t="shared" si="118"/>
        <v>0</v>
      </c>
      <c r="T740" s="36">
        <f t="shared" si="119"/>
        <v>0</v>
      </c>
      <c r="V740" s="6">
        <f t="shared" si="120"/>
        <v>0</v>
      </c>
      <c r="Y740" s="8">
        <f t="shared" si="121"/>
        <v>46023</v>
      </c>
    </row>
    <row r="741" spans="2:25" ht="18.75" x14ac:dyDescent="0.3">
      <c r="B741" s="6">
        <f t="shared" si="113"/>
        <v>0</v>
      </c>
      <c r="C741" s="6">
        <f t="shared" si="114"/>
        <v>0</v>
      </c>
      <c r="D741" s="6" t="str">
        <f t="shared" si="115"/>
        <v/>
      </c>
      <c r="E741" s="35" t="str">
        <f t="shared" si="112"/>
        <v/>
      </c>
      <c r="F741" s="31"/>
      <c r="G741" s="29"/>
      <c r="H741" s="78" t="str">
        <f t="shared" si="116"/>
        <v/>
      </c>
      <c r="I741" s="25"/>
      <c r="J741" s="25"/>
      <c r="K741" s="26"/>
      <c r="L741" s="26"/>
      <c r="M741" s="37"/>
      <c r="N741" s="27"/>
      <c r="O741" s="30"/>
      <c r="P741" s="39" t="str">
        <f t="shared" si="117"/>
        <v/>
      </c>
      <c r="Q741" s="40" t="str">
        <f>IF(OR(T741=0,RIGHT(T741,1)=$W$1),"",COUNTIF($T$3:T741,T741))</f>
        <v/>
      </c>
      <c r="S741" s="6">
        <f t="shared" si="118"/>
        <v>0</v>
      </c>
      <c r="T741" s="36">
        <f t="shared" si="119"/>
        <v>0</v>
      </c>
      <c r="V741" s="6">
        <f t="shared" si="120"/>
        <v>0</v>
      </c>
      <c r="Y741" s="8">
        <f t="shared" si="121"/>
        <v>46023</v>
      </c>
    </row>
    <row r="742" spans="2:25" ht="18.75" x14ac:dyDescent="0.3">
      <c r="B742" s="6">
        <f t="shared" si="113"/>
        <v>0</v>
      </c>
      <c r="C742" s="6">
        <f t="shared" si="114"/>
        <v>0</v>
      </c>
      <c r="D742" s="6" t="str">
        <f t="shared" si="115"/>
        <v/>
      </c>
      <c r="E742" s="35" t="str">
        <f t="shared" si="112"/>
        <v/>
      </c>
      <c r="F742" s="31"/>
      <c r="G742" s="29"/>
      <c r="H742" s="78" t="str">
        <f t="shared" si="116"/>
        <v/>
      </c>
      <c r="I742" s="25"/>
      <c r="J742" s="25"/>
      <c r="K742" s="26"/>
      <c r="L742" s="26"/>
      <c r="M742" s="37"/>
      <c r="N742" s="27"/>
      <c r="O742" s="30"/>
      <c r="P742" s="39" t="str">
        <f t="shared" si="117"/>
        <v/>
      </c>
      <c r="Q742" s="40" t="str">
        <f>IF(OR(T742=0,RIGHT(T742,1)=$W$1),"",COUNTIF($T$3:T742,T742))</f>
        <v/>
      </c>
      <c r="S742" s="6">
        <f t="shared" si="118"/>
        <v>0</v>
      </c>
      <c r="T742" s="36">
        <f t="shared" si="119"/>
        <v>0</v>
      </c>
      <c r="V742" s="6">
        <f t="shared" si="120"/>
        <v>0</v>
      </c>
      <c r="Y742" s="8">
        <f t="shared" si="121"/>
        <v>46023</v>
      </c>
    </row>
    <row r="743" spans="2:25" ht="18.75" x14ac:dyDescent="0.3">
      <c r="B743" s="6">
        <f t="shared" si="113"/>
        <v>0</v>
      </c>
      <c r="C743" s="6">
        <f t="shared" si="114"/>
        <v>0</v>
      </c>
      <c r="D743" s="6" t="str">
        <f t="shared" si="115"/>
        <v/>
      </c>
      <c r="E743" s="35" t="str">
        <f t="shared" si="112"/>
        <v/>
      </c>
      <c r="F743" s="31"/>
      <c r="G743" s="29"/>
      <c r="H743" s="78" t="str">
        <f t="shared" si="116"/>
        <v/>
      </c>
      <c r="I743" s="25"/>
      <c r="J743" s="25"/>
      <c r="K743" s="26"/>
      <c r="L743" s="26"/>
      <c r="M743" s="37"/>
      <c r="N743" s="27"/>
      <c r="O743" s="30"/>
      <c r="P743" s="39" t="str">
        <f t="shared" si="117"/>
        <v/>
      </c>
      <c r="Q743" s="40" t="str">
        <f>IF(OR(T743=0,RIGHT(T743,1)=$W$1),"",COUNTIF($T$3:T743,T743))</f>
        <v/>
      </c>
      <c r="S743" s="6">
        <f t="shared" si="118"/>
        <v>0</v>
      </c>
      <c r="T743" s="36">
        <f t="shared" si="119"/>
        <v>0</v>
      </c>
      <c r="V743" s="6">
        <f t="shared" si="120"/>
        <v>0</v>
      </c>
      <c r="Y743" s="8">
        <f t="shared" si="121"/>
        <v>46023</v>
      </c>
    </row>
    <row r="744" spans="2:25" ht="18.75" x14ac:dyDescent="0.3">
      <c r="B744" s="6">
        <f t="shared" si="113"/>
        <v>0</v>
      </c>
      <c r="C744" s="6">
        <f t="shared" si="114"/>
        <v>0</v>
      </c>
      <c r="D744" s="6" t="str">
        <f t="shared" si="115"/>
        <v/>
      </c>
      <c r="E744" s="35" t="str">
        <f t="shared" si="112"/>
        <v/>
      </c>
      <c r="F744" s="31"/>
      <c r="G744" s="29"/>
      <c r="H744" s="78" t="str">
        <f t="shared" si="116"/>
        <v/>
      </c>
      <c r="I744" s="25"/>
      <c r="J744" s="25"/>
      <c r="K744" s="26"/>
      <c r="L744" s="26"/>
      <c r="M744" s="37"/>
      <c r="N744" s="27"/>
      <c r="O744" s="30"/>
      <c r="P744" s="39" t="str">
        <f t="shared" si="117"/>
        <v/>
      </c>
      <c r="Q744" s="40" t="str">
        <f>IF(OR(T744=0,RIGHT(T744,1)=$W$1),"",COUNTIF($T$3:T744,T744))</f>
        <v/>
      </c>
      <c r="S744" s="6">
        <f t="shared" si="118"/>
        <v>0</v>
      </c>
      <c r="T744" s="36">
        <f t="shared" si="119"/>
        <v>0</v>
      </c>
      <c r="V744" s="6">
        <f t="shared" si="120"/>
        <v>0</v>
      </c>
      <c r="Y744" s="8">
        <f t="shared" si="121"/>
        <v>46023</v>
      </c>
    </row>
    <row r="745" spans="2:25" ht="18.75" x14ac:dyDescent="0.3">
      <c r="B745" s="6">
        <f t="shared" si="113"/>
        <v>0</v>
      </c>
      <c r="C745" s="6">
        <f t="shared" si="114"/>
        <v>0</v>
      </c>
      <c r="D745" s="6" t="str">
        <f t="shared" si="115"/>
        <v/>
      </c>
      <c r="E745" s="35" t="str">
        <f t="shared" si="112"/>
        <v/>
      </c>
      <c r="F745" s="31"/>
      <c r="G745" s="29"/>
      <c r="H745" s="78" t="str">
        <f t="shared" si="116"/>
        <v/>
      </c>
      <c r="I745" s="25"/>
      <c r="J745" s="25"/>
      <c r="K745" s="26"/>
      <c r="L745" s="26"/>
      <c r="M745" s="37"/>
      <c r="N745" s="27"/>
      <c r="O745" s="30"/>
      <c r="P745" s="39" t="str">
        <f t="shared" si="117"/>
        <v/>
      </c>
      <c r="Q745" s="40" t="str">
        <f>IF(OR(T745=0,RIGHT(T745,1)=$W$1),"",COUNTIF($T$3:T745,T745))</f>
        <v/>
      </c>
      <c r="S745" s="6">
        <f t="shared" si="118"/>
        <v>0</v>
      </c>
      <c r="T745" s="36">
        <f t="shared" si="119"/>
        <v>0</v>
      </c>
      <c r="V745" s="6">
        <f t="shared" si="120"/>
        <v>0</v>
      </c>
      <c r="Y745" s="8">
        <f t="shared" si="121"/>
        <v>46023</v>
      </c>
    </row>
    <row r="746" spans="2:25" ht="18.75" x14ac:dyDescent="0.3">
      <c r="B746" s="6">
        <f t="shared" si="113"/>
        <v>0</v>
      </c>
      <c r="C746" s="6">
        <f t="shared" si="114"/>
        <v>0</v>
      </c>
      <c r="D746" s="6" t="str">
        <f t="shared" si="115"/>
        <v/>
      </c>
      <c r="E746" s="35" t="str">
        <f t="shared" si="112"/>
        <v/>
      </c>
      <c r="F746" s="31"/>
      <c r="G746" s="29"/>
      <c r="H746" s="78" t="str">
        <f t="shared" si="116"/>
        <v/>
      </c>
      <c r="I746" s="25"/>
      <c r="J746" s="25"/>
      <c r="K746" s="26"/>
      <c r="L746" s="26"/>
      <c r="M746" s="37"/>
      <c r="N746" s="27"/>
      <c r="O746" s="30"/>
      <c r="P746" s="39" t="str">
        <f t="shared" si="117"/>
        <v/>
      </c>
      <c r="Q746" s="40" t="str">
        <f>IF(OR(T746=0,RIGHT(T746,1)=$W$1),"",COUNTIF($T$3:T746,T746))</f>
        <v/>
      </c>
      <c r="S746" s="6">
        <f t="shared" si="118"/>
        <v>0</v>
      </c>
      <c r="T746" s="36">
        <f t="shared" si="119"/>
        <v>0</v>
      </c>
      <c r="V746" s="6">
        <f t="shared" si="120"/>
        <v>0</v>
      </c>
      <c r="Y746" s="8">
        <f t="shared" si="121"/>
        <v>46023</v>
      </c>
    </row>
    <row r="747" spans="2:25" ht="18.75" x14ac:dyDescent="0.3">
      <c r="B747" s="6">
        <f t="shared" si="113"/>
        <v>0</v>
      </c>
      <c r="C747" s="6">
        <f t="shared" si="114"/>
        <v>0</v>
      </c>
      <c r="D747" s="6" t="str">
        <f t="shared" si="115"/>
        <v/>
      </c>
      <c r="E747" s="35" t="str">
        <f t="shared" si="112"/>
        <v/>
      </c>
      <c r="F747" s="31"/>
      <c r="G747" s="29"/>
      <c r="H747" s="78" t="str">
        <f t="shared" si="116"/>
        <v/>
      </c>
      <c r="I747" s="25"/>
      <c r="J747" s="25"/>
      <c r="K747" s="26"/>
      <c r="L747" s="26"/>
      <c r="M747" s="37"/>
      <c r="N747" s="27"/>
      <c r="O747" s="30"/>
      <c r="P747" s="39" t="str">
        <f t="shared" si="117"/>
        <v/>
      </c>
      <c r="Q747" s="40" t="str">
        <f>IF(OR(T747=0,RIGHT(T747,1)=$W$1),"",COUNTIF($T$3:T747,T747))</f>
        <v/>
      </c>
      <c r="S747" s="6">
        <f t="shared" si="118"/>
        <v>0</v>
      </c>
      <c r="T747" s="36">
        <f t="shared" si="119"/>
        <v>0</v>
      </c>
      <c r="V747" s="6">
        <f t="shared" si="120"/>
        <v>0</v>
      </c>
      <c r="Y747" s="8">
        <f t="shared" si="121"/>
        <v>46023</v>
      </c>
    </row>
    <row r="748" spans="2:25" ht="18.75" x14ac:dyDescent="0.3">
      <c r="B748" s="6">
        <f t="shared" si="113"/>
        <v>0</v>
      </c>
      <c r="C748" s="6">
        <f t="shared" si="114"/>
        <v>0</v>
      </c>
      <c r="D748" s="6" t="str">
        <f t="shared" si="115"/>
        <v/>
      </c>
      <c r="E748" s="35" t="str">
        <f t="shared" si="112"/>
        <v/>
      </c>
      <c r="F748" s="31"/>
      <c r="G748" s="29"/>
      <c r="H748" s="78" t="str">
        <f t="shared" si="116"/>
        <v/>
      </c>
      <c r="I748" s="25"/>
      <c r="J748" s="25"/>
      <c r="K748" s="26"/>
      <c r="L748" s="26"/>
      <c r="M748" s="37"/>
      <c r="N748" s="27"/>
      <c r="O748" s="30"/>
      <c r="P748" s="39" t="str">
        <f t="shared" si="117"/>
        <v/>
      </c>
      <c r="Q748" s="40" t="str">
        <f>IF(OR(T748=0,RIGHT(T748,1)=$W$1),"",COUNTIF($T$3:T748,T748))</f>
        <v/>
      </c>
      <c r="S748" s="6">
        <f t="shared" si="118"/>
        <v>0</v>
      </c>
      <c r="T748" s="36">
        <f t="shared" si="119"/>
        <v>0</v>
      </c>
      <c r="V748" s="6">
        <f t="shared" si="120"/>
        <v>0</v>
      </c>
      <c r="Y748" s="8">
        <f t="shared" si="121"/>
        <v>46023</v>
      </c>
    </row>
    <row r="749" spans="2:25" ht="18.75" x14ac:dyDescent="0.3">
      <c r="B749" s="6">
        <f t="shared" si="113"/>
        <v>0</v>
      </c>
      <c r="C749" s="6">
        <f t="shared" si="114"/>
        <v>0</v>
      </c>
      <c r="D749" s="6" t="str">
        <f t="shared" si="115"/>
        <v/>
      </c>
      <c r="E749" s="35" t="str">
        <f t="shared" si="112"/>
        <v/>
      </c>
      <c r="F749" s="31"/>
      <c r="G749" s="29"/>
      <c r="H749" s="78" t="str">
        <f t="shared" si="116"/>
        <v/>
      </c>
      <c r="I749" s="25"/>
      <c r="J749" s="25"/>
      <c r="K749" s="26"/>
      <c r="L749" s="26"/>
      <c r="M749" s="37"/>
      <c r="N749" s="27"/>
      <c r="O749" s="30"/>
      <c r="P749" s="39" t="str">
        <f t="shared" si="117"/>
        <v/>
      </c>
      <c r="Q749" s="40" t="str">
        <f>IF(OR(T749=0,RIGHT(T749,1)=$W$1),"",COUNTIF($T$3:T749,T749))</f>
        <v/>
      </c>
      <c r="S749" s="6">
        <f t="shared" si="118"/>
        <v>0</v>
      </c>
      <c r="T749" s="36">
        <f t="shared" si="119"/>
        <v>0</v>
      </c>
      <c r="V749" s="6">
        <f t="shared" si="120"/>
        <v>0</v>
      </c>
      <c r="Y749" s="8">
        <f t="shared" si="121"/>
        <v>46023</v>
      </c>
    </row>
    <row r="750" spans="2:25" ht="18.75" x14ac:dyDescent="0.3">
      <c r="B750" s="6">
        <f t="shared" si="113"/>
        <v>0</v>
      </c>
      <c r="C750" s="6">
        <f t="shared" si="114"/>
        <v>0</v>
      </c>
      <c r="D750" s="6" t="str">
        <f t="shared" si="115"/>
        <v/>
      </c>
      <c r="E750" s="35" t="str">
        <f t="shared" si="112"/>
        <v/>
      </c>
      <c r="F750" s="31"/>
      <c r="G750" s="29"/>
      <c r="H750" s="78" t="str">
        <f t="shared" si="116"/>
        <v/>
      </c>
      <c r="I750" s="25"/>
      <c r="J750" s="25"/>
      <c r="K750" s="26"/>
      <c r="L750" s="26"/>
      <c r="M750" s="37"/>
      <c r="N750" s="27"/>
      <c r="O750" s="30"/>
      <c r="P750" s="39" t="str">
        <f t="shared" si="117"/>
        <v/>
      </c>
      <c r="Q750" s="40" t="str">
        <f>IF(OR(T750=0,RIGHT(T750,1)=$W$1),"",COUNTIF($T$3:T750,T750))</f>
        <v/>
      </c>
      <c r="S750" s="6">
        <f t="shared" si="118"/>
        <v>0</v>
      </c>
      <c r="T750" s="36">
        <f t="shared" si="119"/>
        <v>0</v>
      </c>
      <c r="V750" s="6">
        <f t="shared" si="120"/>
        <v>0</v>
      </c>
      <c r="Y750" s="8">
        <f t="shared" si="121"/>
        <v>46023</v>
      </c>
    </row>
    <row r="751" spans="2:25" ht="18.75" x14ac:dyDescent="0.3">
      <c r="B751" s="6">
        <f t="shared" si="113"/>
        <v>0</v>
      </c>
      <c r="C751" s="6">
        <f t="shared" si="114"/>
        <v>0</v>
      </c>
      <c r="D751" s="6" t="str">
        <f t="shared" si="115"/>
        <v/>
      </c>
      <c r="E751" s="35" t="str">
        <f t="shared" si="112"/>
        <v/>
      </c>
      <c r="F751" s="31"/>
      <c r="G751" s="29"/>
      <c r="H751" s="78" t="str">
        <f t="shared" si="116"/>
        <v/>
      </c>
      <c r="I751" s="25"/>
      <c r="J751" s="25"/>
      <c r="K751" s="26"/>
      <c r="L751" s="26"/>
      <c r="M751" s="37"/>
      <c r="N751" s="27"/>
      <c r="O751" s="30"/>
      <c r="P751" s="39" t="str">
        <f t="shared" si="117"/>
        <v/>
      </c>
      <c r="Q751" s="40" t="str">
        <f>IF(OR(T751=0,RIGHT(T751,1)=$W$1),"",COUNTIF($T$3:T751,T751))</f>
        <v/>
      </c>
      <c r="S751" s="6">
        <f t="shared" si="118"/>
        <v>0</v>
      </c>
      <c r="T751" s="36">
        <f t="shared" si="119"/>
        <v>0</v>
      </c>
      <c r="V751" s="6">
        <f t="shared" si="120"/>
        <v>0</v>
      </c>
      <c r="Y751" s="8">
        <f t="shared" si="121"/>
        <v>46023</v>
      </c>
    </row>
    <row r="752" spans="2:25" ht="18.75" x14ac:dyDescent="0.3">
      <c r="B752" s="6">
        <f t="shared" si="113"/>
        <v>0</v>
      </c>
      <c r="C752" s="6">
        <f t="shared" si="114"/>
        <v>0</v>
      </c>
      <c r="D752" s="6" t="str">
        <f t="shared" si="115"/>
        <v/>
      </c>
      <c r="E752" s="35" t="str">
        <f t="shared" si="112"/>
        <v/>
      </c>
      <c r="F752" s="31"/>
      <c r="G752" s="29"/>
      <c r="H752" s="78" t="str">
        <f t="shared" si="116"/>
        <v/>
      </c>
      <c r="I752" s="25"/>
      <c r="J752" s="25"/>
      <c r="K752" s="26"/>
      <c r="L752" s="26"/>
      <c r="M752" s="37"/>
      <c r="N752" s="27"/>
      <c r="O752" s="30"/>
      <c r="P752" s="39" t="str">
        <f t="shared" si="117"/>
        <v/>
      </c>
      <c r="Q752" s="40" t="str">
        <f>IF(OR(T752=0,RIGHT(T752,1)=$W$1),"",COUNTIF($T$3:T752,T752))</f>
        <v/>
      </c>
      <c r="S752" s="6">
        <f t="shared" si="118"/>
        <v>0</v>
      </c>
      <c r="T752" s="36">
        <f t="shared" si="119"/>
        <v>0</v>
      </c>
      <c r="V752" s="6">
        <f t="shared" si="120"/>
        <v>0</v>
      </c>
      <c r="Y752" s="8">
        <f t="shared" si="121"/>
        <v>46023</v>
      </c>
    </row>
    <row r="753" spans="2:25" ht="18.75" x14ac:dyDescent="0.3">
      <c r="B753" s="6">
        <f t="shared" si="113"/>
        <v>0</v>
      </c>
      <c r="C753" s="6">
        <f t="shared" si="114"/>
        <v>0</v>
      </c>
      <c r="D753" s="6" t="str">
        <f t="shared" si="115"/>
        <v/>
      </c>
      <c r="E753" s="35" t="str">
        <f t="shared" si="112"/>
        <v/>
      </c>
      <c r="F753" s="31"/>
      <c r="G753" s="29"/>
      <c r="H753" s="78" t="str">
        <f t="shared" si="116"/>
        <v/>
      </c>
      <c r="I753" s="25"/>
      <c r="J753" s="25"/>
      <c r="K753" s="26"/>
      <c r="L753" s="26"/>
      <c r="M753" s="37"/>
      <c r="N753" s="27"/>
      <c r="O753" s="30"/>
      <c r="P753" s="39" t="str">
        <f t="shared" si="117"/>
        <v/>
      </c>
      <c r="Q753" s="40" t="str">
        <f>IF(OR(T753=0,RIGHT(T753,1)=$W$1),"",COUNTIF($T$3:T753,T753))</f>
        <v/>
      </c>
      <c r="S753" s="6">
        <f t="shared" si="118"/>
        <v>0</v>
      </c>
      <c r="T753" s="36">
        <f t="shared" si="119"/>
        <v>0</v>
      </c>
      <c r="V753" s="6">
        <f t="shared" si="120"/>
        <v>0</v>
      </c>
      <c r="Y753" s="8">
        <f t="shared" si="121"/>
        <v>46023</v>
      </c>
    </row>
    <row r="754" spans="2:25" ht="18.75" x14ac:dyDescent="0.3">
      <c r="B754" s="6">
        <f t="shared" si="113"/>
        <v>0</v>
      </c>
      <c r="C754" s="6">
        <f t="shared" si="114"/>
        <v>0</v>
      </c>
      <c r="D754" s="6" t="str">
        <f t="shared" si="115"/>
        <v/>
      </c>
      <c r="E754" s="35" t="str">
        <f t="shared" si="112"/>
        <v/>
      </c>
      <c r="F754" s="31"/>
      <c r="G754" s="29"/>
      <c r="H754" s="78" t="str">
        <f t="shared" si="116"/>
        <v/>
      </c>
      <c r="I754" s="25"/>
      <c r="J754" s="25"/>
      <c r="K754" s="26"/>
      <c r="L754" s="26"/>
      <c r="M754" s="37"/>
      <c r="N754" s="27"/>
      <c r="O754" s="30"/>
      <c r="P754" s="39" t="str">
        <f t="shared" si="117"/>
        <v/>
      </c>
      <c r="Q754" s="40" t="str">
        <f>IF(OR(T754=0,RIGHT(T754,1)=$W$1),"",COUNTIF($T$3:T754,T754))</f>
        <v/>
      </c>
      <c r="S754" s="6">
        <f t="shared" si="118"/>
        <v>0</v>
      </c>
      <c r="T754" s="36">
        <f t="shared" si="119"/>
        <v>0</v>
      </c>
      <c r="V754" s="6">
        <f t="shared" si="120"/>
        <v>0</v>
      </c>
      <c r="Y754" s="8">
        <f t="shared" si="121"/>
        <v>46023</v>
      </c>
    </row>
    <row r="755" spans="2:25" ht="18.75" x14ac:dyDescent="0.3">
      <c r="B755" s="6">
        <f t="shared" si="113"/>
        <v>0</v>
      </c>
      <c r="C755" s="6">
        <f t="shared" si="114"/>
        <v>0</v>
      </c>
      <c r="D755" s="6" t="str">
        <f t="shared" si="115"/>
        <v/>
      </c>
      <c r="E755" s="35" t="str">
        <f t="shared" si="112"/>
        <v/>
      </c>
      <c r="F755" s="31"/>
      <c r="G755" s="29"/>
      <c r="H755" s="78" t="str">
        <f t="shared" si="116"/>
        <v/>
      </c>
      <c r="I755" s="25"/>
      <c r="J755" s="25"/>
      <c r="K755" s="26"/>
      <c r="L755" s="26"/>
      <c r="M755" s="37"/>
      <c r="N755" s="27"/>
      <c r="O755" s="30"/>
      <c r="P755" s="39" t="str">
        <f t="shared" si="117"/>
        <v/>
      </c>
      <c r="Q755" s="40" t="str">
        <f>IF(OR(T755=0,RIGHT(T755,1)=$W$1),"",COUNTIF($T$3:T755,T755))</f>
        <v/>
      </c>
      <c r="S755" s="6">
        <f t="shared" si="118"/>
        <v>0</v>
      </c>
      <c r="T755" s="36">
        <f t="shared" si="119"/>
        <v>0</v>
      </c>
      <c r="V755" s="6">
        <f t="shared" si="120"/>
        <v>0</v>
      </c>
      <c r="Y755" s="8">
        <f t="shared" si="121"/>
        <v>46023</v>
      </c>
    </row>
    <row r="756" spans="2:25" ht="18.75" x14ac:dyDescent="0.3">
      <c r="B756" s="6">
        <f t="shared" si="113"/>
        <v>0</v>
      </c>
      <c r="C756" s="6">
        <f t="shared" si="114"/>
        <v>0</v>
      </c>
      <c r="D756" s="6" t="str">
        <f t="shared" si="115"/>
        <v/>
      </c>
      <c r="E756" s="35" t="str">
        <f t="shared" si="112"/>
        <v/>
      </c>
      <c r="F756" s="31"/>
      <c r="G756" s="29"/>
      <c r="H756" s="78" t="str">
        <f t="shared" si="116"/>
        <v/>
      </c>
      <c r="I756" s="25"/>
      <c r="J756" s="25"/>
      <c r="K756" s="26"/>
      <c r="L756" s="26"/>
      <c r="M756" s="37"/>
      <c r="N756" s="27"/>
      <c r="O756" s="30"/>
      <c r="P756" s="39" t="str">
        <f t="shared" si="117"/>
        <v/>
      </c>
      <c r="Q756" s="40" t="str">
        <f>IF(OR(T756=0,RIGHT(T756,1)=$W$1),"",COUNTIF($T$3:T756,T756))</f>
        <v/>
      </c>
      <c r="S756" s="6">
        <f t="shared" si="118"/>
        <v>0</v>
      </c>
      <c r="T756" s="36">
        <f t="shared" si="119"/>
        <v>0</v>
      </c>
      <c r="V756" s="6">
        <f t="shared" si="120"/>
        <v>0</v>
      </c>
      <c r="Y756" s="8">
        <f t="shared" si="121"/>
        <v>46023</v>
      </c>
    </row>
    <row r="757" spans="2:25" ht="18.75" x14ac:dyDescent="0.3">
      <c r="B757" s="6">
        <f t="shared" si="113"/>
        <v>0</v>
      </c>
      <c r="C757" s="6">
        <f t="shared" si="114"/>
        <v>0</v>
      </c>
      <c r="D757" s="6" t="str">
        <f t="shared" si="115"/>
        <v/>
      </c>
      <c r="E757" s="35" t="str">
        <f t="shared" si="112"/>
        <v/>
      </c>
      <c r="F757" s="31"/>
      <c r="G757" s="29"/>
      <c r="H757" s="78" t="str">
        <f t="shared" si="116"/>
        <v/>
      </c>
      <c r="I757" s="25"/>
      <c r="J757" s="25"/>
      <c r="K757" s="26"/>
      <c r="L757" s="26"/>
      <c r="M757" s="37"/>
      <c r="N757" s="27"/>
      <c r="O757" s="30"/>
      <c r="P757" s="39" t="str">
        <f t="shared" si="117"/>
        <v/>
      </c>
      <c r="Q757" s="40" t="str">
        <f>IF(OR(T757=0,RIGHT(T757,1)=$W$1),"",COUNTIF($T$3:T757,T757))</f>
        <v/>
      </c>
      <c r="S757" s="6">
        <f t="shared" si="118"/>
        <v>0</v>
      </c>
      <c r="T757" s="36">
        <f t="shared" si="119"/>
        <v>0</v>
      </c>
      <c r="V757" s="6">
        <f t="shared" si="120"/>
        <v>0</v>
      </c>
      <c r="Y757" s="8">
        <f t="shared" si="121"/>
        <v>46023</v>
      </c>
    </row>
    <row r="758" spans="2:25" ht="18.75" x14ac:dyDescent="0.3">
      <c r="B758" s="6">
        <f t="shared" si="113"/>
        <v>0</v>
      </c>
      <c r="C758" s="6">
        <f t="shared" si="114"/>
        <v>0</v>
      </c>
      <c r="D758" s="6" t="str">
        <f t="shared" si="115"/>
        <v/>
      </c>
      <c r="E758" s="35" t="str">
        <f t="shared" si="112"/>
        <v/>
      </c>
      <c r="F758" s="31"/>
      <c r="G758" s="29"/>
      <c r="H758" s="78" t="str">
        <f t="shared" si="116"/>
        <v/>
      </c>
      <c r="I758" s="25"/>
      <c r="J758" s="25"/>
      <c r="K758" s="26"/>
      <c r="L758" s="26"/>
      <c r="M758" s="37"/>
      <c r="N758" s="27"/>
      <c r="O758" s="30"/>
      <c r="P758" s="39" t="str">
        <f t="shared" si="117"/>
        <v/>
      </c>
      <c r="Q758" s="40" t="str">
        <f>IF(OR(T758=0,RIGHT(T758,1)=$W$1),"",COUNTIF($T$3:T758,T758))</f>
        <v/>
      </c>
      <c r="S758" s="6">
        <f t="shared" si="118"/>
        <v>0</v>
      </c>
      <c r="T758" s="36">
        <f t="shared" si="119"/>
        <v>0</v>
      </c>
      <c r="V758" s="6">
        <f t="shared" si="120"/>
        <v>0</v>
      </c>
      <c r="Y758" s="8">
        <f t="shared" si="121"/>
        <v>46023</v>
      </c>
    </row>
    <row r="759" spans="2:25" ht="18.75" x14ac:dyDescent="0.3">
      <c r="B759" s="6">
        <f t="shared" si="113"/>
        <v>0</v>
      </c>
      <c r="C759" s="6">
        <f t="shared" si="114"/>
        <v>0</v>
      </c>
      <c r="D759" s="6" t="str">
        <f t="shared" si="115"/>
        <v/>
      </c>
      <c r="E759" s="35" t="str">
        <f t="shared" si="112"/>
        <v/>
      </c>
      <c r="F759" s="31"/>
      <c r="G759" s="29"/>
      <c r="H759" s="78" t="str">
        <f t="shared" si="116"/>
        <v/>
      </c>
      <c r="I759" s="25"/>
      <c r="J759" s="25"/>
      <c r="K759" s="26"/>
      <c r="L759" s="26"/>
      <c r="M759" s="37"/>
      <c r="N759" s="27"/>
      <c r="O759" s="30"/>
      <c r="P759" s="39" t="str">
        <f t="shared" si="117"/>
        <v/>
      </c>
      <c r="Q759" s="40" t="str">
        <f>IF(OR(T759=0,RIGHT(T759,1)=$W$1),"",COUNTIF($T$3:T759,T759))</f>
        <v/>
      </c>
      <c r="S759" s="6">
        <f t="shared" si="118"/>
        <v>0</v>
      </c>
      <c r="T759" s="36">
        <f t="shared" si="119"/>
        <v>0</v>
      </c>
      <c r="V759" s="6">
        <f t="shared" si="120"/>
        <v>0</v>
      </c>
      <c r="Y759" s="8">
        <f t="shared" si="121"/>
        <v>46023</v>
      </c>
    </row>
    <row r="760" spans="2:25" ht="18.75" x14ac:dyDescent="0.3">
      <c r="B760" s="6">
        <f t="shared" si="113"/>
        <v>0</v>
      </c>
      <c r="C760" s="6">
        <f t="shared" si="114"/>
        <v>0</v>
      </c>
      <c r="D760" s="6" t="str">
        <f t="shared" si="115"/>
        <v/>
      </c>
      <c r="E760" s="35" t="str">
        <f t="shared" si="112"/>
        <v/>
      </c>
      <c r="F760" s="31"/>
      <c r="G760" s="29"/>
      <c r="H760" s="78" t="str">
        <f t="shared" si="116"/>
        <v/>
      </c>
      <c r="I760" s="25"/>
      <c r="J760" s="25"/>
      <c r="K760" s="26"/>
      <c r="L760" s="26"/>
      <c r="M760" s="37"/>
      <c r="N760" s="27"/>
      <c r="O760" s="30"/>
      <c r="P760" s="39" t="str">
        <f t="shared" si="117"/>
        <v/>
      </c>
      <c r="Q760" s="40" t="str">
        <f>IF(OR(T760=0,RIGHT(T760,1)=$W$1),"",COUNTIF($T$3:T760,T760))</f>
        <v/>
      </c>
      <c r="S760" s="6">
        <f t="shared" si="118"/>
        <v>0</v>
      </c>
      <c r="T760" s="36">
        <f t="shared" si="119"/>
        <v>0</v>
      </c>
      <c r="V760" s="6">
        <f t="shared" si="120"/>
        <v>0</v>
      </c>
      <c r="Y760" s="8">
        <f t="shared" si="121"/>
        <v>46023</v>
      </c>
    </row>
    <row r="761" spans="2:25" ht="18.75" x14ac:dyDescent="0.3">
      <c r="B761" s="6">
        <f t="shared" si="113"/>
        <v>0</v>
      </c>
      <c r="C761" s="6">
        <f t="shared" si="114"/>
        <v>0</v>
      </c>
      <c r="D761" s="6" t="str">
        <f t="shared" si="115"/>
        <v/>
      </c>
      <c r="E761" s="35" t="str">
        <f t="shared" si="112"/>
        <v/>
      </c>
      <c r="F761" s="31"/>
      <c r="G761" s="29"/>
      <c r="H761" s="78" t="str">
        <f t="shared" si="116"/>
        <v/>
      </c>
      <c r="I761" s="25"/>
      <c r="J761" s="25"/>
      <c r="K761" s="26"/>
      <c r="L761" s="26"/>
      <c r="M761" s="37"/>
      <c r="N761" s="27"/>
      <c r="O761" s="30"/>
      <c r="P761" s="39" t="str">
        <f t="shared" si="117"/>
        <v/>
      </c>
      <c r="Q761" s="40" t="str">
        <f>IF(OR(T761=0,RIGHT(T761,1)=$W$1),"",COUNTIF($T$3:T761,T761))</f>
        <v/>
      </c>
      <c r="S761" s="6">
        <f t="shared" si="118"/>
        <v>0</v>
      </c>
      <c r="T761" s="36">
        <f t="shared" si="119"/>
        <v>0</v>
      </c>
      <c r="V761" s="6">
        <f t="shared" si="120"/>
        <v>0</v>
      </c>
      <c r="Y761" s="8">
        <f t="shared" si="121"/>
        <v>46023</v>
      </c>
    </row>
    <row r="762" spans="2:25" ht="18.75" x14ac:dyDescent="0.3">
      <c r="B762" s="6">
        <f t="shared" si="113"/>
        <v>0</v>
      </c>
      <c r="C762" s="6">
        <f t="shared" si="114"/>
        <v>0</v>
      </c>
      <c r="D762" s="6" t="str">
        <f t="shared" si="115"/>
        <v/>
      </c>
      <c r="E762" s="35" t="str">
        <f t="shared" si="112"/>
        <v/>
      </c>
      <c r="F762" s="31"/>
      <c r="G762" s="29"/>
      <c r="H762" s="78" t="str">
        <f t="shared" si="116"/>
        <v/>
      </c>
      <c r="I762" s="25"/>
      <c r="J762" s="25"/>
      <c r="K762" s="26"/>
      <c r="L762" s="26"/>
      <c r="M762" s="37"/>
      <c r="N762" s="27"/>
      <c r="O762" s="30"/>
      <c r="P762" s="39" t="str">
        <f t="shared" si="117"/>
        <v/>
      </c>
      <c r="Q762" s="40" t="str">
        <f>IF(OR(T762=0,RIGHT(T762,1)=$W$1),"",COUNTIF($T$3:T762,T762))</f>
        <v/>
      </c>
      <c r="S762" s="6">
        <f t="shared" si="118"/>
        <v>0</v>
      </c>
      <c r="T762" s="36">
        <f t="shared" si="119"/>
        <v>0</v>
      </c>
      <c r="V762" s="6">
        <f t="shared" si="120"/>
        <v>0</v>
      </c>
      <c r="Y762" s="8">
        <f t="shared" si="121"/>
        <v>46023</v>
      </c>
    </row>
    <row r="763" spans="2:25" ht="18.75" x14ac:dyDescent="0.3">
      <c r="B763" s="6">
        <f t="shared" si="113"/>
        <v>0</v>
      </c>
      <c r="C763" s="6">
        <f t="shared" si="114"/>
        <v>0</v>
      </c>
      <c r="D763" s="6" t="str">
        <f t="shared" si="115"/>
        <v/>
      </c>
      <c r="E763" s="35" t="str">
        <f t="shared" si="112"/>
        <v/>
      </c>
      <c r="F763" s="31"/>
      <c r="G763" s="29"/>
      <c r="H763" s="78" t="str">
        <f t="shared" si="116"/>
        <v/>
      </c>
      <c r="I763" s="25"/>
      <c r="J763" s="25"/>
      <c r="K763" s="26"/>
      <c r="L763" s="26"/>
      <c r="M763" s="37"/>
      <c r="N763" s="27"/>
      <c r="O763" s="30"/>
      <c r="P763" s="39" t="str">
        <f t="shared" si="117"/>
        <v/>
      </c>
      <c r="Q763" s="40" t="str">
        <f>IF(OR(T763=0,RIGHT(T763,1)=$W$1),"",COUNTIF($T$3:T763,T763))</f>
        <v/>
      </c>
      <c r="S763" s="6">
        <f t="shared" si="118"/>
        <v>0</v>
      </c>
      <c r="T763" s="36">
        <f t="shared" si="119"/>
        <v>0</v>
      </c>
      <c r="V763" s="6">
        <f t="shared" si="120"/>
        <v>0</v>
      </c>
      <c r="Y763" s="8">
        <f t="shared" si="121"/>
        <v>46023</v>
      </c>
    </row>
    <row r="764" spans="2:25" ht="18.75" x14ac:dyDescent="0.3">
      <c r="B764" s="6">
        <f t="shared" si="113"/>
        <v>0</v>
      </c>
      <c r="C764" s="6">
        <f t="shared" si="114"/>
        <v>0</v>
      </c>
      <c r="D764" s="6" t="str">
        <f t="shared" si="115"/>
        <v/>
      </c>
      <c r="E764" s="35" t="str">
        <f t="shared" si="112"/>
        <v/>
      </c>
      <c r="F764" s="31"/>
      <c r="G764" s="29"/>
      <c r="H764" s="78" t="str">
        <f t="shared" si="116"/>
        <v/>
      </c>
      <c r="I764" s="25"/>
      <c r="J764" s="25"/>
      <c r="K764" s="26"/>
      <c r="L764" s="26"/>
      <c r="M764" s="37"/>
      <c r="N764" s="27"/>
      <c r="O764" s="30"/>
      <c r="P764" s="39" t="str">
        <f t="shared" si="117"/>
        <v/>
      </c>
      <c r="Q764" s="40" t="str">
        <f>IF(OR(T764=0,RIGHT(T764,1)=$W$1),"",COUNTIF($T$3:T764,T764))</f>
        <v/>
      </c>
      <c r="S764" s="6">
        <f t="shared" si="118"/>
        <v>0</v>
      </c>
      <c r="T764" s="36">
        <f t="shared" si="119"/>
        <v>0</v>
      </c>
      <c r="V764" s="6">
        <f t="shared" si="120"/>
        <v>0</v>
      </c>
      <c r="Y764" s="8">
        <f t="shared" si="121"/>
        <v>46023</v>
      </c>
    </row>
    <row r="765" spans="2:25" ht="18.75" x14ac:dyDescent="0.3">
      <c r="B765" s="6">
        <f t="shared" si="113"/>
        <v>0</v>
      </c>
      <c r="C765" s="6">
        <f t="shared" si="114"/>
        <v>0</v>
      </c>
      <c r="D765" s="6" t="str">
        <f t="shared" si="115"/>
        <v/>
      </c>
      <c r="E765" s="35" t="str">
        <f t="shared" si="112"/>
        <v/>
      </c>
      <c r="F765" s="31"/>
      <c r="G765" s="29"/>
      <c r="H765" s="78" t="str">
        <f t="shared" si="116"/>
        <v/>
      </c>
      <c r="I765" s="25"/>
      <c r="J765" s="25"/>
      <c r="K765" s="26"/>
      <c r="L765" s="26"/>
      <c r="M765" s="37"/>
      <c r="N765" s="27"/>
      <c r="O765" s="30"/>
      <c r="P765" s="39" t="str">
        <f t="shared" si="117"/>
        <v/>
      </c>
      <c r="Q765" s="40" t="str">
        <f>IF(OR(T765=0,RIGHT(T765,1)=$W$1),"",COUNTIF($T$3:T765,T765))</f>
        <v/>
      </c>
      <c r="S765" s="6">
        <f t="shared" si="118"/>
        <v>0</v>
      </c>
      <c r="T765" s="36">
        <f t="shared" si="119"/>
        <v>0</v>
      </c>
      <c r="V765" s="6">
        <f t="shared" si="120"/>
        <v>0</v>
      </c>
      <c r="Y765" s="8">
        <f t="shared" si="121"/>
        <v>46023</v>
      </c>
    </row>
    <row r="766" spans="2:25" ht="18.75" x14ac:dyDescent="0.3">
      <c r="B766" s="6">
        <f t="shared" si="113"/>
        <v>0</v>
      </c>
      <c r="C766" s="6">
        <f t="shared" si="114"/>
        <v>0</v>
      </c>
      <c r="D766" s="6" t="str">
        <f t="shared" si="115"/>
        <v/>
      </c>
      <c r="E766" s="35" t="str">
        <f t="shared" si="112"/>
        <v/>
      </c>
      <c r="F766" s="31"/>
      <c r="G766" s="29"/>
      <c r="H766" s="78" t="str">
        <f t="shared" si="116"/>
        <v/>
      </c>
      <c r="I766" s="25"/>
      <c r="J766" s="25"/>
      <c r="K766" s="26"/>
      <c r="L766" s="26"/>
      <c r="M766" s="37"/>
      <c r="N766" s="27"/>
      <c r="O766" s="30"/>
      <c r="P766" s="39" t="str">
        <f t="shared" si="117"/>
        <v/>
      </c>
      <c r="Q766" s="40" t="str">
        <f>IF(OR(T766=0,RIGHT(T766,1)=$W$1),"",COUNTIF($T$3:T766,T766))</f>
        <v/>
      </c>
      <c r="S766" s="6">
        <f t="shared" si="118"/>
        <v>0</v>
      </c>
      <c r="T766" s="36">
        <f t="shared" si="119"/>
        <v>0</v>
      </c>
      <c r="V766" s="6">
        <f t="shared" si="120"/>
        <v>0</v>
      </c>
      <c r="Y766" s="8">
        <f t="shared" si="121"/>
        <v>46023</v>
      </c>
    </row>
    <row r="767" spans="2:25" ht="18.75" x14ac:dyDescent="0.3">
      <c r="B767" s="6">
        <f t="shared" si="113"/>
        <v>0</v>
      </c>
      <c r="C767" s="6">
        <f t="shared" si="114"/>
        <v>0</v>
      </c>
      <c r="D767" s="6" t="str">
        <f t="shared" si="115"/>
        <v/>
      </c>
      <c r="E767" s="35" t="str">
        <f t="shared" si="112"/>
        <v/>
      </c>
      <c r="F767" s="31"/>
      <c r="G767" s="29"/>
      <c r="H767" s="78" t="str">
        <f t="shared" si="116"/>
        <v/>
      </c>
      <c r="I767" s="25"/>
      <c r="J767" s="25"/>
      <c r="K767" s="26"/>
      <c r="L767" s="26"/>
      <c r="M767" s="37"/>
      <c r="N767" s="27"/>
      <c r="O767" s="30"/>
      <c r="P767" s="39" t="str">
        <f t="shared" si="117"/>
        <v/>
      </c>
      <c r="Q767" s="40" t="str">
        <f>IF(OR(T767=0,RIGHT(T767,1)=$W$1),"",COUNTIF($T$3:T767,T767))</f>
        <v/>
      </c>
      <c r="S767" s="6">
        <f t="shared" si="118"/>
        <v>0</v>
      </c>
      <c r="T767" s="36">
        <f t="shared" si="119"/>
        <v>0</v>
      </c>
      <c r="V767" s="6">
        <f t="shared" si="120"/>
        <v>0</v>
      </c>
      <c r="Y767" s="8">
        <f t="shared" si="121"/>
        <v>46023</v>
      </c>
    </row>
    <row r="768" spans="2:25" ht="18.75" x14ac:dyDescent="0.3">
      <c r="B768" s="6">
        <f t="shared" si="113"/>
        <v>0</v>
      </c>
      <c r="C768" s="6">
        <f t="shared" si="114"/>
        <v>0</v>
      </c>
      <c r="D768" s="6" t="str">
        <f t="shared" si="115"/>
        <v/>
      </c>
      <c r="E768" s="35" t="str">
        <f t="shared" si="112"/>
        <v/>
      </c>
      <c r="F768" s="31"/>
      <c r="G768" s="29"/>
      <c r="H768" s="78" t="str">
        <f t="shared" si="116"/>
        <v/>
      </c>
      <c r="I768" s="25"/>
      <c r="J768" s="25"/>
      <c r="K768" s="26"/>
      <c r="L768" s="26"/>
      <c r="M768" s="37"/>
      <c r="N768" s="27"/>
      <c r="O768" s="30"/>
      <c r="P768" s="39" t="str">
        <f t="shared" si="117"/>
        <v/>
      </c>
      <c r="Q768" s="40" t="str">
        <f>IF(OR(T768=0,RIGHT(T768,1)=$W$1),"",COUNTIF($T$3:T768,T768))</f>
        <v/>
      </c>
      <c r="S768" s="6">
        <f t="shared" si="118"/>
        <v>0</v>
      </c>
      <c r="T768" s="36">
        <f t="shared" si="119"/>
        <v>0</v>
      </c>
      <c r="V768" s="6">
        <f t="shared" si="120"/>
        <v>0</v>
      </c>
      <c r="Y768" s="8">
        <f t="shared" si="121"/>
        <v>46023</v>
      </c>
    </row>
    <row r="769" spans="2:25" ht="18.75" x14ac:dyDescent="0.3">
      <c r="B769" s="6">
        <f t="shared" si="113"/>
        <v>0</v>
      </c>
      <c r="C769" s="6">
        <f t="shared" si="114"/>
        <v>0</v>
      </c>
      <c r="D769" s="6" t="str">
        <f t="shared" si="115"/>
        <v/>
      </c>
      <c r="E769" s="35" t="str">
        <f t="shared" si="112"/>
        <v/>
      </c>
      <c r="F769" s="31"/>
      <c r="G769" s="29"/>
      <c r="H769" s="78" t="str">
        <f t="shared" si="116"/>
        <v/>
      </c>
      <c r="I769" s="25"/>
      <c r="J769" s="25"/>
      <c r="K769" s="26"/>
      <c r="L769" s="26"/>
      <c r="M769" s="37"/>
      <c r="N769" s="27"/>
      <c r="O769" s="30"/>
      <c r="P769" s="39" t="str">
        <f t="shared" si="117"/>
        <v/>
      </c>
      <c r="Q769" s="40" t="str">
        <f>IF(OR(T769=0,RIGHT(T769,1)=$W$1),"",COUNTIF($T$3:T769,T769))</f>
        <v/>
      </c>
      <c r="S769" s="6">
        <f t="shared" si="118"/>
        <v>0</v>
      </c>
      <c r="T769" s="36">
        <f t="shared" si="119"/>
        <v>0</v>
      </c>
      <c r="V769" s="6">
        <f t="shared" si="120"/>
        <v>0</v>
      </c>
      <c r="Y769" s="8">
        <f t="shared" si="121"/>
        <v>46023</v>
      </c>
    </row>
    <row r="770" spans="2:25" ht="18.75" x14ac:dyDescent="0.3">
      <c r="B770" s="6">
        <f t="shared" si="113"/>
        <v>0</v>
      </c>
      <c r="C770" s="6">
        <f t="shared" si="114"/>
        <v>0</v>
      </c>
      <c r="D770" s="6" t="str">
        <f t="shared" si="115"/>
        <v/>
      </c>
      <c r="E770" s="35" t="str">
        <f t="shared" si="112"/>
        <v/>
      </c>
      <c r="F770" s="31"/>
      <c r="G770" s="29"/>
      <c r="H770" s="78" t="str">
        <f t="shared" si="116"/>
        <v/>
      </c>
      <c r="I770" s="25"/>
      <c r="J770" s="25"/>
      <c r="K770" s="26"/>
      <c r="L770" s="26"/>
      <c r="M770" s="37"/>
      <c r="N770" s="27"/>
      <c r="O770" s="30"/>
      <c r="P770" s="39" t="str">
        <f t="shared" si="117"/>
        <v/>
      </c>
      <c r="Q770" s="40" t="str">
        <f>IF(OR(T770=0,RIGHT(T770,1)=$W$1),"",COUNTIF($T$3:T770,T770))</f>
        <v/>
      </c>
      <c r="S770" s="6">
        <f t="shared" si="118"/>
        <v>0</v>
      </c>
      <c r="T770" s="36">
        <f t="shared" si="119"/>
        <v>0</v>
      </c>
      <c r="V770" s="6">
        <f t="shared" si="120"/>
        <v>0</v>
      </c>
      <c r="Y770" s="8">
        <f t="shared" si="121"/>
        <v>46023</v>
      </c>
    </row>
    <row r="771" spans="2:25" ht="18.75" x14ac:dyDescent="0.3">
      <c r="B771" s="6">
        <f t="shared" si="113"/>
        <v>0</v>
      </c>
      <c r="C771" s="6">
        <f t="shared" si="114"/>
        <v>0</v>
      </c>
      <c r="D771" s="6" t="str">
        <f t="shared" si="115"/>
        <v/>
      </c>
      <c r="E771" s="35" t="str">
        <f t="shared" ref="E771:E834" si="122">IF(D771&lt;&gt;"",D771&amp;" - "&amp;YEAR(F771),"")</f>
        <v/>
      </c>
      <c r="F771" s="31"/>
      <c r="G771" s="29"/>
      <c r="H771" s="78" t="str">
        <f t="shared" si="116"/>
        <v/>
      </c>
      <c r="I771" s="25"/>
      <c r="J771" s="25"/>
      <c r="K771" s="26"/>
      <c r="L771" s="26"/>
      <c r="M771" s="37"/>
      <c r="N771" s="27"/>
      <c r="O771" s="30"/>
      <c r="P771" s="39" t="str">
        <f t="shared" si="117"/>
        <v/>
      </c>
      <c r="Q771" s="40" t="str">
        <f>IF(OR(T771=0,RIGHT(T771,1)=$W$1),"",COUNTIF($T$3:T771,T771))</f>
        <v/>
      </c>
      <c r="S771" s="6">
        <f t="shared" si="118"/>
        <v>0</v>
      </c>
      <c r="T771" s="36">
        <f t="shared" si="119"/>
        <v>0</v>
      </c>
      <c r="V771" s="6">
        <f t="shared" si="120"/>
        <v>0</v>
      </c>
      <c r="Y771" s="8">
        <f t="shared" si="121"/>
        <v>46023</v>
      </c>
    </row>
    <row r="772" spans="2:25" ht="18.75" x14ac:dyDescent="0.3">
      <c r="B772" s="6">
        <f t="shared" ref="B772:B835" si="123">IF($B$1=YEAR(F772),B771+1,B771)</f>
        <v>0</v>
      </c>
      <c r="C772" s="6">
        <f t="shared" ref="C772:C835" si="124">IF(AND($C$1=K772,$Y$1=YEAR(F772)),C771+1,C771)</f>
        <v>0</v>
      </c>
      <c r="D772" s="6" t="str">
        <f t="shared" ref="D772:D835" si="125">IF(F772&lt;&gt;0,IF(YEAR(F772)&lt;&gt;YEAR(F771),1,IF(M772=$AI$1,D771,D771+1)),"")</f>
        <v/>
      </c>
      <c r="E772" s="35" t="str">
        <f t="shared" si="122"/>
        <v/>
      </c>
      <c r="F772" s="31"/>
      <c r="G772" s="29"/>
      <c r="H772" s="78" t="str">
        <f t="shared" ref="H772:H835" si="126">IF(G772&lt;&gt;"",F772,"")</f>
        <v/>
      </c>
      <c r="I772" s="25"/>
      <c r="J772" s="25"/>
      <c r="K772" s="26"/>
      <c r="L772" s="26"/>
      <c r="M772" s="37"/>
      <c r="N772" s="27"/>
      <c r="O772" s="30"/>
      <c r="P772" s="39" t="str">
        <f t="shared" ref="P772:P835" si="127">IF(OR(T772=0,RIGHT(T772,1)=$W$1),"",VLOOKUP(K772,$AD$1:$AK$15,5,FALSE))</f>
        <v/>
      </c>
      <c r="Q772" s="40" t="str">
        <f>IF(OR(T772=0,RIGHT(T772,1)=$W$1),"",COUNTIF($T$3:T772,T772))</f>
        <v/>
      </c>
      <c r="S772" s="6">
        <f t="shared" ref="S772:S835" si="128">IF(AND($C$1=K772,$Y$1=YEAR(F772)),C772,0)</f>
        <v>0</v>
      </c>
      <c r="T772" s="36">
        <f t="shared" ref="T772:T835" si="129">IF(F772=0,0,YEAR(F772)&amp;VLOOKUP(K772,$AD$1:$AE$15,2,FALSE))</f>
        <v>0</v>
      </c>
      <c r="V772" s="6">
        <f t="shared" ref="V772:V835" si="130">IF(AND(YEAR(F772)=$Y$1,K772=$C$1,L772&amp;$V$1&lt;&gt;$V$1),L772,IF(AND(YEAR(F772)=$Y$1,K772=$C$1),1,0))</f>
        <v>0</v>
      </c>
      <c r="Y772" s="8">
        <f t="shared" ref="Y772:Y835" si="131">IF(M772&lt;&gt;$AI$1,$Y$2,F771)</f>
        <v>46023</v>
      </c>
    </row>
    <row r="773" spans="2:25" ht="18.75" x14ac:dyDescent="0.3">
      <c r="B773" s="6">
        <f t="shared" si="123"/>
        <v>0</v>
      </c>
      <c r="C773" s="6">
        <f t="shared" si="124"/>
        <v>0</v>
      </c>
      <c r="D773" s="6" t="str">
        <f t="shared" si="125"/>
        <v/>
      </c>
      <c r="E773" s="35" t="str">
        <f t="shared" si="122"/>
        <v/>
      </c>
      <c r="F773" s="31"/>
      <c r="G773" s="29"/>
      <c r="H773" s="78" t="str">
        <f t="shared" si="126"/>
        <v/>
      </c>
      <c r="I773" s="25"/>
      <c r="J773" s="25"/>
      <c r="K773" s="26"/>
      <c r="L773" s="26"/>
      <c r="M773" s="37"/>
      <c r="N773" s="27"/>
      <c r="O773" s="30"/>
      <c r="P773" s="39" t="str">
        <f t="shared" si="127"/>
        <v/>
      </c>
      <c r="Q773" s="40" t="str">
        <f>IF(OR(T773=0,RIGHT(T773,1)=$W$1),"",COUNTIF($T$3:T773,T773))</f>
        <v/>
      </c>
      <c r="S773" s="6">
        <f t="shared" si="128"/>
        <v>0</v>
      </c>
      <c r="T773" s="36">
        <f t="shared" si="129"/>
        <v>0</v>
      </c>
      <c r="V773" s="6">
        <f t="shared" si="130"/>
        <v>0</v>
      </c>
      <c r="Y773" s="8">
        <f t="shared" si="131"/>
        <v>46023</v>
      </c>
    </row>
    <row r="774" spans="2:25" ht="18.75" x14ac:dyDescent="0.3">
      <c r="B774" s="6">
        <f t="shared" si="123"/>
        <v>0</v>
      </c>
      <c r="C774" s="6">
        <f t="shared" si="124"/>
        <v>0</v>
      </c>
      <c r="D774" s="6" t="str">
        <f t="shared" si="125"/>
        <v/>
      </c>
      <c r="E774" s="35" t="str">
        <f t="shared" si="122"/>
        <v/>
      </c>
      <c r="F774" s="31"/>
      <c r="G774" s="29"/>
      <c r="H774" s="78" t="str">
        <f t="shared" si="126"/>
        <v/>
      </c>
      <c r="I774" s="25"/>
      <c r="J774" s="25"/>
      <c r="K774" s="26"/>
      <c r="L774" s="26"/>
      <c r="M774" s="37"/>
      <c r="N774" s="27"/>
      <c r="O774" s="30"/>
      <c r="P774" s="39" t="str">
        <f t="shared" si="127"/>
        <v/>
      </c>
      <c r="Q774" s="40" t="str">
        <f>IF(OR(T774=0,RIGHT(T774,1)=$W$1),"",COUNTIF($T$3:T774,T774))</f>
        <v/>
      </c>
      <c r="S774" s="6">
        <f t="shared" si="128"/>
        <v>0</v>
      </c>
      <c r="T774" s="36">
        <f t="shared" si="129"/>
        <v>0</v>
      </c>
      <c r="V774" s="6">
        <f t="shared" si="130"/>
        <v>0</v>
      </c>
      <c r="Y774" s="8">
        <f t="shared" si="131"/>
        <v>46023</v>
      </c>
    </row>
    <row r="775" spans="2:25" ht="18.75" x14ac:dyDescent="0.3">
      <c r="B775" s="6">
        <f t="shared" si="123"/>
        <v>0</v>
      </c>
      <c r="C775" s="6">
        <f t="shared" si="124"/>
        <v>0</v>
      </c>
      <c r="D775" s="6" t="str">
        <f t="shared" si="125"/>
        <v/>
      </c>
      <c r="E775" s="35" t="str">
        <f t="shared" si="122"/>
        <v/>
      </c>
      <c r="F775" s="31"/>
      <c r="G775" s="29"/>
      <c r="H775" s="78" t="str">
        <f t="shared" si="126"/>
        <v/>
      </c>
      <c r="I775" s="25"/>
      <c r="J775" s="25"/>
      <c r="K775" s="26"/>
      <c r="L775" s="26"/>
      <c r="M775" s="37"/>
      <c r="N775" s="27"/>
      <c r="O775" s="30"/>
      <c r="P775" s="39" t="str">
        <f t="shared" si="127"/>
        <v/>
      </c>
      <c r="Q775" s="40" t="str">
        <f>IF(OR(T775=0,RIGHT(T775,1)=$W$1),"",COUNTIF($T$3:T775,T775))</f>
        <v/>
      </c>
      <c r="S775" s="6">
        <f t="shared" si="128"/>
        <v>0</v>
      </c>
      <c r="T775" s="36">
        <f t="shared" si="129"/>
        <v>0</v>
      </c>
      <c r="V775" s="6">
        <f t="shared" si="130"/>
        <v>0</v>
      </c>
      <c r="Y775" s="8">
        <f t="shared" si="131"/>
        <v>46023</v>
      </c>
    </row>
    <row r="776" spans="2:25" ht="18.75" x14ac:dyDescent="0.3">
      <c r="B776" s="6">
        <f t="shared" si="123"/>
        <v>0</v>
      </c>
      <c r="C776" s="6">
        <f t="shared" si="124"/>
        <v>0</v>
      </c>
      <c r="D776" s="6" t="str">
        <f t="shared" si="125"/>
        <v/>
      </c>
      <c r="E776" s="35" t="str">
        <f t="shared" si="122"/>
        <v/>
      </c>
      <c r="F776" s="31"/>
      <c r="G776" s="29"/>
      <c r="H776" s="78" t="str">
        <f t="shared" si="126"/>
        <v/>
      </c>
      <c r="I776" s="25"/>
      <c r="J776" s="25"/>
      <c r="K776" s="26"/>
      <c r="L776" s="26"/>
      <c r="M776" s="37"/>
      <c r="N776" s="27"/>
      <c r="O776" s="30"/>
      <c r="P776" s="39" t="str">
        <f t="shared" si="127"/>
        <v/>
      </c>
      <c r="Q776" s="40" t="str">
        <f>IF(OR(T776=0,RIGHT(T776,1)=$W$1),"",COUNTIF($T$3:T776,T776))</f>
        <v/>
      </c>
      <c r="S776" s="6">
        <f t="shared" si="128"/>
        <v>0</v>
      </c>
      <c r="T776" s="36">
        <f t="shared" si="129"/>
        <v>0</v>
      </c>
      <c r="V776" s="6">
        <f t="shared" si="130"/>
        <v>0</v>
      </c>
      <c r="Y776" s="8">
        <f t="shared" si="131"/>
        <v>46023</v>
      </c>
    </row>
    <row r="777" spans="2:25" ht="18.75" x14ac:dyDescent="0.3">
      <c r="B777" s="6">
        <f t="shared" si="123"/>
        <v>0</v>
      </c>
      <c r="C777" s="6">
        <f t="shared" si="124"/>
        <v>0</v>
      </c>
      <c r="D777" s="6" t="str">
        <f t="shared" si="125"/>
        <v/>
      </c>
      <c r="E777" s="35" t="str">
        <f t="shared" si="122"/>
        <v/>
      </c>
      <c r="F777" s="31"/>
      <c r="G777" s="29"/>
      <c r="H777" s="78" t="str">
        <f t="shared" si="126"/>
        <v/>
      </c>
      <c r="I777" s="25"/>
      <c r="J777" s="25"/>
      <c r="K777" s="26"/>
      <c r="L777" s="26"/>
      <c r="M777" s="37"/>
      <c r="N777" s="27"/>
      <c r="O777" s="30"/>
      <c r="P777" s="39" t="str">
        <f t="shared" si="127"/>
        <v/>
      </c>
      <c r="Q777" s="40" t="str">
        <f>IF(OR(T777=0,RIGHT(T777,1)=$W$1),"",COUNTIF($T$3:T777,T777))</f>
        <v/>
      </c>
      <c r="S777" s="6">
        <f t="shared" si="128"/>
        <v>0</v>
      </c>
      <c r="T777" s="36">
        <f t="shared" si="129"/>
        <v>0</v>
      </c>
      <c r="V777" s="6">
        <f t="shared" si="130"/>
        <v>0</v>
      </c>
      <c r="Y777" s="8">
        <f t="shared" si="131"/>
        <v>46023</v>
      </c>
    </row>
    <row r="778" spans="2:25" ht="18.75" x14ac:dyDescent="0.3">
      <c r="B778" s="6">
        <f t="shared" si="123"/>
        <v>0</v>
      </c>
      <c r="C778" s="6">
        <f t="shared" si="124"/>
        <v>0</v>
      </c>
      <c r="D778" s="6" t="str">
        <f t="shared" si="125"/>
        <v/>
      </c>
      <c r="E778" s="35" t="str">
        <f t="shared" si="122"/>
        <v/>
      </c>
      <c r="F778" s="31"/>
      <c r="G778" s="29"/>
      <c r="H778" s="78" t="str">
        <f t="shared" si="126"/>
        <v/>
      </c>
      <c r="I778" s="25"/>
      <c r="J778" s="25"/>
      <c r="K778" s="26"/>
      <c r="L778" s="26"/>
      <c r="M778" s="37"/>
      <c r="N778" s="27"/>
      <c r="O778" s="30"/>
      <c r="P778" s="39" t="str">
        <f t="shared" si="127"/>
        <v/>
      </c>
      <c r="Q778" s="40" t="str">
        <f>IF(OR(T778=0,RIGHT(T778,1)=$W$1),"",COUNTIF($T$3:T778,T778))</f>
        <v/>
      </c>
      <c r="S778" s="6">
        <f t="shared" si="128"/>
        <v>0</v>
      </c>
      <c r="T778" s="36">
        <f t="shared" si="129"/>
        <v>0</v>
      </c>
      <c r="V778" s="6">
        <f t="shared" si="130"/>
        <v>0</v>
      </c>
      <c r="Y778" s="8">
        <f t="shared" si="131"/>
        <v>46023</v>
      </c>
    </row>
    <row r="779" spans="2:25" ht="18.75" x14ac:dyDescent="0.3">
      <c r="B779" s="6">
        <f t="shared" si="123"/>
        <v>0</v>
      </c>
      <c r="C779" s="6">
        <f t="shared" si="124"/>
        <v>0</v>
      </c>
      <c r="D779" s="6" t="str">
        <f t="shared" si="125"/>
        <v/>
      </c>
      <c r="E779" s="35" t="str">
        <f t="shared" si="122"/>
        <v/>
      </c>
      <c r="F779" s="31"/>
      <c r="G779" s="29"/>
      <c r="H779" s="78" t="str">
        <f t="shared" si="126"/>
        <v/>
      </c>
      <c r="I779" s="25"/>
      <c r="J779" s="25"/>
      <c r="K779" s="26"/>
      <c r="L779" s="26"/>
      <c r="M779" s="37"/>
      <c r="N779" s="27"/>
      <c r="O779" s="30"/>
      <c r="P779" s="39" t="str">
        <f t="shared" si="127"/>
        <v/>
      </c>
      <c r="Q779" s="40" t="str">
        <f>IF(OR(T779=0,RIGHT(T779,1)=$W$1),"",COUNTIF($T$3:T779,T779))</f>
        <v/>
      </c>
      <c r="S779" s="6">
        <f t="shared" si="128"/>
        <v>0</v>
      </c>
      <c r="T779" s="36">
        <f t="shared" si="129"/>
        <v>0</v>
      </c>
      <c r="V779" s="6">
        <f t="shared" si="130"/>
        <v>0</v>
      </c>
      <c r="Y779" s="8">
        <f t="shared" si="131"/>
        <v>46023</v>
      </c>
    </row>
    <row r="780" spans="2:25" ht="18.75" x14ac:dyDescent="0.3">
      <c r="B780" s="6">
        <f t="shared" si="123"/>
        <v>0</v>
      </c>
      <c r="C780" s="6">
        <f t="shared" si="124"/>
        <v>0</v>
      </c>
      <c r="D780" s="6" t="str">
        <f t="shared" si="125"/>
        <v/>
      </c>
      <c r="E780" s="35" t="str">
        <f t="shared" si="122"/>
        <v/>
      </c>
      <c r="F780" s="31"/>
      <c r="G780" s="29"/>
      <c r="H780" s="78" t="str">
        <f t="shared" si="126"/>
        <v/>
      </c>
      <c r="I780" s="25"/>
      <c r="J780" s="25"/>
      <c r="K780" s="26"/>
      <c r="L780" s="26"/>
      <c r="M780" s="37"/>
      <c r="N780" s="27"/>
      <c r="O780" s="30"/>
      <c r="P780" s="39" t="str">
        <f t="shared" si="127"/>
        <v/>
      </c>
      <c r="Q780" s="40" t="str">
        <f>IF(OR(T780=0,RIGHT(T780,1)=$W$1),"",COUNTIF($T$3:T780,T780))</f>
        <v/>
      </c>
      <c r="S780" s="6">
        <f t="shared" si="128"/>
        <v>0</v>
      </c>
      <c r="T780" s="36">
        <f t="shared" si="129"/>
        <v>0</v>
      </c>
      <c r="V780" s="6">
        <f t="shared" si="130"/>
        <v>0</v>
      </c>
      <c r="Y780" s="8">
        <f t="shared" si="131"/>
        <v>46023</v>
      </c>
    </row>
    <row r="781" spans="2:25" ht="18.75" x14ac:dyDescent="0.3">
      <c r="B781" s="6">
        <f t="shared" si="123"/>
        <v>0</v>
      </c>
      <c r="C781" s="6">
        <f t="shared" si="124"/>
        <v>0</v>
      </c>
      <c r="D781" s="6" t="str">
        <f t="shared" si="125"/>
        <v/>
      </c>
      <c r="E781" s="35" t="str">
        <f t="shared" si="122"/>
        <v/>
      </c>
      <c r="F781" s="31"/>
      <c r="G781" s="29"/>
      <c r="H781" s="78" t="str">
        <f t="shared" si="126"/>
        <v/>
      </c>
      <c r="I781" s="25"/>
      <c r="J781" s="25"/>
      <c r="K781" s="26"/>
      <c r="L781" s="26"/>
      <c r="M781" s="37"/>
      <c r="N781" s="27"/>
      <c r="O781" s="30"/>
      <c r="P781" s="39" t="str">
        <f t="shared" si="127"/>
        <v/>
      </c>
      <c r="Q781" s="40" t="str">
        <f>IF(OR(T781=0,RIGHT(T781,1)=$W$1),"",COUNTIF($T$3:T781,T781))</f>
        <v/>
      </c>
      <c r="S781" s="6">
        <f t="shared" si="128"/>
        <v>0</v>
      </c>
      <c r="T781" s="36">
        <f t="shared" si="129"/>
        <v>0</v>
      </c>
      <c r="V781" s="6">
        <f t="shared" si="130"/>
        <v>0</v>
      </c>
      <c r="Y781" s="8">
        <f t="shared" si="131"/>
        <v>46023</v>
      </c>
    </row>
    <row r="782" spans="2:25" ht="18.75" x14ac:dyDescent="0.3">
      <c r="B782" s="6">
        <f t="shared" si="123"/>
        <v>0</v>
      </c>
      <c r="C782" s="6">
        <f t="shared" si="124"/>
        <v>0</v>
      </c>
      <c r="D782" s="6" t="str">
        <f t="shared" si="125"/>
        <v/>
      </c>
      <c r="E782" s="35" t="str">
        <f t="shared" si="122"/>
        <v/>
      </c>
      <c r="F782" s="31"/>
      <c r="G782" s="29"/>
      <c r="H782" s="78" t="str">
        <f t="shared" si="126"/>
        <v/>
      </c>
      <c r="I782" s="25"/>
      <c r="J782" s="25"/>
      <c r="K782" s="26"/>
      <c r="L782" s="26"/>
      <c r="M782" s="37"/>
      <c r="N782" s="27"/>
      <c r="O782" s="30"/>
      <c r="P782" s="39" t="str">
        <f t="shared" si="127"/>
        <v/>
      </c>
      <c r="Q782" s="40" t="str">
        <f>IF(OR(T782=0,RIGHT(T782,1)=$W$1),"",COUNTIF($T$3:T782,T782))</f>
        <v/>
      </c>
      <c r="S782" s="6">
        <f t="shared" si="128"/>
        <v>0</v>
      </c>
      <c r="T782" s="36">
        <f t="shared" si="129"/>
        <v>0</v>
      </c>
      <c r="V782" s="6">
        <f t="shared" si="130"/>
        <v>0</v>
      </c>
      <c r="Y782" s="8">
        <f t="shared" si="131"/>
        <v>46023</v>
      </c>
    </row>
    <row r="783" spans="2:25" ht="18.75" x14ac:dyDescent="0.3">
      <c r="B783" s="6">
        <f t="shared" si="123"/>
        <v>0</v>
      </c>
      <c r="C783" s="6">
        <f t="shared" si="124"/>
        <v>0</v>
      </c>
      <c r="D783" s="6" t="str">
        <f t="shared" si="125"/>
        <v/>
      </c>
      <c r="E783" s="35" t="str">
        <f t="shared" si="122"/>
        <v/>
      </c>
      <c r="F783" s="31"/>
      <c r="G783" s="29"/>
      <c r="H783" s="78" t="str">
        <f t="shared" si="126"/>
        <v/>
      </c>
      <c r="I783" s="25"/>
      <c r="J783" s="25"/>
      <c r="K783" s="26"/>
      <c r="L783" s="26"/>
      <c r="M783" s="37"/>
      <c r="N783" s="27"/>
      <c r="O783" s="30"/>
      <c r="P783" s="39" t="str">
        <f t="shared" si="127"/>
        <v/>
      </c>
      <c r="Q783" s="40" t="str">
        <f>IF(OR(T783=0,RIGHT(T783,1)=$W$1),"",COUNTIF($T$3:T783,T783))</f>
        <v/>
      </c>
      <c r="S783" s="6">
        <f t="shared" si="128"/>
        <v>0</v>
      </c>
      <c r="T783" s="36">
        <f t="shared" si="129"/>
        <v>0</v>
      </c>
      <c r="V783" s="6">
        <f t="shared" si="130"/>
        <v>0</v>
      </c>
      <c r="Y783" s="8">
        <f t="shared" si="131"/>
        <v>46023</v>
      </c>
    </row>
    <row r="784" spans="2:25" ht="18.75" x14ac:dyDescent="0.3">
      <c r="B784" s="6">
        <f t="shared" si="123"/>
        <v>0</v>
      </c>
      <c r="C784" s="6">
        <f t="shared" si="124"/>
        <v>0</v>
      </c>
      <c r="D784" s="6" t="str">
        <f t="shared" si="125"/>
        <v/>
      </c>
      <c r="E784" s="35" t="str">
        <f t="shared" si="122"/>
        <v/>
      </c>
      <c r="F784" s="31"/>
      <c r="G784" s="29"/>
      <c r="H784" s="78" t="str">
        <f t="shared" si="126"/>
        <v/>
      </c>
      <c r="I784" s="25"/>
      <c r="J784" s="25"/>
      <c r="K784" s="26"/>
      <c r="L784" s="26"/>
      <c r="M784" s="37"/>
      <c r="N784" s="27"/>
      <c r="O784" s="30"/>
      <c r="P784" s="39" t="str">
        <f t="shared" si="127"/>
        <v/>
      </c>
      <c r="Q784" s="40" t="str">
        <f>IF(OR(T784=0,RIGHT(T784,1)=$W$1),"",COUNTIF($T$3:T784,T784))</f>
        <v/>
      </c>
      <c r="S784" s="6">
        <f t="shared" si="128"/>
        <v>0</v>
      </c>
      <c r="T784" s="36">
        <f t="shared" si="129"/>
        <v>0</v>
      </c>
      <c r="V784" s="6">
        <f t="shared" si="130"/>
        <v>0</v>
      </c>
      <c r="Y784" s="8">
        <f t="shared" si="131"/>
        <v>46023</v>
      </c>
    </row>
    <row r="785" spans="2:25" ht="18.75" x14ac:dyDescent="0.3">
      <c r="B785" s="6">
        <f t="shared" si="123"/>
        <v>0</v>
      </c>
      <c r="C785" s="6">
        <f t="shared" si="124"/>
        <v>0</v>
      </c>
      <c r="D785" s="6" t="str">
        <f t="shared" si="125"/>
        <v/>
      </c>
      <c r="E785" s="35" t="str">
        <f t="shared" si="122"/>
        <v/>
      </c>
      <c r="F785" s="31"/>
      <c r="G785" s="29"/>
      <c r="H785" s="78" t="str">
        <f t="shared" si="126"/>
        <v/>
      </c>
      <c r="I785" s="25"/>
      <c r="J785" s="25"/>
      <c r="K785" s="26"/>
      <c r="L785" s="26"/>
      <c r="M785" s="37"/>
      <c r="N785" s="27"/>
      <c r="O785" s="30"/>
      <c r="P785" s="39" t="str">
        <f t="shared" si="127"/>
        <v/>
      </c>
      <c r="Q785" s="40" t="str">
        <f>IF(OR(T785=0,RIGHT(T785,1)=$W$1),"",COUNTIF($T$3:T785,T785))</f>
        <v/>
      </c>
      <c r="S785" s="6">
        <f t="shared" si="128"/>
        <v>0</v>
      </c>
      <c r="T785" s="36">
        <f t="shared" si="129"/>
        <v>0</v>
      </c>
      <c r="V785" s="6">
        <f t="shared" si="130"/>
        <v>0</v>
      </c>
      <c r="Y785" s="8">
        <f t="shared" si="131"/>
        <v>46023</v>
      </c>
    </row>
    <row r="786" spans="2:25" ht="18.75" x14ac:dyDescent="0.3">
      <c r="B786" s="6">
        <f t="shared" si="123"/>
        <v>0</v>
      </c>
      <c r="C786" s="6">
        <f t="shared" si="124"/>
        <v>0</v>
      </c>
      <c r="D786" s="6" t="str">
        <f t="shared" si="125"/>
        <v/>
      </c>
      <c r="E786" s="35" t="str">
        <f t="shared" si="122"/>
        <v/>
      </c>
      <c r="F786" s="31"/>
      <c r="G786" s="29"/>
      <c r="H786" s="78" t="str">
        <f t="shared" si="126"/>
        <v/>
      </c>
      <c r="I786" s="25"/>
      <c r="J786" s="25"/>
      <c r="K786" s="26"/>
      <c r="L786" s="26"/>
      <c r="M786" s="37"/>
      <c r="N786" s="27"/>
      <c r="O786" s="30"/>
      <c r="P786" s="39" t="str">
        <f t="shared" si="127"/>
        <v/>
      </c>
      <c r="Q786" s="40" t="str">
        <f>IF(OR(T786=0,RIGHT(T786,1)=$W$1),"",COUNTIF($T$3:T786,T786))</f>
        <v/>
      </c>
      <c r="S786" s="6">
        <f t="shared" si="128"/>
        <v>0</v>
      </c>
      <c r="T786" s="36">
        <f t="shared" si="129"/>
        <v>0</v>
      </c>
      <c r="V786" s="6">
        <f t="shared" si="130"/>
        <v>0</v>
      </c>
      <c r="Y786" s="8">
        <f t="shared" si="131"/>
        <v>46023</v>
      </c>
    </row>
    <row r="787" spans="2:25" ht="18.75" x14ac:dyDescent="0.3">
      <c r="B787" s="6">
        <f t="shared" si="123"/>
        <v>0</v>
      </c>
      <c r="C787" s="6">
        <f t="shared" si="124"/>
        <v>0</v>
      </c>
      <c r="D787" s="6" t="str">
        <f t="shared" si="125"/>
        <v/>
      </c>
      <c r="E787" s="35" t="str">
        <f t="shared" si="122"/>
        <v/>
      </c>
      <c r="F787" s="31"/>
      <c r="G787" s="29"/>
      <c r="H787" s="78" t="str">
        <f t="shared" si="126"/>
        <v/>
      </c>
      <c r="I787" s="25"/>
      <c r="J787" s="25"/>
      <c r="K787" s="26"/>
      <c r="L787" s="26"/>
      <c r="M787" s="37"/>
      <c r="N787" s="27"/>
      <c r="O787" s="30"/>
      <c r="P787" s="39" t="str">
        <f t="shared" si="127"/>
        <v/>
      </c>
      <c r="Q787" s="40" t="str">
        <f>IF(OR(T787=0,RIGHT(T787,1)=$W$1),"",COUNTIF($T$3:T787,T787))</f>
        <v/>
      </c>
      <c r="S787" s="6">
        <f t="shared" si="128"/>
        <v>0</v>
      </c>
      <c r="T787" s="36">
        <f t="shared" si="129"/>
        <v>0</v>
      </c>
      <c r="V787" s="6">
        <f t="shared" si="130"/>
        <v>0</v>
      </c>
      <c r="Y787" s="8">
        <f t="shared" si="131"/>
        <v>46023</v>
      </c>
    </row>
    <row r="788" spans="2:25" ht="18.75" x14ac:dyDescent="0.3">
      <c r="B788" s="6">
        <f t="shared" si="123"/>
        <v>0</v>
      </c>
      <c r="C788" s="6">
        <f t="shared" si="124"/>
        <v>0</v>
      </c>
      <c r="D788" s="6" t="str">
        <f t="shared" si="125"/>
        <v/>
      </c>
      <c r="E788" s="35" t="str">
        <f t="shared" si="122"/>
        <v/>
      </c>
      <c r="F788" s="31"/>
      <c r="G788" s="29"/>
      <c r="H788" s="78" t="str">
        <f t="shared" si="126"/>
        <v/>
      </c>
      <c r="I788" s="25"/>
      <c r="J788" s="25"/>
      <c r="K788" s="26"/>
      <c r="L788" s="26"/>
      <c r="M788" s="37"/>
      <c r="N788" s="27"/>
      <c r="O788" s="30"/>
      <c r="P788" s="39" t="str">
        <f t="shared" si="127"/>
        <v/>
      </c>
      <c r="Q788" s="40" t="str">
        <f>IF(OR(T788=0,RIGHT(T788,1)=$W$1),"",COUNTIF($T$3:T788,T788))</f>
        <v/>
      </c>
      <c r="S788" s="6">
        <f t="shared" si="128"/>
        <v>0</v>
      </c>
      <c r="T788" s="36">
        <f t="shared" si="129"/>
        <v>0</v>
      </c>
      <c r="V788" s="6">
        <f t="shared" si="130"/>
        <v>0</v>
      </c>
      <c r="Y788" s="8">
        <f t="shared" si="131"/>
        <v>46023</v>
      </c>
    </row>
    <row r="789" spans="2:25" ht="18.75" x14ac:dyDescent="0.3">
      <c r="B789" s="6">
        <f t="shared" si="123"/>
        <v>0</v>
      </c>
      <c r="C789" s="6">
        <f t="shared" si="124"/>
        <v>0</v>
      </c>
      <c r="D789" s="6" t="str">
        <f t="shared" si="125"/>
        <v/>
      </c>
      <c r="E789" s="35" t="str">
        <f t="shared" si="122"/>
        <v/>
      </c>
      <c r="F789" s="31"/>
      <c r="G789" s="29"/>
      <c r="H789" s="78" t="str">
        <f t="shared" si="126"/>
        <v/>
      </c>
      <c r="I789" s="25"/>
      <c r="J789" s="25"/>
      <c r="K789" s="26"/>
      <c r="L789" s="26"/>
      <c r="M789" s="37"/>
      <c r="N789" s="27"/>
      <c r="O789" s="30"/>
      <c r="P789" s="39" t="str">
        <f t="shared" si="127"/>
        <v/>
      </c>
      <c r="Q789" s="40" t="str">
        <f>IF(OR(T789=0,RIGHT(T789,1)=$W$1),"",COUNTIF($T$3:T789,T789))</f>
        <v/>
      </c>
      <c r="S789" s="6">
        <f t="shared" si="128"/>
        <v>0</v>
      </c>
      <c r="T789" s="36">
        <f t="shared" si="129"/>
        <v>0</v>
      </c>
      <c r="V789" s="6">
        <f t="shared" si="130"/>
        <v>0</v>
      </c>
      <c r="Y789" s="8">
        <f t="shared" si="131"/>
        <v>46023</v>
      </c>
    </row>
    <row r="790" spans="2:25" ht="18.75" x14ac:dyDescent="0.3">
      <c r="B790" s="6">
        <f t="shared" si="123"/>
        <v>0</v>
      </c>
      <c r="C790" s="6">
        <f t="shared" si="124"/>
        <v>0</v>
      </c>
      <c r="D790" s="6" t="str">
        <f t="shared" si="125"/>
        <v/>
      </c>
      <c r="E790" s="35" t="str">
        <f t="shared" si="122"/>
        <v/>
      </c>
      <c r="F790" s="31"/>
      <c r="G790" s="29"/>
      <c r="H790" s="78" t="str">
        <f t="shared" si="126"/>
        <v/>
      </c>
      <c r="I790" s="25"/>
      <c r="J790" s="25"/>
      <c r="K790" s="26"/>
      <c r="L790" s="26"/>
      <c r="M790" s="37"/>
      <c r="N790" s="27"/>
      <c r="O790" s="30"/>
      <c r="P790" s="39" t="str">
        <f t="shared" si="127"/>
        <v/>
      </c>
      <c r="Q790" s="40" t="str">
        <f>IF(OR(T790=0,RIGHT(T790,1)=$W$1),"",COUNTIF($T$3:T790,T790))</f>
        <v/>
      </c>
      <c r="S790" s="6">
        <f t="shared" si="128"/>
        <v>0</v>
      </c>
      <c r="T790" s="36">
        <f t="shared" si="129"/>
        <v>0</v>
      </c>
      <c r="V790" s="6">
        <f t="shared" si="130"/>
        <v>0</v>
      </c>
      <c r="Y790" s="8">
        <f t="shared" si="131"/>
        <v>46023</v>
      </c>
    </row>
    <row r="791" spans="2:25" ht="18.75" x14ac:dyDescent="0.3">
      <c r="B791" s="6">
        <f t="shared" si="123"/>
        <v>0</v>
      </c>
      <c r="C791" s="6">
        <f t="shared" si="124"/>
        <v>0</v>
      </c>
      <c r="D791" s="6" t="str">
        <f t="shared" si="125"/>
        <v/>
      </c>
      <c r="E791" s="35" t="str">
        <f t="shared" si="122"/>
        <v/>
      </c>
      <c r="F791" s="31"/>
      <c r="G791" s="29"/>
      <c r="H791" s="78" t="str">
        <f t="shared" si="126"/>
        <v/>
      </c>
      <c r="I791" s="25"/>
      <c r="J791" s="25"/>
      <c r="K791" s="26"/>
      <c r="L791" s="26"/>
      <c r="M791" s="37"/>
      <c r="N791" s="27"/>
      <c r="O791" s="30"/>
      <c r="P791" s="39" t="str">
        <f t="shared" si="127"/>
        <v/>
      </c>
      <c r="Q791" s="40" t="str">
        <f>IF(OR(T791=0,RIGHT(T791,1)=$W$1),"",COUNTIF($T$3:T791,T791))</f>
        <v/>
      </c>
      <c r="S791" s="6">
        <f t="shared" si="128"/>
        <v>0</v>
      </c>
      <c r="T791" s="36">
        <f t="shared" si="129"/>
        <v>0</v>
      </c>
      <c r="V791" s="6">
        <f t="shared" si="130"/>
        <v>0</v>
      </c>
      <c r="Y791" s="8">
        <f t="shared" si="131"/>
        <v>46023</v>
      </c>
    </row>
    <row r="792" spans="2:25" ht="18.75" x14ac:dyDescent="0.3">
      <c r="B792" s="6">
        <f t="shared" si="123"/>
        <v>0</v>
      </c>
      <c r="C792" s="6">
        <f t="shared" si="124"/>
        <v>0</v>
      </c>
      <c r="D792" s="6" t="str">
        <f t="shared" si="125"/>
        <v/>
      </c>
      <c r="E792" s="35" t="str">
        <f t="shared" si="122"/>
        <v/>
      </c>
      <c r="F792" s="31"/>
      <c r="G792" s="29"/>
      <c r="H792" s="78" t="str">
        <f t="shared" si="126"/>
        <v/>
      </c>
      <c r="I792" s="25"/>
      <c r="J792" s="25"/>
      <c r="K792" s="26"/>
      <c r="L792" s="26"/>
      <c r="M792" s="37"/>
      <c r="N792" s="27"/>
      <c r="O792" s="30"/>
      <c r="P792" s="39" t="str">
        <f t="shared" si="127"/>
        <v/>
      </c>
      <c r="Q792" s="40" t="str">
        <f>IF(OR(T792=0,RIGHT(T792,1)=$W$1),"",COUNTIF($T$3:T792,T792))</f>
        <v/>
      </c>
      <c r="S792" s="6">
        <f t="shared" si="128"/>
        <v>0</v>
      </c>
      <c r="T792" s="36">
        <f t="shared" si="129"/>
        <v>0</v>
      </c>
      <c r="V792" s="6">
        <f t="shared" si="130"/>
        <v>0</v>
      </c>
      <c r="Y792" s="8">
        <f t="shared" si="131"/>
        <v>46023</v>
      </c>
    </row>
    <row r="793" spans="2:25" ht="18.75" x14ac:dyDescent="0.3">
      <c r="B793" s="6">
        <f t="shared" si="123"/>
        <v>0</v>
      </c>
      <c r="C793" s="6">
        <f t="shared" si="124"/>
        <v>0</v>
      </c>
      <c r="D793" s="6" t="str">
        <f t="shared" si="125"/>
        <v/>
      </c>
      <c r="E793" s="35" t="str">
        <f t="shared" si="122"/>
        <v/>
      </c>
      <c r="F793" s="31"/>
      <c r="G793" s="29"/>
      <c r="H793" s="78" t="str">
        <f t="shared" si="126"/>
        <v/>
      </c>
      <c r="I793" s="25"/>
      <c r="J793" s="25"/>
      <c r="K793" s="26"/>
      <c r="L793" s="26"/>
      <c r="M793" s="37"/>
      <c r="N793" s="27"/>
      <c r="O793" s="30"/>
      <c r="P793" s="39" t="str">
        <f t="shared" si="127"/>
        <v/>
      </c>
      <c r="Q793" s="40" t="str">
        <f>IF(OR(T793=0,RIGHT(T793,1)=$W$1),"",COUNTIF($T$3:T793,T793))</f>
        <v/>
      </c>
      <c r="S793" s="6">
        <f t="shared" si="128"/>
        <v>0</v>
      </c>
      <c r="T793" s="36">
        <f t="shared" si="129"/>
        <v>0</v>
      </c>
      <c r="V793" s="6">
        <f t="shared" si="130"/>
        <v>0</v>
      </c>
      <c r="Y793" s="8">
        <f t="shared" si="131"/>
        <v>46023</v>
      </c>
    </row>
    <row r="794" spans="2:25" ht="18.75" x14ac:dyDescent="0.3">
      <c r="B794" s="6">
        <f t="shared" si="123"/>
        <v>0</v>
      </c>
      <c r="C794" s="6">
        <f t="shared" si="124"/>
        <v>0</v>
      </c>
      <c r="D794" s="6" t="str">
        <f t="shared" si="125"/>
        <v/>
      </c>
      <c r="E794" s="35" t="str">
        <f t="shared" si="122"/>
        <v/>
      </c>
      <c r="F794" s="31"/>
      <c r="G794" s="29"/>
      <c r="H794" s="78" t="str">
        <f t="shared" si="126"/>
        <v/>
      </c>
      <c r="I794" s="25"/>
      <c r="J794" s="25"/>
      <c r="K794" s="26"/>
      <c r="L794" s="26"/>
      <c r="M794" s="37"/>
      <c r="N794" s="27"/>
      <c r="O794" s="30"/>
      <c r="P794" s="39" t="str">
        <f t="shared" si="127"/>
        <v/>
      </c>
      <c r="Q794" s="40" t="str">
        <f>IF(OR(T794=0,RIGHT(T794,1)=$W$1),"",COUNTIF($T$3:T794,T794))</f>
        <v/>
      </c>
      <c r="S794" s="6">
        <f t="shared" si="128"/>
        <v>0</v>
      </c>
      <c r="T794" s="36">
        <f t="shared" si="129"/>
        <v>0</v>
      </c>
      <c r="V794" s="6">
        <f t="shared" si="130"/>
        <v>0</v>
      </c>
      <c r="Y794" s="8">
        <f t="shared" si="131"/>
        <v>46023</v>
      </c>
    </row>
    <row r="795" spans="2:25" ht="18.75" x14ac:dyDescent="0.3">
      <c r="B795" s="6">
        <f t="shared" si="123"/>
        <v>0</v>
      </c>
      <c r="C795" s="6">
        <f t="shared" si="124"/>
        <v>0</v>
      </c>
      <c r="D795" s="6" t="str">
        <f t="shared" si="125"/>
        <v/>
      </c>
      <c r="E795" s="35" t="str">
        <f t="shared" si="122"/>
        <v/>
      </c>
      <c r="F795" s="31"/>
      <c r="G795" s="29"/>
      <c r="H795" s="78" t="str">
        <f t="shared" si="126"/>
        <v/>
      </c>
      <c r="I795" s="25"/>
      <c r="J795" s="25"/>
      <c r="K795" s="26"/>
      <c r="L795" s="26"/>
      <c r="M795" s="37"/>
      <c r="N795" s="27"/>
      <c r="O795" s="30"/>
      <c r="P795" s="39" t="str">
        <f t="shared" si="127"/>
        <v/>
      </c>
      <c r="Q795" s="40" t="str">
        <f>IF(OR(T795=0,RIGHT(T795,1)=$W$1),"",COUNTIF($T$3:T795,T795))</f>
        <v/>
      </c>
      <c r="S795" s="6">
        <f t="shared" si="128"/>
        <v>0</v>
      </c>
      <c r="T795" s="36">
        <f t="shared" si="129"/>
        <v>0</v>
      </c>
      <c r="V795" s="6">
        <f t="shared" si="130"/>
        <v>0</v>
      </c>
      <c r="Y795" s="8">
        <f t="shared" si="131"/>
        <v>46023</v>
      </c>
    </row>
    <row r="796" spans="2:25" ht="18.75" x14ac:dyDescent="0.3">
      <c r="B796" s="6">
        <f t="shared" si="123"/>
        <v>0</v>
      </c>
      <c r="C796" s="6">
        <f t="shared" si="124"/>
        <v>0</v>
      </c>
      <c r="D796" s="6" t="str">
        <f t="shared" si="125"/>
        <v/>
      </c>
      <c r="E796" s="35" t="str">
        <f t="shared" si="122"/>
        <v/>
      </c>
      <c r="F796" s="31"/>
      <c r="G796" s="29"/>
      <c r="H796" s="78" t="str">
        <f t="shared" si="126"/>
        <v/>
      </c>
      <c r="I796" s="25"/>
      <c r="J796" s="25"/>
      <c r="K796" s="26"/>
      <c r="L796" s="26"/>
      <c r="M796" s="37"/>
      <c r="N796" s="27"/>
      <c r="O796" s="30"/>
      <c r="P796" s="39" t="str">
        <f t="shared" si="127"/>
        <v/>
      </c>
      <c r="Q796" s="40" t="str">
        <f>IF(OR(T796=0,RIGHT(T796,1)=$W$1),"",COUNTIF($T$3:T796,T796))</f>
        <v/>
      </c>
      <c r="S796" s="6">
        <f t="shared" si="128"/>
        <v>0</v>
      </c>
      <c r="T796" s="36">
        <f t="shared" si="129"/>
        <v>0</v>
      </c>
      <c r="V796" s="6">
        <f t="shared" si="130"/>
        <v>0</v>
      </c>
      <c r="Y796" s="8">
        <f t="shared" si="131"/>
        <v>46023</v>
      </c>
    </row>
    <row r="797" spans="2:25" ht="18.75" x14ac:dyDescent="0.3">
      <c r="B797" s="6">
        <f t="shared" si="123"/>
        <v>0</v>
      </c>
      <c r="C797" s="6">
        <f t="shared" si="124"/>
        <v>0</v>
      </c>
      <c r="D797" s="6" t="str">
        <f t="shared" si="125"/>
        <v/>
      </c>
      <c r="E797" s="35" t="str">
        <f t="shared" si="122"/>
        <v/>
      </c>
      <c r="F797" s="31"/>
      <c r="G797" s="29"/>
      <c r="H797" s="78" t="str">
        <f t="shared" si="126"/>
        <v/>
      </c>
      <c r="I797" s="25"/>
      <c r="J797" s="25"/>
      <c r="K797" s="26"/>
      <c r="L797" s="26"/>
      <c r="M797" s="37"/>
      <c r="N797" s="27"/>
      <c r="O797" s="30"/>
      <c r="P797" s="39" t="str">
        <f t="shared" si="127"/>
        <v/>
      </c>
      <c r="Q797" s="40" t="str">
        <f>IF(OR(T797=0,RIGHT(T797,1)=$W$1),"",COUNTIF($T$3:T797,T797))</f>
        <v/>
      </c>
      <c r="S797" s="6">
        <f t="shared" si="128"/>
        <v>0</v>
      </c>
      <c r="T797" s="36">
        <f t="shared" si="129"/>
        <v>0</v>
      </c>
      <c r="V797" s="6">
        <f t="shared" si="130"/>
        <v>0</v>
      </c>
      <c r="Y797" s="8">
        <f t="shared" si="131"/>
        <v>46023</v>
      </c>
    </row>
    <row r="798" spans="2:25" ht="18.75" x14ac:dyDescent="0.3">
      <c r="B798" s="6">
        <f t="shared" si="123"/>
        <v>0</v>
      </c>
      <c r="C798" s="6">
        <f t="shared" si="124"/>
        <v>0</v>
      </c>
      <c r="D798" s="6" t="str">
        <f t="shared" si="125"/>
        <v/>
      </c>
      <c r="E798" s="35" t="str">
        <f t="shared" si="122"/>
        <v/>
      </c>
      <c r="F798" s="31"/>
      <c r="G798" s="29"/>
      <c r="H798" s="78" t="str">
        <f t="shared" si="126"/>
        <v/>
      </c>
      <c r="I798" s="25"/>
      <c r="J798" s="25"/>
      <c r="K798" s="26"/>
      <c r="L798" s="26"/>
      <c r="M798" s="37"/>
      <c r="N798" s="27"/>
      <c r="O798" s="30"/>
      <c r="P798" s="39" t="str">
        <f t="shared" si="127"/>
        <v/>
      </c>
      <c r="Q798" s="40" t="str">
        <f>IF(OR(T798=0,RIGHT(T798,1)=$W$1),"",COUNTIF($T$3:T798,T798))</f>
        <v/>
      </c>
      <c r="S798" s="6">
        <f t="shared" si="128"/>
        <v>0</v>
      </c>
      <c r="T798" s="36">
        <f t="shared" si="129"/>
        <v>0</v>
      </c>
      <c r="V798" s="6">
        <f t="shared" si="130"/>
        <v>0</v>
      </c>
      <c r="Y798" s="8">
        <f t="shared" si="131"/>
        <v>46023</v>
      </c>
    </row>
    <row r="799" spans="2:25" ht="18.75" x14ac:dyDescent="0.3">
      <c r="B799" s="6">
        <f t="shared" si="123"/>
        <v>0</v>
      </c>
      <c r="C799" s="6">
        <f t="shared" si="124"/>
        <v>0</v>
      </c>
      <c r="D799" s="6" t="str">
        <f t="shared" si="125"/>
        <v/>
      </c>
      <c r="E799" s="35" t="str">
        <f t="shared" si="122"/>
        <v/>
      </c>
      <c r="F799" s="31"/>
      <c r="G799" s="29"/>
      <c r="H799" s="78" t="str">
        <f t="shared" si="126"/>
        <v/>
      </c>
      <c r="I799" s="25"/>
      <c r="J799" s="25"/>
      <c r="K799" s="26"/>
      <c r="L799" s="26"/>
      <c r="M799" s="37"/>
      <c r="N799" s="27"/>
      <c r="O799" s="30"/>
      <c r="P799" s="39" t="str">
        <f t="shared" si="127"/>
        <v/>
      </c>
      <c r="Q799" s="40" t="str">
        <f>IF(OR(T799=0,RIGHT(T799,1)=$W$1),"",COUNTIF($T$3:T799,T799))</f>
        <v/>
      </c>
      <c r="S799" s="6">
        <f t="shared" si="128"/>
        <v>0</v>
      </c>
      <c r="T799" s="36">
        <f t="shared" si="129"/>
        <v>0</v>
      </c>
      <c r="V799" s="6">
        <f t="shared" si="130"/>
        <v>0</v>
      </c>
      <c r="Y799" s="8">
        <f t="shared" si="131"/>
        <v>46023</v>
      </c>
    </row>
    <row r="800" spans="2:25" ht="18.75" x14ac:dyDescent="0.3">
      <c r="B800" s="6">
        <f t="shared" si="123"/>
        <v>0</v>
      </c>
      <c r="C800" s="6">
        <f t="shared" si="124"/>
        <v>0</v>
      </c>
      <c r="D800" s="6" t="str">
        <f t="shared" si="125"/>
        <v/>
      </c>
      <c r="E800" s="35" t="str">
        <f t="shared" si="122"/>
        <v/>
      </c>
      <c r="F800" s="31"/>
      <c r="G800" s="29"/>
      <c r="H800" s="78" t="str">
        <f t="shared" si="126"/>
        <v/>
      </c>
      <c r="I800" s="25"/>
      <c r="J800" s="25"/>
      <c r="K800" s="26"/>
      <c r="L800" s="26"/>
      <c r="M800" s="37"/>
      <c r="N800" s="27"/>
      <c r="O800" s="30"/>
      <c r="P800" s="39" t="str">
        <f t="shared" si="127"/>
        <v/>
      </c>
      <c r="Q800" s="40" t="str">
        <f>IF(OR(T800=0,RIGHT(T800,1)=$W$1),"",COUNTIF($T$3:T800,T800))</f>
        <v/>
      </c>
      <c r="S800" s="6">
        <f t="shared" si="128"/>
        <v>0</v>
      </c>
      <c r="T800" s="36">
        <f t="shared" si="129"/>
        <v>0</v>
      </c>
      <c r="V800" s="6">
        <f t="shared" si="130"/>
        <v>0</v>
      </c>
      <c r="Y800" s="8">
        <f t="shared" si="131"/>
        <v>46023</v>
      </c>
    </row>
    <row r="801" spans="2:25" ht="18.75" x14ac:dyDescent="0.3">
      <c r="B801" s="6">
        <f t="shared" si="123"/>
        <v>0</v>
      </c>
      <c r="C801" s="6">
        <f t="shared" si="124"/>
        <v>0</v>
      </c>
      <c r="D801" s="6" t="str">
        <f t="shared" si="125"/>
        <v/>
      </c>
      <c r="E801" s="35" t="str">
        <f t="shared" si="122"/>
        <v/>
      </c>
      <c r="F801" s="31"/>
      <c r="G801" s="29"/>
      <c r="H801" s="78" t="str">
        <f t="shared" si="126"/>
        <v/>
      </c>
      <c r="I801" s="25"/>
      <c r="J801" s="25"/>
      <c r="K801" s="26"/>
      <c r="L801" s="26"/>
      <c r="M801" s="37"/>
      <c r="N801" s="27"/>
      <c r="O801" s="30"/>
      <c r="P801" s="39" t="str">
        <f t="shared" si="127"/>
        <v/>
      </c>
      <c r="Q801" s="40" t="str">
        <f>IF(OR(T801=0,RIGHT(T801,1)=$W$1),"",COUNTIF($T$3:T801,T801))</f>
        <v/>
      </c>
      <c r="S801" s="6">
        <f t="shared" si="128"/>
        <v>0</v>
      </c>
      <c r="T801" s="36">
        <f t="shared" si="129"/>
        <v>0</v>
      </c>
      <c r="V801" s="6">
        <f t="shared" si="130"/>
        <v>0</v>
      </c>
      <c r="Y801" s="8">
        <f t="shared" si="131"/>
        <v>46023</v>
      </c>
    </row>
    <row r="802" spans="2:25" ht="18.75" x14ac:dyDescent="0.3">
      <c r="B802" s="6">
        <f t="shared" si="123"/>
        <v>0</v>
      </c>
      <c r="C802" s="6">
        <f t="shared" si="124"/>
        <v>0</v>
      </c>
      <c r="D802" s="6" t="str">
        <f t="shared" si="125"/>
        <v/>
      </c>
      <c r="E802" s="35" t="str">
        <f t="shared" si="122"/>
        <v/>
      </c>
      <c r="F802" s="31"/>
      <c r="G802" s="29"/>
      <c r="H802" s="78" t="str">
        <f t="shared" si="126"/>
        <v/>
      </c>
      <c r="I802" s="25"/>
      <c r="J802" s="25"/>
      <c r="K802" s="26"/>
      <c r="L802" s="26"/>
      <c r="M802" s="37"/>
      <c r="N802" s="27"/>
      <c r="O802" s="30"/>
      <c r="P802" s="39" t="str">
        <f t="shared" si="127"/>
        <v/>
      </c>
      <c r="Q802" s="40" t="str">
        <f>IF(OR(T802=0,RIGHT(T802,1)=$W$1),"",COUNTIF($T$3:T802,T802))</f>
        <v/>
      </c>
      <c r="S802" s="6">
        <f t="shared" si="128"/>
        <v>0</v>
      </c>
      <c r="T802" s="36">
        <f t="shared" si="129"/>
        <v>0</v>
      </c>
      <c r="V802" s="6">
        <f t="shared" si="130"/>
        <v>0</v>
      </c>
      <c r="Y802" s="8">
        <f t="shared" si="131"/>
        <v>46023</v>
      </c>
    </row>
    <row r="803" spans="2:25" ht="18.75" x14ac:dyDescent="0.3">
      <c r="B803" s="6">
        <f t="shared" si="123"/>
        <v>0</v>
      </c>
      <c r="C803" s="6">
        <f t="shared" si="124"/>
        <v>0</v>
      </c>
      <c r="D803" s="6" t="str">
        <f t="shared" si="125"/>
        <v/>
      </c>
      <c r="E803" s="35" t="str">
        <f t="shared" si="122"/>
        <v/>
      </c>
      <c r="F803" s="31"/>
      <c r="G803" s="29"/>
      <c r="H803" s="78" t="str">
        <f t="shared" si="126"/>
        <v/>
      </c>
      <c r="I803" s="25"/>
      <c r="J803" s="25"/>
      <c r="K803" s="26"/>
      <c r="L803" s="26"/>
      <c r="M803" s="37"/>
      <c r="N803" s="27"/>
      <c r="O803" s="30"/>
      <c r="P803" s="39" t="str">
        <f t="shared" si="127"/>
        <v/>
      </c>
      <c r="Q803" s="40" t="str">
        <f>IF(OR(T803=0,RIGHT(T803,1)=$W$1),"",COUNTIF($T$3:T803,T803))</f>
        <v/>
      </c>
      <c r="S803" s="6">
        <f t="shared" si="128"/>
        <v>0</v>
      </c>
      <c r="T803" s="36">
        <f t="shared" si="129"/>
        <v>0</v>
      </c>
      <c r="V803" s="6">
        <f t="shared" si="130"/>
        <v>0</v>
      </c>
      <c r="Y803" s="8">
        <f t="shared" si="131"/>
        <v>46023</v>
      </c>
    </row>
    <row r="804" spans="2:25" ht="18.75" x14ac:dyDescent="0.3">
      <c r="B804" s="6">
        <f t="shared" si="123"/>
        <v>0</v>
      </c>
      <c r="C804" s="6">
        <f t="shared" si="124"/>
        <v>0</v>
      </c>
      <c r="D804" s="6" t="str">
        <f t="shared" si="125"/>
        <v/>
      </c>
      <c r="E804" s="35" t="str">
        <f t="shared" si="122"/>
        <v/>
      </c>
      <c r="F804" s="31"/>
      <c r="G804" s="29"/>
      <c r="H804" s="78" t="str">
        <f t="shared" si="126"/>
        <v/>
      </c>
      <c r="I804" s="25"/>
      <c r="J804" s="25"/>
      <c r="K804" s="26"/>
      <c r="L804" s="26"/>
      <c r="M804" s="37"/>
      <c r="N804" s="27"/>
      <c r="O804" s="30"/>
      <c r="P804" s="39" t="str">
        <f t="shared" si="127"/>
        <v/>
      </c>
      <c r="Q804" s="40" t="str">
        <f>IF(OR(T804=0,RIGHT(T804,1)=$W$1),"",COUNTIF($T$3:T804,T804))</f>
        <v/>
      </c>
      <c r="S804" s="6">
        <f t="shared" si="128"/>
        <v>0</v>
      </c>
      <c r="T804" s="36">
        <f t="shared" si="129"/>
        <v>0</v>
      </c>
      <c r="V804" s="6">
        <f t="shared" si="130"/>
        <v>0</v>
      </c>
      <c r="Y804" s="8">
        <f t="shared" si="131"/>
        <v>46023</v>
      </c>
    </row>
    <row r="805" spans="2:25" ht="18.75" x14ac:dyDescent="0.3">
      <c r="B805" s="6">
        <f t="shared" si="123"/>
        <v>0</v>
      </c>
      <c r="C805" s="6">
        <f t="shared" si="124"/>
        <v>0</v>
      </c>
      <c r="D805" s="6" t="str">
        <f t="shared" si="125"/>
        <v/>
      </c>
      <c r="E805" s="35" t="str">
        <f t="shared" si="122"/>
        <v/>
      </c>
      <c r="F805" s="31"/>
      <c r="G805" s="29"/>
      <c r="H805" s="78" t="str">
        <f t="shared" si="126"/>
        <v/>
      </c>
      <c r="I805" s="25"/>
      <c r="J805" s="25"/>
      <c r="K805" s="26"/>
      <c r="L805" s="26"/>
      <c r="M805" s="37"/>
      <c r="N805" s="27"/>
      <c r="O805" s="30"/>
      <c r="P805" s="39" t="str">
        <f t="shared" si="127"/>
        <v/>
      </c>
      <c r="Q805" s="40" t="str">
        <f>IF(OR(T805=0,RIGHT(T805,1)=$W$1),"",COUNTIF($T$3:T805,T805))</f>
        <v/>
      </c>
      <c r="S805" s="6">
        <f t="shared" si="128"/>
        <v>0</v>
      </c>
      <c r="T805" s="36">
        <f t="shared" si="129"/>
        <v>0</v>
      </c>
      <c r="V805" s="6">
        <f t="shared" si="130"/>
        <v>0</v>
      </c>
      <c r="Y805" s="8">
        <f t="shared" si="131"/>
        <v>46023</v>
      </c>
    </row>
    <row r="806" spans="2:25" ht="18.75" x14ac:dyDescent="0.3">
      <c r="B806" s="6">
        <f t="shared" si="123"/>
        <v>0</v>
      </c>
      <c r="C806" s="6">
        <f t="shared" si="124"/>
        <v>0</v>
      </c>
      <c r="D806" s="6" t="str">
        <f t="shared" si="125"/>
        <v/>
      </c>
      <c r="E806" s="35" t="str">
        <f t="shared" si="122"/>
        <v/>
      </c>
      <c r="F806" s="31"/>
      <c r="G806" s="29"/>
      <c r="H806" s="78" t="str">
        <f t="shared" si="126"/>
        <v/>
      </c>
      <c r="I806" s="25"/>
      <c r="J806" s="25"/>
      <c r="K806" s="26"/>
      <c r="L806" s="26"/>
      <c r="M806" s="37"/>
      <c r="N806" s="27"/>
      <c r="O806" s="30"/>
      <c r="P806" s="39" t="str">
        <f t="shared" si="127"/>
        <v/>
      </c>
      <c r="Q806" s="40" t="str">
        <f>IF(OR(T806=0,RIGHT(T806,1)=$W$1),"",COUNTIF($T$3:T806,T806))</f>
        <v/>
      </c>
      <c r="S806" s="6">
        <f t="shared" si="128"/>
        <v>0</v>
      </c>
      <c r="T806" s="36">
        <f t="shared" si="129"/>
        <v>0</v>
      </c>
      <c r="V806" s="6">
        <f t="shared" si="130"/>
        <v>0</v>
      </c>
      <c r="Y806" s="8">
        <f t="shared" si="131"/>
        <v>46023</v>
      </c>
    </row>
    <row r="807" spans="2:25" ht="18.75" x14ac:dyDescent="0.3">
      <c r="B807" s="6">
        <f t="shared" si="123"/>
        <v>0</v>
      </c>
      <c r="C807" s="6">
        <f t="shared" si="124"/>
        <v>0</v>
      </c>
      <c r="D807" s="6" t="str">
        <f t="shared" si="125"/>
        <v/>
      </c>
      <c r="E807" s="35" t="str">
        <f t="shared" si="122"/>
        <v/>
      </c>
      <c r="F807" s="31"/>
      <c r="G807" s="29"/>
      <c r="H807" s="78" t="str">
        <f t="shared" si="126"/>
        <v/>
      </c>
      <c r="I807" s="25"/>
      <c r="J807" s="25"/>
      <c r="K807" s="26"/>
      <c r="L807" s="26"/>
      <c r="M807" s="37"/>
      <c r="N807" s="27"/>
      <c r="O807" s="30"/>
      <c r="P807" s="39" t="str">
        <f t="shared" si="127"/>
        <v/>
      </c>
      <c r="Q807" s="40" t="str">
        <f>IF(OR(T807=0,RIGHT(T807,1)=$W$1),"",COUNTIF($T$3:T807,T807))</f>
        <v/>
      </c>
      <c r="S807" s="6">
        <f t="shared" si="128"/>
        <v>0</v>
      </c>
      <c r="T807" s="36">
        <f t="shared" si="129"/>
        <v>0</v>
      </c>
      <c r="V807" s="6">
        <f t="shared" si="130"/>
        <v>0</v>
      </c>
      <c r="Y807" s="8">
        <f t="shared" si="131"/>
        <v>46023</v>
      </c>
    </row>
    <row r="808" spans="2:25" ht="18.75" x14ac:dyDescent="0.3">
      <c r="B808" s="6">
        <f t="shared" si="123"/>
        <v>0</v>
      </c>
      <c r="C808" s="6">
        <f t="shared" si="124"/>
        <v>0</v>
      </c>
      <c r="D808" s="6" t="str">
        <f t="shared" si="125"/>
        <v/>
      </c>
      <c r="E808" s="35" t="str">
        <f t="shared" si="122"/>
        <v/>
      </c>
      <c r="F808" s="31"/>
      <c r="G808" s="29"/>
      <c r="H808" s="78" t="str">
        <f t="shared" si="126"/>
        <v/>
      </c>
      <c r="I808" s="25"/>
      <c r="J808" s="25"/>
      <c r="K808" s="26"/>
      <c r="L808" s="26"/>
      <c r="M808" s="37"/>
      <c r="N808" s="27"/>
      <c r="O808" s="30"/>
      <c r="P808" s="39" t="str">
        <f t="shared" si="127"/>
        <v/>
      </c>
      <c r="Q808" s="40" t="str">
        <f>IF(OR(T808=0,RIGHT(T808,1)=$W$1),"",COUNTIF($T$3:T808,T808))</f>
        <v/>
      </c>
      <c r="S808" s="6">
        <f t="shared" si="128"/>
        <v>0</v>
      </c>
      <c r="T808" s="36">
        <f t="shared" si="129"/>
        <v>0</v>
      </c>
      <c r="V808" s="6">
        <f t="shared" si="130"/>
        <v>0</v>
      </c>
      <c r="Y808" s="8">
        <f t="shared" si="131"/>
        <v>46023</v>
      </c>
    </row>
    <row r="809" spans="2:25" ht="18.75" x14ac:dyDescent="0.3">
      <c r="B809" s="6">
        <f t="shared" si="123"/>
        <v>0</v>
      </c>
      <c r="C809" s="6">
        <f t="shared" si="124"/>
        <v>0</v>
      </c>
      <c r="D809" s="6" t="str">
        <f t="shared" si="125"/>
        <v/>
      </c>
      <c r="E809" s="35" t="str">
        <f t="shared" si="122"/>
        <v/>
      </c>
      <c r="F809" s="31"/>
      <c r="G809" s="29"/>
      <c r="H809" s="78" t="str">
        <f t="shared" si="126"/>
        <v/>
      </c>
      <c r="I809" s="25"/>
      <c r="J809" s="25"/>
      <c r="K809" s="26"/>
      <c r="L809" s="26"/>
      <c r="M809" s="37"/>
      <c r="N809" s="27"/>
      <c r="O809" s="30"/>
      <c r="P809" s="39" t="str">
        <f t="shared" si="127"/>
        <v/>
      </c>
      <c r="Q809" s="40" t="str">
        <f>IF(OR(T809=0,RIGHT(T809,1)=$W$1),"",COUNTIF($T$3:T809,T809))</f>
        <v/>
      </c>
      <c r="S809" s="6">
        <f t="shared" si="128"/>
        <v>0</v>
      </c>
      <c r="T809" s="36">
        <f t="shared" si="129"/>
        <v>0</v>
      </c>
      <c r="V809" s="6">
        <f t="shared" si="130"/>
        <v>0</v>
      </c>
      <c r="Y809" s="8">
        <f t="shared" si="131"/>
        <v>46023</v>
      </c>
    </row>
    <row r="810" spans="2:25" ht="18.75" x14ac:dyDescent="0.3">
      <c r="B810" s="6">
        <f t="shared" si="123"/>
        <v>0</v>
      </c>
      <c r="C810" s="6">
        <f t="shared" si="124"/>
        <v>0</v>
      </c>
      <c r="D810" s="6" t="str">
        <f t="shared" si="125"/>
        <v/>
      </c>
      <c r="E810" s="35" t="str">
        <f t="shared" si="122"/>
        <v/>
      </c>
      <c r="F810" s="31"/>
      <c r="G810" s="29"/>
      <c r="H810" s="78" t="str">
        <f t="shared" si="126"/>
        <v/>
      </c>
      <c r="I810" s="25"/>
      <c r="J810" s="25"/>
      <c r="K810" s="26"/>
      <c r="L810" s="26"/>
      <c r="M810" s="37"/>
      <c r="N810" s="27"/>
      <c r="O810" s="30"/>
      <c r="P810" s="39" t="str">
        <f t="shared" si="127"/>
        <v/>
      </c>
      <c r="Q810" s="40" t="str">
        <f>IF(OR(T810=0,RIGHT(T810,1)=$W$1),"",COUNTIF($T$3:T810,T810))</f>
        <v/>
      </c>
      <c r="S810" s="6">
        <f t="shared" si="128"/>
        <v>0</v>
      </c>
      <c r="T810" s="36">
        <f t="shared" si="129"/>
        <v>0</v>
      </c>
      <c r="V810" s="6">
        <f t="shared" si="130"/>
        <v>0</v>
      </c>
      <c r="Y810" s="8">
        <f t="shared" si="131"/>
        <v>46023</v>
      </c>
    </row>
    <row r="811" spans="2:25" ht="18.75" x14ac:dyDescent="0.3">
      <c r="B811" s="6">
        <f t="shared" si="123"/>
        <v>0</v>
      </c>
      <c r="C811" s="6">
        <f t="shared" si="124"/>
        <v>0</v>
      </c>
      <c r="D811" s="6" t="str">
        <f t="shared" si="125"/>
        <v/>
      </c>
      <c r="E811" s="35" t="str">
        <f t="shared" si="122"/>
        <v/>
      </c>
      <c r="F811" s="31"/>
      <c r="G811" s="29"/>
      <c r="H811" s="78" t="str">
        <f t="shared" si="126"/>
        <v/>
      </c>
      <c r="I811" s="25"/>
      <c r="J811" s="25"/>
      <c r="K811" s="26"/>
      <c r="L811" s="26"/>
      <c r="M811" s="37"/>
      <c r="N811" s="27"/>
      <c r="O811" s="30"/>
      <c r="P811" s="39" t="str">
        <f t="shared" si="127"/>
        <v/>
      </c>
      <c r="Q811" s="40" t="str">
        <f>IF(OR(T811=0,RIGHT(T811,1)=$W$1),"",COUNTIF($T$3:T811,T811))</f>
        <v/>
      </c>
      <c r="S811" s="6">
        <f t="shared" si="128"/>
        <v>0</v>
      </c>
      <c r="T811" s="36">
        <f t="shared" si="129"/>
        <v>0</v>
      </c>
      <c r="V811" s="6">
        <f t="shared" si="130"/>
        <v>0</v>
      </c>
      <c r="Y811" s="8">
        <f t="shared" si="131"/>
        <v>46023</v>
      </c>
    </row>
    <row r="812" spans="2:25" ht="18.75" x14ac:dyDescent="0.3">
      <c r="B812" s="6">
        <f t="shared" si="123"/>
        <v>0</v>
      </c>
      <c r="C812" s="6">
        <f t="shared" si="124"/>
        <v>0</v>
      </c>
      <c r="D812" s="6" t="str">
        <f t="shared" si="125"/>
        <v/>
      </c>
      <c r="E812" s="35" t="str">
        <f t="shared" si="122"/>
        <v/>
      </c>
      <c r="F812" s="31"/>
      <c r="G812" s="29"/>
      <c r="H812" s="78" t="str">
        <f t="shared" si="126"/>
        <v/>
      </c>
      <c r="I812" s="25"/>
      <c r="J812" s="25"/>
      <c r="K812" s="26"/>
      <c r="L812" s="26"/>
      <c r="M812" s="37"/>
      <c r="N812" s="27"/>
      <c r="O812" s="30"/>
      <c r="P812" s="39" t="str">
        <f t="shared" si="127"/>
        <v/>
      </c>
      <c r="Q812" s="40" t="str">
        <f>IF(OR(T812=0,RIGHT(T812,1)=$W$1),"",COUNTIF($T$3:T812,T812))</f>
        <v/>
      </c>
      <c r="S812" s="6">
        <f t="shared" si="128"/>
        <v>0</v>
      </c>
      <c r="T812" s="36">
        <f t="shared" si="129"/>
        <v>0</v>
      </c>
      <c r="V812" s="6">
        <f t="shared" si="130"/>
        <v>0</v>
      </c>
      <c r="Y812" s="8">
        <f t="shared" si="131"/>
        <v>46023</v>
      </c>
    </row>
    <row r="813" spans="2:25" ht="18.75" x14ac:dyDescent="0.3">
      <c r="B813" s="6">
        <f t="shared" si="123"/>
        <v>0</v>
      </c>
      <c r="C813" s="6">
        <f t="shared" si="124"/>
        <v>0</v>
      </c>
      <c r="D813" s="6" t="str">
        <f t="shared" si="125"/>
        <v/>
      </c>
      <c r="E813" s="35" t="str">
        <f t="shared" si="122"/>
        <v/>
      </c>
      <c r="F813" s="31"/>
      <c r="G813" s="29"/>
      <c r="H813" s="78" t="str">
        <f t="shared" si="126"/>
        <v/>
      </c>
      <c r="I813" s="25"/>
      <c r="J813" s="25"/>
      <c r="K813" s="26"/>
      <c r="L813" s="26"/>
      <c r="M813" s="37"/>
      <c r="N813" s="27"/>
      <c r="O813" s="30"/>
      <c r="P813" s="39" t="str">
        <f t="shared" si="127"/>
        <v/>
      </c>
      <c r="Q813" s="40" t="str">
        <f>IF(OR(T813=0,RIGHT(T813,1)=$W$1),"",COUNTIF($T$3:T813,T813))</f>
        <v/>
      </c>
      <c r="S813" s="6">
        <f t="shared" si="128"/>
        <v>0</v>
      </c>
      <c r="T813" s="36">
        <f t="shared" si="129"/>
        <v>0</v>
      </c>
      <c r="V813" s="6">
        <f t="shared" si="130"/>
        <v>0</v>
      </c>
      <c r="Y813" s="8">
        <f t="shared" si="131"/>
        <v>46023</v>
      </c>
    </row>
    <row r="814" spans="2:25" ht="18.75" x14ac:dyDescent="0.3">
      <c r="B814" s="6">
        <f t="shared" si="123"/>
        <v>0</v>
      </c>
      <c r="C814" s="6">
        <f t="shared" si="124"/>
        <v>0</v>
      </c>
      <c r="D814" s="6" t="str">
        <f t="shared" si="125"/>
        <v/>
      </c>
      <c r="E814" s="35" t="str">
        <f t="shared" si="122"/>
        <v/>
      </c>
      <c r="F814" s="31"/>
      <c r="G814" s="29"/>
      <c r="H814" s="78" t="str">
        <f t="shared" si="126"/>
        <v/>
      </c>
      <c r="I814" s="25"/>
      <c r="J814" s="25"/>
      <c r="K814" s="26"/>
      <c r="L814" s="26"/>
      <c r="M814" s="37"/>
      <c r="N814" s="27"/>
      <c r="O814" s="30"/>
      <c r="P814" s="39" t="str">
        <f t="shared" si="127"/>
        <v/>
      </c>
      <c r="Q814" s="40" t="str">
        <f>IF(OR(T814=0,RIGHT(T814,1)=$W$1),"",COUNTIF($T$3:T814,T814))</f>
        <v/>
      </c>
      <c r="S814" s="6">
        <f t="shared" si="128"/>
        <v>0</v>
      </c>
      <c r="T814" s="36">
        <f t="shared" si="129"/>
        <v>0</v>
      </c>
      <c r="V814" s="6">
        <f t="shared" si="130"/>
        <v>0</v>
      </c>
      <c r="Y814" s="8">
        <f t="shared" si="131"/>
        <v>46023</v>
      </c>
    </row>
    <row r="815" spans="2:25" ht="18.75" x14ac:dyDescent="0.3">
      <c r="B815" s="6">
        <f t="shared" si="123"/>
        <v>0</v>
      </c>
      <c r="C815" s="6">
        <f t="shared" si="124"/>
        <v>0</v>
      </c>
      <c r="D815" s="6" t="str">
        <f t="shared" si="125"/>
        <v/>
      </c>
      <c r="E815" s="35" t="str">
        <f t="shared" si="122"/>
        <v/>
      </c>
      <c r="F815" s="31"/>
      <c r="G815" s="29"/>
      <c r="H815" s="78" t="str">
        <f t="shared" si="126"/>
        <v/>
      </c>
      <c r="I815" s="25"/>
      <c r="J815" s="25"/>
      <c r="K815" s="26"/>
      <c r="L815" s="26"/>
      <c r="M815" s="37"/>
      <c r="N815" s="27"/>
      <c r="O815" s="30"/>
      <c r="P815" s="39" t="str">
        <f t="shared" si="127"/>
        <v/>
      </c>
      <c r="Q815" s="40" t="str">
        <f>IF(OR(T815=0,RIGHT(T815,1)=$W$1),"",COUNTIF($T$3:T815,T815))</f>
        <v/>
      </c>
      <c r="S815" s="6">
        <f t="shared" si="128"/>
        <v>0</v>
      </c>
      <c r="T815" s="36">
        <f t="shared" si="129"/>
        <v>0</v>
      </c>
      <c r="V815" s="6">
        <f t="shared" si="130"/>
        <v>0</v>
      </c>
      <c r="Y815" s="8">
        <f t="shared" si="131"/>
        <v>46023</v>
      </c>
    </row>
    <row r="816" spans="2:25" ht="18.75" x14ac:dyDescent="0.3">
      <c r="B816" s="6">
        <f t="shared" si="123"/>
        <v>0</v>
      </c>
      <c r="C816" s="6">
        <f t="shared" si="124"/>
        <v>0</v>
      </c>
      <c r="D816" s="6" t="str">
        <f t="shared" si="125"/>
        <v/>
      </c>
      <c r="E816" s="35" t="str">
        <f t="shared" si="122"/>
        <v/>
      </c>
      <c r="F816" s="31"/>
      <c r="G816" s="29"/>
      <c r="H816" s="78" t="str">
        <f t="shared" si="126"/>
        <v/>
      </c>
      <c r="I816" s="25"/>
      <c r="J816" s="25"/>
      <c r="K816" s="26"/>
      <c r="L816" s="26"/>
      <c r="M816" s="37"/>
      <c r="N816" s="27"/>
      <c r="O816" s="30"/>
      <c r="P816" s="39" t="str">
        <f t="shared" si="127"/>
        <v/>
      </c>
      <c r="Q816" s="40" t="str">
        <f>IF(OR(T816=0,RIGHT(T816,1)=$W$1),"",COUNTIF($T$3:T816,T816))</f>
        <v/>
      </c>
      <c r="S816" s="6">
        <f t="shared" si="128"/>
        <v>0</v>
      </c>
      <c r="T816" s="36">
        <f t="shared" si="129"/>
        <v>0</v>
      </c>
      <c r="V816" s="6">
        <f t="shared" si="130"/>
        <v>0</v>
      </c>
      <c r="Y816" s="8">
        <f t="shared" si="131"/>
        <v>46023</v>
      </c>
    </row>
    <row r="817" spans="2:25" ht="18.75" x14ac:dyDescent="0.3">
      <c r="B817" s="6">
        <f t="shared" si="123"/>
        <v>0</v>
      </c>
      <c r="C817" s="6">
        <f t="shared" si="124"/>
        <v>0</v>
      </c>
      <c r="D817" s="6" t="str">
        <f t="shared" si="125"/>
        <v/>
      </c>
      <c r="E817" s="35" t="str">
        <f t="shared" si="122"/>
        <v/>
      </c>
      <c r="F817" s="31"/>
      <c r="G817" s="29"/>
      <c r="H817" s="78" t="str">
        <f t="shared" si="126"/>
        <v/>
      </c>
      <c r="I817" s="25"/>
      <c r="J817" s="25"/>
      <c r="K817" s="26"/>
      <c r="L817" s="26"/>
      <c r="M817" s="37"/>
      <c r="N817" s="27"/>
      <c r="O817" s="30"/>
      <c r="P817" s="39" t="str">
        <f t="shared" si="127"/>
        <v/>
      </c>
      <c r="Q817" s="40" t="str">
        <f>IF(OR(T817=0,RIGHT(T817,1)=$W$1),"",COUNTIF($T$3:T817,T817))</f>
        <v/>
      </c>
      <c r="S817" s="6">
        <f t="shared" si="128"/>
        <v>0</v>
      </c>
      <c r="T817" s="36">
        <f t="shared" si="129"/>
        <v>0</v>
      </c>
      <c r="V817" s="6">
        <f t="shared" si="130"/>
        <v>0</v>
      </c>
      <c r="Y817" s="8">
        <f t="shared" si="131"/>
        <v>46023</v>
      </c>
    </row>
    <row r="818" spans="2:25" ht="18.75" x14ac:dyDescent="0.3">
      <c r="B818" s="6">
        <f t="shared" si="123"/>
        <v>0</v>
      </c>
      <c r="C818" s="6">
        <f t="shared" si="124"/>
        <v>0</v>
      </c>
      <c r="D818" s="6" t="str">
        <f t="shared" si="125"/>
        <v/>
      </c>
      <c r="E818" s="35" t="str">
        <f t="shared" si="122"/>
        <v/>
      </c>
      <c r="F818" s="31"/>
      <c r="G818" s="29"/>
      <c r="H818" s="78" t="str">
        <f t="shared" si="126"/>
        <v/>
      </c>
      <c r="I818" s="25"/>
      <c r="J818" s="25"/>
      <c r="K818" s="26"/>
      <c r="L818" s="26"/>
      <c r="M818" s="37"/>
      <c r="N818" s="27"/>
      <c r="O818" s="30"/>
      <c r="P818" s="39" t="str">
        <f t="shared" si="127"/>
        <v/>
      </c>
      <c r="Q818" s="40" t="str">
        <f>IF(OR(T818=0,RIGHT(T818,1)=$W$1),"",COUNTIF($T$3:T818,T818))</f>
        <v/>
      </c>
      <c r="S818" s="6">
        <f t="shared" si="128"/>
        <v>0</v>
      </c>
      <c r="T818" s="36">
        <f t="shared" si="129"/>
        <v>0</v>
      </c>
      <c r="V818" s="6">
        <f t="shared" si="130"/>
        <v>0</v>
      </c>
      <c r="Y818" s="8">
        <f t="shared" si="131"/>
        <v>46023</v>
      </c>
    </row>
    <row r="819" spans="2:25" ht="18.75" x14ac:dyDescent="0.3">
      <c r="B819" s="6">
        <f t="shared" si="123"/>
        <v>0</v>
      </c>
      <c r="C819" s="6">
        <f t="shared" si="124"/>
        <v>0</v>
      </c>
      <c r="D819" s="6" t="str">
        <f t="shared" si="125"/>
        <v/>
      </c>
      <c r="E819" s="35" t="str">
        <f t="shared" si="122"/>
        <v/>
      </c>
      <c r="F819" s="31"/>
      <c r="G819" s="29"/>
      <c r="H819" s="78" t="str">
        <f t="shared" si="126"/>
        <v/>
      </c>
      <c r="I819" s="25"/>
      <c r="J819" s="25"/>
      <c r="K819" s="26"/>
      <c r="L819" s="26"/>
      <c r="M819" s="37"/>
      <c r="N819" s="27"/>
      <c r="O819" s="30"/>
      <c r="P819" s="39" t="str">
        <f t="shared" si="127"/>
        <v/>
      </c>
      <c r="Q819" s="40" t="str">
        <f>IF(OR(T819=0,RIGHT(T819,1)=$W$1),"",COUNTIF($T$3:T819,T819))</f>
        <v/>
      </c>
      <c r="S819" s="6">
        <f t="shared" si="128"/>
        <v>0</v>
      </c>
      <c r="T819" s="36">
        <f t="shared" si="129"/>
        <v>0</v>
      </c>
      <c r="V819" s="6">
        <f t="shared" si="130"/>
        <v>0</v>
      </c>
      <c r="Y819" s="8">
        <f t="shared" si="131"/>
        <v>46023</v>
      </c>
    </row>
    <row r="820" spans="2:25" ht="18.75" x14ac:dyDescent="0.3">
      <c r="B820" s="6">
        <f t="shared" si="123"/>
        <v>0</v>
      </c>
      <c r="C820" s="6">
        <f t="shared" si="124"/>
        <v>0</v>
      </c>
      <c r="D820" s="6" t="str">
        <f t="shared" si="125"/>
        <v/>
      </c>
      <c r="E820" s="35" t="str">
        <f t="shared" si="122"/>
        <v/>
      </c>
      <c r="F820" s="31"/>
      <c r="G820" s="29"/>
      <c r="H820" s="78" t="str">
        <f t="shared" si="126"/>
        <v/>
      </c>
      <c r="I820" s="25"/>
      <c r="J820" s="25"/>
      <c r="K820" s="26"/>
      <c r="L820" s="26"/>
      <c r="M820" s="37"/>
      <c r="N820" s="27"/>
      <c r="O820" s="30"/>
      <c r="P820" s="39" t="str">
        <f t="shared" si="127"/>
        <v/>
      </c>
      <c r="Q820" s="40" t="str">
        <f>IF(OR(T820=0,RIGHT(T820,1)=$W$1),"",COUNTIF($T$3:T820,T820))</f>
        <v/>
      </c>
      <c r="S820" s="6">
        <f t="shared" si="128"/>
        <v>0</v>
      </c>
      <c r="T820" s="36">
        <f t="shared" si="129"/>
        <v>0</v>
      </c>
      <c r="V820" s="6">
        <f t="shared" si="130"/>
        <v>0</v>
      </c>
      <c r="Y820" s="8">
        <f t="shared" si="131"/>
        <v>46023</v>
      </c>
    </row>
    <row r="821" spans="2:25" ht="18.75" x14ac:dyDescent="0.3">
      <c r="B821" s="6">
        <f t="shared" si="123"/>
        <v>0</v>
      </c>
      <c r="C821" s="6">
        <f t="shared" si="124"/>
        <v>0</v>
      </c>
      <c r="D821" s="6" t="str">
        <f t="shared" si="125"/>
        <v/>
      </c>
      <c r="E821" s="35" t="str">
        <f t="shared" si="122"/>
        <v/>
      </c>
      <c r="F821" s="31"/>
      <c r="G821" s="29"/>
      <c r="H821" s="78" t="str">
        <f t="shared" si="126"/>
        <v/>
      </c>
      <c r="I821" s="25"/>
      <c r="J821" s="25"/>
      <c r="K821" s="26"/>
      <c r="L821" s="26"/>
      <c r="M821" s="37"/>
      <c r="N821" s="27"/>
      <c r="O821" s="30"/>
      <c r="P821" s="39" t="str">
        <f t="shared" si="127"/>
        <v/>
      </c>
      <c r="Q821" s="40" t="str">
        <f>IF(OR(T821=0,RIGHT(T821,1)=$W$1),"",COUNTIF($T$3:T821,T821))</f>
        <v/>
      </c>
      <c r="S821" s="6">
        <f t="shared" si="128"/>
        <v>0</v>
      </c>
      <c r="T821" s="36">
        <f t="shared" si="129"/>
        <v>0</v>
      </c>
      <c r="V821" s="6">
        <f t="shared" si="130"/>
        <v>0</v>
      </c>
      <c r="Y821" s="8">
        <f t="shared" si="131"/>
        <v>46023</v>
      </c>
    </row>
    <row r="822" spans="2:25" ht="18.75" x14ac:dyDescent="0.3">
      <c r="B822" s="6">
        <f t="shared" si="123"/>
        <v>0</v>
      </c>
      <c r="C822" s="6">
        <f t="shared" si="124"/>
        <v>0</v>
      </c>
      <c r="D822" s="6" t="str">
        <f t="shared" si="125"/>
        <v/>
      </c>
      <c r="E822" s="35" t="str">
        <f t="shared" si="122"/>
        <v/>
      </c>
      <c r="F822" s="31"/>
      <c r="G822" s="29"/>
      <c r="H822" s="78" t="str">
        <f t="shared" si="126"/>
        <v/>
      </c>
      <c r="I822" s="25"/>
      <c r="J822" s="25"/>
      <c r="K822" s="26"/>
      <c r="L822" s="26"/>
      <c r="M822" s="37"/>
      <c r="N822" s="27"/>
      <c r="O822" s="30"/>
      <c r="P822" s="39" t="str">
        <f t="shared" si="127"/>
        <v/>
      </c>
      <c r="Q822" s="40" t="str">
        <f>IF(OR(T822=0,RIGHT(T822,1)=$W$1),"",COUNTIF($T$3:T822,T822))</f>
        <v/>
      </c>
      <c r="S822" s="6">
        <f t="shared" si="128"/>
        <v>0</v>
      </c>
      <c r="T822" s="36">
        <f t="shared" si="129"/>
        <v>0</v>
      </c>
      <c r="V822" s="6">
        <f t="shared" si="130"/>
        <v>0</v>
      </c>
      <c r="Y822" s="8">
        <f t="shared" si="131"/>
        <v>46023</v>
      </c>
    </row>
    <row r="823" spans="2:25" ht="18.75" x14ac:dyDescent="0.3">
      <c r="B823" s="6">
        <f t="shared" si="123"/>
        <v>0</v>
      </c>
      <c r="C823" s="6">
        <f t="shared" si="124"/>
        <v>0</v>
      </c>
      <c r="D823" s="6" t="str">
        <f t="shared" si="125"/>
        <v/>
      </c>
      <c r="E823" s="35" t="str">
        <f t="shared" si="122"/>
        <v/>
      </c>
      <c r="F823" s="31"/>
      <c r="G823" s="29"/>
      <c r="H823" s="78" t="str">
        <f t="shared" si="126"/>
        <v/>
      </c>
      <c r="I823" s="25"/>
      <c r="J823" s="25"/>
      <c r="K823" s="26"/>
      <c r="L823" s="26"/>
      <c r="M823" s="37"/>
      <c r="N823" s="27"/>
      <c r="O823" s="30"/>
      <c r="P823" s="39" t="str">
        <f t="shared" si="127"/>
        <v/>
      </c>
      <c r="Q823" s="40" t="str">
        <f>IF(OR(T823=0,RIGHT(T823,1)=$W$1),"",COUNTIF($T$3:T823,T823))</f>
        <v/>
      </c>
      <c r="S823" s="6">
        <f t="shared" si="128"/>
        <v>0</v>
      </c>
      <c r="T823" s="36">
        <f t="shared" si="129"/>
        <v>0</v>
      </c>
      <c r="V823" s="6">
        <f t="shared" si="130"/>
        <v>0</v>
      </c>
      <c r="Y823" s="8">
        <f t="shared" si="131"/>
        <v>46023</v>
      </c>
    </row>
    <row r="824" spans="2:25" ht="18.75" x14ac:dyDescent="0.3">
      <c r="B824" s="6">
        <f t="shared" si="123"/>
        <v>0</v>
      </c>
      <c r="C824" s="6">
        <f t="shared" si="124"/>
        <v>0</v>
      </c>
      <c r="D824" s="6" t="str">
        <f t="shared" si="125"/>
        <v/>
      </c>
      <c r="E824" s="35" t="str">
        <f t="shared" si="122"/>
        <v/>
      </c>
      <c r="F824" s="31"/>
      <c r="G824" s="29"/>
      <c r="H824" s="78" t="str">
        <f t="shared" si="126"/>
        <v/>
      </c>
      <c r="I824" s="25"/>
      <c r="J824" s="25"/>
      <c r="K824" s="26"/>
      <c r="L824" s="26"/>
      <c r="M824" s="37"/>
      <c r="N824" s="27"/>
      <c r="O824" s="30"/>
      <c r="P824" s="39" t="str">
        <f t="shared" si="127"/>
        <v/>
      </c>
      <c r="Q824" s="40" t="str">
        <f>IF(OR(T824=0,RIGHT(T824,1)=$W$1),"",COUNTIF($T$3:T824,T824))</f>
        <v/>
      </c>
      <c r="S824" s="6">
        <f t="shared" si="128"/>
        <v>0</v>
      </c>
      <c r="T824" s="36">
        <f t="shared" si="129"/>
        <v>0</v>
      </c>
      <c r="V824" s="6">
        <f t="shared" si="130"/>
        <v>0</v>
      </c>
      <c r="Y824" s="8">
        <f t="shared" si="131"/>
        <v>46023</v>
      </c>
    </row>
    <row r="825" spans="2:25" ht="18.75" x14ac:dyDescent="0.3">
      <c r="B825" s="6">
        <f t="shared" si="123"/>
        <v>0</v>
      </c>
      <c r="C825" s="6">
        <f t="shared" si="124"/>
        <v>0</v>
      </c>
      <c r="D825" s="6" t="str">
        <f t="shared" si="125"/>
        <v/>
      </c>
      <c r="E825" s="35" t="str">
        <f t="shared" si="122"/>
        <v/>
      </c>
      <c r="F825" s="31"/>
      <c r="G825" s="29"/>
      <c r="H825" s="78" t="str">
        <f t="shared" si="126"/>
        <v/>
      </c>
      <c r="I825" s="25"/>
      <c r="J825" s="25"/>
      <c r="K825" s="26"/>
      <c r="L825" s="26"/>
      <c r="M825" s="37"/>
      <c r="N825" s="27"/>
      <c r="O825" s="30"/>
      <c r="P825" s="39" t="str">
        <f t="shared" si="127"/>
        <v/>
      </c>
      <c r="Q825" s="40" t="str">
        <f>IF(OR(T825=0,RIGHT(T825,1)=$W$1),"",COUNTIF($T$3:T825,T825))</f>
        <v/>
      </c>
      <c r="S825" s="6">
        <f t="shared" si="128"/>
        <v>0</v>
      </c>
      <c r="T825" s="36">
        <f t="shared" si="129"/>
        <v>0</v>
      </c>
      <c r="V825" s="6">
        <f t="shared" si="130"/>
        <v>0</v>
      </c>
      <c r="Y825" s="8">
        <f t="shared" si="131"/>
        <v>46023</v>
      </c>
    </row>
    <row r="826" spans="2:25" ht="18.75" x14ac:dyDescent="0.3">
      <c r="B826" s="6">
        <f t="shared" si="123"/>
        <v>0</v>
      </c>
      <c r="C826" s="6">
        <f t="shared" si="124"/>
        <v>0</v>
      </c>
      <c r="D826" s="6" t="str">
        <f t="shared" si="125"/>
        <v/>
      </c>
      <c r="E826" s="35" t="str">
        <f t="shared" si="122"/>
        <v/>
      </c>
      <c r="F826" s="31"/>
      <c r="G826" s="29"/>
      <c r="H826" s="78" t="str">
        <f t="shared" si="126"/>
        <v/>
      </c>
      <c r="I826" s="25"/>
      <c r="J826" s="25"/>
      <c r="K826" s="26"/>
      <c r="L826" s="26"/>
      <c r="M826" s="37"/>
      <c r="N826" s="27"/>
      <c r="O826" s="30"/>
      <c r="P826" s="39" t="str">
        <f t="shared" si="127"/>
        <v/>
      </c>
      <c r="Q826" s="40" t="str">
        <f>IF(OR(T826=0,RIGHT(T826,1)=$W$1),"",COUNTIF($T$3:T826,T826))</f>
        <v/>
      </c>
      <c r="S826" s="6">
        <f t="shared" si="128"/>
        <v>0</v>
      </c>
      <c r="T826" s="36">
        <f t="shared" si="129"/>
        <v>0</v>
      </c>
      <c r="V826" s="6">
        <f t="shared" si="130"/>
        <v>0</v>
      </c>
      <c r="Y826" s="8">
        <f t="shared" si="131"/>
        <v>46023</v>
      </c>
    </row>
    <row r="827" spans="2:25" ht="18.75" x14ac:dyDescent="0.3">
      <c r="B827" s="6">
        <f t="shared" si="123"/>
        <v>0</v>
      </c>
      <c r="C827" s="6">
        <f t="shared" si="124"/>
        <v>0</v>
      </c>
      <c r="D827" s="6" t="str">
        <f t="shared" si="125"/>
        <v/>
      </c>
      <c r="E827" s="35" t="str">
        <f t="shared" si="122"/>
        <v/>
      </c>
      <c r="F827" s="31"/>
      <c r="G827" s="29"/>
      <c r="H827" s="78" t="str">
        <f t="shared" si="126"/>
        <v/>
      </c>
      <c r="I827" s="25"/>
      <c r="J827" s="25"/>
      <c r="K827" s="26"/>
      <c r="L827" s="26"/>
      <c r="M827" s="37"/>
      <c r="N827" s="27"/>
      <c r="O827" s="30"/>
      <c r="P827" s="39" t="str">
        <f t="shared" si="127"/>
        <v/>
      </c>
      <c r="Q827" s="40" t="str">
        <f>IF(OR(T827=0,RIGHT(T827,1)=$W$1),"",COUNTIF($T$3:T827,T827))</f>
        <v/>
      </c>
      <c r="S827" s="6">
        <f t="shared" si="128"/>
        <v>0</v>
      </c>
      <c r="T827" s="36">
        <f t="shared" si="129"/>
        <v>0</v>
      </c>
      <c r="V827" s="6">
        <f t="shared" si="130"/>
        <v>0</v>
      </c>
      <c r="Y827" s="8">
        <f t="shared" si="131"/>
        <v>46023</v>
      </c>
    </row>
    <row r="828" spans="2:25" ht="18.75" x14ac:dyDescent="0.3">
      <c r="B828" s="6">
        <f t="shared" si="123"/>
        <v>0</v>
      </c>
      <c r="C828" s="6">
        <f t="shared" si="124"/>
        <v>0</v>
      </c>
      <c r="D828" s="6" t="str">
        <f t="shared" si="125"/>
        <v/>
      </c>
      <c r="E828" s="35" t="str">
        <f t="shared" si="122"/>
        <v/>
      </c>
      <c r="F828" s="31"/>
      <c r="G828" s="29"/>
      <c r="H828" s="78" t="str">
        <f t="shared" si="126"/>
        <v/>
      </c>
      <c r="I828" s="25"/>
      <c r="J828" s="25"/>
      <c r="K828" s="26"/>
      <c r="L828" s="26"/>
      <c r="M828" s="37"/>
      <c r="N828" s="27"/>
      <c r="O828" s="30"/>
      <c r="P828" s="39" t="str">
        <f t="shared" si="127"/>
        <v/>
      </c>
      <c r="Q828" s="40" t="str">
        <f>IF(OR(T828=0,RIGHT(T828,1)=$W$1),"",COUNTIF($T$3:T828,T828))</f>
        <v/>
      </c>
      <c r="S828" s="6">
        <f t="shared" si="128"/>
        <v>0</v>
      </c>
      <c r="T828" s="36">
        <f t="shared" si="129"/>
        <v>0</v>
      </c>
      <c r="V828" s="6">
        <f t="shared" si="130"/>
        <v>0</v>
      </c>
      <c r="Y828" s="8">
        <f t="shared" si="131"/>
        <v>46023</v>
      </c>
    </row>
    <row r="829" spans="2:25" ht="18.75" x14ac:dyDescent="0.3">
      <c r="B829" s="6">
        <f t="shared" si="123"/>
        <v>0</v>
      </c>
      <c r="C829" s="6">
        <f t="shared" si="124"/>
        <v>0</v>
      </c>
      <c r="D829" s="6" t="str">
        <f t="shared" si="125"/>
        <v/>
      </c>
      <c r="E829" s="35" t="str">
        <f t="shared" si="122"/>
        <v/>
      </c>
      <c r="F829" s="31"/>
      <c r="G829" s="29"/>
      <c r="H829" s="78" t="str">
        <f t="shared" si="126"/>
        <v/>
      </c>
      <c r="I829" s="25"/>
      <c r="J829" s="25"/>
      <c r="K829" s="26"/>
      <c r="L829" s="26"/>
      <c r="M829" s="37"/>
      <c r="N829" s="27"/>
      <c r="O829" s="30"/>
      <c r="P829" s="39" t="str">
        <f t="shared" si="127"/>
        <v/>
      </c>
      <c r="Q829" s="40" t="str">
        <f>IF(OR(T829=0,RIGHT(T829,1)=$W$1),"",COUNTIF($T$3:T829,T829))</f>
        <v/>
      </c>
      <c r="S829" s="6">
        <f t="shared" si="128"/>
        <v>0</v>
      </c>
      <c r="T829" s="36">
        <f t="shared" si="129"/>
        <v>0</v>
      </c>
      <c r="V829" s="6">
        <f t="shared" si="130"/>
        <v>0</v>
      </c>
      <c r="Y829" s="8">
        <f t="shared" si="131"/>
        <v>46023</v>
      </c>
    </row>
    <row r="830" spans="2:25" ht="18.75" x14ac:dyDescent="0.3">
      <c r="B830" s="6">
        <f t="shared" si="123"/>
        <v>0</v>
      </c>
      <c r="C830" s="6">
        <f t="shared" si="124"/>
        <v>0</v>
      </c>
      <c r="D830" s="6" t="str">
        <f t="shared" si="125"/>
        <v/>
      </c>
      <c r="E830" s="35" t="str">
        <f t="shared" si="122"/>
        <v/>
      </c>
      <c r="F830" s="31"/>
      <c r="G830" s="29"/>
      <c r="H830" s="78" t="str">
        <f t="shared" si="126"/>
        <v/>
      </c>
      <c r="I830" s="25"/>
      <c r="J830" s="25"/>
      <c r="K830" s="26"/>
      <c r="L830" s="26"/>
      <c r="M830" s="37"/>
      <c r="N830" s="27"/>
      <c r="O830" s="30"/>
      <c r="P830" s="39" t="str">
        <f t="shared" si="127"/>
        <v/>
      </c>
      <c r="Q830" s="40" t="str">
        <f>IF(OR(T830=0,RIGHT(T830,1)=$W$1),"",COUNTIF($T$3:T830,T830))</f>
        <v/>
      </c>
      <c r="S830" s="6">
        <f t="shared" si="128"/>
        <v>0</v>
      </c>
      <c r="T830" s="36">
        <f t="shared" si="129"/>
        <v>0</v>
      </c>
      <c r="V830" s="6">
        <f t="shared" si="130"/>
        <v>0</v>
      </c>
      <c r="Y830" s="8">
        <f t="shared" si="131"/>
        <v>46023</v>
      </c>
    </row>
    <row r="831" spans="2:25" ht="18.75" x14ac:dyDescent="0.3">
      <c r="B831" s="6">
        <f t="shared" si="123"/>
        <v>0</v>
      </c>
      <c r="C831" s="6">
        <f t="shared" si="124"/>
        <v>0</v>
      </c>
      <c r="D831" s="6" t="str">
        <f t="shared" si="125"/>
        <v/>
      </c>
      <c r="E831" s="35" t="str">
        <f t="shared" si="122"/>
        <v/>
      </c>
      <c r="F831" s="31"/>
      <c r="G831" s="29"/>
      <c r="H831" s="78" t="str">
        <f t="shared" si="126"/>
        <v/>
      </c>
      <c r="I831" s="25"/>
      <c r="J831" s="25"/>
      <c r="K831" s="26"/>
      <c r="L831" s="26"/>
      <c r="M831" s="37"/>
      <c r="N831" s="27"/>
      <c r="O831" s="30"/>
      <c r="P831" s="39" t="str">
        <f t="shared" si="127"/>
        <v/>
      </c>
      <c r="Q831" s="40" t="str">
        <f>IF(OR(T831=0,RIGHT(T831,1)=$W$1),"",COUNTIF($T$3:T831,T831))</f>
        <v/>
      </c>
      <c r="S831" s="6">
        <f t="shared" si="128"/>
        <v>0</v>
      </c>
      <c r="T831" s="36">
        <f t="shared" si="129"/>
        <v>0</v>
      </c>
      <c r="V831" s="6">
        <f t="shared" si="130"/>
        <v>0</v>
      </c>
      <c r="Y831" s="8">
        <f t="shared" si="131"/>
        <v>46023</v>
      </c>
    </row>
    <row r="832" spans="2:25" ht="18.75" x14ac:dyDescent="0.3">
      <c r="B832" s="6">
        <f t="shared" si="123"/>
        <v>0</v>
      </c>
      <c r="C832" s="6">
        <f t="shared" si="124"/>
        <v>0</v>
      </c>
      <c r="D832" s="6" t="str">
        <f t="shared" si="125"/>
        <v/>
      </c>
      <c r="E832" s="35" t="str">
        <f t="shared" si="122"/>
        <v/>
      </c>
      <c r="F832" s="31"/>
      <c r="G832" s="29"/>
      <c r="H832" s="78" t="str">
        <f t="shared" si="126"/>
        <v/>
      </c>
      <c r="I832" s="25"/>
      <c r="J832" s="25"/>
      <c r="K832" s="26"/>
      <c r="L832" s="26"/>
      <c r="M832" s="37"/>
      <c r="N832" s="27"/>
      <c r="O832" s="30"/>
      <c r="P832" s="39" t="str">
        <f t="shared" si="127"/>
        <v/>
      </c>
      <c r="Q832" s="40" t="str">
        <f>IF(OR(T832=0,RIGHT(T832,1)=$W$1),"",COUNTIF($T$3:T832,T832))</f>
        <v/>
      </c>
      <c r="S832" s="6">
        <f t="shared" si="128"/>
        <v>0</v>
      </c>
      <c r="T832" s="36">
        <f t="shared" si="129"/>
        <v>0</v>
      </c>
      <c r="V832" s="6">
        <f t="shared" si="130"/>
        <v>0</v>
      </c>
      <c r="Y832" s="8">
        <f t="shared" si="131"/>
        <v>46023</v>
      </c>
    </row>
    <row r="833" spans="2:25" ht="18.75" x14ac:dyDescent="0.3">
      <c r="B833" s="6">
        <f t="shared" si="123"/>
        <v>0</v>
      </c>
      <c r="C833" s="6">
        <f t="shared" si="124"/>
        <v>0</v>
      </c>
      <c r="D833" s="6" t="str">
        <f t="shared" si="125"/>
        <v/>
      </c>
      <c r="E833" s="35" t="str">
        <f t="shared" si="122"/>
        <v/>
      </c>
      <c r="F833" s="31"/>
      <c r="G833" s="29"/>
      <c r="H833" s="78" t="str">
        <f t="shared" si="126"/>
        <v/>
      </c>
      <c r="I833" s="25"/>
      <c r="J833" s="25"/>
      <c r="K833" s="26"/>
      <c r="L833" s="26"/>
      <c r="M833" s="37"/>
      <c r="N833" s="27"/>
      <c r="O833" s="30"/>
      <c r="P833" s="39" t="str">
        <f t="shared" si="127"/>
        <v/>
      </c>
      <c r="Q833" s="40" t="str">
        <f>IF(OR(T833=0,RIGHT(T833,1)=$W$1),"",COUNTIF($T$3:T833,T833))</f>
        <v/>
      </c>
      <c r="S833" s="6">
        <f t="shared" si="128"/>
        <v>0</v>
      </c>
      <c r="T833" s="36">
        <f t="shared" si="129"/>
        <v>0</v>
      </c>
      <c r="V833" s="6">
        <f t="shared" si="130"/>
        <v>0</v>
      </c>
      <c r="Y833" s="8">
        <f t="shared" si="131"/>
        <v>46023</v>
      </c>
    </row>
    <row r="834" spans="2:25" ht="18.75" x14ac:dyDescent="0.3">
      <c r="B834" s="6">
        <f t="shared" si="123"/>
        <v>0</v>
      </c>
      <c r="C834" s="6">
        <f t="shared" si="124"/>
        <v>0</v>
      </c>
      <c r="D834" s="6" t="str">
        <f t="shared" si="125"/>
        <v/>
      </c>
      <c r="E834" s="35" t="str">
        <f t="shared" si="122"/>
        <v/>
      </c>
      <c r="F834" s="31"/>
      <c r="G834" s="29"/>
      <c r="H834" s="78" t="str">
        <f t="shared" si="126"/>
        <v/>
      </c>
      <c r="I834" s="25"/>
      <c r="J834" s="25"/>
      <c r="K834" s="26"/>
      <c r="L834" s="26"/>
      <c r="M834" s="37"/>
      <c r="N834" s="27"/>
      <c r="O834" s="30"/>
      <c r="P834" s="39" t="str">
        <f t="shared" si="127"/>
        <v/>
      </c>
      <c r="Q834" s="40" t="str">
        <f>IF(OR(T834=0,RIGHT(T834,1)=$W$1),"",COUNTIF($T$3:T834,T834))</f>
        <v/>
      </c>
      <c r="S834" s="6">
        <f t="shared" si="128"/>
        <v>0</v>
      </c>
      <c r="T834" s="36">
        <f t="shared" si="129"/>
        <v>0</v>
      </c>
      <c r="V834" s="6">
        <f t="shared" si="130"/>
        <v>0</v>
      </c>
      <c r="Y834" s="8">
        <f t="shared" si="131"/>
        <v>46023</v>
      </c>
    </row>
    <row r="835" spans="2:25" ht="18.75" x14ac:dyDescent="0.3">
      <c r="B835" s="6">
        <f t="shared" si="123"/>
        <v>0</v>
      </c>
      <c r="C835" s="6">
        <f t="shared" si="124"/>
        <v>0</v>
      </c>
      <c r="D835" s="6" t="str">
        <f t="shared" si="125"/>
        <v/>
      </c>
      <c r="E835" s="35" t="str">
        <f t="shared" ref="E835:E898" si="132">IF(D835&lt;&gt;"",D835&amp;" - "&amp;YEAR(F835),"")</f>
        <v/>
      </c>
      <c r="F835" s="31"/>
      <c r="G835" s="29"/>
      <c r="H835" s="78" t="str">
        <f t="shared" si="126"/>
        <v/>
      </c>
      <c r="I835" s="25"/>
      <c r="J835" s="25"/>
      <c r="K835" s="26"/>
      <c r="L835" s="26"/>
      <c r="M835" s="37"/>
      <c r="N835" s="27"/>
      <c r="O835" s="30"/>
      <c r="P835" s="39" t="str">
        <f t="shared" si="127"/>
        <v/>
      </c>
      <c r="Q835" s="40" t="str">
        <f>IF(OR(T835=0,RIGHT(T835,1)=$W$1),"",COUNTIF($T$3:T835,T835))</f>
        <v/>
      </c>
      <c r="S835" s="6">
        <f t="shared" si="128"/>
        <v>0</v>
      </c>
      <c r="T835" s="36">
        <f t="shared" si="129"/>
        <v>0</v>
      </c>
      <c r="V835" s="6">
        <f t="shared" si="130"/>
        <v>0</v>
      </c>
      <c r="Y835" s="8">
        <f t="shared" si="131"/>
        <v>46023</v>
      </c>
    </row>
    <row r="836" spans="2:25" ht="18.75" x14ac:dyDescent="0.3">
      <c r="B836" s="6">
        <f t="shared" ref="B836:B899" si="133">IF($B$1=YEAR(F836),B835+1,B835)</f>
        <v>0</v>
      </c>
      <c r="C836" s="6">
        <f t="shared" ref="C836:C899" si="134">IF(AND($C$1=K836,$Y$1=YEAR(F836)),C835+1,C835)</f>
        <v>0</v>
      </c>
      <c r="D836" s="6" t="str">
        <f t="shared" ref="D836:D899" si="135">IF(F836&lt;&gt;0,IF(YEAR(F836)&lt;&gt;YEAR(F835),1,IF(M836=$AI$1,D835,D835+1)),"")</f>
        <v/>
      </c>
      <c r="E836" s="35" t="str">
        <f t="shared" si="132"/>
        <v/>
      </c>
      <c r="F836" s="31"/>
      <c r="G836" s="29"/>
      <c r="H836" s="78" t="str">
        <f t="shared" ref="H836:H899" si="136">IF(G836&lt;&gt;"",F836,"")</f>
        <v/>
      </c>
      <c r="I836" s="25"/>
      <c r="J836" s="25"/>
      <c r="K836" s="26"/>
      <c r="L836" s="26"/>
      <c r="M836" s="37"/>
      <c r="N836" s="27"/>
      <c r="O836" s="30"/>
      <c r="P836" s="39" t="str">
        <f t="shared" ref="P836:P899" si="137">IF(OR(T836=0,RIGHT(T836,1)=$W$1),"",VLOOKUP(K836,$AD$1:$AK$15,5,FALSE))</f>
        <v/>
      </c>
      <c r="Q836" s="40" t="str">
        <f>IF(OR(T836=0,RIGHT(T836,1)=$W$1),"",COUNTIF($T$3:T836,T836))</f>
        <v/>
      </c>
      <c r="S836" s="6">
        <f t="shared" ref="S836:S899" si="138">IF(AND($C$1=K836,$Y$1=YEAR(F836)),C836,0)</f>
        <v>0</v>
      </c>
      <c r="T836" s="36">
        <f t="shared" ref="T836:T899" si="139">IF(F836=0,0,YEAR(F836)&amp;VLOOKUP(K836,$AD$1:$AE$15,2,FALSE))</f>
        <v>0</v>
      </c>
      <c r="V836" s="6">
        <f t="shared" ref="V836:V899" si="140">IF(AND(YEAR(F836)=$Y$1,K836=$C$1,L836&amp;$V$1&lt;&gt;$V$1),L836,IF(AND(YEAR(F836)=$Y$1,K836=$C$1),1,0))</f>
        <v>0</v>
      </c>
      <c r="Y836" s="8">
        <f t="shared" ref="Y836:Y899" si="141">IF(M836&lt;&gt;$AI$1,$Y$2,F835)</f>
        <v>46023</v>
      </c>
    </row>
    <row r="837" spans="2:25" ht="18.75" x14ac:dyDescent="0.3">
      <c r="B837" s="6">
        <f t="shared" si="133"/>
        <v>0</v>
      </c>
      <c r="C837" s="6">
        <f t="shared" si="134"/>
        <v>0</v>
      </c>
      <c r="D837" s="6" t="str">
        <f t="shared" si="135"/>
        <v/>
      </c>
      <c r="E837" s="35" t="str">
        <f t="shared" si="132"/>
        <v/>
      </c>
      <c r="F837" s="31"/>
      <c r="G837" s="29"/>
      <c r="H837" s="78" t="str">
        <f t="shared" si="136"/>
        <v/>
      </c>
      <c r="I837" s="25"/>
      <c r="J837" s="25"/>
      <c r="K837" s="26"/>
      <c r="L837" s="26"/>
      <c r="M837" s="37"/>
      <c r="N837" s="27"/>
      <c r="O837" s="30"/>
      <c r="P837" s="39" t="str">
        <f t="shared" si="137"/>
        <v/>
      </c>
      <c r="Q837" s="40" t="str">
        <f>IF(OR(T837=0,RIGHT(T837,1)=$W$1),"",COUNTIF($T$3:T837,T837))</f>
        <v/>
      </c>
      <c r="S837" s="6">
        <f t="shared" si="138"/>
        <v>0</v>
      </c>
      <c r="T837" s="36">
        <f t="shared" si="139"/>
        <v>0</v>
      </c>
      <c r="V837" s="6">
        <f t="shared" si="140"/>
        <v>0</v>
      </c>
      <c r="Y837" s="8">
        <f t="shared" si="141"/>
        <v>46023</v>
      </c>
    </row>
    <row r="838" spans="2:25" ht="18.75" x14ac:dyDescent="0.3">
      <c r="B838" s="6">
        <f t="shared" si="133"/>
        <v>0</v>
      </c>
      <c r="C838" s="6">
        <f t="shared" si="134"/>
        <v>0</v>
      </c>
      <c r="D838" s="6" t="str">
        <f t="shared" si="135"/>
        <v/>
      </c>
      <c r="E838" s="35" t="str">
        <f t="shared" si="132"/>
        <v/>
      </c>
      <c r="F838" s="31"/>
      <c r="G838" s="29"/>
      <c r="H838" s="78" t="str">
        <f t="shared" si="136"/>
        <v/>
      </c>
      <c r="I838" s="25"/>
      <c r="J838" s="25"/>
      <c r="K838" s="26"/>
      <c r="L838" s="26"/>
      <c r="M838" s="37"/>
      <c r="N838" s="27"/>
      <c r="O838" s="30"/>
      <c r="P838" s="39" t="str">
        <f t="shared" si="137"/>
        <v/>
      </c>
      <c r="Q838" s="40" t="str">
        <f>IF(OR(T838=0,RIGHT(T838,1)=$W$1),"",COUNTIF($T$3:T838,T838))</f>
        <v/>
      </c>
      <c r="S838" s="6">
        <f t="shared" si="138"/>
        <v>0</v>
      </c>
      <c r="T838" s="36">
        <f t="shared" si="139"/>
        <v>0</v>
      </c>
      <c r="V838" s="6">
        <f t="shared" si="140"/>
        <v>0</v>
      </c>
      <c r="Y838" s="8">
        <f t="shared" si="141"/>
        <v>46023</v>
      </c>
    </row>
    <row r="839" spans="2:25" ht="18.75" x14ac:dyDescent="0.3">
      <c r="B839" s="6">
        <f t="shared" si="133"/>
        <v>0</v>
      </c>
      <c r="C839" s="6">
        <f t="shared" si="134"/>
        <v>0</v>
      </c>
      <c r="D839" s="6" t="str">
        <f t="shared" si="135"/>
        <v/>
      </c>
      <c r="E839" s="35" t="str">
        <f t="shared" si="132"/>
        <v/>
      </c>
      <c r="F839" s="31"/>
      <c r="G839" s="29"/>
      <c r="H839" s="78" t="str">
        <f t="shared" si="136"/>
        <v/>
      </c>
      <c r="I839" s="25"/>
      <c r="J839" s="25"/>
      <c r="K839" s="26"/>
      <c r="L839" s="26"/>
      <c r="M839" s="37"/>
      <c r="N839" s="27"/>
      <c r="O839" s="30"/>
      <c r="P839" s="39" t="str">
        <f t="shared" si="137"/>
        <v/>
      </c>
      <c r="Q839" s="40" t="str">
        <f>IF(OR(T839=0,RIGHT(T839,1)=$W$1),"",COUNTIF($T$3:T839,T839))</f>
        <v/>
      </c>
      <c r="S839" s="6">
        <f t="shared" si="138"/>
        <v>0</v>
      </c>
      <c r="T839" s="36">
        <f t="shared" si="139"/>
        <v>0</v>
      </c>
      <c r="V839" s="6">
        <f t="shared" si="140"/>
        <v>0</v>
      </c>
      <c r="Y839" s="8">
        <f t="shared" si="141"/>
        <v>46023</v>
      </c>
    </row>
    <row r="840" spans="2:25" ht="18.75" x14ac:dyDescent="0.3">
      <c r="B840" s="6">
        <f t="shared" si="133"/>
        <v>0</v>
      </c>
      <c r="C840" s="6">
        <f t="shared" si="134"/>
        <v>0</v>
      </c>
      <c r="D840" s="6" t="str">
        <f t="shared" si="135"/>
        <v/>
      </c>
      <c r="E840" s="35" t="str">
        <f t="shared" si="132"/>
        <v/>
      </c>
      <c r="F840" s="31"/>
      <c r="G840" s="29"/>
      <c r="H840" s="78" t="str">
        <f t="shared" si="136"/>
        <v/>
      </c>
      <c r="I840" s="25"/>
      <c r="J840" s="25"/>
      <c r="K840" s="26"/>
      <c r="L840" s="26"/>
      <c r="M840" s="37"/>
      <c r="N840" s="27"/>
      <c r="O840" s="30"/>
      <c r="P840" s="39" t="str">
        <f t="shared" si="137"/>
        <v/>
      </c>
      <c r="Q840" s="40" t="str">
        <f>IF(OR(T840=0,RIGHT(T840,1)=$W$1),"",COUNTIF($T$3:T840,T840))</f>
        <v/>
      </c>
      <c r="S840" s="6">
        <f t="shared" si="138"/>
        <v>0</v>
      </c>
      <c r="T840" s="36">
        <f t="shared" si="139"/>
        <v>0</v>
      </c>
      <c r="V840" s="6">
        <f t="shared" si="140"/>
        <v>0</v>
      </c>
      <c r="Y840" s="8">
        <f t="shared" si="141"/>
        <v>46023</v>
      </c>
    </row>
    <row r="841" spans="2:25" ht="18.75" x14ac:dyDescent="0.3">
      <c r="B841" s="6">
        <f t="shared" si="133"/>
        <v>0</v>
      </c>
      <c r="C841" s="6">
        <f t="shared" si="134"/>
        <v>0</v>
      </c>
      <c r="D841" s="6" t="str">
        <f t="shared" si="135"/>
        <v/>
      </c>
      <c r="E841" s="35" t="str">
        <f t="shared" si="132"/>
        <v/>
      </c>
      <c r="F841" s="31"/>
      <c r="G841" s="29"/>
      <c r="H841" s="78" t="str">
        <f t="shared" si="136"/>
        <v/>
      </c>
      <c r="I841" s="25"/>
      <c r="J841" s="25"/>
      <c r="K841" s="26"/>
      <c r="L841" s="26"/>
      <c r="M841" s="37"/>
      <c r="N841" s="27"/>
      <c r="O841" s="30"/>
      <c r="P841" s="39" t="str">
        <f t="shared" si="137"/>
        <v/>
      </c>
      <c r="Q841" s="40" t="str">
        <f>IF(OR(T841=0,RIGHT(T841,1)=$W$1),"",COUNTIF($T$3:T841,T841))</f>
        <v/>
      </c>
      <c r="S841" s="6">
        <f t="shared" si="138"/>
        <v>0</v>
      </c>
      <c r="T841" s="36">
        <f t="shared" si="139"/>
        <v>0</v>
      </c>
      <c r="V841" s="6">
        <f t="shared" si="140"/>
        <v>0</v>
      </c>
      <c r="Y841" s="8">
        <f t="shared" si="141"/>
        <v>46023</v>
      </c>
    </row>
    <row r="842" spans="2:25" ht="18.75" x14ac:dyDescent="0.3">
      <c r="B842" s="6">
        <f t="shared" si="133"/>
        <v>0</v>
      </c>
      <c r="C842" s="6">
        <f t="shared" si="134"/>
        <v>0</v>
      </c>
      <c r="D842" s="6" t="str">
        <f t="shared" si="135"/>
        <v/>
      </c>
      <c r="E842" s="35" t="str">
        <f t="shared" si="132"/>
        <v/>
      </c>
      <c r="F842" s="31"/>
      <c r="G842" s="29"/>
      <c r="H842" s="78" t="str">
        <f t="shared" si="136"/>
        <v/>
      </c>
      <c r="I842" s="25"/>
      <c r="J842" s="25"/>
      <c r="K842" s="26"/>
      <c r="L842" s="26"/>
      <c r="M842" s="37"/>
      <c r="N842" s="27"/>
      <c r="O842" s="30"/>
      <c r="P842" s="39" t="str">
        <f t="shared" si="137"/>
        <v/>
      </c>
      <c r="Q842" s="40" t="str">
        <f>IF(OR(T842=0,RIGHT(T842,1)=$W$1),"",COUNTIF($T$3:T842,T842))</f>
        <v/>
      </c>
      <c r="S842" s="6">
        <f t="shared" si="138"/>
        <v>0</v>
      </c>
      <c r="T842" s="36">
        <f t="shared" si="139"/>
        <v>0</v>
      </c>
      <c r="V842" s="6">
        <f t="shared" si="140"/>
        <v>0</v>
      </c>
      <c r="Y842" s="8">
        <f t="shared" si="141"/>
        <v>46023</v>
      </c>
    </row>
    <row r="843" spans="2:25" ht="18.75" x14ac:dyDescent="0.3">
      <c r="B843" s="6">
        <f t="shared" si="133"/>
        <v>0</v>
      </c>
      <c r="C843" s="6">
        <f t="shared" si="134"/>
        <v>0</v>
      </c>
      <c r="D843" s="6" t="str">
        <f t="shared" si="135"/>
        <v/>
      </c>
      <c r="E843" s="35" t="str">
        <f t="shared" si="132"/>
        <v/>
      </c>
      <c r="F843" s="31"/>
      <c r="G843" s="29"/>
      <c r="H843" s="78" t="str">
        <f t="shared" si="136"/>
        <v/>
      </c>
      <c r="I843" s="25"/>
      <c r="J843" s="25"/>
      <c r="K843" s="26"/>
      <c r="L843" s="26"/>
      <c r="M843" s="37"/>
      <c r="N843" s="27"/>
      <c r="O843" s="30"/>
      <c r="P843" s="39" t="str">
        <f t="shared" si="137"/>
        <v/>
      </c>
      <c r="Q843" s="40" t="str">
        <f>IF(OR(T843=0,RIGHT(T843,1)=$W$1),"",COUNTIF($T$3:T843,T843))</f>
        <v/>
      </c>
      <c r="S843" s="6">
        <f t="shared" si="138"/>
        <v>0</v>
      </c>
      <c r="T843" s="36">
        <f t="shared" si="139"/>
        <v>0</v>
      </c>
      <c r="V843" s="6">
        <f t="shared" si="140"/>
        <v>0</v>
      </c>
      <c r="Y843" s="8">
        <f t="shared" si="141"/>
        <v>46023</v>
      </c>
    </row>
    <row r="844" spans="2:25" ht="18.75" x14ac:dyDescent="0.3">
      <c r="B844" s="6">
        <f t="shared" si="133"/>
        <v>0</v>
      </c>
      <c r="C844" s="6">
        <f t="shared" si="134"/>
        <v>0</v>
      </c>
      <c r="D844" s="6" t="str">
        <f t="shared" si="135"/>
        <v/>
      </c>
      <c r="E844" s="35" t="str">
        <f t="shared" si="132"/>
        <v/>
      </c>
      <c r="F844" s="31"/>
      <c r="G844" s="29"/>
      <c r="H844" s="78" t="str">
        <f t="shared" si="136"/>
        <v/>
      </c>
      <c r="I844" s="25"/>
      <c r="J844" s="25"/>
      <c r="K844" s="26"/>
      <c r="L844" s="26"/>
      <c r="M844" s="37"/>
      <c r="N844" s="27"/>
      <c r="O844" s="30"/>
      <c r="P844" s="39" t="str">
        <f t="shared" si="137"/>
        <v/>
      </c>
      <c r="Q844" s="40" t="str">
        <f>IF(OR(T844=0,RIGHT(T844,1)=$W$1),"",COUNTIF($T$3:T844,T844))</f>
        <v/>
      </c>
      <c r="S844" s="6">
        <f t="shared" si="138"/>
        <v>0</v>
      </c>
      <c r="T844" s="36">
        <f t="shared" si="139"/>
        <v>0</v>
      </c>
      <c r="V844" s="6">
        <f t="shared" si="140"/>
        <v>0</v>
      </c>
      <c r="Y844" s="8">
        <f t="shared" si="141"/>
        <v>46023</v>
      </c>
    </row>
    <row r="845" spans="2:25" ht="18.75" x14ac:dyDescent="0.3">
      <c r="B845" s="6">
        <f t="shared" si="133"/>
        <v>0</v>
      </c>
      <c r="C845" s="6">
        <f t="shared" si="134"/>
        <v>0</v>
      </c>
      <c r="D845" s="6" t="str">
        <f t="shared" si="135"/>
        <v/>
      </c>
      <c r="E845" s="35" t="str">
        <f t="shared" si="132"/>
        <v/>
      </c>
      <c r="F845" s="31"/>
      <c r="G845" s="29"/>
      <c r="H845" s="78" t="str">
        <f t="shared" si="136"/>
        <v/>
      </c>
      <c r="I845" s="25"/>
      <c r="J845" s="25"/>
      <c r="K845" s="26"/>
      <c r="L845" s="26"/>
      <c r="M845" s="37"/>
      <c r="N845" s="27"/>
      <c r="O845" s="30"/>
      <c r="P845" s="39" t="str">
        <f t="shared" si="137"/>
        <v/>
      </c>
      <c r="Q845" s="40" t="str">
        <f>IF(OR(T845=0,RIGHT(T845,1)=$W$1),"",COUNTIF($T$3:T845,T845))</f>
        <v/>
      </c>
      <c r="S845" s="6">
        <f t="shared" si="138"/>
        <v>0</v>
      </c>
      <c r="T845" s="36">
        <f t="shared" si="139"/>
        <v>0</v>
      </c>
      <c r="V845" s="6">
        <f t="shared" si="140"/>
        <v>0</v>
      </c>
      <c r="Y845" s="8">
        <f t="shared" si="141"/>
        <v>46023</v>
      </c>
    </row>
    <row r="846" spans="2:25" ht="18.75" x14ac:dyDescent="0.3">
      <c r="B846" s="6">
        <f t="shared" si="133"/>
        <v>0</v>
      </c>
      <c r="C846" s="6">
        <f t="shared" si="134"/>
        <v>0</v>
      </c>
      <c r="D846" s="6" t="str">
        <f t="shared" si="135"/>
        <v/>
      </c>
      <c r="E846" s="35" t="str">
        <f t="shared" si="132"/>
        <v/>
      </c>
      <c r="F846" s="31"/>
      <c r="G846" s="29"/>
      <c r="H846" s="78" t="str">
        <f t="shared" si="136"/>
        <v/>
      </c>
      <c r="I846" s="25"/>
      <c r="J846" s="25"/>
      <c r="K846" s="26"/>
      <c r="L846" s="26"/>
      <c r="M846" s="37"/>
      <c r="N846" s="27"/>
      <c r="O846" s="30"/>
      <c r="P846" s="39" t="str">
        <f t="shared" si="137"/>
        <v/>
      </c>
      <c r="Q846" s="40" t="str">
        <f>IF(OR(T846=0,RIGHT(T846,1)=$W$1),"",COUNTIF($T$3:T846,T846))</f>
        <v/>
      </c>
      <c r="S846" s="6">
        <f t="shared" si="138"/>
        <v>0</v>
      </c>
      <c r="T846" s="36">
        <f t="shared" si="139"/>
        <v>0</v>
      </c>
      <c r="V846" s="6">
        <f t="shared" si="140"/>
        <v>0</v>
      </c>
      <c r="Y846" s="8">
        <f t="shared" si="141"/>
        <v>46023</v>
      </c>
    </row>
    <row r="847" spans="2:25" ht="18.75" x14ac:dyDescent="0.3">
      <c r="B847" s="6">
        <f t="shared" si="133"/>
        <v>0</v>
      </c>
      <c r="C847" s="6">
        <f t="shared" si="134"/>
        <v>0</v>
      </c>
      <c r="D847" s="6" t="str">
        <f t="shared" si="135"/>
        <v/>
      </c>
      <c r="E847" s="35" t="str">
        <f t="shared" si="132"/>
        <v/>
      </c>
      <c r="F847" s="31"/>
      <c r="G847" s="29"/>
      <c r="H847" s="78" t="str">
        <f t="shared" si="136"/>
        <v/>
      </c>
      <c r="I847" s="25"/>
      <c r="J847" s="25"/>
      <c r="K847" s="26"/>
      <c r="L847" s="26"/>
      <c r="M847" s="37"/>
      <c r="N847" s="27"/>
      <c r="O847" s="30"/>
      <c r="P847" s="39" t="str">
        <f t="shared" si="137"/>
        <v/>
      </c>
      <c r="Q847" s="40" t="str">
        <f>IF(OR(T847=0,RIGHT(T847,1)=$W$1),"",COUNTIF($T$3:T847,T847))</f>
        <v/>
      </c>
      <c r="S847" s="6">
        <f t="shared" si="138"/>
        <v>0</v>
      </c>
      <c r="T847" s="36">
        <f t="shared" si="139"/>
        <v>0</v>
      </c>
      <c r="V847" s="6">
        <f t="shared" si="140"/>
        <v>0</v>
      </c>
      <c r="Y847" s="8">
        <f t="shared" si="141"/>
        <v>46023</v>
      </c>
    </row>
    <row r="848" spans="2:25" ht="18.75" x14ac:dyDescent="0.3">
      <c r="B848" s="6">
        <f t="shared" si="133"/>
        <v>0</v>
      </c>
      <c r="C848" s="6">
        <f t="shared" si="134"/>
        <v>0</v>
      </c>
      <c r="D848" s="6" t="str">
        <f t="shared" si="135"/>
        <v/>
      </c>
      <c r="E848" s="35" t="str">
        <f t="shared" si="132"/>
        <v/>
      </c>
      <c r="F848" s="31"/>
      <c r="G848" s="29"/>
      <c r="H848" s="78" t="str">
        <f t="shared" si="136"/>
        <v/>
      </c>
      <c r="I848" s="25"/>
      <c r="J848" s="25"/>
      <c r="K848" s="26"/>
      <c r="L848" s="26"/>
      <c r="M848" s="37"/>
      <c r="N848" s="27"/>
      <c r="O848" s="30"/>
      <c r="P848" s="39" t="str">
        <f t="shared" si="137"/>
        <v/>
      </c>
      <c r="Q848" s="40" t="str">
        <f>IF(OR(T848=0,RIGHT(T848,1)=$W$1),"",COUNTIF($T$3:T848,T848))</f>
        <v/>
      </c>
      <c r="S848" s="6">
        <f t="shared" si="138"/>
        <v>0</v>
      </c>
      <c r="T848" s="36">
        <f t="shared" si="139"/>
        <v>0</v>
      </c>
      <c r="V848" s="6">
        <f t="shared" si="140"/>
        <v>0</v>
      </c>
      <c r="Y848" s="8">
        <f t="shared" si="141"/>
        <v>46023</v>
      </c>
    </row>
    <row r="849" spans="2:25" ht="18.75" x14ac:dyDescent="0.3">
      <c r="B849" s="6">
        <f t="shared" si="133"/>
        <v>0</v>
      </c>
      <c r="C849" s="6">
        <f t="shared" si="134"/>
        <v>0</v>
      </c>
      <c r="D849" s="6" t="str">
        <f t="shared" si="135"/>
        <v/>
      </c>
      <c r="E849" s="35" t="str">
        <f t="shared" si="132"/>
        <v/>
      </c>
      <c r="F849" s="31"/>
      <c r="G849" s="29"/>
      <c r="H849" s="78" t="str">
        <f t="shared" si="136"/>
        <v/>
      </c>
      <c r="I849" s="25"/>
      <c r="J849" s="25"/>
      <c r="K849" s="26"/>
      <c r="L849" s="26"/>
      <c r="M849" s="37"/>
      <c r="N849" s="27"/>
      <c r="O849" s="30"/>
      <c r="P849" s="39" t="str">
        <f t="shared" si="137"/>
        <v/>
      </c>
      <c r="Q849" s="40" t="str">
        <f>IF(OR(T849=0,RIGHT(T849,1)=$W$1),"",COUNTIF($T$3:T849,T849))</f>
        <v/>
      </c>
      <c r="S849" s="6">
        <f t="shared" si="138"/>
        <v>0</v>
      </c>
      <c r="T849" s="36">
        <f t="shared" si="139"/>
        <v>0</v>
      </c>
      <c r="V849" s="6">
        <f t="shared" si="140"/>
        <v>0</v>
      </c>
      <c r="Y849" s="8">
        <f t="shared" si="141"/>
        <v>46023</v>
      </c>
    </row>
    <row r="850" spans="2:25" ht="18.75" x14ac:dyDescent="0.3">
      <c r="B850" s="6">
        <f t="shared" si="133"/>
        <v>0</v>
      </c>
      <c r="C850" s="6">
        <f t="shared" si="134"/>
        <v>0</v>
      </c>
      <c r="D850" s="6" t="str">
        <f t="shared" si="135"/>
        <v/>
      </c>
      <c r="E850" s="35" t="str">
        <f t="shared" si="132"/>
        <v/>
      </c>
      <c r="F850" s="31"/>
      <c r="G850" s="29"/>
      <c r="H850" s="78" t="str">
        <f t="shared" si="136"/>
        <v/>
      </c>
      <c r="I850" s="25"/>
      <c r="J850" s="25"/>
      <c r="K850" s="26"/>
      <c r="L850" s="26"/>
      <c r="M850" s="37"/>
      <c r="N850" s="27"/>
      <c r="O850" s="30"/>
      <c r="P850" s="39" t="str">
        <f t="shared" si="137"/>
        <v/>
      </c>
      <c r="Q850" s="40" t="str">
        <f>IF(OR(T850=0,RIGHT(T850,1)=$W$1),"",COUNTIF($T$3:T850,T850))</f>
        <v/>
      </c>
      <c r="S850" s="6">
        <f t="shared" si="138"/>
        <v>0</v>
      </c>
      <c r="T850" s="36">
        <f t="shared" si="139"/>
        <v>0</v>
      </c>
      <c r="V850" s="6">
        <f t="shared" si="140"/>
        <v>0</v>
      </c>
      <c r="Y850" s="8">
        <f t="shared" si="141"/>
        <v>46023</v>
      </c>
    </row>
    <row r="851" spans="2:25" ht="18.75" x14ac:dyDescent="0.3">
      <c r="B851" s="6">
        <f t="shared" si="133"/>
        <v>0</v>
      </c>
      <c r="C851" s="6">
        <f t="shared" si="134"/>
        <v>0</v>
      </c>
      <c r="D851" s="6" t="str">
        <f t="shared" si="135"/>
        <v/>
      </c>
      <c r="E851" s="35" t="str">
        <f t="shared" si="132"/>
        <v/>
      </c>
      <c r="F851" s="31"/>
      <c r="G851" s="29"/>
      <c r="H851" s="78" t="str">
        <f t="shared" si="136"/>
        <v/>
      </c>
      <c r="I851" s="25"/>
      <c r="J851" s="25"/>
      <c r="K851" s="26"/>
      <c r="L851" s="26"/>
      <c r="M851" s="37"/>
      <c r="N851" s="27"/>
      <c r="O851" s="30"/>
      <c r="P851" s="39" t="str">
        <f t="shared" si="137"/>
        <v/>
      </c>
      <c r="Q851" s="40" t="str">
        <f>IF(OR(T851=0,RIGHT(T851,1)=$W$1),"",COUNTIF($T$3:T851,T851))</f>
        <v/>
      </c>
      <c r="S851" s="6">
        <f t="shared" si="138"/>
        <v>0</v>
      </c>
      <c r="T851" s="36">
        <f t="shared" si="139"/>
        <v>0</v>
      </c>
      <c r="V851" s="6">
        <f t="shared" si="140"/>
        <v>0</v>
      </c>
      <c r="Y851" s="8">
        <f t="shared" si="141"/>
        <v>46023</v>
      </c>
    </row>
    <row r="852" spans="2:25" ht="18.75" x14ac:dyDescent="0.3">
      <c r="B852" s="6">
        <f t="shared" si="133"/>
        <v>0</v>
      </c>
      <c r="C852" s="6">
        <f t="shared" si="134"/>
        <v>0</v>
      </c>
      <c r="D852" s="6" t="str">
        <f t="shared" si="135"/>
        <v/>
      </c>
      <c r="E852" s="35" t="str">
        <f t="shared" si="132"/>
        <v/>
      </c>
      <c r="F852" s="31"/>
      <c r="G852" s="29"/>
      <c r="H852" s="78" t="str">
        <f t="shared" si="136"/>
        <v/>
      </c>
      <c r="I852" s="25"/>
      <c r="J852" s="25"/>
      <c r="K852" s="26"/>
      <c r="L852" s="26"/>
      <c r="M852" s="37"/>
      <c r="N852" s="27"/>
      <c r="O852" s="30"/>
      <c r="P852" s="39" t="str">
        <f t="shared" si="137"/>
        <v/>
      </c>
      <c r="Q852" s="40" t="str">
        <f>IF(OR(T852=0,RIGHT(T852,1)=$W$1),"",COUNTIF($T$3:T852,T852))</f>
        <v/>
      </c>
      <c r="S852" s="6">
        <f t="shared" si="138"/>
        <v>0</v>
      </c>
      <c r="T852" s="36">
        <f t="shared" si="139"/>
        <v>0</v>
      </c>
      <c r="V852" s="6">
        <f t="shared" si="140"/>
        <v>0</v>
      </c>
      <c r="Y852" s="8">
        <f t="shared" si="141"/>
        <v>46023</v>
      </c>
    </row>
    <row r="853" spans="2:25" ht="18.75" x14ac:dyDescent="0.3">
      <c r="B853" s="6">
        <f t="shared" si="133"/>
        <v>0</v>
      </c>
      <c r="C853" s="6">
        <f t="shared" si="134"/>
        <v>0</v>
      </c>
      <c r="D853" s="6" t="str">
        <f t="shared" si="135"/>
        <v/>
      </c>
      <c r="E853" s="35" t="str">
        <f t="shared" si="132"/>
        <v/>
      </c>
      <c r="F853" s="31"/>
      <c r="G853" s="29"/>
      <c r="H853" s="78" t="str">
        <f t="shared" si="136"/>
        <v/>
      </c>
      <c r="I853" s="25"/>
      <c r="J853" s="25"/>
      <c r="K853" s="26"/>
      <c r="L853" s="26"/>
      <c r="M853" s="37"/>
      <c r="N853" s="27"/>
      <c r="O853" s="30"/>
      <c r="P853" s="39" t="str">
        <f t="shared" si="137"/>
        <v/>
      </c>
      <c r="Q853" s="40" t="str">
        <f>IF(OR(T853=0,RIGHT(T853,1)=$W$1),"",COUNTIF($T$3:T853,T853))</f>
        <v/>
      </c>
      <c r="S853" s="6">
        <f t="shared" si="138"/>
        <v>0</v>
      </c>
      <c r="T853" s="36">
        <f t="shared" si="139"/>
        <v>0</v>
      </c>
      <c r="V853" s="6">
        <f t="shared" si="140"/>
        <v>0</v>
      </c>
      <c r="Y853" s="8">
        <f t="shared" si="141"/>
        <v>46023</v>
      </c>
    </row>
    <row r="854" spans="2:25" ht="18.75" x14ac:dyDescent="0.3">
      <c r="B854" s="6">
        <f t="shared" si="133"/>
        <v>0</v>
      </c>
      <c r="C854" s="6">
        <f t="shared" si="134"/>
        <v>0</v>
      </c>
      <c r="D854" s="6" t="str">
        <f t="shared" si="135"/>
        <v/>
      </c>
      <c r="E854" s="35" t="str">
        <f t="shared" si="132"/>
        <v/>
      </c>
      <c r="F854" s="31"/>
      <c r="G854" s="29"/>
      <c r="H854" s="78" t="str">
        <f t="shared" si="136"/>
        <v/>
      </c>
      <c r="I854" s="25"/>
      <c r="J854" s="25"/>
      <c r="K854" s="26"/>
      <c r="L854" s="26"/>
      <c r="M854" s="37"/>
      <c r="N854" s="27"/>
      <c r="O854" s="30"/>
      <c r="P854" s="39" t="str">
        <f t="shared" si="137"/>
        <v/>
      </c>
      <c r="Q854" s="40" t="str">
        <f>IF(OR(T854=0,RIGHT(T854,1)=$W$1),"",COUNTIF($T$3:T854,T854))</f>
        <v/>
      </c>
      <c r="S854" s="6">
        <f t="shared" si="138"/>
        <v>0</v>
      </c>
      <c r="T854" s="36">
        <f t="shared" si="139"/>
        <v>0</v>
      </c>
      <c r="V854" s="6">
        <f t="shared" si="140"/>
        <v>0</v>
      </c>
      <c r="Y854" s="8">
        <f t="shared" si="141"/>
        <v>46023</v>
      </c>
    </row>
    <row r="855" spans="2:25" ht="18.75" x14ac:dyDescent="0.3">
      <c r="B855" s="6">
        <f t="shared" si="133"/>
        <v>0</v>
      </c>
      <c r="C855" s="6">
        <f t="shared" si="134"/>
        <v>0</v>
      </c>
      <c r="D855" s="6" t="str">
        <f t="shared" si="135"/>
        <v/>
      </c>
      <c r="E855" s="35" t="str">
        <f t="shared" si="132"/>
        <v/>
      </c>
      <c r="F855" s="31"/>
      <c r="G855" s="29"/>
      <c r="H855" s="78" t="str">
        <f t="shared" si="136"/>
        <v/>
      </c>
      <c r="I855" s="25"/>
      <c r="J855" s="25"/>
      <c r="K855" s="26"/>
      <c r="L855" s="26"/>
      <c r="M855" s="37"/>
      <c r="N855" s="27"/>
      <c r="O855" s="30"/>
      <c r="P855" s="39" t="str">
        <f t="shared" si="137"/>
        <v/>
      </c>
      <c r="Q855" s="40" t="str">
        <f>IF(OR(T855=0,RIGHT(T855,1)=$W$1),"",COUNTIF($T$3:T855,T855))</f>
        <v/>
      </c>
      <c r="S855" s="6">
        <f t="shared" si="138"/>
        <v>0</v>
      </c>
      <c r="T855" s="36">
        <f t="shared" si="139"/>
        <v>0</v>
      </c>
      <c r="V855" s="6">
        <f t="shared" si="140"/>
        <v>0</v>
      </c>
      <c r="Y855" s="8">
        <f t="shared" si="141"/>
        <v>46023</v>
      </c>
    </row>
    <row r="856" spans="2:25" ht="18.75" x14ac:dyDescent="0.3">
      <c r="B856" s="6">
        <f t="shared" si="133"/>
        <v>0</v>
      </c>
      <c r="C856" s="6">
        <f t="shared" si="134"/>
        <v>0</v>
      </c>
      <c r="D856" s="6" t="str">
        <f t="shared" si="135"/>
        <v/>
      </c>
      <c r="E856" s="35" t="str">
        <f t="shared" si="132"/>
        <v/>
      </c>
      <c r="F856" s="31"/>
      <c r="G856" s="29"/>
      <c r="H856" s="78" t="str">
        <f t="shared" si="136"/>
        <v/>
      </c>
      <c r="I856" s="25"/>
      <c r="J856" s="25"/>
      <c r="K856" s="26"/>
      <c r="L856" s="26"/>
      <c r="M856" s="37"/>
      <c r="N856" s="27"/>
      <c r="O856" s="30"/>
      <c r="P856" s="39" t="str">
        <f t="shared" si="137"/>
        <v/>
      </c>
      <c r="Q856" s="40" t="str">
        <f>IF(OR(T856=0,RIGHT(T856,1)=$W$1),"",COUNTIF($T$3:T856,T856))</f>
        <v/>
      </c>
      <c r="S856" s="6">
        <f t="shared" si="138"/>
        <v>0</v>
      </c>
      <c r="T856" s="36">
        <f t="shared" si="139"/>
        <v>0</v>
      </c>
      <c r="V856" s="6">
        <f t="shared" si="140"/>
        <v>0</v>
      </c>
      <c r="Y856" s="8">
        <f t="shared" si="141"/>
        <v>46023</v>
      </c>
    </row>
    <row r="857" spans="2:25" ht="18.75" x14ac:dyDescent="0.3">
      <c r="B857" s="6">
        <f t="shared" si="133"/>
        <v>0</v>
      </c>
      <c r="C857" s="6">
        <f t="shared" si="134"/>
        <v>0</v>
      </c>
      <c r="D857" s="6" t="str">
        <f t="shared" si="135"/>
        <v/>
      </c>
      <c r="E857" s="35" t="str">
        <f t="shared" si="132"/>
        <v/>
      </c>
      <c r="F857" s="31"/>
      <c r="G857" s="29"/>
      <c r="H857" s="78" t="str">
        <f t="shared" si="136"/>
        <v/>
      </c>
      <c r="I857" s="25"/>
      <c r="J857" s="25"/>
      <c r="K857" s="26"/>
      <c r="L857" s="26"/>
      <c r="M857" s="37"/>
      <c r="N857" s="27"/>
      <c r="O857" s="30"/>
      <c r="P857" s="39" t="str">
        <f t="shared" si="137"/>
        <v/>
      </c>
      <c r="Q857" s="40" t="str">
        <f>IF(OR(T857=0,RIGHT(T857,1)=$W$1),"",COUNTIF($T$3:T857,T857))</f>
        <v/>
      </c>
      <c r="S857" s="6">
        <f t="shared" si="138"/>
        <v>0</v>
      </c>
      <c r="T857" s="36">
        <f t="shared" si="139"/>
        <v>0</v>
      </c>
      <c r="V857" s="6">
        <f t="shared" si="140"/>
        <v>0</v>
      </c>
      <c r="Y857" s="8">
        <f t="shared" si="141"/>
        <v>46023</v>
      </c>
    </row>
    <row r="858" spans="2:25" ht="18.75" x14ac:dyDescent="0.3">
      <c r="B858" s="6">
        <f t="shared" si="133"/>
        <v>0</v>
      </c>
      <c r="C858" s="6">
        <f t="shared" si="134"/>
        <v>0</v>
      </c>
      <c r="D858" s="6" t="str">
        <f t="shared" si="135"/>
        <v/>
      </c>
      <c r="E858" s="35" t="str">
        <f t="shared" si="132"/>
        <v/>
      </c>
      <c r="F858" s="31"/>
      <c r="G858" s="29"/>
      <c r="H858" s="78" t="str">
        <f t="shared" si="136"/>
        <v/>
      </c>
      <c r="I858" s="25"/>
      <c r="J858" s="25"/>
      <c r="K858" s="26"/>
      <c r="L858" s="26"/>
      <c r="M858" s="37"/>
      <c r="N858" s="27"/>
      <c r="O858" s="30"/>
      <c r="P858" s="39" t="str">
        <f t="shared" si="137"/>
        <v/>
      </c>
      <c r="Q858" s="40" t="str">
        <f>IF(OR(T858=0,RIGHT(T858,1)=$W$1),"",COUNTIF($T$3:T858,T858))</f>
        <v/>
      </c>
      <c r="S858" s="6">
        <f t="shared" si="138"/>
        <v>0</v>
      </c>
      <c r="T858" s="36">
        <f t="shared" si="139"/>
        <v>0</v>
      </c>
      <c r="V858" s="6">
        <f t="shared" si="140"/>
        <v>0</v>
      </c>
      <c r="Y858" s="8">
        <f t="shared" si="141"/>
        <v>46023</v>
      </c>
    </row>
    <row r="859" spans="2:25" ht="18.75" x14ac:dyDescent="0.3">
      <c r="B859" s="6">
        <f t="shared" si="133"/>
        <v>0</v>
      </c>
      <c r="C859" s="6">
        <f t="shared" si="134"/>
        <v>0</v>
      </c>
      <c r="D859" s="6" t="str">
        <f t="shared" si="135"/>
        <v/>
      </c>
      <c r="E859" s="35" t="str">
        <f t="shared" si="132"/>
        <v/>
      </c>
      <c r="F859" s="31"/>
      <c r="G859" s="29"/>
      <c r="H859" s="78" t="str">
        <f t="shared" si="136"/>
        <v/>
      </c>
      <c r="I859" s="25"/>
      <c r="J859" s="25"/>
      <c r="K859" s="26"/>
      <c r="L859" s="26"/>
      <c r="M859" s="37"/>
      <c r="N859" s="27"/>
      <c r="O859" s="30"/>
      <c r="P859" s="39" t="str">
        <f t="shared" si="137"/>
        <v/>
      </c>
      <c r="Q859" s="40" t="str">
        <f>IF(OR(T859=0,RIGHT(T859,1)=$W$1),"",COUNTIF($T$3:T859,T859))</f>
        <v/>
      </c>
      <c r="S859" s="6">
        <f t="shared" si="138"/>
        <v>0</v>
      </c>
      <c r="T859" s="36">
        <f t="shared" si="139"/>
        <v>0</v>
      </c>
      <c r="V859" s="6">
        <f t="shared" si="140"/>
        <v>0</v>
      </c>
      <c r="Y859" s="8">
        <f t="shared" si="141"/>
        <v>46023</v>
      </c>
    </row>
    <row r="860" spans="2:25" ht="18.75" x14ac:dyDescent="0.3">
      <c r="B860" s="6">
        <f t="shared" si="133"/>
        <v>0</v>
      </c>
      <c r="C860" s="6">
        <f t="shared" si="134"/>
        <v>0</v>
      </c>
      <c r="D860" s="6" t="str">
        <f t="shared" si="135"/>
        <v/>
      </c>
      <c r="E860" s="35" t="str">
        <f t="shared" si="132"/>
        <v/>
      </c>
      <c r="F860" s="31"/>
      <c r="G860" s="29"/>
      <c r="H860" s="78" t="str">
        <f t="shared" si="136"/>
        <v/>
      </c>
      <c r="I860" s="25"/>
      <c r="J860" s="25"/>
      <c r="K860" s="26"/>
      <c r="L860" s="26"/>
      <c r="M860" s="37"/>
      <c r="N860" s="27"/>
      <c r="O860" s="30"/>
      <c r="P860" s="39" t="str">
        <f t="shared" si="137"/>
        <v/>
      </c>
      <c r="Q860" s="40" t="str">
        <f>IF(OR(T860=0,RIGHT(T860,1)=$W$1),"",COUNTIF($T$3:T860,T860))</f>
        <v/>
      </c>
      <c r="S860" s="6">
        <f t="shared" si="138"/>
        <v>0</v>
      </c>
      <c r="T860" s="36">
        <f t="shared" si="139"/>
        <v>0</v>
      </c>
      <c r="V860" s="6">
        <f t="shared" si="140"/>
        <v>0</v>
      </c>
      <c r="Y860" s="8">
        <f t="shared" si="141"/>
        <v>46023</v>
      </c>
    </row>
    <row r="861" spans="2:25" ht="18.75" x14ac:dyDescent="0.3">
      <c r="B861" s="6">
        <f t="shared" si="133"/>
        <v>0</v>
      </c>
      <c r="C861" s="6">
        <f t="shared" si="134"/>
        <v>0</v>
      </c>
      <c r="D861" s="6" t="str">
        <f t="shared" si="135"/>
        <v/>
      </c>
      <c r="E861" s="35" t="str">
        <f t="shared" si="132"/>
        <v/>
      </c>
      <c r="F861" s="31"/>
      <c r="G861" s="29"/>
      <c r="H861" s="78" t="str">
        <f t="shared" si="136"/>
        <v/>
      </c>
      <c r="I861" s="25"/>
      <c r="J861" s="25"/>
      <c r="K861" s="26"/>
      <c r="L861" s="26"/>
      <c r="M861" s="37"/>
      <c r="N861" s="27"/>
      <c r="O861" s="30"/>
      <c r="P861" s="39" t="str">
        <f t="shared" si="137"/>
        <v/>
      </c>
      <c r="Q861" s="40" t="str">
        <f>IF(OR(T861=0,RIGHT(T861,1)=$W$1),"",COUNTIF($T$3:T861,T861))</f>
        <v/>
      </c>
      <c r="S861" s="6">
        <f t="shared" si="138"/>
        <v>0</v>
      </c>
      <c r="T861" s="36">
        <f t="shared" si="139"/>
        <v>0</v>
      </c>
      <c r="V861" s="6">
        <f t="shared" si="140"/>
        <v>0</v>
      </c>
      <c r="Y861" s="8">
        <f t="shared" si="141"/>
        <v>46023</v>
      </c>
    </row>
    <row r="862" spans="2:25" ht="18.75" x14ac:dyDescent="0.3">
      <c r="B862" s="6">
        <f t="shared" si="133"/>
        <v>0</v>
      </c>
      <c r="C862" s="6">
        <f t="shared" si="134"/>
        <v>0</v>
      </c>
      <c r="D862" s="6" t="str">
        <f t="shared" si="135"/>
        <v/>
      </c>
      <c r="E862" s="35" t="str">
        <f t="shared" si="132"/>
        <v/>
      </c>
      <c r="F862" s="31"/>
      <c r="G862" s="29"/>
      <c r="H862" s="78" t="str">
        <f t="shared" si="136"/>
        <v/>
      </c>
      <c r="I862" s="25"/>
      <c r="J862" s="25"/>
      <c r="K862" s="26"/>
      <c r="L862" s="26"/>
      <c r="M862" s="37"/>
      <c r="N862" s="27"/>
      <c r="O862" s="30"/>
      <c r="P862" s="39" t="str">
        <f t="shared" si="137"/>
        <v/>
      </c>
      <c r="Q862" s="40" t="str">
        <f>IF(OR(T862=0,RIGHT(T862,1)=$W$1),"",COUNTIF($T$3:T862,T862))</f>
        <v/>
      </c>
      <c r="S862" s="6">
        <f t="shared" si="138"/>
        <v>0</v>
      </c>
      <c r="T862" s="36">
        <f t="shared" si="139"/>
        <v>0</v>
      </c>
      <c r="V862" s="6">
        <f t="shared" si="140"/>
        <v>0</v>
      </c>
      <c r="Y862" s="8">
        <f t="shared" si="141"/>
        <v>46023</v>
      </c>
    </row>
    <row r="863" spans="2:25" ht="18.75" x14ac:dyDescent="0.3">
      <c r="B863" s="6">
        <f t="shared" si="133"/>
        <v>0</v>
      </c>
      <c r="C863" s="6">
        <f t="shared" si="134"/>
        <v>0</v>
      </c>
      <c r="D863" s="6" t="str">
        <f t="shared" si="135"/>
        <v/>
      </c>
      <c r="E863" s="35" t="str">
        <f t="shared" si="132"/>
        <v/>
      </c>
      <c r="F863" s="31"/>
      <c r="G863" s="29"/>
      <c r="H863" s="78" t="str">
        <f t="shared" si="136"/>
        <v/>
      </c>
      <c r="I863" s="25"/>
      <c r="J863" s="25"/>
      <c r="K863" s="26"/>
      <c r="L863" s="26"/>
      <c r="M863" s="37"/>
      <c r="N863" s="27"/>
      <c r="O863" s="30"/>
      <c r="P863" s="39" t="str">
        <f t="shared" si="137"/>
        <v/>
      </c>
      <c r="Q863" s="40" t="str">
        <f>IF(OR(T863=0,RIGHT(T863,1)=$W$1),"",COUNTIF($T$3:T863,T863))</f>
        <v/>
      </c>
      <c r="S863" s="6">
        <f t="shared" si="138"/>
        <v>0</v>
      </c>
      <c r="T863" s="36">
        <f t="shared" si="139"/>
        <v>0</v>
      </c>
      <c r="V863" s="6">
        <f t="shared" si="140"/>
        <v>0</v>
      </c>
      <c r="Y863" s="8">
        <f t="shared" si="141"/>
        <v>46023</v>
      </c>
    </row>
    <row r="864" spans="2:25" ht="18.75" x14ac:dyDescent="0.3">
      <c r="B864" s="6">
        <f t="shared" si="133"/>
        <v>0</v>
      </c>
      <c r="C864" s="6">
        <f t="shared" si="134"/>
        <v>0</v>
      </c>
      <c r="D864" s="6" t="str">
        <f t="shared" si="135"/>
        <v/>
      </c>
      <c r="E864" s="35" t="str">
        <f t="shared" si="132"/>
        <v/>
      </c>
      <c r="F864" s="31"/>
      <c r="G864" s="29"/>
      <c r="H864" s="78" t="str">
        <f t="shared" si="136"/>
        <v/>
      </c>
      <c r="I864" s="25"/>
      <c r="J864" s="25"/>
      <c r="K864" s="26"/>
      <c r="L864" s="26"/>
      <c r="M864" s="37"/>
      <c r="N864" s="27"/>
      <c r="O864" s="30"/>
      <c r="P864" s="39" t="str">
        <f t="shared" si="137"/>
        <v/>
      </c>
      <c r="Q864" s="40" t="str">
        <f>IF(OR(T864=0,RIGHT(T864,1)=$W$1),"",COUNTIF($T$3:T864,T864))</f>
        <v/>
      </c>
      <c r="S864" s="6">
        <f t="shared" si="138"/>
        <v>0</v>
      </c>
      <c r="T864" s="36">
        <f t="shared" si="139"/>
        <v>0</v>
      </c>
      <c r="V864" s="6">
        <f t="shared" si="140"/>
        <v>0</v>
      </c>
      <c r="Y864" s="8">
        <f t="shared" si="141"/>
        <v>46023</v>
      </c>
    </row>
    <row r="865" spans="2:25" ht="18.75" x14ac:dyDescent="0.3">
      <c r="B865" s="6">
        <f t="shared" si="133"/>
        <v>0</v>
      </c>
      <c r="C865" s="6">
        <f t="shared" si="134"/>
        <v>0</v>
      </c>
      <c r="D865" s="6" t="str">
        <f t="shared" si="135"/>
        <v/>
      </c>
      <c r="E865" s="35" t="str">
        <f t="shared" si="132"/>
        <v/>
      </c>
      <c r="F865" s="31"/>
      <c r="G865" s="29"/>
      <c r="H865" s="78" t="str">
        <f t="shared" si="136"/>
        <v/>
      </c>
      <c r="I865" s="25"/>
      <c r="J865" s="25"/>
      <c r="K865" s="26"/>
      <c r="L865" s="26"/>
      <c r="M865" s="37"/>
      <c r="N865" s="27"/>
      <c r="O865" s="30"/>
      <c r="P865" s="39" t="str">
        <f t="shared" si="137"/>
        <v/>
      </c>
      <c r="Q865" s="40" t="str">
        <f>IF(OR(T865=0,RIGHT(T865,1)=$W$1),"",COUNTIF($T$3:T865,T865))</f>
        <v/>
      </c>
      <c r="S865" s="6">
        <f t="shared" si="138"/>
        <v>0</v>
      </c>
      <c r="T865" s="36">
        <f t="shared" si="139"/>
        <v>0</v>
      </c>
      <c r="V865" s="6">
        <f t="shared" si="140"/>
        <v>0</v>
      </c>
      <c r="Y865" s="8">
        <f t="shared" si="141"/>
        <v>46023</v>
      </c>
    </row>
    <row r="866" spans="2:25" ht="18.75" x14ac:dyDescent="0.3">
      <c r="B866" s="6">
        <f t="shared" si="133"/>
        <v>0</v>
      </c>
      <c r="C866" s="6">
        <f t="shared" si="134"/>
        <v>0</v>
      </c>
      <c r="D866" s="6" t="str">
        <f t="shared" si="135"/>
        <v/>
      </c>
      <c r="E866" s="35" t="str">
        <f t="shared" si="132"/>
        <v/>
      </c>
      <c r="F866" s="31"/>
      <c r="G866" s="29"/>
      <c r="H866" s="78" t="str">
        <f t="shared" si="136"/>
        <v/>
      </c>
      <c r="I866" s="25"/>
      <c r="J866" s="25"/>
      <c r="K866" s="26"/>
      <c r="L866" s="26"/>
      <c r="M866" s="37"/>
      <c r="N866" s="27"/>
      <c r="O866" s="30"/>
      <c r="P866" s="39" t="str">
        <f t="shared" si="137"/>
        <v/>
      </c>
      <c r="Q866" s="40" t="str">
        <f>IF(OR(T866=0,RIGHT(T866,1)=$W$1),"",COUNTIF($T$3:T866,T866))</f>
        <v/>
      </c>
      <c r="S866" s="6">
        <f t="shared" si="138"/>
        <v>0</v>
      </c>
      <c r="T866" s="36">
        <f t="shared" si="139"/>
        <v>0</v>
      </c>
      <c r="V866" s="6">
        <f t="shared" si="140"/>
        <v>0</v>
      </c>
      <c r="Y866" s="8">
        <f t="shared" si="141"/>
        <v>46023</v>
      </c>
    </row>
    <row r="867" spans="2:25" ht="18.75" x14ac:dyDescent="0.3">
      <c r="B867" s="6">
        <f t="shared" si="133"/>
        <v>0</v>
      </c>
      <c r="C867" s="6">
        <f t="shared" si="134"/>
        <v>0</v>
      </c>
      <c r="D867" s="6" t="str">
        <f t="shared" si="135"/>
        <v/>
      </c>
      <c r="E867" s="35" t="str">
        <f t="shared" si="132"/>
        <v/>
      </c>
      <c r="F867" s="31"/>
      <c r="G867" s="29"/>
      <c r="H867" s="78" t="str">
        <f t="shared" si="136"/>
        <v/>
      </c>
      <c r="I867" s="25"/>
      <c r="J867" s="25"/>
      <c r="K867" s="26"/>
      <c r="L867" s="26"/>
      <c r="M867" s="37"/>
      <c r="N867" s="27"/>
      <c r="O867" s="30"/>
      <c r="P867" s="39" t="str">
        <f t="shared" si="137"/>
        <v/>
      </c>
      <c r="Q867" s="40" t="str">
        <f>IF(OR(T867=0,RIGHT(T867,1)=$W$1),"",COUNTIF($T$3:T867,T867))</f>
        <v/>
      </c>
      <c r="S867" s="6">
        <f t="shared" si="138"/>
        <v>0</v>
      </c>
      <c r="T867" s="36">
        <f t="shared" si="139"/>
        <v>0</v>
      </c>
      <c r="V867" s="6">
        <f t="shared" si="140"/>
        <v>0</v>
      </c>
      <c r="Y867" s="8">
        <f t="shared" si="141"/>
        <v>46023</v>
      </c>
    </row>
    <row r="868" spans="2:25" ht="18.75" x14ac:dyDescent="0.3">
      <c r="B868" s="6">
        <f t="shared" si="133"/>
        <v>0</v>
      </c>
      <c r="C868" s="6">
        <f t="shared" si="134"/>
        <v>0</v>
      </c>
      <c r="D868" s="6" t="str">
        <f t="shared" si="135"/>
        <v/>
      </c>
      <c r="E868" s="35" t="str">
        <f t="shared" si="132"/>
        <v/>
      </c>
      <c r="F868" s="31"/>
      <c r="G868" s="29"/>
      <c r="H868" s="78" t="str">
        <f t="shared" si="136"/>
        <v/>
      </c>
      <c r="I868" s="25"/>
      <c r="J868" s="25"/>
      <c r="K868" s="26"/>
      <c r="L868" s="26"/>
      <c r="M868" s="37"/>
      <c r="N868" s="27"/>
      <c r="O868" s="30"/>
      <c r="P868" s="39" t="str">
        <f t="shared" si="137"/>
        <v/>
      </c>
      <c r="Q868" s="40" t="str">
        <f>IF(OR(T868=0,RIGHT(T868,1)=$W$1),"",COUNTIF($T$3:T868,T868))</f>
        <v/>
      </c>
      <c r="S868" s="6">
        <f t="shared" si="138"/>
        <v>0</v>
      </c>
      <c r="T868" s="36">
        <f t="shared" si="139"/>
        <v>0</v>
      </c>
      <c r="V868" s="6">
        <f t="shared" si="140"/>
        <v>0</v>
      </c>
      <c r="Y868" s="8">
        <f t="shared" si="141"/>
        <v>46023</v>
      </c>
    </row>
    <row r="869" spans="2:25" ht="18.75" x14ac:dyDescent="0.3">
      <c r="B869" s="6">
        <f t="shared" si="133"/>
        <v>0</v>
      </c>
      <c r="C869" s="6">
        <f t="shared" si="134"/>
        <v>0</v>
      </c>
      <c r="D869" s="6" t="str">
        <f t="shared" si="135"/>
        <v/>
      </c>
      <c r="E869" s="35" t="str">
        <f t="shared" si="132"/>
        <v/>
      </c>
      <c r="F869" s="31"/>
      <c r="G869" s="29"/>
      <c r="H869" s="78" t="str">
        <f t="shared" si="136"/>
        <v/>
      </c>
      <c r="I869" s="25"/>
      <c r="J869" s="25"/>
      <c r="K869" s="26"/>
      <c r="L869" s="26"/>
      <c r="M869" s="37"/>
      <c r="N869" s="27"/>
      <c r="O869" s="30"/>
      <c r="P869" s="39" t="str">
        <f t="shared" si="137"/>
        <v/>
      </c>
      <c r="Q869" s="40" t="str">
        <f>IF(OR(T869=0,RIGHT(T869,1)=$W$1),"",COUNTIF($T$3:T869,T869))</f>
        <v/>
      </c>
      <c r="S869" s="6">
        <f t="shared" si="138"/>
        <v>0</v>
      </c>
      <c r="T869" s="36">
        <f t="shared" si="139"/>
        <v>0</v>
      </c>
      <c r="V869" s="6">
        <f t="shared" si="140"/>
        <v>0</v>
      </c>
      <c r="Y869" s="8">
        <f t="shared" si="141"/>
        <v>46023</v>
      </c>
    </row>
    <row r="870" spans="2:25" ht="18.75" x14ac:dyDescent="0.3">
      <c r="B870" s="6">
        <f t="shared" si="133"/>
        <v>0</v>
      </c>
      <c r="C870" s="6">
        <f t="shared" si="134"/>
        <v>0</v>
      </c>
      <c r="D870" s="6" t="str">
        <f t="shared" si="135"/>
        <v/>
      </c>
      <c r="E870" s="35" t="str">
        <f t="shared" si="132"/>
        <v/>
      </c>
      <c r="F870" s="31"/>
      <c r="G870" s="29"/>
      <c r="H870" s="78" t="str">
        <f t="shared" si="136"/>
        <v/>
      </c>
      <c r="I870" s="25"/>
      <c r="J870" s="25"/>
      <c r="K870" s="26"/>
      <c r="L870" s="26"/>
      <c r="M870" s="37"/>
      <c r="N870" s="27"/>
      <c r="O870" s="30"/>
      <c r="P870" s="39" t="str">
        <f t="shared" si="137"/>
        <v/>
      </c>
      <c r="Q870" s="40" t="str">
        <f>IF(OR(T870=0,RIGHT(T870,1)=$W$1),"",COUNTIF($T$3:T870,T870))</f>
        <v/>
      </c>
      <c r="S870" s="6">
        <f t="shared" si="138"/>
        <v>0</v>
      </c>
      <c r="T870" s="36">
        <f t="shared" si="139"/>
        <v>0</v>
      </c>
      <c r="V870" s="6">
        <f t="shared" si="140"/>
        <v>0</v>
      </c>
      <c r="Y870" s="8">
        <f t="shared" si="141"/>
        <v>46023</v>
      </c>
    </row>
    <row r="871" spans="2:25" ht="18.75" x14ac:dyDescent="0.3">
      <c r="B871" s="6">
        <f t="shared" si="133"/>
        <v>0</v>
      </c>
      <c r="C871" s="6">
        <f t="shared" si="134"/>
        <v>0</v>
      </c>
      <c r="D871" s="6" t="str">
        <f t="shared" si="135"/>
        <v/>
      </c>
      <c r="E871" s="35" t="str">
        <f t="shared" si="132"/>
        <v/>
      </c>
      <c r="F871" s="31"/>
      <c r="G871" s="29"/>
      <c r="H871" s="78" t="str">
        <f t="shared" si="136"/>
        <v/>
      </c>
      <c r="I871" s="25"/>
      <c r="J871" s="25"/>
      <c r="K871" s="26"/>
      <c r="L871" s="26"/>
      <c r="M871" s="37"/>
      <c r="N871" s="27"/>
      <c r="O871" s="30"/>
      <c r="P871" s="39" t="str">
        <f t="shared" si="137"/>
        <v/>
      </c>
      <c r="Q871" s="40" t="str">
        <f>IF(OR(T871=0,RIGHT(T871,1)=$W$1),"",COUNTIF($T$3:T871,T871))</f>
        <v/>
      </c>
      <c r="S871" s="6">
        <f t="shared" si="138"/>
        <v>0</v>
      </c>
      <c r="T871" s="36">
        <f t="shared" si="139"/>
        <v>0</v>
      </c>
      <c r="V871" s="6">
        <f t="shared" si="140"/>
        <v>0</v>
      </c>
      <c r="Y871" s="8">
        <f t="shared" si="141"/>
        <v>46023</v>
      </c>
    </row>
    <row r="872" spans="2:25" ht="18.75" x14ac:dyDescent="0.3">
      <c r="B872" s="6">
        <f t="shared" si="133"/>
        <v>0</v>
      </c>
      <c r="C872" s="6">
        <f t="shared" si="134"/>
        <v>0</v>
      </c>
      <c r="D872" s="6" t="str">
        <f t="shared" si="135"/>
        <v/>
      </c>
      <c r="E872" s="35" t="str">
        <f t="shared" si="132"/>
        <v/>
      </c>
      <c r="F872" s="31"/>
      <c r="G872" s="29"/>
      <c r="H872" s="78" t="str">
        <f t="shared" si="136"/>
        <v/>
      </c>
      <c r="I872" s="25"/>
      <c r="J872" s="25"/>
      <c r="K872" s="26"/>
      <c r="L872" s="26"/>
      <c r="M872" s="37"/>
      <c r="N872" s="27"/>
      <c r="O872" s="30"/>
      <c r="P872" s="39" t="str">
        <f t="shared" si="137"/>
        <v/>
      </c>
      <c r="Q872" s="40" t="str">
        <f>IF(OR(T872=0,RIGHT(T872,1)=$W$1),"",COUNTIF($T$3:T872,T872))</f>
        <v/>
      </c>
      <c r="S872" s="6">
        <f t="shared" si="138"/>
        <v>0</v>
      </c>
      <c r="T872" s="36">
        <f t="shared" si="139"/>
        <v>0</v>
      </c>
      <c r="V872" s="6">
        <f t="shared" si="140"/>
        <v>0</v>
      </c>
      <c r="Y872" s="8">
        <f t="shared" si="141"/>
        <v>46023</v>
      </c>
    </row>
    <row r="873" spans="2:25" ht="18.75" x14ac:dyDescent="0.3">
      <c r="B873" s="6">
        <f t="shared" si="133"/>
        <v>0</v>
      </c>
      <c r="C873" s="6">
        <f t="shared" si="134"/>
        <v>0</v>
      </c>
      <c r="D873" s="6" t="str">
        <f t="shared" si="135"/>
        <v/>
      </c>
      <c r="E873" s="35" t="str">
        <f t="shared" si="132"/>
        <v/>
      </c>
      <c r="F873" s="31"/>
      <c r="G873" s="29"/>
      <c r="H873" s="78" t="str">
        <f t="shared" si="136"/>
        <v/>
      </c>
      <c r="I873" s="25"/>
      <c r="J873" s="25"/>
      <c r="K873" s="26"/>
      <c r="L873" s="26"/>
      <c r="M873" s="37"/>
      <c r="N873" s="27"/>
      <c r="O873" s="30"/>
      <c r="P873" s="39" t="str">
        <f t="shared" si="137"/>
        <v/>
      </c>
      <c r="Q873" s="40" t="str">
        <f>IF(OR(T873=0,RIGHT(T873,1)=$W$1),"",COUNTIF($T$3:T873,T873))</f>
        <v/>
      </c>
      <c r="S873" s="6">
        <f t="shared" si="138"/>
        <v>0</v>
      </c>
      <c r="T873" s="36">
        <f t="shared" si="139"/>
        <v>0</v>
      </c>
      <c r="V873" s="6">
        <f t="shared" si="140"/>
        <v>0</v>
      </c>
      <c r="Y873" s="8">
        <f t="shared" si="141"/>
        <v>46023</v>
      </c>
    </row>
    <row r="874" spans="2:25" ht="18.75" x14ac:dyDescent="0.3">
      <c r="B874" s="6">
        <f t="shared" si="133"/>
        <v>0</v>
      </c>
      <c r="C874" s="6">
        <f t="shared" si="134"/>
        <v>0</v>
      </c>
      <c r="D874" s="6" t="str">
        <f t="shared" si="135"/>
        <v/>
      </c>
      <c r="E874" s="35" t="str">
        <f t="shared" si="132"/>
        <v/>
      </c>
      <c r="F874" s="31"/>
      <c r="G874" s="29"/>
      <c r="H874" s="78" t="str">
        <f t="shared" si="136"/>
        <v/>
      </c>
      <c r="I874" s="25"/>
      <c r="J874" s="25"/>
      <c r="K874" s="26"/>
      <c r="L874" s="26"/>
      <c r="M874" s="37"/>
      <c r="N874" s="27"/>
      <c r="O874" s="30"/>
      <c r="P874" s="39" t="str">
        <f t="shared" si="137"/>
        <v/>
      </c>
      <c r="Q874" s="40" t="str">
        <f>IF(OR(T874=0,RIGHT(T874,1)=$W$1),"",COUNTIF($T$3:T874,T874))</f>
        <v/>
      </c>
      <c r="S874" s="6">
        <f t="shared" si="138"/>
        <v>0</v>
      </c>
      <c r="T874" s="36">
        <f t="shared" si="139"/>
        <v>0</v>
      </c>
      <c r="V874" s="6">
        <f t="shared" si="140"/>
        <v>0</v>
      </c>
      <c r="Y874" s="8">
        <f t="shared" si="141"/>
        <v>46023</v>
      </c>
    </row>
    <row r="875" spans="2:25" ht="18.75" x14ac:dyDescent="0.3">
      <c r="B875" s="6">
        <f t="shared" si="133"/>
        <v>0</v>
      </c>
      <c r="C875" s="6">
        <f t="shared" si="134"/>
        <v>0</v>
      </c>
      <c r="D875" s="6" t="str">
        <f t="shared" si="135"/>
        <v/>
      </c>
      <c r="E875" s="35" t="str">
        <f t="shared" si="132"/>
        <v/>
      </c>
      <c r="F875" s="31"/>
      <c r="G875" s="29"/>
      <c r="H875" s="78" t="str">
        <f t="shared" si="136"/>
        <v/>
      </c>
      <c r="I875" s="25"/>
      <c r="J875" s="25"/>
      <c r="K875" s="26"/>
      <c r="L875" s="26"/>
      <c r="M875" s="37"/>
      <c r="N875" s="27"/>
      <c r="O875" s="30"/>
      <c r="P875" s="39" t="str">
        <f t="shared" si="137"/>
        <v/>
      </c>
      <c r="Q875" s="40" t="str">
        <f>IF(OR(T875=0,RIGHT(T875,1)=$W$1),"",COUNTIF($T$3:T875,T875))</f>
        <v/>
      </c>
      <c r="S875" s="6">
        <f t="shared" si="138"/>
        <v>0</v>
      </c>
      <c r="T875" s="36">
        <f t="shared" si="139"/>
        <v>0</v>
      </c>
      <c r="V875" s="6">
        <f t="shared" si="140"/>
        <v>0</v>
      </c>
      <c r="Y875" s="8">
        <f t="shared" si="141"/>
        <v>46023</v>
      </c>
    </row>
    <row r="876" spans="2:25" ht="18.75" x14ac:dyDescent="0.3">
      <c r="B876" s="6">
        <f t="shared" si="133"/>
        <v>0</v>
      </c>
      <c r="C876" s="6">
        <f t="shared" si="134"/>
        <v>0</v>
      </c>
      <c r="D876" s="6" t="str">
        <f t="shared" si="135"/>
        <v/>
      </c>
      <c r="E876" s="35" t="str">
        <f t="shared" si="132"/>
        <v/>
      </c>
      <c r="F876" s="31"/>
      <c r="G876" s="29"/>
      <c r="H876" s="78" t="str">
        <f t="shared" si="136"/>
        <v/>
      </c>
      <c r="I876" s="25"/>
      <c r="J876" s="25"/>
      <c r="K876" s="26"/>
      <c r="L876" s="26"/>
      <c r="M876" s="37"/>
      <c r="N876" s="27"/>
      <c r="O876" s="30"/>
      <c r="P876" s="39" t="str">
        <f t="shared" si="137"/>
        <v/>
      </c>
      <c r="Q876" s="40" t="str">
        <f>IF(OR(T876=0,RIGHT(T876,1)=$W$1),"",COUNTIF($T$3:T876,T876))</f>
        <v/>
      </c>
      <c r="S876" s="6">
        <f t="shared" si="138"/>
        <v>0</v>
      </c>
      <c r="T876" s="36">
        <f t="shared" si="139"/>
        <v>0</v>
      </c>
      <c r="V876" s="6">
        <f t="shared" si="140"/>
        <v>0</v>
      </c>
      <c r="Y876" s="8">
        <f t="shared" si="141"/>
        <v>46023</v>
      </c>
    </row>
    <row r="877" spans="2:25" ht="18.75" x14ac:dyDescent="0.3">
      <c r="B877" s="6">
        <f t="shared" si="133"/>
        <v>0</v>
      </c>
      <c r="C877" s="6">
        <f t="shared" si="134"/>
        <v>0</v>
      </c>
      <c r="D877" s="6" t="str">
        <f t="shared" si="135"/>
        <v/>
      </c>
      <c r="E877" s="35" t="str">
        <f t="shared" si="132"/>
        <v/>
      </c>
      <c r="F877" s="31"/>
      <c r="G877" s="29"/>
      <c r="H877" s="78" t="str">
        <f t="shared" si="136"/>
        <v/>
      </c>
      <c r="I877" s="25"/>
      <c r="J877" s="25"/>
      <c r="K877" s="26"/>
      <c r="L877" s="26"/>
      <c r="M877" s="37"/>
      <c r="N877" s="27"/>
      <c r="O877" s="30"/>
      <c r="P877" s="39" t="str">
        <f t="shared" si="137"/>
        <v/>
      </c>
      <c r="Q877" s="40" t="str">
        <f>IF(OR(T877=0,RIGHT(T877,1)=$W$1),"",COUNTIF($T$3:T877,T877))</f>
        <v/>
      </c>
      <c r="S877" s="6">
        <f t="shared" si="138"/>
        <v>0</v>
      </c>
      <c r="T877" s="36">
        <f t="shared" si="139"/>
        <v>0</v>
      </c>
      <c r="V877" s="6">
        <f t="shared" si="140"/>
        <v>0</v>
      </c>
      <c r="Y877" s="8">
        <f t="shared" si="141"/>
        <v>46023</v>
      </c>
    </row>
    <row r="878" spans="2:25" ht="18.75" x14ac:dyDescent="0.3">
      <c r="B878" s="6">
        <f t="shared" si="133"/>
        <v>0</v>
      </c>
      <c r="C878" s="6">
        <f t="shared" si="134"/>
        <v>0</v>
      </c>
      <c r="D878" s="6" t="str">
        <f t="shared" si="135"/>
        <v/>
      </c>
      <c r="E878" s="35" t="str">
        <f t="shared" si="132"/>
        <v/>
      </c>
      <c r="F878" s="31"/>
      <c r="G878" s="29"/>
      <c r="H878" s="78" t="str">
        <f t="shared" si="136"/>
        <v/>
      </c>
      <c r="I878" s="25"/>
      <c r="J878" s="25"/>
      <c r="K878" s="26"/>
      <c r="L878" s="26"/>
      <c r="M878" s="37"/>
      <c r="N878" s="27"/>
      <c r="O878" s="30"/>
      <c r="P878" s="39" t="str">
        <f t="shared" si="137"/>
        <v/>
      </c>
      <c r="Q878" s="40" t="str">
        <f>IF(OR(T878=0,RIGHT(T878,1)=$W$1),"",COUNTIF($T$3:T878,T878))</f>
        <v/>
      </c>
      <c r="S878" s="6">
        <f t="shared" si="138"/>
        <v>0</v>
      </c>
      <c r="T878" s="36">
        <f t="shared" si="139"/>
        <v>0</v>
      </c>
      <c r="V878" s="6">
        <f t="shared" si="140"/>
        <v>0</v>
      </c>
      <c r="Y878" s="8">
        <f t="shared" si="141"/>
        <v>46023</v>
      </c>
    </row>
    <row r="879" spans="2:25" ht="18.75" x14ac:dyDescent="0.3">
      <c r="B879" s="6">
        <f t="shared" si="133"/>
        <v>0</v>
      </c>
      <c r="C879" s="6">
        <f t="shared" si="134"/>
        <v>0</v>
      </c>
      <c r="D879" s="6" t="str">
        <f t="shared" si="135"/>
        <v/>
      </c>
      <c r="E879" s="35" t="str">
        <f t="shared" si="132"/>
        <v/>
      </c>
      <c r="F879" s="31"/>
      <c r="G879" s="29"/>
      <c r="H879" s="78" t="str">
        <f t="shared" si="136"/>
        <v/>
      </c>
      <c r="I879" s="25"/>
      <c r="J879" s="25"/>
      <c r="K879" s="26"/>
      <c r="L879" s="26"/>
      <c r="M879" s="37"/>
      <c r="N879" s="27"/>
      <c r="O879" s="30"/>
      <c r="P879" s="39" t="str">
        <f t="shared" si="137"/>
        <v/>
      </c>
      <c r="Q879" s="40" t="str">
        <f>IF(OR(T879=0,RIGHT(T879,1)=$W$1),"",COUNTIF($T$3:T879,T879))</f>
        <v/>
      </c>
      <c r="S879" s="6">
        <f t="shared" si="138"/>
        <v>0</v>
      </c>
      <c r="T879" s="36">
        <f t="shared" si="139"/>
        <v>0</v>
      </c>
      <c r="V879" s="6">
        <f t="shared" si="140"/>
        <v>0</v>
      </c>
      <c r="Y879" s="8">
        <f t="shared" si="141"/>
        <v>46023</v>
      </c>
    </row>
    <row r="880" spans="2:25" ht="18.75" x14ac:dyDescent="0.3">
      <c r="B880" s="6">
        <f t="shared" si="133"/>
        <v>0</v>
      </c>
      <c r="C880" s="6">
        <f t="shared" si="134"/>
        <v>0</v>
      </c>
      <c r="D880" s="6" t="str">
        <f t="shared" si="135"/>
        <v/>
      </c>
      <c r="E880" s="35" t="str">
        <f t="shared" si="132"/>
        <v/>
      </c>
      <c r="F880" s="31"/>
      <c r="G880" s="29"/>
      <c r="H880" s="78" t="str">
        <f t="shared" si="136"/>
        <v/>
      </c>
      <c r="I880" s="25"/>
      <c r="J880" s="25"/>
      <c r="K880" s="26"/>
      <c r="L880" s="26"/>
      <c r="M880" s="37"/>
      <c r="N880" s="27"/>
      <c r="O880" s="30"/>
      <c r="P880" s="39" t="str">
        <f t="shared" si="137"/>
        <v/>
      </c>
      <c r="Q880" s="40" t="str">
        <f>IF(OR(T880=0,RIGHT(T880,1)=$W$1),"",COUNTIF($T$3:T880,T880))</f>
        <v/>
      </c>
      <c r="S880" s="6">
        <f t="shared" si="138"/>
        <v>0</v>
      </c>
      <c r="T880" s="36">
        <f t="shared" si="139"/>
        <v>0</v>
      </c>
      <c r="V880" s="6">
        <f t="shared" si="140"/>
        <v>0</v>
      </c>
      <c r="Y880" s="8">
        <f t="shared" si="141"/>
        <v>46023</v>
      </c>
    </row>
    <row r="881" spans="2:25" ht="18.75" x14ac:dyDescent="0.3">
      <c r="B881" s="6">
        <f t="shared" si="133"/>
        <v>0</v>
      </c>
      <c r="C881" s="6">
        <f t="shared" si="134"/>
        <v>0</v>
      </c>
      <c r="D881" s="6" t="str">
        <f t="shared" si="135"/>
        <v/>
      </c>
      <c r="E881" s="35" t="str">
        <f t="shared" si="132"/>
        <v/>
      </c>
      <c r="F881" s="31"/>
      <c r="G881" s="29"/>
      <c r="H881" s="78" t="str">
        <f t="shared" si="136"/>
        <v/>
      </c>
      <c r="I881" s="25"/>
      <c r="J881" s="25"/>
      <c r="K881" s="26"/>
      <c r="L881" s="26"/>
      <c r="M881" s="37"/>
      <c r="N881" s="27"/>
      <c r="O881" s="30"/>
      <c r="P881" s="39" t="str">
        <f t="shared" si="137"/>
        <v/>
      </c>
      <c r="Q881" s="40" t="str">
        <f>IF(OR(T881=0,RIGHT(T881,1)=$W$1),"",COUNTIF($T$3:T881,T881))</f>
        <v/>
      </c>
      <c r="S881" s="6">
        <f t="shared" si="138"/>
        <v>0</v>
      </c>
      <c r="T881" s="36">
        <f t="shared" si="139"/>
        <v>0</v>
      </c>
      <c r="V881" s="6">
        <f t="shared" si="140"/>
        <v>0</v>
      </c>
      <c r="Y881" s="8">
        <f t="shared" si="141"/>
        <v>46023</v>
      </c>
    </row>
    <row r="882" spans="2:25" ht="18.75" x14ac:dyDescent="0.3">
      <c r="B882" s="6">
        <f t="shared" si="133"/>
        <v>0</v>
      </c>
      <c r="C882" s="6">
        <f t="shared" si="134"/>
        <v>0</v>
      </c>
      <c r="D882" s="6" t="str">
        <f t="shared" si="135"/>
        <v/>
      </c>
      <c r="E882" s="35" t="str">
        <f t="shared" si="132"/>
        <v/>
      </c>
      <c r="F882" s="31"/>
      <c r="G882" s="29"/>
      <c r="H882" s="78" t="str">
        <f t="shared" si="136"/>
        <v/>
      </c>
      <c r="I882" s="25"/>
      <c r="J882" s="25"/>
      <c r="K882" s="26"/>
      <c r="L882" s="26"/>
      <c r="M882" s="37"/>
      <c r="N882" s="27"/>
      <c r="O882" s="30"/>
      <c r="P882" s="39" t="str">
        <f t="shared" si="137"/>
        <v/>
      </c>
      <c r="Q882" s="40" t="str">
        <f>IF(OR(T882=0,RIGHT(T882,1)=$W$1),"",COUNTIF($T$3:T882,T882))</f>
        <v/>
      </c>
      <c r="S882" s="6">
        <f t="shared" si="138"/>
        <v>0</v>
      </c>
      <c r="T882" s="36">
        <f t="shared" si="139"/>
        <v>0</v>
      </c>
      <c r="V882" s="6">
        <f t="shared" si="140"/>
        <v>0</v>
      </c>
      <c r="Y882" s="8">
        <f t="shared" si="141"/>
        <v>46023</v>
      </c>
    </row>
    <row r="883" spans="2:25" ht="18.75" x14ac:dyDescent="0.3">
      <c r="B883" s="6">
        <f t="shared" si="133"/>
        <v>0</v>
      </c>
      <c r="C883" s="6">
        <f t="shared" si="134"/>
        <v>0</v>
      </c>
      <c r="D883" s="6" t="str">
        <f t="shared" si="135"/>
        <v/>
      </c>
      <c r="E883" s="35" t="str">
        <f t="shared" si="132"/>
        <v/>
      </c>
      <c r="F883" s="31"/>
      <c r="G883" s="29"/>
      <c r="H883" s="78" t="str">
        <f t="shared" si="136"/>
        <v/>
      </c>
      <c r="I883" s="25"/>
      <c r="J883" s="25"/>
      <c r="K883" s="26"/>
      <c r="L883" s="26"/>
      <c r="M883" s="37"/>
      <c r="N883" s="27"/>
      <c r="O883" s="30"/>
      <c r="P883" s="39" t="str">
        <f t="shared" si="137"/>
        <v/>
      </c>
      <c r="Q883" s="40" t="str">
        <f>IF(OR(T883=0,RIGHT(T883,1)=$W$1),"",COUNTIF($T$3:T883,T883))</f>
        <v/>
      </c>
      <c r="S883" s="6">
        <f t="shared" si="138"/>
        <v>0</v>
      </c>
      <c r="T883" s="36">
        <f t="shared" si="139"/>
        <v>0</v>
      </c>
      <c r="V883" s="6">
        <f t="shared" si="140"/>
        <v>0</v>
      </c>
      <c r="Y883" s="8">
        <f t="shared" si="141"/>
        <v>46023</v>
      </c>
    </row>
    <row r="884" spans="2:25" ht="18.75" x14ac:dyDescent="0.3">
      <c r="B884" s="6">
        <f t="shared" si="133"/>
        <v>0</v>
      </c>
      <c r="C884" s="6">
        <f t="shared" si="134"/>
        <v>0</v>
      </c>
      <c r="D884" s="6" t="str">
        <f t="shared" si="135"/>
        <v/>
      </c>
      <c r="E884" s="35" t="str">
        <f t="shared" si="132"/>
        <v/>
      </c>
      <c r="F884" s="31"/>
      <c r="G884" s="29"/>
      <c r="H884" s="78" t="str">
        <f t="shared" si="136"/>
        <v/>
      </c>
      <c r="I884" s="25"/>
      <c r="J884" s="25"/>
      <c r="K884" s="26"/>
      <c r="L884" s="26"/>
      <c r="M884" s="37"/>
      <c r="N884" s="27"/>
      <c r="O884" s="30"/>
      <c r="P884" s="39" t="str">
        <f t="shared" si="137"/>
        <v/>
      </c>
      <c r="Q884" s="40" t="str">
        <f>IF(OR(T884=0,RIGHT(T884,1)=$W$1),"",COUNTIF($T$3:T884,T884))</f>
        <v/>
      </c>
      <c r="S884" s="6">
        <f t="shared" si="138"/>
        <v>0</v>
      </c>
      <c r="T884" s="36">
        <f t="shared" si="139"/>
        <v>0</v>
      </c>
      <c r="V884" s="6">
        <f t="shared" si="140"/>
        <v>0</v>
      </c>
      <c r="Y884" s="8">
        <f t="shared" si="141"/>
        <v>46023</v>
      </c>
    </row>
    <row r="885" spans="2:25" ht="18.75" x14ac:dyDescent="0.3">
      <c r="B885" s="6">
        <f t="shared" si="133"/>
        <v>0</v>
      </c>
      <c r="C885" s="6">
        <f t="shared" si="134"/>
        <v>0</v>
      </c>
      <c r="D885" s="6" t="str">
        <f t="shared" si="135"/>
        <v/>
      </c>
      <c r="E885" s="35" t="str">
        <f t="shared" si="132"/>
        <v/>
      </c>
      <c r="F885" s="31"/>
      <c r="G885" s="29"/>
      <c r="H885" s="78" t="str">
        <f t="shared" si="136"/>
        <v/>
      </c>
      <c r="I885" s="25"/>
      <c r="J885" s="25"/>
      <c r="K885" s="26"/>
      <c r="L885" s="26"/>
      <c r="M885" s="37"/>
      <c r="N885" s="27"/>
      <c r="O885" s="30"/>
      <c r="P885" s="39" t="str">
        <f t="shared" si="137"/>
        <v/>
      </c>
      <c r="Q885" s="40" t="str">
        <f>IF(OR(T885=0,RIGHT(T885,1)=$W$1),"",COUNTIF($T$3:T885,T885))</f>
        <v/>
      </c>
      <c r="S885" s="6">
        <f t="shared" si="138"/>
        <v>0</v>
      </c>
      <c r="T885" s="36">
        <f t="shared" si="139"/>
        <v>0</v>
      </c>
      <c r="V885" s="6">
        <f t="shared" si="140"/>
        <v>0</v>
      </c>
      <c r="Y885" s="8">
        <f t="shared" si="141"/>
        <v>46023</v>
      </c>
    </row>
    <row r="886" spans="2:25" ht="18.75" x14ac:dyDescent="0.3">
      <c r="B886" s="6">
        <f t="shared" si="133"/>
        <v>0</v>
      </c>
      <c r="C886" s="6">
        <f t="shared" si="134"/>
        <v>0</v>
      </c>
      <c r="D886" s="6" t="str">
        <f t="shared" si="135"/>
        <v/>
      </c>
      <c r="E886" s="35" t="str">
        <f t="shared" si="132"/>
        <v/>
      </c>
      <c r="F886" s="31"/>
      <c r="G886" s="29"/>
      <c r="H886" s="78" t="str">
        <f t="shared" si="136"/>
        <v/>
      </c>
      <c r="I886" s="25"/>
      <c r="J886" s="25"/>
      <c r="K886" s="26"/>
      <c r="L886" s="26"/>
      <c r="M886" s="37"/>
      <c r="N886" s="27"/>
      <c r="O886" s="30"/>
      <c r="P886" s="39" t="str">
        <f t="shared" si="137"/>
        <v/>
      </c>
      <c r="Q886" s="40" t="str">
        <f>IF(OR(T886=0,RIGHT(T886,1)=$W$1),"",COUNTIF($T$3:T886,T886))</f>
        <v/>
      </c>
      <c r="S886" s="6">
        <f t="shared" si="138"/>
        <v>0</v>
      </c>
      <c r="T886" s="36">
        <f t="shared" si="139"/>
        <v>0</v>
      </c>
      <c r="V886" s="6">
        <f t="shared" si="140"/>
        <v>0</v>
      </c>
      <c r="Y886" s="8">
        <f t="shared" si="141"/>
        <v>46023</v>
      </c>
    </row>
    <row r="887" spans="2:25" ht="18.75" x14ac:dyDescent="0.3">
      <c r="B887" s="6">
        <f t="shared" si="133"/>
        <v>0</v>
      </c>
      <c r="C887" s="6">
        <f t="shared" si="134"/>
        <v>0</v>
      </c>
      <c r="D887" s="6" t="str">
        <f t="shared" si="135"/>
        <v/>
      </c>
      <c r="E887" s="35" t="str">
        <f t="shared" si="132"/>
        <v/>
      </c>
      <c r="F887" s="31"/>
      <c r="G887" s="29"/>
      <c r="H887" s="78" t="str">
        <f t="shared" si="136"/>
        <v/>
      </c>
      <c r="I887" s="25"/>
      <c r="J887" s="25"/>
      <c r="K887" s="26"/>
      <c r="L887" s="26"/>
      <c r="M887" s="37"/>
      <c r="N887" s="27"/>
      <c r="O887" s="30"/>
      <c r="P887" s="39" t="str">
        <f t="shared" si="137"/>
        <v/>
      </c>
      <c r="Q887" s="40" t="str">
        <f>IF(OR(T887=0,RIGHT(T887,1)=$W$1),"",COUNTIF($T$3:T887,T887))</f>
        <v/>
      </c>
      <c r="S887" s="6">
        <f t="shared" si="138"/>
        <v>0</v>
      </c>
      <c r="T887" s="36">
        <f t="shared" si="139"/>
        <v>0</v>
      </c>
      <c r="V887" s="6">
        <f t="shared" si="140"/>
        <v>0</v>
      </c>
      <c r="Y887" s="8">
        <f t="shared" si="141"/>
        <v>46023</v>
      </c>
    </row>
    <row r="888" spans="2:25" ht="18.75" x14ac:dyDescent="0.3">
      <c r="B888" s="6">
        <f t="shared" si="133"/>
        <v>0</v>
      </c>
      <c r="C888" s="6">
        <f t="shared" si="134"/>
        <v>0</v>
      </c>
      <c r="D888" s="6" t="str">
        <f t="shared" si="135"/>
        <v/>
      </c>
      <c r="E888" s="35" t="str">
        <f t="shared" si="132"/>
        <v/>
      </c>
      <c r="F888" s="31"/>
      <c r="G888" s="29"/>
      <c r="H888" s="78" t="str">
        <f t="shared" si="136"/>
        <v/>
      </c>
      <c r="I888" s="25"/>
      <c r="J888" s="25"/>
      <c r="K888" s="26"/>
      <c r="L888" s="26"/>
      <c r="M888" s="37"/>
      <c r="N888" s="27"/>
      <c r="O888" s="30"/>
      <c r="P888" s="39" t="str">
        <f t="shared" si="137"/>
        <v/>
      </c>
      <c r="Q888" s="40" t="str">
        <f>IF(OR(T888=0,RIGHT(T888,1)=$W$1),"",COUNTIF($T$3:T888,T888))</f>
        <v/>
      </c>
      <c r="S888" s="6">
        <f t="shared" si="138"/>
        <v>0</v>
      </c>
      <c r="T888" s="36">
        <f t="shared" si="139"/>
        <v>0</v>
      </c>
      <c r="V888" s="6">
        <f t="shared" si="140"/>
        <v>0</v>
      </c>
      <c r="Y888" s="8">
        <f t="shared" si="141"/>
        <v>46023</v>
      </c>
    </row>
    <row r="889" spans="2:25" ht="18.75" x14ac:dyDescent="0.3">
      <c r="B889" s="6">
        <f t="shared" si="133"/>
        <v>0</v>
      </c>
      <c r="C889" s="6">
        <f t="shared" si="134"/>
        <v>0</v>
      </c>
      <c r="D889" s="6" t="str">
        <f t="shared" si="135"/>
        <v/>
      </c>
      <c r="E889" s="35" t="str">
        <f t="shared" si="132"/>
        <v/>
      </c>
      <c r="F889" s="31"/>
      <c r="G889" s="29"/>
      <c r="H889" s="78" t="str">
        <f t="shared" si="136"/>
        <v/>
      </c>
      <c r="I889" s="25"/>
      <c r="J889" s="25"/>
      <c r="K889" s="26"/>
      <c r="L889" s="26"/>
      <c r="M889" s="37"/>
      <c r="N889" s="27"/>
      <c r="O889" s="30"/>
      <c r="P889" s="39" t="str">
        <f t="shared" si="137"/>
        <v/>
      </c>
      <c r="Q889" s="40" t="str">
        <f>IF(OR(T889=0,RIGHT(T889,1)=$W$1),"",COUNTIF($T$3:T889,T889))</f>
        <v/>
      </c>
      <c r="S889" s="6">
        <f t="shared" si="138"/>
        <v>0</v>
      </c>
      <c r="T889" s="36">
        <f t="shared" si="139"/>
        <v>0</v>
      </c>
      <c r="V889" s="6">
        <f t="shared" si="140"/>
        <v>0</v>
      </c>
      <c r="Y889" s="8">
        <f t="shared" si="141"/>
        <v>46023</v>
      </c>
    </row>
    <row r="890" spans="2:25" ht="18.75" x14ac:dyDescent="0.3">
      <c r="B890" s="6">
        <f t="shared" si="133"/>
        <v>0</v>
      </c>
      <c r="C890" s="6">
        <f t="shared" si="134"/>
        <v>0</v>
      </c>
      <c r="D890" s="6" t="str">
        <f t="shared" si="135"/>
        <v/>
      </c>
      <c r="E890" s="35" t="str">
        <f t="shared" si="132"/>
        <v/>
      </c>
      <c r="F890" s="31"/>
      <c r="G890" s="29"/>
      <c r="H890" s="78" t="str">
        <f t="shared" si="136"/>
        <v/>
      </c>
      <c r="I890" s="25"/>
      <c r="J890" s="25"/>
      <c r="K890" s="26"/>
      <c r="L890" s="26"/>
      <c r="M890" s="37"/>
      <c r="N890" s="27"/>
      <c r="O890" s="30"/>
      <c r="P890" s="39" t="str">
        <f t="shared" si="137"/>
        <v/>
      </c>
      <c r="Q890" s="40" t="str">
        <f>IF(OR(T890=0,RIGHT(T890,1)=$W$1),"",COUNTIF($T$3:T890,T890))</f>
        <v/>
      </c>
      <c r="S890" s="6">
        <f t="shared" si="138"/>
        <v>0</v>
      </c>
      <c r="T890" s="36">
        <f t="shared" si="139"/>
        <v>0</v>
      </c>
      <c r="V890" s="6">
        <f t="shared" si="140"/>
        <v>0</v>
      </c>
      <c r="Y890" s="8">
        <f t="shared" si="141"/>
        <v>46023</v>
      </c>
    </row>
    <row r="891" spans="2:25" ht="18.75" x14ac:dyDescent="0.3">
      <c r="B891" s="6">
        <f t="shared" si="133"/>
        <v>0</v>
      </c>
      <c r="C891" s="6">
        <f t="shared" si="134"/>
        <v>0</v>
      </c>
      <c r="D891" s="6" t="str">
        <f t="shared" si="135"/>
        <v/>
      </c>
      <c r="E891" s="35" t="str">
        <f t="shared" si="132"/>
        <v/>
      </c>
      <c r="F891" s="31"/>
      <c r="G891" s="29"/>
      <c r="H891" s="78" t="str">
        <f t="shared" si="136"/>
        <v/>
      </c>
      <c r="I891" s="25"/>
      <c r="J891" s="25"/>
      <c r="K891" s="26"/>
      <c r="L891" s="26"/>
      <c r="M891" s="37"/>
      <c r="N891" s="27"/>
      <c r="O891" s="30"/>
      <c r="P891" s="39" t="str">
        <f t="shared" si="137"/>
        <v/>
      </c>
      <c r="Q891" s="40" t="str">
        <f>IF(OR(T891=0,RIGHT(T891,1)=$W$1),"",COUNTIF($T$3:T891,T891))</f>
        <v/>
      </c>
      <c r="S891" s="6">
        <f t="shared" si="138"/>
        <v>0</v>
      </c>
      <c r="T891" s="36">
        <f t="shared" si="139"/>
        <v>0</v>
      </c>
      <c r="V891" s="6">
        <f t="shared" si="140"/>
        <v>0</v>
      </c>
      <c r="Y891" s="8">
        <f t="shared" si="141"/>
        <v>46023</v>
      </c>
    </row>
    <row r="892" spans="2:25" ht="18.75" x14ac:dyDescent="0.3">
      <c r="B892" s="6">
        <f t="shared" si="133"/>
        <v>0</v>
      </c>
      <c r="C892" s="6">
        <f t="shared" si="134"/>
        <v>0</v>
      </c>
      <c r="D892" s="6" t="str">
        <f t="shared" si="135"/>
        <v/>
      </c>
      <c r="E892" s="35" t="str">
        <f t="shared" si="132"/>
        <v/>
      </c>
      <c r="F892" s="31"/>
      <c r="G892" s="29"/>
      <c r="H892" s="78" t="str">
        <f t="shared" si="136"/>
        <v/>
      </c>
      <c r="I892" s="25"/>
      <c r="J892" s="25"/>
      <c r="K892" s="26"/>
      <c r="L892" s="26"/>
      <c r="M892" s="37"/>
      <c r="N892" s="27"/>
      <c r="O892" s="30"/>
      <c r="P892" s="39" t="str">
        <f t="shared" si="137"/>
        <v/>
      </c>
      <c r="Q892" s="40" t="str">
        <f>IF(OR(T892=0,RIGHT(T892,1)=$W$1),"",COUNTIF($T$3:T892,T892))</f>
        <v/>
      </c>
      <c r="S892" s="6">
        <f t="shared" si="138"/>
        <v>0</v>
      </c>
      <c r="T892" s="36">
        <f t="shared" si="139"/>
        <v>0</v>
      </c>
      <c r="V892" s="6">
        <f t="shared" si="140"/>
        <v>0</v>
      </c>
      <c r="Y892" s="8">
        <f t="shared" si="141"/>
        <v>46023</v>
      </c>
    </row>
    <row r="893" spans="2:25" ht="18.75" x14ac:dyDescent="0.3">
      <c r="B893" s="6">
        <f t="shared" si="133"/>
        <v>0</v>
      </c>
      <c r="C893" s="6">
        <f t="shared" si="134"/>
        <v>0</v>
      </c>
      <c r="D893" s="6" t="str">
        <f t="shared" si="135"/>
        <v/>
      </c>
      <c r="E893" s="35" t="str">
        <f t="shared" si="132"/>
        <v/>
      </c>
      <c r="F893" s="31"/>
      <c r="G893" s="29"/>
      <c r="H893" s="78" t="str">
        <f t="shared" si="136"/>
        <v/>
      </c>
      <c r="I893" s="25"/>
      <c r="J893" s="25"/>
      <c r="K893" s="26"/>
      <c r="L893" s="26"/>
      <c r="M893" s="37"/>
      <c r="N893" s="27"/>
      <c r="O893" s="30"/>
      <c r="P893" s="39" t="str">
        <f t="shared" si="137"/>
        <v/>
      </c>
      <c r="Q893" s="40" t="str">
        <f>IF(OR(T893=0,RIGHT(T893,1)=$W$1),"",COUNTIF($T$3:T893,T893))</f>
        <v/>
      </c>
      <c r="S893" s="6">
        <f t="shared" si="138"/>
        <v>0</v>
      </c>
      <c r="T893" s="36">
        <f t="shared" si="139"/>
        <v>0</v>
      </c>
      <c r="V893" s="6">
        <f t="shared" si="140"/>
        <v>0</v>
      </c>
      <c r="Y893" s="8">
        <f t="shared" si="141"/>
        <v>46023</v>
      </c>
    </row>
    <row r="894" spans="2:25" ht="18.75" x14ac:dyDescent="0.3">
      <c r="B894" s="6">
        <f t="shared" si="133"/>
        <v>0</v>
      </c>
      <c r="C894" s="6">
        <f t="shared" si="134"/>
        <v>0</v>
      </c>
      <c r="D894" s="6" t="str">
        <f t="shared" si="135"/>
        <v/>
      </c>
      <c r="E894" s="35" t="str">
        <f t="shared" si="132"/>
        <v/>
      </c>
      <c r="F894" s="31"/>
      <c r="G894" s="29"/>
      <c r="H894" s="78" t="str">
        <f t="shared" si="136"/>
        <v/>
      </c>
      <c r="I894" s="25"/>
      <c r="J894" s="25"/>
      <c r="K894" s="26"/>
      <c r="L894" s="26"/>
      <c r="M894" s="37"/>
      <c r="N894" s="27"/>
      <c r="O894" s="30"/>
      <c r="P894" s="39" t="str">
        <f t="shared" si="137"/>
        <v/>
      </c>
      <c r="Q894" s="40" t="str">
        <f>IF(OR(T894=0,RIGHT(T894,1)=$W$1),"",COUNTIF($T$3:T894,T894))</f>
        <v/>
      </c>
      <c r="S894" s="6">
        <f t="shared" si="138"/>
        <v>0</v>
      </c>
      <c r="T894" s="36">
        <f t="shared" si="139"/>
        <v>0</v>
      </c>
      <c r="V894" s="6">
        <f t="shared" si="140"/>
        <v>0</v>
      </c>
      <c r="Y894" s="8">
        <f t="shared" si="141"/>
        <v>46023</v>
      </c>
    </row>
    <row r="895" spans="2:25" ht="18.75" x14ac:dyDescent="0.3">
      <c r="B895" s="6">
        <f t="shared" si="133"/>
        <v>0</v>
      </c>
      <c r="C895" s="6">
        <f t="shared" si="134"/>
        <v>0</v>
      </c>
      <c r="D895" s="6" t="str">
        <f t="shared" si="135"/>
        <v/>
      </c>
      <c r="E895" s="35" t="str">
        <f t="shared" si="132"/>
        <v/>
      </c>
      <c r="F895" s="31"/>
      <c r="G895" s="29"/>
      <c r="H895" s="78" t="str">
        <f t="shared" si="136"/>
        <v/>
      </c>
      <c r="I895" s="25"/>
      <c r="J895" s="25"/>
      <c r="K895" s="26"/>
      <c r="L895" s="26"/>
      <c r="M895" s="37"/>
      <c r="N895" s="27"/>
      <c r="O895" s="30"/>
      <c r="P895" s="39" t="str">
        <f t="shared" si="137"/>
        <v/>
      </c>
      <c r="Q895" s="40" t="str">
        <f>IF(OR(T895=0,RIGHT(T895,1)=$W$1),"",COUNTIF($T$3:T895,T895))</f>
        <v/>
      </c>
      <c r="S895" s="6">
        <f t="shared" si="138"/>
        <v>0</v>
      </c>
      <c r="T895" s="36">
        <f t="shared" si="139"/>
        <v>0</v>
      </c>
      <c r="V895" s="6">
        <f t="shared" si="140"/>
        <v>0</v>
      </c>
      <c r="Y895" s="8">
        <f t="shared" si="141"/>
        <v>46023</v>
      </c>
    </row>
    <row r="896" spans="2:25" ht="18.75" x14ac:dyDescent="0.3">
      <c r="B896" s="6">
        <f t="shared" si="133"/>
        <v>0</v>
      </c>
      <c r="C896" s="6">
        <f t="shared" si="134"/>
        <v>0</v>
      </c>
      <c r="D896" s="6" t="str">
        <f t="shared" si="135"/>
        <v/>
      </c>
      <c r="E896" s="35" t="str">
        <f t="shared" si="132"/>
        <v/>
      </c>
      <c r="F896" s="31"/>
      <c r="G896" s="29"/>
      <c r="H896" s="78" t="str">
        <f t="shared" si="136"/>
        <v/>
      </c>
      <c r="I896" s="25"/>
      <c r="J896" s="25"/>
      <c r="K896" s="26"/>
      <c r="L896" s="26"/>
      <c r="M896" s="37"/>
      <c r="N896" s="27"/>
      <c r="O896" s="30"/>
      <c r="P896" s="39" t="str">
        <f t="shared" si="137"/>
        <v/>
      </c>
      <c r="Q896" s="40" t="str">
        <f>IF(OR(T896=0,RIGHT(T896,1)=$W$1),"",COUNTIF($T$3:T896,T896))</f>
        <v/>
      </c>
      <c r="S896" s="6">
        <f t="shared" si="138"/>
        <v>0</v>
      </c>
      <c r="T896" s="36">
        <f t="shared" si="139"/>
        <v>0</v>
      </c>
      <c r="V896" s="6">
        <f t="shared" si="140"/>
        <v>0</v>
      </c>
      <c r="Y896" s="8">
        <f t="shared" si="141"/>
        <v>46023</v>
      </c>
    </row>
    <row r="897" spans="2:25" ht="18.75" x14ac:dyDescent="0.3">
      <c r="B897" s="6">
        <f t="shared" si="133"/>
        <v>0</v>
      </c>
      <c r="C897" s="6">
        <f t="shared" si="134"/>
        <v>0</v>
      </c>
      <c r="D897" s="6" t="str">
        <f t="shared" si="135"/>
        <v/>
      </c>
      <c r="E897" s="35" t="str">
        <f t="shared" si="132"/>
        <v/>
      </c>
      <c r="F897" s="31"/>
      <c r="G897" s="29"/>
      <c r="H897" s="78" t="str">
        <f t="shared" si="136"/>
        <v/>
      </c>
      <c r="I897" s="25"/>
      <c r="J897" s="25"/>
      <c r="K897" s="26"/>
      <c r="L897" s="26"/>
      <c r="M897" s="37"/>
      <c r="N897" s="27"/>
      <c r="O897" s="30"/>
      <c r="P897" s="39" t="str">
        <f t="shared" si="137"/>
        <v/>
      </c>
      <c r="Q897" s="40" t="str">
        <f>IF(OR(T897=0,RIGHT(T897,1)=$W$1),"",COUNTIF($T$3:T897,T897))</f>
        <v/>
      </c>
      <c r="S897" s="6">
        <f t="shared" si="138"/>
        <v>0</v>
      </c>
      <c r="T897" s="36">
        <f t="shared" si="139"/>
        <v>0</v>
      </c>
      <c r="V897" s="6">
        <f t="shared" si="140"/>
        <v>0</v>
      </c>
      <c r="Y897" s="8">
        <f t="shared" si="141"/>
        <v>46023</v>
      </c>
    </row>
    <row r="898" spans="2:25" ht="18.75" x14ac:dyDescent="0.3">
      <c r="B898" s="6">
        <f t="shared" si="133"/>
        <v>0</v>
      </c>
      <c r="C898" s="6">
        <f t="shared" si="134"/>
        <v>0</v>
      </c>
      <c r="D898" s="6" t="str">
        <f t="shared" si="135"/>
        <v/>
      </c>
      <c r="E898" s="35" t="str">
        <f t="shared" si="132"/>
        <v/>
      </c>
      <c r="F898" s="31"/>
      <c r="G898" s="29"/>
      <c r="H898" s="78" t="str">
        <f t="shared" si="136"/>
        <v/>
      </c>
      <c r="I898" s="25"/>
      <c r="J898" s="25"/>
      <c r="K898" s="26"/>
      <c r="L898" s="26"/>
      <c r="M898" s="37"/>
      <c r="N898" s="27"/>
      <c r="O898" s="30"/>
      <c r="P898" s="39" t="str">
        <f t="shared" si="137"/>
        <v/>
      </c>
      <c r="Q898" s="40" t="str">
        <f>IF(OR(T898=0,RIGHT(T898,1)=$W$1),"",COUNTIF($T$3:T898,T898))</f>
        <v/>
      </c>
      <c r="S898" s="6">
        <f t="shared" si="138"/>
        <v>0</v>
      </c>
      <c r="T898" s="36">
        <f t="shared" si="139"/>
        <v>0</v>
      </c>
      <c r="V898" s="6">
        <f t="shared" si="140"/>
        <v>0</v>
      </c>
      <c r="Y898" s="8">
        <f t="shared" si="141"/>
        <v>46023</v>
      </c>
    </row>
    <row r="899" spans="2:25" ht="18.75" x14ac:dyDescent="0.3">
      <c r="B899" s="6">
        <f t="shared" si="133"/>
        <v>0</v>
      </c>
      <c r="C899" s="6">
        <f t="shared" si="134"/>
        <v>0</v>
      </c>
      <c r="D899" s="6" t="str">
        <f t="shared" si="135"/>
        <v/>
      </c>
      <c r="E899" s="35" t="str">
        <f t="shared" ref="E899:E962" si="142">IF(D899&lt;&gt;"",D899&amp;" - "&amp;YEAR(F899),"")</f>
        <v/>
      </c>
      <c r="F899" s="31"/>
      <c r="G899" s="29"/>
      <c r="H899" s="78" t="str">
        <f t="shared" si="136"/>
        <v/>
      </c>
      <c r="I899" s="25"/>
      <c r="J899" s="25"/>
      <c r="K899" s="26"/>
      <c r="L899" s="26"/>
      <c r="M899" s="37"/>
      <c r="N899" s="27"/>
      <c r="O899" s="30"/>
      <c r="P899" s="39" t="str">
        <f t="shared" si="137"/>
        <v/>
      </c>
      <c r="Q899" s="40" t="str">
        <f>IF(OR(T899=0,RIGHT(T899,1)=$W$1),"",COUNTIF($T$3:T899,T899))</f>
        <v/>
      </c>
      <c r="S899" s="6">
        <f t="shared" si="138"/>
        <v>0</v>
      </c>
      <c r="T899" s="36">
        <f t="shared" si="139"/>
        <v>0</v>
      </c>
      <c r="V899" s="6">
        <f t="shared" si="140"/>
        <v>0</v>
      </c>
      <c r="Y899" s="8">
        <f t="shared" si="141"/>
        <v>46023</v>
      </c>
    </row>
    <row r="900" spans="2:25" ht="18.75" x14ac:dyDescent="0.3">
      <c r="B900" s="6">
        <f t="shared" ref="B900:B963" si="143">IF($B$1=YEAR(F900),B899+1,B899)</f>
        <v>0</v>
      </c>
      <c r="C900" s="6">
        <f t="shared" ref="C900:C963" si="144">IF(AND($C$1=K900,$Y$1=YEAR(F900)),C899+1,C899)</f>
        <v>0</v>
      </c>
      <c r="D900" s="6" t="str">
        <f t="shared" ref="D900:D963" si="145">IF(F900&lt;&gt;0,IF(YEAR(F900)&lt;&gt;YEAR(F899),1,IF(M900=$AI$1,D899,D899+1)),"")</f>
        <v/>
      </c>
      <c r="E900" s="35" t="str">
        <f t="shared" si="142"/>
        <v/>
      </c>
      <c r="F900" s="31"/>
      <c r="G900" s="29"/>
      <c r="H900" s="78" t="str">
        <f t="shared" ref="H900:H963" si="146">IF(G900&lt;&gt;"",F900,"")</f>
        <v/>
      </c>
      <c r="I900" s="25"/>
      <c r="J900" s="25"/>
      <c r="K900" s="26"/>
      <c r="L900" s="26"/>
      <c r="M900" s="37"/>
      <c r="N900" s="27"/>
      <c r="O900" s="30"/>
      <c r="P900" s="39" t="str">
        <f t="shared" ref="P900:P963" si="147">IF(OR(T900=0,RIGHT(T900,1)=$W$1),"",VLOOKUP(K900,$AD$1:$AK$15,5,FALSE))</f>
        <v/>
      </c>
      <c r="Q900" s="40" t="str">
        <f>IF(OR(T900=0,RIGHT(T900,1)=$W$1),"",COUNTIF($T$3:T900,T900))</f>
        <v/>
      </c>
      <c r="S900" s="6">
        <f t="shared" ref="S900:S963" si="148">IF(AND($C$1=K900,$Y$1=YEAR(F900)),C900,0)</f>
        <v>0</v>
      </c>
      <c r="T900" s="36">
        <f t="shared" ref="T900:T963" si="149">IF(F900=0,0,YEAR(F900)&amp;VLOOKUP(K900,$AD$1:$AE$15,2,FALSE))</f>
        <v>0</v>
      </c>
      <c r="V900" s="6">
        <f t="shared" ref="V900:V963" si="150">IF(AND(YEAR(F900)=$Y$1,K900=$C$1,L900&amp;$V$1&lt;&gt;$V$1),L900,IF(AND(YEAR(F900)=$Y$1,K900=$C$1),1,0))</f>
        <v>0</v>
      </c>
      <c r="Y900" s="8">
        <f t="shared" ref="Y900:Y963" si="151">IF(M900&lt;&gt;$AI$1,$Y$2,F899)</f>
        <v>46023</v>
      </c>
    </row>
    <row r="901" spans="2:25" ht="18.75" x14ac:dyDescent="0.3">
      <c r="B901" s="6">
        <f t="shared" si="143"/>
        <v>0</v>
      </c>
      <c r="C901" s="6">
        <f t="shared" si="144"/>
        <v>0</v>
      </c>
      <c r="D901" s="6" t="str">
        <f t="shared" si="145"/>
        <v/>
      </c>
      <c r="E901" s="35" t="str">
        <f t="shared" si="142"/>
        <v/>
      </c>
      <c r="F901" s="31"/>
      <c r="G901" s="29"/>
      <c r="H901" s="78" t="str">
        <f t="shared" si="146"/>
        <v/>
      </c>
      <c r="I901" s="25"/>
      <c r="J901" s="25"/>
      <c r="K901" s="26"/>
      <c r="L901" s="26"/>
      <c r="M901" s="37"/>
      <c r="N901" s="27"/>
      <c r="O901" s="30"/>
      <c r="P901" s="39" t="str">
        <f t="shared" si="147"/>
        <v/>
      </c>
      <c r="Q901" s="40" t="str">
        <f>IF(OR(T901=0,RIGHT(T901,1)=$W$1),"",COUNTIF($T$3:T901,T901))</f>
        <v/>
      </c>
      <c r="S901" s="6">
        <f t="shared" si="148"/>
        <v>0</v>
      </c>
      <c r="T901" s="36">
        <f t="shared" si="149"/>
        <v>0</v>
      </c>
      <c r="V901" s="6">
        <f t="shared" si="150"/>
        <v>0</v>
      </c>
      <c r="Y901" s="8">
        <f t="shared" si="151"/>
        <v>46023</v>
      </c>
    </row>
    <row r="902" spans="2:25" ht="18.75" x14ac:dyDescent="0.3">
      <c r="B902" s="6">
        <f t="shared" si="143"/>
        <v>0</v>
      </c>
      <c r="C902" s="6">
        <f t="shared" si="144"/>
        <v>0</v>
      </c>
      <c r="D902" s="6" t="str">
        <f t="shared" si="145"/>
        <v/>
      </c>
      <c r="E902" s="35" t="str">
        <f t="shared" si="142"/>
        <v/>
      </c>
      <c r="F902" s="31"/>
      <c r="G902" s="29"/>
      <c r="H902" s="78" t="str">
        <f t="shared" si="146"/>
        <v/>
      </c>
      <c r="I902" s="25"/>
      <c r="J902" s="25"/>
      <c r="K902" s="26"/>
      <c r="L902" s="26"/>
      <c r="M902" s="37"/>
      <c r="N902" s="27"/>
      <c r="O902" s="30"/>
      <c r="P902" s="39" t="str">
        <f t="shared" si="147"/>
        <v/>
      </c>
      <c r="Q902" s="40" t="str">
        <f>IF(OR(T902=0,RIGHT(T902,1)=$W$1),"",COUNTIF($T$3:T902,T902))</f>
        <v/>
      </c>
      <c r="S902" s="6">
        <f t="shared" si="148"/>
        <v>0</v>
      </c>
      <c r="T902" s="36">
        <f t="shared" si="149"/>
        <v>0</v>
      </c>
      <c r="V902" s="6">
        <f t="shared" si="150"/>
        <v>0</v>
      </c>
      <c r="Y902" s="8">
        <f t="shared" si="151"/>
        <v>46023</v>
      </c>
    </row>
    <row r="903" spans="2:25" ht="18.75" x14ac:dyDescent="0.3">
      <c r="B903" s="6">
        <f t="shared" si="143"/>
        <v>0</v>
      </c>
      <c r="C903" s="6">
        <f t="shared" si="144"/>
        <v>0</v>
      </c>
      <c r="D903" s="6" t="str">
        <f t="shared" si="145"/>
        <v/>
      </c>
      <c r="E903" s="35" t="str">
        <f t="shared" si="142"/>
        <v/>
      </c>
      <c r="F903" s="31"/>
      <c r="G903" s="29"/>
      <c r="H903" s="78" t="str">
        <f t="shared" si="146"/>
        <v/>
      </c>
      <c r="I903" s="25"/>
      <c r="J903" s="25"/>
      <c r="K903" s="26"/>
      <c r="L903" s="26"/>
      <c r="M903" s="37"/>
      <c r="N903" s="27"/>
      <c r="O903" s="30"/>
      <c r="P903" s="39" t="str">
        <f t="shared" si="147"/>
        <v/>
      </c>
      <c r="Q903" s="40" t="str">
        <f>IF(OR(T903=0,RIGHT(T903,1)=$W$1),"",COUNTIF($T$3:T903,T903))</f>
        <v/>
      </c>
      <c r="S903" s="6">
        <f t="shared" si="148"/>
        <v>0</v>
      </c>
      <c r="T903" s="36">
        <f t="shared" si="149"/>
        <v>0</v>
      </c>
      <c r="V903" s="6">
        <f t="shared" si="150"/>
        <v>0</v>
      </c>
      <c r="Y903" s="8">
        <f t="shared" si="151"/>
        <v>46023</v>
      </c>
    </row>
    <row r="904" spans="2:25" ht="18.75" x14ac:dyDescent="0.3">
      <c r="B904" s="6">
        <f t="shared" si="143"/>
        <v>0</v>
      </c>
      <c r="C904" s="6">
        <f t="shared" si="144"/>
        <v>0</v>
      </c>
      <c r="D904" s="6" t="str">
        <f t="shared" si="145"/>
        <v/>
      </c>
      <c r="E904" s="35" t="str">
        <f t="shared" si="142"/>
        <v/>
      </c>
      <c r="F904" s="31"/>
      <c r="G904" s="29"/>
      <c r="H904" s="78" t="str">
        <f t="shared" si="146"/>
        <v/>
      </c>
      <c r="I904" s="25"/>
      <c r="J904" s="25"/>
      <c r="K904" s="26"/>
      <c r="L904" s="26"/>
      <c r="M904" s="37"/>
      <c r="N904" s="27"/>
      <c r="O904" s="30"/>
      <c r="P904" s="39" t="str">
        <f t="shared" si="147"/>
        <v/>
      </c>
      <c r="Q904" s="40" t="str">
        <f>IF(OR(T904=0,RIGHT(T904,1)=$W$1),"",COUNTIF($T$3:T904,T904))</f>
        <v/>
      </c>
      <c r="S904" s="6">
        <f t="shared" si="148"/>
        <v>0</v>
      </c>
      <c r="T904" s="36">
        <f t="shared" si="149"/>
        <v>0</v>
      </c>
      <c r="V904" s="6">
        <f t="shared" si="150"/>
        <v>0</v>
      </c>
      <c r="Y904" s="8">
        <f t="shared" si="151"/>
        <v>46023</v>
      </c>
    </row>
    <row r="905" spans="2:25" ht="18.75" x14ac:dyDescent="0.3">
      <c r="B905" s="6">
        <f t="shared" si="143"/>
        <v>0</v>
      </c>
      <c r="C905" s="6">
        <f t="shared" si="144"/>
        <v>0</v>
      </c>
      <c r="D905" s="6" t="str">
        <f t="shared" si="145"/>
        <v/>
      </c>
      <c r="E905" s="35" t="str">
        <f t="shared" si="142"/>
        <v/>
      </c>
      <c r="F905" s="31"/>
      <c r="G905" s="29"/>
      <c r="H905" s="78" t="str">
        <f t="shared" si="146"/>
        <v/>
      </c>
      <c r="I905" s="25"/>
      <c r="J905" s="25"/>
      <c r="K905" s="26"/>
      <c r="L905" s="26"/>
      <c r="M905" s="37"/>
      <c r="N905" s="27"/>
      <c r="O905" s="30"/>
      <c r="P905" s="39" t="str">
        <f t="shared" si="147"/>
        <v/>
      </c>
      <c r="Q905" s="40" t="str">
        <f>IF(OR(T905=0,RIGHT(T905,1)=$W$1),"",COUNTIF($T$3:T905,T905))</f>
        <v/>
      </c>
      <c r="S905" s="6">
        <f t="shared" si="148"/>
        <v>0</v>
      </c>
      <c r="T905" s="36">
        <f t="shared" si="149"/>
        <v>0</v>
      </c>
      <c r="V905" s="6">
        <f t="shared" si="150"/>
        <v>0</v>
      </c>
      <c r="Y905" s="8">
        <f t="shared" si="151"/>
        <v>46023</v>
      </c>
    </row>
    <row r="906" spans="2:25" ht="18.75" x14ac:dyDescent="0.3">
      <c r="B906" s="6">
        <f t="shared" si="143"/>
        <v>0</v>
      </c>
      <c r="C906" s="6">
        <f t="shared" si="144"/>
        <v>0</v>
      </c>
      <c r="D906" s="6" t="str">
        <f t="shared" si="145"/>
        <v/>
      </c>
      <c r="E906" s="35" t="str">
        <f t="shared" si="142"/>
        <v/>
      </c>
      <c r="F906" s="31"/>
      <c r="G906" s="29"/>
      <c r="H906" s="78" t="str">
        <f t="shared" si="146"/>
        <v/>
      </c>
      <c r="I906" s="25"/>
      <c r="J906" s="25"/>
      <c r="K906" s="26"/>
      <c r="L906" s="26"/>
      <c r="M906" s="37"/>
      <c r="N906" s="27"/>
      <c r="O906" s="30"/>
      <c r="P906" s="39" t="str">
        <f t="shared" si="147"/>
        <v/>
      </c>
      <c r="Q906" s="40" t="str">
        <f>IF(OR(T906=0,RIGHT(T906,1)=$W$1),"",COUNTIF($T$3:T906,T906))</f>
        <v/>
      </c>
      <c r="S906" s="6">
        <f t="shared" si="148"/>
        <v>0</v>
      </c>
      <c r="T906" s="36">
        <f t="shared" si="149"/>
        <v>0</v>
      </c>
      <c r="V906" s="6">
        <f t="shared" si="150"/>
        <v>0</v>
      </c>
      <c r="Y906" s="8">
        <f t="shared" si="151"/>
        <v>46023</v>
      </c>
    </row>
    <row r="907" spans="2:25" ht="18.75" x14ac:dyDescent="0.3">
      <c r="B907" s="6">
        <f t="shared" si="143"/>
        <v>0</v>
      </c>
      <c r="C907" s="6">
        <f t="shared" si="144"/>
        <v>0</v>
      </c>
      <c r="D907" s="6" t="str">
        <f t="shared" si="145"/>
        <v/>
      </c>
      <c r="E907" s="35" t="str">
        <f t="shared" si="142"/>
        <v/>
      </c>
      <c r="F907" s="31"/>
      <c r="G907" s="29"/>
      <c r="H907" s="78" t="str">
        <f t="shared" si="146"/>
        <v/>
      </c>
      <c r="I907" s="25"/>
      <c r="J907" s="25"/>
      <c r="K907" s="26"/>
      <c r="L907" s="26"/>
      <c r="M907" s="37"/>
      <c r="N907" s="27"/>
      <c r="O907" s="30"/>
      <c r="P907" s="39" t="str">
        <f t="shared" si="147"/>
        <v/>
      </c>
      <c r="Q907" s="40" t="str">
        <f>IF(OR(T907=0,RIGHT(T907,1)=$W$1),"",COUNTIF($T$3:T907,T907))</f>
        <v/>
      </c>
      <c r="S907" s="6">
        <f t="shared" si="148"/>
        <v>0</v>
      </c>
      <c r="T907" s="36">
        <f t="shared" si="149"/>
        <v>0</v>
      </c>
      <c r="V907" s="6">
        <f t="shared" si="150"/>
        <v>0</v>
      </c>
      <c r="Y907" s="8">
        <f t="shared" si="151"/>
        <v>46023</v>
      </c>
    </row>
    <row r="908" spans="2:25" ht="18.75" x14ac:dyDescent="0.3">
      <c r="B908" s="6">
        <f t="shared" si="143"/>
        <v>0</v>
      </c>
      <c r="C908" s="6">
        <f t="shared" si="144"/>
        <v>0</v>
      </c>
      <c r="D908" s="6" t="str">
        <f t="shared" si="145"/>
        <v/>
      </c>
      <c r="E908" s="35" t="str">
        <f t="shared" si="142"/>
        <v/>
      </c>
      <c r="F908" s="31"/>
      <c r="G908" s="29"/>
      <c r="H908" s="78" t="str">
        <f t="shared" si="146"/>
        <v/>
      </c>
      <c r="I908" s="25"/>
      <c r="J908" s="25"/>
      <c r="K908" s="26"/>
      <c r="L908" s="26"/>
      <c r="M908" s="37"/>
      <c r="N908" s="27"/>
      <c r="O908" s="30"/>
      <c r="P908" s="39" t="str">
        <f t="shared" si="147"/>
        <v/>
      </c>
      <c r="Q908" s="40" t="str">
        <f>IF(OR(T908=0,RIGHT(T908,1)=$W$1),"",COUNTIF($T$3:T908,T908))</f>
        <v/>
      </c>
      <c r="S908" s="6">
        <f t="shared" si="148"/>
        <v>0</v>
      </c>
      <c r="T908" s="36">
        <f t="shared" si="149"/>
        <v>0</v>
      </c>
      <c r="V908" s="6">
        <f t="shared" si="150"/>
        <v>0</v>
      </c>
      <c r="Y908" s="8">
        <f t="shared" si="151"/>
        <v>46023</v>
      </c>
    </row>
    <row r="909" spans="2:25" ht="18.75" x14ac:dyDescent="0.3">
      <c r="B909" s="6">
        <f t="shared" si="143"/>
        <v>0</v>
      </c>
      <c r="C909" s="6">
        <f t="shared" si="144"/>
        <v>0</v>
      </c>
      <c r="D909" s="6" t="str">
        <f t="shared" si="145"/>
        <v/>
      </c>
      <c r="E909" s="35" t="str">
        <f t="shared" si="142"/>
        <v/>
      </c>
      <c r="F909" s="31"/>
      <c r="G909" s="29"/>
      <c r="H909" s="78" t="str">
        <f t="shared" si="146"/>
        <v/>
      </c>
      <c r="I909" s="25"/>
      <c r="J909" s="25"/>
      <c r="K909" s="26"/>
      <c r="L909" s="26"/>
      <c r="M909" s="37"/>
      <c r="N909" s="27"/>
      <c r="O909" s="30"/>
      <c r="P909" s="39" t="str">
        <f t="shared" si="147"/>
        <v/>
      </c>
      <c r="Q909" s="40" t="str">
        <f>IF(OR(T909=0,RIGHT(T909,1)=$W$1),"",COUNTIF($T$3:T909,T909))</f>
        <v/>
      </c>
      <c r="S909" s="6">
        <f t="shared" si="148"/>
        <v>0</v>
      </c>
      <c r="T909" s="36">
        <f t="shared" si="149"/>
        <v>0</v>
      </c>
      <c r="V909" s="6">
        <f t="shared" si="150"/>
        <v>0</v>
      </c>
      <c r="Y909" s="8">
        <f t="shared" si="151"/>
        <v>46023</v>
      </c>
    </row>
    <row r="910" spans="2:25" ht="18.75" x14ac:dyDescent="0.3">
      <c r="B910" s="6">
        <f t="shared" si="143"/>
        <v>0</v>
      </c>
      <c r="C910" s="6">
        <f t="shared" si="144"/>
        <v>0</v>
      </c>
      <c r="D910" s="6" t="str">
        <f t="shared" si="145"/>
        <v/>
      </c>
      <c r="E910" s="35" t="str">
        <f t="shared" si="142"/>
        <v/>
      </c>
      <c r="F910" s="31"/>
      <c r="G910" s="29"/>
      <c r="H910" s="78" t="str">
        <f t="shared" si="146"/>
        <v/>
      </c>
      <c r="I910" s="25"/>
      <c r="J910" s="25"/>
      <c r="K910" s="26"/>
      <c r="L910" s="26"/>
      <c r="M910" s="37"/>
      <c r="N910" s="27"/>
      <c r="O910" s="30"/>
      <c r="P910" s="39" t="str">
        <f t="shared" si="147"/>
        <v/>
      </c>
      <c r="Q910" s="40" t="str">
        <f>IF(OR(T910=0,RIGHT(T910,1)=$W$1),"",COUNTIF($T$3:T910,T910))</f>
        <v/>
      </c>
      <c r="S910" s="6">
        <f t="shared" si="148"/>
        <v>0</v>
      </c>
      <c r="T910" s="36">
        <f t="shared" si="149"/>
        <v>0</v>
      </c>
      <c r="V910" s="6">
        <f t="shared" si="150"/>
        <v>0</v>
      </c>
      <c r="Y910" s="8">
        <f t="shared" si="151"/>
        <v>46023</v>
      </c>
    </row>
    <row r="911" spans="2:25" ht="18.75" x14ac:dyDescent="0.3">
      <c r="B911" s="6">
        <f t="shared" si="143"/>
        <v>0</v>
      </c>
      <c r="C911" s="6">
        <f t="shared" si="144"/>
        <v>0</v>
      </c>
      <c r="D911" s="6" t="str">
        <f t="shared" si="145"/>
        <v/>
      </c>
      <c r="E911" s="35" t="str">
        <f t="shared" si="142"/>
        <v/>
      </c>
      <c r="F911" s="31"/>
      <c r="G911" s="29"/>
      <c r="H911" s="78" t="str">
        <f t="shared" si="146"/>
        <v/>
      </c>
      <c r="I911" s="25"/>
      <c r="J911" s="25"/>
      <c r="K911" s="26"/>
      <c r="L911" s="26"/>
      <c r="M911" s="37"/>
      <c r="N911" s="27"/>
      <c r="O911" s="30"/>
      <c r="P911" s="39" t="str">
        <f t="shared" si="147"/>
        <v/>
      </c>
      <c r="Q911" s="40" t="str">
        <f>IF(OR(T911=0,RIGHT(T911,1)=$W$1),"",COUNTIF($T$3:T911,T911))</f>
        <v/>
      </c>
      <c r="S911" s="6">
        <f t="shared" si="148"/>
        <v>0</v>
      </c>
      <c r="T911" s="36">
        <f t="shared" si="149"/>
        <v>0</v>
      </c>
      <c r="V911" s="6">
        <f t="shared" si="150"/>
        <v>0</v>
      </c>
      <c r="Y911" s="8">
        <f t="shared" si="151"/>
        <v>46023</v>
      </c>
    </row>
    <row r="912" spans="2:25" ht="18.75" x14ac:dyDescent="0.3">
      <c r="B912" s="6">
        <f t="shared" si="143"/>
        <v>0</v>
      </c>
      <c r="C912" s="6">
        <f t="shared" si="144"/>
        <v>0</v>
      </c>
      <c r="D912" s="6" t="str">
        <f t="shared" si="145"/>
        <v/>
      </c>
      <c r="E912" s="35" t="str">
        <f t="shared" si="142"/>
        <v/>
      </c>
      <c r="F912" s="31"/>
      <c r="G912" s="29"/>
      <c r="H912" s="78" t="str">
        <f t="shared" si="146"/>
        <v/>
      </c>
      <c r="I912" s="25"/>
      <c r="J912" s="25"/>
      <c r="K912" s="26"/>
      <c r="L912" s="26"/>
      <c r="M912" s="37"/>
      <c r="N912" s="27"/>
      <c r="O912" s="30"/>
      <c r="P912" s="39" t="str">
        <f t="shared" si="147"/>
        <v/>
      </c>
      <c r="Q912" s="40" t="str">
        <f>IF(OR(T912=0,RIGHT(T912,1)=$W$1),"",COUNTIF($T$3:T912,T912))</f>
        <v/>
      </c>
      <c r="S912" s="6">
        <f t="shared" si="148"/>
        <v>0</v>
      </c>
      <c r="T912" s="36">
        <f t="shared" si="149"/>
        <v>0</v>
      </c>
      <c r="V912" s="6">
        <f t="shared" si="150"/>
        <v>0</v>
      </c>
      <c r="Y912" s="8">
        <f t="shared" si="151"/>
        <v>46023</v>
      </c>
    </row>
    <row r="913" spans="2:25" ht="18.75" x14ac:dyDescent="0.3">
      <c r="B913" s="6">
        <f t="shared" si="143"/>
        <v>0</v>
      </c>
      <c r="C913" s="6">
        <f t="shared" si="144"/>
        <v>0</v>
      </c>
      <c r="D913" s="6" t="str">
        <f t="shared" si="145"/>
        <v/>
      </c>
      <c r="E913" s="35" t="str">
        <f t="shared" si="142"/>
        <v/>
      </c>
      <c r="F913" s="31"/>
      <c r="G913" s="29"/>
      <c r="H913" s="78" t="str">
        <f t="shared" si="146"/>
        <v/>
      </c>
      <c r="I913" s="25"/>
      <c r="J913" s="25"/>
      <c r="K913" s="26"/>
      <c r="L913" s="26"/>
      <c r="M913" s="37"/>
      <c r="N913" s="27"/>
      <c r="O913" s="30"/>
      <c r="P913" s="39" t="str">
        <f t="shared" si="147"/>
        <v/>
      </c>
      <c r="Q913" s="40" t="str">
        <f>IF(OR(T913=0,RIGHT(T913,1)=$W$1),"",COUNTIF($T$3:T913,T913))</f>
        <v/>
      </c>
      <c r="S913" s="6">
        <f t="shared" si="148"/>
        <v>0</v>
      </c>
      <c r="T913" s="36">
        <f t="shared" si="149"/>
        <v>0</v>
      </c>
      <c r="V913" s="6">
        <f t="shared" si="150"/>
        <v>0</v>
      </c>
      <c r="Y913" s="8">
        <f t="shared" si="151"/>
        <v>46023</v>
      </c>
    </row>
    <row r="914" spans="2:25" ht="18.75" x14ac:dyDescent="0.3">
      <c r="B914" s="6">
        <f t="shared" si="143"/>
        <v>0</v>
      </c>
      <c r="C914" s="6">
        <f t="shared" si="144"/>
        <v>0</v>
      </c>
      <c r="D914" s="6" t="str">
        <f t="shared" si="145"/>
        <v/>
      </c>
      <c r="E914" s="35" t="str">
        <f t="shared" si="142"/>
        <v/>
      </c>
      <c r="F914" s="31"/>
      <c r="G914" s="29"/>
      <c r="H914" s="78" t="str">
        <f t="shared" si="146"/>
        <v/>
      </c>
      <c r="I914" s="25"/>
      <c r="J914" s="25"/>
      <c r="K914" s="26"/>
      <c r="L914" s="26"/>
      <c r="M914" s="37"/>
      <c r="N914" s="27"/>
      <c r="O914" s="30"/>
      <c r="P914" s="39" t="str">
        <f t="shared" si="147"/>
        <v/>
      </c>
      <c r="Q914" s="40" t="str">
        <f>IF(OR(T914=0,RIGHT(T914,1)=$W$1),"",COUNTIF($T$3:T914,T914))</f>
        <v/>
      </c>
      <c r="S914" s="6">
        <f t="shared" si="148"/>
        <v>0</v>
      </c>
      <c r="T914" s="36">
        <f t="shared" si="149"/>
        <v>0</v>
      </c>
      <c r="V914" s="6">
        <f t="shared" si="150"/>
        <v>0</v>
      </c>
      <c r="Y914" s="8">
        <f t="shared" si="151"/>
        <v>46023</v>
      </c>
    </row>
    <row r="915" spans="2:25" ht="18.75" x14ac:dyDescent="0.3">
      <c r="B915" s="6">
        <f t="shared" si="143"/>
        <v>0</v>
      </c>
      <c r="C915" s="6">
        <f t="shared" si="144"/>
        <v>0</v>
      </c>
      <c r="D915" s="6" t="str">
        <f t="shared" si="145"/>
        <v/>
      </c>
      <c r="E915" s="35" t="str">
        <f t="shared" si="142"/>
        <v/>
      </c>
      <c r="F915" s="31"/>
      <c r="G915" s="29"/>
      <c r="H915" s="78" t="str">
        <f t="shared" si="146"/>
        <v/>
      </c>
      <c r="I915" s="25"/>
      <c r="J915" s="25"/>
      <c r="K915" s="26"/>
      <c r="L915" s="26"/>
      <c r="M915" s="37"/>
      <c r="N915" s="27"/>
      <c r="O915" s="30"/>
      <c r="P915" s="39" t="str">
        <f t="shared" si="147"/>
        <v/>
      </c>
      <c r="Q915" s="40" t="str">
        <f>IF(OR(T915=0,RIGHT(T915,1)=$W$1),"",COUNTIF($T$3:T915,T915))</f>
        <v/>
      </c>
      <c r="S915" s="6">
        <f t="shared" si="148"/>
        <v>0</v>
      </c>
      <c r="T915" s="36">
        <f t="shared" si="149"/>
        <v>0</v>
      </c>
      <c r="V915" s="6">
        <f t="shared" si="150"/>
        <v>0</v>
      </c>
      <c r="Y915" s="8">
        <f t="shared" si="151"/>
        <v>46023</v>
      </c>
    </row>
    <row r="916" spans="2:25" ht="18.75" x14ac:dyDescent="0.3">
      <c r="B916" s="6">
        <f t="shared" si="143"/>
        <v>0</v>
      </c>
      <c r="C916" s="6">
        <f t="shared" si="144"/>
        <v>0</v>
      </c>
      <c r="D916" s="6" t="str">
        <f t="shared" si="145"/>
        <v/>
      </c>
      <c r="E916" s="35" t="str">
        <f t="shared" si="142"/>
        <v/>
      </c>
      <c r="F916" s="31"/>
      <c r="G916" s="29"/>
      <c r="H916" s="78" t="str">
        <f t="shared" si="146"/>
        <v/>
      </c>
      <c r="I916" s="25"/>
      <c r="J916" s="25"/>
      <c r="K916" s="26"/>
      <c r="L916" s="26"/>
      <c r="M916" s="37"/>
      <c r="N916" s="27"/>
      <c r="O916" s="30"/>
      <c r="P916" s="39" t="str">
        <f t="shared" si="147"/>
        <v/>
      </c>
      <c r="Q916" s="40" t="str">
        <f>IF(OR(T916=0,RIGHT(T916,1)=$W$1),"",COUNTIF($T$3:T916,T916))</f>
        <v/>
      </c>
      <c r="S916" s="6">
        <f t="shared" si="148"/>
        <v>0</v>
      </c>
      <c r="T916" s="36">
        <f t="shared" si="149"/>
        <v>0</v>
      </c>
      <c r="V916" s="6">
        <f t="shared" si="150"/>
        <v>0</v>
      </c>
      <c r="Y916" s="8">
        <f t="shared" si="151"/>
        <v>46023</v>
      </c>
    </row>
    <row r="917" spans="2:25" ht="18.75" x14ac:dyDescent="0.3">
      <c r="B917" s="6">
        <f t="shared" si="143"/>
        <v>0</v>
      </c>
      <c r="C917" s="6">
        <f t="shared" si="144"/>
        <v>0</v>
      </c>
      <c r="D917" s="6" t="str">
        <f t="shared" si="145"/>
        <v/>
      </c>
      <c r="E917" s="35" t="str">
        <f t="shared" si="142"/>
        <v/>
      </c>
      <c r="F917" s="31"/>
      <c r="G917" s="29"/>
      <c r="H917" s="78" t="str">
        <f t="shared" si="146"/>
        <v/>
      </c>
      <c r="I917" s="25"/>
      <c r="J917" s="25"/>
      <c r="K917" s="26"/>
      <c r="L917" s="26"/>
      <c r="M917" s="37"/>
      <c r="N917" s="27"/>
      <c r="O917" s="30"/>
      <c r="P917" s="39" t="str">
        <f t="shared" si="147"/>
        <v/>
      </c>
      <c r="Q917" s="40" t="str">
        <f>IF(OR(T917=0,RIGHT(T917,1)=$W$1),"",COUNTIF($T$3:T917,T917))</f>
        <v/>
      </c>
      <c r="S917" s="6">
        <f t="shared" si="148"/>
        <v>0</v>
      </c>
      <c r="T917" s="36">
        <f t="shared" si="149"/>
        <v>0</v>
      </c>
      <c r="V917" s="6">
        <f t="shared" si="150"/>
        <v>0</v>
      </c>
      <c r="Y917" s="8">
        <f t="shared" si="151"/>
        <v>46023</v>
      </c>
    </row>
    <row r="918" spans="2:25" ht="18.75" x14ac:dyDescent="0.3">
      <c r="B918" s="6">
        <f t="shared" si="143"/>
        <v>0</v>
      </c>
      <c r="C918" s="6">
        <f t="shared" si="144"/>
        <v>0</v>
      </c>
      <c r="D918" s="6" t="str">
        <f t="shared" si="145"/>
        <v/>
      </c>
      <c r="E918" s="35" t="str">
        <f t="shared" si="142"/>
        <v/>
      </c>
      <c r="F918" s="31"/>
      <c r="G918" s="29"/>
      <c r="H918" s="78" t="str">
        <f t="shared" si="146"/>
        <v/>
      </c>
      <c r="I918" s="25"/>
      <c r="J918" s="25"/>
      <c r="K918" s="26"/>
      <c r="L918" s="26"/>
      <c r="M918" s="37"/>
      <c r="N918" s="27"/>
      <c r="O918" s="30"/>
      <c r="P918" s="39" t="str">
        <f t="shared" si="147"/>
        <v/>
      </c>
      <c r="Q918" s="40" t="str">
        <f>IF(OR(T918=0,RIGHT(T918,1)=$W$1),"",COUNTIF($T$3:T918,T918))</f>
        <v/>
      </c>
      <c r="S918" s="6">
        <f t="shared" si="148"/>
        <v>0</v>
      </c>
      <c r="T918" s="36">
        <f t="shared" si="149"/>
        <v>0</v>
      </c>
      <c r="V918" s="6">
        <f t="shared" si="150"/>
        <v>0</v>
      </c>
      <c r="Y918" s="8">
        <f t="shared" si="151"/>
        <v>46023</v>
      </c>
    </row>
    <row r="919" spans="2:25" ht="18.75" x14ac:dyDescent="0.3">
      <c r="B919" s="6">
        <f t="shared" si="143"/>
        <v>0</v>
      </c>
      <c r="C919" s="6">
        <f t="shared" si="144"/>
        <v>0</v>
      </c>
      <c r="D919" s="6" t="str">
        <f t="shared" si="145"/>
        <v/>
      </c>
      <c r="E919" s="35" t="str">
        <f t="shared" si="142"/>
        <v/>
      </c>
      <c r="F919" s="31"/>
      <c r="G919" s="29"/>
      <c r="H919" s="78" t="str">
        <f t="shared" si="146"/>
        <v/>
      </c>
      <c r="I919" s="25"/>
      <c r="J919" s="25"/>
      <c r="K919" s="26"/>
      <c r="L919" s="26"/>
      <c r="M919" s="37"/>
      <c r="N919" s="27"/>
      <c r="O919" s="30"/>
      <c r="P919" s="39" t="str">
        <f t="shared" si="147"/>
        <v/>
      </c>
      <c r="Q919" s="40" t="str">
        <f>IF(OR(T919=0,RIGHT(T919,1)=$W$1),"",COUNTIF($T$3:T919,T919))</f>
        <v/>
      </c>
      <c r="S919" s="6">
        <f t="shared" si="148"/>
        <v>0</v>
      </c>
      <c r="T919" s="36">
        <f t="shared" si="149"/>
        <v>0</v>
      </c>
      <c r="V919" s="6">
        <f t="shared" si="150"/>
        <v>0</v>
      </c>
      <c r="Y919" s="8">
        <f t="shared" si="151"/>
        <v>46023</v>
      </c>
    </row>
    <row r="920" spans="2:25" ht="18.75" x14ac:dyDescent="0.3">
      <c r="B920" s="6">
        <f t="shared" si="143"/>
        <v>0</v>
      </c>
      <c r="C920" s="6">
        <f t="shared" si="144"/>
        <v>0</v>
      </c>
      <c r="D920" s="6" t="str">
        <f t="shared" si="145"/>
        <v/>
      </c>
      <c r="E920" s="35" t="str">
        <f t="shared" si="142"/>
        <v/>
      </c>
      <c r="F920" s="31"/>
      <c r="G920" s="29"/>
      <c r="H920" s="78" t="str">
        <f t="shared" si="146"/>
        <v/>
      </c>
      <c r="I920" s="25"/>
      <c r="J920" s="25"/>
      <c r="K920" s="26"/>
      <c r="L920" s="26"/>
      <c r="M920" s="37"/>
      <c r="N920" s="27"/>
      <c r="O920" s="30"/>
      <c r="P920" s="39" t="str">
        <f t="shared" si="147"/>
        <v/>
      </c>
      <c r="Q920" s="40" t="str">
        <f>IF(OR(T920=0,RIGHT(T920,1)=$W$1),"",COUNTIF($T$3:T920,T920))</f>
        <v/>
      </c>
      <c r="S920" s="6">
        <f t="shared" si="148"/>
        <v>0</v>
      </c>
      <c r="T920" s="36">
        <f t="shared" si="149"/>
        <v>0</v>
      </c>
      <c r="V920" s="6">
        <f t="shared" si="150"/>
        <v>0</v>
      </c>
      <c r="Y920" s="8">
        <f t="shared" si="151"/>
        <v>46023</v>
      </c>
    </row>
    <row r="921" spans="2:25" ht="18.75" x14ac:dyDescent="0.3">
      <c r="B921" s="6">
        <f t="shared" si="143"/>
        <v>0</v>
      </c>
      <c r="C921" s="6">
        <f t="shared" si="144"/>
        <v>0</v>
      </c>
      <c r="D921" s="6" t="str">
        <f t="shared" si="145"/>
        <v/>
      </c>
      <c r="E921" s="35" t="str">
        <f t="shared" si="142"/>
        <v/>
      </c>
      <c r="F921" s="31"/>
      <c r="G921" s="29"/>
      <c r="H921" s="78" t="str">
        <f t="shared" si="146"/>
        <v/>
      </c>
      <c r="I921" s="25"/>
      <c r="J921" s="25"/>
      <c r="K921" s="26"/>
      <c r="L921" s="26"/>
      <c r="M921" s="37"/>
      <c r="N921" s="27"/>
      <c r="O921" s="30"/>
      <c r="P921" s="39" t="str">
        <f t="shared" si="147"/>
        <v/>
      </c>
      <c r="Q921" s="40" t="str">
        <f>IF(OR(T921=0,RIGHT(T921,1)=$W$1),"",COUNTIF($T$3:T921,T921))</f>
        <v/>
      </c>
      <c r="S921" s="6">
        <f t="shared" si="148"/>
        <v>0</v>
      </c>
      <c r="T921" s="36">
        <f t="shared" si="149"/>
        <v>0</v>
      </c>
      <c r="V921" s="6">
        <f t="shared" si="150"/>
        <v>0</v>
      </c>
      <c r="Y921" s="8">
        <f t="shared" si="151"/>
        <v>46023</v>
      </c>
    </row>
    <row r="922" spans="2:25" ht="18.75" x14ac:dyDescent="0.3">
      <c r="B922" s="6">
        <f t="shared" si="143"/>
        <v>0</v>
      </c>
      <c r="C922" s="6">
        <f t="shared" si="144"/>
        <v>0</v>
      </c>
      <c r="D922" s="6" t="str">
        <f t="shared" si="145"/>
        <v/>
      </c>
      <c r="E922" s="35" t="str">
        <f t="shared" si="142"/>
        <v/>
      </c>
      <c r="F922" s="31"/>
      <c r="G922" s="29"/>
      <c r="H922" s="78" t="str">
        <f t="shared" si="146"/>
        <v/>
      </c>
      <c r="I922" s="25"/>
      <c r="J922" s="25"/>
      <c r="K922" s="26"/>
      <c r="L922" s="26"/>
      <c r="M922" s="37"/>
      <c r="N922" s="27"/>
      <c r="O922" s="30"/>
      <c r="P922" s="39" t="str">
        <f t="shared" si="147"/>
        <v/>
      </c>
      <c r="Q922" s="40" t="str">
        <f>IF(OR(T922=0,RIGHT(T922,1)=$W$1),"",COUNTIF($T$3:T922,T922))</f>
        <v/>
      </c>
      <c r="S922" s="6">
        <f t="shared" si="148"/>
        <v>0</v>
      </c>
      <c r="T922" s="36">
        <f t="shared" si="149"/>
        <v>0</v>
      </c>
      <c r="V922" s="6">
        <f t="shared" si="150"/>
        <v>0</v>
      </c>
      <c r="Y922" s="8">
        <f t="shared" si="151"/>
        <v>46023</v>
      </c>
    </row>
    <row r="923" spans="2:25" ht="18.75" x14ac:dyDescent="0.3">
      <c r="B923" s="6">
        <f t="shared" si="143"/>
        <v>0</v>
      </c>
      <c r="C923" s="6">
        <f t="shared" si="144"/>
        <v>0</v>
      </c>
      <c r="D923" s="6" t="str">
        <f t="shared" si="145"/>
        <v/>
      </c>
      <c r="E923" s="35" t="str">
        <f t="shared" si="142"/>
        <v/>
      </c>
      <c r="F923" s="31"/>
      <c r="G923" s="29"/>
      <c r="H923" s="78" t="str">
        <f t="shared" si="146"/>
        <v/>
      </c>
      <c r="I923" s="25"/>
      <c r="J923" s="25"/>
      <c r="K923" s="26"/>
      <c r="L923" s="26"/>
      <c r="M923" s="37"/>
      <c r="N923" s="27"/>
      <c r="O923" s="30"/>
      <c r="P923" s="39" t="str">
        <f t="shared" si="147"/>
        <v/>
      </c>
      <c r="Q923" s="40" t="str">
        <f>IF(OR(T923=0,RIGHT(T923,1)=$W$1),"",COUNTIF($T$3:T923,T923))</f>
        <v/>
      </c>
      <c r="S923" s="6">
        <f t="shared" si="148"/>
        <v>0</v>
      </c>
      <c r="T923" s="36">
        <f t="shared" si="149"/>
        <v>0</v>
      </c>
      <c r="V923" s="6">
        <f t="shared" si="150"/>
        <v>0</v>
      </c>
      <c r="Y923" s="8">
        <f t="shared" si="151"/>
        <v>46023</v>
      </c>
    </row>
    <row r="924" spans="2:25" ht="18.75" x14ac:dyDescent="0.3">
      <c r="B924" s="6">
        <f t="shared" si="143"/>
        <v>0</v>
      </c>
      <c r="C924" s="6">
        <f t="shared" si="144"/>
        <v>0</v>
      </c>
      <c r="D924" s="6" t="str">
        <f t="shared" si="145"/>
        <v/>
      </c>
      <c r="E924" s="35" t="str">
        <f t="shared" si="142"/>
        <v/>
      </c>
      <c r="F924" s="31"/>
      <c r="G924" s="29"/>
      <c r="H924" s="78" t="str">
        <f t="shared" si="146"/>
        <v/>
      </c>
      <c r="I924" s="25"/>
      <c r="J924" s="25"/>
      <c r="K924" s="26"/>
      <c r="L924" s="26"/>
      <c r="M924" s="37"/>
      <c r="N924" s="27"/>
      <c r="O924" s="30"/>
      <c r="P924" s="39" t="str">
        <f t="shared" si="147"/>
        <v/>
      </c>
      <c r="Q924" s="40" t="str">
        <f>IF(OR(T924=0,RIGHT(T924,1)=$W$1),"",COUNTIF($T$3:T924,T924))</f>
        <v/>
      </c>
      <c r="S924" s="6">
        <f t="shared" si="148"/>
        <v>0</v>
      </c>
      <c r="T924" s="36">
        <f t="shared" si="149"/>
        <v>0</v>
      </c>
      <c r="V924" s="6">
        <f t="shared" si="150"/>
        <v>0</v>
      </c>
      <c r="Y924" s="8">
        <f t="shared" si="151"/>
        <v>46023</v>
      </c>
    </row>
    <row r="925" spans="2:25" ht="18.75" x14ac:dyDescent="0.3">
      <c r="B925" s="6">
        <f t="shared" si="143"/>
        <v>0</v>
      </c>
      <c r="C925" s="6">
        <f t="shared" si="144"/>
        <v>0</v>
      </c>
      <c r="D925" s="6" t="str">
        <f t="shared" si="145"/>
        <v/>
      </c>
      <c r="E925" s="35" t="str">
        <f t="shared" si="142"/>
        <v/>
      </c>
      <c r="F925" s="31"/>
      <c r="G925" s="29"/>
      <c r="H925" s="78" t="str">
        <f t="shared" si="146"/>
        <v/>
      </c>
      <c r="I925" s="25"/>
      <c r="J925" s="25"/>
      <c r="K925" s="26"/>
      <c r="L925" s="26"/>
      <c r="M925" s="37"/>
      <c r="N925" s="27"/>
      <c r="O925" s="30"/>
      <c r="P925" s="39" t="str">
        <f t="shared" si="147"/>
        <v/>
      </c>
      <c r="Q925" s="40" t="str">
        <f>IF(OR(T925=0,RIGHT(T925,1)=$W$1),"",COUNTIF($T$3:T925,T925))</f>
        <v/>
      </c>
      <c r="S925" s="6">
        <f t="shared" si="148"/>
        <v>0</v>
      </c>
      <c r="T925" s="36">
        <f t="shared" si="149"/>
        <v>0</v>
      </c>
      <c r="V925" s="6">
        <f t="shared" si="150"/>
        <v>0</v>
      </c>
      <c r="Y925" s="8">
        <f t="shared" si="151"/>
        <v>46023</v>
      </c>
    </row>
    <row r="926" spans="2:25" ht="18.75" x14ac:dyDescent="0.3">
      <c r="B926" s="6">
        <f t="shared" si="143"/>
        <v>0</v>
      </c>
      <c r="C926" s="6">
        <f t="shared" si="144"/>
        <v>0</v>
      </c>
      <c r="D926" s="6" t="str">
        <f t="shared" si="145"/>
        <v/>
      </c>
      <c r="E926" s="35" t="str">
        <f t="shared" si="142"/>
        <v/>
      </c>
      <c r="F926" s="31"/>
      <c r="G926" s="29"/>
      <c r="H926" s="78" t="str">
        <f t="shared" si="146"/>
        <v/>
      </c>
      <c r="I926" s="25"/>
      <c r="J926" s="25"/>
      <c r="K926" s="26"/>
      <c r="L926" s="26"/>
      <c r="M926" s="37"/>
      <c r="N926" s="27"/>
      <c r="O926" s="30"/>
      <c r="P926" s="39" t="str">
        <f t="shared" si="147"/>
        <v/>
      </c>
      <c r="Q926" s="40" t="str">
        <f>IF(OR(T926=0,RIGHT(T926,1)=$W$1),"",COUNTIF($T$3:T926,T926))</f>
        <v/>
      </c>
      <c r="S926" s="6">
        <f t="shared" si="148"/>
        <v>0</v>
      </c>
      <c r="T926" s="36">
        <f t="shared" si="149"/>
        <v>0</v>
      </c>
      <c r="V926" s="6">
        <f t="shared" si="150"/>
        <v>0</v>
      </c>
      <c r="Y926" s="8">
        <f t="shared" si="151"/>
        <v>46023</v>
      </c>
    </row>
    <row r="927" spans="2:25" ht="18.75" x14ac:dyDescent="0.3">
      <c r="B927" s="6">
        <f t="shared" si="143"/>
        <v>0</v>
      </c>
      <c r="C927" s="6">
        <f t="shared" si="144"/>
        <v>0</v>
      </c>
      <c r="D927" s="6" t="str">
        <f t="shared" si="145"/>
        <v/>
      </c>
      <c r="E927" s="35" t="str">
        <f t="shared" si="142"/>
        <v/>
      </c>
      <c r="F927" s="31"/>
      <c r="G927" s="29"/>
      <c r="H927" s="78" t="str">
        <f t="shared" si="146"/>
        <v/>
      </c>
      <c r="I927" s="25"/>
      <c r="J927" s="25"/>
      <c r="K927" s="26"/>
      <c r="L927" s="26"/>
      <c r="M927" s="37"/>
      <c r="N927" s="27"/>
      <c r="O927" s="30"/>
      <c r="P927" s="39" t="str">
        <f t="shared" si="147"/>
        <v/>
      </c>
      <c r="Q927" s="40" t="str">
        <f>IF(OR(T927=0,RIGHT(T927,1)=$W$1),"",COUNTIF($T$3:T927,T927))</f>
        <v/>
      </c>
      <c r="S927" s="6">
        <f t="shared" si="148"/>
        <v>0</v>
      </c>
      <c r="T927" s="36">
        <f t="shared" si="149"/>
        <v>0</v>
      </c>
      <c r="V927" s="6">
        <f t="shared" si="150"/>
        <v>0</v>
      </c>
      <c r="Y927" s="8">
        <f t="shared" si="151"/>
        <v>46023</v>
      </c>
    </row>
    <row r="928" spans="2:25" ht="18.75" x14ac:dyDescent="0.3">
      <c r="B928" s="6">
        <f t="shared" si="143"/>
        <v>0</v>
      </c>
      <c r="C928" s="6">
        <f t="shared" si="144"/>
        <v>0</v>
      </c>
      <c r="D928" s="6" t="str">
        <f t="shared" si="145"/>
        <v/>
      </c>
      <c r="E928" s="35" t="str">
        <f t="shared" si="142"/>
        <v/>
      </c>
      <c r="F928" s="31"/>
      <c r="G928" s="29"/>
      <c r="H928" s="78" t="str">
        <f t="shared" si="146"/>
        <v/>
      </c>
      <c r="I928" s="25"/>
      <c r="J928" s="25"/>
      <c r="K928" s="26"/>
      <c r="L928" s="26"/>
      <c r="M928" s="37"/>
      <c r="N928" s="27"/>
      <c r="O928" s="30"/>
      <c r="P928" s="39" t="str">
        <f t="shared" si="147"/>
        <v/>
      </c>
      <c r="Q928" s="40" t="str">
        <f>IF(OR(T928=0,RIGHT(T928,1)=$W$1),"",COUNTIF($T$3:T928,T928))</f>
        <v/>
      </c>
      <c r="S928" s="6">
        <f t="shared" si="148"/>
        <v>0</v>
      </c>
      <c r="T928" s="36">
        <f t="shared" si="149"/>
        <v>0</v>
      </c>
      <c r="V928" s="6">
        <f t="shared" si="150"/>
        <v>0</v>
      </c>
      <c r="Y928" s="8">
        <f t="shared" si="151"/>
        <v>46023</v>
      </c>
    </row>
    <row r="929" spans="2:25" ht="18.75" x14ac:dyDescent="0.3">
      <c r="B929" s="6">
        <f t="shared" si="143"/>
        <v>0</v>
      </c>
      <c r="C929" s="6">
        <f t="shared" si="144"/>
        <v>0</v>
      </c>
      <c r="D929" s="6" t="str">
        <f t="shared" si="145"/>
        <v/>
      </c>
      <c r="E929" s="35" t="str">
        <f t="shared" si="142"/>
        <v/>
      </c>
      <c r="F929" s="31"/>
      <c r="G929" s="29"/>
      <c r="H929" s="78" t="str">
        <f t="shared" si="146"/>
        <v/>
      </c>
      <c r="I929" s="25"/>
      <c r="J929" s="25"/>
      <c r="K929" s="26"/>
      <c r="L929" s="26"/>
      <c r="M929" s="37"/>
      <c r="N929" s="27"/>
      <c r="O929" s="30"/>
      <c r="P929" s="39" t="str">
        <f t="shared" si="147"/>
        <v/>
      </c>
      <c r="Q929" s="40" t="str">
        <f>IF(OR(T929=0,RIGHT(T929,1)=$W$1),"",COUNTIF($T$3:T929,T929))</f>
        <v/>
      </c>
      <c r="S929" s="6">
        <f t="shared" si="148"/>
        <v>0</v>
      </c>
      <c r="T929" s="36">
        <f t="shared" si="149"/>
        <v>0</v>
      </c>
      <c r="V929" s="6">
        <f t="shared" si="150"/>
        <v>0</v>
      </c>
      <c r="Y929" s="8">
        <f t="shared" si="151"/>
        <v>46023</v>
      </c>
    </row>
    <row r="930" spans="2:25" ht="18.75" x14ac:dyDescent="0.3">
      <c r="B930" s="6">
        <f t="shared" si="143"/>
        <v>0</v>
      </c>
      <c r="C930" s="6">
        <f t="shared" si="144"/>
        <v>0</v>
      </c>
      <c r="D930" s="6" t="str">
        <f t="shared" si="145"/>
        <v/>
      </c>
      <c r="E930" s="35" t="str">
        <f t="shared" si="142"/>
        <v/>
      </c>
      <c r="F930" s="31"/>
      <c r="G930" s="29"/>
      <c r="H930" s="78" t="str">
        <f t="shared" si="146"/>
        <v/>
      </c>
      <c r="I930" s="25"/>
      <c r="J930" s="25"/>
      <c r="K930" s="26"/>
      <c r="L930" s="26"/>
      <c r="M930" s="37"/>
      <c r="N930" s="27"/>
      <c r="O930" s="30"/>
      <c r="P930" s="39" t="str">
        <f t="shared" si="147"/>
        <v/>
      </c>
      <c r="Q930" s="40" t="str">
        <f>IF(OR(T930=0,RIGHT(T930,1)=$W$1),"",COUNTIF($T$3:T930,T930))</f>
        <v/>
      </c>
      <c r="S930" s="6">
        <f t="shared" si="148"/>
        <v>0</v>
      </c>
      <c r="T930" s="36">
        <f t="shared" si="149"/>
        <v>0</v>
      </c>
      <c r="V930" s="6">
        <f t="shared" si="150"/>
        <v>0</v>
      </c>
      <c r="Y930" s="8">
        <f t="shared" si="151"/>
        <v>46023</v>
      </c>
    </row>
    <row r="931" spans="2:25" ht="18.75" x14ac:dyDescent="0.3">
      <c r="B931" s="6">
        <f t="shared" si="143"/>
        <v>0</v>
      </c>
      <c r="C931" s="6">
        <f t="shared" si="144"/>
        <v>0</v>
      </c>
      <c r="D931" s="6" t="str">
        <f t="shared" si="145"/>
        <v/>
      </c>
      <c r="E931" s="35" t="str">
        <f t="shared" si="142"/>
        <v/>
      </c>
      <c r="F931" s="31"/>
      <c r="G931" s="29"/>
      <c r="H931" s="78" t="str">
        <f t="shared" si="146"/>
        <v/>
      </c>
      <c r="I931" s="25"/>
      <c r="J931" s="25"/>
      <c r="K931" s="26"/>
      <c r="L931" s="26"/>
      <c r="M931" s="37"/>
      <c r="N931" s="27"/>
      <c r="O931" s="30"/>
      <c r="P931" s="39" t="str">
        <f t="shared" si="147"/>
        <v/>
      </c>
      <c r="Q931" s="40" t="str">
        <f>IF(OR(T931=0,RIGHT(T931,1)=$W$1),"",COUNTIF($T$3:T931,T931))</f>
        <v/>
      </c>
      <c r="S931" s="6">
        <f t="shared" si="148"/>
        <v>0</v>
      </c>
      <c r="T931" s="36">
        <f t="shared" si="149"/>
        <v>0</v>
      </c>
      <c r="V931" s="6">
        <f t="shared" si="150"/>
        <v>0</v>
      </c>
      <c r="Y931" s="8">
        <f t="shared" si="151"/>
        <v>46023</v>
      </c>
    </row>
    <row r="932" spans="2:25" ht="18.75" x14ac:dyDescent="0.3">
      <c r="B932" s="6">
        <f t="shared" si="143"/>
        <v>0</v>
      </c>
      <c r="C932" s="6">
        <f t="shared" si="144"/>
        <v>0</v>
      </c>
      <c r="D932" s="6" t="str">
        <f t="shared" si="145"/>
        <v/>
      </c>
      <c r="E932" s="35" t="str">
        <f t="shared" si="142"/>
        <v/>
      </c>
      <c r="F932" s="31"/>
      <c r="G932" s="29"/>
      <c r="H932" s="78" t="str">
        <f t="shared" si="146"/>
        <v/>
      </c>
      <c r="I932" s="25"/>
      <c r="J932" s="25"/>
      <c r="K932" s="26"/>
      <c r="L932" s="26"/>
      <c r="M932" s="37"/>
      <c r="N932" s="27"/>
      <c r="O932" s="30"/>
      <c r="P932" s="39" t="str">
        <f t="shared" si="147"/>
        <v/>
      </c>
      <c r="Q932" s="40" t="str">
        <f>IF(OR(T932=0,RIGHT(T932,1)=$W$1),"",COUNTIF($T$3:T932,T932))</f>
        <v/>
      </c>
      <c r="S932" s="6">
        <f t="shared" si="148"/>
        <v>0</v>
      </c>
      <c r="T932" s="36">
        <f t="shared" si="149"/>
        <v>0</v>
      </c>
      <c r="V932" s="6">
        <f t="shared" si="150"/>
        <v>0</v>
      </c>
      <c r="Y932" s="8">
        <f t="shared" si="151"/>
        <v>46023</v>
      </c>
    </row>
    <row r="933" spans="2:25" ht="18.75" x14ac:dyDescent="0.3">
      <c r="B933" s="6">
        <f t="shared" si="143"/>
        <v>0</v>
      </c>
      <c r="C933" s="6">
        <f t="shared" si="144"/>
        <v>0</v>
      </c>
      <c r="D933" s="6" t="str">
        <f t="shared" si="145"/>
        <v/>
      </c>
      <c r="E933" s="35" t="str">
        <f t="shared" si="142"/>
        <v/>
      </c>
      <c r="F933" s="31"/>
      <c r="G933" s="29"/>
      <c r="H933" s="78" t="str">
        <f t="shared" si="146"/>
        <v/>
      </c>
      <c r="I933" s="25"/>
      <c r="J933" s="25"/>
      <c r="K933" s="26"/>
      <c r="L933" s="26"/>
      <c r="M933" s="37"/>
      <c r="N933" s="27"/>
      <c r="O933" s="30"/>
      <c r="P933" s="39" t="str">
        <f t="shared" si="147"/>
        <v/>
      </c>
      <c r="Q933" s="40" t="str">
        <f>IF(OR(T933=0,RIGHT(T933,1)=$W$1),"",COUNTIF($T$3:T933,T933))</f>
        <v/>
      </c>
      <c r="S933" s="6">
        <f t="shared" si="148"/>
        <v>0</v>
      </c>
      <c r="T933" s="36">
        <f t="shared" si="149"/>
        <v>0</v>
      </c>
      <c r="V933" s="6">
        <f t="shared" si="150"/>
        <v>0</v>
      </c>
      <c r="Y933" s="8">
        <f t="shared" si="151"/>
        <v>46023</v>
      </c>
    </row>
    <row r="934" spans="2:25" ht="18.75" x14ac:dyDescent="0.3">
      <c r="B934" s="6">
        <f t="shared" si="143"/>
        <v>0</v>
      </c>
      <c r="C934" s="6">
        <f t="shared" si="144"/>
        <v>0</v>
      </c>
      <c r="D934" s="6" t="str">
        <f t="shared" si="145"/>
        <v/>
      </c>
      <c r="E934" s="35" t="str">
        <f t="shared" si="142"/>
        <v/>
      </c>
      <c r="F934" s="31"/>
      <c r="G934" s="29"/>
      <c r="H934" s="78" t="str">
        <f t="shared" si="146"/>
        <v/>
      </c>
      <c r="I934" s="25"/>
      <c r="J934" s="25"/>
      <c r="K934" s="26"/>
      <c r="L934" s="26"/>
      <c r="M934" s="37"/>
      <c r="N934" s="27"/>
      <c r="O934" s="30"/>
      <c r="P934" s="39" t="str">
        <f t="shared" si="147"/>
        <v/>
      </c>
      <c r="Q934" s="40" t="str">
        <f>IF(OR(T934=0,RIGHT(T934,1)=$W$1),"",COUNTIF($T$3:T934,T934))</f>
        <v/>
      </c>
      <c r="S934" s="6">
        <f t="shared" si="148"/>
        <v>0</v>
      </c>
      <c r="T934" s="36">
        <f t="shared" si="149"/>
        <v>0</v>
      </c>
      <c r="V934" s="6">
        <f t="shared" si="150"/>
        <v>0</v>
      </c>
      <c r="Y934" s="8">
        <f t="shared" si="151"/>
        <v>46023</v>
      </c>
    </row>
    <row r="935" spans="2:25" ht="18.75" x14ac:dyDescent="0.3">
      <c r="B935" s="6">
        <f t="shared" si="143"/>
        <v>0</v>
      </c>
      <c r="C935" s="6">
        <f t="shared" si="144"/>
        <v>0</v>
      </c>
      <c r="D935" s="6" t="str">
        <f t="shared" si="145"/>
        <v/>
      </c>
      <c r="E935" s="35" t="str">
        <f t="shared" si="142"/>
        <v/>
      </c>
      <c r="F935" s="31"/>
      <c r="G935" s="29"/>
      <c r="H935" s="78" t="str">
        <f t="shared" si="146"/>
        <v/>
      </c>
      <c r="I935" s="25"/>
      <c r="J935" s="25"/>
      <c r="K935" s="26"/>
      <c r="L935" s="26"/>
      <c r="M935" s="37"/>
      <c r="N935" s="27"/>
      <c r="O935" s="30"/>
      <c r="P935" s="39" t="str">
        <f t="shared" si="147"/>
        <v/>
      </c>
      <c r="Q935" s="40" t="str">
        <f>IF(OR(T935=0,RIGHT(T935,1)=$W$1),"",COUNTIF($T$3:T935,T935))</f>
        <v/>
      </c>
      <c r="S935" s="6">
        <f t="shared" si="148"/>
        <v>0</v>
      </c>
      <c r="T935" s="36">
        <f t="shared" si="149"/>
        <v>0</v>
      </c>
      <c r="V935" s="6">
        <f t="shared" si="150"/>
        <v>0</v>
      </c>
      <c r="Y935" s="8">
        <f t="shared" si="151"/>
        <v>46023</v>
      </c>
    </row>
    <row r="936" spans="2:25" ht="18.75" x14ac:dyDescent="0.3">
      <c r="B936" s="6">
        <f t="shared" si="143"/>
        <v>0</v>
      </c>
      <c r="C936" s="6">
        <f t="shared" si="144"/>
        <v>0</v>
      </c>
      <c r="D936" s="6" t="str">
        <f t="shared" si="145"/>
        <v/>
      </c>
      <c r="E936" s="35" t="str">
        <f t="shared" si="142"/>
        <v/>
      </c>
      <c r="F936" s="31"/>
      <c r="G936" s="29"/>
      <c r="H936" s="78" t="str">
        <f t="shared" si="146"/>
        <v/>
      </c>
      <c r="I936" s="25"/>
      <c r="J936" s="25"/>
      <c r="K936" s="26"/>
      <c r="L936" s="26"/>
      <c r="M936" s="37"/>
      <c r="N936" s="27"/>
      <c r="O936" s="30"/>
      <c r="P936" s="39" t="str">
        <f t="shared" si="147"/>
        <v/>
      </c>
      <c r="Q936" s="40" t="str">
        <f>IF(OR(T936=0,RIGHT(T936,1)=$W$1),"",COUNTIF($T$3:T936,T936))</f>
        <v/>
      </c>
      <c r="S936" s="6">
        <f t="shared" si="148"/>
        <v>0</v>
      </c>
      <c r="T936" s="36">
        <f t="shared" si="149"/>
        <v>0</v>
      </c>
      <c r="V936" s="6">
        <f t="shared" si="150"/>
        <v>0</v>
      </c>
      <c r="Y936" s="8">
        <f t="shared" si="151"/>
        <v>46023</v>
      </c>
    </row>
    <row r="937" spans="2:25" ht="18.75" x14ac:dyDescent="0.3">
      <c r="B937" s="6">
        <f t="shared" si="143"/>
        <v>0</v>
      </c>
      <c r="C937" s="6">
        <f t="shared" si="144"/>
        <v>0</v>
      </c>
      <c r="D937" s="6" t="str">
        <f t="shared" si="145"/>
        <v/>
      </c>
      <c r="E937" s="35" t="str">
        <f t="shared" si="142"/>
        <v/>
      </c>
      <c r="F937" s="31"/>
      <c r="G937" s="29"/>
      <c r="H937" s="78" t="str">
        <f t="shared" si="146"/>
        <v/>
      </c>
      <c r="I937" s="25"/>
      <c r="J937" s="25"/>
      <c r="K937" s="26"/>
      <c r="L937" s="26"/>
      <c r="M937" s="37"/>
      <c r="N937" s="27"/>
      <c r="O937" s="30"/>
      <c r="P937" s="39" t="str">
        <f t="shared" si="147"/>
        <v/>
      </c>
      <c r="Q937" s="40" t="str">
        <f>IF(OR(T937=0,RIGHT(T937,1)=$W$1),"",COUNTIF($T$3:T937,T937))</f>
        <v/>
      </c>
      <c r="S937" s="6">
        <f t="shared" si="148"/>
        <v>0</v>
      </c>
      <c r="T937" s="36">
        <f t="shared" si="149"/>
        <v>0</v>
      </c>
      <c r="V937" s="6">
        <f t="shared" si="150"/>
        <v>0</v>
      </c>
      <c r="Y937" s="8">
        <f t="shared" si="151"/>
        <v>46023</v>
      </c>
    </row>
    <row r="938" spans="2:25" ht="18.75" x14ac:dyDescent="0.3">
      <c r="B938" s="6">
        <f t="shared" si="143"/>
        <v>0</v>
      </c>
      <c r="C938" s="6">
        <f t="shared" si="144"/>
        <v>0</v>
      </c>
      <c r="D938" s="6" t="str">
        <f t="shared" si="145"/>
        <v/>
      </c>
      <c r="E938" s="35" t="str">
        <f t="shared" si="142"/>
        <v/>
      </c>
      <c r="F938" s="31"/>
      <c r="G938" s="29"/>
      <c r="H938" s="78" t="str">
        <f t="shared" si="146"/>
        <v/>
      </c>
      <c r="I938" s="25"/>
      <c r="J938" s="25"/>
      <c r="K938" s="26"/>
      <c r="L938" s="26"/>
      <c r="M938" s="37"/>
      <c r="N938" s="27"/>
      <c r="O938" s="30"/>
      <c r="P938" s="39" t="str">
        <f t="shared" si="147"/>
        <v/>
      </c>
      <c r="Q938" s="40" t="str">
        <f>IF(OR(T938=0,RIGHT(T938,1)=$W$1),"",COUNTIF($T$3:T938,T938))</f>
        <v/>
      </c>
      <c r="S938" s="6">
        <f t="shared" si="148"/>
        <v>0</v>
      </c>
      <c r="T938" s="36">
        <f t="shared" si="149"/>
        <v>0</v>
      </c>
      <c r="V938" s="6">
        <f t="shared" si="150"/>
        <v>0</v>
      </c>
      <c r="Y938" s="8">
        <f t="shared" si="151"/>
        <v>46023</v>
      </c>
    </row>
    <row r="939" spans="2:25" ht="18.75" x14ac:dyDescent="0.3">
      <c r="B939" s="6">
        <f t="shared" si="143"/>
        <v>0</v>
      </c>
      <c r="C939" s="6">
        <f t="shared" si="144"/>
        <v>0</v>
      </c>
      <c r="D939" s="6" t="str">
        <f t="shared" si="145"/>
        <v/>
      </c>
      <c r="E939" s="35" t="str">
        <f t="shared" si="142"/>
        <v/>
      </c>
      <c r="F939" s="31"/>
      <c r="G939" s="29"/>
      <c r="H939" s="78" t="str">
        <f t="shared" si="146"/>
        <v/>
      </c>
      <c r="I939" s="25"/>
      <c r="J939" s="25"/>
      <c r="K939" s="26"/>
      <c r="L939" s="26"/>
      <c r="M939" s="37"/>
      <c r="N939" s="27"/>
      <c r="O939" s="30"/>
      <c r="P939" s="39" t="str">
        <f t="shared" si="147"/>
        <v/>
      </c>
      <c r="Q939" s="40" t="str">
        <f>IF(OR(T939=0,RIGHT(T939,1)=$W$1),"",COUNTIF($T$3:T939,T939))</f>
        <v/>
      </c>
      <c r="S939" s="6">
        <f t="shared" si="148"/>
        <v>0</v>
      </c>
      <c r="T939" s="36">
        <f t="shared" si="149"/>
        <v>0</v>
      </c>
      <c r="V939" s="6">
        <f t="shared" si="150"/>
        <v>0</v>
      </c>
      <c r="Y939" s="8">
        <f t="shared" si="151"/>
        <v>46023</v>
      </c>
    </row>
    <row r="940" spans="2:25" ht="18.75" x14ac:dyDescent="0.3">
      <c r="B940" s="6">
        <f t="shared" si="143"/>
        <v>0</v>
      </c>
      <c r="C940" s="6">
        <f t="shared" si="144"/>
        <v>0</v>
      </c>
      <c r="D940" s="6" t="str">
        <f t="shared" si="145"/>
        <v/>
      </c>
      <c r="E940" s="35" t="str">
        <f t="shared" si="142"/>
        <v/>
      </c>
      <c r="F940" s="31"/>
      <c r="G940" s="29"/>
      <c r="H940" s="78" t="str">
        <f t="shared" si="146"/>
        <v/>
      </c>
      <c r="I940" s="25"/>
      <c r="J940" s="25"/>
      <c r="K940" s="26"/>
      <c r="L940" s="26"/>
      <c r="M940" s="37"/>
      <c r="N940" s="27"/>
      <c r="O940" s="30"/>
      <c r="P940" s="39" t="str">
        <f t="shared" si="147"/>
        <v/>
      </c>
      <c r="Q940" s="40" t="str">
        <f>IF(OR(T940=0,RIGHT(T940,1)=$W$1),"",COUNTIF($T$3:T940,T940))</f>
        <v/>
      </c>
      <c r="S940" s="6">
        <f t="shared" si="148"/>
        <v>0</v>
      </c>
      <c r="T940" s="36">
        <f t="shared" si="149"/>
        <v>0</v>
      </c>
      <c r="V940" s="6">
        <f t="shared" si="150"/>
        <v>0</v>
      </c>
      <c r="Y940" s="8">
        <f t="shared" si="151"/>
        <v>46023</v>
      </c>
    </row>
    <row r="941" spans="2:25" ht="18.75" x14ac:dyDescent="0.3">
      <c r="B941" s="6">
        <f t="shared" si="143"/>
        <v>0</v>
      </c>
      <c r="C941" s="6">
        <f t="shared" si="144"/>
        <v>0</v>
      </c>
      <c r="D941" s="6" t="str">
        <f t="shared" si="145"/>
        <v/>
      </c>
      <c r="E941" s="35" t="str">
        <f t="shared" si="142"/>
        <v/>
      </c>
      <c r="F941" s="31"/>
      <c r="G941" s="29"/>
      <c r="H941" s="78" t="str">
        <f t="shared" si="146"/>
        <v/>
      </c>
      <c r="I941" s="25"/>
      <c r="J941" s="25"/>
      <c r="K941" s="26"/>
      <c r="L941" s="26"/>
      <c r="M941" s="37"/>
      <c r="N941" s="27"/>
      <c r="O941" s="30"/>
      <c r="P941" s="39" t="str">
        <f t="shared" si="147"/>
        <v/>
      </c>
      <c r="Q941" s="40" t="str">
        <f>IF(OR(T941=0,RIGHT(T941,1)=$W$1),"",COUNTIF($T$3:T941,T941))</f>
        <v/>
      </c>
      <c r="S941" s="6">
        <f t="shared" si="148"/>
        <v>0</v>
      </c>
      <c r="T941" s="36">
        <f t="shared" si="149"/>
        <v>0</v>
      </c>
      <c r="V941" s="6">
        <f t="shared" si="150"/>
        <v>0</v>
      </c>
      <c r="Y941" s="8">
        <f t="shared" si="151"/>
        <v>46023</v>
      </c>
    </row>
    <row r="942" spans="2:25" ht="18.75" x14ac:dyDescent="0.3">
      <c r="B942" s="6">
        <f t="shared" si="143"/>
        <v>0</v>
      </c>
      <c r="C942" s="6">
        <f t="shared" si="144"/>
        <v>0</v>
      </c>
      <c r="D942" s="6" t="str">
        <f t="shared" si="145"/>
        <v/>
      </c>
      <c r="E942" s="35" t="str">
        <f t="shared" si="142"/>
        <v/>
      </c>
      <c r="F942" s="31"/>
      <c r="G942" s="29"/>
      <c r="H942" s="78" t="str">
        <f t="shared" si="146"/>
        <v/>
      </c>
      <c r="I942" s="25"/>
      <c r="J942" s="25"/>
      <c r="K942" s="26"/>
      <c r="L942" s="26"/>
      <c r="M942" s="37"/>
      <c r="N942" s="27"/>
      <c r="O942" s="30"/>
      <c r="P942" s="39" t="str">
        <f t="shared" si="147"/>
        <v/>
      </c>
      <c r="Q942" s="40" t="str">
        <f>IF(OR(T942=0,RIGHT(T942,1)=$W$1),"",COUNTIF($T$3:T942,T942))</f>
        <v/>
      </c>
      <c r="S942" s="6">
        <f t="shared" si="148"/>
        <v>0</v>
      </c>
      <c r="T942" s="36">
        <f t="shared" si="149"/>
        <v>0</v>
      </c>
      <c r="V942" s="6">
        <f t="shared" si="150"/>
        <v>0</v>
      </c>
      <c r="Y942" s="8">
        <f t="shared" si="151"/>
        <v>46023</v>
      </c>
    </row>
    <row r="943" spans="2:25" ht="18.75" x14ac:dyDescent="0.3">
      <c r="B943" s="6">
        <f t="shared" si="143"/>
        <v>0</v>
      </c>
      <c r="C943" s="6">
        <f t="shared" si="144"/>
        <v>0</v>
      </c>
      <c r="D943" s="6" t="str">
        <f t="shared" si="145"/>
        <v/>
      </c>
      <c r="E943" s="35" t="str">
        <f t="shared" si="142"/>
        <v/>
      </c>
      <c r="F943" s="31"/>
      <c r="G943" s="29"/>
      <c r="H943" s="78" t="str">
        <f t="shared" si="146"/>
        <v/>
      </c>
      <c r="I943" s="25"/>
      <c r="J943" s="25"/>
      <c r="K943" s="26"/>
      <c r="L943" s="26"/>
      <c r="M943" s="37"/>
      <c r="N943" s="27"/>
      <c r="O943" s="30"/>
      <c r="P943" s="39" t="str">
        <f t="shared" si="147"/>
        <v/>
      </c>
      <c r="Q943" s="40" t="str">
        <f>IF(OR(T943=0,RIGHT(T943,1)=$W$1),"",COUNTIF($T$3:T943,T943))</f>
        <v/>
      </c>
      <c r="S943" s="6">
        <f t="shared" si="148"/>
        <v>0</v>
      </c>
      <c r="T943" s="36">
        <f t="shared" si="149"/>
        <v>0</v>
      </c>
      <c r="V943" s="6">
        <f t="shared" si="150"/>
        <v>0</v>
      </c>
      <c r="Y943" s="8">
        <f t="shared" si="151"/>
        <v>46023</v>
      </c>
    </row>
    <row r="944" spans="2:25" ht="18.75" x14ac:dyDescent="0.3">
      <c r="B944" s="6">
        <f t="shared" si="143"/>
        <v>0</v>
      </c>
      <c r="C944" s="6">
        <f t="shared" si="144"/>
        <v>0</v>
      </c>
      <c r="D944" s="6" t="str">
        <f t="shared" si="145"/>
        <v/>
      </c>
      <c r="E944" s="35" t="str">
        <f t="shared" si="142"/>
        <v/>
      </c>
      <c r="F944" s="31"/>
      <c r="G944" s="29"/>
      <c r="H944" s="78" t="str">
        <f t="shared" si="146"/>
        <v/>
      </c>
      <c r="I944" s="25"/>
      <c r="J944" s="25"/>
      <c r="K944" s="26"/>
      <c r="L944" s="26"/>
      <c r="M944" s="37"/>
      <c r="N944" s="27"/>
      <c r="O944" s="30"/>
      <c r="P944" s="39" t="str">
        <f t="shared" si="147"/>
        <v/>
      </c>
      <c r="Q944" s="40" t="str">
        <f>IF(OR(T944=0,RIGHT(T944,1)=$W$1),"",COUNTIF($T$3:T944,T944))</f>
        <v/>
      </c>
      <c r="S944" s="6">
        <f t="shared" si="148"/>
        <v>0</v>
      </c>
      <c r="T944" s="36">
        <f t="shared" si="149"/>
        <v>0</v>
      </c>
      <c r="V944" s="6">
        <f t="shared" si="150"/>
        <v>0</v>
      </c>
      <c r="Y944" s="8">
        <f t="shared" si="151"/>
        <v>46023</v>
      </c>
    </row>
    <row r="945" spans="2:25" ht="18.75" x14ac:dyDescent="0.3">
      <c r="B945" s="6">
        <f t="shared" si="143"/>
        <v>0</v>
      </c>
      <c r="C945" s="6">
        <f t="shared" si="144"/>
        <v>0</v>
      </c>
      <c r="D945" s="6" t="str">
        <f t="shared" si="145"/>
        <v/>
      </c>
      <c r="E945" s="35" t="str">
        <f t="shared" si="142"/>
        <v/>
      </c>
      <c r="F945" s="31"/>
      <c r="G945" s="29"/>
      <c r="H945" s="78" t="str">
        <f t="shared" si="146"/>
        <v/>
      </c>
      <c r="I945" s="25"/>
      <c r="J945" s="25"/>
      <c r="K945" s="26"/>
      <c r="L945" s="26"/>
      <c r="M945" s="37"/>
      <c r="N945" s="27"/>
      <c r="O945" s="30"/>
      <c r="P945" s="39" t="str">
        <f t="shared" si="147"/>
        <v/>
      </c>
      <c r="Q945" s="40" t="str">
        <f>IF(OR(T945=0,RIGHT(T945,1)=$W$1),"",COUNTIF($T$3:T945,T945))</f>
        <v/>
      </c>
      <c r="S945" s="6">
        <f t="shared" si="148"/>
        <v>0</v>
      </c>
      <c r="T945" s="36">
        <f t="shared" si="149"/>
        <v>0</v>
      </c>
      <c r="V945" s="6">
        <f t="shared" si="150"/>
        <v>0</v>
      </c>
      <c r="Y945" s="8">
        <f t="shared" si="151"/>
        <v>46023</v>
      </c>
    </row>
    <row r="946" spans="2:25" ht="18.75" x14ac:dyDescent="0.3">
      <c r="B946" s="6">
        <f t="shared" si="143"/>
        <v>0</v>
      </c>
      <c r="C946" s="6">
        <f t="shared" si="144"/>
        <v>0</v>
      </c>
      <c r="D946" s="6" t="str">
        <f t="shared" si="145"/>
        <v/>
      </c>
      <c r="E946" s="35" t="str">
        <f t="shared" si="142"/>
        <v/>
      </c>
      <c r="F946" s="31"/>
      <c r="G946" s="29"/>
      <c r="H946" s="78" t="str">
        <f t="shared" si="146"/>
        <v/>
      </c>
      <c r="I946" s="25"/>
      <c r="J946" s="25"/>
      <c r="K946" s="26"/>
      <c r="L946" s="26"/>
      <c r="M946" s="37"/>
      <c r="N946" s="27"/>
      <c r="O946" s="30"/>
      <c r="P946" s="39" t="str">
        <f t="shared" si="147"/>
        <v/>
      </c>
      <c r="Q946" s="40" t="str">
        <f>IF(OR(T946=0,RIGHT(T946,1)=$W$1),"",COUNTIF($T$3:T946,T946))</f>
        <v/>
      </c>
      <c r="S946" s="6">
        <f t="shared" si="148"/>
        <v>0</v>
      </c>
      <c r="T946" s="36">
        <f t="shared" si="149"/>
        <v>0</v>
      </c>
      <c r="V946" s="6">
        <f t="shared" si="150"/>
        <v>0</v>
      </c>
      <c r="Y946" s="8">
        <f t="shared" si="151"/>
        <v>46023</v>
      </c>
    </row>
    <row r="947" spans="2:25" ht="18.75" x14ac:dyDescent="0.3">
      <c r="B947" s="6">
        <f t="shared" si="143"/>
        <v>0</v>
      </c>
      <c r="C947" s="6">
        <f t="shared" si="144"/>
        <v>0</v>
      </c>
      <c r="D947" s="6" t="str">
        <f t="shared" si="145"/>
        <v/>
      </c>
      <c r="E947" s="35" t="str">
        <f t="shared" si="142"/>
        <v/>
      </c>
      <c r="F947" s="31"/>
      <c r="G947" s="29"/>
      <c r="H947" s="78" t="str">
        <f t="shared" si="146"/>
        <v/>
      </c>
      <c r="I947" s="25"/>
      <c r="J947" s="25"/>
      <c r="K947" s="26"/>
      <c r="L947" s="26"/>
      <c r="M947" s="37"/>
      <c r="N947" s="27"/>
      <c r="O947" s="30"/>
      <c r="P947" s="39" t="str">
        <f t="shared" si="147"/>
        <v/>
      </c>
      <c r="Q947" s="40" t="str">
        <f>IF(OR(T947=0,RIGHT(T947,1)=$W$1),"",COUNTIF($T$3:T947,T947))</f>
        <v/>
      </c>
      <c r="S947" s="6">
        <f t="shared" si="148"/>
        <v>0</v>
      </c>
      <c r="T947" s="36">
        <f t="shared" si="149"/>
        <v>0</v>
      </c>
      <c r="V947" s="6">
        <f t="shared" si="150"/>
        <v>0</v>
      </c>
      <c r="Y947" s="8">
        <f t="shared" si="151"/>
        <v>46023</v>
      </c>
    </row>
    <row r="948" spans="2:25" ht="18.75" x14ac:dyDescent="0.3">
      <c r="B948" s="6">
        <f t="shared" si="143"/>
        <v>0</v>
      </c>
      <c r="C948" s="6">
        <f t="shared" si="144"/>
        <v>0</v>
      </c>
      <c r="D948" s="6" t="str">
        <f t="shared" si="145"/>
        <v/>
      </c>
      <c r="E948" s="35" t="str">
        <f t="shared" si="142"/>
        <v/>
      </c>
      <c r="F948" s="31"/>
      <c r="G948" s="29"/>
      <c r="H948" s="78" t="str">
        <f t="shared" si="146"/>
        <v/>
      </c>
      <c r="I948" s="25"/>
      <c r="J948" s="25"/>
      <c r="K948" s="26"/>
      <c r="L948" s="26"/>
      <c r="M948" s="37"/>
      <c r="N948" s="27"/>
      <c r="O948" s="30"/>
      <c r="P948" s="39" t="str">
        <f t="shared" si="147"/>
        <v/>
      </c>
      <c r="Q948" s="40" t="str">
        <f>IF(OR(T948=0,RIGHT(T948,1)=$W$1),"",COUNTIF($T$3:T948,T948))</f>
        <v/>
      </c>
      <c r="S948" s="6">
        <f t="shared" si="148"/>
        <v>0</v>
      </c>
      <c r="T948" s="36">
        <f t="shared" si="149"/>
        <v>0</v>
      </c>
      <c r="V948" s="6">
        <f t="shared" si="150"/>
        <v>0</v>
      </c>
      <c r="Y948" s="8">
        <f t="shared" si="151"/>
        <v>46023</v>
      </c>
    </row>
    <row r="949" spans="2:25" ht="18.75" x14ac:dyDescent="0.3">
      <c r="B949" s="6">
        <f t="shared" si="143"/>
        <v>0</v>
      </c>
      <c r="C949" s="6">
        <f t="shared" si="144"/>
        <v>0</v>
      </c>
      <c r="D949" s="6" t="str">
        <f t="shared" si="145"/>
        <v/>
      </c>
      <c r="E949" s="35" t="str">
        <f t="shared" si="142"/>
        <v/>
      </c>
      <c r="F949" s="31"/>
      <c r="G949" s="29"/>
      <c r="H949" s="78" t="str">
        <f t="shared" si="146"/>
        <v/>
      </c>
      <c r="I949" s="25"/>
      <c r="J949" s="25"/>
      <c r="K949" s="26"/>
      <c r="L949" s="26"/>
      <c r="M949" s="37"/>
      <c r="N949" s="27"/>
      <c r="O949" s="30"/>
      <c r="P949" s="39" t="str">
        <f t="shared" si="147"/>
        <v/>
      </c>
      <c r="Q949" s="40" t="str">
        <f>IF(OR(T949=0,RIGHT(T949,1)=$W$1),"",COUNTIF($T$3:T949,T949))</f>
        <v/>
      </c>
      <c r="S949" s="6">
        <f t="shared" si="148"/>
        <v>0</v>
      </c>
      <c r="T949" s="36">
        <f t="shared" si="149"/>
        <v>0</v>
      </c>
      <c r="V949" s="6">
        <f t="shared" si="150"/>
        <v>0</v>
      </c>
      <c r="Y949" s="8">
        <f t="shared" si="151"/>
        <v>46023</v>
      </c>
    </row>
    <row r="950" spans="2:25" ht="18.75" x14ac:dyDescent="0.3">
      <c r="B950" s="6">
        <f t="shared" si="143"/>
        <v>0</v>
      </c>
      <c r="C950" s="6">
        <f t="shared" si="144"/>
        <v>0</v>
      </c>
      <c r="D950" s="6" t="str">
        <f t="shared" si="145"/>
        <v/>
      </c>
      <c r="E950" s="35" t="str">
        <f t="shared" si="142"/>
        <v/>
      </c>
      <c r="F950" s="31"/>
      <c r="G950" s="29"/>
      <c r="H950" s="78" t="str">
        <f t="shared" si="146"/>
        <v/>
      </c>
      <c r="I950" s="25"/>
      <c r="J950" s="25"/>
      <c r="K950" s="26"/>
      <c r="L950" s="26"/>
      <c r="M950" s="37"/>
      <c r="N950" s="27"/>
      <c r="O950" s="30"/>
      <c r="P950" s="39" t="str">
        <f t="shared" si="147"/>
        <v/>
      </c>
      <c r="Q950" s="40" t="str">
        <f>IF(OR(T950=0,RIGHT(T950,1)=$W$1),"",COUNTIF($T$3:T950,T950))</f>
        <v/>
      </c>
      <c r="S950" s="6">
        <f t="shared" si="148"/>
        <v>0</v>
      </c>
      <c r="T950" s="36">
        <f t="shared" si="149"/>
        <v>0</v>
      </c>
      <c r="V950" s="6">
        <f t="shared" si="150"/>
        <v>0</v>
      </c>
      <c r="Y950" s="8">
        <f t="shared" si="151"/>
        <v>46023</v>
      </c>
    </row>
    <row r="951" spans="2:25" ht="18.75" x14ac:dyDescent="0.3">
      <c r="B951" s="6">
        <f t="shared" si="143"/>
        <v>0</v>
      </c>
      <c r="C951" s="6">
        <f t="shared" si="144"/>
        <v>0</v>
      </c>
      <c r="D951" s="6" t="str">
        <f t="shared" si="145"/>
        <v/>
      </c>
      <c r="E951" s="35" t="str">
        <f t="shared" si="142"/>
        <v/>
      </c>
      <c r="F951" s="31"/>
      <c r="G951" s="29"/>
      <c r="H951" s="78" t="str">
        <f t="shared" si="146"/>
        <v/>
      </c>
      <c r="I951" s="25"/>
      <c r="J951" s="25"/>
      <c r="K951" s="26"/>
      <c r="L951" s="26"/>
      <c r="M951" s="37"/>
      <c r="N951" s="27"/>
      <c r="O951" s="30"/>
      <c r="P951" s="39" t="str">
        <f t="shared" si="147"/>
        <v/>
      </c>
      <c r="Q951" s="40" t="str">
        <f>IF(OR(T951=0,RIGHT(T951,1)=$W$1),"",COUNTIF($T$3:T951,T951))</f>
        <v/>
      </c>
      <c r="S951" s="6">
        <f t="shared" si="148"/>
        <v>0</v>
      </c>
      <c r="T951" s="36">
        <f t="shared" si="149"/>
        <v>0</v>
      </c>
      <c r="V951" s="6">
        <f t="shared" si="150"/>
        <v>0</v>
      </c>
      <c r="Y951" s="8">
        <f t="shared" si="151"/>
        <v>46023</v>
      </c>
    </row>
    <row r="952" spans="2:25" ht="18.75" x14ac:dyDescent="0.3">
      <c r="B952" s="6">
        <f t="shared" si="143"/>
        <v>0</v>
      </c>
      <c r="C952" s="6">
        <f t="shared" si="144"/>
        <v>0</v>
      </c>
      <c r="D952" s="6" t="str">
        <f t="shared" si="145"/>
        <v/>
      </c>
      <c r="E952" s="35" t="str">
        <f t="shared" si="142"/>
        <v/>
      </c>
      <c r="F952" s="31"/>
      <c r="G952" s="29"/>
      <c r="H952" s="78" t="str">
        <f t="shared" si="146"/>
        <v/>
      </c>
      <c r="I952" s="25"/>
      <c r="J952" s="25"/>
      <c r="K952" s="26"/>
      <c r="L952" s="26"/>
      <c r="M952" s="37"/>
      <c r="N952" s="27"/>
      <c r="O952" s="30"/>
      <c r="P952" s="39" t="str">
        <f t="shared" si="147"/>
        <v/>
      </c>
      <c r="Q952" s="40" t="str">
        <f>IF(OR(T952=0,RIGHT(T952,1)=$W$1),"",COUNTIF($T$3:T952,T952))</f>
        <v/>
      </c>
      <c r="S952" s="6">
        <f t="shared" si="148"/>
        <v>0</v>
      </c>
      <c r="T952" s="36">
        <f t="shared" si="149"/>
        <v>0</v>
      </c>
      <c r="V952" s="6">
        <f t="shared" si="150"/>
        <v>0</v>
      </c>
      <c r="Y952" s="8">
        <f t="shared" si="151"/>
        <v>46023</v>
      </c>
    </row>
    <row r="953" spans="2:25" ht="18.75" x14ac:dyDescent="0.3">
      <c r="B953" s="6">
        <f t="shared" si="143"/>
        <v>0</v>
      </c>
      <c r="C953" s="6">
        <f t="shared" si="144"/>
        <v>0</v>
      </c>
      <c r="D953" s="6" t="str">
        <f t="shared" si="145"/>
        <v/>
      </c>
      <c r="E953" s="35" t="str">
        <f t="shared" si="142"/>
        <v/>
      </c>
      <c r="F953" s="31"/>
      <c r="G953" s="29"/>
      <c r="H953" s="78" t="str">
        <f t="shared" si="146"/>
        <v/>
      </c>
      <c r="I953" s="25"/>
      <c r="J953" s="25"/>
      <c r="K953" s="26"/>
      <c r="L953" s="26"/>
      <c r="M953" s="37"/>
      <c r="N953" s="27"/>
      <c r="O953" s="30"/>
      <c r="P953" s="39" t="str">
        <f t="shared" si="147"/>
        <v/>
      </c>
      <c r="Q953" s="40" t="str">
        <f>IF(OR(T953=0,RIGHT(T953,1)=$W$1),"",COUNTIF($T$3:T953,T953))</f>
        <v/>
      </c>
      <c r="S953" s="6">
        <f t="shared" si="148"/>
        <v>0</v>
      </c>
      <c r="T953" s="36">
        <f t="shared" si="149"/>
        <v>0</v>
      </c>
      <c r="V953" s="6">
        <f t="shared" si="150"/>
        <v>0</v>
      </c>
      <c r="Y953" s="8">
        <f t="shared" si="151"/>
        <v>46023</v>
      </c>
    </row>
    <row r="954" spans="2:25" ht="18.75" x14ac:dyDescent="0.3">
      <c r="B954" s="6">
        <f t="shared" si="143"/>
        <v>0</v>
      </c>
      <c r="C954" s="6">
        <f t="shared" si="144"/>
        <v>0</v>
      </c>
      <c r="D954" s="6" t="str">
        <f t="shared" si="145"/>
        <v/>
      </c>
      <c r="E954" s="35" t="str">
        <f t="shared" si="142"/>
        <v/>
      </c>
      <c r="F954" s="31"/>
      <c r="G954" s="29"/>
      <c r="H954" s="78" t="str">
        <f t="shared" si="146"/>
        <v/>
      </c>
      <c r="I954" s="25"/>
      <c r="J954" s="25"/>
      <c r="K954" s="26"/>
      <c r="L954" s="26"/>
      <c r="M954" s="37"/>
      <c r="N954" s="27"/>
      <c r="O954" s="30"/>
      <c r="P954" s="39" t="str">
        <f t="shared" si="147"/>
        <v/>
      </c>
      <c r="Q954" s="40" t="str">
        <f>IF(OR(T954=0,RIGHT(T954,1)=$W$1),"",COUNTIF($T$3:T954,T954))</f>
        <v/>
      </c>
      <c r="S954" s="6">
        <f t="shared" si="148"/>
        <v>0</v>
      </c>
      <c r="T954" s="36">
        <f t="shared" si="149"/>
        <v>0</v>
      </c>
      <c r="V954" s="6">
        <f t="shared" si="150"/>
        <v>0</v>
      </c>
      <c r="Y954" s="8">
        <f t="shared" si="151"/>
        <v>46023</v>
      </c>
    </row>
    <row r="955" spans="2:25" ht="18.75" x14ac:dyDescent="0.3">
      <c r="B955" s="6">
        <f t="shared" si="143"/>
        <v>0</v>
      </c>
      <c r="C955" s="6">
        <f t="shared" si="144"/>
        <v>0</v>
      </c>
      <c r="D955" s="6" t="str">
        <f t="shared" si="145"/>
        <v/>
      </c>
      <c r="E955" s="35" t="str">
        <f t="shared" si="142"/>
        <v/>
      </c>
      <c r="F955" s="31"/>
      <c r="G955" s="29"/>
      <c r="H955" s="78" t="str">
        <f t="shared" si="146"/>
        <v/>
      </c>
      <c r="I955" s="25"/>
      <c r="J955" s="25"/>
      <c r="K955" s="26"/>
      <c r="L955" s="26"/>
      <c r="M955" s="37"/>
      <c r="N955" s="27"/>
      <c r="O955" s="30"/>
      <c r="P955" s="39" t="str">
        <f t="shared" si="147"/>
        <v/>
      </c>
      <c r="Q955" s="40" t="str">
        <f>IF(OR(T955=0,RIGHT(T955,1)=$W$1),"",COUNTIF($T$3:T955,T955))</f>
        <v/>
      </c>
      <c r="S955" s="6">
        <f t="shared" si="148"/>
        <v>0</v>
      </c>
      <c r="T955" s="36">
        <f t="shared" si="149"/>
        <v>0</v>
      </c>
      <c r="V955" s="6">
        <f t="shared" si="150"/>
        <v>0</v>
      </c>
      <c r="Y955" s="8">
        <f t="shared" si="151"/>
        <v>46023</v>
      </c>
    </row>
    <row r="956" spans="2:25" ht="18.75" x14ac:dyDescent="0.3">
      <c r="B956" s="6">
        <f t="shared" si="143"/>
        <v>0</v>
      </c>
      <c r="C956" s="6">
        <f t="shared" si="144"/>
        <v>0</v>
      </c>
      <c r="D956" s="6" t="str">
        <f t="shared" si="145"/>
        <v/>
      </c>
      <c r="E956" s="35" t="str">
        <f t="shared" si="142"/>
        <v/>
      </c>
      <c r="F956" s="31"/>
      <c r="G956" s="29"/>
      <c r="H956" s="78" t="str">
        <f t="shared" si="146"/>
        <v/>
      </c>
      <c r="I956" s="25"/>
      <c r="J956" s="25"/>
      <c r="K956" s="26"/>
      <c r="L956" s="26"/>
      <c r="M956" s="37"/>
      <c r="N956" s="27"/>
      <c r="O956" s="30"/>
      <c r="P956" s="39" t="str">
        <f t="shared" si="147"/>
        <v/>
      </c>
      <c r="Q956" s="40" t="str">
        <f>IF(OR(T956=0,RIGHT(T956,1)=$W$1),"",COUNTIF($T$3:T956,T956))</f>
        <v/>
      </c>
      <c r="S956" s="6">
        <f t="shared" si="148"/>
        <v>0</v>
      </c>
      <c r="T956" s="36">
        <f t="shared" si="149"/>
        <v>0</v>
      </c>
      <c r="V956" s="6">
        <f t="shared" si="150"/>
        <v>0</v>
      </c>
      <c r="Y956" s="8">
        <f t="shared" si="151"/>
        <v>46023</v>
      </c>
    </row>
    <row r="957" spans="2:25" ht="18.75" x14ac:dyDescent="0.3">
      <c r="B957" s="6">
        <f t="shared" si="143"/>
        <v>0</v>
      </c>
      <c r="C957" s="6">
        <f t="shared" si="144"/>
        <v>0</v>
      </c>
      <c r="D957" s="6" t="str">
        <f t="shared" si="145"/>
        <v/>
      </c>
      <c r="E957" s="35" t="str">
        <f t="shared" si="142"/>
        <v/>
      </c>
      <c r="F957" s="31"/>
      <c r="G957" s="29"/>
      <c r="H957" s="78" t="str">
        <f t="shared" si="146"/>
        <v/>
      </c>
      <c r="I957" s="25"/>
      <c r="J957" s="25"/>
      <c r="K957" s="26"/>
      <c r="L957" s="26"/>
      <c r="M957" s="37"/>
      <c r="N957" s="27"/>
      <c r="O957" s="30"/>
      <c r="P957" s="39" t="str">
        <f t="shared" si="147"/>
        <v/>
      </c>
      <c r="Q957" s="40" t="str">
        <f>IF(OR(T957=0,RIGHT(T957,1)=$W$1),"",COUNTIF($T$3:T957,T957))</f>
        <v/>
      </c>
      <c r="S957" s="6">
        <f t="shared" si="148"/>
        <v>0</v>
      </c>
      <c r="T957" s="36">
        <f t="shared" si="149"/>
        <v>0</v>
      </c>
      <c r="V957" s="6">
        <f t="shared" si="150"/>
        <v>0</v>
      </c>
      <c r="Y957" s="8">
        <f t="shared" si="151"/>
        <v>46023</v>
      </c>
    </row>
    <row r="958" spans="2:25" ht="18.75" x14ac:dyDescent="0.3">
      <c r="B958" s="6">
        <f t="shared" si="143"/>
        <v>0</v>
      </c>
      <c r="C958" s="6">
        <f t="shared" si="144"/>
        <v>0</v>
      </c>
      <c r="D958" s="6" t="str">
        <f t="shared" si="145"/>
        <v/>
      </c>
      <c r="E958" s="35" t="str">
        <f t="shared" si="142"/>
        <v/>
      </c>
      <c r="F958" s="31"/>
      <c r="G958" s="29"/>
      <c r="H958" s="78" t="str">
        <f t="shared" si="146"/>
        <v/>
      </c>
      <c r="I958" s="25"/>
      <c r="J958" s="25"/>
      <c r="K958" s="26"/>
      <c r="L958" s="26"/>
      <c r="M958" s="37"/>
      <c r="N958" s="27"/>
      <c r="O958" s="30"/>
      <c r="P958" s="39" t="str">
        <f t="shared" si="147"/>
        <v/>
      </c>
      <c r="Q958" s="40" t="str">
        <f>IF(OR(T958=0,RIGHT(T958,1)=$W$1),"",COUNTIF($T$3:T958,T958))</f>
        <v/>
      </c>
      <c r="S958" s="6">
        <f t="shared" si="148"/>
        <v>0</v>
      </c>
      <c r="T958" s="36">
        <f t="shared" si="149"/>
        <v>0</v>
      </c>
      <c r="V958" s="6">
        <f t="shared" si="150"/>
        <v>0</v>
      </c>
      <c r="Y958" s="8">
        <f t="shared" si="151"/>
        <v>46023</v>
      </c>
    </row>
    <row r="959" spans="2:25" ht="18.75" x14ac:dyDescent="0.3">
      <c r="B959" s="6">
        <f t="shared" si="143"/>
        <v>0</v>
      </c>
      <c r="C959" s="6">
        <f t="shared" si="144"/>
        <v>0</v>
      </c>
      <c r="D959" s="6" t="str">
        <f t="shared" si="145"/>
        <v/>
      </c>
      <c r="E959" s="35" t="str">
        <f t="shared" si="142"/>
        <v/>
      </c>
      <c r="F959" s="31"/>
      <c r="G959" s="29"/>
      <c r="H959" s="78" t="str">
        <f t="shared" si="146"/>
        <v/>
      </c>
      <c r="I959" s="25"/>
      <c r="J959" s="25"/>
      <c r="K959" s="26"/>
      <c r="L959" s="26"/>
      <c r="M959" s="37"/>
      <c r="N959" s="27"/>
      <c r="O959" s="30"/>
      <c r="P959" s="39" t="str">
        <f t="shared" si="147"/>
        <v/>
      </c>
      <c r="Q959" s="40" t="str">
        <f>IF(OR(T959=0,RIGHT(T959,1)=$W$1),"",COUNTIF($T$3:T959,T959))</f>
        <v/>
      </c>
      <c r="S959" s="6">
        <f t="shared" si="148"/>
        <v>0</v>
      </c>
      <c r="T959" s="36">
        <f t="shared" si="149"/>
        <v>0</v>
      </c>
      <c r="V959" s="6">
        <f t="shared" si="150"/>
        <v>0</v>
      </c>
      <c r="Y959" s="8">
        <f t="shared" si="151"/>
        <v>46023</v>
      </c>
    </row>
    <row r="960" spans="2:25" ht="18.75" x14ac:dyDescent="0.3">
      <c r="B960" s="6">
        <f t="shared" si="143"/>
        <v>0</v>
      </c>
      <c r="C960" s="6">
        <f t="shared" si="144"/>
        <v>0</v>
      </c>
      <c r="D960" s="6" t="str">
        <f t="shared" si="145"/>
        <v/>
      </c>
      <c r="E960" s="35" t="str">
        <f t="shared" si="142"/>
        <v/>
      </c>
      <c r="F960" s="31"/>
      <c r="G960" s="29"/>
      <c r="H960" s="78" t="str">
        <f t="shared" si="146"/>
        <v/>
      </c>
      <c r="I960" s="25"/>
      <c r="J960" s="25"/>
      <c r="K960" s="26"/>
      <c r="L960" s="26"/>
      <c r="M960" s="37"/>
      <c r="N960" s="27"/>
      <c r="O960" s="30"/>
      <c r="P960" s="39" t="str">
        <f t="shared" si="147"/>
        <v/>
      </c>
      <c r="Q960" s="40" t="str">
        <f>IF(OR(T960=0,RIGHT(T960,1)=$W$1),"",COUNTIF($T$3:T960,T960))</f>
        <v/>
      </c>
      <c r="S960" s="6">
        <f t="shared" si="148"/>
        <v>0</v>
      </c>
      <c r="T960" s="36">
        <f t="shared" si="149"/>
        <v>0</v>
      </c>
      <c r="V960" s="6">
        <f t="shared" si="150"/>
        <v>0</v>
      </c>
      <c r="Y960" s="8">
        <f t="shared" si="151"/>
        <v>46023</v>
      </c>
    </row>
    <row r="961" spans="2:25" ht="18.75" x14ac:dyDescent="0.3">
      <c r="B961" s="6">
        <f t="shared" si="143"/>
        <v>0</v>
      </c>
      <c r="C961" s="6">
        <f t="shared" si="144"/>
        <v>0</v>
      </c>
      <c r="D961" s="6" t="str">
        <f t="shared" si="145"/>
        <v/>
      </c>
      <c r="E961" s="35" t="str">
        <f t="shared" si="142"/>
        <v/>
      </c>
      <c r="F961" s="31"/>
      <c r="G961" s="29"/>
      <c r="H961" s="78" t="str">
        <f t="shared" si="146"/>
        <v/>
      </c>
      <c r="I961" s="25"/>
      <c r="J961" s="25"/>
      <c r="K961" s="26"/>
      <c r="L961" s="26"/>
      <c r="M961" s="37"/>
      <c r="N961" s="27"/>
      <c r="O961" s="30"/>
      <c r="P961" s="39" t="str">
        <f t="shared" si="147"/>
        <v/>
      </c>
      <c r="Q961" s="40" t="str">
        <f>IF(OR(T961=0,RIGHT(T961,1)=$W$1),"",COUNTIF($T$3:T961,T961))</f>
        <v/>
      </c>
      <c r="S961" s="6">
        <f t="shared" si="148"/>
        <v>0</v>
      </c>
      <c r="T961" s="36">
        <f t="shared" si="149"/>
        <v>0</v>
      </c>
      <c r="V961" s="6">
        <f t="shared" si="150"/>
        <v>0</v>
      </c>
      <c r="Y961" s="8">
        <f t="shared" si="151"/>
        <v>46023</v>
      </c>
    </row>
    <row r="962" spans="2:25" ht="18.75" x14ac:dyDescent="0.3">
      <c r="B962" s="6">
        <f t="shared" si="143"/>
        <v>0</v>
      </c>
      <c r="C962" s="6">
        <f t="shared" si="144"/>
        <v>0</v>
      </c>
      <c r="D962" s="6" t="str">
        <f t="shared" si="145"/>
        <v/>
      </c>
      <c r="E962" s="35" t="str">
        <f t="shared" si="142"/>
        <v/>
      </c>
      <c r="F962" s="31"/>
      <c r="G962" s="29"/>
      <c r="H962" s="78" t="str">
        <f t="shared" si="146"/>
        <v/>
      </c>
      <c r="I962" s="25"/>
      <c r="J962" s="25"/>
      <c r="K962" s="26"/>
      <c r="L962" s="26"/>
      <c r="M962" s="37"/>
      <c r="N962" s="27"/>
      <c r="O962" s="30"/>
      <c r="P962" s="39" t="str">
        <f t="shared" si="147"/>
        <v/>
      </c>
      <c r="Q962" s="40" t="str">
        <f>IF(OR(T962=0,RIGHT(T962,1)=$W$1),"",COUNTIF($T$3:T962,T962))</f>
        <v/>
      </c>
      <c r="S962" s="6">
        <f t="shared" si="148"/>
        <v>0</v>
      </c>
      <c r="T962" s="36">
        <f t="shared" si="149"/>
        <v>0</v>
      </c>
      <c r="V962" s="6">
        <f t="shared" si="150"/>
        <v>0</v>
      </c>
      <c r="Y962" s="8">
        <f t="shared" si="151"/>
        <v>46023</v>
      </c>
    </row>
    <row r="963" spans="2:25" ht="18.75" x14ac:dyDescent="0.3">
      <c r="B963" s="6">
        <f t="shared" si="143"/>
        <v>0</v>
      </c>
      <c r="C963" s="6">
        <f t="shared" si="144"/>
        <v>0</v>
      </c>
      <c r="D963" s="6" t="str">
        <f t="shared" si="145"/>
        <v/>
      </c>
      <c r="E963" s="35" t="str">
        <f t="shared" ref="E963:E1026" si="152">IF(D963&lt;&gt;"",D963&amp;" - "&amp;YEAR(F963),"")</f>
        <v/>
      </c>
      <c r="F963" s="31"/>
      <c r="G963" s="29"/>
      <c r="H963" s="78" t="str">
        <f t="shared" si="146"/>
        <v/>
      </c>
      <c r="I963" s="25"/>
      <c r="J963" s="25"/>
      <c r="K963" s="26"/>
      <c r="L963" s="26"/>
      <c r="M963" s="37"/>
      <c r="N963" s="27"/>
      <c r="O963" s="30"/>
      <c r="P963" s="39" t="str">
        <f t="shared" si="147"/>
        <v/>
      </c>
      <c r="Q963" s="40" t="str">
        <f>IF(OR(T963=0,RIGHT(T963,1)=$W$1),"",COUNTIF($T$3:T963,T963))</f>
        <v/>
      </c>
      <c r="S963" s="6">
        <f t="shared" si="148"/>
        <v>0</v>
      </c>
      <c r="T963" s="36">
        <f t="shared" si="149"/>
        <v>0</v>
      </c>
      <c r="V963" s="6">
        <f t="shared" si="150"/>
        <v>0</v>
      </c>
      <c r="Y963" s="8">
        <f t="shared" si="151"/>
        <v>46023</v>
      </c>
    </row>
    <row r="964" spans="2:25" ht="18.75" x14ac:dyDescent="0.3">
      <c r="B964" s="6">
        <f t="shared" ref="B964:B1027" si="153">IF($B$1=YEAR(F964),B963+1,B963)</f>
        <v>0</v>
      </c>
      <c r="C964" s="6">
        <f t="shared" ref="C964:C1027" si="154">IF(AND($C$1=K964,$Y$1=YEAR(F964)),C963+1,C963)</f>
        <v>0</v>
      </c>
      <c r="D964" s="6" t="str">
        <f t="shared" ref="D964:D1027" si="155">IF(F964&lt;&gt;0,IF(YEAR(F964)&lt;&gt;YEAR(F963),1,IF(M964=$AI$1,D963,D963+1)),"")</f>
        <v/>
      </c>
      <c r="E964" s="35" t="str">
        <f t="shared" si="152"/>
        <v/>
      </c>
      <c r="F964" s="31"/>
      <c r="G964" s="29"/>
      <c r="H964" s="78" t="str">
        <f t="shared" ref="H964:H1027" si="156">IF(G964&lt;&gt;"",F964,"")</f>
        <v/>
      </c>
      <c r="I964" s="25"/>
      <c r="J964" s="25"/>
      <c r="K964" s="26"/>
      <c r="L964" s="26"/>
      <c r="M964" s="37"/>
      <c r="N964" s="27"/>
      <c r="O964" s="30"/>
      <c r="P964" s="39" t="str">
        <f t="shared" ref="P964:P1027" si="157">IF(OR(T964=0,RIGHT(T964,1)=$W$1),"",VLOOKUP(K964,$AD$1:$AK$15,5,FALSE))</f>
        <v/>
      </c>
      <c r="Q964" s="40" t="str">
        <f>IF(OR(T964=0,RIGHT(T964,1)=$W$1),"",COUNTIF($T$3:T964,T964))</f>
        <v/>
      </c>
      <c r="S964" s="6">
        <f t="shared" ref="S964:S1027" si="158">IF(AND($C$1=K964,$Y$1=YEAR(F964)),C964,0)</f>
        <v>0</v>
      </c>
      <c r="T964" s="36">
        <f t="shared" ref="T964:T1027" si="159">IF(F964=0,0,YEAR(F964)&amp;VLOOKUP(K964,$AD$1:$AE$15,2,FALSE))</f>
        <v>0</v>
      </c>
      <c r="V964" s="6">
        <f t="shared" ref="V964:V1027" si="160">IF(AND(YEAR(F964)=$Y$1,K964=$C$1,L964&amp;$V$1&lt;&gt;$V$1),L964,IF(AND(YEAR(F964)=$Y$1,K964=$C$1),1,0))</f>
        <v>0</v>
      </c>
      <c r="Y964" s="8">
        <f t="shared" ref="Y964:Y1027" si="161">IF(M964&lt;&gt;$AI$1,$Y$2,F963)</f>
        <v>46023</v>
      </c>
    </row>
    <row r="965" spans="2:25" ht="18.75" x14ac:dyDescent="0.3">
      <c r="B965" s="6">
        <f t="shared" si="153"/>
        <v>0</v>
      </c>
      <c r="C965" s="6">
        <f t="shared" si="154"/>
        <v>0</v>
      </c>
      <c r="D965" s="6" t="str">
        <f t="shared" si="155"/>
        <v/>
      </c>
      <c r="E965" s="35" t="str">
        <f t="shared" si="152"/>
        <v/>
      </c>
      <c r="F965" s="31"/>
      <c r="G965" s="29"/>
      <c r="H965" s="78" t="str">
        <f t="shared" si="156"/>
        <v/>
      </c>
      <c r="I965" s="25"/>
      <c r="J965" s="25"/>
      <c r="K965" s="26"/>
      <c r="L965" s="26"/>
      <c r="M965" s="37"/>
      <c r="N965" s="27"/>
      <c r="O965" s="30"/>
      <c r="P965" s="39" t="str">
        <f t="shared" si="157"/>
        <v/>
      </c>
      <c r="Q965" s="40" t="str">
        <f>IF(OR(T965=0,RIGHT(T965,1)=$W$1),"",COUNTIF($T$3:T965,T965))</f>
        <v/>
      </c>
      <c r="S965" s="6">
        <f t="shared" si="158"/>
        <v>0</v>
      </c>
      <c r="T965" s="36">
        <f t="shared" si="159"/>
        <v>0</v>
      </c>
      <c r="V965" s="6">
        <f t="shared" si="160"/>
        <v>0</v>
      </c>
      <c r="Y965" s="8">
        <f t="shared" si="161"/>
        <v>46023</v>
      </c>
    </row>
    <row r="966" spans="2:25" ht="18.75" x14ac:dyDescent="0.3">
      <c r="B966" s="6">
        <f t="shared" si="153"/>
        <v>0</v>
      </c>
      <c r="C966" s="6">
        <f t="shared" si="154"/>
        <v>0</v>
      </c>
      <c r="D966" s="6" t="str">
        <f t="shared" si="155"/>
        <v/>
      </c>
      <c r="E966" s="35" t="str">
        <f t="shared" si="152"/>
        <v/>
      </c>
      <c r="F966" s="31"/>
      <c r="G966" s="29"/>
      <c r="H966" s="78" t="str">
        <f t="shared" si="156"/>
        <v/>
      </c>
      <c r="I966" s="25"/>
      <c r="J966" s="25"/>
      <c r="K966" s="26"/>
      <c r="L966" s="26"/>
      <c r="M966" s="37"/>
      <c r="N966" s="27"/>
      <c r="O966" s="30"/>
      <c r="P966" s="39" t="str">
        <f t="shared" si="157"/>
        <v/>
      </c>
      <c r="Q966" s="40" t="str">
        <f>IF(OR(T966=0,RIGHT(T966,1)=$W$1),"",COUNTIF($T$3:T966,T966))</f>
        <v/>
      </c>
      <c r="S966" s="6">
        <f t="shared" si="158"/>
        <v>0</v>
      </c>
      <c r="T966" s="36">
        <f t="shared" si="159"/>
        <v>0</v>
      </c>
      <c r="V966" s="6">
        <f t="shared" si="160"/>
        <v>0</v>
      </c>
      <c r="Y966" s="8">
        <f t="shared" si="161"/>
        <v>46023</v>
      </c>
    </row>
    <row r="967" spans="2:25" ht="18.75" x14ac:dyDescent="0.3">
      <c r="B967" s="6">
        <f t="shared" si="153"/>
        <v>0</v>
      </c>
      <c r="C967" s="6">
        <f t="shared" si="154"/>
        <v>0</v>
      </c>
      <c r="D967" s="6" t="str">
        <f t="shared" si="155"/>
        <v/>
      </c>
      <c r="E967" s="35" t="str">
        <f t="shared" si="152"/>
        <v/>
      </c>
      <c r="F967" s="31"/>
      <c r="G967" s="29"/>
      <c r="H967" s="78" t="str">
        <f t="shared" si="156"/>
        <v/>
      </c>
      <c r="I967" s="25"/>
      <c r="J967" s="25"/>
      <c r="K967" s="26"/>
      <c r="L967" s="26"/>
      <c r="M967" s="37"/>
      <c r="N967" s="27"/>
      <c r="O967" s="30"/>
      <c r="P967" s="39" t="str">
        <f t="shared" si="157"/>
        <v/>
      </c>
      <c r="Q967" s="40" t="str">
        <f>IF(OR(T967=0,RIGHT(T967,1)=$W$1),"",COUNTIF($T$3:T967,T967))</f>
        <v/>
      </c>
      <c r="S967" s="6">
        <f t="shared" si="158"/>
        <v>0</v>
      </c>
      <c r="T967" s="36">
        <f t="shared" si="159"/>
        <v>0</v>
      </c>
      <c r="V967" s="6">
        <f t="shared" si="160"/>
        <v>0</v>
      </c>
      <c r="Y967" s="8">
        <f t="shared" si="161"/>
        <v>46023</v>
      </c>
    </row>
    <row r="968" spans="2:25" ht="18.75" x14ac:dyDescent="0.3">
      <c r="B968" s="6">
        <f t="shared" si="153"/>
        <v>0</v>
      </c>
      <c r="C968" s="6">
        <f t="shared" si="154"/>
        <v>0</v>
      </c>
      <c r="D968" s="6" t="str">
        <f t="shared" si="155"/>
        <v/>
      </c>
      <c r="E968" s="35" t="str">
        <f t="shared" si="152"/>
        <v/>
      </c>
      <c r="F968" s="31"/>
      <c r="G968" s="29"/>
      <c r="H968" s="78" t="str">
        <f t="shared" si="156"/>
        <v/>
      </c>
      <c r="I968" s="25"/>
      <c r="J968" s="25"/>
      <c r="K968" s="26"/>
      <c r="L968" s="26"/>
      <c r="M968" s="37"/>
      <c r="N968" s="27"/>
      <c r="O968" s="30"/>
      <c r="P968" s="39" t="str">
        <f t="shared" si="157"/>
        <v/>
      </c>
      <c r="Q968" s="40" t="str">
        <f>IF(OR(T968=0,RIGHT(T968,1)=$W$1),"",COUNTIF($T$3:T968,T968))</f>
        <v/>
      </c>
      <c r="S968" s="6">
        <f t="shared" si="158"/>
        <v>0</v>
      </c>
      <c r="T968" s="36">
        <f t="shared" si="159"/>
        <v>0</v>
      </c>
      <c r="V968" s="6">
        <f t="shared" si="160"/>
        <v>0</v>
      </c>
      <c r="Y968" s="8">
        <f t="shared" si="161"/>
        <v>46023</v>
      </c>
    </row>
    <row r="969" spans="2:25" ht="18.75" x14ac:dyDescent="0.3">
      <c r="B969" s="6">
        <f t="shared" si="153"/>
        <v>0</v>
      </c>
      <c r="C969" s="6">
        <f t="shared" si="154"/>
        <v>0</v>
      </c>
      <c r="D969" s="6" t="str">
        <f t="shared" si="155"/>
        <v/>
      </c>
      <c r="E969" s="35" t="str">
        <f t="shared" si="152"/>
        <v/>
      </c>
      <c r="F969" s="31"/>
      <c r="G969" s="29"/>
      <c r="H969" s="78" t="str">
        <f t="shared" si="156"/>
        <v/>
      </c>
      <c r="I969" s="25"/>
      <c r="J969" s="25"/>
      <c r="K969" s="26"/>
      <c r="L969" s="26"/>
      <c r="M969" s="37"/>
      <c r="N969" s="27"/>
      <c r="O969" s="30"/>
      <c r="P969" s="39" t="str">
        <f t="shared" si="157"/>
        <v/>
      </c>
      <c r="Q969" s="40" t="str">
        <f>IF(OR(T969=0,RIGHT(T969,1)=$W$1),"",COUNTIF($T$3:T969,T969))</f>
        <v/>
      </c>
      <c r="S969" s="6">
        <f t="shared" si="158"/>
        <v>0</v>
      </c>
      <c r="T969" s="36">
        <f t="shared" si="159"/>
        <v>0</v>
      </c>
      <c r="V969" s="6">
        <f t="shared" si="160"/>
        <v>0</v>
      </c>
      <c r="Y969" s="8">
        <f t="shared" si="161"/>
        <v>46023</v>
      </c>
    </row>
    <row r="970" spans="2:25" ht="18.75" x14ac:dyDescent="0.3">
      <c r="B970" s="6">
        <f t="shared" si="153"/>
        <v>0</v>
      </c>
      <c r="C970" s="6">
        <f t="shared" si="154"/>
        <v>0</v>
      </c>
      <c r="D970" s="6" t="str">
        <f t="shared" si="155"/>
        <v/>
      </c>
      <c r="E970" s="35" t="str">
        <f t="shared" si="152"/>
        <v/>
      </c>
      <c r="F970" s="31"/>
      <c r="G970" s="29"/>
      <c r="H970" s="78" t="str">
        <f t="shared" si="156"/>
        <v/>
      </c>
      <c r="I970" s="25"/>
      <c r="J970" s="25"/>
      <c r="K970" s="26"/>
      <c r="L970" s="26"/>
      <c r="M970" s="37"/>
      <c r="N970" s="27"/>
      <c r="O970" s="30"/>
      <c r="P970" s="39" t="str">
        <f t="shared" si="157"/>
        <v/>
      </c>
      <c r="Q970" s="40" t="str">
        <f>IF(OR(T970=0,RIGHT(T970,1)=$W$1),"",COUNTIF($T$3:T970,T970))</f>
        <v/>
      </c>
      <c r="S970" s="6">
        <f t="shared" si="158"/>
        <v>0</v>
      </c>
      <c r="T970" s="36">
        <f t="shared" si="159"/>
        <v>0</v>
      </c>
      <c r="V970" s="6">
        <f t="shared" si="160"/>
        <v>0</v>
      </c>
      <c r="Y970" s="8">
        <f t="shared" si="161"/>
        <v>46023</v>
      </c>
    </row>
    <row r="971" spans="2:25" ht="18.75" x14ac:dyDescent="0.3">
      <c r="B971" s="6">
        <f t="shared" si="153"/>
        <v>0</v>
      </c>
      <c r="C971" s="6">
        <f t="shared" si="154"/>
        <v>0</v>
      </c>
      <c r="D971" s="6" t="str">
        <f t="shared" si="155"/>
        <v/>
      </c>
      <c r="E971" s="35" t="str">
        <f t="shared" si="152"/>
        <v/>
      </c>
      <c r="F971" s="31"/>
      <c r="G971" s="29"/>
      <c r="H971" s="78" t="str">
        <f t="shared" si="156"/>
        <v/>
      </c>
      <c r="I971" s="25"/>
      <c r="J971" s="25"/>
      <c r="K971" s="26"/>
      <c r="L971" s="26"/>
      <c r="M971" s="37"/>
      <c r="N971" s="27"/>
      <c r="O971" s="30"/>
      <c r="P971" s="39" t="str">
        <f t="shared" si="157"/>
        <v/>
      </c>
      <c r="Q971" s="40" t="str">
        <f>IF(OR(T971=0,RIGHT(T971,1)=$W$1),"",COUNTIF($T$3:T971,T971))</f>
        <v/>
      </c>
      <c r="S971" s="6">
        <f t="shared" si="158"/>
        <v>0</v>
      </c>
      <c r="T971" s="36">
        <f t="shared" si="159"/>
        <v>0</v>
      </c>
      <c r="V971" s="6">
        <f t="shared" si="160"/>
        <v>0</v>
      </c>
      <c r="Y971" s="8">
        <f t="shared" si="161"/>
        <v>46023</v>
      </c>
    </row>
    <row r="972" spans="2:25" ht="18.75" x14ac:dyDescent="0.3">
      <c r="B972" s="6">
        <f t="shared" si="153"/>
        <v>0</v>
      </c>
      <c r="C972" s="6">
        <f t="shared" si="154"/>
        <v>0</v>
      </c>
      <c r="D972" s="6" t="str">
        <f t="shared" si="155"/>
        <v/>
      </c>
      <c r="E972" s="35" t="str">
        <f t="shared" si="152"/>
        <v/>
      </c>
      <c r="F972" s="31"/>
      <c r="G972" s="29"/>
      <c r="H972" s="78" t="str">
        <f t="shared" si="156"/>
        <v/>
      </c>
      <c r="I972" s="25"/>
      <c r="J972" s="25"/>
      <c r="K972" s="26"/>
      <c r="L972" s="26"/>
      <c r="M972" s="37"/>
      <c r="N972" s="27"/>
      <c r="O972" s="30"/>
      <c r="P972" s="39" t="str">
        <f t="shared" si="157"/>
        <v/>
      </c>
      <c r="Q972" s="40" t="str">
        <f>IF(OR(T972=0,RIGHT(T972,1)=$W$1),"",COUNTIF($T$3:T972,T972))</f>
        <v/>
      </c>
      <c r="S972" s="6">
        <f t="shared" si="158"/>
        <v>0</v>
      </c>
      <c r="T972" s="36">
        <f t="shared" si="159"/>
        <v>0</v>
      </c>
      <c r="V972" s="6">
        <f t="shared" si="160"/>
        <v>0</v>
      </c>
      <c r="Y972" s="8">
        <f t="shared" si="161"/>
        <v>46023</v>
      </c>
    </row>
    <row r="973" spans="2:25" ht="18.75" x14ac:dyDescent="0.3">
      <c r="B973" s="6">
        <f t="shared" si="153"/>
        <v>0</v>
      </c>
      <c r="C973" s="6">
        <f t="shared" si="154"/>
        <v>0</v>
      </c>
      <c r="D973" s="6" t="str">
        <f t="shared" si="155"/>
        <v/>
      </c>
      <c r="E973" s="35" t="str">
        <f t="shared" si="152"/>
        <v/>
      </c>
      <c r="F973" s="31"/>
      <c r="G973" s="29"/>
      <c r="H973" s="78" t="str">
        <f t="shared" si="156"/>
        <v/>
      </c>
      <c r="I973" s="25"/>
      <c r="J973" s="25"/>
      <c r="K973" s="26"/>
      <c r="L973" s="26"/>
      <c r="M973" s="37"/>
      <c r="N973" s="27"/>
      <c r="O973" s="30"/>
      <c r="P973" s="39" t="str">
        <f t="shared" si="157"/>
        <v/>
      </c>
      <c r="Q973" s="40" t="str">
        <f>IF(OR(T973=0,RIGHT(T973,1)=$W$1),"",COUNTIF($T$3:T973,T973))</f>
        <v/>
      </c>
      <c r="S973" s="6">
        <f t="shared" si="158"/>
        <v>0</v>
      </c>
      <c r="T973" s="36">
        <f t="shared" si="159"/>
        <v>0</v>
      </c>
      <c r="V973" s="6">
        <f t="shared" si="160"/>
        <v>0</v>
      </c>
      <c r="Y973" s="8">
        <f t="shared" si="161"/>
        <v>46023</v>
      </c>
    </row>
    <row r="974" spans="2:25" ht="18.75" x14ac:dyDescent="0.3">
      <c r="B974" s="6">
        <f t="shared" si="153"/>
        <v>0</v>
      </c>
      <c r="C974" s="6">
        <f t="shared" si="154"/>
        <v>0</v>
      </c>
      <c r="D974" s="6" t="str">
        <f t="shared" si="155"/>
        <v/>
      </c>
      <c r="E974" s="35" t="str">
        <f t="shared" si="152"/>
        <v/>
      </c>
      <c r="F974" s="31"/>
      <c r="G974" s="29"/>
      <c r="H974" s="78" t="str">
        <f t="shared" si="156"/>
        <v/>
      </c>
      <c r="I974" s="25"/>
      <c r="J974" s="25"/>
      <c r="K974" s="26"/>
      <c r="L974" s="26"/>
      <c r="M974" s="37"/>
      <c r="N974" s="27"/>
      <c r="O974" s="30"/>
      <c r="P974" s="39" t="str">
        <f t="shared" si="157"/>
        <v/>
      </c>
      <c r="Q974" s="40" t="str">
        <f>IF(OR(T974=0,RIGHT(T974,1)=$W$1),"",COUNTIF($T$3:T974,T974))</f>
        <v/>
      </c>
      <c r="S974" s="6">
        <f t="shared" si="158"/>
        <v>0</v>
      </c>
      <c r="T974" s="36">
        <f t="shared" si="159"/>
        <v>0</v>
      </c>
      <c r="V974" s="6">
        <f t="shared" si="160"/>
        <v>0</v>
      </c>
      <c r="Y974" s="8">
        <f t="shared" si="161"/>
        <v>46023</v>
      </c>
    </row>
    <row r="975" spans="2:25" ht="18.75" x14ac:dyDescent="0.3">
      <c r="B975" s="6">
        <f t="shared" si="153"/>
        <v>0</v>
      </c>
      <c r="C975" s="6">
        <f t="shared" si="154"/>
        <v>0</v>
      </c>
      <c r="D975" s="6" t="str">
        <f t="shared" si="155"/>
        <v/>
      </c>
      <c r="E975" s="35" t="str">
        <f t="shared" si="152"/>
        <v/>
      </c>
      <c r="F975" s="31"/>
      <c r="G975" s="29"/>
      <c r="H975" s="78" t="str">
        <f t="shared" si="156"/>
        <v/>
      </c>
      <c r="I975" s="25"/>
      <c r="J975" s="25"/>
      <c r="K975" s="26"/>
      <c r="L975" s="26"/>
      <c r="M975" s="37"/>
      <c r="N975" s="27"/>
      <c r="O975" s="30"/>
      <c r="P975" s="39" t="str">
        <f t="shared" si="157"/>
        <v/>
      </c>
      <c r="Q975" s="40" t="str">
        <f>IF(OR(T975=0,RIGHT(T975,1)=$W$1),"",COUNTIF($T$3:T975,T975))</f>
        <v/>
      </c>
      <c r="S975" s="6">
        <f t="shared" si="158"/>
        <v>0</v>
      </c>
      <c r="T975" s="36">
        <f t="shared" si="159"/>
        <v>0</v>
      </c>
      <c r="V975" s="6">
        <f t="shared" si="160"/>
        <v>0</v>
      </c>
      <c r="Y975" s="8">
        <f t="shared" si="161"/>
        <v>46023</v>
      </c>
    </row>
    <row r="976" spans="2:25" ht="18.75" x14ac:dyDescent="0.3">
      <c r="B976" s="6">
        <f t="shared" si="153"/>
        <v>0</v>
      </c>
      <c r="C976" s="6">
        <f t="shared" si="154"/>
        <v>0</v>
      </c>
      <c r="D976" s="6" t="str">
        <f t="shared" si="155"/>
        <v/>
      </c>
      <c r="E976" s="35" t="str">
        <f t="shared" si="152"/>
        <v/>
      </c>
      <c r="F976" s="31"/>
      <c r="G976" s="29"/>
      <c r="H976" s="78" t="str">
        <f t="shared" si="156"/>
        <v/>
      </c>
      <c r="I976" s="25"/>
      <c r="J976" s="25"/>
      <c r="K976" s="26"/>
      <c r="L976" s="26"/>
      <c r="M976" s="37"/>
      <c r="N976" s="27"/>
      <c r="O976" s="30"/>
      <c r="P976" s="39" t="str">
        <f t="shared" si="157"/>
        <v/>
      </c>
      <c r="Q976" s="40" t="str">
        <f>IF(OR(T976=0,RIGHT(T976,1)=$W$1),"",COUNTIF($T$3:T976,T976))</f>
        <v/>
      </c>
      <c r="S976" s="6">
        <f t="shared" si="158"/>
        <v>0</v>
      </c>
      <c r="T976" s="36">
        <f t="shared" si="159"/>
        <v>0</v>
      </c>
      <c r="V976" s="6">
        <f t="shared" si="160"/>
        <v>0</v>
      </c>
      <c r="Y976" s="8">
        <f t="shared" si="161"/>
        <v>46023</v>
      </c>
    </row>
    <row r="977" spans="2:25" ht="18.75" x14ac:dyDescent="0.3">
      <c r="B977" s="6">
        <f t="shared" si="153"/>
        <v>0</v>
      </c>
      <c r="C977" s="6">
        <f t="shared" si="154"/>
        <v>0</v>
      </c>
      <c r="D977" s="6" t="str">
        <f t="shared" si="155"/>
        <v/>
      </c>
      <c r="E977" s="35" t="str">
        <f t="shared" si="152"/>
        <v/>
      </c>
      <c r="F977" s="31"/>
      <c r="G977" s="29"/>
      <c r="H977" s="78" t="str">
        <f t="shared" si="156"/>
        <v/>
      </c>
      <c r="I977" s="25"/>
      <c r="J977" s="25"/>
      <c r="K977" s="26"/>
      <c r="L977" s="26"/>
      <c r="M977" s="37"/>
      <c r="N977" s="27"/>
      <c r="O977" s="30"/>
      <c r="P977" s="39" t="str">
        <f t="shared" si="157"/>
        <v/>
      </c>
      <c r="Q977" s="40" t="str">
        <f>IF(OR(T977=0,RIGHT(T977,1)=$W$1),"",COUNTIF($T$3:T977,T977))</f>
        <v/>
      </c>
      <c r="S977" s="6">
        <f t="shared" si="158"/>
        <v>0</v>
      </c>
      <c r="T977" s="36">
        <f t="shared" si="159"/>
        <v>0</v>
      </c>
      <c r="V977" s="6">
        <f t="shared" si="160"/>
        <v>0</v>
      </c>
      <c r="Y977" s="8">
        <f t="shared" si="161"/>
        <v>46023</v>
      </c>
    </row>
    <row r="978" spans="2:25" ht="18.75" x14ac:dyDescent="0.3">
      <c r="B978" s="6">
        <f t="shared" si="153"/>
        <v>0</v>
      </c>
      <c r="C978" s="6">
        <f t="shared" si="154"/>
        <v>0</v>
      </c>
      <c r="D978" s="6" t="str">
        <f t="shared" si="155"/>
        <v/>
      </c>
      <c r="E978" s="35" t="str">
        <f t="shared" si="152"/>
        <v/>
      </c>
      <c r="F978" s="31"/>
      <c r="G978" s="29"/>
      <c r="H978" s="78" t="str">
        <f t="shared" si="156"/>
        <v/>
      </c>
      <c r="I978" s="25"/>
      <c r="J978" s="25"/>
      <c r="K978" s="26"/>
      <c r="L978" s="26"/>
      <c r="M978" s="37"/>
      <c r="N978" s="27"/>
      <c r="O978" s="30"/>
      <c r="P978" s="39" t="str">
        <f t="shared" si="157"/>
        <v/>
      </c>
      <c r="Q978" s="40" t="str">
        <f>IF(OR(T978=0,RIGHT(T978,1)=$W$1),"",COUNTIF($T$3:T978,T978))</f>
        <v/>
      </c>
      <c r="S978" s="6">
        <f t="shared" si="158"/>
        <v>0</v>
      </c>
      <c r="T978" s="36">
        <f t="shared" si="159"/>
        <v>0</v>
      </c>
      <c r="V978" s="6">
        <f t="shared" si="160"/>
        <v>0</v>
      </c>
      <c r="Y978" s="8">
        <f t="shared" si="161"/>
        <v>46023</v>
      </c>
    </row>
    <row r="979" spans="2:25" ht="18.75" x14ac:dyDescent="0.3">
      <c r="B979" s="6">
        <f t="shared" si="153"/>
        <v>0</v>
      </c>
      <c r="C979" s="6">
        <f t="shared" si="154"/>
        <v>0</v>
      </c>
      <c r="D979" s="6" t="str">
        <f t="shared" si="155"/>
        <v/>
      </c>
      <c r="E979" s="35" t="str">
        <f t="shared" si="152"/>
        <v/>
      </c>
      <c r="F979" s="31"/>
      <c r="G979" s="29"/>
      <c r="H979" s="78" t="str">
        <f t="shared" si="156"/>
        <v/>
      </c>
      <c r="I979" s="25"/>
      <c r="J979" s="25"/>
      <c r="K979" s="26"/>
      <c r="L979" s="26"/>
      <c r="M979" s="37"/>
      <c r="N979" s="27"/>
      <c r="O979" s="30"/>
      <c r="P979" s="39" t="str">
        <f t="shared" si="157"/>
        <v/>
      </c>
      <c r="Q979" s="40" t="str">
        <f>IF(OR(T979=0,RIGHT(T979,1)=$W$1),"",COUNTIF($T$3:T979,T979))</f>
        <v/>
      </c>
      <c r="S979" s="6">
        <f t="shared" si="158"/>
        <v>0</v>
      </c>
      <c r="T979" s="36">
        <f t="shared" si="159"/>
        <v>0</v>
      </c>
      <c r="V979" s="6">
        <f t="shared" si="160"/>
        <v>0</v>
      </c>
      <c r="Y979" s="8">
        <f t="shared" si="161"/>
        <v>46023</v>
      </c>
    </row>
    <row r="980" spans="2:25" ht="18.75" x14ac:dyDescent="0.3">
      <c r="B980" s="6">
        <f t="shared" si="153"/>
        <v>0</v>
      </c>
      <c r="C980" s="6">
        <f t="shared" si="154"/>
        <v>0</v>
      </c>
      <c r="D980" s="6" t="str">
        <f t="shared" si="155"/>
        <v/>
      </c>
      <c r="E980" s="35" t="str">
        <f t="shared" si="152"/>
        <v/>
      </c>
      <c r="F980" s="31"/>
      <c r="G980" s="29"/>
      <c r="H980" s="78" t="str">
        <f t="shared" si="156"/>
        <v/>
      </c>
      <c r="I980" s="25"/>
      <c r="J980" s="25"/>
      <c r="K980" s="26"/>
      <c r="L980" s="26"/>
      <c r="M980" s="37"/>
      <c r="N980" s="27"/>
      <c r="O980" s="30"/>
      <c r="P980" s="39" t="str">
        <f t="shared" si="157"/>
        <v/>
      </c>
      <c r="Q980" s="40" t="str">
        <f>IF(OR(T980=0,RIGHT(T980,1)=$W$1),"",COUNTIF($T$3:T980,T980))</f>
        <v/>
      </c>
      <c r="S980" s="6">
        <f t="shared" si="158"/>
        <v>0</v>
      </c>
      <c r="T980" s="36">
        <f t="shared" si="159"/>
        <v>0</v>
      </c>
      <c r="V980" s="6">
        <f t="shared" si="160"/>
        <v>0</v>
      </c>
      <c r="Y980" s="8">
        <f t="shared" si="161"/>
        <v>46023</v>
      </c>
    </row>
    <row r="981" spans="2:25" ht="18.75" x14ac:dyDescent="0.3">
      <c r="B981" s="6">
        <f t="shared" si="153"/>
        <v>0</v>
      </c>
      <c r="C981" s="6">
        <f t="shared" si="154"/>
        <v>0</v>
      </c>
      <c r="D981" s="6" t="str">
        <f t="shared" si="155"/>
        <v/>
      </c>
      <c r="E981" s="35" t="str">
        <f t="shared" si="152"/>
        <v/>
      </c>
      <c r="F981" s="31"/>
      <c r="G981" s="29"/>
      <c r="H981" s="78" t="str">
        <f t="shared" si="156"/>
        <v/>
      </c>
      <c r="I981" s="25"/>
      <c r="J981" s="25"/>
      <c r="K981" s="26"/>
      <c r="L981" s="26"/>
      <c r="M981" s="37"/>
      <c r="N981" s="27"/>
      <c r="O981" s="30"/>
      <c r="P981" s="39" t="str">
        <f t="shared" si="157"/>
        <v/>
      </c>
      <c r="Q981" s="40" t="str">
        <f>IF(OR(T981=0,RIGHT(T981,1)=$W$1),"",COUNTIF($T$3:T981,T981))</f>
        <v/>
      </c>
      <c r="S981" s="6">
        <f t="shared" si="158"/>
        <v>0</v>
      </c>
      <c r="T981" s="36">
        <f t="shared" si="159"/>
        <v>0</v>
      </c>
      <c r="V981" s="6">
        <f t="shared" si="160"/>
        <v>0</v>
      </c>
      <c r="Y981" s="8">
        <f t="shared" si="161"/>
        <v>46023</v>
      </c>
    </row>
    <row r="982" spans="2:25" ht="18.75" x14ac:dyDescent="0.3">
      <c r="B982" s="6">
        <f t="shared" si="153"/>
        <v>0</v>
      </c>
      <c r="C982" s="6">
        <f t="shared" si="154"/>
        <v>0</v>
      </c>
      <c r="D982" s="6" t="str">
        <f t="shared" si="155"/>
        <v/>
      </c>
      <c r="E982" s="35" t="str">
        <f t="shared" si="152"/>
        <v/>
      </c>
      <c r="F982" s="31"/>
      <c r="G982" s="29"/>
      <c r="H982" s="78" t="str">
        <f t="shared" si="156"/>
        <v/>
      </c>
      <c r="I982" s="25"/>
      <c r="J982" s="25"/>
      <c r="K982" s="26"/>
      <c r="L982" s="26"/>
      <c r="M982" s="37"/>
      <c r="N982" s="27"/>
      <c r="O982" s="30"/>
      <c r="P982" s="39" t="str">
        <f t="shared" si="157"/>
        <v/>
      </c>
      <c r="Q982" s="40" t="str">
        <f>IF(OR(T982=0,RIGHT(T982,1)=$W$1),"",COUNTIF($T$3:T982,T982))</f>
        <v/>
      </c>
      <c r="S982" s="6">
        <f t="shared" si="158"/>
        <v>0</v>
      </c>
      <c r="T982" s="36">
        <f t="shared" si="159"/>
        <v>0</v>
      </c>
      <c r="V982" s="6">
        <f t="shared" si="160"/>
        <v>0</v>
      </c>
      <c r="Y982" s="8">
        <f t="shared" si="161"/>
        <v>46023</v>
      </c>
    </row>
    <row r="983" spans="2:25" ht="18.75" x14ac:dyDescent="0.3">
      <c r="B983" s="6">
        <f t="shared" si="153"/>
        <v>0</v>
      </c>
      <c r="C983" s="6">
        <f t="shared" si="154"/>
        <v>0</v>
      </c>
      <c r="D983" s="6" t="str">
        <f t="shared" si="155"/>
        <v/>
      </c>
      <c r="E983" s="35" t="str">
        <f t="shared" si="152"/>
        <v/>
      </c>
      <c r="F983" s="31"/>
      <c r="G983" s="29"/>
      <c r="H983" s="78" t="str">
        <f t="shared" si="156"/>
        <v/>
      </c>
      <c r="I983" s="25"/>
      <c r="J983" s="25"/>
      <c r="K983" s="26"/>
      <c r="L983" s="26"/>
      <c r="M983" s="37"/>
      <c r="N983" s="27"/>
      <c r="O983" s="30"/>
      <c r="P983" s="39" t="str">
        <f t="shared" si="157"/>
        <v/>
      </c>
      <c r="Q983" s="40" t="str">
        <f>IF(OR(T983=0,RIGHT(T983,1)=$W$1),"",COUNTIF($T$3:T983,T983))</f>
        <v/>
      </c>
      <c r="S983" s="6">
        <f t="shared" si="158"/>
        <v>0</v>
      </c>
      <c r="T983" s="36">
        <f t="shared" si="159"/>
        <v>0</v>
      </c>
      <c r="V983" s="6">
        <f t="shared" si="160"/>
        <v>0</v>
      </c>
      <c r="Y983" s="8">
        <f t="shared" si="161"/>
        <v>46023</v>
      </c>
    </row>
    <row r="984" spans="2:25" ht="18.75" x14ac:dyDescent="0.3">
      <c r="B984" s="6">
        <f t="shared" si="153"/>
        <v>0</v>
      </c>
      <c r="C984" s="6">
        <f t="shared" si="154"/>
        <v>0</v>
      </c>
      <c r="D984" s="6" t="str">
        <f t="shared" si="155"/>
        <v/>
      </c>
      <c r="E984" s="35" t="str">
        <f t="shared" si="152"/>
        <v/>
      </c>
      <c r="F984" s="31"/>
      <c r="G984" s="29"/>
      <c r="H984" s="78" t="str">
        <f t="shared" si="156"/>
        <v/>
      </c>
      <c r="I984" s="25"/>
      <c r="J984" s="25"/>
      <c r="K984" s="26"/>
      <c r="L984" s="26"/>
      <c r="M984" s="37"/>
      <c r="N984" s="27"/>
      <c r="O984" s="30"/>
      <c r="P984" s="39" t="str">
        <f t="shared" si="157"/>
        <v/>
      </c>
      <c r="Q984" s="40" t="str">
        <f>IF(OR(T984=0,RIGHT(T984,1)=$W$1),"",COUNTIF($T$3:T984,T984))</f>
        <v/>
      </c>
      <c r="S984" s="6">
        <f t="shared" si="158"/>
        <v>0</v>
      </c>
      <c r="T984" s="36">
        <f t="shared" si="159"/>
        <v>0</v>
      </c>
      <c r="V984" s="6">
        <f t="shared" si="160"/>
        <v>0</v>
      </c>
      <c r="Y984" s="8">
        <f t="shared" si="161"/>
        <v>46023</v>
      </c>
    </row>
    <row r="985" spans="2:25" ht="18.75" x14ac:dyDescent="0.3">
      <c r="B985" s="6">
        <f t="shared" si="153"/>
        <v>0</v>
      </c>
      <c r="C985" s="6">
        <f t="shared" si="154"/>
        <v>0</v>
      </c>
      <c r="D985" s="6" t="str">
        <f t="shared" si="155"/>
        <v/>
      </c>
      <c r="E985" s="35" t="str">
        <f t="shared" si="152"/>
        <v/>
      </c>
      <c r="F985" s="31"/>
      <c r="G985" s="29"/>
      <c r="H985" s="78" t="str">
        <f t="shared" si="156"/>
        <v/>
      </c>
      <c r="I985" s="25"/>
      <c r="J985" s="25"/>
      <c r="K985" s="26"/>
      <c r="L985" s="26"/>
      <c r="M985" s="37"/>
      <c r="N985" s="27"/>
      <c r="O985" s="30"/>
      <c r="P985" s="39" t="str">
        <f t="shared" si="157"/>
        <v/>
      </c>
      <c r="Q985" s="40" t="str">
        <f>IF(OR(T985=0,RIGHT(T985,1)=$W$1),"",COUNTIF($T$3:T985,T985))</f>
        <v/>
      </c>
      <c r="S985" s="6">
        <f t="shared" si="158"/>
        <v>0</v>
      </c>
      <c r="T985" s="36">
        <f t="shared" si="159"/>
        <v>0</v>
      </c>
      <c r="V985" s="6">
        <f t="shared" si="160"/>
        <v>0</v>
      </c>
      <c r="Y985" s="8">
        <f t="shared" si="161"/>
        <v>46023</v>
      </c>
    </row>
    <row r="986" spans="2:25" ht="18.75" x14ac:dyDescent="0.3">
      <c r="B986" s="6">
        <f t="shared" si="153"/>
        <v>0</v>
      </c>
      <c r="C986" s="6">
        <f t="shared" si="154"/>
        <v>0</v>
      </c>
      <c r="D986" s="6" t="str">
        <f t="shared" si="155"/>
        <v/>
      </c>
      <c r="E986" s="35" t="str">
        <f t="shared" si="152"/>
        <v/>
      </c>
      <c r="F986" s="31"/>
      <c r="G986" s="29"/>
      <c r="H986" s="78" t="str">
        <f t="shared" si="156"/>
        <v/>
      </c>
      <c r="I986" s="25"/>
      <c r="J986" s="25"/>
      <c r="K986" s="26"/>
      <c r="L986" s="26"/>
      <c r="M986" s="37"/>
      <c r="N986" s="27"/>
      <c r="O986" s="30"/>
      <c r="P986" s="39" t="str">
        <f t="shared" si="157"/>
        <v/>
      </c>
      <c r="Q986" s="40" t="str">
        <f>IF(OR(T986=0,RIGHT(T986,1)=$W$1),"",COUNTIF($T$3:T986,T986))</f>
        <v/>
      </c>
      <c r="S986" s="6">
        <f t="shared" si="158"/>
        <v>0</v>
      </c>
      <c r="T986" s="36">
        <f t="shared" si="159"/>
        <v>0</v>
      </c>
      <c r="V986" s="6">
        <f t="shared" si="160"/>
        <v>0</v>
      </c>
      <c r="Y986" s="8">
        <f t="shared" si="161"/>
        <v>46023</v>
      </c>
    </row>
    <row r="987" spans="2:25" ht="18.75" x14ac:dyDescent="0.3">
      <c r="B987" s="6">
        <f t="shared" si="153"/>
        <v>0</v>
      </c>
      <c r="C987" s="6">
        <f t="shared" si="154"/>
        <v>0</v>
      </c>
      <c r="D987" s="6" t="str">
        <f t="shared" si="155"/>
        <v/>
      </c>
      <c r="E987" s="35" t="str">
        <f t="shared" si="152"/>
        <v/>
      </c>
      <c r="F987" s="31"/>
      <c r="G987" s="29"/>
      <c r="H987" s="78" t="str">
        <f t="shared" si="156"/>
        <v/>
      </c>
      <c r="I987" s="25"/>
      <c r="J987" s="25"/>
      <c r="K987" s="26"/>
      <c r="L987" s="26"/>
      <c r="M987" s="37"/>
      <c r="N987" s="27"/>
      <c r="O987" s="30"/>
      <c r="P987" s="39" t="str">
        <f t="shared" si="157"/>
        <v/>
      </c>
      <c r="Q987" s="40" t="str">
        <f>IF(OR(T987=0,RIGHT(T987,1)=$W$1),"",COUNTIF($T$3:T987,T987))</f>
        <v/>
      </c>
      <c r="S987" s="6">
        <f t="shared" si="158"/>
        <v>0</v>
      </c>
      <c r="T987" s="36">
        <f t="shared" si="159"/>
        <v>0</v>
      </c>
      <c r="V987" s="6">
        <f t="shared" si="160"/>
        <v>0</v>
      </c>
      <c r="Y987" s="8">
        <f t="shared" si="161"/>
        <v>46023</v>
      </c>
    </row>
    <row r="988" spans="2:25" ht="18.75" x14ac:dyDescent="0.3">
      <c r="B988" s="6">
        <f t="shared" si="153"/>
        <v>0</v>
      </c>
      <c r="C988" s="6">
        <f t="shared" si="154"/>
        <v>0</v>
      </c>
      <c r="D988" s="6" t="str">
        <f t="shared" si="155"/>
        <v/>
      </c>
      <c r="E988" s="35" t="str">
        <f t="shared" si="152"/>
        <v/>
      </c>
      <c r="F988" s="31"/>
      <c r="G988" s="29"/>
      <c r="H988" s="78" t="str">
        <f t="shared" si="156"/>
        <v/>
      </c>
      <c r="I988" s="25"/>
      <c r="J988" s="25"/>
      <c r="K988" s="26"/>
      <c r="L988" s="26"/>
      <c r="M988" s="37"/>
      <c r="N988" s="27"/>
      <c r="O988" s="30"/>
      <c r="P988" s="39" t="str">
        <f t="shared" si="157"/>
        <v/>
      </c>
      <c r="Q988" s="40" t="str">
        <f>IF(OR(T988=0,RIGHT(T988,1)=$W$1),"",COUNTIF($T$3:T988,T988))</f>
        <v/>
      </c>
      <c r="S988" s="6">
        <f t="shared" si="158"/>
        <v>0</v>
      </c>
      <c r="T988" s="36">
        <f t="shared" si="159"/>
        <v>0</v>
      </c>
      <c r="V988" s="6">
        <f t="shared" si="160"/>
        <v>0</v>
      </c>
      <c r="Y988" s="8">
        <f t="shared" si="161"/>
        <v>46023</v>
      </c>
    </row>
    <row r="989" spans="2:25" ht="18.75" x14ac:dyDescent="0.3">
      <c r="B989" s="6">
        <f t="shared" si="153"/>
        <v>0</v>
      </c>
      <c r="C989" s="6">
        <f t="shared" si="154"/>
        <v>0</v>
      </c>
      <c r="D989" s="6" t="str">
        <f t="shared" si="155"/>
        <v/>
      </c>
      <c r="E989" s="35" t="str">
        <f t="shared" si="152"/>
        <v/>
      </c>
      <c r="F989" s="31"/>
      <c r="G989" s="29"/>
      <c r="H989" s="78" t="str">
        <f t="shared" si="156"/>
        <v/>
      </c>
      <c r="I989" s="25"/>
      <c r="J989" s="25"/>
      <c r="K989" s="26"/>
      <c r="L989" s="26"/>
      <c r="M989" s="37"/>
      <c r="N989" s="27"/>
      <c r="O989" s="30"/>
      <c r="P989" s="39" t="str">
        <f t="shared" si="157"/>
        <v/>
      </c>
      <c r="Q989" s="40" t="str">
        <f>IF(OR(T989=0,RIGHT(T989,1)=$W$1),"",COUNTIF($T$3:T989,T989))</f>
        <v/>
      </c>
      <c r="S989" s="6">
        <f t="shared" si="158"/>
        <v>0</v>
      </c>
      <c r="T989" s="36">
        <f t="shared" si="159"/>
        <v>0</v>
      </c>
      <c r="V989" s="6">
        <f t="shared" si="160"/>
        <v>0</v>
      </c>
      <c r="Y989" s="8">
        <f t="shared" si="161"/>
        <v>46023</v>
      </c>
    </row>
    <row r="990" spans="2:25" ht="18.75" x14ac:dyDescent="0.3">
      <c r="B990" s="6">
        <f t="shared" si="153"/>
        <v>0</v>
      </c>
      <c r="C990" s="6">
        <f t="shared" si="154"/>
        <v>0</v>
      </c>
      <c r="D990" s="6" t="str">
        <f t="shared" si="155"/>
        <v/>
      </c>
      <c r="E990" s="35" t="str">
        <f t="shared" si="152"/>
        <v/>
      </c>
      <c r="F990" s="31"/>
      <c r="G990" s="29"/>
      <c r="H990" s="78" t="str">
        <f t="shared" si="156"/>
        <v/>
      </c>
      <c r="I990" s="25"/>
      <c r="J990" s="25"/>
      <c r="K990" s="26"/>
      <c r="L990" s="26"/>
      <c r="M990" s="37"/>
      <c r="N990" s="27"/>
      <c r="O990" s="30"/>
      <c r="P990" s="39" t="str">
        <f t="shared" si="157"/>
        <v/>
      </c>
      <c r="Q990" s="40" t="str">
        <f>IF(OR(T990=0,RIGHT(T990,1)=$W$1),"",COUNTIF($T$3:T990,T990))</f>
        <v/>
      </c>
      <c r="S990" s="6">
        <f t="shared" si="158"/>
        <v>0</v>
      </c>
      <c r="T990" s="36">
        <f t="shared" si="159"/>
        <v>0</v>
      </c>
      <c r="V990" s="6">
        <f t="shared" si="160"/>
        <v>0</v>
      </c>
      <c r="Y990" s="8">
        <f t="shared" si="161"/>
        <v>46023</v>
      </c>
    </row>
    <row r="991" spans="2:25" ht="18.75" x14ac:dyDescent="0.3">
      <c r="B991" s="6">
        <f t="shared" si="153"/>
        <v>0</v>
      </c>
      <c r="C991" s="6">
        <f t="shared" si="154"/>
        <v>0</v>
      </c>
      <c r="D991" s="6" t="str">
        <f t="shared" si="155"/>
        <v/>
      </c>
      <c r="E991" s="35" t="str">
        <f t="shared" si="152"/>
        <v/>
      </c>
      <c r="F991" s="31"/>
      <c r="G991" s="29"/>
      <c r="H991" s="78" t="str">
        <f t="shared" si="156"/>
        <v/>
      </c>
      <c r="I991" s="25"/>
      <c r="J991" s="25"/>
      <c r="K991" s="26"/>
      <c r="L991" s="26"/>
      <c r="M991" s="37"/>
      <c r="N991" s="27"/>
      <c r="O991" s="30"/>
      <c r="P991" s="39" t="str">
        <f t="shared" si="157"/>
        <v/>
      </c>
      <c r="Q991" s="40" t="str">
        <f>IF(OR(T991=0,RIGHT(T991,1)=$W$1),"",COUNTIF($T$3:T991,T991))</f>
        <v/>
      </c>
      <c r="S991" s="6">
        <f t="shared" si="158"/>
        <v>0</v>
      </c>
      <c r="T991" s="36">
        <f t="shared" si="159"/>
        <v>0</v>
      </c>
      <c r="V991" s="6">
        <f t="shared" si="160"/>
        <v>0</v>
      </c>
      <c r="Y991" s="8">
        <f t="shared" si="161"/>
        <v>46023</v>
      </c>
    </row>
    <row r="992" spans="2:25" ht="18.75" x14ac:dyDescent="0.3">
      <c r="B992" s="6">
        <f t="shared" si="153"/>
        <v>0</v>
      </c>
      <c r="C992" s="6">
        <f t="shared" si="154"/>
        <v>0</v>
      </c>
      <c r="D992" s="6" t="str">
        <f t="shared" si="155"/>
        <v/>
      </c>
      <c r="E992" s="35" t="str">
        <f t="shared" si="152"/>
        <v/>
      </c>
      <c r="F992" s="31"/>
      <c r="G992" s="29"/>
      <c r="H992" s="78" t="str">
        <f t="shared" si="156"/>
        <v/>
      </c>
      <c r="I992" s="25"/>
      <c r="J992" s="25"/>
      <c r="K992" s="26"/>
      <c r="L992" s="26"/>
      <c r="M992" s="37"/>
      <c r="N992" s="27"/>
      <c r="O992" s="30"/>
      <c r="P992" s="39" t="str">
        <f t="shared" si="157"/>
        <v/>
      </c>
      <c r="Q992" s="40" t="str">
        <f>IF(OR(T992=0,RIGHT(T992,1)=$W$1),"",COUNTIF($T$3:T992,T992))</f>
        <v/>
      </c>
      <c r="S992" s="6">
        <f t="shared" si="158"/>
        <v>0</v>
      </c>
      <c r="T992" s="36">
        <f t="shared" si="159"/>
        <v>0</v>
      </c>
      <c r="V992" s="6">
        <f t="shared" si="160"/>
        <v>0</v>
      </c>
      <c r="Y992" s="8">
        <f t="shared" si="161"/>
        <v>46023</v>
      </c>
    </row>
    <row r="993" spans="2:25" ht="18.75" x14ac:dyDescent="0.3">
      <c r="B993" s="6">
        <f t="shared" si="153"/>
        <v>0</v>
      </c>
      <c r="C993" s="6">
        <f t="shared" si="154"/>
        <v>0</v>
      </c>
      <c r="D993" s="6" t="str">
        <f t="shared" si="155"/>
        <v/>
      </c>
      <c r="E993" s="35" t="str">
        <f t="shared" si="152"/>
        <v/>
      </c>
      <c r="F993" s="31"/>
      <c r="G993" s="29"/>
      <c r="H993" s="78" t="str">
        <f t="shared" si="156"/>
        <v/>
      </c>
      <c r="I993" s="25"/>
      <c r="J993" s="25"/>
      <c r="K993" s="26"/>
      <c r="L993" s="26"/>
      <c r="M993" s="37"/>
      <c r="N993" s="27"/>
      <c r="O993" s="30"/>
      <c r="P993" s="39" t="str">
        <f t="shared" si="157"/>
        <v/>
      </c>
      <c r="Q993" s="40" t="str">
        <f>IF(OR(T993=0,RIGHT(T993,1)=$W$1),"",COUNTIF($T$3:T993,T993))</f>
        <v/>
      </c>
      <c r="S993" s="6">
        <f t="shared" si="158"/>
        <v>0</v>
      </c>
      <c r="T993" s="36">
        <f t="shared" si="159"/>
        <v>0</v>
      </c>
      <c r="V993" s="6">
        <f t="shared" si="160"/>
        <v>0</v>
      </c>
      <c r="Y993" s="8">
        <f t="shared" si="161"/>
        <v>46023</v>
      </c>
    </row>
    <row r="994" spans="2:25" ht="18.75" x14ac:dyDescent="0.3">
      <c r="B994" s="6">
        <f t="shared" si="153"/>
        <v>0</v>
      </c>
      <c r="C994" s="6">
        <f t="shared" si="154"/>
        <v>0</v>
      </c>
      <c r="D994" s="6" t="str">
        <f t="shared" si="155"/>
        <v/>
      </c>
      <c r="E994" s="35" t="str">
        <f t="shared" si="152"/>
        <v/>
      </c>
      <c r="F994" s="31"/>
      <c r="G994" s="29"/>
      <c r="H994" s="78" t="str">
        <f t="shared" si="156"/>
        <v/>
      </c>
      <c r="I994" s="25"/>
      <c r="J994" s="25"/>
      <c r="K994" s="26"/>
      <c r="L994" s="26"/>
      <c r="M994" s="37"/>
      <c r="N994" s="27"/>
      <c r="O994" s="30"/>
      <c r="P994" s="39" t="str">
        <f t="shared" si="157"/>
        <v/>
      </c>
      <c r="Q994" s="40" t="str">
        <f>IF(OR(T994=0,RIGHT(T994,1)=$W$1),"",COUNTIF($T$3:T994,T994))</f>
        <v/>
      </c>
      <c r="S994" s="6">
        <f t="shared" si="158"/>
        <v>0</v>
      </c>
      <c r="T994" s="36">
        <f t="shared" si="159"/>
        <v>0</v>
      </c>
      <c r="V994" s="6">
        <f t="shared" si="160"/>
        <v>0</v>
      </c>
      <c r="Y994" s="8">
        <f t="shared" si="161"/>
        <v>46023</v>
      </c>
    </row>
    <row r="995" spans="2:25" ht="18.75" x14ac:dyDescent="0.3">
      <c r="B995" s="6">
        <f t="shared" si="153"/>
        <v>0</v>
      </c>
      <c r="C995" s="6">
        <f t="shared" si="154"/>
        <v>0</v>
      </c>
      <c r="D995" s="6" t="str">
        <f t="shared" si="155"/>
        <v/>
      </c>
      <c r="E995" s="35" t="str">
        <f t="shared" si="152"/>
        <v/>
      </c>
      <c r="F995" s="31"/>
      <c r="G995" s="29"/>
      <c r="H995" s="78" t="str">
        <f t="shared" si="156"/>
        <v/>
      </c>
      <c r="I995" s="25"/>
      <c r="J995" s="25"/>
      <c r="K995" s="26"/>
      <c r="L995" s="26"/>
      <c r="M995" s="37"/>
      <c r="N995" s="27"/>
      <c r="O995" s="30"/>
      <c r="P995" s="39" t="str">
        <f t="shared" si="157"/>
        <v/>
      </c>
      <c r="Q995" s="40" t="str">
        <f>IF(OR(T995=0,RIGHT(T995,1)=$W$1),"",COUNTIF($T$3:T995,T995))</f>
        <v/>
      </c>
      <c r="S995" s="6">
        <f t="shared" si="158"/>
        <v>0</v>
      </c>
      <c r="T995" s="36">
        <f t="shared" si="159"/>
        <v>0</v>
      </c>
      <c r="V995" s="6">
        <f t="shared" si="160"/>
        <v>0</v>
      </c>
      <c r="Y995" s="8">
        <f t="shared" si="161"/>
        <v>46023</v>
      </c>
    </row>
    <row r="996" spans="2:25" ht="18.75" x14ac:dyDescent="0.3">
      <c r="B996" s="6">
        <f t="shared" si="153"/>
        <v>0</v>
      </c>
      <c r="C996" s="6">
        <f t="shared" si="154"/>
        <v>0</v>
      </c>
      <c r="D996" s="6" t="str">
        <f t="shared" si="155"/>
        <v/>
      </c>
      <c r="E996" s="35" t="str">
        <f t="shared" si="152"/>
        <v/>
      </c>
      <c r="F996" s="31"/>
      <c r="G996" s="29"/>
      <c r="H996" s="78" t="str">
        <f t="shared" si="156"/>
        <v/>
      </c>
      <c r="I996" s="25"/>
      <c r="J996" s="25"/>
      <c r="K996" s="26"/>
      <c r="L996" s="26"/>
      <c r="M996" s="37"/>
      <c r="N996" s="27"/>
      <c r="O996" s="30"/>
      <c r="P996" s="39" t="str">
        <f t="shared" si="157"/>
        <v/>
      </c>
      <c r="Q996" s="40" t="str">
        <f>IF(OR(T996=0,RIGHT(T996,1)=$W$1),"",COUNTIF($T$3:T996,T996))</f>
        <v/>
      </c>
      <c r="S996" s="6">
        <f t="shared" si="158"/>
        <v>0</v>
      </c>
      <c r="T996" s="36">
        <f t="shared" si="159"/>
        <v>0</v>
      </c>
      <c r="V996" s="6">
        <f t="shared" si="160"/>
        <v>0</v>
      </c>
      <c r="Y996" s="8">
        <f t="shared" si="161"/>
        <v>46023</v>
      </c>
    </row>
    <row r="997" spans="2:25" ht="18.75" x14ac:dyDescent="0.3">
      <c r="B997" s="6">
        <f t="shared" si="153"/>
        <v>0</v>
      </c>
      <c r="C997" s="6">
        <f t="shared" si="154"/>
        <v>0</v>
      </c>
      <c r="D997" s="6" t="str">
        <f t="shared" si="155"/>
        <v/>
      </c>
      <c r="E997" s="35" t="str">
        <f t="shared" si="152"/>
        <v/>
      </c>
      <c r="F997" s="31"/>
      <c r="G997" s="29"/>
      <c r="H997" s="78" t="str">
        <f t="shared" si="156"/>
        <v/>
      </c>
      <c r="I997" s="25"/>
      <c r="J997" s="25"/>
      <c r="K997" s="26"/>
      <c r="L997" s="26"/>
      <c r="M997" s="37"/>
      <c r="N997" s="27"/>
      <c r="O997" s="30"/>
      <c r="P997" s="39" t="str">
        <f t="shared" si="157"/>
        <v/>
      </c>
      <c r="Q997" s="40" t="str">
        <f>IF(OR(T997=0,RIGHT(T997,1)=$W$1),"",COUNTIF($T$3:T997,T997))</f>
        <v/>
      </c>
      <c r="S997" s="6">
        <f t="shared" si="158"/>
        <v>0</v>
      </c>
      <c r="T997" s="36">
        <f t="shared" si="159"/>
        <v>0</v>
      </c>
      <c r="V997" s="6">
        <f t="shared" si="160"/>
        <v>0</v>
      </c>
      <c r="Y997" s="8">
        <f t="shared" si="161"/>
        <v>46023</v>
      </c>
    </row>
    <row r="998" spans="2:25" ht="18.75" x14ac:dyDescent="0.3">
      <c r="B998" s="6">
        <f t="shared" si="153"/>
        <v>0</v>
      </c>
      <c r="C998" s="6">
        <f t="shared" si="154"/>
        <v>0</v>
      </c>
      <c r="D998" s="6" t="str">
        <f t="shared" si="155"/>
        <v/>
      </c>
      <c r="E998" s="35" t="str">
        <f t="shared" si="152"/>
        <v/>
      </c>
      <c r="F998" s="31"/>
      <c r="G998" s="29"/>
      <c r="H998" s="78" t="str">
        <f t="shared" si="156"/>
        <v/>
      </c>
      <c r="I998" s="25"/>
      <c r="J998" s="25"/>
      <c r="K998" s="26"/>
      <c r="L998" s="26"/>
      <c r="M998" s="37"/>
      <c r="N998" s="27"/>
      <c r="O998" s="30"/>
      <c r="P998" s="39" t="str">
        <f t="shared" si="157"/>
        <v/>
      </c>
      <c r="Q998" s="40" t="str">
        <f>IF(OR(T998=0,RIGHT(T998,1)=$W$1),"",COUNTIF($T$3:T998,T998))</f>
        <v/>
      </c>
      <c r="S998" s="6">
        <f t="shared" si="158"/>
        <v>0</v>
      </c>
      <c r="T998" s="36">
        <f t="shared" si="159"/>
        <v>0</v>
      </c>
      <c r="V998" s="6">
        <f t="shared" si="160"/>
        <v>0</v>
      </c>
      <c r="Y998" s="8">
        <f t="shared" si="161"/>
        <v>46023</v>
      </c>
    </row>
    <row r="999" spans="2:25" ht="18.75" x14ac:dyDescent="0.3">
      <c r="B999" s="6">
        <f t="shared" si="153"/>
        <v>0</v>
      </c>
      <c r="C999" s="6">
        <f t="shared" si="154"/>
        <v>0</v>
      </c>
      <c r="D999" s="6" t="str">
        <f t="shared" si="155"/>
        <v/>
      </c>
      <c r="E999" s="35" t="str">
        <f t="shared" si="152"/>
        <v/>
      </c>
      <c r="F999" s="31"/>
      <c r="G999" s="29"/>
      <c r="H999" s="78" t="str">
        <f t="shared" si="156"/>
        <v/>
      </c>
      <c r="I999" s="25"/>
      <c r="J999" s="25"/>
      <c r="K999" s="26"/>
      <c r="L999" s="26"/>
      <c r="M999" s="37"/>
      <c r="N999" s="27"/>
      <c r="O999" s="30"/>
      <c r="P999" s="39" t="str">
        <f t="shared" si="157"/>
        <v/>
      </c>
      <c r="Q999" s="40" t="str">
        <f>IF(OR(T999=0,RIGHT(T999,1)=$W$1),"",COUNTIF($T$3:T999,T999))</f>
        <v/>
      </c>
      <c r="S999" s="6">
        <f t="shared" si="158"/>
        <v>0</v>
      </c>
      <c r="T999" s="36">
        <f t="shared" si="159"/>
        <v>0</v>
      </c>
      <c r="V999" s="6">
        <f t="shared" si="160"/>
        <v>0</v>
      </c>
      <c r="Y999" s="8">
        <f t="shared" si="161"/>
        <v>46023</v>
      </c>
    </row>
    <row r="1000" spans="2:25" ht="18.75" x14ac:dyDescent="0.3">
      <c r="B1000" s="6">
        <f t="shared" si="153"/>
        <v>0</v>
      </c>
      <c r="C1000" s="6">
        <f t="shared" si="154"/>
        <v>0</v>
      </c>
      <c r="D1000" s="6" t="str">
        <f t="shared" si="155"/>
        <v/>
      </c>
      <c r="E1000" s="35" t="str">
        <f t="shared" si="152"/>
        <v/>
      </c>
      <c r="F1000" s="31"/>
      <c r="G1000" s="29"/>
      <c r="H1000" s="78" t="str">
        <f t="shared" si="156"/>
        <v/>
      </c>
      <c r="I1000" s="25"/>
      <c r="J1000" s="25"/>
      <c r="K1000" s="26"/>
      <c r="L1000" s="26"/>
      <c r="M1000" s="37"/>
      <c r="N1000" s="27"/>
      <c r="O1000" s="30"/>
      <c r="P1000" s="39" t="str">
        <f t="shared" si="157"/>
        <v/>
      </c>
      <c r="Q1000" s="40" t="str">
        <f>IF(OR(T1000=0,RIGHT(T1000,1)=$W$1),"",COUNTIF($T$3:T1000,T1000))</f>
        <v/>
      </c>
      <c r="S1000" s="6">
        <f t="shared" si="158"/>
        <v>0</v>
      </c>
      <c r="T1000" s="36">
        <f t="shared" si="159"/>
        <v>0</v>
      </c>
      <c r="V1000" s="6">
        <f t="shared" si="160"/>
        <v>0</v>
      </c>
      <c r="Y1000" s="8">
        <f t="shared" si="161"/>
        <v>46023</v>
      </c>
    </row>
    <row r="1001" spans="2:25" ht="18.75" x14ac:dyDescent="0.3">
      <c r="B1001" s="6">
        <f t="shared" si="153"/>
        <v>0</v>
      </c>
      <c r="C1001" s="6">
        <f t="shared" si="154"/>
        <v>0</v>
      </c>
      <c r="D1001" s="6" t="str">
        <f t="shared" si="155"/>
        <v/>
      </c>
      <c r="E1001" s="35" t="str">
        <f t="shared" si="152"/>
        <v/>
      </c>
      <c r="F1001" s="31"/>
      <c r="G1001" s="29"/>
      <c r="H1001" s="78" t="str">
        <f t="shared" si="156"/>
        <v/>
      </c>
      <c r="I1001" s="25"/>
      <c r="J1001" s="25"/>
      <c r="K1001" s="26"/>
      <c r="L1001" s="26"/>
      <c r="M1001" s="37"/>
      <c r="N1001" s="27"/>
      <c r="O1001" s="30"/>
      <c r="P1001" s="39" t="str">
        <f t="shared" si="157"/>
        <v/>
      </c>
      <c r="Q1001" s="40" t="str">
        <f>IF(OR(T1001=0,RIGHT(T1001,1)=$W$1),"",COUNTIF($T$3:T1001,T1001))</f>
        <v/>
      </c>
      <c r="S1001" s="6">
        <f t="shared" si="158"/>
        <v>0</v>
      </c>
      <c r="T1001" s="36">
        <f t="shared" si="159"/>
        <v>0</v>
      </c>
      <c r="V1001" s="6">
        <f t="shared" si="160"/>
        <v>0</v>
      </c>
      <c r="Y1001" s="8">
        <f t="shared" si="161"/>
        <v>46023</v>
      </c>
    </row>
    <row r="1002" spans="2:25" ht="18.75" x14ac:dyDescent="0.3">
      <c r="B1002" s="6">
        <f t="shared" si="153"/>
        <v>0</v>
      </c>
      <c r="C1002" s="6">
        <f t="shared" si="154"/>
        <v>0</v>
      </c>
      <c r="D1002" s="6" t="str">
        <f t="shared" si="155"/>
        <v/>
      </c>
      <c r="E1002" s="35" t="str">
        <f t="shared" si="152"/>
        <v/>
      </c>
      <c r="F1002" s="31"/>
      <c r="G1002" s="29"/>
      <c r="H1002" s="78" t="str">
        <f t="shared" si="156"/>
        <v/>
      </c>
      <c r="I1002" s="25"/>
      <c r="J1002" s="25"/>
      <c r="K1002" s="26"/>
      <c r="L1002" s="26"/>
      <c r="M1002" s="37"/>
      <c r="N1002" s="27"/>
      <c r="O1002" s="30"/>
      <c r="P1002" s="39" t="str">
        <f t="shared" si="157"/>
        <v/>
      </c>
      <c r="Q1002" s="40" t="str">
        <f>IF(OR(T1002=0,RIGHT(T1002,1)=$W$1),"",COUNTIF($T$3:T1002,T1002))</f>
        <v/>
      </c>
      <c r="S1002" s="6">
        <f t="shared" si="158"/>
        <v>0</v>
      </c>
      <c r="T1002" s="36">
        <f t="shared" si="159"/>
        <v>0</v>
      </c>
      <c r="V1002" s="6">
        <f t="shared" si="160"/>
        <v>0</v>
      </c>
      <c r="Y1002" s="8">
        <f t="shared" si="161"/>
        <v>46023</v>
      </c>
    </row>
    <row r="1003" spans="2:25" ht="18.75" x14ac:dyDescent="0.3">
      <c r="B1003" s="6">
        <f t="shared" si="153"/>
        <v>0</v>
      </c>
      <c r="C1003" s="6">
        <f t="shared" si="154"/>
        <v>0</v>
      </c>
      <c r="D1003" s="6" t="str">
        <f t="shared" si="155"/>
        <v/>
      </c>
      <c r="E1003" s="35" t="str">
        <f t="shared" si="152"/>
        <v/>
      </c>
      <c r="F1003" s="31"/>
      <c r="G1003" s="29"/>
      <c r="H1003" s="78" t="str">
        <f t="shared" si="156"/>
        <v/>
      </c>
      <c r="I1003" s="25"/>
      <c r="J1003" s="25"/>
      <c r="K1003" s="26"/>
      <c r="L1003" s="26"/>
      <c r="M1003" s="37"/>
      <c r="N1003" s="27"/>
      <c r="O1003" s="30"/>
      <c r="P1003" s="39" t="str">
        <f t="shared" si="157"/>
        <v/>
      </c>
      <c r="Q1003" s="40" t="str">
        <f>IF(OR(T1003=0,RIGHT(T1003,1)=$W$1),"",COUNTIF($T$3:T1003,T1003))</f>
        <v/>
      </c>
      <c r="S1003" s="6">
        <f t="shared" si="158"/>
        <v>0</v>
      </c>
      <c r="T1003" s="36">
        <f t="shared" si="159"/>
        <v>0</v>
      </c>
      <c r="V1003" s="6">
        <f t="shared" si="160"/>
        <v>0</v>
      </c>
      <c r="Y1003" s="8">
        <f t="shared" si="161"/>
        <v>46023</v>
      </c>
    </row>
    <row r="1004" spans="2:25" ht="18.75" x14ac:dyDescent="0.3">
      <c r="B1004" s="6">
        <f t="shared" si="153"/>
        <v>0</v>
      </c>
      <c r="C1004" s="6">
        <f t="shared" si="154"/>
        <v>0</v>
      </c>
      <c r="D1004" s="6" t="str">
        <f t="shared" si="155"/>
        <v/>
      </c>
      <c r="E1004" s="35" t="str">
        <f t="shared" si="152"/>
        <v/>
      </c>
      <c r="F1004" s="31"/>
      <c r="G1004" s="29"/>
      <c r="H1004" s="78" t="str">
        <f t="shared" si="156"/>
        <v/>
      </c>
      <c r="I1004" s="25"/>
      <c r="J1004" s="25"/>
      <c r="K1004" s="26"/>
      <c r="L1004" s="26"/>
      <c r="M1004" s="37"/>
      <c r="N1004" s="27"/>
      <c r="O1004" s="30"/>
      <c r="P1004" s="39" t="str">
        <f t="shared" si="157"/>
        <v/>
      </c>
      <c r="Q1004" s="40" t="str">
        <f>IF(OR(T1004=0,RIGHT(T1004,1)=$W$1),"",COUNTIF($T$3:T1004,T1004))</f>
        <v/>
      </c>
      <c r="S1004" s="6">
        <f t="shared" si="158"/>
        <v>0</v>
      </c>
      <c r="T1004" s="36">
        <f t="shared" si="159"/>
        <v>0</v>
      </c>
      <c r="V1004" s="6">
        <f t="shared" si="160"/>
        <v>0</v>
      </c>
      <c r="Y1004" s="8">
        <f t="shared" si="161"/>
        <v>46023</v>
      </c>
    </row>
    <row r="1005" spans="2:25" ht="18.75" x14ac:dyDescent="0.3">
      <c r="B1005" s="6">
        <f t="shared" si="153"/>
        <v>0</v>
      </c>
      <c r="C1005" s="6">
        <f t="shared" si="154"/>
        <v>0</v>
      </c>
      <c r="D1005" s="6" t="str">
        <f t="shared" si="155"/>
        <v/>
      </c>
      <c r="E1005" s="35" t="str">
        <f t="shared" si="152"/>
        <v/>
      </c>
      <c r="F1005" s="31"/>
      <c r="G1005" s="29"/>
      <c r="H1005" s="78" t="str">
        <f t="shared" si="156"/>
        <v/>
      </c>
      <c r="I1005" s="25"/>
      <c r="J1005" s="25"/>
      <c r="K1005" s="26"/>
      <c r="L1005" s="26"/>
      <c r="M1005" s="37"/>
      <c r="N1005" s="27"/>
      <c r="O1005" s="30"/>
      <c r="P1005" s="39" t="str">
        <f t="shared" si="157"/>
        <v/>
      </c>
      <c r="Q1005" s="40" t="str">
        <f>IF(OR(T1005=0,RIGHT(T1005,1)=$W$1),"",COUNTIF($T$3:T1005,T1005))</f>
        <v/>
      </c>
      <c r="S1005" s="6">
        <f t="shared" si="158"/>
        <v>0</v>
      </c>
      <c r="T1005" s="36">
        <f t="shared" si="159"/>
        <v>0</v>
      </c>
      <c r="V1005" s="6">
        <f t="shared" si="160"/>
        <v>0</v>
      </c>
      <c r="Y1005" s="8">
        <f t="shared" si="161"/>
        <v>46023</v>
      </c>
    </row>
    <row r="1006" spans="2:25" ht="18.75" x14ac:dyDescent="0.3">
      <c r="B1006" s="6">
        <f t="shared" si="153"/>
        <v>0</v>
      </c>
      <c r="C1006" s="6">
        <f t="shared" si="154"/>
        <v>0</v>
      </c>
      <c r="D1006" s="6" t="str">
        <f t="shared" si="155"/>
        <v/>
      </c>
      <c r="E1006" s="35" t="str">
        <f t="shared" si="152"/>
        <v/>
      </c>
      <c r="F1006" s="31"/>
      <c r="G1006" s="29"/>
      <c r="H1006" s="78" t="str">
        <f t="shared" si="156"/>
        <v/>
      </c>
      <c r="I1006" s="25"/>
      <c r="J1006" s="25"/>
      <c r="K1006" s="26"/>
      <c r="L1006" s="26"/>
      <c r="M1006" s="37"/>
      <c r="N1006" s="27"/>
      <c r="O1006" s="30"/>
      <c r="P1006" s="39" t="str">
        <f t="shared" si="157"/>
        <v/>
      </c>
      <c r="Q1006" s="40" t="str">
        <f>IF(OR(T1006=0,RIGHT(T1006,1)=$W$1),"",COUNTIF($T$3:T1006,T1006))</f>
        <v/>
      </c>
      <c r="S1006" s="6">
        <f t="shared" si="158"/>
        <v>0</v>
      </c>
      <c r="T1006" s="36">
        <f t="shared" si="159"/>
        <v>0</v>
      </c>
      <c r="V1006" s="6">
        <f t="shared" si="160"/>
        <v>0</v>
      </c>
      <c r="Y1006" s="8">
        <f t="shared" si="161"/>
        <v>46023</v>
      </c>
    </row>
    <row r="1007" spans="2:25" ht="18.75" x14ac:dyDescent="0.3">
      <c r="B1007" s="6">
        <f t="shared" si="153"/>
        <v>0</v>
      </c>
      <c r="C1007" s="6">
        <f t="shared" si="154"/>
        <v>0</v>
      </c>
      <c r="D1007" s="6" t="str">
        <f t="shared" si="155"/>
        <v/>
      </c>
      <c r="E1007" s="35" t="str">
        <f t="shared" si="152"/>
        <v/>
      </c>
      <c r="F1007" s="31"/>
      <c r="G1007" s="29"/>
      <c r="H1007" s="78" t="str">
        <f t="shared" si="156"/>
        <v/>
      </c>
      <c r="I1007" s="25"/>
      <c r="J1007" s="25"/>
      <c r="K1007" s="26"/>
      <c r="L1007" s="26"/>
      <c r="M1007" s="37"/>
      <c r="N1007" s="27"/>
      <c r="O1007" s="30"/>
      <c r="P1007" s="39" t="str">
        <f t="shared" si="157"/>
        <v/>
      </c>
      <c r="Q1007" s="40" t="str">
        <f>IF(OR(T1007=0,RIGHT(T1007,1)=$W$1),"",COUNTIF($T$3:T1007,T1007))</f>
        <v/>
      </c>
      <c r="S1007" s="6">
        <f t="shared" si="158"/>
        <v>0</v>
      </c>
      <c r="T1007" s="36">
        <f t="shared" si="159"/>
        <v>0</v>
      </c>
      <c r="V1007" s="6">
        <f t="shared" si="160"/>
        <v>0</v>
      </c>
      <c r="Y1007" s="8">
        <f t="shared" si="161"/>
        <v>46023</v>
      </c>
    </row>
    <row r="1008" spans="2:25" ht="18.75" x14ac:dyDescent="0.3">
      <c r="B1008" s="6">
        <f t="shared" si="153"/>
        <v>0</v>
      </c>
      <c r="C1008" s="6">
        <f t="shared" si="154"/>
        <v>0</v>
      </c>
      <c r="D1008" s="6" t="str">
        <f t="shared" si="155"/>
        <v/>
      </c>
      <c r="E1008" s="35" t="str">
        <f t="shared" si="152"/>
        <v/>
      </c>
      <c r="F1008" s="31"/>
      <c r="G1008" s="29"/>
      <c r="H1008" s="78" t="str">
        <f t="shared" si="156"/>
        <v/>
      </c>
      <c r="I1008" s="25"/>
      <c r="J1008" s="25"/>
      <c r="K1008" s="26"/>
      <c r="L1008" s="26"/>
      <c r="M1008" s="37"/>
      <c r="N1008" s="27"/>
      <c r="O1008" s="30"/>
      <c r="P1008" s="39" t="str">
        <f t="shared" si="157"/>
        <v/>
      </c>
      <c r="Q1008" s="40" t="str">
        <f>IF(OR(T1008=0,RIGHT(T1008,1)=$W$1),"",COUNTIF($T$3:T1008,T1008))</f>
        <v/>
      </c>
      <c r="S1008" s="6">
        <f t="shared" si="158"/>
        <v>0</v>
      </c>
      <c r="T1008" s="36">
        <f t="shared" si="159"/>
        <v>0</v>
      </c>
      <c r="V1008" s="6">
        <f t="shared" si="160"/>
        <v>0</v>
      </c>
      <c r="Y1008" s="8">
        <f t="shared" si="161"/>
        <v>46023</v>
      </c>
    </row>
    <row r="1009" spans="2:25" ht="18.75" x14ac:dyDescent="0.3">
      <c r="B1009" s="6">
        <f t="shared" si="153"/>
        <v>0</v>
      </c>
      <c r="C1009" s="6">
        <f t="shared" si="154"/>
        <v>0</v>
      </c>
      <c r="D1009" s="6" t="str">
        <f t="shared" si="155"/>
        <v/>
      </c>
      <c r="E1009" s="35" t="str">
        <f t="shared" si="152"/>
        <v/>
      </c>
      <c r="F1009" s="31"/>
      <c r="G1009" s="29"/>
      <c r="H1009" s="78" t="str">
        <f t="shared" si="156"/>
        <v/>
      </c>
      <c r="I1009" s="25"/>
      <c r="J1009" s="25"/>
      <c r="K1009" s="26"/>
      <c r="L1009" s="26"/>
      <c r="M1009" s="37"/>
      <c r="N1009" s="27"/>
      <c r="O1009" s="30"/>
      <c r="P1009" s="39" t="str">
        <f t="shared" si="157"/>
        <v/>
      </c>
      <c r="Q1009" s="40" t="str">
        <f>IF(OR(T1009=0,RIGHT(T1009,1)=$W$1),"",COUNTIF($T$3:T1009,T1009))</f>
        <v/>
      </c>
      <c r="S1009" s="6">
        <f t="shared" si="158"/>
        <v>0</v>
      </c>
      <c r="T1009" s="36">
        <f t="shared" si="159"/>
        <v>0</v>
      </c>
      <c r="V1009" s="6">
        <f t="shared" si="160"/>
        <v>0</v>
      </c>
      <c r="Y1009" s="8">
        <f t="shared" si="161"/>
        <v>46023</v>
      </c>
    </row>
    <row r="1010" spans="2:25" ht="18.75" x14ac:dyDescent="0.3">
      <c r="B1010" s="6">
        <f t="shared" si="153"/>
        <v>0</v>
      </c>
      <c r="C1010" s="6">
        <f t="shared" si="154"/>
        <v>0</v>
      </c>
      <c r="D1010" s="6" t="str">
        <f t="shared" si="155"/>
        <v/>
      </c>
      <c r="E1010" s="35" t="str">
        <f t="shared" si="152"/>
        <v/>
      </c>
      <c r="F1010" s="31"/>
      <c r="G1010" s="29"/>
      <c r="H1010" s="78" t="str">
        <f t="shared" si="156"/>
        <v/>
      </c>
      <c r="I1010" s="25"/>
      <c r="J1010" s="25"/>
      <c r="K1010" s="26"/>
      <c r="L1010" s="26"/>
      <c r="M1010" s="37"/>
      <c r="N1010" s="27"/>
      <c r="O1010" s="30"/>
      <c r="P1010" s="39" t="str">
        <f t="shared" si="157"/>
        <v/>
      </c>
      <c r="Q1010" s="40" t="str">
        <f>IF(OR(T1010=0,RIGHT(T1010,1)=$W$1),"",COUNTIF($T$3:T1010,T1010))</f>
        <v/>
      </c>
      <c r="S1010" s="6">
        <f t="shared" si="158"/>
        <v>0</v>
      </c>
      <c r="T1010" s="36">
        <f t="shared" si="159"/>
        <v>0</v>
      </c>
      <c r="V1010" s="6">
        <f t="shared" si="160"/>
        <v>0</v>
      </c>
      <c r="Y1010" s="8">
        <f t="shared" si="161"/>
        <v>46023</v>
      </c>
    </row>
    <row r="1011" spans="2:25" ht="18.75" x14ac:dyDescent="0.3">
      <c r="B1011" s="6">
        <f t="shared" si="153"/>
        <v>0</v>
      </c>
      <c r="C1011" s="6">
        <f t="shared" si="154"/>
        <v>0</v>
      </c>
      <c r="D1011" s="6" t="str">
        <f t="shared" si="155"/>
        <v/>
      </c>
      <c r="E1011" s="35" t="str">
        <f t="shared" si="152"/>
        <v/>
      </c>
      <c r="F1011" s="31"/>
      <c r="G1011" s="29"/>
      <c r="H1011" s="78" t="str">
        <f t="shared" si="156"/>
        <v/>
      </c>
      <c r="I1011" s="25"/>
      <c r="J1011" s="25"/>
      <c r="K1011" s="26"/>
      <c r="L1011" s="26"/>
      <c r="M1011" s="37"/>
      <c r="N1011" s="27"/>
      <c r="O1011" s="30"/>
      <c r="P1011" s="39" t="str">
        <f t="shared" si="157"/>
        <v/>
      </c>
      <c r="Q1011" s="40" t="str">
        <f>IF(OR(T1011=0,RIGHT(T1011,1)=$W$1),"",COUNTIF($T$3:T1011,T1011))</f>
        <v/>
      </c>
      <c r="S1011" s="6">
        <f t="shared" si="158"/>
        <v>0</v>
      </c>
      <c r="T1011" s="36">
        <f t="shared" si="159"/>
        <v>0</v>
      </c>
      <c r="V1011" s="6">
        <f t="shared" si="160"/>
        <v>0</v>
      </c>
      <c r="Y1011" s="8">
        <f t="shared" si="161"/>
        <v>46023</v>
      </c>
    </row>
    <row r="1012" spans="2:25" ht="18.75" x14ac:dyDescent="0.3">
      <c r="B1012" s="6">
        <f t="shared" si="153"/>
        <v>0</v>
      </c>
      <c r="C1012" s="6">
        <f t="shared" si="154"/>
        <v>0</v>
      </c>
      <c r="D1012" s="6" t="str">
        <f t="shared" si="155"/>
        <v/>
      </c>
      <c r="E1012" s="35" t="str">
        <f t="shared" si="152"/>
        <v/>
      </c>
      <c r="F1012" s="31"/>
      <c r="G1012" s="29"/>
      <c r="H1012" s="78" t="str">
        <f t="shared" si="156"/>
        <v/>
      </c>
      <c r="I1012" s="25"/>
      <c r="J1012" s="25"/>
      <c r="K1012" s="26"/>
      <c r="L1012" s="26"/>
      <c r="M1012" s="37"/>
      <c r="N1012" s="27"/>
      <c r="O1012" s="30"/>
      <c r="P1012" s="39" t="str">
        <f t="shared" si="157"/>
        <v/>
      </c>
      <c r="Q1012" s="40" t="str">
        <f>IF(OR(T1012=0,RIGHT(T1012,1)=$W$1),"",COUNTIF($T$3:T1012,T1012))</f>
        <v/>
      </c>
      <c r="S1012" s="6">
        <f t="shared" si="158"/>
        <v>0</v>
      </c>
      <c r="T1012" s="36">
        <f t="shared" si="159"/>
        <v>0</v>
      </c>
      <c r="V1012" s="6">
        <f t="shared" si="160"/>
        <v>0</v>
      </c>
      <c r="Y1012" s="8">
        <f t="shared" si="161"/>
        <v>46023</v>
      </c>
    </row>
    <row r="1013" spans="2:25" ht="18.75" x14ac:dyDescent="0.3">
      <c r="B1013" s="6">
        <f t="shared" si="153"/>
        <v>0</v>
      </c>
      <c r="C1013" s="6">
        <f t="shared" si="154"/>
        <v>0</v>
      </c>
      <c r="D1013" s="6" t="str">
        <f t="shared" si="155"/>
        <v/>
      </c>
      <c r="E1013" s="35" t="str">
        <f t="shared" si="152"/>
        <v/>
      </c>
      <c r="F1013" s="31"/>
      <c r="G1013" s="29"/>
      <c r="H1013" s="78" t="str">
        <f t="shared" si="156"/>
        <v/>
      </c>
      <c r="I1013" s="25"/>
      <c r="J1013" s="25"/>
      <c r="K1013" s="26"/>
      <c r="L1013" s="26"/>
      <c r="M1013" s="37"/>
      <c r="N1013" s="27"/>
      <c r="O1013" s="30"/>
      <c r="P1013" s="39" t="str">
        <f t="shared" si="157"/>
        <v/>
      </c>
      <c r="Q1013" s="40" t="str">
        <f>IF(OR(T1013=0,RIGHT(T1013,1)=$W$1),"",COUNTIF($T$3:T1013,T1013))</f>
        <v/>
      </c>
      <c r="S1013" s="6">
        <f t="shared" si="158"/>
        <v>0</v>
      </c>
      <c r="T1013" s="36">
        <f t="shared" si="159"/>
        <v>0</v>
      </c>
      <c r="V1013" s="6">
        <f t="shared" si="160"/>
        <v>0</v>
      </c>
      <c r="Y1013" s="8">
        <f t="shared" si="161"/>
        <v>46023</v>
      </c>
    </row>
    <row r="1014" spans="2:25" ht="18.75" x14ac:dyDescent="0.3">
      <c r="B1014" s="6">
        <f t="shared" si="153"/>
        <v>0</v>
      </c>
      <c r="C1014" s="6">
        <f t="shared" si="154"/>
        <v>0</v>
      </c>
      <c r="D1014" s="6" t="str">
        <f t="shared" si="155"/>
        <v/>
      </c>
      <c r="E1014" s="35" t="str">
        <f t="shared" si="152"/>
        <v/>
      </c>
      <c r="F1014" s="31"/>
      <c r="G1014" s="29"/>
      <c r="H1014" s="78" t="str">
        <f t="shared" si="156"/>
        <v/>
      </c>
      <c r="I1014" s="25"/>
      <c r="J1014" s="25"/>
      <c r="K1014" s="26"/>
      <c r="L1014" s="26"/>
      <c r="M1014" s="37"/>
      <c r="N1014" s="27"/>
      <c r="O1014" s="30"/>
      <c r="P1014" s="39" t="str">
        <f t="shared" si="157"/>
        <v/>
      </c>
      <c r="Q1014" s="40" t="str">
        <f>IF(OR(T1014=0,RIGHT(T1014,1)=$W$1),"",COUNTIF($T$3:T1014,T1014))</f>
        <v/>
      </c>
      <c r="S1014" s="6">
        <f t="shared" si="158"/>
        <v>0</v>
      </c>
      <c r="T1014" s="36">
        <f t="shared" si="159"/>
        <v>0</v>
      </c>
      <c r="V1014" s="6">
        <f t="shared" si="160"/>
        <v>0</v>
      </c>
      <c r="Y1014" s="8">
        <f t="shared" si="161"/>
        <v>46023</v>
      </c>
    </row>
    <row r="1015" spans="2:25" ht="18.75" x14ac:dyDescent="0.3">
      <c r="B1015" s="6">
        <f t="shared" si="153"/>
        <v>0</v>
      </c>
      <c r="C1015" s="6">
        <f t="shared" si="154"/>
        <v>0</v>
      </c>
      <c r="D1015" s="6" t="str">
        <f t="shared" si="155"/>
        <v/>
      </c>
      <c r="E1015" s="35" t="str">
        <f t="shared" si="152"/>
        <v/>
      </c>
      <c r="F1015" s="31"/>
      <c r="G1015" s="29"/>
      <c r="H1015" s="78" t="str">
        <f t="shared" si="156"/>
        <v/>
      </c>
      <c r="I1015" s="25"/>
      <c r="J1015" s="25"/>
      <c r="K1015" s="26"/>
      <c r="L1015" s="26"/>
      <c r="M1015" s="37"/>
      <c r="N1015" s="27"/>
      <c r="O1015" s="30"/>
      <c r="P1015" s="39" t="str">
        <f t="shared" si="157"/>
        <v/>
      </c>
      <c r="Q1015" s="40" t="str">
        <f>IF(OR(T1015=0,RIGHT(T1015,1)=$W$1),"",COUNTIF($T$3:T1015,T1015))</f>
        <v/>
      </c>
      <c r="S1015" s="6">
        <f t="shared" si="158"/>
        <v>0</v>
      </c>
      <c r="T1015" s="36">
        <f t="shared" si="159"/>
        <v>0</v>
      </c>
      <c r="V1015" s="6">
        <f t="shared" si="160"/>
        <v>0</v>
      </c>
      <c r="Y1015" s="8">
        <f t="shared" si="161"/>
        <v>46023</v>
      </c>
    </row>
    <row r="1016" spans="2:25" ht="18.75" x14ac:dyDescent="0.3">
      <c r="B1016" s="6">
        <f t="shared" si="153"/>
        <v>0</v>
      </c>
      <c r="C1016" s="6">
        <f t="shared" si="154"/>
        <v>0</v>
      </c>
      <c r="D1016" s="6" t="str">
        <f t="shared" si="155"/>
        <v/>
      </c>
      <c r="E1016" s="35" t="str">
        <f t="shared" si="152"/>
        <v/>
      </c>
      <c r="F1016" s="31"/>
      <c r="G1016" s="29"/>
      <c r="H1016" s="78" t="str">
        <f t="shared" si="156"/>
        <v/>
      </c>
      <c r="I1016" s="25"/>
      <c r="J1016" s="25"/>
      <c r="K1016" s="26"/>
      <c r="L1016" s="26"/>
      <c r="M1016" s="37"/>
      <c r="N1016" s="27"/>
      <c r="O1016" s="30"/>
      <c r="P1016" s="39" t="str">
        <f t="shared" si="157"/>
        <v/>
      </c>
      <c r="Q1016" s="40" t="str">
        <f>IF(OR(T1016=0,RIGHT(T1016,1)=$W$1),"",COUNTIF($T$3:T1016,T1016))</f>
        <v/>
      </c>
      <c r="S1016" s="6">
        <f t="shared" si="158"/>
        <v>0</v>
      </c>
      <c r="T1016" s="36">
        <f t="shared" si="159"/>
        <v>0</v>
      </c>
      <c r="V1016" s="6">
        <f t="shared" si="160"/>
        <v>0</v>
      </c>
      <c r="Y1016" s="8">
        <f t="shared" si="161"/>
        <v>46023</v>
      </c>
    </row>
    <row r="1017" spans="2:25" ht="18.75" x14ac:dyDescent="0.3">
      <c r="B1017" s="6">
        <f t="shared" si="153"/>
        <v>0</v>
      </c>
      <c r="C1017" s="6">
        <f t="shared" si="154"/>
        <v>0</v>
      </c>
      <c r="D1017" s="6" t="str">
        <f t="shared" si="155"/>
        <v/>
      </c>
      <c r="E1017" s="35" t="str">
        <f t="shared" si="152"/>
        <v/>
      </c>
      <c r="F1017" s="31"/>
      <c r="G1017" s="29"/>
      <c r="H1017" s="78" t="str">
        <f t="shared" si="156"/>
        <v/>
      </c>
      <c r="I1017" s="25"/>
      <c r="J1017" s="25"/>
      <c r="K1017" s="26"/>
      <c r="L1017" s="26"/>
      <c r="M1017" s="37"/>
      <c r="N1017" s="27"/>
      <c r="O1017" s="30"/>
      <c r="P1017" s="39" t="str">
        <f t="shared" si="157"/>
        <v/>
      </c>
      <c r="Q1017" s="40" t="str">
        <f>IF(OR(T1017=0,RIGHT(T1017,1)=$W$1),"",COUNTIF($T$3:T1017,T1017))</f>
        <v/>
      </c>
      <c r="S1017" s="6">
        <f t="shared" si="158"/>
        <v>0</v>
      </c>
      <c r="T1017" s="36">
        <f t="shared" si="159"/>
        <v>0</v>
      </c>
      <c r="V1017" s="6">
        <f t="shared" si="160"/>
        <v>0</v>
      </c>
      <c r="Y1017" s="8">
        <f t="shared" si="161"/>
        <v>46023</v>
      </c>
    </row>
    <row r="1018" spans="2:25" ht="18.75" x14ac:dyDescent="0.3">
      <c r="B1018" s="6">
        <f t="shared" si="153"/>
        <v>0</v>
      </c>
      <c r="C1018" s="6">
        <f t="shared" si="154"/>
        <v>0</v>
      </c>
      <c r="D1018" s="6" t="str">
        <f t="shared" si="155"/>
        <v/>
      </c>
      <c r="E1018" s="35" t="str">
        <f t="shared" si="152"/>
        <v/>
      </c>
      <c r="F1018" s="31"/>
      <c r="G1018" s="29"/>
      <c r="H1018" s="78" t="str">
        <f t="shared" si="156"/>
        <v/>
      </c>
      <c r="I1018" s="25"/>
      <c r="J1018" s="25"/>
      <c r="K1018" s="26"/>
      <c r="L1018" s="26"/>
      <c r="M1018" s="37"/>
      <c r="N1018" s="27"/>
      <c r="O1018" s="30"/>
      <c r="P1018" s="39" t="str">
        <f t="shared" si="157"/>
        <v/>
      </c>
      <c r="Q1018" s="40" t="str">
        <f>IF(OR(T1018=0,RIGHT(T1018,1)=$W$1),"",COUNTIF($T$3:T1018,T1018))</f>
        <v/>
      </c>
      <c r="S1018" s="6">
        <f t="shared" si="158"/>
        <v>0</v>
      </c>
      <c r="T1018" s="36">
        <f t="shared" si="159"/>
        <v>0</v>
      </c>
      <c r="V1018" s="6">
        <f t="shared" si="160"/>
        <v>0</v>
      </c>
      <c r="Y1018" s="8">
        <f t="shared" si="161"/>
        <v>46023</v>
      </c>
    </row>
    <row r="1019" spans="2:25" ht="18.75" x14ac:dyDescent="0.3">
      <c r="B1019" s="6">
        <f t="shared" si="153"/>
        <v>0</v>
      </c>
      <c r="C1019" s="6">
        <f t="shared" si="154"/>
        <v>0</v>
      </c>
      <c r="D1019" s="6" t="str">
        <f t="shared" si="155"/>
        <v/>
      </c>
      <c r="E1019" s="35" t="str">
        <f t="shared" si="152"/>
        <v/>
      </c>
      <c r="F1019" s="31"/>
      <c r="G1019" s="29"/>
      <c r="H1019" s="78" t="str">
        <f t="shared" si="156"/>
        <v/>
      </c>
      <c r="I1019" s="25"/>
      <c r="J1019" s="25"/>
      <c r="K1019" s="26"/>
      <c r="L1019" s="26"/>
      <c r="M1019" s="37"/>
      <c r="N1019" s="27"/>
      <c r="O1019" s="30"/>
      <c r="P1019" s="39" t="str">
        <f t="shared" si="157"/>
        <v/>
      </c>
      <c r="Q1019" s="40" t="str">
        <f>IF(OR(T1019=0,RIGHT(T1019,1)=$W$1),"",COUNTIF($T$3:T1019,T1019))</f>
        <v/>
      </c>
      <c r="S1019" s="6">
        <f t="shared" si="158"/>
        <v>0</v>
      </c>
      <c r="T1019" s="36">
        <f t="shared" si="159"/>
        <v>0</v>
      </c>
      <c r="V1019" s="6">
        <f t="shared" si="160"/>
        <v>0</v>
      </c>
      <c r="Y1019" s="8">
        <f t="shared" si="161"/>
        <v>46023</v>
      </c>
    </row>
    <row r="1020" spans="2:25" ht="18.75" x14ac:dyDescent="0.3">
      <c r="B1020" s="6">
        <f t="shared" si="153"/>
        <v>0</v>
      </c>
      <c r="C1020" s="6">
        <f t="shared" si="154"/>
        <v>0</v>
      </c>
      <c r="D1020" s="6" t="str">
        <f t="shared" si="155"/>
        <v/>
      </c>
      <c r="E1020" s="35" t="str">
        <f t="shared" si="152"/>
        <v/>
      </c>
      <c r="F1020" s="31"/>
      <c r="G1020" s="29"/>
      <c r="H1020" s="78" t="str">
        <f t="shared" si="156"/>
        <v/>
      </c>
      <c r="I1020" s="25"/>
      <c r="J1020" s="25"/>
      <c r="K1020" s="26"/>
      <c r="L1020" s="26"/>
      <c r="M1020" s="37"/>
      <c r="N1020" s="27"/>
      <c r="O1020" s="30"/>
      <c r="P1020" s="39" t="str">
        <f t="shared" si="157"/>
        <v/>
      </c>
      <c r="Q1020" s="40" t="str">
        <f>IF(OR(T1020=0,RIGHT(T1020,1)=$W$1),"",COUNTIF($T$3:T1020,T1020))</f>
        <v/>
      </c>
      <c r="S1020" s="6">
        <f t="shared" si="158"/>
        <v>0</v>
      </c>
      <c r="T1020" s="36">
        <f t="shared" si="159"/>
        <v>0</v>
      </c>
      <c r="V1020" s="6">
        <f t="shared" si="160"/>
        <v>0</v>
      </c>
      <c r="Y1020" s="8">
        <f t="shared" si="161"/>
        <v>46023</v>
      </c>
    </row>
    <row r="1021" spans="2:25" ht="18.75" x14ac:dyDescent="0.3">
      <c r="B1021" s="6">
        <f t="shared" si="153"/>
        <v>0</v>
      </c>
      <c r="C1021" s="6">
        <f t="shared" si="154"/>
        <v>0</v>
      </c>
      <c r="D1021" s="6" t="str">
        <f t="shared" si="155"/>
        <v/>
      </c>
      <c r="E1021" s="35" t="str">
        <f t="shared" si="152"/>
        <v/>
      </c>
      <c r="F1021" s="31"/>
      <c r="G1021" s="29"/>
      <c r="H1021" s="78" t="str">
        <f t="shared" si="156"/>
        <v/>
      </c>
      <c r="I1021" s="25"/>
      <c r="J1021" s="25"/>
      <c r="K1021" s="26"/>
      <c r="L1021" s="26"/>
      <c r="M1021" s="37"/>
      <c r="N1021" s="27"/>
      <c r="O1021" s="30"/>
      <c r="P1021" s="39" t="str">
        <f t="shared" si="157"/>
        <v/>
      </c>
      <c r="Q1021" s="40" t="str">
        <f>IF(OR(T1021=0,RIGHT(T1021,1)=$W$1),"",COUNTIF($T$3:T1021,T1021))</f>
        <v/>
      </c>
      <c r="S1021" s="6">
        <f t="shared" si="158"/>
        <v>0</v>
      </c>
      <c r="T1021" s="36">
        <f t="shared" si="159"/>
        <v>0</v>
      </c>
      <c r="V1021" s="6">
        <f t="shared" si="160"/>
        <v>0</v>
      </c>
      <c r="Y1021" s="8">
        <f t="shared" si="161"/>
        <v>46023</v>
      </c>
    </row>
    <row r="1022" spans="2:25" ht="18.75" x14ac:dyDescent="0.3">
      <c r="B1022" s="6">
        <f t="shared" si="153"/>
        <v>0</v>
      </c>
      <c r="C1022" s="6">
        <f t="shared" si="154"/>
        <v>0</v>
      </c>
      <c r="D1022" s="6" t="str">
        <f t="shared" si="155"/>
        <v/>
      </c>
      <c r="E1022" s="35" t="str">
        <f t="shared" si="152"/>
        <v/>
      </c>
      <c r="F1022" s="31"/>
      <c r="G1022" s="29"/>
      <c r="H1022" s="78" t="str">
        <f t="shared" si="156"/>
        <v/>
      </c>
      <c r="I1022" s="25"/>
      <c r="J1022" s="25"/>
      <c r="K1022" s="26"/>
      <c r="L1022" s="26"/>
      <c r="M1022" s="37"/>
      <c r="N1022" s="27"/>
      <c r="O1022" s="30"/>
      <c r="P1022" s="39" t="str">
        <f t="shared" si="157"/>
        <v/>
      </c>
      <c r="Q1022" s="40" t="str">
        <f>IF(OR(T1022=0,RIGHT(T1022,1)=$W$1),"",COUNTIF($T$3:T1022,T1022))</f>
        <v/>
      </c>
      <c r="S1022" s="6">
        <f t="shared" si="158"/>
        <v>0</v>
      </c>
      <c r="T1022" s="36">
        <f t="shared" si="159"/>
        <v>0</v>
      </c>
      <c r="V1022" s="6">
        <f t="shared" si="160"/>
        <v>0</v>
      </c>
      <c r="Y1022" s="8">
        <f t="shared" si="161"/>
        <v>46023</v>
      </c>
    </row>
    <row r="1023" spans="2:25" ht="18.75" x14ac:dyDescent="0.3">
      <c r="B1023" s="6">
        <f t="shared" si="153"/>
        <v>0</v>
      </c>
      <c r="C1023" s="6">
        <f t="shared" si="154"/>
        <v>0</v>
      </c>
      <c r="D1023" s="6" t="str">
        <f t="shared" si="155"/>
        <v/>
      </c>
      <c r="E1023" s="35" t="str">
        <f t="shared" si="152"/>
        <v/>
      </c>
      <c r="F1023" s="31"/>
      <c r="G1023" s="29"/>
      <c r="H1023" s="78" t="str">
        <f t="shared" si="156"/>
        <v/>
      </c>
      <c r="I1023" s="25"/>
      <c r="J1023" s="25"/>
      <c r="K1023" s="26"/>
      <c r="L1023" s="26"/>
      <c r="M1023" s="37"/>
      <c r="N1023" s="27"/>
      <c r="O1023" s="30"/>
      <c r="P1023" s="39" t="str">
        <f t="shared" si="157"/>
        <v/>
      </c>
      <c r="Q1023" s="40" t="str">
        <f>IF(OR(T1023=0,RIGHT(T1023,1)=$W$1),"",COUNTIF($T$3:T1023,T1023))</f>
        <v/>
      </c>
      <c r="S1023" s="6">
        <f t="shared" si="158"/>
        <v>0</v>
      </c>
      <c r="T1023" s="36">
        <f t="shared" si="159"/>
        <v>0</v>
      </c>
      <c r="V1023" s="6">
        <f t="shared" si="160"/>
        <v>0</v>
      </c>
      <c r="Y1023" s="8">
        <f t="shared" si="161"/>
        <v>46023</v>
      </c>
    </row>
    <row r="1024" spans="2:25" ht="18.75" x14ac:dyDescent="0.3">
      <c r="B1024" s="6">
        <f t="shared" si="153"/>
        <v>0</v>
      </c>
      <c r="C1024" s="6">
        <f t="shared" si="154"/>
        <v>0</v>
      </c>
      <c r="D1024" s="6" t="str">
        <f t="shared" si="155"/>
        <v/>
      </c>
      <c r="E1024" s="35" t="str">
        <f t="shared" si="152"/>
        <v/>
      </c>
      <c r="F1024" s="31"/>
      <c r="G1024" s="29"/>
      <c r="H1024" s="78" t="str">
        <f t="shared" si="156"/>
        <v/>
      </c>
      <c r="I1024" s="25"/>
      <c r="J1024" s="25"/>
      <c r="K1024" s="26"/>
      <c r="L1024" s="26"/>
      <c r="M1024" s="37"/>
      <c r="N1024" s="27"/>
      <c r="O1024" s="30"/>
      <c r="P1024" s="39" t="str">
        <f t="shared" si="157"/>
        <v/>
      </c>
      <c r="Q1024" s="40" t="str">
        <f>IF(OR(T1024=0,RIGHT(T1024,1)=$W$1),"",COUNTIF($T$3:T1024,T1024))</f>
        <v/>
      </c>
      <c r="S1024" s="6">
        <f t="shared" si="158"/>
        <v>0</v>
      </c>
      <c r="T1024" s="36">
        <f t="shared" si="159"/>
        <v>0</v>
      </c>
      <c r="V1024" s="6">
        <f t="shared" si="160"/>
        <v>0</v>
      </c>
      <c r="Y1024" s="8">
        <f t="shared" si="161"/>
        <v>46023</v>
      </c>
    </row>
    <row r="1025" spans="2:25" ht="18.75" x14ac:dyDescent="0.3">
      <c r="B1025" s="6">
        <f t="shared" si="153"/>
        <v>0</v>
      </c>
      <c r="C1025" s="6">
        <f t="shared" si="154"/>
        <v>0</v>
      </c>
      <c r="D1025" s="6" t="str">
        <f t="shared" si="155"/>
        <v/>
      </c>
      <c r="E1025" s="35" t="str">
        <f t="shared" si="152"/>
        <v/>
      </c>
      <c r="F1025" s="31"/>
      <c r="G1025" s="29"/>
      <c r="H1025" s="78" t="str">
        <f t="shared" si="156"/>
        <v/>
      </c>
      <c r="I1025" s="25"/>
      <c r="J1025" s="25"/>
      <c r="K1025" s="26"/>
      <c r="L1025" s="26"/>
      <c r="M1025" s="37"/>
      <c r="N1025" s="27"/>
      <c r="O1025" s="30"/>
      <c r="P1025" s="39" t="str">
        <f t="shared" si="157"/>
        <v/>
      </c>
      <c r="Q1025" s="40" t="str">
        <f>IF(OR(T1025=0,RIGHT(T1025,1)=$W$1),"",COUNTIF($T$3:T1025,T1025))</f>
        <v/>
      </c>
      <c r="S1025" s="6">
        <f t="shared" si="158"/>
        <v>0</v>
      </c>
      <c r="T1025" s="36">
        <f t="shared" si="159"/>
        <v>0</v>
      </c>
      <c r="V1025" s="6">
        <f t="shared" si="160"/>
        <v>0</v>
      </c>
      <c r="Y1025" s="8">
        <f t="shared" si="161"/>
        <v>46023</v>
      </c>
    </row>
    <row r="1026" spans="2:25" ht="18.75" x14ac:dyDescent="0.3">
      <c r="B1026" s="6">
        <f t="shared" si="153"/>
        <v>0</v>
      </c>
      <c r="C1026" s="6">
        <f t="shared" si="154"/>
        <v>0</v>
      </c>
      <c r="D1026" s="6" t="str">
        <f t="shared" si="155"/>
        <v/>
      </c>
      <c r="E1026" s="35" t="str">
        <f t="shared" si="152"/>
        <v/>
      </c>
      <c r="F1026" s="31"/>
      <c r="G1026" s="29"/>
      <c r="H1026" s="78" t="str">
        <f t="shared" si="156"/>
        <v/>
      </c>
      <c r="I1026" s="25"/>
      <c r="J1026" s="25"/>
      <c r="K1026" s="26"/>
      <c r="L1026" s="26"/>
      <c r="M1026" s="37"/>
      <c r="N1026" s="27"/>
      <c r="O1026" s="30"/>
      <c r="P1026" s="39" t="str">
        <f t="shared" si="157"/>
        <v/>
      </c>
      <c r="Q1026" s="40" t="str">
        <f>IF(OR(T1026=0,RIGHT(T1026,1)=$W$1),"",COUNTIF($T$3:T1026,T1026))</f>
        <v/>
      </c>
      <c r="S1026" s="6">
        <f t="shared" si="158"/>
        <v>0</v>
      </c>
      <c r="T1026" s="36">
        <f t="shared" si="159"/>
        <v>0</v>
      </c>
      <c r="V1026" s="6">
        <f t="shared" si="160"/>
        <v>0</v>
      </c>
      <c r="Y1026" s="8">
        <f t="shared" si="161"/>
        <v>46023</v>
      </c>
    </row>
    <row r="1027" spans="2:25" ht="18.75" x14ac:dyDescent="0.3">
      <c r="B1027" s="6">
        <f t="shared" si="153"/>
        <v>0</v>
      </c>
      <c r="C1027" s="6">
        <f t="shared" si="154"/>
        <v>0</v>
      </c>
      <c r="D1027" s="6" t="str">
        <f t="shared" si="155"/>
        <v/>
      </c>
      <c r="E1027" s="35" t="str">
        <f t="shared" ref="E1027:E1090" si="162">IF(D1027&lt;&gt;"",D1027&amp;" - "&amp;YEAR(F1027),"")</f>
        <v/>
      </c>
      <c r="F1027" s="31"/>
      <c r="G1027" s="29"/>
      <c r="H1027" s="78" t="str">
        <f t="shared" si="156"/>
        <v/>
      </c>
      <c r="I1027" s="25"/>
      <c r="J1027" s="25"/>
      <c r="K1027" s="26"/>
      <c r="L1027" s="26"/>
      <c r="M1027" s="37"/>
      <c r="N1027" s="27"/>
      <c r="O1027" s="30"/>
      <c r="P1027" s="39" t="str">
        <f t="shared" si="157"/>
        <v/>
      </c>
      <c r="Q1027" s="40" t="str">
        <f>IF(OR(T1027=0,RIGHT(T1027,1)=$W$1),"",COUNTIF($T$3:T1027,T1027))</f>
        <v/>
      </c>
      <c r="S1027" s="6">
        <f t="shared" si="158"/>
        <v>0</v>
      </c>
      <c r="T1027" s="36">
        <f t="shared" si="159"/>
        <v>0</v>
      </c>
      <c r="V1027" s="6">
        <f t="shared" si="160"/>
        <v>0</v>
      </c>
      <c r="Y1027" s="8">
        <f t="shared" si="161"/>
        <v>46023</v>
      </c>
    </row>
    <row r="1028" spans="2:25" ht="18.75" x14ac:dyDescent="0.3">
      <c r="B1028" s="6">
        <f t="shared" ref="B1028:B1091" si="163">IF($B$1=YEAR(F1028),B1027+1,B1027)</f>
        <v>0</v>
      </c>
      <c r="C1028" s="6">
        <f t="shared" ref="C1028:C1091" si="164">IF(AND($C$1=K1028,$Y$1=YEAR(F1028)),C1027+1,C1027)</f>
        <v>0</v>
      </c>
      <c r="D1028" s="6" t="str">
        <f t="shared" ref="D1028:D1091" si="165">IF(F1028&lt;&gt;0,IF(YEAR(F1028)&lt;&gt;YEAR(F1027),1,IF(M1028=$AI$1,D1027,D1027+1)),"")</f>
        <v/>
      </c>
      <c r="E1028" s="35" t="str">
        <f t="shared" si="162"/>
        <v/>
      </c>
      <c r="F1028" s="31"/>
      <c r="G1028" s="29"/>
      <c r="H1028" s="78" t="str">
        <f t="shared" ref="H1028:H1091" si="166">IF(G1028&lt;&gt;"",F1028,"")</f>
        <v/>
      </c>
      <c r="I1028" s="25"/>
      <c r="J1028" s="25"/>
      <c r="K1028" s="26"/>
      <c r="L1028" s="26"/>
      <c r="M1028" s="37"/>
      <c r="N1028" s="27"/>
      <c r="O1028" s="30"/>
      <c r="P1028" s="39" t="str">
        <f t="shared" ref="P1028:P1091" si="167">IF(OR(T1028=0,RIGHT(T1028,1)=$W$1),"",VLOOKUP(K1028,$AD$1:$AK$15,5,FALSE))</f>
        <v/>
      </c>
      <c r="Q1028" s="40" t="str">
        <f>IF(OR(T1028=0,RIGHT(T1028,1)=$W$1),"",COUNTIF($T$3:T1028,T1028))</f>
        <v/>
      </c>
      <c r="S1028" s="6">
        <f t="shared" ref="S1028:S1091" si="168">IF(AND($C$1=K1028,$Y$1=YEAR(F1028)),C1028,0)</f>
        <v>0</v>
      </c>
      <c r="T1028" s="36">
        <f t="shared" ref="T1028:T1091" si="169">IF(F1028=0,0,YEAR(F1028)&amp;VLOOKUP(K1028,$AD$1:$AE$15,2,FALSE))</f>
        <v>0</v>
      </c>
      <c r="V1028" s="6">
        <f t="shared" ref="V1028:V1091" si="170">IF(AND(YEAR(F1028)=$Y$1,K1028=$C$1,L1028&amp;$V$1&lt;&gt;$V$1),L1028,IF(AND(YEAR(F1028)=$Y$1,K1028=$C$1),1,0))</f>
        <v>0</v>
      </c>
      <c r="Y1028" s="8">
        <f t="shared" ref="Y1028:Y1091" si="171">IF(M1028&lt;&gt;$AI$1,$Y$2,F1027)</f>
        <v>46023</v>
      </c>
    </row>
    <row r="1029" spans="2:25" ht="18.75" x14ac:dyDescent="0.3">
      <c r="B1029" s="6">
        <f t="shared" si="163"/>
        <v>0</v>
      </c>
      <c r="C1029" s="6">
        <f t="shared" si="164"/>
        <v>0</v>
      </c>
      <c r="D1029" s="6" t="str">
        <f t="shared" si="165"/>
        <v/>
      </c>
      <c r="E1029" s="35" t="str">
        <f t="shared" si="162"/>
        <v/>
      </c>
      <c r="F1029" s="31"/>
      <c r="G1029" s="29"/>
      <c r="H1029" s="78" t="str">
        <f t="shared" si="166"/>
        <v/>
      </c>
      <c r="I1029" s="25"/>
      <c r="J1029" s="25"/>
      <c r="K1029" s="26"/>
      <c r="L1029" s="26"/>
      <c r="M1029" s="37"/>
      <c r="N1029" s="27"/>
      <c r="O1029" s="30"/>
      <c r="P1029" s="39" t="str">
        <f t="shared" si="167"/>
        <v/>
      </c>
      <c r="Q1029" s="40" t="str">
        <f>IF(OR(T1029=0,RIGHT(T1029,1)=$W$1),"",COUNTIF($T$3:T1029,T1029))</f>
        <v/>
      </c>
      <c r="S1029" s="6">
        <f t="shared" si="168"/>
        <v>0</v>
      </c>
      <c r="T1029" s="36">
        <f t="shared" si="169"/>
        <v>0</v>
      </c>
      <c r="V1029" s="6">
        <f t="shared" si="170"/>
        <v>0</v>
      </c>
      <c r="Y1029" s="8">
        <f t="shared" si="171"/>
        <v>46023</v>
      </c>
    </row>
    <row r="1030" spans="2:25" ht="18.75" x14ac:dyDescent="0.3">
      <c r="B1030" s="6">
        <f t="shared" si="163"/>
        <v>0</v>
      </c>
      <c r="C1030" s="6">
        <f t="shared" si="164"/>
        <v>0</v>
      </c>
      <c r="D1030" s="6" t="str">
        <f t="shared" si="165"/>
        <v/>
      </c>
      <c r="E1030" s="35" t="str">
        <f t="shared" si="162"/>
        <v/>
      </c>
      <c r="F1030" s="31"/>
      <c r="G1030" s="29"/>
      <c r="H1030" s="78" t="str">
        <f t="shared" si="166"/>
        <v/>
      </c>
      <c r="I1030" s="25"/>
      <c r="J1030" s="25"/>
      <c r="K1030" s="26"/>
      <c r="L1030" s="26"/>
      <c r="M1030" s="37"/>
      <c r="N1030" s="27"/>
      <c r="O1030" s="30"/>
      <c r="P1030" s="39" t="str">
        <f t="shared" si="167"/>
        <v/>
      </c>
      <c r="Q1030" s="40" t="str">
        <f>IF(OR(T1030=0,RIGHT(T1030,1)=$W$1),"",COUNTIF($T$3:T1030,T1030))</f>
        <v/>
      </c>
      <c r="S1030" s="6">
        <f t="shared" si="168"/>
        <v>0</v>
      </c>
      <c r="T1030" s="36">
        <f t="shared" si="169"/>
        <v>0</v>
      </c>
      <c r="V1030" s="6">
        <f t="shared" si="170"/>
        <v>0</v>
      </c>
      <c r="Y1030" s="8">
        <f t="shared" si="171"/>
        <v>46023</v>
      </c>
    </row>
    <row r="1031" spans="2:25" ht="18.75" x14ac:dyDescent="0.3">
      <c r="B1031" s="6">
        <f t="shared" si="163"/>
        <v>0</v>
      </c>
      <c r="C1031" s="6">
        <f t="shared" si="164"/>
        <v>0</v>
      </c>
      <c r="D1031" s="6" t="str">
        <f t="shared" si="165"/>
        <v/>
      </c>
      <c r="E1031" s="35" t="str">
        <f t="shared" si="162"/>
        <v/>
      </c>
      <c r="F1031" s="31"/>
      <c r="G1031" s="29"/>
      <c r="H1031" s="78" t="str">
        <f t="shared" si="166"/>
        <v/>
      </c>
      <c r="I1031" s="25"/>
      <c r="J1031" s="25"/>
      <c r="K1031" s="26"/>
      <c r="L1031" s="26"/>
      <c r="M1031" s="37"/>
      <c r="N1031" s="27"/>
      <c r="O1031" s="30"/>
      <c r="P1031" s="39" t="str">
        <f t="shared" si="167"/>
        <v/>
      </c>
      <c r="Q1031" s="40" t="str">
        <f>IF(OR(T1031=0,RIGHT(T1031,1)=$W$1),"",COUNTIF($T$3:T1031,T1031))</f>
        <v/>
      </c>
      <c r="S1031" s="6">
        <f t="shared" si="168"/>
        <v>0</v>
      </c>
      <c r="T1031" s="36">
        <f t="shared" si="169"/>
        <v>0</v>
      </c>
      <c r="V1031" s="6">
        <f t="shared" si="170"/>
        <v>0</v>
      </c>
      <c r="Y1031" s="8">
        <f t="shared" si="171"/>
        <v>46023</v>
      </c>
    </row>
    <row r="1032" spans="2:25" ht="18.75" x14ac:dyDescent="0.3">
      <c r="B1032" s="6">
        <f t="shared" si="163"/>
        <v>0</v>
      </c>
      <c r="C1032" s="6">
        <f t="shared" si="164"/>
        <v>0</v>
      </c>
      <c r="D1032" s="6" t="str">
        <f t="shared" si="165"/>
        <v/>
      </c>
      <c r="E1032" s="35" t="str">
        <f t="shared" si="162"/>
        <v/>
      </c>
      <c r="F1032" s="31"/>
      <c r="G1032" s="29"/>
      <c r="H1032" s="78" t="str">
        <f t="shared" si="166"/>
        <v/>
      </c>
      <c r="I1032" s="25"/>
      <c r="J1032" s="25"/>
      <c r="K1032" s="26"/>
      <c r="L1032" s="26"/>
      <c r="M1032" s="37"/>
      <c r="N1032" s="27"/>
      <c r="O1032" s="30"/>
      <c r="P1032" s="39" t="str">
        <f t="shared" si="167"/>
        <v/>
      </c>
      <c r="Q1032" s="40" t="str">
        <f>IF(OR(T1032=0,RIGHT(T1032,1)=$W$1),"",COUNTIF($T$3:T1032,T1032))</f>
        <v/>
      </c>
      <c r="S1032" s="6">
        <f t="shared" si="168"/>
        <v>0</v>
      </c>
      <c r="T1032" s="36">
        <f t="shared" si="169"/>
        <v>0</v>
      </c>
      <c r="V1032" s="6">
        <f t="shared" si="170"/>
        <v>0</v>
      </c>
      <c r="Y1032" s="8">
        <f t="shared" si="171"/>
        <v>46023</v>
      </c>
    </row>
    <row r="1033" spans="2:25" ht="18.75" x14ac:dyDescent="0.3">
      <c r="B1033" s="6">
        <f t="shared" si="163"/>
        <v>0</v>
      </c>
      <c r="C1033" s="6">
        <f t="shared" si="164"/>
        <v>0</v>
      </c>
      <c r="D1033" s="6" t="str">
        <f t="shared" si="165"/>
        <v/>
      </c>
      <c r="E1033" s="35" t="str">
        <f t="shared" si="162"/>
        <v/>
      </c>
      <c r="F1033" s="31"/>
      <c r="G1033" s="29"/>
      <c r="H1033" s="78" t="str">
        <f t="shared" si="166"/>
        <v/>
      </c>
      <c r="I1033" s="25"/>
      <c r="J1033" s="25"/>
      <c r="K1033" s="26"/>
      <c r="L1033" s="26"/>
      <c r="M1033" s="37"/>
      <c r="N1033" s="27"/>
      <c r="O1033" s="30"/>
      <c r="P1033" s="39" t="str">
        <f t="shared" si="167"/>
        <v/>
      </c>
      <c r="Q1033" s="40" t="str">
        <f>IF(OR(T1033=0,RIGHT(T1033,1)=$W$1),"",COUNTIF($T$3:T1033,T1033))</f>
        <v/>
      </c>
      <c r="S1033" s="6">
        <f t="shared" si="168"/>
        <v>0</v>
      </c>
      <c r="T1033" s="36">
        <f t="shared" si="169"/>
        <v>0</v>
      </c>
      <c r="V1033" s="6">
        <f t="shared" si="170"/>
        <v>0</v>
      </c>
      <c r="Y1033" s="8">
        <f t="shared" si="171"/>
        <v>46023</v>
      </c>
    </row>
    <row r="1034" spans="2:25" ht="18.75" x14ac:dyDescent="0.3">
      <c r="B1034" s="6">
        <f t="shared" si="163"/>
        <v>0</v>
      </c>
      <c r="C1034" s="6">
        <f t="shared" si="164"/>
        <v>0</v>
      </c>
      <c r="D1034" s="6" t="str">
        <f t="shared" si="165"/>
        <v/>
      </c>
      <c r="E1034" s="35" t="str">
        <f t="shared" si="162"/>
        <v/>
      </c>
      <c r="F1034" s="31"/>
      <c r="G1034" s="29"/>
      <c r="H1034" s="78" t="str">
        <f t="shared" si="166"/>
        <v/>
      </c>
      <c r="I1034" s="25"/>
      <c r="J1034" s="25"/>
      <c r="K1034" s="26"/>
      <c r="L1034" s="26"/>
      <c r="M1034" s="37"/>
      <c r="N1034" s="27"/>
      <c r="O1034" s="30"/>
      <c r="P1034" s="39" t="str">
        <f t="shared" si="167"/>
        <v/>
      </c>
      <c r="Q1034" s="40" t="str">
        <f>IF(OR(T1034=0,RIGHT(T1034,1)=$W$1),"",COUNTIF($T$3:T1034,T1034))</f>
        <v/>
      </c>
      <c r="S1034" s="6">
        <f t="shared" si="168"/>
        <v>0</v>
      </c>
      <c r="T1034" s="36">
        <f t="shared" si="169"/>
        <v>0</v>
      </c>
      <c r="V1034" s="6">
        <f t="shared" si="170"/>
        <v>0</v>
      </c>
      <c r="Y1034" s="8">
        <f t="shared" si="171"/>
        <v>46023</v>
      </c>
    </row>
    <row r="1035" spans="2:25" ht="18.75" x14ac:dyDescent="0.3">
      <c r="B1035" s="6">
        <f t="shared" si="163"/>
        <v>0</v>
      </c>
      <c r="C1035" s="6">
        <f t="shared" si="164"/>
        <v>0</v>
      </c>
      <c r="D1035" s="6" t="str">
        <f t="shared" si="165"/>
        <v/>
      </c>
      <c r="E1035" s="35" t="str">
        <f t="shared" si="162"/>
        <v/>
      </c>
      <c r="F1035" s="31"/>
      <c r="G1035" s="29"/>
      <c r="H1035" s="78" t="str">
        <f t="shared" si="166"/>
        <v/>
      </c>
      <c r="I1035" s="25"/>
      <c r="J1035" s="25"/>
      <c r="K1035" s="26"/>
      <c r="L1035" s="26"/>
      <c r="M1035" s="37"/>
      <c r="N1035" s="27"/>
      <c r="O1035" s="30"/>
      <c r="P1035" s="39" t="str">
        <f t="shared" si="167"/>
        <v/>
      </c>
      <c r="Q1035" s="40" t="str">
        <f>IF(OR(T1035=0,RIGHT(T1035,1)=$W$1),"",COUNTIF($T$3:T1035,T1035))</f>
        <v/>
      </c>
      <c r="S1035" s="6">
        <f t="shared" si="168"/>
        <v>0</v>
      </c>
      <c r="T1035" s="36">
        <f t="shared" si="169"/>
        <v>0</v>
      </c>
      <c r="V1035" s="6">
        <f t="shared" si="170"/>
        <v>0</v>
      </c>
      <c r="Y1035" s="8">
        <f t="shared" si="171"/>
        <v>46023</v>
      </c>
    </row>
    <row r="1036" spans="2:25" ht="18.75" x14ac:dyDescent="0.3">
      <c r="B1036" s="6">
        <f t="shared" si="163"/>
        <v>0</v>
      </c>
      <c r="C1036" s="6">
        <f t="shared" si="164"/>
        <v>0</v>
      </c>
      <c r="D1036" s="6" t="str">
        <f t="shared" si="165"/>
        <v/>
      </c>
      <c r="E1036" s="35" t="str">
        <f t="shared" si="162"/>
        <v/>
      </c>
      <c r="F1036" s="31"/>
      <c r="G1036" s="29"/>
      <c r="H1036" s="78" t="str">
        <f t="shared" si="166"/>
        <v/>
      </c>
      <c r="I1036" s="25"/>
      <c r="J1036" s="25"/>
      <c r="K1036" s="26"/>
      <c r="L1036" s="26"/>
      <c r="M1036" s="37"/>
      <c r="N1036" s="27"/>
      <c r="O1036" s="30"/>
      <c r="P1036" s="39" t="str">
        <f t="shared" si="167"/>
        <v/>
      </c>
      <c r="Q1036" s="40" t="str">
        <f>IF(OR(T1036=0,RIGHT(T1036,1)=$W$1),"",COUNTIF($T$3:T1036,T1036))</f>
        <v/>
      </c>
      <c r="S1036" s="6">
        <f t="shared" si="168"/>
        <v>0</v>
      </c>
      <c r="T1036" s="36">
        <f t="shared" si="169"/>
        <v>0</v>
      </c>
      <c r="V1036" s="6">
        <f t="shared" si="170"/>
        <v>0</v>
      </c>
      <c r="Y1036" s="8">
        <f t="shared" si="171"/>
        <v>46023</v>
      </c>
    </row>
    <row r="1037" spans="2:25" ht="18.75" x14ac:dyDescent="0.3">
      <c r="B1037" s="6">
        <f t="shared" si="163"/>
        <v>0</v>
      </c>
      <c r="C1037" s="6">
        <f t="shared" si="164"/>
        <v>0</v>
      </c>
      <c r="D1037" s="6" t="str">
        <f t="shared" si="165"/>
        <v/>
      </c>
      <c r="E1037" s="35" t="str">
        <f t="shared" si="162"/>
        <v/>
      </c>
      <c r="F1037" s="31"/>
      <c r="G1037" s="29"/>
      <c r="H1037" s="78" t="str">
        <f t="shared" si="166"/>
        <v/>
      </c>
      <c r="I1037" s="25"/>
      <c r="J1037" s="25"/>
      <c r="K1037" s="26"/>
      <c r="L1037" s="26"/>
      <c r="M1037" s="37"/>
      <c r="N1037" s="27"/>
      <c r="O1037" s="30"/>
      <c r="P1037" s="39" t="str">
        <f t="shared" si="167"/>
        <v/>
      </c>
      <c r="Q1037" s="40" t="str">
        <f>IF(OR(T1037=0,RIGHT(T1037,1)=$W$1),"",COUNTIF($T$3:T1037,T1037))</f>
        <v/>
      </c>
      <c r="S1037" s="6">
        <f t="shared" si="168"/>
        <v>0</v>
      </c>
      <c r="T1037" s="36">
        <f t="shared" si="169"/>
        <v>0</v>
      </c>
      <c r="V1037" s="6">
        <f t="shared" si="170"/>
        <v>0</v>
      </c>
      <c r="Y1037" s="8">
        <f t="shared" si="171"/>
        <v>46023</v>
      </c>
    </row>
    <row r="1038" spans="2:25" ht="18.75" x14ac:dyDescent="0.3">
      <c r="B1038" s="6">
        <f t="shared" si="163"/>
        <v>0</v>
      </c>
      <c r="C1038" s="6">
        <f t="shared" si="164"/>
        <v>0</v>
      </c>
      <c r="D1038" s="6" t="str">
        <f t="shared" si="165"/>
        <v/>
      </c>
      <c r="E1038" s="35" t="str">
        <f t="shared" si="162"/>
        <v/>
      </c>
      <c r="F1038" s="31"/>
      <c r="G1038" s="29"/>
      <c r="H1038" s="78" t="str">
        <f t="shared" si="166"/>
        <v/>
      </c>
      <c r="I1038" s="25"/>
      <c r="J1038" s="25"/>
      <c r="K1038" s="26"/>
      <c r="L1038" s="26"/>
      <c r="M1038" s="37"/>
      <c r="N1038" s="27"/>
      <c r="O1038" s="30"/>
      <c r="P1038" s="39" t="str">
        <f t="shared" si="167"/>
        <v/>
      </c>
      <c r="Q1038" s="40" t="str">
        <f>IF(OR(T1038=0,RIGHT(T1038,1)=$W$1),"",COUNTIF($T$3:T1038,T1038))</f>
        <v/>
      </c>
      <c r="S1038" s="6">
        <f t="shared" si="168"/>
        <v>0</v>
      </c>
      <c r="T1038" s="36">
        <f t="shared" si="169"/>
        <v>0</v>
      </c>
      <c r="V1038" s="6">
        <f t="shared" si="170"/>
        <v>0</v>
      </c>
      <c r="Y1038" s="8">
        <f t="shared" si="171"/>
        <v>46023</v>
      </c>
    </row>
    <row r="1039" spans="2:25" ht="18.75" x14ac:dyDescent="0.3">
      <c r="B1039" s="6">
        <f t="shared" si="163"/>
        <v>0</v>
      </c>
      <c r="C1039" s="6">
        <f t="shared" si="164"/>
        <v>0</v>
      </c>
      <c r="D1039" s="6" t="str">
        <f t="shared" si="165"/>
        <v/>
      </c>
      <c r="E1039" s="35" t="str">
        <f t="shared" si="162"/>
        <v/>
      </c>
      <c r="F1039" s="31"/>
      <c r="G1039" s="29"/>
      <c r="H1039" s="78" t="str">
        <f t="shared" si="166"/>
        <v/>
      </c>
      <c r="I1039" s="25"/>
      <c r="J1039" s="25"/>
      <c r="K1039" s="26"/>
      <c r="L1039" s="26"/>
      <c r="M1039" s="37"/>
      <c r="N1039" s="27"/>
      <c r="O1039" s="30"/>
      <c r="P1039" s="39" t="str">
        <f t="shared" si="167"/>
        <v/>
      </c>
      <c r="Q1039" s="40" t="str">
        <f>IF(OR(T1039=0,RIGHT(T1039,1)=$W$1),"",COUNTIF($T$3:T1039,T1039))</f>
        <v/>
      </c>
      <c r="S1039" s="6">
        <f t="shared" si="168"/>
        <v>0</v>
      </c>
      <c r="T1039" s="36">
        <f t="shared" si="169"/>
        <v>0</v>
      </c>
      <c r="V1039" s="6">
        <f t="shared" si="170"/>
        <v>0</v>
      </c>
      <c r="Y1039" s="8">
        <f t="shared" si="171"/>
        <v>46023</v>
      </c>
    </row>
    <row r="1040" spans="2:25" ht="18.75" x14ac:dyDescent="0.3">
      <c r="B1040" s="6">
        <f t="shared" si="163"/>
        <v>0</v>
      </c>
      <c r="C1040" s="6">
        <f t="shared" si="164"/>
        <v>0</v>
      </c>
      <c r="D1040" s="6" t="str">
        <f t="shared" si="165"/>
        <v/>
      </c>
      <c r="E1040" s="35" t="str">
        <f t="shared" si="162"/>
        <v/>
      </c>
      <c r="F1040" s="31"/>
      <c r="G1040" s="29"/>
      <c r="H1040" s="78" t="str">
        <f t="shared" si="166"/>
        <v/>
      </c>
      <c r="I1040" s="25"/>
      <c r="J1040" s="25"/>
      <c r="K1040" s="26"/>
      <c r="L1040" s="26"/>
      <c r="M1040" s="37"/>
      <c r="N1040" s="27"/>
      <c r="O1040" s="30"/>
      <c r="P1040" s="39" t="str">
        <f t="shared" si="167"/>
        <v/>
      </c>
      <c r="Q1040" s="40" t="str">
        <f>IF(OR(T1040=0,RIGHT(T1040,1)=$W$1),"",COUNTIF($T$3:T1040,T1040))</f>
        <v/>
      </c>
      <c r="S1040" s="6">
        <f t="shared" si="168"/>
        <v>0</v>
      </c>
      <c r="T1040" s="36">
        <f t="shared" si="169"/>
        <v>0</v>
      </c>
      <c r="V1040" s="6">
        <f t="shared" si="170"/>
        <v>0</v>
      </c>
      <c r="Y1040" s="8">
        <f t="shared" si="171"/>
        <v>46023</v>
      </c>
    </row>
    <row r="1041" spans="2:25" ht="18.75" x14ac:dyDescent="0.3">
      <c r="B1041" s="6">
        <f t="shared" si="163"/>
        <v>0</v>
      </c>
      <c r="C1041" s="6">
        <f t="shared" si="164"/>
        <v>0</v>
      </c>
      <c r="D1041" s="6" t="str">
        <f t="shared" si="165"/>
        <v/>
      </c>
      <c r="E1041" s="35" t="str">
        <f t="shared" si="162"/>
        <v/>
      </c>
      <c r="F1041" s="31"/>
      <c r="G1041" s="29"/>
      <c r="H1041" s="78" t="str">
        <f t="shared" si="166"/>
        <v/>
      </c>
      <c r="I1041" s="25"/>
      <c r="J1041" s="25"/>
      <c r="K1041" s="26"/>
      <c r="L1041" s="26"/>
      <c r="M1041" s="37"/>
      <c r="N1041" s="27"/>
      <c r="O1041" s="30"/>
      <c r="P1041" s="39" t="str">
        <f t="shared" si="167"/>
        <v/>
      </c>
      <c r="Q1041" s="40" t="str">
        <f>IF(OR(T1041=0,RIGHT(T1041,1)=$W$1),"",COUNTIF($T$3:T1041,T1041))</f>
        <v/>
      </c>
      <c r="S1041" s="6">
        <f t="shared" si="168"/>
        <v>0</v>
      </c>
      <c r="T1041" s="36">
        <f t="shared" si="169"/>
        <v>0</v>
      </c>
      <c r="V1041" s="6">
        <f t="shared" si="170"/>
        <v>0</v>
      </c>
      <c r="Y1041" s="8">
        <f t="shared" si="171"/>
        <v>46023</v>
      </c>
    </row>
    <row r="1042" spans="2:25" ht="18.75" x14ac:dyDescent="0.3">
      <c r="B1042" s="6">
        <f t="shared" si="163"/>
        <v>0</v>
      </c>
      <c r="C1042" s="6">
        <f t="shared" si="164"/>
        <v>0</v>
      </c>
      <c r="D1042" s="6" t="str">
        <f t="shared" si="165"/>
        <v/>
      </c>
      <c r="E1042" s="35" t="str">
        <f t="shared" si="162"/>
        <v/>
      </c>
      <c r="F1042" s="31"/>
      <c r="G1042" s="29"/>
      <c r="H1042" s="78" t="str">
        <f t="shared" si="166"/>
        <v/>
      </c>
      <c r="I1042" s="25"/>
      <c r="J1042" s="25"/>
      <c r="K1042" s="26"/>
      <c r="L1042" s="26"/>
      <c r="M1042" s="37"/>
      <c r="N1042" s="27"/>
      <c r="O1042" s="30"/>
      <c r="P1042" s="39" t="str">
        <f t="shared" si="167"/>
        <v/>
      </c>
      <c r="Q1042" s="40" t="str">
        <f>IF(OR(T1042=0,RIGHT(T1042,1)=$W$1),"",COUNTIF($T$3:T1042,T1042))</f>
        <v/>
      </c>
      <c r="S1042" s="6">
        <f t="shared" si="168"/>
        <v>0</v>
      </c>
      <c r="T1042" s="36">
        <f t="shared" si="169"/>
        <v>0</v>
      </c>
      <c r="V1042" s="6">
        <f t="shared" si="170"/>
        <v>0</v>
      </c>
      <c r="Y1042" s="8">
        <f t="shared" si="171"/>
        <v>46023</v>
      </c>
    </row>
    <row r="1043" spans="2:25" ht="18.75" x14ac:dyDescent="0.3">
      <c r="B1043" s="6">
        <f t="shared" si="163"/>
        <v>0</v>
      </c>
      <c r="C1043" s="6">
        <f t="shared" si="164"/>
        <v>0</v>
      </c>
      <c r="D1043" s="6" t="str">
        <f t="shared" si="165"/>
        <v/>
      </c>
      <c r="E1043" s="35" t="str">
        <f t="shared" si="162"/>
        <v/>
      </c>
      <c r="F1043" s="31"/>
      <c r="G1043" s="29"/>
      <c r="H1043" s="78" t="str">
        <f t="shared" si="166"/>
        <v/>
      </c>
      <c r="I1043" s="25"/>
      <c r="J1043" s="25"/>
      <c r="K1043" s="26"/>
      <c r="L1043" s="26"/>
      <c r="M1043" s="37"/>
      <c r="N1043" s="27"/>
      <c r="O1043" s="30"/>
      <c r="P1043" s="39" t="str">
        <f t="shared" si="167"/>
        <v/>
      </c>
      <c r="Q1043" s="40" t="str">
        <f>IF(OR(T1043=0,RIGHT(T1043,1)=$W$1),"",COUNTIF($T$3:T1043,T1043))</f>
        <v/>
      </c>
      <c r="S1043" s="6">
        <f t="shared" si="168"/>
        <v>0</v>
      </c>
      <c r="T1043" s="36">
        <f t="shared" si="169"/>
        <v>0</v>
      </c>
      <c r="V1043" s="6">
        <f t="shared" si="170"/>
        <v>0</v>
      </c>
      <c r="Y1043" s="8">
        <f t="shared" si="171"/>
        <v>46023</v>
      </c>
    </row>
    <row r="1044" spans="2:25" ht="18.75" x14ac:dyDescent="0.3">
      <c r="B1044" s="6">
        <f t="shared" si="163"/>
        <v>0</v>
      </c>
      <c r="C1044" s="6">
        <f t="shared" si="164"/>
        <v>0</v>
      </c>
      <c r="D1044" s="6" t="str">
        <f t="shared" si="165"/>
        <v/>
      </c>
      <c r="E1044" s="35" t="str">
        <f t="shared" si="162"/>
        <v/>
      </c>
      <c r="F1044" s="31"/>
      <c r="G1044" s="29"/>
      <c r="H1044" s="78" t="str">
        <f t="shared" si="166"/>
        <v/>
      </c>
      <c r="I1044" s="25"/>
      <c r="J1044" s="25"/>
      <c r="K1044" s="26"/>
      <c r="L1044" s="26"/>
      <c r="M1044" s="37"/>
      <c r="N1044" s="27"/>
      <c r="O1044" s="30"/>
      <c r="P1044" s="39" t="str">
        <f t="shared" si="167"/>
        <v/>
      </c>
      <c r="Q1044" s="40" t="str">
        <f>IF(OR(T1044=0,RIGHT(T1044,1)=$W$1),"",COUNTIF($T$3:T1044,T1044))</f>
        <v/>
      </c>
      <c r="S1044" s="6">
        <f t="shared" si="168"/>
        <v>0</v>
      </c>
      <c r="T1044" s="36">
        <f t="shared" si="169"/>
        <v>0</v>
      </c>
      <c r="V1044" s="6">
        <f t="shared" si="170"/>
        <v>0</v>
      </c>
      <c r="Y1044" s="8">
        <f t="shared" si="171"/>
        <v>46023</v>
      </c>
    </row>
    <row r="1045" spans="2:25" ht="18.75" x14ac:dyDescent="0.3">
      <c r="B1045" s="6">
        <f t="shared" si="163"/>
        <v>0</v>
      </c>
      <c r="C1045" s="6">
        <f t="shared" si="164"/>
        <v>0</v>
      </c>
      <c r="D1045" s="6" t="str">
        <f t="shared" si="165"/>
        <v/>
      </c>
      <c r="E1045" s="35" t="str">
        <f t="shared" si="162"/>
        <v/>
      </c>
      <c r="F1045" s="31"/>
      <c r="G1045" s="29"/>
      <c r="H1045" s="78" t="str">
        <f t="shared" si="166"/>
        <v/>
      </c>
      <c r="I1045" s="25"/>
      <c r="J1045" s="25"/>
      <c r="K1045" s="26"/>
      <c r="L1045" s="26"/>
      <c r="M1045" s="37"/>
      <c r="N1045" s="27"/>
      <c r="O1045" s="30"/>
      <c r="P1045" s="39" t="str">
        <f t="shared" si="167"/>
        <v/>
      </c>
      <c r="Q1045" s="40" t="str">
        <f>IF(OR(T1045=0,RIGHT(T1045,1)=$W$1),"",COUNTIF($T$3:T1045,T1045))</f>
        <v/>
      </c>
      <c r="S1045" s="6">
        <f t="shared" si="168"/>
        <v>0</v>
      </c>
      <c r="T1045" s="36">
        <f t="shared" si="169"/>
        <v>0</v>
      </c>
      <c r="V1045" s="6">
        <f t="shared" si="170"/>
        <v>0</v>
      </c>
      <c r="Y1045" s="8">
        <f t="shared" si="171"/>
        <v>46023</v>
      </c>
    </row>
    <row r="1046" spans="2:25" ht="18.75" x14ac:dyDescent="0.3">
      <c r="B1046" s="6">
        <f t="shared" si="163"/>
        <v>0</v>
      </c>
      <c r="C1046" s="6">
        <f t="shared" si="164"/>
        <v>0</v>
      </c>
      <c r="D1046" s="6" t="str">
        <f t="shared" si="165"/>
        <v/>
      </c>
      <c r="E1046" s="35" t="str">
        <f t="shared" si="162"/>
        <v/>
      </c>
      <c r="F1046" s="31"/>
      <c r="G1046" s="29"/>
      <c r="H1046" s="78" t="str">
        <f t="shared" si="166"/>
        <v/>
      </c>
      <c r="I1046" s="25"/>
      <c r="J1046" s="25"/>
      <c r="K1046" s="26"/>
      <c r="L1046" s="26"/>
      <c r="M1046" s="37"/>
      <c r="N1046" s="27"/>
      <c r="O1046" s="30"/>
      <c r="P1046" s="39" t="str">
        <f t="shared" si="167"/>
        <v/>
      </c>
      <c r="Q1046" s="40" t="str">
        <f>IF(OR(T1046=0,RIGHT(T1046,1)=$W$1),"",COUNTIF($T$3:T1046,T1046))</f>
        <v/>
      </c>
      <c r="S1046" s="6">
        <f t="shared" si="168"/>
        <v>0</v>
      </c>
      <c r="T1046" s="36">
        <f t="shared" si="169"/>
        <v>0</v>
      </c>
      <c r="V1046" s="6">
        <f t="shared" si="170"/>
        <v>0</v>
      </c>
      <c r="Y1046" s="8">
        <f t="shared" si="171"/>
        <v>46023</v>
      </c>
    </row>
    <row r="1047" spans="2:25" ht="18.75" x14ac:dyDescent="0.3">
      <c r="B1047" s="6">
        <f t="shared" si="163"/>
        <v>0</v>
      </c>
      <c r="C1047" s="6">
        <f t="shared" si="164"/>
        <v>0</v>
      </c>
      <c r="D1047" s="6" t="str">
        <f t="shared" si="165"/>
        <v/>
      </c>
      <c r="E1047" s="35" t="str">
        <f t="shared" si="162"/>
        <v/>
      </c>
      <c r="F1047" s="31"/>
      <c r="G1047" s="29"/>
      <c r="H1047" s="78" t="str">
        <f t="shared" si="166"/>
        <v/>
      </c>
      <c r="I1047" s="25"/>
      <c r="J1047" s="25"/>
      <c r="K1047" s="26"/>
      <c r="L1047" s="26"/>
      <c r="M1047" s="37"/>
      <c r="N1047" s="27"/>
      <c r="O1047" s="30"/>
      <c r="P1047" s="39" t="str">
        <f t="shared" si="167"/>
        <v/>
      </c>
      <c r="Q1047" s="40" t="str">
        <f>IF(OR(T1047=0,RIGHT(T1047,1)=$W$1),"",COUNTIF($T$3:T1047,T1047))</f>
        <v/>
      </c>
      <c r="S1047" s="6">
        <f t="shared" si="168"/>
        <v>0</v>
      </c>
      <c r="T1047" s="36">
        <f t="shared" si="169"/>
        <v>0</v>
      </c>
      <c r="V1047" s="6">
        <f t="shared" si="170"/>
        <v>0</v>
      </c>
      <c r="Y1047" s="8">
        <f t="shared" si="171"/>
        <v>46023</v>
      </c>
    </row>
    <row r="1048" spans="2:25" ht="18.75" x14ac:dyDescent="0.3">
      <c r="B1048" s="6">
        <f t="shared" si="163"/>
        <v>0</v>
      </c>
      <c r="C1048" s="6">
        <f t="shared" si="164"/>
        <v>0</v>
      </c>
      <c r="D1048" s="6" t="str">
        <f t="shared" si="165"/>
        <v/>
      </c>
      <c r="E1048" s="35" t="str">
        <f t="shared" si="162"/>
        <v/>
      </c>
      <c r="F1048" s="31"/>
      <c r="G1048" s="29"/>
      <c r="H1048" s="78" t="str">
        <f t="shared" si="166"/>
        <v/>
      </c>
      <c r="I1048" s="25"/>
      <c r="J1048" s="25"/>
      <c r="K1048" s="26"/>
      <c r="L1048" s="26"/>
      <c r="M1048" s="37"/>
      <c r="N1048" s="27"/>
      <c r="O1048" s="30"/>
      <c r="P1048" s="39" t="str">
        <f t="shared" si="167"/>
        <v/>
      </c>
      <c r="Q1048" s="40" t="str">
        <f>IF(OR(T1048=0,RIGHT(T1048,1)=$W$1),"",COUNTIF($T$3:T1048,T1048))</f>
        <v/>
      </c>
      <c r="S1048" s="6">
        <f t="shared" si="168"/>
        <v>0</v>
      </c>
      <c r="T1048" s="36">
        <f t="shared" si="169"/>
        <v>0</v>
      </c>
      <c r="V1048" s="6">
        <f t="shared" si="170"/>
        <v>0</v>
      </c>
      <c r="Y1048" s="8">
        <f t="shared" si="171"/>
        <v>46023</v>
      </c>
    </row>
    <row r="1049" spans="2:25" ht="18.75" x14ac:dyDescent="0.3">
      <c r="B1049" s="6">
        <f t="shared" si="163"/>
        <v>0</v>
      </c>
      <c r="C1049" s="6">
        <f t="shared" si="164"/>
        <v>0</v>
      </c>
      <c r="D1049" s="6" t="str">
        <f t="shared" si="165"/>
        <v/>
      </c>
      <c r="E1049" s="35" t="str">
        <f t="shared" si="162"/>
        <v/>
      </c>
      <c r="F1049" s="31"/>
      <c r="G1049" s="29"/>
      <c r="H1049" s="78" t="str">
        <f t="shared" si="166"/>
        <v/>
      </c>
      <c r="I1049" s="25"/>
      <c r="J1049" s="25"/>
      <c r="K1049" s="26"/>
      <c r="L1049" s="26"/>
      <c r="M1049" s="37"/>
      <c r="N1049" s="27"/>
      <c r="O1049" s="30"/>
      <c r="P1049" s="39" t="str">
        <f t="shared" si="167"/>
        <v/>
      </c>
      <c r="Q1049" s="40" t="str">
        <f>IF(OR(T1049=0,RIGHT(T1049,1)=$W$1),"",COUNTIF($T$3:T1049,T1049))</f>
        <v/>
      </c>
      <c r="S1049" s="6">
        <f t="shared" si="168"/>
        <v>0</v>
      </c>
      <c r="T1049" s="36">
        <f t="shared" si="169"/>
        <v>0</v>
      </c>
      <c r="V1049" s="6">
        <f t="shared" si="170"/>
        <v>0</v>
      </c>
      <c r="Y1049" s="8">
        <f t="shared" si="171"/>
        <v>46023</v>
      </c>
    </row>
    <row r="1050" spans="2:25" ht="18.75" x14ac:dyDescent="0.3">
      <c r="B1050" s="6">
        <f t="shared" si="163"/>
        <v>0</v>
      </c>
      <c r="C1050" s="6">
        <f t="shared" si="164"/>
        <v>0</v>
      </c>
      <c r="D1050" s="6" t="str">
        <f t="shared" si="165"/>
        <v/>
      </c>
      <c r="E1050" s="35" t="str">
        <f t="shared" si="162"/>
        <v/>
      </c>
      <c r="F1050" s="31"/>
      <c r="G1050" s="29"/>
      <c r="H1050" s="78" t="str">
        <f t="shared" si="166"/>
        <v/>
      </c>
      <c r="I1050" s="25"/>
      <c r="J1050" s="25"/>
      <c r="K1050" s="26"/>
      <c r="L1050" s="26"/>
      <c r="M1050" s="37"/>
      <c r="N1050" s="27"/>
      <c r="O1050" s="30"/>
      <c r="P1050" s="39" t="str">
        <f t="shared" si="167"/>
        <v/>
      </c>
      <c r="Q1050" s="40" t="str">
        <f>IF(OR(T1050=0,RIGHT(T1050,1)=$W$1),"",COUNTIF($T$3:T1050,T1050))</f>
        <v/>
      </c>
      <c r="S1050" s="6">
        <f t="shared" si="168"/>
        <v>0</v>
      </c>
      <c r="T1050" s="36">
        <f t="shared" si="169"/>
        <v>0</v>
      </c>
      <c r="V1050" s="6">
        <f t="shared" si="170"/>
        <v>0</v>
      </c>
      <c r="Y1050" s="8">
        <f t="shared" si="171"/>
        <v>46023</v>
      </c>
    </row>
    <row r="1051" spans="2:25" ht="18.75" x14ac:dyDescent="0.3">
      <c r="B1051" s="6">
        <f t="shared" si="163"/>
        <v>0</v>
      </c>
      <c r="C1051" s="6">
        <f t="shared" si="164"/>
        <v>0</v>
      </c>
      <c r="D1051" s="6" t="str">
        <f t="shared" si="165"/>
        <v/>
      </c>
      <c r="E1051" s="35" t="str">
        <f t="shared" si="162"/>
        <v/>
      </c>
      <c r="F1051" s="31"/>
      <c r="G1051" s="29"/>
      <c r="H1051" s="78" t="str">
        <f t="shared" si="166"/>
        <v/>
      </c>
      <c r="I1051" s="25"/>
      <c r="J1051" s="25"/>
      <c r="K1051" s="26"/>
      <c r="L1051" s="26"/>
      <c r="M1051" s="37"/>
      <c r="N1051" s="27"/>
      <c r="O1051" s="30"/>
      <c r="P1051" s="39" t="str">
        <f t="shared" si="167"/>
        <v/>
      </c>
      <c r="Q1051" s="40" t="str">
        <f>IF(OR(T1051=0,RIGHT(T1051,1)=$W$1),"",COUNTIF($T$3:T1051,T1051))</f>
        <v/>
      </c>
      <c r="S1051" s="6">
        <f t="shared" si="168"/>
        <v>0</v>
      </c>
      <c r="T1051" s="36">
        <f t="shared" si="169"/>
        <v>0</v>
      </c>
      <c r="V1051" s="6">
        <f t="shared" si="170"/>
        <v>0</v>
      </c>
      <c r="Y1051" s="8">
        <f t="shared" si="171"/>
        <v>46023</v>
      </c>
    </row>
    <row r="1052" spans="2:25" ht="18.75" x14ac:dyDescent="0.3">
      <c r="B1052" s="6">
        <f t="shared" si="163"/>
        <v>0</v>
      </c>
      <c r="C1052" s="6">
        <f t="shared" si="164"/>
        <v>0</v>
      </c>
      <c r="D1052" s="6" t="str">
        <f t="shared" si="165"/>
        <v/>
      </c>
      <c r="E1052" s="35" t="str">
        <f t="shared" si="162"/>
        <v/>
      </c>
      <c r="F1052" s="31"/>
      <c r="G1052" s="29"/>
      <c r="H1052" s="78" t="str">
        <f t="shared" si="166"/>
        <v/>
      </c>
      <c r="I1052" s="25"/>
      <c r="J1052" s="25"/>
      <c r="K1052" s="26"/>
      <c r="L1052" s="26"/>
      <c r="M1052" s="37"/>
      <c r="N1052" s="27"/>
      <c r="O1052" s="30"/>
      <c r="P1052" s="39" t="str">
        <f t="shared" si="167"/>
        <v/>
      </c>
      <c r="Q1052" s="40" t="str">
        <f>IF(OR(T1052=0,RIGHT(T1052,1)=$W$1),"",COUNTIF($T$3:T1052,T1052))</f>
        <v/>
      </c>
      <c r="S1052" s="6">
        <f t="shared" si="168"/>
        <v>0</v>
      </c>
      <c r="T1052" s="36">
        <f t="shared" si="169"/>
        <v>0</v>
      </c>
      <c r="V1052" s="6">
        <f t="shared" si="170"/>
        <v>0</v>
      </c>
      <c r="Y1052" s="8">
        <f t="shared" si="171"/>
        <v>46023</v>
      </c>
    </row>
    <row r="1053" spans="2:25" ht="18.75" x14ac:dyDescent="0.3">
      <c r="B1053" s="6">
        <f t="shared" si="163"/>
        <v>0</v>
      </c>
      <c r="C1053" s="6">
        <f t="shared" si="164"/>
        <v>0</v>
      </c>
      <c r="D1053" s="6" t="str">
        <f t="shared" si="165"/>
        <v/>
      </c>
      <c r="E1053" s="35" t="str">
        <f t="shared" si="162"/>
        <v/>
      </c>
      <c r="F1053" s="31"/>
      <c r="G1053" s="29"/>
      <c r="H1053" s="78" t="str">
        <f t="shared" si="166"/>
        <v/>
      </c>
      <c r="I1053" s="25"/>
      <c r="J1053" s="25"/>
      <c r="K1053" s="26"/>
      <c r="L1053" s="26"/>
      <c r="M1053" s="37"/>
      <c r="N1053" s="27"/>
      <c r="O1053" s="30"/>
      <c r="P1053" s="39" t="str">
        <f t="shared" si="167"/>
        <v/>
      </c>
      <c r="Q1053" s="40" t="str">
        <f>IF(OR(T1053=0,RIGHT(T1053,1)=$W$1),"",COUNTIF($T$3:T1053,T1053))</f>
        <v/>
      </c>
      <c r="S1053" s="6">
        <f t="shared" si="168"/>
        <v>0</v>
      </c>
      <c r="T1053" s="36">
        <f t="shared" si="169"/>
        <v>0</v>
      </c>
      <c r="V1053" s="6">
        <f t="shared" si="170"/>
        <v>0</v>
      </c>
      <c r="Y1053" s="8">
        <f t="shared" si="171"/>
        <v>46023</v>
      </c>
    </row>
    <row r="1054" spans="2:25" ht="18.75" x14ac:dyDescent="0.3">
      <c r="B1054" s="6">
        <f t="shared" si="163"/>
        <v>0</v>
      </c>
      <c r="C1054" s="6">
        <f t="shared" si="164"/>
        <v>0</v>
      </c>
      <c r="D1054" s="6" t="str">
        <f t="shared" si="165"/>
        <v/>
      </c>
      <c r="E1054" s="35" t="str">
        <f t="shared" si="162"/>
        <v/>
      </c>
      <c r="F1054" s="31"/>
      <c r="G1054" s="29"/>
      <c r="H1054" s="78" t="str">
        <f t="shared" si="166"/>
        <v/>
      </c>
      <c r="I1054" s="25"/>
      <c r="J1054" s="25"/>
      <c r="K1054" s="26"/>
      <c r="L1054" s="26"/>
      <c r="M1054" s="37"/>
      <c r="N1054" s="27"/>
      <c r="O1054" s="30"/>
      <c r="P1054" s="39" t="str">
        <f t="shared" si="167"/>
        <v/>
      </c>
      <c r="Q1054" s="40" t="str">
        <f>IF(OR(T1054=0,RIGHT(T1054,1)=$W$1),"",COUNTIF($T$3:T1054,T1054))</f>
        <v/>
      </c>
      <c r="S1054" s="6">
        <f t="shared" si="168"/>
        <v>0</v>
      </c>
      <c r="T1054" s="36">
        <f t="shared" si="169"/>
        <v>0</v>
      </c>
      <c r="V1054" s="6">
        <f t="shared" si="170"/>
        <v>0</v>
      </c>
      <c r="Y1054" s="8">
        <f t="shared" si="171"/>
        <v>46023</v>
      </c>
    </row>
    <row r="1055" spans="2:25" ht="18.75" x14ac:dyDescent="0.3">
      <c r="B1055" s="6">
        <f t="shared" si="163"/>
        <v>0</v>
      </c>
      <c r="C1055" s="6">
        <f t="shared" si="164"/>
        <v>0</v>
      </c>
      <c r="D1055" s="6" t="str">
        <f t="shared" si="165"/>
        <v/>
      </c>
      <c r="E1055" s="35" t="str">
        <f t="shared" si="162"/>
        <v/>
      </c>
      <c r="F1055" s="31"/>
      <c r="G1055" s="29"/>
      <c r="H1055" s="78" t="str">
        <f t="shared" si="166"/>
        <v/>
      </c>
      <c r="I1055" s="25"/>
      <c r="J1055" s="25"/>
      <c r="K1055" s="26"/>
      <c r="L1055" s="26"/>
      <c r="M1055" s="37"/>
      <c r="N1055" s="27"/>
      <c r="O1055" s="30"/>
      <c r="P1055" s="39" t="str">
        <f t="shared" si="167"/>
        <v/>
      </c>
      <c r="Q1055" s="40" t="str">
        <f>IF(OR(T1055=0,RIGHT(T1055,1)=$W$1),"",COUNTIF($T$3:T1055,T1055))</f>
        <v/>
      </c>
      <c r="S1055" s="6">
        <f t="shared" si="168"/>
        <v>0</v>
      </c>
      <c r="T1055" s="36">
        <f t="shared" si="169"/>
        <v>0</v>
      </c>
      <c r="V1055" s="6">
        <f t="shared" si="170"/>
        <v>0</v>
      </c>
      <c r="Y1055" s="8">
        <f t="shared" si="171"/>
        <v>46023</v>
      </c>
    </row>
    <row r="1056" spans="2:25" ht="18.75" x14ac:dyDescent="0.3">
      <c r="B1056" s="6">
        <f t="shared" si="163"/>
        <v>0</v>
      </c>
      <c r="C1056" s="6">
        <f t="shared" si="164"/>
        <v>0</v>
      </c>
      <c r="D1056" s="6" t="str">
        <f t="shared" si="165"/>
        <v/>
      </c>
      <c r="E1056" s="35" t="str">
        <f t="shared" si="162"/>
        <v/>
      </c>
      <c r="F1056" s="31"/>
      <c r="G1056" s="29"/>
      <c r="H1056" s="78" t="str">
        <f t="shared" si="166"/>
        <v/>
      </c>
      <c r="I1056" s="25"/>
      <c r="J1056" s="25"/>
      <c r="K1056" s="26"/>
      <c r="L1056" s="26"/>
      <c r="M1056" s="37"/>
      <c r="N1056" s="27"/>
      <c r="O1056" s="30"/>
      <c r="P1056" s="39" t="str">
        <f t="shared" si="167"/>
        <v/>
      </c>
      <c r="Q1056" s="40" t="str">
        <f>IF(OR(T1056=0,RIGHT(T1056,1)=$W$1),"",COUNTIF($T$3:T1056,T1056))</f>
        <v/>
      </c>
      <c r="S1056" s="6">
        <f t="shared" si="168"/>
        <v>0</v>
      </c>
      <c r="T1056" s="36">
        <f t="shared" si="169"/>
        <v>0</v>
      </c>
      <c r="V1056" s="6">
        <f t="shared" si="170"/>
        <v>0</v>
      </c>
      <c r="Y1056" s="8">
        <f t="shared" si="171"/>
        <v>46023</v>
      </c>
    </row>
    <row r="1057" spans="2:25" ht="18.75" x14ac:dyDescent="0.3">
      <c r="B1057" s="6">
        <f t="shared" si="163"/>
        <v>0</v>
      </c>
      <c r="C1057" s="6">
        <f t="shared" si="164"/>
        <v>0</v>
      </c>
      <c r="D1057" s="6" t="str">
        <f t="shared" si="165"/>
        <v/>
      </c>
      <c r="E1057" s="35" t="str">
        <f t="shared" si="162"/>
        <v/>
      </c>
      <c r="F1057" s="31"/>
      <c r="G1057" s="29"/>
      <c r="H1057" s="78" t="str">
        <f t="shared" si="166"/>
        <v/>
      </c>
      <c r="I1057" s="25"/>
      <c r="J1057" s="25"/>
      <c r="K1057" s="26"/>
      <c r="L1057" s="26"/>
      <c r="M1057" s="37"/>
      <c r="N1057" s="27"/>
      <c r="O1057" s="30"/>
      <c r="P1057" s="39" t="str">
        <f t="shared" si="167"/>
        <v/>
      </c>
      <c r="Q1057" s="40" t="str">
        <f>IF(OR(T1057=0,RIGHT(T1057,1)=$W$1),"",COUNTIF($T$3:T1057,T1057))</f>
        <v/>
      </c>
      <c r="S1057" s="6">
        <f t="shared" si="168"/>
        <v>0</v>
      </c>
      <c r="T1057" s="36">
        <f t="shared" si="169"/>
        <v>0</v>
      </c>
      <c r="V1057" s="6">
        <f t="shared" si="170"/>
        <v>0</v>
      </c>
      <c r="Y1057" s="8">
        <f t="shared" si="171"/>
        <v>46023</v>
      </c>
    </row>
    <row r="1058" spans="2:25" ht="18.75" x14ac:dyDescent="0.3">
      <c r="B1058" s="6">
        <f t="shared" si="163"/>
        <v>0</v>
      </c>
      <c r="C1058" s="6">
        <f t="shared" si="164"/>
        <v>0</v>
      </c>
      <c r="D1058" s="6" t="str">
        <f t="shared" si="165"/>
        <v/>
      </c>
      <c r="E1058" s="35" t="str">
        <f t="shared" si="162"/>
        <v/>
      </c>
      <c r="F1058" s="31"/>
      <c r="G1058" s="29"/>
      <c r="H1058" s="78" t="str">
        <f t="shared" si="166"/>
        <v/>
      </c>
      <c r="I1058" s="25"/>
      <c r="J1058" s="25"/>
      <c r="K1058" s="26"/>
      <c r="L1058" s="26"/>
      <c r="M1058" s="37"/>
      <c r="N1058" s="27"/>
      <c r="O1058" s="30"/>
      <c r="P1058" s="39" t="str">
        <f t="shared" si="167"/>
        <v/>
      </c>
      <c r="Q1058" s="40" t="str">
        <f>IF(OR(T1058=0,RIGHT(T1058,1)=$W$1),"",COUNTIF($T$3:T1058,T1058))</f>
        <v/>
      </c>
      <c r="S1058" s="6">
        <f t="shared" si="168"/>
        <v>0</v>
      </c>
      <c r="T1058" s="36">
        <f t="shared" si="169"/>
        <v>0</v>
      </c>
      <c r="V1058" s="6">
        <f t="shared" si="170"/>
        <v>0</v>
      </c>
      <c r="Y1058" s="8">
        <f t="shared" si="171"/>
        <v>46023</v>
      </c>
    </row>
    <row r="1059" spans="2:25" ht="18.75" x14ac:dyDescent="0.3">
      <c r="B1059" s="6">
        <f t="shared" si="163"/>
        <v>0</v>
      </c>
      <c r="C1059" s="6">
        <f t="shared" si="164"/>
        <v>0</v>
      </c>
      <c r="D1059" s="6" t="str">
        <f t="shared" si="165"/>
        <v/>
      </c>
      <c r="E1059" s="35" t="str">
        <f t="shared" si="162"/>
        <v/>
      </c>
      <c r="F1059" s="31"/>
      <c r="G1059" s="29"/>
      <c r="H1059" s="78" t="str">
        <f t="shared" si="166"/>
        <v/>
      </c>
      <c r="I1059" s="25"/>
      <c r="J1059" s="25"/>
      <c r="K1059" s="26"/>
      <c r="L1059" s="26"/>
      <c r="M1059" s="37"/>
      <c r="N1059" s="27"/>
      <c r="O1059" s="30"/>
      <c r="P1059" s="39" t="str">
        <f t="shared" si="167"/>
        <v/>
      </c>
      <c r="Q1059" s="40" t="str">
        <f>IF(OR(T1059=0,RIGHT(T1059,1)=$W$1),"",COUNTIF($T$3:T1059,T1059))</f>
        <v/>
      </c>
      <c r="S1059" s="6">
        <f t="shared" si="168"/>
        <v>0</v>
      </c>
      <c r="T1059" s="36">
        <f t="shared" si="169"/>
        <v>0</v>
      </c>
      <c r="V1059" s="6">
        <f t="shared" si="170"/>
        <v>0</v>
      </c>
      <c r="Y1059" s="8">
        <f t="shared" si="171"/>
        <v>46023</v>
      </c>
    </row>
    <row r="1060" spans="2:25" ht="18.75" x14ac:dyDescent="0.3">
      <c r="B1060" s="6">
        <f t="shared" si="163"/>
        <v>0</v>
      </c>
      <c r="C1060" s="6">
        <f t="shared" si="164"/>
        <v>0</v>
      </c>
      <c r="D1060" s="6" t="str">
        <f t="shared" si="165"/>
        <v/>
      </c>
      <c r="E1060" s="35" t="str">
        <f t="shared" si="162"/>
        <v/>
      </c>
      <c r="F1060" s="31"/>
      <c r="G1060" s="29"/>
      <c r="H1060" s="78" t="str">
        <f t="shared" si="166"/>
        <v/>
      </c>
      <c r="I1060" s="25"/>
      <c r="J1060" s="25"/>
      <c r="K1060" s="26"/>
      <c r="L1060" s="26"/>
      <c r="M1060" s="37"/>
      <c r="N1060" s="27"/>
      <c r="O1060" s="30"/>
      <c r="P1060" s="39" t="str">
        <f t="shared" si="167"/>
        <v/>
      </c>
      <c r="Q1060" s="40" t="str">
        <f>IF(OR(T1060=0,RIGHT(T1060,1)=$W$1),"",COUNTIF($T$3:T1060,T1060))</f>
        <v/>
      </c>
      <c r="S1060" s="6">
        <f t="shared" si="168"/>
        <v>0</v>
      </c>
      <c r="T1060" s="36">
        <f t="shared" si="169"/>
        <v>0</v>
      </c>
      <c r="V1060" s="6">
        <f t="shared" si="170"/>
        <v>0</v>
      </c>
      <c r="Y1060" s="8">
        <f t="shared" si="171"/>
        <v>46023</v>
      </c>
    </row>
    <row r="1061" spans="2:25" ht="18.75" x14ac:dyDescent="0.3">
      <c r="B1061" s="6">
        <f t="shared" si="163"/>
        <v>0</v>
      </c>
      <c r="C1061" s="6">
        <f t="shared" si="164"/>
        <v>0</v>
      </c>
      <c r="D1061" s="6" t="str">
        <f t="shared" si="165"/>
        <v/>
      </c>
      <c r="E1061" s="35" t="str">
        <f t="shared" si="162"/>
        <v/>
      </c>
      <c r="F1061" s="31"/>
      <c r="G1061" s="29"/>
      <c r="H1061" s="78" t="str">
        <f t="shared" si="166"/>
        <v/>
      </c>
      <c r="I1061" s="25"/>
      <c r="J1061" s="25"/>
      <c r="K1061" s="26"/>
      <c r="L1061" s="26"/>
      <c r="M1061" s="37"/>
      <c r="N1061" s="27"/>
      <c r="O1061" s="30"/>
      <c r="P1061" s="39" t="str">
        <f t="shared" si="167"/>
        <v/>
      </c>
      <c r="Q1061" s="40" t="str">
        <f>IF(OR(T1061=0,RIGHT(T1061,1)=$W$1),"",COUNTIF($T$3:T1061,T1061))</f>
        <v/>
      </c>
      <c r="S1061" s="6">
        <f t="shared" si="168"/>
        <v>0</v>
      </c>
      <c r="T1061" s="36">
        <f t="shared" si="169"/>
        <v>0</v>
      </c>
      <c r="V1061" s="6">
        <f t="shared" si="170"/>
        <v>0</v>
      </c>
      <c r="Y1061" s="8">
        <f t="shared" si="171"/>
        <v>46023</v>
      </c>
    </row>
    <row r="1062" spans="2:25" ht="18.75" x14ac:dyDescent="0.3">
      <c r="B1062" s="6">
        <f t="shared" si="163"/>
        <v>0</v>
      </c>
      <c r="C1062" s="6">
        <f t="shared" si="164"/>
        <v>0</v>
      </c>
      <c r="D1062" s="6" t="str">
        <f t="shared" si="165"/>
        <v/>
      </c>
      <c r="E1062" s="35" t="str">
        <f t="shared" si="162"/>
        <v/>
      </c>
      <c r="F1062" s="31"/>
      <c r="G1062" s="29"/>
      <c r="H1062" s="78" t="str">
        <f t="shared" si="166"/>
        <v/>
      </c>
      <c r="I1062" s="25"/>
      <c r="J1062" s="25"/>
      <c r="K1062" s="26"/>
      <c r="L1062" s="26"/>
      <c r="M1062" s="37"/>
      <c r="N1062" s="27"/>
      <c r="O1062" s="30"/>
      <c r="P1062" s="39" t="str">
        <f t="shared" si="167"/>
        <v/>
      </c>
      <c r="Q1062" s="40" t="str">
        <f>IF(OR(T1062=0,RIGHT(T1062,1)=$W$1),"",COUNTIF($T$3:T1062,T1062))</f>
        <v/>
      </c>
      <c r="S1062" s="6">
        <f t="shared" si="168"/>
        <v>0</v>
      </c>
      <c r="T1062" s="36">
        <f t="shared" si="169"/>
        <v>0</v>
      </c>
      <c r="V1062" s="6">
        <f t="shared" si="170"/>
        <v>0</v>
      </c>
      <c r="Y1062" s="8">
        <f t="shared" si="171"/>
        <v>46023</v>
      </c>
    </row>
    <row r="1063" spans="2:25" ht="18.75" x14ac:dyDescent="0.3">
      <c r="B1063" s="6">
        <f t="shared" si="163"/>
        <v>0</v>
      </c>
      <c r="C1063" s="6">
        <f t="shared" si="164"/>
        <v>0</v>
      </c>
      <c r="D1063" s="6" t="str">
        <f t="shared" si="165"/>
        <v/>
      </c>
      <c r="E1063" s="35" t="str">
        <f t="shared" si="162"/>
        <v/>
      </c>
      <c r="F1063" s="31"/>
      <c r="G1063" s="29"/>
      <c r="H1063" s="78" t="str">
        <f t="shared" si="166"/>
        <v/>
      </c>
      <c r="I1063" s="25"/>
      <c r="J1063" s="25"/>
      <c r="K1063" s="26"/>
      <c r="L1063" s="26"/>
      <c r="M1063" s="37"/>
      <c r="N1063" s="27"/>
      <c r="O1063" s="30"/>
      <c r="P1063" s="39" t="str">
        <f t="shared" si="167"/>
        <v/>
      </c>
      <c r="Q1063" s="40" t="str">
        <f>IF(OR(T1063=0,RIGHT(T1063,1)=$W$1),"",COUNTIF($T$3:T1063,T1063))</f>
        <v/>
      </c>
      <c r="S1063" s="6">
        <f t="shared" si="168"/>
        <v>0</v>
      </c>
      <c r="T1063" s="36">
        <f t="shared" si="169"/>
        <v>0</v>
      </c>
      <c r="V1063" s="6">
        <f t="shared" si="170"/>
        <v>0</v>
      </c>
      <c r="Y1063" s="8">
        <f t="shared" si="171"/>
        <v>46023</v>
      </c>
    </row>
    <row r="1064" spans="2:25" ht="18.75" x14ac:dyDescent="0.3">
      <c r="B1064" s="6">
        <f t="shared" si="163"/>
        <v>0</v>
      </c>
      <c r="C1064" s="6">
        <f t="shared" si="164"/>
        <v>0</v>
      </c>
      <c r="D1064" s="6" t="str">
        <f t="shared" si="165"/>
        <v/>
      </c>
      <c r="E1064" s="35" t="str">
        <f t="shared" si="162"/>
        <v/>
      </c>
      <c r="F1064" s="31"/>
      <c r="G1064" s="29"/>
      <c r="H1064" s="78" t="str">
        <f t="shared" si="166"/>
        <v/>
      </c>
      <c r="I1064" s="25"/>
      <c r="J1064" s="25"/>
      <c r="K1064" s="26"/>
      <c r="L1064" s="26"/>
      <c r="M1064" s="37"/>
      <c r="N1064" s="27"/>
      <c r="O1064" s="30"/>
      <c r="P1064" s="39" t="str">
        <f t="shared" si="167"/>
        <v/>
      </c>
      <c r="Q1064" s="40" t="str">
        <f>IF(OR(T1064=0,RIGHT(T1064,1)=$W$1),"",COUNTIF($T$3:T1064,T1064))</f>
        <v/>
      </c>
      <c r="S1064" s="6">
        <f t="shared" si="168"/>
        <v>0</v>
      </c>
      <c r="T1064" s="36">
        <f t="shared" si="169"/>
        <v>0</v>
      </c>
      <c r="V1064" s="6">
        <f t="shared" si="170"/>
        <v>0</v>
      </c>
      <c r="Y1064" s="8">
        <f t="shared" si="171"/>
        <v>46023</v>
      </c>
    </row>
    <row r="1065" spans="2:25" ht="18.75" x14ac:dyDescent="0.3">
      <c r="B1065" s="6">
        <f t="shared" si="163"/>
        <v>0</v>
      </c>
      <c r="C1065" s="6">
        <f t="shared" si="164"/>
        <v>0</v>
      </c>
      <c r="D1065" s="6" t="str">
        <f t="shared" si="165"/>
        <v/>
      </c>
      <c r="E1065" s="35" t="str">
        <f t="shared" si="162"/>
        <v/>
      </c>
      <c r="F1065" s="31"/>
      <c r="G1065" s="29"/>
      <c r="H1065" s="78" t="str">
        <f t="shared" si="166"/>
        <v/>
      </c>
      <c r="I1065" s="25"/>
      <c r="J1065" s="25"/>
      <c r="K1065" s="26"/>
      <c r="L1065" s="26"/>
      <c r="M1065" s="37"/>
      <c r="N1065" s="27"/>
      <c r="O1065" s="30"/>
      <c r="P1065" s="39" t="str">
        <f t="shared" si="167"/>
        <v/>
      </c>
      <c r="Q1065" s="40" t="str">
        <f>IF(OR(T1065=0,RIGHT(T1065,1)=$W$1),"",COUNTIF($T$3:T1065,T1065))</f>
        <v/>
      </c>
      <c r="S1065" s="6">
        <f t="shared" si="168"/>
        <v>0</v>
      </c>
      <c r="T1065" s="36">
        <f t="shared" si="169"/>
        <v>0</v>
      </c>
      <c r="V1065" s="6">
        <f t="shared" si="170"/>
        <v>0</v>
      </c>
      <c r="Y1065" s="8">
        <f t="shared" si="171"/>
        <v>46023</v>
      </c>
    </row>
    <row r="1066" spans="2:25" ht="18.75" x14ac:dyDescent="0.3">
      <c r="B1066" s="6">
        <f t="shared" si="163"/>
        <v>0</v>
      </c>
      <c r="C1066" s="6">
        <f t="shared" si="164"/>
        <v>0</v>
      </c>
      <c r="D1066" s="6" t="str">
        <f t="shared" si="165"/>
        <v/>
      </c>
      <c r="E1066" s="35" t="str">
        <f t="shared" si="162"/>
        <v/>
      </c>
      <c r="F1066" s="31"/>
      <c r="G1066" s="29"/>
      <c r="H1066" s="78" t="str">
        <f t="shared" si="166"/>
        <v/>
      </c>
      <c r="I1066" s="25"/>
      <c r="J1066" s="25"/>
      <c r="K1066" s="26"/>
      <c r="L1066" s="26"/>
      <c r="M1066" s="37"/>
      <c r="N1066" s="27"/>
      <c r="O1066" s="30"/>
      <c r="P1066" s="39" t="str">
        <f t="shared" si="167"/>
        <v/>
      </c>
      <c r="Q1066" s="40" t="str">
        <f>IF(OR(T1066=0,RIGHT(T1066,1)=$W$1),"",COUNTIF($T$3:T1066,T1066))</f>
        <v/>
      </c>
      <c r="S1066" s="6">
        <f t="shared" si="168"/>
        <v>0</v>
      </c>
      <c r="T1066" s="36">
        <f t="shared" si="169"/>
        <v>0</v>
      </c>
      <c r="V1066" s="6">
        <f t="shared" si="170"/>
        <v>0</v>
      </c>
      <c r="Y1066" s="8">
        <f t="shared" si="171"/>
        <v>46023</v>
      </c>
    </row>
    <row r="1067" spans="2:25" ht="18.75" x14ac:dyDescent="0.3">
      <c r="B1067" s="6">
        <f t="shared" si="163"/>
        <v>0</v>
      </c>
      <c r="C1067" s="6">
        <f t="shared" si="164"/>
        <v>0</v>
      </c>
      <c r="D1067" s="6" t="str">
        <f t="shared" si="165"/>
        <v/>
      </c>
      <c r="E1067" s="35" t="str">
        <f t="shared" si="162"/>
        <v/>
      </c>
      <c r="F1067" s="31"/>
      <c r="G1067" s="29"/>
      <c r="H1067" s="78" t="str">
        <f t="shared" si="166"/>
        <v/>
      </c>
      <c r="I1067" s="25"/>
      <c r="J1067" s="25"/>
      <c r="K1067" s="26"/>
      <c r="L1067" s="26"/>
      <c r="M1067" s="37"/>
      <c r="N1067" s="27"/>
      <c r="O1067" s="30"/>
      <c r="P1067" s="39" t="str">
        <f t="shared" si="167"/>
        <v/>
      </c>
      <c r="Q1067" s="40" t="str">
        <f>IF(OR(T1067=0,RIGHT(T1067,1)=$W$1),"",COUNTIF($T$3:T1067,T1067))</f>
        <v/>
      </c>
      <c r="S1067" s="6">
        <f t="shared" si="168"/>
        <v>0</v>
      </c>
      <c r="T1067" s="36">
        <f t="shared" si="169"/>
        <v>0</v>
      </c>
      <c r="V1067" s="6">
        <f t="shared" si="170"/>
        <v>0</v>
      </c>
      <c r="Y1067" s="8">
        <f t="shared" si="171"/>
        <v>46023</v>
      </c>
    </row>
    <row r="1068" spans="2:25" ht="18.75" x14ac:dyDescent="0.3">
      <c r="B1068" s="6">
        <f t="shared" si="163"/>
        <v>0</v>
      </c>
      <c r="C1068" s="6">
        <f t="shared" si="164"/>
        <v>0</v>
      </c>
      <c r="D1068" s="6" t="str">
        <f t="shared" si="165"/>
        <v/>
      </c>
      <c r="E1068" s="35" t="str">
        <f t="shared" si="162"/>
        <v/>
      </c>
      <c r="F1068" s="31"/>
      <c r="G1068" s="29"/>
      <c r="H1068" s="78" t="str">
        <f t="shared" si="166"/>
        <v/>
      </c>
      <c r="I1068" s="25"/>
      <c r="J1068" s="25"/>
      <c r="K1068" s="26"/>
      <c r="L1068" s="26"/>
      <c r="M1068" s="37"/>
      <c r="N1068" s="27"/>
      <c r="O1068" s="30"/>
      <c r="P1068" s="39" t="str">
        <f t="shared" si="167"/>
        <v/>
      </c>
      <c r="Q1068" s="40" t="str">
        <f>IF(OR(T1068=0,RIGHT(T1068,1)=$W$1),"",COUNTIF($T$3:T1068,T1068))</f>
        <v/>
      </c>
      <c r="S1068" s="6">
        <f t="shared" si="168"/>
        <v>0</v>
      </c>
      <c r="T1068" s="36">
        <f t="shared" si="169"/>
        <v>0</v>
      </c>
      <c r="V1068" s="6">
        <f t="shared" si="170"/>
        <v>0</v>
      </c>
      <c r="Y1068" s="8">
        <f t="shared" si="171"/>
        <v>46023</v>
      </c>
    </row>
    <row r="1069" spans="2:25" ht="18.75" x14ac:dyDescent="0.3">
      <c r="B1069" s="6">
        <f t="shared" si="163"/>
        <v>0</v>
      </c>
      <c r="C1069" s="6">
        <f t="shared" si="164"/>
        <v>0</v>
      </c>
      <c r="D1069" s="6" t="str">
        <f t="shared" si="165"/>
        <v/>
      </c>
      <c r="E1069" s="35" t="str">
        <f t="shared" si="162"/>
        <v/>
      </c>
      <c r="F1069" s="31"/>
      <c r="G1069" s="29"/>
      <c r="H1069" s="78" t="str">
        <f t="shared" si="166"/>
        <v/>
      </c>
      <c r="I1069" s="25"/>
      <c r="J1069" s="25"/>
      <c r="K1069" s="26"/>
      <c r="L1069" s="26"/>
      <c r="M1069" s="37"/>
      <c r="N1069" s="27"/>
      <c r="O1069" s="30"/>
      <c r="P1069" s="39" t="str">
        <f t="shared" si="167"/>
        <v/>
      </c>
      <c r="Q1069" s="40" t="str">
        <f>IF(OR(T1069=0,RIGHT(T1069,1)=$W$1),"",COUNTIF($T$3:T1069,T1069))</f>
        <v/>
      </c>
      <c r="S1069" s="6">
        <f t="shared" si="168"/>
        <v>0</v>
      </c>
      <c r="T1069" s="36">
        <f t="shared" si="169"/>
        <v>0</v>
      </c>
      <c r="V1069" s="6">
        <f t="shared" si="170"/>
        <v>0</v>
      </c>
      <c r="Y1069" s="8">
        <f t="shared" si="171"/>
        <v>46023</v>
      </c>
    </row>
    <row r="1070" spans="2:25" ht="18.75" x14ac:dyDescent="0.3">
      <c r="B1070" s="6">
        <f t="shared" si="163"/>
        <v>0</v>
      </c>
      <c r="C1070" s="6">
        <f t="shared" si="164"/>
        <v>0</v>
      </c>
      <c r="D1070" s="6" t="str">
        <f t="shared" si="165"/>
        <v/>
      </c>
      <c r="E1070" s="35" t="str">
        <f t="shared" si="162"/>
        <v/>
      </c>
      <c r="F1070" s="31"/>
      <c r="G1070" s="29"/>
      <c r="H1070" s="78" t="str">
        <f t="shared" si="166"/>
        <v/>
      </c>
      <c r="I1070" s="25"/>
      <c r="J1070" s="25"/>
      <c r="K1070" s="26"/>
      <c r="L1070" s="26"/>
      <c r="M1070" s="37"/>
      <c r="N1070" s="27"/>
      <c r="O1070" s="30"/>
      <c r="P1070" s="39" t="str">
        <f t="shared" si="167"/>
        <v/>
      </c>
      <c r="Q1070" s="40" t="str">
        <f>IF(OR(T1070=0,RIGHT(T1070,1)=$W$1),"",COUNTIF($T$3:T1070,T1070))</f>
        <v/>
      </c>
      <c r="S1070" s="6">
        <f t="shared" si="168"/>
        <v>0</v>
      </c>
      <c r="T1070" s="36">
        <f t="shared" si="169"/>
        <v>0</v>
      </c>
      <c r="V1070" s="6">
        <f t="shared" si="170"/>
        <v>0</v>
      </c>
      <c r="Y1070" s="8">
        <f t="shared" si="171"/>
        <v>46023</v>
      </c>
    </row>
    <row r="1071" spans="2:25" ht="18.75" x14ac:dyDescent="0.3">
      <c r="B1071" s="6">
        <f t="shared" si="163"/>
        <v>0</v>
      </c>
      <c r="C1071" s="6">
        <f t="shared" si="164"/>
        <v>0</v>
      </c>
      <c r="D1071" s="6" t="str">
        <f t="shared" si="165"/>
        <v/>
      </c>
      <c r="E1071" s="35" t="str">
        <f t="shared" si="162"/>
        <v/>
      </c>
      <c r="F1071" s="31"/>
      <c r="G1071" s="29"/>
      <c r="H1071" s="78" t="str">
        <f t="shared" si="166"/>
        <v/>
      </c>
      <c r="I1071" s="25"/>
      <c r="J1071" s="25"/>
      <c r="K1071" s="26"/>
      <c r="L1071" s="26"/>
      <c r="M1071" s="37"/>
      <c r="N1071" s="27"/>
      <c r="O1071" s="30"/>
      <c r="P1071" s="39" t="str">
        <f t="shared" si="167"/>
        <v/>
      </c>
      <c r="Q1071" s="40" t="str">
        <f>IF(OR(T1071=0,RIGHT(T1071,1)=$W$1),"",COUNTIF($T$3:T1071,T1071))</f>
        <v/>
      </c>
      <c r="S1071" s="6">
        <f t="shared" si="168"/>
        <v>0</v>
      </c>
      <c r="T1071" s="36">
        <f t="shared" si="169"/>
        <v>0</v>
      </c>
      <c r="V1071" s="6">
        <f t="shared" si="170"/>
        <v>0</v>
      </c>
      <c r="Y1071" s="8">
        <f t="shared" si="171"/>
        <v>46023</v>
      </c>
    </row>
    <row r="1072" spans="2:25" ht="18.75" x14ac:dyDescent="0.3">
      <c r="B1072" s="6">
        <f t="shared" si="163"/>
        <v>0</v>
      </c>
      <c r="C1072" s="6">
        <f t="shared" si="164"/>
        <v>0</v>
      </c>
      <c r="D1072" s="6" t="str">
        <f t="shared" si="165"/>
        <v/>
      </c>
      <c r="E1072" s="35" t="str">
        <f t="shared" si="162"/>
        <v/>
      </c>
      <c r="F1072" s="31"/>
      <c r="G1072" s="29"/>
      <c r="H1072" s="78" t="str">
        <f t="shared" si="166"/>
        <v/>
      </c>
      <c r="I1072" s="25"/>
      <c r="J1072" s="25"/>
      <c r="K1072" s="26"/>
      <c r="L1072" s="26"/>
      <c r="M1072" s="37"/>
      <c r="N1072" s="27"/>
      <c r="O1072" s="30"/>
      <c r="P1072" s="39" t="str">
        <f t="shared" si="167"/>
        <v/>
      </c>
      <c r="Q1072" s="40" t="str">
        <f>IF(OR(T1072=0,RIGHT(T1072,1)=$W$1),"",COUNTIF($T$3:T1072,T1072))</f>
        <v/>
      </c>
      <c r="S1072" s="6">
        <f t="shared" si="168"/>
        <v>0</v>
      </c>
      <c r="T1072" s="36">
        <f t="shared" si="169"/>
        <v>0</v>
      </c>
      <c r="V1072" s="6">
        <f t="shared" si="170"/>
        <v>0</v>
      </c>
      <c r="Y1072" s="8">
        <f t="shared" si="171"/>
        <v>46023</v>
      </c>
    </row>
    <row r="1073" spans="2:25" ht="18.75" x14ac:dyDescent="0.3">
      <c r="B1073" s="6">
        <f t="shared" si="163"/>
        <v>0</v>
      </c>
      <c r="C1073" s="6">
        <f t="shared" si="164"/>
        <v>0</v>
      </c>
      <c r="D1073" s="6" t="str">
        <f t="shared" si="165"/>
        <v/>
      </c>
      <c r="E1073" s="35" t="str">
        <f t="shared" si="162"/>
        <v/>
      </c>
      <c r="F1073" s="31"/>
      <c r="G1073" s="29"/>
      <c r="H1073" s="78" t="str">
        <f t="shared" si="166"/>
        <v/>
      </c>
      <c r="I1073" s="25"/>
      <c r="J1073" s="25"/>
      <c r="K1073" s="26"/>
      <c r="L1073" s="26"/>
      <c r="M1073" s="37"/>
      <c r="N1073" s="27"/>
      <c r="O1073" s="30"/>
      <c r="P1073" s="39" t="str">
        <f t="shared" si="167"/>
        <v/>
      </c>
      <c r="Q1073" s="40" t="str">
        <f>IF(OR(T1073=0,RIGHT(T1073,1)=$W$1),"",COUNTIF($T$3:T1073,T1073))</f>
        <v/>
      </c>
      <c r="S1073" s="6">
        <f t="shared" si="168"/>
        <v>0</v>
      </c>
      <c r="T1073" s="36">
        <f t="shared" si="169"/>
        <v>0</v>
      </c>
      <c r="V1073" s="6">
        <f t="shared" si="170"/>
        <v>0</v>
      </c>
      <c r="Y1073" s="8">
        <f t="shared" si="171"/>
        <v>46023</v>
      </c>
    </row>
    <row r="1074" spans="2:25" ht="18.75" x14ac:dyDescent="0.3">
      <c r="B1074" s="6">
        <f t="shared" si="163"/>
        <v>0</v>
      </c>
      <c r="C1074" s="6">
        <f t="shared" si="164"/>
        <v>0</v>
      </c>
      <c r="D1074" s="6" t="str">
        <f t="shared" si="165"/>
        <v/>
      </c>
      <c r="E1074" s="35" t="str">
        <f t="shared" si="162"/>
        <v/>
      </c>
      <c r="F1074" s="31"/>
      <c r="G1074" s="29"/>
      <c r="H1074" s="78" t="str">
        <f t="shared" si="166"/>
        <v/>
      </c>
      <c r="I1074" s="25"/>
      <c r="J1074" s="25"/>
      <c r="K1074" s="26"/>
      <c r="L1074" s="26"/>
      <c r="M1074" s="37"/>
      <c r="N1074" s="27"/>
      <c r="O1074" s="30"/>
      <c r="P1074" s="39" t="str">
        <f t="shared" si="167"/>
        <v/>
      </c>
      <c r="Q1074" s="40" t="str">
        <f>IF(OR(T1074=0,RIGHT(T1074,1)=$W$1),"",COUNTIF($T$3:T1074,T1074))</f>
        <v/>
      </c>
      <c r="S1074" s="6">
        <f t="shared" si="168"/>
        <v>0</v>
      </c>
      <c r="T1074" s="36">
        <f t="shared" si="169"/>
        <v>0</v>
      </c>
      <c r="V1074" s="6">
        <f t="shared" si="170"/>
        <v>0</v>
      </c>
      <c r="Y1074" s="8">
        <f t="shared" si="171"/>
        <v>46023</v>
      </c>
    </row>
    <row r="1075" spans="2:25" ht="18.75" x14ac:dyDescent="0.3">
      <c r="B1075" s="6">
        <f t="shared" si="163"/>
        <v>0</v>
      </c>
      <c r="C1075" s="6">
        <f t="shared" si="164"/>
        <v>0</v>
      </c>
      <c r="D1075" s="6" t="str">
        <f t="shared" si="165"/>
        <v/>
      </c>
      <c r="E1075" s="35" t="str">
        <f t="shared" si="162"/>
        <v/>
      </c>
      <c r="F1075" s="31"/>
      <c r="G1075" s="29"/>
      <c r="H1075" s="78" t="str">
        <f t="shared" si="166"/>
        <v/>
      </c>
      <c r="I1075" s="25"/>
      <c r="J1075" s="25"/>
      <c r="K1075" s="26"/>
      <c r="L1075" s="26"/>
      <c r="M1075" s="37"/>
      <c r="N1075" s="27"/>
      <c r="O1075" s="30"/>
      <c r="P1075" s="39" t="str">
        <f t="shared" si="167"/>
        <v/>
      </c>
      <c r="Q1075" s="40" t="str">
        <f>IF(OR(T1075=0,RIGHT(T1075,1)=$W$1),"",COUNTIF($T$3:T1075,T1075))</f>
        <v/>
      </c>
      <c r="S1075" s="6">
        <f t="shared" si="168"/>
        <v>0</v>
      </c>
      <c r="T1075" s="36">
        <f t="shared" si="169"/>
        <v>0</v>
      </c>
      <c r="V1075" s="6">
        <f t="shared" si="170"/>
        <v>0</v>
      </c>
      <c r="Y1075" s="8">
        <f t="shared" si="171"/>
        <v>46023</v>
      </c>
    </row>
    <row r="1076" spans="2:25" ht="18.75" x14ac:dyDescent="0.3">
      <c r="B1076" s="6">
        <f t="shared" si="163"/>
        <v>0</v>
      </c>
      <c r="C1076" s="6">
        <f t="shared" si="164"/>
        <v>0</v>
      </c>
      <c r="D1076" s="6" t="str">
        <f t="shared" si="165"/>
        <v/>
      </c>
      <c r="E1076" s="35" t="str">
        <f t="shared" si="162"/>
        <v/>
      </c>
      <c r="F1076" s="31"/>
      <c r="G1076" s="29"/>
      <c r="H1076" s="78" t="str">
        <f t="shared" si="166"/>
        <v/>
      </c>
      <c r="I1076" s="25"/>
      <c r="J1076" s="25"/>
      <c r="K1076" s="26"/>
      <c r="L1076" s="26"/>
      <c r="M1076" s="37"/>
      <c r="N1076" s="27"/>
      <c r="O1076" s="30"/>
      <c r="P1076" s="39" t="str">
        <f t="shared" si="167"/>
        <v/>
      </c>
      <c r="Q1076" s="40" t="str">
        <f>IF(OR(T1076=0,RIGHT(T1076,1)=$W$1),"",COUNTIF($T$3:T1076,T1076))</f>
        <v/>
      </c>
      <c r="S1076" s="6">
        <f t="shared" si="168"/>
        <v>0</v>
      </c>
      <c r="T1076" s="36">
        <f t="shared" si="169"/>
        <v>0</v>
      </c>
      <c r="V1076" s="6">
        <f t="shared" si="170"/>
        <v>0</v>
      </c>
      <c r="Y1076" s="8">
        <f t="shared" si="171"/>
        <v>46023</v>
      </c>
    </row>
    <row r="1077" spans="2:25" ht="18.75" x14ac:dyDescent="0.3">
      <c r="B1077" s="6">
        <f t="shared" si="163"/>
        <v>0</v>
      </c>
      <c r="C1077" s="6">
        <f t="shared" si="164"/>
        <v>0</v>
      </c>
      <c r="D1077" s="6" t="str">
        <f t="shared" si="165"/>
        <v/>
      </c>
      <c r="E1077" s="35" t="str">
        <f t="shared" si="162"/>
        <v/>
      </c>
      <c r="F1077" s="31"/>
      <c r="G1077" s="29"/>
      <c r="H1077" s="78" t="str">
        <f t="shared" si="166"/>
        <v/>
      </c>
      <c r="I1077" s="25"/>
      <c r="J1077" s="25"/>
      <c r="K1077" s="26"/>
      <c r="L1077" s="26"/>
      <c r="M1077" s="37"/>
      <c r="N1077" s="27"/>
      <c r="O1077" s="30"/>
      <c r="P1077" s="39" t="str">
        <f t="shared" si="167"/>
        <v/>
      </c>
      <c r="Q1077" s="40" t="str">
        <f>IF(OR(T1077=0,RIGHT(T1077,1)=$W$1),"",COUNTIF($T$3:T1077,T1077))</f>
        <v/>
      </c>
      <c r="S1077" s="6">
        <f t="shared" si="168"/>
        <v>0</v>
      </c>
      <c r="T1077" s="36">
        <f t="shared" si="169"/>
        <v>0</v>
      </c>
      <c r="V1077" s="6">
        <f t="shared" si="170"/>
        <v>0</v>
      </c>
      <c r="Y1077" s="8">
        <f t="shared" si="171"/>
        <v>46023</v>
      </c>
    </row>
    <row r="1078" spans="2:25" ht="18.75" x14ac:dyDescent="0.3">
      <c r="B1078" s="6">
        <f t="shared" si="163"/>
        <v>0</v>
      </c>
      <c r="C1078" s="6">
        <f t="shared" si="164"/>
        <v>0</v>
      </c>
      <c r="D1078" s="6" t="str">
        <f t="shared" si="165"/>
        <v/>
      </c>
      <c r="E1078" s="35" t="str">
        <f t="shared" si="162"/>
        <v/>
      </c>
      <c r="F1078" s="31"/>
      <c r="G1078" s="29"/>
      <c r="H1078" s="78" t="str">
        <f t="shared" si="166"/>
        <v/>
      </c>
      <c r="I1078" s="25"/>
      <c r="J1078" s="25"/>
      <c r="K1078" s="26"/>
      <c r="L1078" s="26"/>
      <c r="M1078" s="37"/>
      <c r="N1078" s="27"/>
      <c r="O1078" s="30"/>
      <c r="P1078" s="39" t="str">
        <f t="shared" si="167"/>
        <v/>
      </c>
      <c r="Q1078" s="40" t="str">
        <f>IF(OR(T1078=0,RIGHT(T1078,1)=$W$1),"",COUNTIF($T$3:T1078,T1078))</f>
        <v/>
      </c>
      <c r="S1078" s="6">
        <f t="shared" si="168"/>
        <v>0</v>
      </c>
      <c r="T1078" s="36">
        <f t="shared" si="169"/>
        <v>0</v>
      </c>
      <c r="V1078" s="6">
        <f t="shared" si="170"/>
        <v>0</v>
      </c>
      <c r="Y1078" s="8">
        <f t="shared" si="171"/>
        <v>46023</v>
      </c>
    </row>
    <row r="1079" spans="2:25" ht="18.75" x14ac:dyDescent="0.3">
      <c r="B1079" s="6">
        <f t="shared" si="163"/>
        <v>0</v>
      </c>
      <c r="C1079" s="6">
        <f t="shared" si="164"/>
        <v>0</v>
      </c>
      <c r="D1079" s="6" t="str">
        <f t="shared" si="165"/>
        <v/>
      </c>
      <c r="E1079" s="35" t="str">
        <f t="shared" si="162"/>
        <v/>
      </c>
      <c r="F1079" s="31"/>
      <c r="G1079" s="29"/>
      <c r="H1079" s="78" t="str">
        <f t="shared" si="166"/>
        <v/>
      </c>
      <c r="I1079" s="25"/>
      <c r="J1079" s="25"/>
      <c r="K1079" s="26"/>
      <c r="L1079" s="26"/>
      <c r="M1079" s="37"/>
      <c r="N1079" s="27"/>
      <c r="O1079" s="30"/>
      <c r="P1079" s="39" t="str">
        <f t="shared" si="167"/>
        <v/>
      </c>
      <c r="Q1079" s="40" t="str">
        <f>IF(OR(T1079=0,RIGHT(T1079,1)=$W$1),"",COUNTIF($T$3:T1079,T1079))</f>
        <v/>
      </c>
      <c r="S1079" s="6">
        <f t="shared" si="168"/>
        <v>0</v>
      </c>
      <c r="T1079" s="36">
        <f t="shared" si="169"/>
        <v>0</v>
      </c>
      <c r="V1079" s="6">
        <f t="shared" si="170"/>
        <v>0</v>
      </c>
      <c r="Y1079" s="8">
        <f t="shared" si="171"/>
        <v>46023</v>
      </c>
    </row>
    <row r="1080" spans="2:25" ht="18.75" x14ac:dyDescent="0.3">
      <c r="B1080" s="6">
        <f t="shared" si="163"/>
        <v>0</v>
      </c>
      <c r="C1080" s="6">
        <f t="shared" si="164"/>
        <v>0</v>
      </c>
      <c r="D1080" s="6" t="str">
        <f t="shared" si="165"/>
        <v/>
      </c>
      <c r="E1080" s="35" t="str">
        <f t="shared" si="162"/>
        <v/>
      </c>
      <c r="F1080" s="31"/>
      <c r="G1080" s="29"/>
      <c r="H1080" s="78" t="str">
        <f t="shared" si="166"/>
        <v/>
      </c>
      <c r="I1080" s="25"/>
      <c r="J1080" s="25"/>
      <c r="K1080" s="26"/>
      <c r="L1080" s="26"/>
      <c r="M1080" s="37"/>
      <c r="N1080" s="27"/>
      <c r="O1080" s="30"/>
      <c r="P1080" s="39" t="str">
        <f t="shared" si="167"/>
        <v/>
      </c>
      <c r="Q1080" s="40" t="str">
        <f>IF(OR(T1080=0,RIGHT(T1080,1)=$W$1),"",COUNTIF($T$3:T1080,T1080))</f>
        <v/>
      </c>
      <c r="S1080" s="6">
        <f t="shared" si="168"/>
        <v>0</v>
      </c>
      <c r="T1080" s="36">
        <f t="shared" si="169"/>
        <v>0</v>
      </c>
      <c r="V1080" s="6">
        <f t="shared" si="170"/>
        <v>0</v>
      </c>
      <c r="Y1080" s="8">
        <f t="shared" si="171"/>
        <v>46023</v>
      </c>
    </row>
    <row r="1081" spans="2:25" ht="18.75" x14ac:dyDescent="0.3">
      <c r="B1081" s="6">
        <f t="shared" si="163"/>
        <v>0</v>
      </c>
      <c r="C1081" s="6">
        <f t="shared" si="164"/>
        <v>0</v>
      </c>
      <c r="D1081" s="6" t="str">
        <f t="shared" si="165"/>
        <v/>
      </c>
      <c r="E1081" s="35" t="str">
        <f t="shared" si="162"/>
        <v/>
      </c>
      <c r="F1081" s="31"/>
      <c r="G1081" s="29"/>
      <c r="H1081" s="78" t="str">
        <f t="shared" si="166"/>
        <v/>
      </c>
      <c r="I1081" s="25"/>
      <c r="J1081" s="25"/>
      <c r="K1081" s="26"/>
      <c r="L1081" s="26"/>
      <c r="M1081" s="37"/>
      <c r="N1081" s="27"/>
      <c r="O1081" s="30"/>
      <c r="P1081" s="39" t="str">
        <f t="shared" si="167"/>
        <v/>
      </c>
      <c r="Q1081" s="40" t="str">
        <f>IF(OR(T1081=0,RIGHT(T1081,1)=$W$1),"",COUNTIF($T$3:T1081,T1081))</f>
        <v/>
      </c>
      <c r="S1081" s="6">
        <f t="shared" si="168"/>
        <v>0</v>
      </c>
      <c r="T1081" s="36">
        <f t="shared" si="169"/>
        <v>0</v>
      </c>
      <c r="V1081" s="6">
        <f t="shared" si="170"/>
        <v>0</v>
      </c>
      <c r="Y1081" s="8">
        <f t="shared" si="171"/>
        <v>46023</v>
      </c>
    </row>
    <row r="1082" spans="2:25" ht="18.75" x14ac:dyDescent="0.3">
      <c r="B1082" s="6">
        <f t="shared" si="163"/>
        <v>0</v>
      </c>
      <c r="C1082" s="6">
        <f t="shared" si="164"/>
        <v>0</v>
      </c>
      <c r="D1082" s="6" t="str">
        <f t="shared" si="165"/>
        <v/>
      </c>
      <c r="E1082" s="35" t="str">
        <f t="shared" si="162"/>
        <v/>
      </c>
      <c r="F1082" s="31"/>
      <c r="G1082" s="29"/>
      <c r="H1082" s="78" t="str">
        <f t="shared" si="166"/>
        <v/>
      </c>
      <c r="I1082" s="25"/>
      <c r="J1082" s="25"/>
      <c r="K1082" s="26"/>
      <c r="L1082" s="26"/>
      <c r="M1082" s="37"/>
      <c r="N1082" s="27"/>
      <c r="O1082" s="30"/>
      <c r="P1082" s="39" t="str">
        <f t="shared" si="167"/>
        <v/>
      </c>
      <c r="Q1082" s="40" t="str">
        <f>IF(OR(T1082=0,RIGHT(T1082,1)=$W$1),"",COUNTIF($T$3:T1082,T1082))</f>
        <v/>
      </c>
      <c r="S1082" s="6">
        <f t="shared" si="168"/>
        <v>0</v>
      </c>
      <c r="T1082" s="36">
        <f t="shared" si="169"/>
        <v>0</v>
      </c>
      <c r="V1082" s="6">
        <f t="shared" si="170"/>
        <v>0</v>
      </c>
      <c r="Y1082" s="8">
        <f t="shared" si="171"/>
        <v>46023</v>
      </c>
    </row>
    <row r="1083" spans="2:25" ht="18.75" x14ac:dyDescent="0.3">
      <c r="B1083" s="6">
        <f t="shared" si="163"/>
        <v>0</v>
      </c>
      <c r="C1083" s="6">
        <f t="shared" si="164"/>
        <v>0</v>
      </c>
      <c r="D1083" s="6" t="str">
        <f t="shared" si="165"/>
        <v/>
      </c>
      <c r="E1083" s="35" t="str">
        <f t="shared" si="162"/>
        <v/>
      </c>
      <c r="F1083" s="31"/>
      <c r="G1083" s="29"/>
      <c r="H1083" s="78" t="str">
        <f t="shared" si="166"/>
        <v/>
      </c>
      <c r="I1083" s="25"/>
      <c r="J1083" s="25"/>
      <c r="K1083" s="26"/>
      <c r="L1083" s="26"/>
      <c r="M1083" s="37"/>
      <c r="N1083" s="27"/>
      <c r="O1083" s="30"/>
      <c r="P1083" s="39" t="str">
        <f t="shared" si="167"/>
        <v/>
      </c>
      <c r="Q1083" s="40" t="str">
        <f>IF(OR(T1083=0,RIGHT(T1083,1)=$W$1),"",COUNTIF($T$3:T1083,T1083))</f>
        <v/>
      </c>
      <c r="S1083" s="6">
        <f t="shared" si="168"/>
        <v>0</v>
      </c>
      <c r="T1083" s="36">
        <f t="shared" si="169"/>
        <v>0</v>
      </c>
      <c r="V1083" s="6">
        <f t="shared" si="170"/>
        <v>0</v>
      </c>
      <c r="Y1083" s="8">
        <f t="shared" si="171"/>
        <v>46023</v>
      </c>
    </row>
    <row r="1084" spans="2:25" ht="18.75" x14ac:dyDescent="0.3">
      <c r="B1084" s="6">
        <f t="shared" si="163"/>
        <v>0</v>
      </c>
      <c r="C1084" s="6">
        <f t="shared" si="164"/>
        <v>0</v>
      </c>
      <c r="D1084" s="6" t="str">
        <f t="shared" si="165"/>
        <v/>
      </c>
      <c r="E1084" s="35" t="str">
        <f t="shared" si="162"/>
        <v/>
      </c>
      <c r="F1084" s="31"/>
      <c r="G1084" s="29"/>
      <c r="H1084" s="78" t="str">
        <f t="shared" si="166"/>
        <v/>
      </c>
      <c r="I1084" s="25"/>
      <c r="J1084" s="25"/>
      <c r="K1084" s="26"/>
      <c r="L1084" s="26"/>
      <c r="M1084" s="37"/>
      <c r="N1084" s="27"/>
      <c r="O1084" s="30"/>
      <c r="P1084" s="39" t="str">
        <f t="shared" si="167"/>
        <v/>
      </c>
      <c r="Q1084" s="40" t="str">
        <f>IF(OR(T1084=0,RIGHT(T1084,1)=$W$1),"",COUNTIF($T$3:T1084,T1084))</f>
        <v/>
      </c>
      <c r="S1084" s="6">
        <f t="shared" si="168"/>
        <v>0</v>
      </c>
      <c r="T1084" s="36">
        <f t="shared" si="169"/>
        <v>0</v>
      </c>
      <c r="V1084" s="6">
        <f t="shared" si="170"/>
        <v>0</v>
      </c>
      <c r="Y1084" s="8">
        <f t="shared" si="171"/>
        <v>46023</v>
      </c>
    </row>
    <row r="1085" spans="2:25" ht="18.75" x14ac:dyDescent="0.3">
      <c r="B1085" s="6">
        <f t="shared" si="163"/>
        <v>0</v>
      </c>
      <c r="C1085" s="6">
        <f t="shared" si="164"/>
        <v>0</v>
      </c>
      <c r="D1085" s="6" t="str">
        <f t="shared" si="165"/>
        <v/>
      </c>
      <c r="E1085" s="35" t="str">
        <f t="shared" si="162"/>
        <v/>
      </c>
      <c r="F1085" s="31"/>
      <c r="G1085" s="29"/>
      <c r="H1085" s="78" t="str">
        <f t="shared" si="166"/>
        <v/>
      </c>
      <c r="I1085" s="25"/>
      <c r="J1085" s="25"/>
      <c r="K1085" s="26"/>
      <c r="L1085" s="26"/>
      <c r="M1085" s="37"/>
      <c r="N1085" s="27"/>
      <c r="O1085" s="30"/>
      <c r="P1085" s="39" t="str">
        <f t="shared" si="167"/>
        <v/>
      </c>
      <c r="Q1085" s="40" t="str">
        <f>IF(OR(T1085=0,RIGHT(T1085,1)=$W$1),"",COUNTIF($T$3:T1085,T1085))</f>
        <v/>
      </c>
      <c r="S1085" s="6">
        <f t="shared" si="168"/>
        <v>0</v>
      </c>
      <c r="T1085" s="36">
        <f t="shared" si="169"/>
        <v>0</v>
      </c>
      <c r="V1085" s="6">
        <f t="shared" si="170"/>
        <v>0</v>
      </c>
      <c r="Y1085" s="8">
        <f t="shared" si="171"/>
        <v>46023</v>
      </c>
    </row>
    <row r="1086" spans="2:25" ht="18.75" x14ac:dyDescent="0.3">
      <c r="B1086" s="6">
        <f t="shared" si="163"/>
        <v>0</v>
      </c>
      <c r="C1086" s="6">
        <f t="shared" si="164"/>
        <v>0</v>
      </c>
      <c r="D1086" s="6" t="str">
        <f t="shared" si="165"/>
        <v/>
      </c>
      <c r="E1086" s="35" t="str">
        <f t="shared" si="162"/>
        <v/>
      </c>
      <c r="F1086" s="31"/>
      <c r="G1086" s="29"/>
      <c r="H1086" s="78" t="str">
        <f t="shared" si="166"/>
        <v/>
      </c>
      <c r="I1086" s="25"/>
      <c r="J1086" s="25"/>
      <c r="K1086" s="26"/>
      <c r="L1086" s="26"/>
      <c r="M1086" s="37"/>
      <c r="N1086" s="27"/>
      <c r="O1086" s="30"/>
      <c r="P1086" s="39" t="str">
        <f t="shared" si="167"/>
        <v/>
      </c>
      <c r="Q1086" s="40" t="str">
        <f>IF(OR(T1086=0,RIGHT(T1086,1)=$W$1),"",COUNTIF($T$3:T1086,T1086))</f>
        <v/>
      </c>
      <c r="S1086" s="6">
        <f t="shared" si="168"/>
        <v>0</v>
      </c>
      <c r="T1086" s="36">
        <f t="shared" si="169"/>
        <v>0</v>
      </c>
      <c r="V1086" s="6">
        <f t="shared" si="170"/>
        <v>0</v>
      </c>
      <c r="Y1086" s="8">
        <f t="shared" si="171"/>
        <v>46023</v>
      </c>
    </row>
    <row r="1087" spans="2:25" ht="18.75" x14ac:dyDescent="0.3">
      <c r="B1087" s="6">
        <f t="shared" si="163"/>
        <v>0</v>
      </c>
      <c r="C1087" s="6">
        <f t="shared" si="164"/>
        <v>0</v>
      </c>
      <c r="D1087" s="6" t="str">
        <f t="shared" si="165"/>
        <v/>
      </c>
      <c r="E1087" s="35" t="str">
        <f t="shared" si="162"/>
        <v/>
      </c>
      <c r="F1087" s="31"/>
      <c r="G1087" s="29"/>
      <c r="H1087" s="78" t="str">
        <f t="shared" si="166"/>
        <v/>
      </c>
      <c r="I1087" s="25"/>
      <c r="J1087" s="25"/>
      <c r="K1087" s="26"/>
      <c r="L1087" s="26"/>
      <c r="M1087" s="37"/>
      <c r="N1087" s="27"/>
      <c r="O1087" s="30"/>
      <c r="P1087" s="39" t="str">
        <f t="shared" si="167"/>
        <v/>
      </c>
      <c r="Q1087" s="40" t="str">
        <f>IF(OR(T1087=0,RIGHT(T1087,1)=$W$1),"",COUNTIF($T$3:T1087,T1087))</f>
        <v/>
      </c>
      <c r="S1087" s="6">
        <f t="shared" si="168"/>
        <v>0</v>
      </c>
      <c r="T1087" s="36">
        <f t="shared" si="169"/>
        <v>0</v>
      </c>
      <c r="V1087" s="6">
        <f t="shared" si="170"/>
        <v>0</v>
      </c>
      <c r="Y1087" s="8">
        <f t="shared" si="171"/>
        <v>46023</v>
      </c>
    </row>
    <row r="1088" spans="2:25" ht="18.75" x14ac:dyDescent="0.3">
      <c r="B1088" s="6">
        <f t="shared" si="163"/>
        <v>0</v>
      </c>
      <c r="C1088" s="6">
        <f t="shared" si="164"/>
        <v>0</v>
      </c>
      <c r="D1088" s="6" t="str">
        <f t="shared" si="165"/>
        <v/>
      </c>
      <c r="E1088" s="35" t="str">
        <f t="shared" si="162"/>
        <v/>
      </c>
      <c r="F1088" s="31"/>
      <c r="G1088" s="29"/>
      <c r="H1088" s="78" t="str">
        <f t="shared" si="166"/>
        <v/>
      </c>
      <c r="I1088" s="25"/>
      <c r="J1088" s="25"/>
      <c r="K1088" s="26"/>
      <c r="L1088" s="26"/>
      <c r="M1088" s="37"/>
      <c r="N1088" s="27"/>
      <c r="O1088" s="30"/>
      <c r="P1088" s="39" t="str">
        <f t="shared" si="167"/>
        <v/>
      </c>
      <c r="Q1088" s="40" t="str">
        <f>IF(OR(T1088=0,RIGHT(T1088,1)=$W$1),"",COUNTIF($T$3:T1088,T1088))</f>
        <v/>
      </c>
      <c r="S1088" s="6">
        <f t="shared" si="168"/>
        <v>0</v>
      </c>
      <c r="T1088" s="36">
        <f t="shared" si="169"/>
        <v>0</v>
      </c>
      <c r="V1088" s="6">
        <f t="shared" si="170"/>
        <v>0</v>
      </c>
      <c r="Y1088" s="8">
        <f t="shared" si="171"/>
        <v>46023</v>
      </c>
    </row>
    <row r="1089" spans="2:25" ht="18.75" x14ac:dyDescent="0.3">
      <c r="B1089" s="6">
        <f t="shared" si="163"/>
        <v>0</v>
      </c>
      <c r="C1089" s="6">
        <f t="shared" si="164"/>
        <v>0</v>
      </c>
      <c r="D1089" s="6" t="str">
        <f t="shared" si="165"/>
        <v/>
      </c>
      <c r="E1089" s="35" t="str">
        <f t="shared" si="162"/>
        <v/>
      </c>
      <c r="F1089" s="31"/>
      <c r="G1089" s="29"/>
      <c r="H1089" s="78" t="str">
        <f t="shared" si="166"/>
        <v/>
      </c>
      <c r="I1089" s="25"/>
      <c r="J1089" s="25"/>
      <c r="K1089" s="26"/>
      <c r="L1089" s="26"/>
      <c r="M1089" s="37"/>
      <c r="N1089" s="27"/>
      <c r="O1089" s="30"/>
      <c r="P1089" s="39" t="str">
        <f t="shared" si="167"/>
        <v/>
      </c>
      <c r="Q1089" s="40" t="str">
        <f>IF(OR(T1089=0,RIGHT(T1089,1)=$W$1),"",COUNTIF($T$3:T1089,T1089))</f>
        <v/>
      </c>
      <c r="S1089" s="6">
        <f t="shared" si="168"/>
        <v>0</v>
      </c>
      <c r="T1089" s="36">
        <f t="shared" si="169"/>
        <v>0</v>
      </c>
      <c r="V1089" s="6">
        <f t="shared" si="170"/>
        <v>0</v>
      </c>
      <c r="Y1089" s="8">
        <f t="shared" si="171"/>
        <v>46023</v>
      </c>
    </row>
    <row r="1090" spans="2:25" ht="18.75" x14ac:dyDescent="0.3">
      <c r="B1090" s="6">
        <f t="shared" si="163"/>
        <v>0</v>
      </c>
      <c r="C1090" s="6">
        <f t="shared" si="164"/>
        <v>0</v>
      </c>
      <c r="D1090" s="6" t="str">
        <f t="shared" si="165"/>
        <v/>
      </c>
      <c r="E1090" s="35" t="str">
        <f t="shared" si="162"/>
        <v/>
      </c>
      <c r="F1090" s="31"/>
      <c r="G1090" s="29"/>
      <c r="H1090" s="78" t="str">
        <f t="shared" si="166"/>
        <v/>
      </c>
      <c r="I1090" s="25"/>
      <c r="J1090" s="25"/>
      <c r="K1090" s="26"/>
      <c r="L1090" s="26"/>
      <c r="M1090" s="37"/>
      <c r="N1090" s="27"/>
      <c r="O1090" s="30"/>
      <c r="P1090" s="39" t="str">
        <f t="shared" si="167"/>
        <v/>
      </c>
      <c r="Q1090" s="40" t="str">
        <f>IF(OR(T1090=0,RIGHT(T1090,1)=$W$1),"",COUNTIF($T$3:T1090,T1090))</f>
        <v/>
      </c>
      <c r="S1090" s="6">
        <f t="shared" si="168"/>
        <v>0</v>
      </c>
      <c r="T1090" s="36">
        <f t="shared" si="169"/>
        <v>0</v>
      </c>
      <c r="V1090" s="6">
        <f t="shared" si="170"/>
        <v>0</v>
      </c>
      <c r="Y1090" s="8">
        <f t="shared" si="171"/>
        <v>46023</v>
      </c>
    </row>
    <row r="1091" spans="2:25" ht="18.75" x14ac:dyDescent="0.3">
      <c r="B1091" s="6">
        <f t="shared" si="163"/>
        <v>0</v>
      </c>
      <c r="C1091" s="6">
        <f t="shared" si="164"/>
        <v>0</v>
      </c>
      <c r="D1091" s="6" t="str">
        <f t="shared" si="165"/>
        <v/>
      </c>
      <c r="E1091" s="35" t="str">
        <f t="shared" ref="E1091:E1154" si="172">IF(D1091&lt;&gt;"",D1091&amp;" - "&amp;YEAR(F1091),"")</f>
        <v/>
      </c>
      <c r="F1091" s="31"/>
      <c r="G1091" s="29"/>
      <c r="H1091" s="78" t="str">
        <f t="shared" si="166"/>
        <v/>
      </c>
      <c r="I1091" s="25"/>
      <c r="J1091" s="25"/>
      <c r="K1091" s="26"/>
      <c r="L1091" s="26"/>
      <c r="M1091" s="37"/>
      <c r="N1091" s="27"/>
      <c r="O1091" s="30"/>
      <c r="P1091" s="39" t="str">
        <f t="shared" si="167"/>
        <v/>
      </c>
      <c r="Q1091" s="40" t="str">
        <f>IF(OR(T1091=0,RIGHT(T1091,1)=$W$1),"",COUNTIF($T$3:T1091,T1091))</f>
        <v/>
      </c>
      <c r="S1091" s="6">
        <f t="shared" si="168"/>
        <v>0</v>
      </c>
      <c r="T1091" s="36">
        <f t="shared" si="169"/>
        <v>0</v>
      </c>
      <c r="V1091" s="6">
        <f t="shared" si="170"/>
        <v>0</v>
      </c>
      <c r="Y1091" s="8">
        <f t="shared" si="171"/>
        <v>46023</v>
      </c>
    </row>
    <row r="1092" spans="2:25" ht="18.75" x14ac:dyDescent="0.3">
      <c r="B1092" s="6">
        <f t="shared" ref="B1092:B1155" si="173">IF($B$1=YEAR(F1092),B1091+1,B1091)</f>
        <v>0</v>
      </c>
      <c r="C1092" s="6">
        <f t="shared" ref="C1092:C1155" si="174">IF(AND($C$1=K1092,$Y$1=YEAR(F1092)),C1091+1,C1091)</f>
        <v>0</v>
      </c>
      <c r="D1092" s="6" t="str">
        <f t="shared" ref="D1092:D1155" si="175">IF(F1092&lt;&gt;0,IF(YEAR(F1092)&lt;&gt;YEAR(F1091),1,IF(M1092=$AI$1,D1091,D1091+1)),"")</f>
        <v/>
      </c>
      <c r="E1092" s="35" t="str">
        <f t="shared" si="172"/>
        <v/>
      </c>
      <c r="F1092" s="31"/>
      <c r="G1092" s="29"/>
      <c r="H1092" s="78" t="str">
        <f t="shared" ref="H1092:H1155" si="176">IF(G1092&lt;&gt;"",F1092,"")</f>
        <v/>
      </c>
      <c r="I1092" s="25"/>
      <c r="J1092" s="25"/>
      <c r="K1092" s="26"/>
      <c r="L1092" s="26"/>
      <c r="M1092" s="37"/>
      <c r="N1092" s="27"/>
      <c r="O1092" s="30"/>
      <c r="P1092" s="39" t="str">
        <f t="shared" ref="P1092:P1155" si="177">IF(OR(T1092=0,RIGHT(T1092,1)=$W$1),"",VLOOKUP(K1092,$AD$1:$AK$15,5,FALSE))</f>
        <v/>
      </c>
      <c r="Q1092" s="40" t="str">
        <f>IF(OR(T1092=0,RIGHT(T1092,1)=$W$1),"",COUNTIF($T$3:T1092,T1092))</f>
        <v/>
      </c>
      <c r="S1092" s="6">
        <f t="shared" ref="S1092:S1155" si="178">IF(AND($C$1=K1092,$Y$1=YEAR(F1092)),C1092,0)</f>
        <v>0</v>
      </c>
      <c r="T1092" s="36">
        <f t="shared" ref="T1092:T1155" si="179">IF(F1092=0,0,YEAR(F1092)&amp;VLOOKUP(K1092,$AD$1:$AE$15,2,FALSE))</f>
        <v>0</v>
      </c>
      <c r="V1092" s="6">
        <f t="shared" ref="V1092:V1155" si="180">IF(AND(YEAR(F1092)=$Y$1,K1092=$C$1,L1092&amp;$V$1&lt;&gt;$V$1),L1092,IF(AND(YEAR(F1092)=$Y$1,K1092=$C$1),1,0))</f>
        <v>0</v>
      </c>
      <c r="Y1092" s="8">
        <f t="shared" ref="Y1092:Y1155" si="181">IF(M1092&lt;&gt;$AI$1,$Y$2,F1091)</f>
        <v>46023</v>
      </c>
    </row>
    <row r="1093" spans="2:25" ht="18.75" x14ac:dyDescent="0.3">
      <c r="B1093" s="6">
        <f t="shared" si="173"/>
        <v>0</v>
      </c>
      <c r="C1093" s="6">
        <f t="shared" si="174"/>
        <v>0</v>
      </c>
      <c r="D1093" s="6" t="str">
        <f t="shared" si="175"/>
        <v/>
      </c>
      <c r="E1093" s="35" t="str">
        <f t="shared" si="172"/>
        <v/>
      </c>
      <c r="F1093" s="31"/>
      <c r="G1093" s="29"/>
      <c r="H1093" s="78" t="str">
        <f t="shared" si="176"/>
        <v/>
      </c>
      <c r="I1093" s="25"/>
      <c r="J1093" s="25"/>
      <c r="K1093" s="26"/>
      <c r="L1093" s="26"/>
      <c r="M1093" s="37"/>
      <c r="N1093" s="27"/>
      <c r="O1093" s="30"/>
      <c r="P1093" s="39" t="str">
        <f t="shared" si="177"/>
        <v/>
      </c>
      <c r="Q1093" s="40" t="str">
        <f>IF(OR(T1093=0,RIGHT(T1093,1)=$W$1),"",COUNTIF($T$3:T1093,T1093))</f>
        <v/>
      </c>
      <c r="S1093" s="6">
        <f t="shared" si="178"/>
        <v>0</v>
      </c>
      <c r="T1093" s="36">
        <f t="shared" si="179"/>
        <v>0</v>
      </c>
      <c r="V1093" s="6">
        <f t="shared" si="180"/>
        <v>0</v>
      </c>
      <c r="Y1093" s="8">
        <f t="shared" si="181"/>
        <v>46023</v>
      </c>
    </row>
    <row r="1094" spans="2:25" ht="18.75" x14ac:dyDescent="0.3">
      <c r="B1094" s="6">
        <f t="shared" si="173"/>
        <v>0</v>
      </c>
      <c r="C1094" s="6">
        <f t="shared" si="174"/>
        <v>0</v>
      </c>
      <c r="D1094" s="6" t="str">
        <f t="shared" si="175"/>
        <v/>
      </c>
      <c r="E1094" s="35" t="str">
        <f t="shared" si="172"/>
        <v/>
      </c>
      <c r="F1094" s="31"/>
      <c r="G1094" s="29"/>
      <c r="H1094" s="78" t="str">
        <f t="shared" si="176"/>
        <v/>
      </c>
      <c r="I1094" s="25"/>
      <c r="J1094" s="25"/>
      <c r="K1094" s="26"/>
      <c r="L1094" s="26"/>
      <c r="M1094" s="37"/>
      <c r="N1094" s="27"/>
      <c r="O1094" s="30"/>
      <c r="P1094" s="39" t="str">
        <f t="shared" si="177"/>
        <v/>
      </c>
      <c r="Q1094" s="40" t="str">
        <f>IF(OR(T1094=0,RIGHT(T1094,1)=$W$1),"",COUNTIF($T$3:T1094,T1094))</f>
        <v/>
      </c>
      <c r="S1094" s="6">
        <f t="shared" si="178"/>
        <v>0</v>
      </c>
      <c r="T1094" s="36">
        <f t="shared" si="179"/>
        <v>0</v>
      </c>
      <c r="V1094" s="6">
        <f t="shared" si="180"/>
        <v>0</v>
      </c>
      <c r="Y1094" s="8">
        <f t="shared" si="181"/>
        <v>46023</v>
      </c>
    </row>
    <row r="1095" spans="2:25" ht="18.75" x14ac:dyDescent="0.3">
      <c r="B1095" s="6">
        <f t="shared" si="173"/>
        <v>0</v>
      </c>
      <c r="C1095" s="6">
        <f t="shared" si="174"/>
        <v>0</v>
      </c>
      <c r="D1095" s="6" t="str">
        <f t="shared" si="175"/>
        <v/>
      </c>
      <c r="E1095" s="35" t="str">
        <f t="shared" si="172"/>
        <v/>
      </c>
      <c r="F1095" s="31"/>
      <c r="G1095" s="29"/>
      <c r="H1095" s="78" t="str">
        <f t="shared" si="176"/>
        <v/>
      </c>
      <c r="I1095" s="25"/>
      <c r="J1095" s="25"/>
      <c r="K1095" s="26"/>
      <c r="L1095" s="26"/>
      <c r="M1095" s="37"/>
      <c r="N1095" s="27"/>
      <c r="O1095" s="30"/>
      <c r="P1095" s="39" t="str">
        <f t="shared" si="177"/>
        <v/>
      </c>
      <c r="Q1095" s="40" t="str">
        <f>IF(OR(T1095=0,RIGHT(T1095,1)=$W$1),"",COUNTIF($T$3:T1095,T1095))</f>
        <v/>
      </c>
      <c r="S1095" s="6">
        <f t="shared" si="178"/>
        <v>0</v>
      </c>
      <c r="T1095" s="36">
        <f t="shared" si="179"/>
        <v>0</v>
      </c>
      <c r="V1095" s="6">
        <f t="shared" si="180"/>
        <v>0</v>
      </c>
      <c r="Y1095" s="8">
        <f t="shared" si="181"/>
        <v>46023</v>
      </c>
    </row>
    <row r="1096" spans="2:25" ht="18.75" x14ac:dyDescent="0.3">
      <c r="B1096" s="6">
        <f t="shared" si="173"/>
        <v>0</v>
      </c>
      <c r="C1096" s="6">
        <f t="shared" si="174"/>
        <v>0</v>
      </c>
      <c r="D1096" s="6" t="str">
        <f t="shared" si="175"/>
        <v/>
      </c>
      <c r="E1096" s="35" t="str">
        <f t="shared" si="172"/>
        <v/>
      </c>
      <c r="F1096" s="31"/>
      <c r="G1096" s="29"/>
      <c r="H1096" s="78" t="str">
        <f t="shared" si="176"/>
        <v/>
      </c>
      <c r="I1096" s="25"/>
      <c r="J1096" s="25"/>
      <c r="K1096" s="26"/>
      <c r="L1096" s="26"/>
      <c r="M1096" s="37"/>
      <c r="N1096" s="27"/>
      <c r="O1096" s="30"/>
      <c r="P1096" s="39" t="str">
        <f t="shared" si="177"/>
        <v/>
      </c>
      <c r="Q1096" s="40" t="str">
        <f>IF(OR(T1096=0,RIGHT(T1096,1)=$W$1),"",COUNTIF($T$3:T1096,T1096))</f>
        <v/>
      </c>
      <c r="S1096" s="6">
        <f t="shared" si="178"/>
        <v>0</v>
      </c>
      <c r="T1096" s="36">
        <f t="shared" si="179"/>
        <v>0</v>
      </c>
      <c r="V1096" s="6">
        <f t="shared" si="180"/>
        <v>0</v>
      </c>
      <c r="Y1096" s="8">
        <f t="shared" si="181"/>
        <v>46023</v>
      </c>
    </row>
    <row r="1097" spans="2:25" ht="18.75" x14ac:dyDescent="0.3">
      <c r="B1097" s="6">
        <f t="shared" si="173"/>
        <v>0</v>
      </c>
      <c r="C1097" s="6">
        <f t="shared" si="174"/>
        <v>0</v>
      </c>
      <c r="D1097" s="6" t="str">
        <f t="shared" si="175"/>
        <v/>
      </c>
      <c r="E1097" s="35" t="str">
        <f t="shared" si="172"/>
        <v/>
      </c>
      <c r="F1097" s="31"/>
      <c r="G1097" s="29"/>
      <c r="H1097" s="78" t="str">
        <f t="shared" si="176"/>
        <v/>
      </c>
      <c r="I1097" s="25"/>
      <c r="J1097" s="25"/>
      <c r="K1097" s="26"/>
      <c r="L1097" s="26"/>
      <c r="M1097" s="37"/>
      <c r="N1097" s="27"/>
      <c r="O1097" s="30"/>
      <c r="P1097" s="39" t="str">
        <f t="shared" si="177"/>
        <v/>
      </c>
      <c r="Q1097" s="40" t="str">
        <f>IF(OR(T1097=0,RIGHT(T1097,1)=$W$1),"",COUNTIF($T$3:T1097,T1097))</f>
        <v/>
      </c>
      <c r="S1097" s="6">
        <f t="shared" si="178"/>
        <v>0</v>
      </c>
      <c r="T1097" s="36">
        <f t="shared" si="179"/>
        <v>0</v>
      </c>
      <c r="V1097" s="6">
        <f t="shared" si="180"/>
        <v>0</v>
      </c>
      <c r="Y1097" s="8">
        <f t="shared" si="181"/>
        <v>46023</v>
      </c>
    </row>
    <row r="1098" spans="2:25" ht="18.75" x14ac:dyDescent="0.3">
      <c r="B1098" s="6">
        <f t="shared" si="173"/>
        <v>0</v>
      </c>
      <c r="C1098" s="6">
        <f t="shared" si="174"/>
        <v>0</v>
      </c>
      <c r="D1098" s="6" t="str">
        <f t="shared" si="175"/>
        <v/>
      </c>
      <c r="E1098" s="35" t="str">
        <f t="shared" si="172"/>
        <v/>
      </c>
      <c r="F1098" s="31"/>
      <c r="G1098" s="29"/>
      <c r="H1098" s="78" t="str">
        <f t="shared" si="176"/>
        <v/>
      </c>
      <c r="I1098" s="25"/>
      <c r="J1098" s="25"/>
      <c r="K1098" s="26"/>
      <c r="L1098" s="26"/>
      <c r="M1098" s="37"/>
      <c r="N1098" s="27"/>
      <c r="O1098" s="30"/>
      <c r="P1098" s="39" t="str">
        <f t="shared" si="177"/>
        <v/>
      </c>
      <c r="Q1098" s="40" t="str">
        <f>IF(OR(T1098=0,RIGHT(T1098,1)=$W$1),"",COUNTIF($T$3:T1098,T1098))</f>
        <v/>
      </c>
      <c r="S1098" s="6">
        <f t="shared" si="178"/>
        <v>0</v>
      </c>
      <c r="T1098" s="36">
        <f t="shared" si="179"/>
        <v>0</v>
      </c>
      <c r="V1098" s="6">
        <f t="shared" si="180"/>
        <v>0</v>
      </c>
      <c r="Y1098" s="8">
        <f t="shared" si="181"/>
        <v>46023</v>
      </c>
    </row>
    <row r="1099" spans="2:25" ht="18.75" x14ac:dyDescent="0.3">
      <c r="B1099" s="6">
        <f t="shared" si="173"/>
        <v>0</v>
      </c>
      <c r="C1099" s="6">
        <f t="shared" si="174"/>
        <v>0</v>
      </c>
      <c r="D1099" s="6" t="str">
        <f t="shared" si="175"/>
        <v/>
      </c>
      <c r="E1099" s="35" t="str">
        <f t="shared" si="172"/>
        <v/>
      </c>
      <c r="F1099" s="31"/>
      <c r="G1099" s="29"/>
      <c r="H1099" s="78" t="str">
        <f t="shared" si="176"/>
        <v/>
      </c>
      <c r="I1099" s="25"/>
      <c r="J1099" s="25"/>
      <c r="K1099" s="26"/>
      <c r="L1099" s="26"/>
      <c r="M1099" s="37"/>
      <c r="N1099" s="27"/>
      <c r="O1099" s="30"/>
      <c r="P1099" s="39" t="str">
        <f t="shared" si="177"/>
        <v/>
      </c>
      <c r="Q1099" s="40" t="str">
        <f>IF(OR(T1099=0,RIGHT(T1099,1)=$W$1),"",COUNTIF($T$3:T1099,T1099))</f>
        <v/>
      </c>
      <c r="S1099" s="6">
        <f t="shared" si="178"/>
        <v>0</v>
      </c>
      <c r="T1099" s="36">
        <f t="shared" si="179"/>
        <v>0</v>
      </c>
      <c r="V1099" s="6">
        <f t="shared" si="180"/>
        <v>0</v>
      </c>
      <c r="Y1099" s="8">
        <f t="shared" si="181"/>
        <v>46023</v>
      </c>
    </row>
    <row r="1100" spans="2:25" ht="18.75" x14ac:dyDescent="0.3">
      <c r="B1100" s="6">
        <f t="shared" si="173"/>
        <v>0</v>
      </c>
      <c r="C1100" s="6">
        <f t="shared" si="174"/>
        <v>0</v>
      </c>
      <c r="D1100" s="6" t="str">
        <f t="shared" si="175"/>
        <v/>
      </c>
      <c r="E1100" s="35" t="str">
        <f t="shared" si="172"/>
        <v/>
      </c>
      <c r="F1100" s="31"/>
      <c r="G1100" s="29"/>
      <c r="H1100" s="78" t="str">
        <f t="shared" si="176"/>
        <v/>
      </c>
      <c r="I1100" s="25"/>
      <c r="J1100" s="25"/>
      <c r="K1100" s="26"/>
      <c r="L1100" s="26"/>
      <c r="M1100" s="37"/>
      <c r="N1100" s="27"/>
      <c r="O1100" s="30"/>
      <c r="P1100" s="39" t="str">
        <f t="shared" si="177"/>
        <v/>
      </c>
      <c r="Q1100" s="40" t="str">
        <f>IF(OR(T1100=0,RIGHT(T1100,1)=$W$1),"",COUNTIF($T$3:T1100,T1100))</f>
        <v/>
      </c>
      <c r="S1100" s="6">
        <f t="shared" si="178"/>
        <v>0</v>
      </c>
      <c r="T1100" s="36">
        <f t="shared" si="179"/>
        <v>0</v>
      </c>
      <c r="V1100" s="6">
        <f t="shared" si="180"/>
        <v>0</v>
      </c>
      <c r="Y1100" s="8">
        <f t="shared" si="181"/>
        <v>46023</v>
      </c>
    </row>
    <row r="1101" spans="2:25" ht="18.75" x14ac:dyDescent="0.3">
      <c r="B1101" s="6">
        <f t="shared" si="173"/>
        <v>0</v>
      </c>
      <c r="C1101" s="6">
        <f t="shared" si="174"/>
        <v>0</v>
      </c>
      <c r="D1101" s="6" t="str">
        <f t="shared" si="175"/>
        <v/>
      </c>
      <c r="E1101" s="35" t="str">
        <f t="shared" si="172"/>
        <v/>
      </c>
      <c r="F1101" s="31"/>
      <c r="G1101" s="29"/>
      <c r="H1101" s="78" t="str">
        <f t="shared" si="176"/>
        <v/>
      </c>
      <c r="I1101" s="25"/>
      <c r="J1101" s="25"/>
      <c r="K1101" s="26"/>
      <c r="L1101" s="26"/>
      <c r="M1101" s="37"/>
      <c r="N1101" s="27"/>
      <c r="O1101" s="30"/>
      <c r="P1101" s="39" t="str">
        <f t="shared" si="177"/>
        <v/>
      </c>
      <c r="Q1101" s="40" t="str">
        <f>IF(OR(T1101=0,RIGHT(T1101,1)=$W$1),"",COUNTIF($T$3:T1101,T1101))</f>
        <v/>
      </c>
      <c r="S1101" s="6">
        <f t="shared" si="178"/>
        <v>0</v>
      </c>
      <c r="T1101" s="36">
        <f t="shared" si="179"/>
        <v>0</v>
      </c>
      <c r="V1101" s="6">
        <f t="shared" si="180"/>
        <v>0</v>
      </c>
      <c r="Y1101" s="8">
        <f t="shared" si="181"/>
        <v>46023</v>
      </c>
    </row>
    <row r="1102" spans="2:25" ht="18.75" x14ac:dyDescent="0.3">
      <c r="B1102" s="6">
        <f t="shared" si="173"/>
        <v>0</v>
      </c>
      <c r="C1102" s="6">
        <f t="shared" si="174"/>
        <v>0</v>
      </c>
      <c r="D1102" s="6" t="str">
        <f t="shared" si="175"/>
        <v/>
      </c>
      <c r="E1102" s="35" t="str">
        <f t="shared" si="172"/>
        <v/>
      </c>
      <c r="F1102" s="31"/>
      <c r="G1102" s="29"/>
      <c r="H1102" s="78" t="str">
        <f t="shared" si="176"/>
        <v/>
      </c>
      <c r="I1102" s="25"/>
      <c r="J1102" s="25"/>
      <c r="K1102" s="26"/>
      <c r="L1102" s="26"/>
      <c r="M1102" s="37"/>
      <c r="N1102" s="27"/>
      <c r="O1102" s="30"/>
      <c r="P1102" s="39" t="str">
        <f t="shared" si="177"/>
        <v/>
      </c>
      <c r="Q1102" s="40" t="str">
        <f>IF(OR(T1102=0,RIGHT(T1102,1)=$W$1),"",COUNTIF($T$3:T1102,T1102))</f>
        <v/>
      </c>
      <c r="S1102" s="6">
        <f t="shared" si="178"/>
        <v>0</v>
      </c>
      <c r="T1102" s="36">
        <f t="shared" si="179"/>
        <v>0</v>
      </c>
      <c r="V1102" s="6">
        <f t="shared" si="180"/>
        <v>0</v>
      </c>
      <c r="Y1102" s="8">
        <f t="shared" si="181"/>
        <v>46023</v>
      </c>
    </row>
    <row r="1103" spans="2:25" ht="18.75" x14ac:dyDescent="0.3">
      <c r="B1103" s="6">
        <f t="shared" si="173"/>
        <v>0</v>
      </c>
      <c r="C1103" s="6">
        <f t="shared" si="174"/>
        <v>0</v>
      </c>
      <c r="D1103" s="6" t="str">
        <f t="shared" si="175"/>
        <v/>
      </c>
      <c r="E1103" s="35" t="str">
        <f t="shared" si="172"/>
        <v/>
      </c>
      <c r="F1103" s="31"/>
      <c r="G1103" s="29"/>
      <c r="H1103" s="78" t="str">
        <f t="shared" si="176"/>
        <v/>
      </c>
      <c r="I1103" s="25"/>
      <c r="J1103" s="25"/>
      <c r="K1103" s="26"/>
      <c r="L1103" s="26"/>
      <c r="M1103" s="37"/>
      <c r="N1103" s="27"/>
      <c r="O1103" s="30"/>
      <c r="P1103" s="39" t="str">
        <f t="shared" si="177"/>
        <v/>
      </c>
      <c r="Q1103" s="40" t="str">
        <f>IF(OR(T1103=0,RIGHT(T1103,1)=$W$1),"",COUNTIF($T$3:T1103,T1103))</f>
        <v/>
      </c>
      <c r="S1103" s="6">
        <f t="shared" si="178"/>
        <v>0</v>
      </c>
      <c r="T1103" s="36">
        <f t="shared" si="179"/>
        <v>0</v>
      </c>
      <c r="V1103" s="6">
        <f t="shared" si="180"/>
        <v>0</v>
      </c>
      <c r="Y1103" s="8">
        <f t="shared" si="181"/>
        <v>46023</v>
      </c>
    </row>
    <row r="1104" spans="2:25" ht="18.75" x14ac:dyDescent="0.3">
      <c r="B1104" s="6">
        <f t="shared" si="173"/>
        <v>0</v>
      </c>
      <c r="C1104" s="6">
        <f t="shared" si="174"/>
        <v>0</v>
      </c>
      <c r="D1104" s="6" t="str">
        <f t="shared" si="175"/>
        <v/>
      </c>
      <c r="E1104" s="35" t="str">
        <f t="shared" si="172"/>
        <v/>
      </c>
      <c r="F1104" s="31"/>
      <c r="G1104" s="29"/>
      <c r="H1104" s="78" t="str">
        <f t="shared" si="176"/>
        <v/>
      </c>
      <c r="I1104" s="25"/>
      <c r="J1104" s="25"/>
      <c r="K1104" s="26"/>
      <c r="L1104" s="26"/>
      <c r="M1104" s="37"/>
      <c r="N1104" s="27"/>
      <c r="O1104" s="30"/>
      <c r="P1104" s="39" t="str">
        <f t="shared" si="177"/>
        <v/>
      </c>
      <c r="Q1104" s="40" t="str">
        <f>IF(OR(T1104=0,RIGHT(T1104,1)=$W$1),"",COUNTIF($T$3:T1104,T1104))</f>
        <v/>
      </c>
      <c r="S1104" s="6">
        <f t="shared" si="178"/>
        <v>0</v>
      </c>
      <c r="T1104" s="36">
        <f t="shared" si="179"/>
        <v>0</v>
      </c>
      <c r="V1104" s="6">
        <f t="shared" si="180"/>
        <v>0</v>
      </c>
      <c r="Y1104" s="8">
        <f t="shared" si="181"/>
        <v>46023</v>
      </c>
    </row>
    <row r="1105" spans="2:25" ht="18.75" x14ac:dyDescent="0.3">
      <c r="B1105" s="6">
        <f t="shared" si="173"/>
        <v>0</v>
      </c>
      <c r="C1105" s="6">
        <f t="shared" si="174"/>
        <v>0</v>
      </c>
      <c r="D1105" s="6" t="str">
        <f t="shared" si="175"/>
        <v/>
      </c>
      <c r="E1105" s="35" t="str">
        <f t="shared" si="172"/>
        <v/>
      </c>
      <c r="F1105" s="31"/>
      <c r="G1105" s="29"/>
      <c r="H1105" s="78" t="str">
        <f t="shared" si="176"/>
        <v/>
      </c>
      <c r="I1105" s="25"/>
      <c r="J1105" s="25"/>
      <c r="K1105" s="26"/>
      <c r="L1105" s="26"/>
      <c r="M1105" s="37"/>
      <c r="N1105" s="27"/>
      <c r="O1105" s="30"/>
      <c r="P1105" s="39" t="str">
        <f t="shared" si="177"/>
        <v/>
      </c>
      <c r="Q1105" s="40" t="str">
        <f>IF(OR(T1105=0,RIGHT(T1105,1)=$W$1),"",COUNTIF($T$3:T1105,T1105))</f>
        <v/>
      </c>
      <c r="S1105" s="6">
        <f t="shared" si="178"/>
        <v>0</v>
      </c>
      <c r="T1105" s="36">
        <f t="shared" si="179"/>
        <v>0</v>
      </c>
      <c r="V1105" s="6">
        <f t="shared" si="180"/>
        <v>0</v>
      </c>
      <c r="Y1105" s="8">
        <f t="shared" si="181"/>
        <v>46023</v>
      </c>
    </row>
    <row r="1106" spans="2:25" ht="18.75" x14ac:dyDescent="0.3">
      <c r="B1106" s="6">
        <f t="shared" si="173"/>
        <v>0</v>
      </c>
      <c r="C1106" s="6">
        <f t="shared" si="174"/>
        <v>0</v>
      </c>
      <c r="D1106" s="6" t="str">
        <f t="shared" si="175"/>
        <v/>
      </c>
      <c r="E1106" s="35" t="str">
        <f t="shared" si="172"/>
        <v/>
      </c>
      <c r="F1106" s="31"/>
      <c r="G1106" s="29"/>
      <c r="H1106" s="78" t="str">
        <f t="shared" si="176"/>
        <v/>
      </c>
      <c r="I1106" s="25"/>
      <c r="J1106" s="25"/>
      <c r="K1106" s="26"/>
      <c r="L1106" s="26"/>
      <c r="M1106" s="37"/>
      <c r="N1106" s="27"/>
      <c r="O1106" s="30"/>
      <c r="P1106" s="39" t="str">
        <f t="shared" si="177"/>
        <v/>
      </c>
      <c r="Q1106" s="40" t="str">
        <f>IF(OR(T1106=0,RIGHT(T1106,1)=$W$1),"",COUNTIF($T$3:T1106,T1106))</f>
        <v/>
      </c>
      <c r="S1106" s="6">
        <f t="shared" si="178"/>
        <v>0</v>
      </c>
      <c r="T1106" s="36">
        <f t="shared" si="179"/>
        <v>0</v>
      </c>
      <c r="V1106" s="6">
        <f t="shared" si="180"/>
        <v>0</v>
      </c>
      <c r="Y1106" s="8">
        <f t="shared" si="181"/>
        <v>46023</v>
      </c>
    </row>
    <row r="1107" spans="2:25" ht="18.75" x14ac:dyDescent="0.3">
      <c r="B1107" s="6">
        <f t="shared" si="173"/>
        <v>0</v>
      </c>
      <c r="C1107" s="6">
        <f t="shared" si="174"/>
        <v>0</v>
      </c>
      <c r="D1107" s="6" t="str">
        <f t="shared" si="175"/>
        <v/>
      </c>
      <c r="E1107" s="35" t="str">
        <f t="shared" si="172"/>
        <v/>
      </c>
      <c r="F1107" s="31"/>
      <c r="G1107" s="29"/>
      <c r="H1107" s="78" t="str">
        <f t="shared" si="176"/>
        <v/>
      </c>
      <c r="I1107" s="25"/>
      <c r="J1107" s="25"/>
      <c r="K1107" s="26"/>
      <c r="L1107" s="26"/>
      <c r="M1107" s="37"/>
      <c r="N1107" s="27"/>
      <c r="O1107" s="30"/>
      <c r="P1107" s="39" t="str">
        <f t="shared" si="177"/>
        <v/>
      </c>
      <c r="Q1107" s="40" t="str">
        <f>IF(OR(T1107=0,RIGHT(T1107,1)=$W$1),"",COUNTIF($T$3:T1107,T1107))</f>
        <v/>
      </c>
      <c r="S1107" s="6">
        <f t="shared" si="178"/>
        <v>0</v>
      </c>
      <c r="T1107" s="36">
        <f t="shared" si="179"/>
        <v>0</v>
      </c>
      <c r="V1107" s="6">
        <f t="shared" si="180"/>
        <v>0</v>
      </c>
      <c r="Y1107" s="8">
        <f t="shared" si="181"/>
        <v>46023</v>
      </c>
    </row>
    <row r="1108" spans="2:25" ht="18.75" x14ac:dyDescent="0.3">
      <c r="B1108" s="6">
        <f t="shared" si="173"/>
        <v>0</v>
      </c>
      <c r="C1108" s="6">
        <f t="shared" si="174"/>
        <v>0</v>
      </c>
      <c r="D1108" s="6" t="str">
        <f t="shared" si="175"/>
        <v/>
      </c>
      <c r="E1108" s="35" t="str">
        <f t="shared" si="172"/>
        <v/>
      </c>
      <c r="F1108" s="31"/>
      <c r="G1108" s="29"/>
      <c r="H1108" s="78" t="str">
        <f t="shared" si="176"/>
        <v/>
      </c>
      <c r="I1108" s="25"/>
      <c r="J1108" s="25"/>
      <c r="K1108" s="26"/>
      <c r="L1108" s="26"/>
      <c r="M1108" s="37"/>
      <c r="N1108" s="27"/>
      <c r="O1108" s="30"/>
      <c r="P1108" s="39" t="str">
        <f t="shared" si="177"/>
        <v/>
      </c>
      <c r="Q1108" s="40" t="str">
        <f>IF(OR(T1108=0,RIGHT(T1108,1)=$W$1),"",COUNTIF($T$3:T1108,T1108))</f>
        <v/>
      </c>
      <c r="S1108" s="6">
        <f t="shared" si="178"/>
        <v>0</v>
      </c>
      <c r="T1108" s="36">
        <f t="shared" si="179"/>
        <v>0</v>
      </c>
      <c r="V1108" s="6">
        <f t="shared" si="180"/>
        <v>0</v>
      </c>
      <c r="Y1108" s="8">
        <f t="shared" si="181"/>
        <v>46023</v>
      </c>
    </row>
    <row r="1109" spans="2:25" ht="18.75" x14ac:dyDescent="0.3">
      <c r="B1109" s="6">
        <f t="shared" si="173"/>
        <v>0</v>
      </c>
      <c r="C1109" s="6">
        <f t="shared" si="174"/>
        <v>0</v>
      </c>
      <c r="D1109" s="6" t="str">
        <f t="shared" si="175"/>
        <v/>
      </c>
      <c r="E1109" s="35" t="str">
        <f t="shared" si="172"/>
        <v/>
      </c>
      <c r="F1109" s="31"/>
      <c r="G1109" s="29"/>
      <c r="H1109" s="78" t="str">
        <f t="shared" si="176"/>
        <v/>
      </c>
      <c r="I1109" s="25"/>
      <c r="J1109" s="25"/>
      <c r="K1109" s="26"/>
      <c r="L1109" s="26"/>
      <c r="M1109" s="37"/>
      <c r="N1109" s="27"/>
      <c r="O1109" s="30"/>
      <c r="P1109" s="39" t="str">
        <f t="shared" si="177"/>
        <v/>
      </c>
      <c r="Q1109" s="40" t="str">
        <f>IF(OR(T1109=0,RIGHT(T1109,1)=$W$1),"",COUNTIF($T$3:T1109,T1109))</f>
        <v/>
      </c>
      <c r="S1109" s="6">
        <f t="shared" si="178"/>
        <v>0</v>
      </c>
      <c r="T1109" s="36">
        <f t="shared" si="179"/>
        <v>0</v>
      </c>
      <c r="V1109" s="6">
        <f t="shared" si="180"/>
        <v>0</v>
      </c>
      <c r="Y1109" s="8">
        <f t="shared" si="181"/>
        <v>46023</v>
      </c>
    </row>
    <row r="1110" spans="2:25" ht="18.75" x14ac:dyDescent="0.3">
      <c r="B1110" s="6">
        <f t="shared" si="173"/>
        <v>0</v>
      </c>
      <c r="C1110" s="6">
        <f t="shared" si="174"/>
        <v>0</v>
      </c>
      <c r="D1110" s="6" t="str">
        <f t="shared" si="175"/>
        <v/>
      </c>
      <c r="E1110" s="35" t="str">
        <f t="shared" si="172"/>
        <v/>
      </c>
      <c r="F1110" s="31"/>
      <c r="G1110" s="29"/>
      <c r="H1110" s="78" t="str">
        <f t="shared" si="176"/>
        <v/>
      </c>
      <c r="I1110" s="25"/>
      <c r="J1110" s="25"/>
      <c r="K1110" s="26"/>
      <c r="L1110" s="26"/>
      <c r="M1110" s="37"/>
      <c r="N1110" s="27"/>
      <c r="O1110" s="30"/>
      <c r="P1110" s="39" t="str">
        <f t="shared" si="177"/>
        <v/>
      </c>
      <c r="Q1110" s="40" t="str">
        <f>IF(OR(T1110=0,RIGHT(T1110,1)=$W$1),"",COUNTIF($T$3:T1110,T1110))</f>
        <v/>
      </c>
      <c r="S1110" s="6">
        <f t="shared" si="178"/>
        <v>0</v>
      </c>
      <c r="T1110" s="36">
        <f t="shared" si="179"/>
        <v>0</v>
      </c>
      <c r="V1110" s="6">
        <f t="shared" si="180"/>
        <v>0</v>
      </c>
      <c r="Y1110" s="8">
        <f t="shared" si="181"/>
        <v>46023</v>
      </c>
    </row>
    <row r="1111" spans="2:25" ht="18.75" x14ac:dyDescent="0.3">
      <c r="B1111" s="6">
        <f t="shared" si="173"/>
        <v>0</v>
      </c>
      <c r="C1111" s="6">
        <f t="shared" si="174"/>
        <v>0</v>
      </c>
      <c r="D1111" s="6" t="str">
        <f t="shared" si="175"/>
        <v/>
      </c>
      <c r="E1111" s="35" t="str">
        <f t="shared" si="172"/>
        <v/>
      </c>
      <c r="F1111" s="31"/>
      <c r="G1111" s="29"/>
      <c r="H1111" s="78" t="str">
        <f t="shared" si="176"/>
        <v/>
      </c>
      <c r="I1111" s="25"/>
      <c r="J1111" s="25"/>
      <c r="K1111" s="26"/>
      <c r="L1111" s="26"/>
      <c r="M1111" s="37"/>
      <c r="N1111" s="27"/>
      <c r="O1111" s="30"/>
      <c r="P1111" s="39" t="str">
        <f t="shared" si="177"/>
        <v/>
      </c>
      <c r="Q1111" s="40" t="str">
        <f>IF(OR(T1111=0,RIGHT(T1111,1)=$W$1),"",COUNTIF($T$3:T1111,T1111))</f>
        <v/>
      </c>
      <c r="S1111" s="6">
        <f t="shared" si="178"/>
        <v>0</v>
      </c>
      <c r="T1111" s="36">
        <f t="shared" si="179"/>
        <v>0</v>
      </c>
      <c r="V1111" s="6">
        <f t="shared" si="180"/>
        <v>0</v>
      </c>
      <c r="Y1111" s="8">
        <f t="shared" si="181"/>
        <v>46023</v>
      </c>
    </row>
    <row r="1112" spans="2:25" ht="18.75" x14ac:dyDescent="0.3">
      <c r="B1112" s="6">
        <f t="shared" si="173"/>
        <v>0</v>
      </c>
      <c r="C1112" s="6">
        <f t="shared" si="174"/>
        <v>0</v>
      </c>
      <c r="D1112" s="6" t="str">
        <f t="shared" si="175"/>
        <v/>
      </c>
      <c r="E1112" s="35" t="str">
        <f t="shared" si="172"/>
        <v/>
      </c>
      <c r="F1112" s="31"/>
      <c r="G1112" s="29"/>
      <c r="H1112" s="78" t="str">
        <f t="shared" si="176"/>
        <v/>
      </c>
      <c r="I1112" s="25"/>
      <c r="J1112" s="25"/>
      <c r="K1112" s="26"/>
      <c r="L1112" s="26"/>
      <c r="M1112" s="37"/>
      <c r="N1112" s="27"/>
      <c r="O1112" s="30"/>
      <c r="P1112" s="39" t="str">
        <f t="shared" si="177"/>
        <v/>
      </c>
      <c r="Q1112" s="40" t="str">
        <f>IF(OR(T1112=0,RIGHT(T1112,1)=$W$1),"",COUNTIF($T$3:T1112,T1112))</f>
        <v/>
      </c>
      <c r="S1112" s="6">
        <f t="shared" si="178"/>
        <v>0</v>
      </c>
      <c r="T1112" s="36">
        <f t="shared" si="179"/>
        <v>0</v>
      </c>
      <c r="V1112" s="6">
        <f t="shared" si="180"/>
        <v>0</v>
      </c>
      <c r="Y1112" s="8">
        <f t="shared" si="181"/>
        <v>46023</v>
      </c>
    </row>
    <row r="1113" spans="2:25" ht="18.75" x14ac:dyDescent="0.3">
      <c r="B1113" s="6">
        <f t="shared" si="173"/>
        <v>0</v>
      </c>
      <c r="C1113" s="6">
        <f t="shared" si="174"/>
        <v>0</v>
      </c>
      <c r="D1113" s="6" t="str">
        <f t="shared" si="175"/>
        <v/>
      </c>
      <c r="E1113" s="35" t="str">
        <f t="shared" si="172"/>
        <v/>
      </c>
      <c r="F1113" s="31"/>
      <c r="G1113" s="29"/>
      <c r="H1113" s="78" t="str">
        <f t="shared" si="176"/>
        <v/>
      </c>
      <c r="I1113" s="25"/>
      <c r="J1113" s="25"/>
      <c r="K1113" s="26"/>
      <c r="L1113" s="26"/>
      <c r="M1113" s="37"/>
      <c r="N1113" s="27"/>
      <c r="O1113" s="30"/>
      <c r="P1113" s="39" t="str">
        <f t="shared" si="177"/>
        <v/>
      </c>
      <c r="Q1113" s="40" t="str">
        <f>IF(OR(T1113=0,RIGHT(T1113,1)=$W$1),"",COUNTIF($T$3:T1113,T1113))</f>
        <v/>
      </c>
      <c r="S1113" s="6">
        <f t="shared" si="178"/>
        <v>0</v>
      </c>
      <c r="T1113" s="36">
        <f t="shared" si="179"/>
        <v>0</v>
      </c>
      <c r="V1113" s="6">
        <f t="shared" si="180"/>
        <v>0</v>
      </c>
      <c r="Y1113" s="8">
        <f t="shared" si="181"/>
        <v>46023</v>
      </c>
    </row>
    <row r="1114" spans="2:25" ht="18.75" x14ac:dyDescent="0.3">
      <c r="B1114" s="6">
        <f t="shared" si="173"/>
        <v>0</v>
      </c>
      <c r="C1114" s="6">
        <f t="shared" si="174"/>
        <v>0</v>
      </c>
      <c r="D1114" s="6" t="str">
        <f t="shared" si="175"/>
        <v/>
      </c>
      <c r="E1114" s="35" t="str">
        <f t="shared" si="172"/>
        <v/>
      </c>
      <c r="F1114" s="31"/>
      <c r="G1114" s="29"/>
      <c r="H1114" s="78" t="str">
        <f t="shared" si="176"/>
        <v/>
      </c>
      <c r="I1114" s="25"/>
      <c r="J1114" s="25"/>
      <c r="K1114" s="26"/>
      <c r="L1114" s="26"/>
      <c r="M1114" s="37"/>
      <c r="N1114" s="27"/>
      <c r="O1114" s="30"/>
      <c r="P1114" s="39" t="str">
        <f t="shared" si="177"/>
        <v/>
      </c>
      <c r="Q1114" s="40" t="str">
        <f>IF(OR(T1114=0,RIGHT(T1114,1)=$W$1),"",COUNTIF($T$3:T1114,T1114))</f>
        <v/>
      </c>
      <c r="S1114" s="6">
        <f t="shared" si="178"/>
        <v>0</v>
      </c>
      <c r="T1114" s="36">
        <f t="shared" si="179"/>
        <v>0</v>
      </c>
      <c r="V1114" s="6">
        <f t="shared" si="180"/>
        <v>0</v>
      </c>
      <c r="Y1114" s="8">
        <f t="shared" si="181"/>
        <v>46023</v>
      </c>
    </row>
    <row r="1115" spans="2:25" ht="18.75" x14ac:dyDescent="0.3">
      <c r="B1115" s="6">
        <f t="shared" si="173"/>
        <v>0</v>
      </c>
      <c r="C1115" s="6">
        <f t="shared" si="174"/>
        <v>0</v>
      </c>
      <c r="D1115" s="6" t="str">
        <f t="shared" si="175"/>
        <v/>
      </c>
      <c r="E1115" s="35" t="str">
        <f t="shared" si="172"/>
        <v/>
      </c>
      <c r="F1115" s="31"/>
      <c r="G1115" s="29"/>
      <c r="H1115" s="78" t="str">
        <f t="shared" si="176"/>
        <v/>
      </c>
      <c r="I1115" s="25"/>
      <c r="J1115" s="25"/>
      <c r="K1115" s="26"/>
      <c r="L1115" s="26"/>
      <c r="M1115" s="37"/>
      <c r="N1115" s="27"/>
      <c r="O1115" s="30"/>
      <c r="P1115" s="39" t="str">
        <f t="shared" si="177"/>
        <v/>
      </c>
      <c r="Q1115" s="40" t="str">
        <f>IF(OR(T1115=0,RIGHT(T1115,1)=$W$1),"",COUNTIF($T$3:T1115,T1115))</f>
        <v/>
      </c>
      <c r="S1115" s="6">
        <f t="shared" si="178"/>
        <v>0</v>
      </c>
      <c r="T1115" s="36">
        <f t="shared" si="179"/>
        <v>0</v>
      </c>
      <c r="V1115" s="6">
        <f t="shared" si="180"/>
        <v>0</v>
      </c>
      <c r="Y1115" s="8">
        <f t="shared" si="181"/>
        <v>46023</v>
      </c>
    </row>
    <row r="1116" spans="2:25" ht="18.75" x14ac:dyDescent="0.3">
      <c r="B1116" s="6">
        <f t="shared" si="173"/>
        <v>0</v>
      </c>
      <c r="C1116" s="6">
        <f t="shared" si="174"/>
        <v>0</v>
      </c>
      <c r="D1116" s="6" t="str">
        <f t="shared" si="175"/>
        <v/>
      </c>
      <c r="E1116" s="35" t="str">
        <f t="shared" si="172"/>
        <v/>
      </c>
      <c r="F1116" s="31"/>
      <c r="G1116" s="29"/>
      <c r="H1116" s="78" t="str">
        <f t="shared" si="176"/>
        <v/>
      </c>
      <c r="I1116" s="25"/>
      <c r="J1116" s="25"/>
      <c r="K1116" s="26"/>
      <c r="L1116" s="26"/>
      <c r="M1116" s="37"/>
      <c r="N1116" s="27"/>
      <c r="O1116" s="30"/>
      <c r="P1116" s="39" t="str">
        <f t="shared" si="177"/>
        <v/>
      </c>
      <c r="Q1116" s="40" t="str">
        <f>IF(OR(T1116=0,RIGHT(T1116,1)=$W$1),"",COUNTIF($T$3:T1116,T1116))</f>
        <v/>
      </c>
      <c r="S1116" s="6">
        <f t="shared" si="178"/>
        <v>0</v>
      </c>
      <c r="T1116" s="36">
        <f t="shared" si="179"/>
        <v>0</v>
      </c>
      <c r="V1116" s="6">
        <f t="shared" si="180"/>
        <v>0</v>
      </c>
      <c r="Y1116" s="8">
        <f t="shared" si="181"/>
        <v>46023</v>
      </c>
    </row>
    <row r="1117" spans="2:25" ht="18.75" x14ac:dyDescent="0.3">
      <c r="B1117" s="6">
        <f t="shared" si="173"/>
        <v>0</v>
      </c>
      <c r="C1117" s="6">
        <f t="shared" si="174"/>
        <v>0</v>
      </c>
      <c r="D1117" s="6" t="str">
        <f t="shared" si="175"/>
        <v/>
      </c>
      <c r="E1117" s="35" t="str">
        <f t="shared" si="172"/>
        <v/>
      </c>
      <c r="F1117" s="31"/>
      <c r="G1117" s="29"/>
      <c r="H1117" s="78" t="str">
        <f t="shared" si="176"/>
        <v/>
      </c>
      <c r="I1117" s="25"/>
      <c r="J1117" s="25"/>
      <c r="K1117" s="26"/>
      <c r="L1117" s="26"/>
      <c r="M1117" s="37"/>
      <c r="N1117" s="27"/>
      <c r="O1117" s="30"/>
      <c r="P1117" s="39" t="str">
        <f t="shared" si="177"/>
        <v/>
      </c>
      <c r="Q1117" s="40" t="str">
        <f>IF(OR(T1117=0,RIGHT(T1117,1)=$W$1),"",COUNTIF($T$3:T1117,T1117))</f>
        <v/>
      </c>
      <c r="S1117" s="6">
        <f t="shared" si="178"/>
        <v>0</v>
      </c>
      <c r="T1117" s="36">
        <f t="shared" si="179"/>
        <v>0</v>
      </c>
      <c r="V1117" s="6">
        <f t="shared" si="180"/>
        <v>0</v>
      </c>
      <c r="Y1117" s="8">
        <f t="shared" si="181"/>
        <v>46023</v>
      </c>
    </row>
    <row r="1118" spans="2:25" ht="18.75" x14ac:dyDescent="0.3">
      <c r="B1118" s="6">
        <f t="shared" si="173"/>
        <v>0</v>
      </c>
      <c r="C1118" s="6">
        <f t="shared" si="174"/>
        <v>0</v>
      </c>
      <c r="D1118" s="6" t="str">
        <f t="shared" si="175"/>
        <v/>
      </c>
      <c r="E1118" s="35" t="str">
        <f t="shared" si="172"/>
        <v/>
      </c>
      <c r="F1118" s="31"/>
      <c r="G1118" s="29"/>
      <c r="H1118" s="78" t="str">
        <f t="shared" si="176"/>
        <v/>
      </c>
      <c r="I1118" s="25"/>
      <c r="J1118" s="25"/>
      <c r="K1118" s="26"/>
      <c r="L1118" s="26"/>
      <c r="M1118" s="37"/>
      <c r="N1118" s="27"/>
      <c r="O1118" s="30"/>
      <c r="P1118" s="39" t="str">
        <f t="shared" si="177"/>
        <v/>
      </c>
      <c r="Q1118" s="40" t="str">
        <f>IF(OR(T1118=0,RIGHT(T1118,1)=$W$1),"",COUNTIF($T$3:T1118,T1118))</f>
        <v/>
      </c>
      <c r="S1118" s="6">
        <f t="shared" si="178"/>
        <v>0</v>
      </c>
      <c r="T1118" s="36">
        <f t="shared" si="179"/>
        <v>0</v>
      </c>
      <c r="V1118" s="6">
        <f t="shared" si="180"/>
        <v>0</v>
      </c>
      <c r="Y1118" s="8">
        <f t="shared" si="181"/>
        <v>46023</v>
      </c>
    </row>
    <row r="1119" spans="2:25" ht="18.75" x14ac:dyDescent="0.3">
      <c r="B1119" s="6">
        <f t="shared" si="173"/>
        <v>0</v>
      </c>
      <c r="C1119" s="6">
        <f t="shared" si="174"/>
        <v>0</v>
      </c>
      <c r="D1119" s="6" t="str">
        <f t="shared" si="175"/>
        <v/>
      </c>
      <c r="E1119" s="35" t="str">
        <f t="shared" si="172"/>
        <v/>
      </c>
      <c r="F1119" s="31"/>
      <c r="G1119" s="29"/>
      <c r="H1119" s="78" t="str">
        <f t="shared" si="176"/>
        <v/>
      </c>
      <c r="I1119" s="25"/>
      <c r="J1119" s="25"/>
      <c r="K1119" s="26"/>
      <c r="L1119" s="26"/>
      <c r="M1119" s="37"/>
      <c r="N1119" s="27"/>
      <c r="O1119" s="30"/>
      <c r="P1119" s="39" t="str">
        <f t="shared" si="177"/>
        <v/>
      </c>
      <c r="Q1119" s="40" t="str">
        <f>IF(OR(T1119=0,RIGHT(T1119,1)=$W$1),"",COUNTIF($T$3:T1119,T1119))</f>
        <v/>
      </c>
      <c r="S1119" s="6">
        <f t="shared" si="178"/>
        <v>0</v>
      </c>
      <c r="T1119" s="36">
        <f t="shared" si="179"/>
        <v>0</v>
      </c>
      <c r="V1119" s="6">
        <f t="shared" si="180"/>
        <v>0</v>
      </c>
      <c r="Y1119" s="8">
        <f t="shared" si="181"/>
        <v>46023</v>
      </c>
    </row>
    <row r="1120" spans="2:25" ht="18.75" x14ac:dyDescent="0.3">
      <c r="B1120" s="6">
        <f t="shared" si="173"/>
        <v>0</v>
      </c>
      <c r="C1120" s="6">
        <f t="shared" si="174"/>
        <v>0</v>
      </c>
      <c r="D1120" s="6" t="str">
        <f t="shared" si="175"/>
        <v/>
      </c>
      <c r="E1120" s="35" t="str">
        <f t="shared" si="172"/>
        <v/>
      </c>
      <c r="F1120" s="31"/>
      <c r="G1120" s="29"/>
      <c r="H1120" s="78" t="str">
        <f t="shared" si="176"/>
        <v/>
      </c>
      <c r="I1120" s="25"/>
      <c r="J1120" s="25"/>
      <c r="K1120" s="26"/>
      <c r="L1120" s="26"/>
      <c r="M1120" s="37"/>
      <c r="N1120" s="27"/>
      <c r="O1120" s="30"/>
      <c r="P1120" s="39" t="str">
        <f t="shared" si="177"/>
        <v/>
      </c>
      <c r="Q1120" s="40" t="str">
        <f>IF(OR(T1120=0,RIGHT(T1120,1)=$W$1),"",COUNTIF($T$3:T1120,T1120))</f>
        <v/>
      </c>
      <c r="S1120" s="6">
        <f t="shared" si="178"/>
        <v>0</v>
      </c>
      <c r="T1120" s="36">
        <f t="shared" si="179"/>
        <v>0</v>
      </c>
      <c r="V1120" s="6">
        <f t="shared" si="180"/>
        <v>0</v>
      </c>
      <c r="Y1120" s="8">
        <f t="shared" si="181"/>
        <v>46023</v>
      </c>
    </row>
    <row r="1121" spans="2:25" ht="18.75" x14ac:dyDescent="0.3">
      <c r="B1121" s="6">
        <f t="shared" si="173"/>
        <v>0</v>
      </c>
      <c r="C1121" s="6">
        <f t="shared" si="174"/>
        <v>0</v>
      </c>
      <c r="D1121" s="6" t="str">
        <f t="shared" si="175"/>
        <v/>
      </c>
      <c r="E1121" s="35" t="str">
        <f t="shared" si="172"/>
        <v/>
      </c>
      <c r="F1121" s="31"/>
      <c r="G1121" s="29"/>
      <c r="H1121" s="78" t="str">
        <f t="shared" si="176"/>
        <v/>
      </c>
      <c r="I1121" s="25"/>
      <c r="J1121" s="25"/>
      <c r="K1121" s="26"/>
      <c r="L1121" s="26"/>
      <c r="M1121" s="37"/>
      <c r="N1121" s="27"/>
      <c r="O1121" s="30"/>
      <c r="P1121" s="39" t="str">
        <f t="shared" si="177"/>
        <v/>
      </c>
      <c r="Q1121" s="40" t="str">
        <f>IF(OR(T1121=0,RIGHT(T1121,1)=$W$1),"",COUNTIF($T$3:T1121,T1121))</f>
        <v/>
      </c>
      <c r="S1121" s="6">
        <f t="shared" si="178"/>
        <v>0</v>
      </c>
      <c r="T1121" s="36">
        <f t="shared" si="179"/>
        <v>0</v>
      </c>
      <c r="V1121" s="6">
        <f t="shared" si="180"/>
        <v>0</v>
      </c>
      <c r="Y1121" s="8">
        <f t="shared" si="181"/>
        <v>46023</v>
      </c>
    </row>
    <row r="1122" spans="2:25" ht="18.75" x14ac:dyDescent="0.3">
      <c r="B1122" s="6">
        <f t="shared" si="173"/>
        <v>0</v>
      </c>
      <c r="C1122" s="6">
        <f t="shared" si="174"/>
        <v>0</v>
      </c>
      <c r="D1122" s="6" t="str">
        <f t="shared" si="175"/>
        <v/>
      </c>
      <c r="E1122" s="35" t="str">
        <f t="shared" si="172"/>
        <v/>
      </c>
      <c r="F1122" s="31"/>
      <c r="G1122" s="29"/>
      <c r="H1122" s="78" t="str">
        <f t="shared" si="176"/>
        <v/>
      </c>
      <c r="I1122" s="25"/>
      <c r="J1122" s="25"/>
      <c r="K1122" s="26"/>
      <c r="L1122" s="26"/>
      <c r="M1122" s="37"/>
      <c r="N1122" s="27"/>
      <c r="O1122" s="30"/>
      <c r="P1122" s="39" t="str">
        <f t="shared" si="177"/>
        <v/>
      </c>
      <c r="Q1122" s="40" t="str">
        <f>IF(OR(T1122=0,RIGHT(T1122,1)=$W$1),"",COUNTIF($T$3:T1122,T1122))</f>
        <v/>
      </c>
      <c r="S1122" s="6">
        <f t="shared" si="178"/>
        <v>0</v>
      </c>
      <c r="T1122" s="36">
        <f t="shared" si="179"/>
        <v>0</v>
      </c>
      <c r="V1122" s="6">
        <f t="shared" si="180"/>
        <v>0</v>
      </c>
      <c r="Y1122" s="8">
        <f t="shared" si="181"/>
        <v>46023</v>
      </c>
    </row>
    <row r="1123" spans="2:25" ht="18.75" x14ac:dyDescent="0.3">
      <c r="B1123" s="6">
        <f t="shared" si="173"/>
        <v>0</v>
      </c>
      <c r="C1123" s="6">
        <f t="shared" si="174"/>
        <v>0</v>
      </c>
      <c r="D1123" s="6" t="str">
        <f t="shared" si="175"/>
        <v/>
      </c>
      <c r="E1123" s="35" t="str">
        <f t="shared" si="172"/>
        <v/>
      </c>
      <c r="F1123" s="31"/>
      <c r="G1123" s="29"/>
      <c r="H1123" s="78" t="str">
        <f t="shared" si="176"/>
        <v/>
      </c>
      <c r="I1123" s="25"/>
      <c r="J1123" s="25"/>
      <c r="K1123" s="26"/>
      <c r="L1123" s="26"/>
      <c r="M1123" s="37"/>
      <c r="N1123" s="27"/>
      <c r="O1123" s="30"/>
      <c r="P1123" s="39" t="str">
        <f t="shared" si="177"/>
        <v/>
      </c>
      <c r="Q1123" s="40" t="str">
        <f>IF(OR(T1123=0,RIGHT(T1123,1)=$W$1),"",COUNTIF($T$3:T1123,T1123))</f>
        <v/>
      </c>
      <c r="S1123" s="6">
        <f t="shared" si="178"/>
        <v>0</v>
      </c>
      <c r="T1123" s="36">
        <f t="shared" si="179"/>
        <v>0</v>
      </c>
      <c r="V1123" s="6">
        <f t="shared" si="180"/>
        <v>0</v>
      </c>
      <c r="Y1123" s="8">
        <f t="shared" si="181"/>
        <v>46023</v>
      </c>
    </row>
    <row r="1124" spans="2:25" ht="18.75" x14ac:dyDescent="0.3">
      <c r="B1124" s="6">
        <f t="shared" si="173"/>
        <v>0</v>
      </c>
      <c r="C1124" s="6">
        <f t="shared" si="174"/>
        <v>0</v>
      </c>
      <c r="D1124" s="6" t="str">
        <f t="shared" si="175"/>
        <v/>
      </c>
      <c r="E1124" s="35" t="str">
        <f t="shared" si="172"/>
        <v/>
      </c>
      <c r="F1124" s="31"/>
      <c r="G1124" s="29"/>
      <c r="H1124" s="78" t="str">
        <f t="shared" si="176"/>
        <v/>
      </c>
      <c r="I1124" s="25"/>
      <c r="J1124" s="25"/>
      <c r="K1124" s="26"/>
      <c r="L1124" s="26"/>
      <c r="M1124" s="37"/>
      <c r="N1124" s="27"/>
      <c r="O1124" s="30"/>
      <c r="P1124" s="39" t="str">
        <f t="shared" si="177"/>
        <v/>
      </c>
      <c r="Q1124" s="40" t="str">
        <f>IF(OR(T1124=0,RIGHT(T1124,1)=$W$1),"",COUNTIF($T$3:T1124,T1124))</f>
        <v/>
      </c>
      <c r="S1124" s="6">
        <f t="shared" si="178"/>
        <v>0</v>
      </c>
      <c r="T1124" s="36">
        <f t="shared" si="179"/>
        <v>0</v>
      </c>
      <c r="V1124" s="6">
        <f t="shared" si="180"/>
        <v>0</v>
      </c>
      <c r="Y1124" s="8">
        <f t="shared" si="181"/>
        <v>46023</v>
      </c>
    </row>
    <row r="1125" spans="2:25" ht="18.75" x14ac:dyDescent="0.3">
      <c r="B1125" s="6">
        <f t="shared" si="173"/>
        <v>0</v>
      </c>
      <c r="C1125" s="6">
        <f t="shared" si="174"/>
        <v>0</v>
      </c>
      <c r="D1125" s="6" t="str">
        <f t="shared" si="175"/>
        <v/>
      </c>
      <c r="E1125" s="35" t="str">
        <f t="shared" si="172"/>
        <v/>
      </c>
      <c r="F1125" s="31"/>
      <c r="G1125" s="29"/>
      <c r="H1125" s="78" t="str">
        <f t="shared" si="176"/>
        <v/>
      </c>
      <c r="I1125" s="25"/>
      <c r="J1125" s="25"/>
      <c r="K1125" s="26"/>
      <c r="L1125" s="26"/>
      <c r="M1125" s="37"/>
      <c r="N1125" s="27"/>
      <c r="O1125" s="30"/>
      <c r="P1125" s="39" t="str">
        <f t="shared" si="177"/>
        <v/>
      </c>
      <c r="Q1125" s="40" t="str">
        <f>IF(OR(T1125=0,RIGHT(T1125,1)=$W$1),"",COUNTIF($T$3:T1125,T1125))</f>
        <v/>
      </c>
      <c r="S1125" s="6">
        <f t="shared" si="178"/>
        <v>0</v>
      </c>
      <c r="T1125" s="36">
        <f t="shared" si="179"/>
        <v>0</v>
      </c>
      <c r="V1125" s="6">
        <f t="shared" si="180"/>
        <v>0</v>
      </c>
      <c r="Y1125" s="8">
        <f t="shared" si="181"/>
        <v>46023</v>
      </c>
    </row>
    <row r="1126" spans="2:25" ht="18.75" x14ac:dyDescent="0.3">
      <c r="B1126" s="6">
        <f t="shared" si="173"/>
        <v>0</v>
      </c>
      <c r="C1126" s="6">
        <f t="shared" si="174"/>
        <v>0</v>
      </c>
      <c r="D1126" s="6" t="str">
        <f t="shared" si="175"/>
        <v/>
      </c>
      <c r="E1126" s="35" t="str">
        <f t="shared" si="172"/>
        <v/>
      </c>
      <c r="F1126" s="31"/>
      <c r="G1126" s="29"/>
      <c r="H1126" s="78" t="str">
        <f t="shared" si="176"/>
        <v/>
      </c>
      <c r="I1126" s="25"/>
      <c r="J1126" s="25"/>
      <c r="K1126" s="26"/>
      <c r="L1126" s="26"/>
      <c r="M1126" s="37"/>
      <c r="N1126" s="27"/>
      <c r="O1126" s="30"/>
      <c r="P1126" s="39" t="str">
        <f t="shared" si="177"/>
        <v/>
      </c>
      <c r="Q1126" s="40" t="str">
        <f>IF(OR(T1126=0,RIGHT(T1126,1)=$W$1),"",COUNTIF($T$3:T1126,T1126))</f>
        <v/>
      </c>
      <c r="S1126" s="6">
        <f t="shared" si="178"/>
        <v>0</v>
      </c>
      <c r="T1126" s="36">
        <f t="shared" si="179"/>
        <v>0</v>
      </c>
      <c r="V1126" s="6">
        <f t="shared" si="180"/>
        <v>0</v>
      </c>
      <c r="Y1126" s="8">
        <f t="shared" si="181"/>
        <v>46023</v>
      </c>
    </row>
    <row r="1127" spans="2:25" ht="18.75" x14ac:dyDescent="0.3">
      <c r="B1127" s="6">
        <f t="shared" si="173"/>
        <v>0</v>
      </c>
      <c r="C1127" s="6">
        <f t="shared" si="174"/>
        <v>0</v>
      </c>
      <c r="D1127" s="6" t="str">
        <f t="shared" si="175"/>
        <v/>
      </c>
      <c r="E1127" s="35" t="str">
        <f t="shared" si="172"/>
        <v/>
      </c>
      <c r="F1127" s="31"/>
      <c r="G1127" s="29"/>
      <c r="H1127" s="78" t="str">
        <f t="shared" si="176"/>
        <v/>
      </c>
      <c r="I1127" s="25"/>
      <c r="J1127" s="25"/>
      <c r="K1127" s="26"/>
      <c r="L1127" s="26"/>
      <c r="M1127" s="37"/>
      <c r="N1127" s="27"/>
      <c r="O1127" s="30"/>
      <c r="P1127" s="39" t="str">
        <f t="shared" si="177"/>
        <v/>
      </c>
      <c r="Q1127" s="40" t="str">
        <f>IF(OR(T1127=0,RIGHT(T1127,1)=$W$1),"",COUNTIF($T$3:T1127,T1127))</f>
        <v/>
      </c>
      <c r="S1127" s="6">
        <f t="shared" si="178"/>
        <v>0</v>
      </c>
      <c r="T1127" s="36">
        <f t="shared" si="179"/>
        <v>0</v>
      </c>
      <c r="V1127" s="6">
        <f t="shared" si="180"/>
        <v>0</v>
      </c>
      <c r="Y1127" s="8">
        <f t="shared" si="181"/>
        <v>46023</v>
      </c>
    </row>
    <row r="1128" spans="2:25" ht="18.75" x14ac:dyDescent="0.3">
      <c r="B1128" s="6">
        <f t="shared" si="173"/>
        <v>0</v>
      </c>
      <c r="C1128" s="6">
        <f t="shared" si="174"/>
        <v>0</v>
      </c>
      <c r="D1128" s="6" t="str">
        <f t="shared" si="175"/>
        <v/>
      </c>
      <c r="E1128" s="35" t="str">
        <f t="shared" si="172"/>
        <v/>
      </c>
      <c r="F1128" s="31"/>
      <c r="G1128" s="29"/>
      <c r="H1128" s="78" t="str">
        <f t="shared" si="176"/>
        <v/>
      </c>
      <c r="I1128" s="25"/>
      <c r="J1128" s="25"/>
      <c r="K1128" s="26"/>
      <c r="L1128" s="26"/>
      <c r="M1128" s="37"/>
      <c r="N1128" s="27"/>
      <c r="O1128" s="30"/>
      <c r="P1128" s="39" t="str">
        <f t="shared" si="177"/>
        <v/>
      </c>
      <c r="Q1128" s="40" t="str">
        <f>IF(OR(T1128=0,RIGHT(T1128,1)=$W$1),"",COUNTIF($T$3:T1128,T1128))</f>
        <v/>
      </c>
      <c r="S1128" s="6">
        <f t="shared" si="178"/>
        <v>0</v>
      </c>
      <c r="T1128" s="36">
        <f t="shared" si="179"/>
        <v>0</v>
      </c>
      <c r="V1128" s="6">
        <f t="shared" si="180"/>
        <v>0</v>
      </c>
      <c r="Y1128" s="8">
        <f t="shared" si="181"/>
        <v>46023</v>
      </c>
    </row>
    <row r="1129" spans="2:25" ht="18.75" x14ac:dyDescent="0.3">
      <c r="B1129" s="6">
        <f t="shared" si="173"/>
        <v>0</v>
      </c>
      <c r="C1129" s="6">
        <f t="shared" si="174"/>
        <v>0</v>
      </c>
      <c r="D1129" s="6" t="str">
        <f t="shared" si="175"/>
        <v/>
      </c>
      <c r="E1129" s="35" t="str">
        <f t="shared" si="172"/>
        <v/>
      </c>
      <c r="F1129" s="31"/>
      <c r="G1129" s="29"/>
      <c r="H1129" s="78" t="str">
        <f t="shared" si="176"/>
        <v/>
      </c>
      <c r="I1129" s="25"/>
      <c r="J1129" s="25"/>
      <c r="K1129" s="26"/>
      <c r="L1129" s="26"/>
      <c r="M1129" s="37"/>
      <c r="N1129" s="27"/>
      <c r="O1129" s="30"/>
      <c r="P1129" s="39" t="str">
        <f t="shared" si="177"/>
        <v/>
      </c>
      <c r="Q1129" s="40" t="str">
        <f>IF(OR(T1129=0,RIGHT(T1129,1)=$W$1),"",COUNTIF($T$3:T1129,T1129))</f>
        <v/>
      </c>
      <c r="S1129" s="6">
        <f t="shared" si="178"/>
        <v>0</v>
      </c>
      <c r="T1129" s="36">
        <f t="shared" si="179"/>
        <v>0</v>
      </c>
      <c r="V1129" s="6">
        <f t="shared" si="180"/>
        <v>0</v>
      </c>
      <c r="Y1129" s="8">
        <f t="shared" si="181"/>
        <v>46023</v>
      </c>
    </row>
    <row r="1130" spans="2:25" ht="18.75" x14ac:dyDescent="0.3">
      <c r="B1130" s="6">
        <f t="shared" si="173"/>
        <v>0</v>
      </c>
      <c r="C1130" s="6">
        <f t="shared" si="174"/>
        <v>0</v>
      </c>
      <c r="D1130" s="6" t="str">
        <f t="shared" si="175"/>
        <v/>
      </c>
      <c r="E1130" s="35" t="str">
        <f t="shared" si="172"/>
        <v/>
      </c>
      <c r="F1130" s="31"/>
      <c r="G1130" s="29"/>
      <c r="H1130" s="78" t="str">
        <f t="shared" si="176"/>
        <v/>
      </c>
      <c r="I1130" s="25"/>
      <c r="J1130" s="25"/>
      <c r="K1130" s="26"/>
      <c r="L1130" s="26"/>
      <c r="M1130" s="37"/>
      <c r="N1130" s="27"/>
      <c r="O1130" s="30"/>
      <c r="P1130" s="39" t="str">
        <f t="shared" si="177"/>
        <v/>
      </c>
      <c r="Q1130" s="40" t="str">
        <f>IF(OR(T1130=0,RIGHT(T1130,1)=$W$1),"",COUNTIF($T$3:T1130,T1130))</f>
        <v/>
      </c>
      <c r="S1130" s="6">
        <f t="shared" si="178"/>
        <v>0</v>
      </c>
      <c r="T1130" s="36">
        <f t="shared" si="179"/>
        <v>0</v>
      </c>
      <c r="V1130" s="6">
        <f t="shared" si="180"/>
        <v>0</v>
      </c>
      <c r="Y1130" s="8">
        <f t="shared" si="181"/>
        <v>46023</v>
      </c>
    </row>
    <row r="1131" spans="2:25" ht="18.75" x14ac:dyDescent="0.3">
      <c r="B1131" s="6">
        <f t="shared" si="173"/>
        <v>0</v>
      </c>
      <c r="C1131" s="6">
        <f t="shared" si="174"/>
        <v>0</v>
      </c>
      <c r="D1131" s="6" t="str">
        <f t="shared" si="175"/>
        <v/>
      </c>
      <c r="E1131" s="35" t="str">
        <f t="shared" si="172"/>
        <v/>
      </c>
      <c r="F1131" s="31"/>
      <c r="G1131" s="29"/>
      <c r="H1131" s="78" t="str">
        <f t="shared" si="176"/>
        <v/>
      </c>
      <c r="I1131" s="25"/>
      <c r="J1131" s="25"/>
      <c r="K1131" s="26"/>
      <c r="L1131" s="26"/>
      <c r="M1131" s="37"/>
      <c r="N1131" s="27"/>
      <c r="O1131" s="30"/>
      <c r="P1131" s="39" t="str">
        <f t="shared" si="177"/>
        <v/>
      </c>
      <c r="Q1131" s="40" t="str">
        <f>IF(OR(T1131=0,RIGHT(T1131,1)=$W$1),"",COUNTIF($T$3:T1131,T1131))</f>
        <v/>
      </c>
      <c r="S1131" s="6">
        <f t="shared" si="178"/>
        <v>0</v>
      </c>
      <c r="T1131" s="36">
        <f t="shared" si="179"/>
        <v>0</v>
      </c>
      <c r="V1131" s="6">
        <f t="shared" si="180"/>
        <v>0</v>
      </c>
      <c r="Y1131" s="8">
        <f t="shared" si="181"/>
        <v>46023</v>
      </c>
    </row>
    <row r="1132" spans="2:25" ht="18.75" x14ac:dyDescent="0.3">
      <c r="B1132" s="6">
        <f t="shared" si="173"/>
        <v>0</v>
      </c>
      <c r="C1132" s="6">
        <f t="shared" si="174"/>
        <v>0</v>
      </c>
      <c r="D1132" s="6" t="str">
        <f t="shared" si="175"/>
        <v/>
      </c>
      <c r="E1132" s="35" t="str">
        <f t="shared" si="172"/>
        <v/>
      </c>
      <c r="F1132" s="31"/>
      <c r="G1132" s="29"/>
      <c r="H1132" s="78" t="str">
        <f t="shared" si="176"/>
        <v/>
      </c>
      <c r="I1132" s="25"/>
      <c r="J1132" s="25"/>
      <c r="K1132" s="26"/>
      <c r="L1132" s="26"/>
      <c r="M1132" s="37"/>
      <c r="N1132" s="27"/>
      <c r="O1132" s="30"/>
      <c r="P1132" s="39" t="str">
        <f t="shared" si="177"/>
        <v/>
      </c>
      <c r="Q1132" s="40" t="str">
        <f>IF(OR(T1132=0,RIGHT(T1132,1)=$W$1),"",COUNTIF($T$3:T1132,T1132))</f>
        <v/>
      </c>
      <c r="S1132" s="6">
        <f t="shared" si="178"/>
        <v>0</v>
      </c>
      <c r="T1132" s="36">
        <f t="shared" si="179"/>
        <v>0</v>
      </c>
      <c r="V1132" s="6">
        <f t="shared" si="180"/>
        <v>0</v>
      </c>
      <c r="Y1132" s="8">
        <f t="shared" si="181"/>
        <v>46023</v>
      </c>
    </row>
    <row r="1133" spans="2:25" ht="18.75" x14ac:dyDescent="0.3">
      <c r="B1133" s="6">
        <f t="shared" si="173"/>
        <v>0</v>
      </c>
      <c r="C1133" s="6">
        <f t="shared" si="174"/>
        <v>0</v>
      </c>
      <c r="D1133" s="6" t="str">
        <f t="shared" si="175"/>
        <v/>
      </c>
      <c r="E1133" s="35" t="str">
        <f t="shared" si="172"/>
        <v/>
      </c>
      <c r="F1133" s="31"/>
      <c r="G1133" s="29"/>
      <c r="H1133" s="78" t="str">
        <f t="shared" si="176"/>
        <v/>
      </c>
      <c r="I1133" s="25"/>
      <c r="J1133" s="25"/>
      <c r="K1133" s="26"/>
      <c r="L1133" s="26"/>
      <c r="M1133" s="37"/>
      <c r="N1133" s="27"/>
      <c r="O1133" s="30"/>
      <c r="P1133" s="39" t="str">
        <f t="shared" si="177"/>
        <v/>
      </c>
      <c r="Q1133" s="40" t="str">
        <f>IF(OR(T1133=0,RIGHT(T1133,1)=$W$1),"",COUNTIF($T$3:T1133,T1133))</f>
        <v/>
      </c>
      <c r="S1133" s="6">
        <f t="shared" si="178"/>
        <v>0</v>
      </c>
      <c r="T1133" s="36">
        <f t="shared" si="179"/>
        <v>0</v>
      </c>
      <c r="V1133" s="6">
        <f t="shared" si="180"/>
        <v>0</v>
      </c>
      <c r="Y1133" s="8">
        <f t="shared" si="181"/>
        <v>46023</v>
      </c>
    </row>
    <row r="1134" spans="2:25" ht="18.75" x14ac:dyDescent="0.3">
      <c r="B1134" s="6">
        <f t="shared" si="173"/>
        <v>0</v>
      </c>
      <c r="C1134" s="6">
        <f t="shared" si="174"/>
        <v>0</v>
      </c>
      <c r="D1134" s="6" t="str">
        <f t="shared" si="175"/>
        <v/>
      </c>
      <c r="E1134" s="35" t="str">
        <f t="shared" si="172"/>
        <v/>
      </c>
      <c r="F1134" s="31"/>
      <c r="G1134" s="29"/>
      <c r="H1134" s="78" t="str">
        <f t="shared" si="176"/>
        <v/>
      </c>
      <c r="I1134" s="25"/>
      <c r="J1134" s="25"/>
      <c r="K1134" s="26"/>
      <c r="L1134" s="26"/>
      <c r="M1134" s="37"/>
      <c r="N1134" s="27"/>
      <c r="O1134" s="30"/>
      <c r="P1134" s="39" t="str">
        <f t="shared" si="177"/>
        <v/>
      </c>
      <c r="Q1134" s="40" t="str">
        <f>IF(OR(T1134=0,RIGHT(T1134,1)=$W$1),"",COUNTIF($T$3:T1134,T1134))</f>
        <v/>
      </c>
      <c r="S1134" s="6">
        <f t="shared" si="178"/>
        <v>0</v>
      </c>
      <c r="T1134" s="36">
        <f t="shared" si="179"/>
        <v>0</v>
      </c>
      <c r="V1134" s="6">
        <f t="shared" si="180"/>
        <v>0</v>
      </c>
      <c r="Y1134" s="8">
        <f t="shared" si="181"/>
        <v>46023</v>
      </c>
    </row>
    <row r="1135" spans="2:25" ht="18.75" x14ac:dyDescent="0.3">
      <c r="B1135" s="6">
        <f t="shared" si="173"/>
        <v>0</v>
      </c>
      <c r="C1135" s="6">
        <f t="shared" si="174"/>
        <v>0</v>
      </c>
      <c r="D1135" s="6" t="str">
        <f t="shared" si="175"/>
        <v/>
      </c>
      <c r="E1135" s="35" t="str">
        <f t="shared" si="172"/>
        <v/>
      </c>
      <c r="F1135" s="31"/>
      <c r="G1135" s="29"/>
      <c r="H1135" s="78" t="str">
        <f t="shared" si="176"/>
        <v/>
      </c>
      <c r="I1135" s="25"/>
      <c r="J1135" s="25"/>
      <c r="K1135" s="26"/>
      <c r="L1135" s="26"/>
      <c r="M1135" s="37"/>
      <c r="N1135" s="27"/>
      <c r="O1135" s="30"/>
      <c r="P1135" s="39" t="str">
        <f t="shared" si="177"/>
        <v/>
      </c>
      <c r="Q1135" s="40" t="str">
        <f>IF(OR(T1135=0,RIGHT(T1135,1)=$W$1),"",COUNTIF($T$3:T1135,T1135))</f>
        <v/>
      </c>
      <c r="S1135" s="6">
        <f t="shared" si="178"/>
        <v>0</v>
      </c>
      <c r="T1135" s="36">
        <f t="shared" si="179"/>
        <v>0</v>
      </c>
      <c r="V1135" s="6">
        <f t="shared" si="180"/>
        <v>0</v>
      </c>
      <c r="Y1135" s="8">
        <f t="shared" si="181"/>
        <v>46023</v>
      </c>
    </row>
    <row r="1136" spans="2:25" ht="18.75" x14ac:dyDescent="0.3">
      <c r="B1136" s="6">
        <f t="shared" si="173"/>
        <v>0</v>
      </c>
      <c r="C1136" s="6">
        <f t="shared" si="174"/>
        <v>0</v>
      </c>
      <c r="D1136" s="6" t="str">
        <f t="shared" si="175"/>
        <v/>
      </c>
      <c r="E1136" s="35" t="str">
        <f t="shared" si="172"/>
        <v/>
      </c>
      <c r="F1136" s="31"/>
      <c r="G1136" s="29"/>
      <c r="H1136" s="78" t="str">
        <f t="shared" si="176"/>
        <v/>
      </c>
      <c r="I1136" s="25"/>
      <c r="J1136" s="25"/>
      <c r="K1136" s="26"/>
      <c r="L1136" s="26"/>
      <c r="M1136" s="37"/>
      <c r="N1136" s="27"/>
      <c r="O1136" s="30"/>
      <c r="P1136" s="39" t="str">
        <f t="shared" si="177"/>
        <v/>
      </c>
      <c r="Q1136" s="40" t="str">
        <f>IF(OR(T1136=0,RIGHT(T1136,1)=$W$1),"",COUNTIF($T$3:T1136,T1136))</f>
        <v/>
      </c>
      <c r="S1136" s="6">
        <f t="shared" si="178"/>
        <v>0</v>
      </c>
      <c r="T1136" s="36">
        <f t="shared" si="179"/>
        <v>0</v>
      </c>
      <c r="V1136" s="6">
        <f t="shared" si="180"/>
        <v>0</v>
      </c>
      <c r="Y1136" s="8">
        <f t="shared" si="181"/>
        <v>46023</v>
      </c>
    </row>
    <row r="1137" spans="2:25" ht="18.75" x14ac:dyDescent="0.3">
      <c r="B1137" s="6">
        <f t="shared" si="173"/>
        <v>0</v>
      </c>
      <c r="C1137" s="6">
        <f t="shared" si="174"/>
        <v>0</v>
      </c>
      <c r="D1137" s="6" t="str">
        <f t="shared" si="175"/>
        <v/>
      </c>
      <c r="E1137" s="35" t="str">
        <f t="shared" si="172"/>
        <v/>
      </c>
      <c r="F1137" s="31"/>
      <c r="G1137" s="29"/>
      <c r="H1137" s="78" t="str">
        <f t="shared" si="176"/>
        <v/>
      </c>
      <c r="I1137" s="25"/>
      <c r="J1137" s="25"/>
      <c r="K1137" s="26"/>
      <c r="L1137" s="26"/>
      <c r="M1137" s="37"/>
      <c r="N1137" s="27"/>
      <c r="O1137" s="30"/>
      <c r="P1137" s="39" t="str">
        <f t="shared" si="177"/>
        <v/>
      </c>
      <c r="Q1137" s="40" t="str">
        <f>IF(OR(T1137=0,RIGHT(T1137,1)=$W$1),"",COUNTIF($T$3:T1137,T1137))</f>
        <v/>
      </c>
      <c r="S1137" s="6">
        <f t="shared" si="178"/>
        <v>0</v>
      </c>
      <c r="T1137" s="36">
        <f t="shared" si="179"/>
        <v>0</v>
      </c>
      <c r="V1137" s="6">
        <f t="shared" si="180"/>
        <v>0</v>
      </c>
      <c r="Y1137" s="8">
        <f t="shared" si="181"/>
        <v>46023</v>
      </c>
    </row>
    <row r="1138" spans="2:25" ht="18.75" x14ac:dyDescent="0.3">
      <c r="B1138" s="6">
        <f t="shared" si="173"/>
        <v>0</v>
      </c>
      <c r="C1138" s="6">
        <f t="shared" si="174"/>
        <v>0</v>
      </c>
      <c r="D1138" s="6" t="str">
        <f t="shared" si="175"/>
        <v/>
      </c>
      <c r="E1138" s="35" t="str">
        <f t="shared" si="172"/>
        <v/>
      </c>
      <c r="F1138" s="31"/>
      <c r="G1138" s="29"/>
      <c r="H1138" s="78" t="str">
        <f t="shared" si="176"/>
        <v/>
      </c>
      <c r="I1138" s="25"/>
      <c r="J1138" s="25"/>
      <c r="K1138" s="26"/>
      <c r="L1138" s="26"/>
      <c r="M1138" s="37"/>
      <c r="N1138" s="27"/>
      <c r="O1138" s="30"/>
      <c r="P1138" s="39" t="str">
        <f t="shared" si="177"/>
        <v/>
      </c>
      <c r="Q1138" s="40" t="str">
        <f>IF(OR(T1138=0,RIGHT(T1138,1)=$W$1),"",COUNTIF($T$3:T1138,T1138))</f>
        <v/>
      </c>
      <c r="S1138" s="6">
        <f t="shared" si="178"/>
        <v>0</v>
      </c>
      <c r="T1138" s="36">
        <f t="shared" si="179"/>
        <v>0</v>
      </c>
      <c r="V1138" s="6">
        <f t="shared" si="180"/>
        <v>0</v>
      </c>
      <c r="Y1138" s="8">
        <f t="shared" si="181"/>
        <v>46023</v>
      </c>
    </row>
    <row r="1139" spans="2:25" ht="18.75" x14ac:dyDescent="0.3">
      <c r="B1139" s="6">
        <f t="shared" si="173"/>
        <v>0</v>
      </c>
      <c r="C1139" s="6">
        <f t="shared" si="174"/>
        <v>0</v>
      </c>
      <c r="D1139" s="6" t="str">
        <f t="shared" si="175"/>
        <v/>
      </c>
      <c r="E1139" s="35" t="str">
        <f t="shared" si="172"/>
        <v/>
      </c>
      <c r="F1139" s="31"/>
      <c r="G1139" s="29"/>
      <c r="H1139" s="78" t="str">
        <f t="shared" si="176"/>
        <v/>
      </c>
      <c r="I1139" s="25"/>
      <c r="J1139" s="25"/>
      <c r="K1139" s="26"/>
      <c r="L1139" s="26"/>
      <c r="M1139" s="37"/>
      <c r="N1139" s="27"/>
      <c r="O1139" s="30"/>
      <c r="P1139" s="39" t="str">
        <f t="shared" si="177"/>
        <v/>
      </c>
      <c r="Q1139" s="40" t="str">
        <f>IF(OR(T1139=0,RIGHT(T1139,1)=$W$1),"",COUNTIF($T$3:T1139,T1139))</f>
        <v/>
      </c>
      <c r="S1139" s="6">
        <f t="shared" si="178"/>
        <v>0</v>
      </c>
      <c r="T1139" s="36">
        <f t="shared" si="179"/>
        <v>0</v>
      </c>
      <c r="V1139" s="6">
        <f t="shared" si="180"/>
        <v>0</v>
      </c>
      <c r="Y1139" s="8">
        <f t="shared" si="181"/>
        <v>46023</v>
      </c>
    </row>
    <row r="1140" spans="2:25" ht="18.75" x14ac:dyDescent="0.3">
      <c r="B1140" s="6">
        <f t="shared" si="173"/>
        <v>0</v>
      </c>
      <c r="C1140" s="6">
        <f t="shared" si="174"/>
        <v>0</v>
      </c>
      <c r="D1140" s="6" t="str">
        <f t="shared" si="175"/>
        <v/>
      </c>
      <c r="E1140" s="35" t="str">
        <f t="shared" si="172"/>
        <v/>
      </c>
      <c r="F1140" s="31"/>
      <c r="G1140" s="29"/>
      <c r="H1140" s="78" t="str">
        <f t="shared" si="176"/>
        <v/>
      </c>
      <c r="I1140" s="25"/>
      <c r="J1140" s="25"/>
      <c r="K1140" s="26"/>
      <c r="L1140" s="26"/>
      <c r="M1140" s="37"/>
      <c r="N1140" s="27"/>
      <c r="O1140" s="30"/>
      <c r="P1140" s="39" t="str">
        <f t="shared" si="177"/>
        <v/>
      </c>
      <c r="Q1140" s="40" t="str">
        <f>IF(OR(T1140=0,RIGHT(T1140,1)=$W$1),"",COUNTIF($T$3:T1140,T1140))</f>
        <v/>
      </c>
      <c r="S1140" s="6">
        <f t="shared" si="178"/>
        <v>0</v>
      </c>
      <c r="T1140" s="36">
        <f t="shared" si="179"/>
        <v>0</v>
      </c>
      <c r="V1140" s="6">
        <f t="shared" si="180"/>
        <v>0</v>
      </c>
      <c r="Y1140" s="8">
        <f t="shared" si="181"/>
        <v>46023</v>
      </c>
    </row>
    <row r="1141" spans="2:25" ht="18.75" x14ac:dyDescent="0.3">
      <c r="B1141" s="6">
        <f t="shared" si="173"/>
        <v>0</v>
      </c>
      <c r="C1141" s="6">
        <f t="shared" si="174"/>
        <v>0</v>
      </c>
      <c r="D1141" s="6" t="str">
        <f t="shared" si="175"/>
        <v/>
      </c>
      <c r="E1141" s="35" t="str">
        <f t="shared" si="172"/>
        <v/>
      </c>
      <c r="F1141" s="31"/>
      <c r="G1141" s="29"/>
      <c r="H1141" s="78" t="str">
        <f t="shared" si="176"/>
        <v/>
      </c>
      <c r="I1141" s="25"/>
      <c r="J1141" s="25"/>
      <c r="K1141" s="26"/>
      <c r="L1141" s="26"/>
      <c r="M1141" s="37"/>
      <c r="N1141" s="27"/>
      <c r="O1141" s="30"/>
      <c r="P1141" s="39" t="str">
        <f t="shared" si="177"/>
        <v/>
      </c>
      <c r="Q1141" s="40" t="str">
        <f>IF(OR(T1141=0,RIGHT(T1141,1)=$W$1),"",COUNTIF($T$3:T1141,T1141))</f>
        <v/>
      </c>
      <c r="S1141" s="6">
        <f t="shared" si="178"/>
        <v>0</v>
      </c>
      <c r="T1141" s="36">
        <f t="shared" si="179"/>
        <v>0</v>
      </c>
      <c r="V1141" s="6">
        <f t="shared" si="180"/>
        <v>0</v>
      </c>
      <c r="Y1141" s="8">
        <f t="shared" si="181"/>
        <v>46023</v>
      </c>
    </row>
    <row r="1142" spans="2:25" ht="18.75" x14ac:dyDescent="0.3">
      <c r="B1142" s="6">
        <f t="shared" si="173"/>
        <v>0</v>
      </c>
      <c r="C1142" s="6">
        <f t="shared" si="174"/>
        <v>0</v>
      </c>
      <c r="D1142" s="6" t="str">
        <f t="shared" si="175"/>
        <v/>
      </c>
      <c r="E1142" s="35" t="str">
        <f t="shared" si="172"/>
        <v/>
      </c>
      <c r="F1142" s="31"/>
      <c r="G1142" s="29"/>
      <c r="H1142" s="78" t="str">
        <f t="shared" si="176"/>
        <v/>
      </c>
      <c r="I1142" s="25"/>
      <c r="J1142" s="25"/>
      <c r="K1142" s="26"/>
      <c r="L1142" s="26"/>
      <c r="M1142" s="37"/>
      <c r="N1142" s="27"/>
      <c r="O1142" s="30"/>
      <c r="P1142" s="39" t="str">
        <f t="shared" si="177"/>
        <v/>
      </c>
      <c r="Q1142" s="40" t="str">
        <f>IF(OR(T1142=0,RIGHT(T1142,1)=$W$1),"",COUNTIF($T$3:T1142,T1142))</f>
        <v/>
      </c>
      <c r="S1142" s="6">
        <f t="shared" si="178"/>
        <v>0</v>
      </c>
      <c r="T1142" s="36">
        <f t="shared" si="179"/>
        <v>0</v>
      </c>
      <c r="V1142" s="6">
        <f t="shared" si="180"/>
        <v>0</v>
      </c>
      <c r="Y1142" s="8">
        <f t="shared" si="181"/>
        <v>46023</v>
      </c>
    </row>
    <row r="1143" spans="2:25" ht="18.75" x14ac:dyDescent="0.3">
      <c r="B1143" s="6">
        <f t="shared" si="173"/>
        <v>0</v>
      </c>
      <c r="C1143" s="6">
        <f t="shared" si="174"/>
        <v>0</v>
      </c>
      <c r="D1143" s="6" t="str">
        <f t="shared" si="175"/>
        <v/>
      </c>
      <c r="E1143" s="35" t="str">
        <f t="shared" si="172"/>
        <v/>
      </c>
      <c r="F1143" s="31"/>
      <c r="G1143" s="29"/>
      <c r="H1143" s="78" t="str">
        <f t="shared" si="176"/>
        <v/>
      </c>
      <c r="I1143" s="25"/>
      <c r="J1143" s="25"/>
      <c r="K1143" s="26"/>
      <c r="L1143" s="26"/>
      <c r="M1143" s="37"/>
      <c r="N1143" s="27"/>
      <c r="O1143" s="30"/>
      <c r="P1143" s="39" t="str">
        <f t="shared" si="177"/>
        <v/>
      </c>
      <c r="Q1143" s="40" t="str">
        <f>IF(OR(T1143=0,RIGHT(T1143,1)=$W$1),"",COUNTIF($T$3:T1143,T1143))</f>
        <v/>
      </c>
      <c r="S1143" s="6">
        <f t="shared" si="178"/>
        <v>0</v>
      </c>
      <c r="T1143" s="36">
        <f t="shared" si="179"/>
        <v>0</v>
      </c>
      <c r="V1143" s="6">
        <f t="shared" si="180"/>
        <v>0</v>
      </c>
      <c r="Y1143" s="8">
        <f t="shared" si="181"/>
        <v>46023</v>
      </c>
    </row>
    <row r="1144" spans="2:25" ht="18.75" x14ac:dyDescent="0.3">
      <c r="B1144" s="6">
        <f t="shared" si="173"/>
        <v>0</v>
      </c>
      <c r="C1144" s="6">
        <f t="shared" si="174"/>
        <v>0</v>
      </c>
      <c r="D1144" s="6" t="str">
        <f t="shared" si="175"/>
        <v/>
      </c>
      <c r="E1144" s="35" t="str">
        <f t="shared" si="172"/>
        <v/>
      </c>
      <c r="F1144" s="31"/>
      <c r="G1144" s="29"/>
      <c r="H1144" s="78" t="str">
        <f t="shared" si="176"/>
        <v/>
      </c>
      <c r="I1144" s="25"/>
      <c r="J1144" s="25"/>
      <c r="K1144" s="26"/>
      <c r="L1144" s="26"/>
      <c r="M1144" s="37"/>
      <c r="N1144" s="27"/>
      <c r="O1144" s="30"/>
      <c r="P1144" s="39" t="str">
        <f t="shared" si="177"/>
        <v/>
      </c>
      <c r="Q1144" s="40" t="str">
        <f>IF(OR(T1144=0,RIGHT(T1144,1)=$W$1),"",COUNTIF($T$3:T1144,T1144))</f>
        <v/>
      </c>
      <c r="S1144" s="6">
        <f t="shared" si="178"/>
        <v>0</v>
      </c>
      <c r="T1144" s="36">
        <f t="shared" si="179"/>
        <v>0</v>
      </c>
      <c r="V1144" s="6">
        <f t="shared" si="180"/>
        <v>0</v>
      </c>
      <c r="Y1144" s="8">
        <f t="shared" si="181"/>
        <v>46023</v>
      </c>
    </row>
    <row r="1145" spans="2:25" ht="18.75" x14ac:dyDescent="0.3">
      <c r="B1145" s="6">
        <f t="shared" si="173"/>
        <v>0</v>
      </c>
      <c r="C1145" s="6">
        <f t="shared" si="174"/>
        <v>0</v>
      </c>
      <c r="D1145" s="6" t="str">
        <f t="shared" si="175"/>
        <v/>
      </c>
      <c r="E1145" s="35" t="str">
        <f t="shared" si="172"/>
        <v/>
      </c>
      <c r="F1145" s="31"/>
      <c r="G1145" s="29"/>
      <c r="H1145" s="78" t="str">
        <f t="shared" si="176"/>
        <v/>
      </c>
      <c r="I1145" s="25"/>
      <c r="J1145" s="25"/>
      <c r="K1145" s="26"/>
      <c r="L1145" s="26"/>
      <c r="M1145" s="37"/>
      <c r="N1145" s="27"/>
      <c r="O1145" s="30"/>
      <c r="P1145" s="39" t="str">
        <f t="shared" si="177"/>
        <v/>
      </c>
      <c r="Q1145" s="40" t="str">
        <f>IF(OR(T1145=0,RIGHT(T1145,1)=$W$1),"",COUNTIF($T$3:T1145,T1145))</f>
        <v/>
      </c>
      <c r="S1145" s="6">
        <f t="shared" si="178"/>
        <v>0</v>
      </c>
      <c r="T1145" s="36">
        <f t="shared" si="179"/>
        <v>0</v>
      </c>
      <c r="V1145" s="6">
        <f t="shared" si="180"/>
        <v>0</v>
      </c>
      <c r="Y1145" s="8">
        <f t="shared" si="181"/>
        <v>46023</v>
      </c>
    </row>
    <row r="1146" spans="2:25" ht="18.75" x14ac:dyDescent="0.3">
      <c r="B1146" s="6">
        <f t="shared" si="173"/>
        <v>0</v>
      </c>
      <c r="C1146" s="6">
        <f t="shared" si="174"/>
        <v>0</v>
      </c>
      <c r="D1146" s="6" t="str">
        <f t="shared" si="175"/>
        <v/>
      </c>
      <c r="E1146" s="35" t="str">
        <f t="shared" si="172"/>
        <v/>
      </c>
      <c r="F1146" s="31"/>
      <c r="G1146" s="29"/>
      <c r="H1146" s="78" t="str">
        <f t="shared" si="176"/>
        <v/>
      </c>
      <c r="I1146" s="25"/>
      <c r="J1146" s="25"/>
      <c r="K1146" s="26"/>
      <c r="L1146" s="26"/>
      <c r="M1146" s="37"/>
      <c r="N1146" s="27"/>
      <c r="O1146" s="30"/>
      <c r="P1146" s="39" t="str">
        <f t="shared" si="177"/>
        <v/>
      </c>
      <c r="Q1146" s="40" t="str">
        <f>IF(OR(T1146=0,RIGHT(T1146,1)=$W$1),"",COUNTIF($T$3:T1146,T1146))</f>
        <v/>
      </c>
      <c r="S1146" s="6">
        <f t="shared" si="178"/>
        <v>0</v>
      </c>
      <c r="T1146" s="36">
        <f t="shared" si="179"/>
        <v>0</v>
      </c>
      <c r="V1146" s="6">
        <f t="shared" si="180"/>
        <v>0</v>
      </c>
      <c r="Y1146" s="8">
        <f t="shared" si="181"/>
        <v>46023</v>
      </c>
    </row>
    <row r="1147" spans="2:25" ht="18.75" x14ac:dyDescent="0.3">
      <c r="B1147" s="6">
        <f t="shared" si="173"/>
        <v>0</v>
      </c>
      <c r="C1147" s="6">
        <f t="shared" si="174"/>
        <v>0</v>
      </c>
      <c r="D1147" s="6" t="str">
        <f t="shared" si="175"/>
        <v/>
      </c>
      <c r="E1147" s="35" t="str">
        <f t="shared" si="172"/>
        <v/>
      </c>
      <c r="F1147" s="31"/>
      <c r="G1147" s="29"/>
      <c r="H1147" s="78" t="str">
        <f t="shared" si="176"/>
        <v/>
      </c>
      <c r="I1147" s="25"/>
      <c r="J1147" s="25"/>
      <c r="K1147" s="26"/>
      <c r="L1147" s="26"/>
      <c r="M1147" s="37"/>
      <c r="N1147" s="27"/>
      <c r="O1147" s="30"/>
      <c r="P1147" s="39" t="str">
        <f t="shared" si="177"/>
        <v/>
      </c>
      <c r="Q1147" s="40" t="str">
        <f>IF(OR(T1147=0,RIGHT(T1147,1)=$W$1),"",COUNTIF($T$3:T1147,T1147))</f>
        <v/>
      </c>
      <c r="S1147" s="6">
        <f t="shared" si="178"/>
        <v>0</v>
      </c>
      <c r="T1147" s="36">
        <f t="shared" si="179"/>
        <v>0</v>
      </c>
      <c r="V1147" s="6">
        <f t="shared" si="180"/>
        <v>0</v>
      </c>
      <c r="Y1147" s="8">
        <f t="shared" si="181"/>
        <v>46023</v>
      </c>
    </row>
    <row r="1148" spans="2:25" ht="18.75" x14ac:dyDescent="0.3">
      <c r="B1148" s="6">
        <f t="shared" si="173"/>
        <v>0</v>
      </c>
      <c r="C1148" s="6">
        <f t="shared" si="174"/>
        <v>0</v>
      </c>
      <c r="D1148" s="6" t="str">
        <f t="shared" si="175"/>
        <v/>
      </c>
      <c r="E1148" s="35" t="str">
        <f t="shared" si="172"/>
        <v/>
      </c>
      <c r="F1148" s="31"/>
      <c r="G1148" s="29"/>
      <c r="H1148" s="78" t="str">
        <f t="shared" si="176"/>
        <v/>
      </c>
      <c r="I1148" s="25"/>
      <c r="J1148" s="25"/>
      <c r="K1148" s="26"/>
      <c r="L1148" s="26"/>
      <c r="M1148" s="37"/>
      <c r="N1148" s="27"/>
      <c r="O1148" s="30"/>
      <c r="P1148" s="39" t="str">
        <f t="shared" si="177"/>
        <v/>
      </c>
      <c r="Q1148" s="40" t="str">
        <f>IF(OR(T1148=0,RIGHT(T1148,1)=$W$1),"",COUNTIF($T$3:T1148,T1148))</f>
        <v/>
      </c>
      <c r="S1148" s="6">
        <f t="shared" si="178"/>
        <v>0</v>
      </c>
      <c r="T1148" s="36">
        <f t="shared" si="179"/>
        <v>0</v>
      </c>
      <c r="V1148" s="6">
        <f t="shared" si="180"/>
        <v>0</v>
      </c>
      <c r="Y1148" s="8">
        <f t="shared" si="181"/>
        <v>46023</v>
      </c>
    </row>
    <row r="1149" spans="2:25" ht="18.75" x14ac:dyDescent="0.3">
      <c r="B1149" s="6">
        <f t="shared" si="173"/>
        <v>0</v>
      </c>
      <c r="C1149" s="6">
        <f t="shared" si="174"/>
        <v>0</v>
      </c>
      <c r="D1149" s="6" t="str">
        <f t="shared" si="175"/>
        <v/>
      </c>
      <c r="E1149" s="35" t="str">
        <f t="shared" si="172"/>
        <v/>
      </c>
      <c r="F1149" s="31"/>
      <c r="G1149" s="29"/>
      <c r="H1149" s="78" t="str">
        <f t="shared" si="176"/>
        <v/>
      </c>
      <c r="I1149" s="25"/>
      <c r="J1149" s="25"/>
      <c r="K1149" s="26"/>
      <c r="L1149" s="26"/>
      <c r="M1149" s="37"/>
      <c r="N1149" s="27"/>
      <c r="O1149" s="30"/>
      <c r="P1149" s="39" t="str">
        <f t="shared" si="177"/>
        <v/>
      </c>
      <c r="Q1149" s="40" t="str">
        <f>IF(OR(T1149=0,RIGHT(T1149,1)=$W$1),"",COUNTIF($T$3:T1149,T1149))</f>
        <v/>
      </c>
      <c r="S1149" s="6">
        <f t="shared" si="178"/>
        <v>0</v>
      </c>
      <c r="T1149" s="36">
        <f t="shared" si="179"/>
        <v>0</v>
      </c>
      <c r="V1149" s="6">
        <f t="shared" si="180"/>
        <v>0</v>
      </c>
      <c r="Y1149" s="8">
        <f t="shared" si="181"/>
        <v>46023</v>
      </c>
    </row>
    <row r="1150" spans="2:25" ht="18.75" x14ac:dyDescent="0.3">
      <c r="B1150" s="6">
        <f t="shared" si="173"/>
        <v>0</v>
      </c>
      <c r="C1150" s="6">
        <f t="shared" si="174"/>
        <v>0</v>
      </c>
      <c r="D1150" s="6" t="str">
        <f t="shared" si="175"/>
        <v/>
      </c>
      <c r="E1150" s="35" t="str">
        <f t="shared" si="172"/>
        <v/>
      </c>
      <c r="F1150" s="31"/>
      <c r="G1150" s="29"/>
      <c r="H1150" s="78" t="str">
        <f t="shared" si="176"/>
        <v/>
      </c>
      <c r="I1150" s="25"/>
      <c r="J1150" s="25"/>
      <c r="K1150" s="26"/>
      <c r="L1150" s="26"/>
      <c r="M1150" s="37"/>
      <c r="N1150" s="27"/>
      <c r="O1150" s="30"/>
      <c r="P1150" s="39" t="str">
        <f t="shared" si="177"/>
        <v/>
      </c>
      <c r="Q1150" s="40" t="str">
        <f>IF(OR(T1150=0,RIGHT(T1150,1)=$W$1),"",COUNTIF($T$3:T1150,T1150))</f>
        <v/>
      </c>
      <c r="S1150" s="6">
        <f t="shared" si="178"/>
        <v>0</v>
      </c>
      <c r="T1150" s="36">
        <f t="shared" si="179"/>
        <v>0</v>
      </c>
      <c r="V1150" s="6">
        <f t="shared" si="180"/>
        <v>0</v>
      </c>
      <c r="Y1150" s="8">
        <f t="shared" si="181"/>
        <v>46023</v>
      </c>
    </row>
    <row r="1151" spans="2:25" ht="18.75" x14ac:dyDescent="0.3">
      <c r="B1151" s="6">
        <f t="shared" si="173"/>
        <v>0</v>
      </c>
      <c r="C1151" s="6">
        <f t="shared" si="174"/>
        <v>0</v>
      </c>
      <c r="D1151" s="6" t="str">
        <f t="shared" si="175"/>
        <v/>
      </c>
      <c r="E1151" s="35" t="str">
        <f t="shared" si="172"/>
        <v/>
      </c>
      <c r="F1151" s="31"/>
      <c r="G1151" s="29"/>
      <c r="H1151" s="78" t="str">
        <f t="shared" si="176"/>
        <v/>
      </c>
      <c r="I1151" s="25"/>
      <c r="J1151" s="25"/>
      <c r="K1151" s="26"/>
      <c r="L1151" s="26"/>
      <c r="M1151" s="37"/>
      <c r="N1151" s="27"/>
      <c r="O1151" s="30"/>
      <c r="P1151" s="39" t="str">
        <f t="shared" si="177"/>
        <v/>
      </c>
      <c r="Q1151" s="40" t="str">
        <f>IF(OR(T1151=0,RIGHT(T1151,1)=$W$1),"",COUNTIF($T$3:T1151,T1151))</f>
        <v/>
      </c>
      <c r="S1151" s="6">
        <f t="shared" si="178"/>
        <v>0</v>
      </c>
      <c r="T1151" s="36">
        <f t="shared" si="179"/>
        <v>0</v>
      </c>
      <c r="V1151" s="6">
        <f t="shared" si="180"/>
        <v>0</v>
      </c>
      <c r="Y1151" s="8">
        <f t="shared" si="181"/>
        <v>46023</v>
      </c>
    </row>
    <row r="1152" spans="2:25" ht="18.75" x14ac:dyDescent="0.3">
      <c r="B1152" s="6">
        <f t="shared" si="173"/>
        <v>0</v>
      </c>
      <c r="C1152" s="6">
        <f t="shared" si="174"/>
        <v>0</v>
      </c>
      <c r="D1152" s="6" t="str">
        <f t="shared" si="175"/>
        <v/>
      </c>
      <c r="E1152" s="35" t="str">
        <f t="shared" si="172"/>
        <v/>
      </c>
      <c r="F1152" s="31"/>
      <c r="G1152" s="29"/>
      <c r="H1152" s="78" t="str">
        <f t="shared" si="176"/>
        <v/>
      </c>
      <c r="I1152" s="25"/>
      <c r="J1152" s="25"/>
      <c r="K1152" s="26"/>
      <c r="L1152" s="26"/>
      <c r="M1152" s="37"/>
      <c r="N1152" s="27"/>
      <c r="O1152" s="30"/>
      <c r="P1152" s="39" t="str">
        <f t="shared" si="177"/>
        <v/>
      </c>
      <c r="Q1152" s="40" t="str">
        <f>IF(OR(T1152=0,RIGHT(T1152,1)=$W$1),"",COUNTIF($T$3:T1152,T1152))</f>
        <v/>
      </c>
      <c r="S1152" s="6">
        <f t="shared" si="178"/>
        <v>0</v>
      </c>
      <c r="T1152" s="36">
        <f t="shared" si="179"/>
        <v>0</v>
      </c>
      <c r="V1152" s="6">
        <f t="shared" si="180"/>
        <v>0</v>
      </c>
      <c r="Y1152" s="8">
        <f t="shared" si="181"/>
        <v>46023</v>
      </c>
    </row>
    <row r="1153" spans="2:25" ht="18.75" x14ac:dyDescent="0.3">
      <c r="B1153" s="6">
        <f t="shared" si="173"/>
        <v>0</v>
      </c>
      <c r="C1153" s="6">
        <f t="shared" si="174"/>
        <v>0</v>
      </c>
      <c r="D1153" s="6" t="str">
        <f t="shared" si="175"/>
        <v/>
      </c>
      <c r="E1153" s="35" t="str">
        <f t="shared" si="172"/>
        <v/>
      </c>
      <c r="F1153" s="31"/>
      <c r="G1153" s="29"/>
      <c r="H1153" s="78" t="str">
        <f t="shared" si="176"/>
        <v/>
      </c>
      <c r="I1153" s="25"/>
      <c r="J1153" s="25"/>
      <c r="K1153" s="26"/>
      <c r="L1153" s="26"/>
      <c r="M1153" s="37"/>
      <c r="N1153" s="27"/>
      <c r="O1153" s="30"/>
      <c r="P1153" s="39" t="str">
        <f t="shared" si="177"/>
        <v/>
      </c>
      <c r="Q1153" s="40" t="str">
        <f>IF(OR(T1153=0,RIGHT(T1153,1)=$W$1),"",COUNTIF($T$3:T1153,T1153))</f>
        <v/>
      </c>
      <c r="S1153" s="6">
        <f t="shared" si="178"/>
        <v>0</v>
      </c>
      <c r="T1153" s="36">
        <f t="shared" si="179"/>
        <v>0</v>
      </c>
      <c r="V1153" s="6">
        <f t="shared" si="180"/>
        <v>0</v>
      </c>
      <c r="Y1153" s="8">
        <f t="shared" si="181"/>
        <v>46023</v>
      </c>
    </row>
    <row r="1154" spans="2:25" ht="18.75" x14ac:dyDescent="0.3">
      <c r="B1154" s="6">
        <f t="shared" si="173"/>
        <v>0</v>
      </c>
      <c r="C1154" s="6">
        <f t="shared" si="174"/>
        <v>0</v>
      </c>
      <c r="D1154" s="6" t="str">
        <f t="shared" si="175"/>
        <v/>
      </c>
      <c r="E1154" s="35" t="str">
        <f t="shared" si="172"/>
        <v/>
      </c>
      <c r="F1154" s="31"/>
      <c r="G1154" s="29"/>
      <c r="H1154" s="78" t="str">
        <f t="shared" si="176"/>
        <v/>
      </c>
      <c r="I1154" s="25"/>
      <c r="J1154" s="25"/>
      <c r="K1154" s="26"/>
      <c r="L1154" s="26"/>
      <c r="M1154" s="37"/>
      <c r="N1154" s="27"/>
      <c r="O1154" s="30"/>
      <c r="P1154" s="39" t="str">
        <f t="shared" si="177"/>
        <v/>
      </c>
      <c r="Q1154" s="40" t="str">
        <f>IF(OR(T1154=0,RIGHT(T1154,1)=$W$1),"",COUNTIF($T$3:T1154,T1154))</f>
        <v/>
      </c>
      <c r="S1154" s="6">
        <f t="shared" si="178"/>
        <v>0</v>
      </c>
      <c r="T1154" s="36">
        <f t="shared" si="179"/>
        <v>0</v>
      </c>
      <c r="V1154" s="6">
        <f t="shared" si="180"/>
        <v>0</v>
      </c>
      <c r="Y1154" s="8">
        <f t="shared" si="181"/>
        <v>46023</v>
      </c>
    </row>
    <row r="1155" spans="2:25" ht="18.75" x14ac:dyDescent="0.3">
      <c r="B1155" s="6">
        <f t="shared" si="173"/>
        <v>0</v>
      </c>
      <c r="C1155" s="6">
        <f t="shared" si="174"/>
        <v>0</v>
      </c>
      <c r="D1155" s="6" t="str">
        <f t="shared" si="175"/>
        <v/>
      </c>
      <c r="E1155" s="35" t="str">
        <f t="shared" ref="E1155:E1218" si="182">IF(D1155&lt;&gt;"",D1155&amp;" - "&amp;YEAR(F1155),"")</f>
        <v/>
      </c>
      <c r="F1155" s="31"/>
      <c r="G1155" s="29"/>
      <c r="H1155" s="78" t="str">
        <f t="shared" si="176"/>
        <v/>
      </c>
      <c r="I1155" s="25"/>
      <c r="J1155" s="25"/>
      <c r="K1155" s="26"/>
      <c r="L1155" s="26"/>
      <c r="M1155" s="37"/>
      <c r="N1155" s="27"/>
      <c r="O1155" s="30"/>
      <c r="P1155" s="39" t="str">
        <f t="shared" si="177"/>
        <v/>
      </c>
      <c r="Q1155" s="40" t="str">
        <f>IF(OR(T1155=0,RIGHT(T1155,1)=$W$1),"",COUNTIF($T$3:T1155,T1155))</f>
        <v/>
      </c>
      <c r="S1155" s="6">
        <f t="shared" si="178"/>
        <v>0</v>
      </c>
      <c r="T1155" s="36">
        <f t="shared" si="179"/>
        <v>0</v>
      </c>
      <c r="V1155" s="6">
        <f t="shared" si="180"/>
        <v>0</v>
      </c>
      <c r="Y1155" s="8">
        <f t="shared" si="181"/>
        <v>46023</v>
      </c>
    </row>
    <row r="1156" spans="2:25" ht="18.75" x14ac:dyDescent="0.3">
      <c r="B1156" s="6">
        <f t="shared" ref="B1156:B1219" si="183">IF($B$1=YEAR(F1156),B1155+1,B1155)</f>
        <v>0</v>
      </c>
      <c r="C1156" s="6">
        <f t="shared" ref="C1156:C1219" si="184">IF(AND($C$1=K1156,$Y$1=YEAR(F1156)),C1155+1,C1155)</f>
        <v>0</v>
      </c>
      <c r="D1156" s="6" t="str">
        <f t="shared" ref="D1156:D1219" si="185">IF(F1156&lt;&gt;0,IF(YEAR(F1156)&lt;&gt;YEAR(F1155),1,IF(M1156=$AI$1,D1155,D1155+1)),"")</f>
        <v/>
      </c>
      <c r="E1156" s="35" t="str">
        <f t="shared" si="182"/>
        <v/>
      </c>
      <c r="F1156" s="31"/>
      <c r="G1156" s="29"/>
      <c r="H1156" s="78" t="str">
        <f t="shared" ref="H1156:H1219" si="186">IF(G1156&lt;&gt;"",F1156,"")</f>
        <v/>
      </c>
      <c r="I1156" s="25"/>
      <c r="J1156" s="25"/>
      <c r="K1156" s="26"/>
      <c r="L1156" s="26"/>
      <c r="M1156" s="37"/>
      <c r="N1156" s="27"/>
      <c r="O1156" s="30"/>
      <c r="P1156" s="39" t="str">
        <f t="shared" ref="P1156:P1219" si="187">IF(OR(T1156=0,RIGHT(T1156,1)=$W$1),"",VLOOKUP(K1156,$AD$1:$AK$15,5,FALSE))</f>
        <v/>
      </c>
      <c r="Q1156" s="40" t="str">
        <f>IF(OR(T1156=0,RIGHT(T1156,1)=$W$1),"",COUNTIF($T$3:T1156,T1156))</f>
        <v/>
      </c>
      <c r="S1156" s="6">
        <f t="shared" ref="S1156:S1219" si="188">IF(AND($C$1=K1156,$Y$1=YEAR(F1156)),C1156,0)</f>
        <v>0</v>
      </c>
      <c r="T1156" s="36">
        <f t="shared" ref="T1156:T1219" si="189">IF(F1156=0,0,YEAR(F1156)&amp;VLOOKUP(K1156,$AD$1:$AE$15,2,FALSE))</f>
        <v>0</v>
      </c>
      <c r="V1156" s="6">
        <f t="shared" ref="V1156:V1219" si="190">IF(AND(YEAR(F1156)=$Y$1,K1156=$C$1,L1156&amp;$V$1&lt;&gt;$V$1),L1156,IF(AND(YEAR(F1156)=$Y$1,K1156=$C$1),1,0))</f>
        <v>0</v>
      </c>
      <c r="Y1156" s="8">
        <f t="shared" ref="Y1156:Y1219" si="191">IF(M1156&lt;&gt;$AI$1,$Y$2,F1155)</f>
        <v>46023</v>
      </c>
    </row>
    <row r="1157" spans="2:25" ht="18.75" x14ac:dyDescent="0.3">
      <c r="B1157" s="6">
        <f t="shared" si="183"/>
        <v>0</v>
      </c>
      <c r="C1157" s="6">
        <f t="shared" si="184"/>
        <v>0</v>
      </c>
      <c r="D1157" s="6" t="str">
        <f t="shared" si="185"/>
        <v/>
      </c>
      <c r="E1157" s="35" t="str">
        <f t="shared" si="182"/>
        <v/>
      </c>
      <c r="F1157" s="31"/>
      <c r="G1157" s="29"/>
      <c r="H1157" s="78" t="str">
        <f t="shared" si="186"/>
        <v/>
      </c>
      <c r="I1157" s="25"/>
      <c r="J1157" s="25"/>
      <c r="K1157" s="26"/>
      <c r="L1157" s="26"/>
      <c r="M1157" s="37"/>
      <c r="N1157" s="27"/>
      <c r="O1157" s="30"/>
      <c r="P1157" s="39" t="str">
        <f t="shared" si="187"/>
        <v/>
      </c>
      <c r="Q1157" s="40" t="str">
        <f>IF(OR(T1157=0,RIGHT(T1157,1)=$W$1),"",COUNTIF($T$3:T1157,T1157))</f>
        <v/>
      </c>
      <c r="S1157" s="6">
        <f t="shared" si="188"/>
        <v>0</v>
      </c>
      <c r="T1157" s="36">
        <f t="shared" si="189"/>
        <v>0</v>
      </c>
      <c r="V1157" s="6">
        <f t="shared" si="190"/>
        <v>0</v>
      </c>
      <c r="Y1157" s="8">
        <f t="shared" si="191"/>
        <v>46023</v>
      </c>
    </row>
    <row r="1158" spans="2:25" ht="18.75" x14ac:dyDescent="0.3">
      <c r="B1158" s="6">
        <f t="shared" si="183"/>
        <v>0</v>
      </c>
      <c r="C1158" s="6">
        <f t="shared" si="184"/>
        <v>0</v>
      </c>
      <c r="D1158" s="6" t="str">
        <f t="shared" si="185"/>
        <v/>
      </c>
      <c r="E1158" s="35" t="str">
        <f t="shared" si="182"/>
        <v/>
      </c>
      <c r="F1158" s="31"/>
      <c r="G1158" s="29"/>
      <c r="H1158" s="78" t="str">
        <f t="shared" si="186"/>
        <v/>
      </c>
      <c r="I1158" s="25"/>
      <c r="J1158" s="25"/>
      <c r="K1158" s="26"/>
      <c r="L1158" s="26"/>
      <c r="M1158" s="37"/>
      <c r="N1158" s="27"/>
      <c r="O1158" s="30"/>
      <c r="P1158" s="39" t="str">
        <f t="shared" si="187"/>
        <v/>
      </c>
      <c r="Q1158" s="40" t="str">
        <f>IF(OR(T1158=0,RIGHT(T1158,1)=$W$1),"",COUNTIF($T$3:T1158,T1158))</f>
        <v/>
      </c>
      <c r="S1158" s="6">
        <f t="shared" si="188"/>
        <v>0</v>
      </c>
      <c r="T1158" s="36">
        <f t="shared" si="189"/>
        <v>0</v>
      </c>
      <c r="V1158" s="6">
        <f t="shared" si="190"/>
        <v>0</v>
      </c>
      <c r="Y1158" s="8">
        <f t="shared" si="191"/>
        <v>46023</v>
      </c>
    </row>
    <row r="1159" spans="2:25" ht="18.75" x14ac:dyDescent="0.3">
      <c r="B1159" s="6">
        <f t="shared" si="183"/>
        <v>0</v>
      </c>
      <c r="C1159" s="6">
        <f t="shared" si="184"/>
        <v>0</v>
      </c>
      <c r="D1159" s="6" t="str">
        <f t="shared" si="185"/>
        <v/>
      </c>
      <c r="E1159" s="35" t="str">
        <f t="shared" si="182"/>
        <v/>
      </c>
      <c r="F1159" s="31"/>
      <c r="G1159" s="29"/>
      <c r="H1159" s="78" t="str">
        <f t="shared" si="186"/>
        <v/>
      </c>
      <c r="I1159" s="25"/>
      <c r="J1159" s="25"/>
      <c r="K1159" s="26"/>
      <c r="L1159" s="26"/>
      <c r="M1159" s="37"/>
      <c r="N1159" s="27"/>
      <c r="O1159" s="30"/>
      <c r="P1159" s="39" t="str">
        <f t="shared" si="187"/>
        <v/>
      </c>
      <c r="Q1159" s="40" t="str">
        <f>IF(OR(T1159=0,RIGHT(T1159,1)=$W$1),"",COUNTIF($T$3:T1159,T1159))</f>
        <v/>
      </c>
      <c r="S1159" s="6">
        <f t="shared" si="188"/>
        <v>0</v>
      </c>
      <c r="T1159" s="36">
        <f t="shared" si="189"/>
        <v>0</v>
      </c>
      <c r="V1159" s="6">
        <f t="shared" si="190"/>
        <v>0</v>
      </c>
      <c r="Y1159" s="8">
        <f t="shared" si="191"/>
        <v>46023</v>
      </c>
    </row>
    <row r="1160" spans="2:25" ht="18.75" x14ac:dyDescent="0.3">
      <c r="B1160" s="6">
        <f t="shared" si="183"/>
        <v>0</v>
      </c>
      <c r="C1160" s="6">
        <f t="shared" si="184"/>
        <v>0</v>
      </c>
      <c r="D1160" s="6" t="str">
        <f t="shared" si="185"/>
        <v/>
      </c>
      <c r="E1160" s="35" t="str">
        <f t="shared" si="182"/>
        <v/>
      </c>
      <c r="F1160" s="31"/>
      <c r="G1160" s="29"/>
      <c r="H1160" s="78" t="str">
        <f t="shared" si="186"/>
        <v/>
      </c>
      <c r="I1160" s="25"/>
      <c r="J1160" s="25"/>
      <c r="K1160" s="26"/>
      <c r="L1160" s="26"/>
      <c r="M1160" s="37"/>
      <c r="N1160" s="27"/>
      <c r="O1160" s="30"/>
      <c r="P1160" s="39" t="str">
        <f t="shared" si="187"/>
        <v/>
      </c>
      <c r="Q1160" s="40" t="str">
        <f>IF(OR(T1160=0,RIGHT(T1160,1)=$W$1),"",COUNTIF($T$3:T1160,T1160))</f>
        <v/>
      </c>
      <c r="S1160" s="6">
        <f t="shared" si="188"/>
        <v>0</v>
      </c>
      <c r="T1160" s="36">
        <f t="shared" si="189"/>
        <v>0</v>
      </c>
      <c r="V1160" s="6">
        <f t="shared" si="190"/>
        <v>0</v>
      </c>
      <c r="Y1160" s="8">
        <f t="shared" si="191"/>
        <v>46023</v>
      </c>
    </row>
    <row r="1161" spans="2:25" ht="18.75" x14ac:dyDescent="0.3">
      <c r="B1161" s="6">
        <f t="shared" si="183"/>
        <v>0</v>
      </c>
      <c r="C1161" s="6">
        <f t="shared" si="184"/>
        <v>0</v>
      </c>
      <c r="D1161" s="6" t="str">
        <f t="shared" si="185"/>
        <v/>
      </c>
      <c r="E1161" s="35" t="str">
        <f t="shared" si="182"/>
        <v/>
      </c>
      <c r="F1161" s="31"/>
      <c r="G1161" s="29"/>
      <c r="H1161" s="78" t="str">
        <f t="shared" si="186"/>
        <v/>
      </c>
      <c r="I1161" s="25"/>
      <c r="J1161" s="25"/>
      <c r="K1161" s="26"/>
      <c r="L1161" s="26"/>
      <c r="M1161" s="37"/>
      <c r="N1161" s="27"/>
      <c r="O1161" s="30"/>
      <c r="P1161" s="39" t="str">
        <f t="shared" si="187"/>
        <v/>
      </c>
      <c r="Q1161" s="40" t="str">
        <f>IF(OR(T1161=0,RIGHT(T1161,1)=$W$1),"",COUNTIF($T$3:T1161,T1161))</f>
        <v/>
      </c>
      <c r="S1161" s="6">
        <f t="shared" si="188"/>
        <v>0</v>
      </c>
      <c r="T1161" s="36">
        <f t="shared" si="189"/>
        <v>0</v>
      </c>
      <c r="V1161" s="6">
        <f t="shared" si="190"/>
        <v>0</v>
      </c>
      <c r="Y1161" s="8">
        <f t="shared" si="191"/>
        <v>46023</v>
      </c>
    </row>
    <row r="1162" spans="2:25" ht="18.75" x14ac:dyDescent="0.3">
      <c r="B1162" s="6">
        <f t="shared" si="183"/>
        <v>0</v>
      </c>
      <c r="C1162" s="6">
        <f t="shared" si="184"/>
        <v>0</v>
      </c>
      <c r="D1162" s="6" t="str">
        <f t="shared" si="185"/>
        <v/>
      </c>
      <c r="E1162" s="35" t="str">
        <f t="shared" si="182"/>
        <v/>
      </c>
      <c r="F1162" s="31"/>
      <c r="G1162" s="29"/>
      <c r="H1162" s="78" t="str">
        <f t="shared" si="186"/>
        <v/>
      </c>
      <c r="I1162" s="25"/>
      <c r="J1162" s="25"/>
      <c r="K1162" s="26"/>
      <c r="L1162" s="26"/>
      <c r="M1162" s="37"/>
      <c r="N1162" s="27"/>
      <c r="O1162" s="30"/>
      <c r="P1162" s="39" t="str">
        <f t="shared" si="187"/>
        <v/>
      </c>
      <c r="Q1162" s="40" t="str">
        <f>IF(OR(T1162=0,RIGHT(T1162,1)=$W$1),"",COUNTIF($T$3:T1162,T1162))</f>
        <v/>
      </c>
      <c r="S1162" s="6">
        <f t="shared" si="188"/>
        <v>0</v>
      </c>
      <c r="T1162" s="36">
        <f t="shared" si="189"/>
        <v>0</v>
      </c>
      <c r="V1162" s="6">
        <f t="shared" si="190"/>
        <v>0</v>
      </c>
      <c r="Y1162" s="8">
        <f t="shared" si="191"/>
        <v>46023</v>
      </c>
    </row>
    <row r="1163" spans="2:25" ht="18.75" x14ac:dyDescent="0.3">
      <c r="B1163" s="6">
        <f t="shared" si="183"/>
        <v>0</v>
      </c>
      <c r="C1163" s="6">
        <f t="shared" si="184"/>
        <v>0</v>
      </c>
      <c r="D1163" s="6" t="str">
        <f t="shared" si="185"/>
        <v/>
      </c>
      <c r="E1163" s="35" t="str">
        <f t="shared" si="182"/>
        <v/>
      </c>
      <c r="F1163" s="31"/>
      <c r="G1163" s="29"/>
      <c r="H1163" s="78" t="str">
        <f t="shared" si="186"/>
        <v/>
      </c>
      <c r="I1163" s="25"/>
      <c r="J1163" s="25"/>
      <c r="K1163" s="26"/>
      <c r="L1163" s="26"/>
      <c r="M1163" s="37"/>
      <c r="N1163" s="27"/>
      <c r="O1163" s="30"/>
      <c r="P1163" s="39" t="str">
        <f t="shared" si="187"/>
        <v/>
      </c>
      <c r="Q1163" s="40" t="str">
        <f>IF(OR(T1163=0,RIGHT(T1163,1)=$W$1),"",COUNTIF($T$3:T1163,T1163))</f>
        <v/>
      </c>
      <c r="S1163" s="6">
        <f t="shared" si="188"/>
        <v>0</v>
      </c>
      <c r="T1163" s="36">
        <f t="shared" si="189"/>
        <v>0</v>
      </c>
      <c r="V1163" s="6">
        <f t="shared" si="190"/>
        <v>0</v>
      </c>
      <c r="Y1163" s="8">
        <f t="shared" si="191"/>
        <v>46023</v>
      </c>
    </row>
    <row r="1164" spans="2:25" ht="18.75" x14ac:dyDescent="0.3">
      <c r="B1164" s="6">
        <f t="shared" si="183"/>
        <v>0</v>
      </c>
      <c r="C1164" s="6">
        <f t="shared" si="184"/>
        <v>0</v>
      </c>
      <c r="D1164" s="6" t="str">
        <f t="shared" si="185"/>
        <v/>
      </c>
      <c r="E1164" s="35" t="str">
        <f t="shared" si="182"/>
        <v/>
      </c>
      <c r="F1164" s="31"/>
      <c r="G1164" s="29"/>
      <c r="H1164" s="78" t="str">
        <f t="shared" si="186"/>
        <v/>
      </c>
      <c r="I1164" s="25"/>
      <c r="J1164" s="25"/>
      <c r="K1164" s="26"/>
      <c r="L1164" s="26"/>
      <c r="M1164" s="37"/>
      <c r="N1164" s="27"/>
      <c r="O1164" s="30"/>
      <c r="P1164" s="39" t="str">
        <f t="shared" si="187"/>
        <v/>
      </c>
      <c r="Q1164" s="40" t="str">
        <f>IF(OR(T1164=0,RIGHT(T1164,1)=$W$1),"",COUNTIF($T$3:T1164,T1164))</f>
        <v/>
      </c>
      <c r="S1164" s="6">
        <f t="shared" si="188"/>
        <v>0</v>
      </c>
      <c r="T1164" s="36">
        <f t="shared" si="189"/>
        <v>0</v>
      </c>
      <c r="V1164" s="6">
        <f t="shared" si="190"/>
        <v>0</v>
      </c>
      <c r="Y1164" s="8">
        <f t="shared" si="191"/>
        <v>46023</v>
      </c>
    </row>
    <row r="1165" spans="2:25" ht="18.75" x14ac:dyDescent="0.3">
      <c r="B1165" s="6">
        <f t="shared" si="183"/>
        <v>0</v>
      </c>
      <c r="C1165" s="6">
        <f t="shared" si="184"/>
        <v>0</v>
      </c>
      <c r="D1165" s="6" t="str">
        <f t="shared" si="185"/>
        <v/>
      </c>
      <c r="E1165" s="35" t="str">
        <f t="shared" si="182"/>
        <v/>
      </c>
      <c r="F1165" s="31"/>
      <c r="G1165" s="29"/>
      <c r="H1165" s="78" t="str">
        <f t="shared" si="186"/>
        <v/>
      </c>
      <c r="I1165" s="25"/>
      <c r="J1165" s="25"/>
      <c r="K1165" s="26"/>
      <c r="L1165" s="26"/>
      <c r="M1165" s="37"/>
      <c r="N1165" s="27"/>
      <c r="O1165" s="30"/>
      <c r="P1165" s="39" t="str">
        <f t="shared" si="187"/>
        <v/>
      </c>
      <c r="Q1165" s="40" t="str">
        <f>IF(OR(T1165=0,RIGHT(T1165,1)=$W$1),"",COUNTIF($T$3:T1165,T1165))</f>
        <v/>
      </c>
      <c r="S1165" s="6">
        <f t="shared" si="188"/>
        <v>0</v>
      </c>
      <c r="T1165" s="36">
        <f t="shared" si="189"/>
        <v>0</v>
      </c>
      <c r="V1165" s="6">
        <f t="shared" si="190"/>
        <v>0</v>
      </c>
      <c r="Y1165" s="8">
        <f t="shared" si="191"/>
        <v>46023</v>
      </c>
    </row>
    <row r="1166" spans="2:25" ht="18.75" x14ac:dyDescent="0.3">
      <c r="B1166" s="6">
        <f t="shared" si="183"/>
        <v>0</v>
      </c>
      <c r="C1166" s="6">
        <f t="shared" si="184"/>
        <v>0</v>
      </c>
      <c r="D1166" s="6" t="str">
        <f t="shared" si="185"/>
        <v/>
      </c>
      <c r="E1166" s="35" t="str">
        <f t="shared" si="182"/>
        <v/>
      </c>
      <c r="F1166" s="31"/>
      <c r="G1166" s="29"/>
      <c r="H1166" s="78" t="str">
        <f t="shared" si="186"/>
        <v/>
      </c>
      <c r="I1166" s="25"/>
      <c r="J1166" s="25"/>
      <c r="K1166" s="26"/>
      <c r="L1166" s="26"/>
      <c r="M1166" s="37"/>
      <c r="N1166" s="27"/>
      <c r="O1166" s="30"/>
      <c r="P1166" s="39" t="str">
        <f t="shared" si="187"/>
        <v/>
      </c>
      <c r="Q1166" s="40" t="str">
        <f>IF(OR(T1166=0,RIGHT(T1166,1)=$W$1),"",COUNTIF($T$3:T1166,T1166))</f>
        <v/>
      </c>
      <c r="S1166" s="6">
        <f t="shared" si="188"/>
        <v>0</v>
      </c>
      <c r="T1166" s="36">
        <f t="shared" si="189"/>
        <v>0</v>
      </c>
      <c r="V1166" s="6">
        <f t="shared" si="190"/>
        <v>0</v>
      </c>
      <c r="Y1166" s="8">
        <f t="shared" si="191"/>
        <v>46023</v>
      </c>
    </row>
    <row r="1167" spans="2:25" ht="18.75" x14ac:dyDescent="0.3">
      <c r="B1167" s="6">
        <f t="shared" si="183"/>
        <v>0</v>
      </c>
      <c r="C1167" s="6">
        <f t="shared" si="184"/>
        <v>0</v>
      </c>
      <c r="D1167" s="6" t="str">
        <f t="shared" si="185"/>
        <v/>
      </c>
      <c r="E1167" s="35" t="str">
        <f t="shared" si="182"/>
        <v/>
      </c>
      <c r="F1167" s="31"/>
      <c r="G1167" s="29"/>
      <c r="H1167" s="78" t="str">
        <f t="shared" si="186"/>
        <v/>
      </c>
      <c r="I1167" s="25"/>
      <c r="J1167" s="25"/>
      <c r="K1167" s="26"/>
      <c r="L1167" s="26"/>
      <c r="M1167" s="37"/>
      <c r="N1167" s="27"/>
      <c r="O1167" s="30"/>
      <c r="P1167" s="39" t="str">
        <f t="shared" si="187"/>
        <v/>
      </c>
      <c r="Q1167" s="40" t="str">
        <f>IF(OR(T1167=0,RIGHT(T1167,1)=$W$1),"",COUNTIF($T$3:T1167,T1167))</f>
        <v/>
      </c>
      <c r="S1167" s="6">
        <f t="shared" si="188"/>
        <v>0</v>
      </c>
      <c r="T1167" s="36">
        <f t="shared" si="189"/>
        <v>0</v>
      </c>
      <c r="V1167" s="6">
        <f t="shared" si="190"/>
        <v>0</v>
      </c>
      <c r="Y1167" s="8">
        <f t="shared" si="191"/>
        <v>46023</v>
      </c>
    </row>
    <row r="1168" spans="2:25" ht="18.75" x14ac:dyDescent="0.3">
      <c r="B1168" s="6">
        <f t="shared" si="183"/>
        <v>0</v>
      </c>
      <c r="C1168" s="6">
        <f t="shared" si="184"/>
        <v>0</v>
      </c>
      <c r="D1168" s="6" t="str">
        <f t="shared" si="185"/>
        <v/>
      </c>
      <c r="E1168" s="35" t="str">
        <f t="shared" si="182"/>
        <v/>
      </c>
      <c r="F1168" s="31"/>
      <c r="G1168" s="29"/>
      <c r="H1168" s="78" t="str">
        <f t="shared" si="186"/>
        <v/>
      </c>
      <c r="I1168" s="25"/>
      <c r="J1168" s="25"/>
      <c r="K1168" s="26"/>
      <c r="L1168" s="26"/>
      <c r="M1168" s="37"/>
      <c r="N1168" s="27"/>
      <c r="O1168" s="30"/>
      <c r="P1168" s="39" t="str">
        <f t="shared" si="187"/>
        <v/>
      </c>
      <c r="Q1168" s="40" t="str">
        <f>IF(OR(T1168=0,RIGHT(T1168,1)=$W$1),"",COUNTIF($T$3:T1168,T1168))</f>
        <v/>
      </c>
      <c r="S1168" s="6">
        <f t="shared" si="188"/>
        <v>0</v>
      </c>
      <c r="T1168" s="36">
        <f t="shared" si="189"/>
        <v>0</v>
      </c>
      <c r="V1168" s="6">
        <f t="shared" si="190"/>
        <v>0</v>
      </c>
      <c r="Y1168" s="8">
        <f t="shared" si="191"/>
        <v>46023</v>
      </c>
    </row>
    <row r="1169" spans="2:25" ht="18.75" x14ac:dyDescent="0.3">
      <c r="B1169" s="6">
        <f t="shared" si="183"/>
        <v>0</v>
      </c>
      <c r="C1169" s="6">
        <f t="shared" si="184"/>
        <v>0</v>
      </c>
      <c r="D1169" s="6" t="str">
        <f t="shared" si="185"/>
        <v/>
      </c>
      <c r="E1169" s="35" t="str">
        <f t="shared" si="182"/>
        <v/>
      </c>
      <c r="F1169" s="31"/>
      <c r="G1169" s="29"/>
      <c r="H1169" s="78" t="str">
        <f t="shared" si="186"/>
        <v/>
      </c>
      <c r="I1169" s="25"/>
      <c r="J1169" s="25"/>
      <c r="K1169" s="26"/>
      <c r="L1169" s="26"/>
      <c r="M1169" s="37"/>
      <c r="N1169" s="27"/>
      <c r="O1169" s="30"/>
      <c r="P1169" s="39" t="str">
        <f t="shared" si="187"/>
        <v/>
      </c>
      <c r="Q1169" s="40" t="str">
        <f>IF(OR(T1169=0,RIGHT(T1169,1)=$W$1),"",COUNTIF($T$3:T1169,T1169))</f>
        <v/>
      </c>
      <c r="S1169" s="6">
        <f t="shared" si="188"/>
        <v>0</v>
      </c>
      <c r="T1169" s="36">
        <f t="shared" si="189"/>
        <v>0</v>
      </c>
      <c r="V1169" s="6">
        <f t="shared" si="190"/>
        <v>0</v>
      </c>
      <c r="Y1169" s="8">
        <f t="shared" si="191"/>
        <v>46023</v>
      </c>
    </row>
    <row r="1170" spans="2:25" ht="18.75" x14ac:dyDescent="0.3">
      <c r="B1170" s="6">
        <f t="shared" si="183"/>
        <v>0</v>
      </c>
      <c r="C1170" s="6">
        <f t="shared" si="184"/>
        <v>0</v>
      </c>
      <c r="D1170" s="6" t="str">
        <f t="shared" si="185"/>
        <v/>
      </c>
      <c r="E1170" s="35" t="str">
        <f t="shared" si="182"/>
        <v/>
      </c>
      <c r="F1170" s="31"/>
      <c r="G1170" s="29"/>
      <c r="H1170" s="78" t="str">
        <f t="shared" si="186"/>
        <v/>
      </c>
      <c r="I1170" s="25"/>
      <c r="J1170" s="25"/>
      <c r="K1170" s="26"/>
      <c r="L1170" s="26"/>
      <c r="M1170" s="37"/>
      <c r="N1170" s="27"/>
      <c r="O1170" s="30"/>
      <c r="P1170" s="39" t="str">
        <f t="shared" si="187"/>
        <v/>
      </c>
      <c r="Q1170" s="40" t="str">
        <f>IF(OR(T1170=0,RIGHT(T1170,1)=$W$1),"",COUNTIF($T$3:T1170,T1170))</f>
        <v/>
      </c>
      <c r="S1170" s="6">
        <f t="shared" si="188"/>
        <v>0</v>
      </c>
      <c r="T1170" s="36">
        <f t="shared" si="189"/>
        <v>0</v>
      </c>
      <c r="V1170" s="6">
        <f t="shared" si="190"/>
        <v>0</v>
      </c>
      <c r="Y1170" s="8">
        <f t="shared" si="191"/>
        <v>46023</v>
      </c>
    </row>
    <row r="1171" spans="2:25" ht="18.75" x14ac:dyDescent="0.3">
      <c r="B1171" s="6">
        <f t="shared" si="183"/>
        <v>0</v>
      </c>
      <c r="C1171" s="6">
        <f t="shared" si="184"/>
        <v>0</v>
      </c>
      <c r="D1171" s="6" t="str">
        <f t="shared" si="185"/>
        <v/>
      </c>
      <c r="E1171" s="35" t="str">
        <f t="shared" si="182"/>
        <v/>
      </c>
      <c r="F1171" s="31"/>
      <c r="G1171" s="29"/>
      <c r="H1171" s="78" t="str">
        <f t="shared" si="186"/>
        <v/>
      </c>
      <c r="I1171" s="25"/>
      <c r="J1171" s="25"/>
      <c r="K1171" s="26"/>
      <c r="L1171" s="26"/>
      <c r="M1171" s="37"/>
      <c r="N1171" s="27"/>
      <c r="O1171" s="30"/>
      <c r="P1171" s="39" t="str">
        <f t="shared" si="187"/>
        <v/>
      </c>
      <c r="Q1171" s="40" t="str">
        <f>IF(OR(T1171=0,RIGHT(T1171,1)=$W$1),"",COUNTIF($T$3:T1171,T1171))</f>
        <v/>
      </c>
      <c r="S1171" s="6">
        <f t="shared" si="188"/>
        <v>0</v>
      </c>
      <c r="T1171" s="36">
        <f t="shared" si="189"/>
        <v>0</v>
      </c>
      <c r="V1171" s="6">
        <f t="shared" si="190"/>
        <v>0</v>
      </c>
      <c r="Y1171" s="8">
        <f t="shared" si="191"/>
        <v>46023</v>
      </c>
    </row>
    <row r="1172" spans="2:25" ht="18.75" x14ac:dyDescent="0.3">
      <c r="B1172" s="6">
        <f t="shared" si="183"/>
        <v>0</v>
      </c>
      <c r="C1172" s="6">
        <f t="shared" si="184"/>
        <v>0</v>
      </c>
      <c r="D1172" s="6" t="str">
        <f t="shared" si="185"/>
        <v/>
      </c>
      <c r="E1172" s="35" t="str">
        <f t="shared" si="182"/>
        <v/>
      </c>
      <c r="F1172" s="31"/>
      <c r="G1172" s="29"/>
      <c r="H1172" s="78" t="str">
        <f t="shared" si="186"/>
        <v/>
      </c>
      <c r="I1172" s="25"/>
      <c r="J1172" s="25"/>
      <c r="K1172" s="26"/>
      <c r="L1172" s="26"/>
      <c r="M1172" s="37"/>
      <c r="N1172" s="27"/>
      <c r="O1172" s="30"/>
      <c r="P1172" s="39" t="str">
        <f t="shared" si="187"/>
        <v/>
      </c>
      <c r="Q1172" s="40" t="str">
        <f>IF(OR(T1172=0,RIGHT(T1172,1)=$W$1),"",COUNTIF($T$3:T1172,T1172))</f>
        <v/>
      </c>
      <c r="S1172" s="6">
        <f t="shared" si="188"/>
        <v>0</v>
      </c>
      <c r="T1172" s="36">
        <f t="shared" si="189"/>
        <v>0</v>
      </c>
      <c r="V1172" s="6">
        <f t="shared" si="190"/>
        <v>0</v>
      </c>
      <c r="Y1172" s="8">
        <f t="shared" si="191"/>
        <v>46023</v>
      </c>
    </row>
    <row r="1173" spans="2:25" ht="18.75" x14ac:dyDescent="0.3">
      <c r="B1173" s="6">
        <f t="shared" si="183"/>
        <v>0</v>
      </c>
      <c r="C1173" s="6">
        <f t="shared" si="184"/>
        <v>0</v>
      </c>
      <c r="D1173" s="6" t="str">
        <f t="shared" si="185"/>
        <v/>
      </c>
      <c r="E1173" s="35" t="str">
        <f t="shared" si="182"/>
        <v/>
      </c>
      <c r="F1173" s="31"/>
      <c r="G1173" s="29"/>
      <c r="H1173" s="78" t="str">
        <f t="shared" si="186"/>
        <v/>
      </c>
      <c r="I1173" s="25"/>
      <c r="J1173" s="25"/>
      <c r="K1173" s="26"/>
      <c r="L1173" s="26"/>
      <c r="M1173" s="37"/>
      <c r="N1173" s="27"/>
      <c r="O1173" s="30"/>
      <c r="P1173" s="39" t="str">
        <f t="shared" si="187"/>
        <v/>
      </c>
      <c r="Q1173" s="40" t="str">
        <f>IF(OR(T1173=0,RIGHT(T1173,1)=$W$1),"",COUNTIF($T$3:T1173,T1173))</f>
        <v/>
      </c>
      <c r="S1173" s="6">
        <f t="shared" si="188"/>
        <v>0</v>
      </c>
      <c r="T1173" s="36">
        <f t="shared" si="189"/>
        <v>0</v>
      </c>
      <c r="V1173" s="6">
        <f t="shared" si="190"/>
        <v>0</v>
      </c>
      <c r="Y1173" s="8">
        <f t="shared" si="191"/>
        <v>46023</v>
      </c>
    </row>
    <row r="1174" spans="2:25" ht="18.75" x14ac:dyDescent="0.3">
      <c r="B1174" s="6">
        <f t="shared" si="183"/>
        <v>0</v>
      </c>
      <c r="C1174" s="6">
        <f t="shared" si="184"/>
        <v>0</v>
      </c>
      <c r="D1174" s="6" t="str">
        <f t="shared" si="185"/>
        <v/>
      </c>
      <c r="E1174" s="35" t="str">
        <f t="shared" si="182"/>
        <v/>
      </c>
      <c r="F1174" s="31"/>
      <c r="G1174" s="29"/>
      <c r="H1174" s="78" t="str">
        <f t="shared" si="186"/>
        <v/>
      </c>
      <c r="I1174" s="25"/>
      <c r="J1174" s="25"/>
      <c r="K1174" s="26"/>
      <c r="L1174" s="26"/>
      <c r="M1174" s="37"/>
      <c r="N1174" s="27"/>
      <c r="O1174" s="30"/>
      <c r="P1174" s="39" t="str">
        <f t="shared" si="187"/>
        <v/>
      </c>
      <c r="Q1174" s="40" t="str">
        <f>IF(OR(T1174=0,RIGHT(T1174,1)=$W$1),"",COUNTIF($T$3:T1174,T1174))</f>
        <v/>
      </c>
      <c r="S1174" s="6">
        <f t="shared" si="188"/>
        <v>0</v>
      </c>
      <c r="T1174" s="36">
        <f t="shared" si="189"/>
        <v>0</v>
      </c>
      <c r="V1174" s="6">
        <f t="shared" si="190"/>
        <v>0</v>
      </c>
      <c r="Y1174" s="8">
        <f t="shared" si="191"/>
        <v>46023</v>
      </c>
    </row>
    <row r="1175" spans="2:25" ht="18.75" x14ac:dyDescent="0.3">
      <c r="B1175" s="6">
        <f t="shared" si="183"/>
        <v>0</v>
      </c>
      <c r="C1175" s="6">
        <f t="shared" si="184"/>
        <v>0</v>
      </c>
      <c r="D1175" s="6" t="str">
        <f t="shared" si="185"/>
        <v/>
      </c>
      <c r="E1175" s="35" t="str">
        <f t="shared" si="182"/>
        <v/>
      </c>
      <c r="F1175" s="31"/>
      <c r="G1175" s="29"/>
      <c r="H1175" s="78" t="str">
        <f t="shared" si="186"/>
        <v/>
      </c>
      <c r="I1175" s="25"/>
      <c r="J1175" s="25"/>
      <c r="K1175" s="26"/>
      <c r="L1175" s="26"/>
      <c r="M1175" s="37"/>
      <c r="N1175" s="27"/>
      <c r="O1175" s="30"/>
      <c r="P1175" s="39" t="str">
        <f t="shared" si="187"/>
        <v/>
      </c>
      <c r="Q1175" s="40" t="str">
        <f>IF(OR(T1175=0,RIGHT(T1175,1)=$W$1),"",COUNTIF($T$3:T1175,T1175))</f>
        <v/>
      </c>
      <c r="S1175" s="6">
        <f t="shared" si="188"/>
        <v>0</v>
      </c>
      <c r="T1175" s="36">
        <f t="shared" si="189"/>
        <v>0</v>
      </c>
      <c r="V1175" s="6">
        <f t="shared" si="190"/>
        <v>0</v>
      </c>
      <c r="Y1175" s="8">
        <f t="shared" si="191"/>
        <v>46023</v>
      </c>
    </row>
    <row r="1176" spans="2:25" ht="18.75" x14ac:dyDescent="0.3">
      <c r="B1176" s="6">
        <f t="shared" si="183"/>
        <v>0</v>
      </c>
      <c r="C1176" s="6">
        <f t="shared" si="184"/>
        <v>0</v>
      </c>
      <c r="D1176" s="6" t="str">
        <f t="shared" si="185"/>
        <v/>
      </c>
      <c r="E1176" s="35" t="str">
        <f t="shared" si="182"/>
        <v/>
      </c>
      <c r="F1176" s="31"/>
      <c r="G1176" s="29"/>
      <c r="H1176" s="78" t="str">
        <f t="shared" si="186"/>
        <v/>
      </c>
      <c r="I1176" s="25"/>
      <c r="J1176" s="25"/>
      <c r="K1176" s="26"/>
      <c r="L1176" s="26"/>
      <c r="M1176" s="37"/>
      <c r="N1176" s="27"/>
      <c r="O1176" s="30"/>
      <c r="P1176" s="39" t="str">
        <f t="shared" si="187"/>
        <v/>
      </c>
      <c r="Q1176" s="40" t="str">
        <f>IF(OR(T1176=0,RIGHT(T1176,1)=$W$1),"",COUNTIF($T$3:T1176,T1176))</f>
        <v/>
      </c>
      <c r="S1176" s="6">
        <f t="shared" si="188"/>
        <v>0</v>
      </c>
      <c r="T1176" s="36">
        <f t="shared" si="189"/>
        <v>0</v>
      </c>
      <c r="V1176" s="6">
        <f t="shared" si="190"/>
        <v>0</v>
      </c>
      <c r="Y1176" s="8">
        <f t="shared" si="191"/>
        <v>46023</v>
      </c>
    </row>
    <row r="1177" spans="2:25" ht="18.75" x14ac:dyDescent="0.3">
      <c r="B1177" s="6">
        <f t="shared" si="183"/>
        <v>0</v>
      </c>
      <c r="C1177" s="6">
        <f t="shared" si="184"/>
        <v>0</v>
      </c>
      <c r="D1177" s="6" t="str">
        <f t="shared" si="185"/>
        <v/>
      </c>
      <c r="E1177" s="35" t="str">
        <f t="shared" si="182"/>
        <v/>
      </c>
      <c r="F1177" s="31"/>
      <c r="G1177" s="29"/>
      <c r="H1177" s="78" t="str">
        <f t="shared" si="186"/>
        <v/>
      </c>
      <c r="I1177" s="25"/>
      <c r="J1177" s="25"/>
      <c r="K1177" s="26"/>
      <c r="L1177" s="26"/>
      <c r="M1177" s="37"/>
      <c r="N1177" s="27"/>
      <c r="O1177" s="30"/>
      <c r="P1177" s="39" t="str">
        <f t="shared" si="187"/>
        <v/>
      </c>
      <c r="Q1177" s="40" t="str">
        <f>IF(OR(T1177=0,RIGHT(T1177,1)=$W$1),"",COUNTIF($T$3:T1177,T1177))</f>
        <v/>
      </c>
      <c r="S1177" s="6">
        <f t="shared" si="188"/>
        <v>0</v>
      </c>
      <c r="T1177" s="36">
        <f t="shared" si="189"/>
        <v>0</v>
      </c>
      <c r="V1177" s="6">
        <f t="shared" si="190"/>
        <v>0</v>
      </c>
      <c r="Y1177" s="8">
        <f t="shared" si="191"/>
        <v>46023</v>
      </c>
    </row>
    <row r="1178" spans="2:25" ht="18.75" x14ac:dyDescent="0.3">
      <c r="B1178" s="6">
        <f t="shared" si="183"/>
        <v>0</v>
      </c>
      <c r="C1178" s="6">
        <f t="shared" si="184"/>
        <v>0</v>
      </c>
      <c r="D1178" s="6" t="str">
        <f t="shared" si="185"/>
        <v/>
      </c>
      <c r="E1178" s="35" t="str">
        <f t="shared" si="182"/>
        <v/>
      </c>
      <c r="F1178" s="31"/>
      <c r="G1178" s="29"/>
      <c r="H1178" s="78" t="str">
        <f t="shared" si="186"/>
        <v/>
      </c>
      <c r="I1178" s="25"/>
      <c r="J1178" s="25"/>
      <c r="K1178" s="26"/>
      <c r="L1178" s="26"/>
      <c r="M1178" s="37"/>
      <c r="N1178" s="27"/>
      <c r="O1178" s="30"/>
      <c r="P1178" s="39" t="str">
        <f t="shared" si="187"/>
        <v/>
      </c>
      <c r="Q1178" s="40" t="str">
        <f>IF(OR(T1178=0,RIGHT(T1178,1)=$W$1),"",COUNTIF($T$3:T1178,T1178))</f>
        <v/>
      </c>
      <c r="S1178" s="6">
        <f t="shared" si="188"/>
        <v>0</v>
      </c>
      <c r="T1178" s="36">
        <f t="shared" si="189"/>
        <v>0</v>
      </c>
      <c r="V1178" s="6">
        <f t="shared" si="190"/>
        <v>0</v>
      </c>
      <c r="Y1178" s="8">
        <f t="shared" si="191"/>
        <v>46023</v>
      </c>
    </row>
    <row r="1179" spans="2:25" ht="18.75" x14ac:dyDescent="0.3">
      <c r="B1179" s="6">
        <f t="shared" si="183"/>
        <v>0</v>
      </c>
      <c r="C1179" s="6">
        <f t="shared" si="184"/>
        <v>0</v>
      </c>
      <c r="D1179" s="6" t="str">
        <f t="shared" si="185"/>
        <v/>
      </c>
      <c r="E1179" s="35" t="str">
        <f t="shared" si="182"/>
        <v/>
      </c>
      <c r="F1179" s="31"/>
      <c r="G1179" s="29"/>
      <c r="H1179" s="78" t="str">
        <f t="shared" si="186"/>
        <v/>
      </c>
      <c r="I1179" s="25"/>
      <c r="J1179" s="25"/>
      <c r="K1179" s="26"/>
      <c r="L1179" s="26"/>
      <c r="M1179" s="37"/>
      <c r="N1179" s="27"/>
      <c r="O1179" s="30"/>
      <c r="P1179" s="39" t="str">
        <f t="shared" si="187"/>
        <v/>
      </c>
      <c r="Q1179" s="40" t="str">
        <f>IF(OR(T1179=0,RIGHT(T1179,1)=$W$1),"",COUNTIF($T$3:T1179,T1179))</f>
        <v/>
      </c>
      <c r="S1179" s="6">
        <f t="shared" si="188"/>
        <v>0</v>
      </c>
      <c r="T1179" s="36">
        <f t="shared" si="189"/>
        <v>0</v>
      </c>
      <c r="V1179" s="6">
        <f t="shared" si="190"/>
        <v>0</v>
      </c>
      <c r="Y1179" s="8">
        <f t="shared" si="191"/>
        <v>46023</v>
      </c>
    </row>
    <row r="1180" spans="2:25" ht="18.75" x14ac:dyDescent="0.3">
      <c r="B1180" s="6">
        <f t="shared" si="183"/>
        <v>0</v>
      </c>
      <c r="C1180" s="6">
        <f t="shared" si="184"/>
        <v>0</v>
      </c>
      <c r="D1180" s="6" t="str">
        <f t="shared" si="185"/>
        <v/>
      </c>
      <c r="E1180" s="35" t="str">
        <f t="shared" si="182"/>
        <v/>
      </c>
      <c r="F1180" s="31"/>
      <c r="G1180" s="29"/>
      <c r="H1180" s="78" t="str">
        <f t="shared" si="186"/>
        <v/>
      </c>
      <c r="I1180" s="25"/>
      <c r="J1180" s="25"/>
      <c r="K1180" s="26"/>
      <c r="L1180" s="26"/>
      <c r="M1180" s="37"/>
      <c r="N1180" s="27"/>
      <c r="O1180" s="30"/>
      <c r="P1180" s="39" t="str">
        <f t="shared" si="187"/>
        <v/>
      </c>
      <c r="Q1180" s="40" t="str">
        <f>IF(OR(T1180=0,RIGHT(T1180,1)=$W$1),"",COUNTIF($T$3:T1180,T1180))</f>
        <v/>
      </c>
      <c r="S1180" s="6">
        <f t="shared" si="188"/>
        <v>0</v>
      </c>
      <c r="T1180" s="36">
        <f t="shared" si="189"/>
        <v>0</v>
      </c>
      <c r="V1180" s="6">
        <f t="shared" si="190"/>
        <v>0</v>
      </c>
      <c r="Y1180" s="8">
        <f t="shared" si="191"/>
        <v>46023</v>
      </c>
    </row>
    <row r="1181" spans="2:25" ht="18.75" x14ac:dyDescent="0.3">
      <c r="B1181" s="6">
        <f t="shared" si="183"/>
        <v>0</v>
      </c>
      <c r="C1181" s="6">
        <f t="shared" si="184"/>
        <v>0</v>
      </c>
      <c r="D1181" s="6" t="str">
        <f t="shared" si="185"/>
        <v/>
      </c>
      <c r="E1181" s="35" t="str">
        <f t="shared" si="182"/>
        <v/>
      </c>
      <c r="F1181" s="31"/>
      <c r="G1181" s="29"/>
      <c r="H1181" s="78" t="str">
        <f t="shared" si="186"/>
        <v/>
      </c>
      <c r="I1181" s="25"/>
      <c r="J1181" s="25"/>
      <c r="K1181" s="26"/>
      <c r="L1181" s="26"/>
      <c r="M1181" s="37"/>
      <c r="N1181" s="27"/>
      <c r="O1181" s="30"/>
      <c r="P1181" s="39" t="str">
        <f t="shared" si="187"/>
        <v/>
      </c>
      <c r="Q1181" s="40" t="str">
        <f>IF(OR(T1181=0,RIGHT(T1181,1)=$W$1),"",COUNTIF($T$3:T1181,T1181))</f>
        <v/>
      </c>
      <c r="S1181" s="6">
        <f t="shared" si="188"/>
        <v>0</v>
      </c>
      <c r="T1181" s="36">
        <f t="shared" si="189"/>
        <v>0</v>
      </c>
      <c r="V1181" s="6">
        <f t="shared" si="190"/>
        <v>0</v>
      </c>
      <c r="Y1181" s="8">
        <f t="shared" si="191"/>
        <v>46023</v>
      </c>
    </row>
    <row r="1182" spans="2:25" ht="18.75" x14ac:dyDescent="0.3">
      <c r="B1182" s="6">
        <f t="shared" si="183"/>
        <v>0</v>
      </c>
      <c r="C1182" s="6">
        <f t="shared" si="184"/>
        <v>0</v>
      </c>
      <c r="D1182" s="6" t="str">
        <f t="shared" si="185"/>
        <v/>
      </c>
      <c r="E1182" s="35" t="str">
        <f t="shared" si="182"/>
        <v/>
      </c>
      <c r="F1182" s="31"/>
      <c r="G1182" s="29"/>
      <c r="H1182" s="78" t="str">
        <f t="shared" si="186"/>
        <v/>
      </c>
      <c r="I1182" s="25"/>
      <c r="J1182" s="25"/>
      <c r="K1182" s="26"/>
      <c r="L1182" s="26"/>
      <c r="M1182" s="37"/>
      <c r="N1182" s="27"/>
      <c r="O1182" s="30"/>
      <c r="P1182" s="39" t="str">
        <f t="shared" si="187"/>
        <v/>
      </c>
      <c r="Q1182" s="40" t="str">
        <f>IF(OR(T1182=0,RIGHT(T1182,1)=$W$1),"",COUNTIF($T$3:T1182,T1182))</f>
        <v/>
      </c>
      <c r="S1182" s="6">
        <f t="shared" si="188"/>
        <v>0</v>
      </c>
      <c r="T1182" s="36">
        <f t="shared" si="189"/>
        <v>0</v>
      </c>
      <c r="V1182" s="6">
        <f t="shared" si="190"/>
        <v>0</v>
      </c>
      <c r="Y1182" s="8">
        <f t="shared" si="191"/>
        <v>46023</v>
      </c>
    </row>
    <row r="1183" spans="2:25" ht="18.75" x14ac:dyDescent="0.3">
      <c r="B1183" s="6">
        <f t="shared" si="183"/>
        <v>0</v>
      </c>
      <c r="C1183" s="6">
        <f t="shared" si="184"/>
        <v>0</v>
      </c>
      <c r="D1183" s="6" t="str">
        <f t="shared" si="185"/>
        <v/>
      </c>
      <c r="E1183" s="35" t="str">
        <f t="shared" si="182"/>
        <v/>
      </c>
      <c r="F1183" s="31"/>
      <c r="G1183" s="29"/>
      <c r="H1183" s="78" t="str">
        <f t="shared" si="186"/>
        <v/>
      </c>
      <c r="I1183" s="25"/>
      <c r="J1183" s="25"/>
      <c r="K1183" s="26"/>
      <c r="L1183" s="26"/>
      <c r="M1183" s="37"/>
      <c r="N1183" s="27"/>
      <c r="O1183" s="30"/>
      <c r="P1183" s="39" t="str">
        <f t="shared" si="187"/>
        <v/>
      </c>
      <c r="Q1183" s="40" t="str">
        <f>IF(OR(T1183=0,RIGHT(T1183,1)=$W$1),"",COUNTIF($T$3:T1183,T1183))</f>
        <v/>
      </c>
      <c r="S1183" s="6">
        <f t="shared" si="188"/>
        <v>0</v>
      </c>
      <c r="T1183" s="36">
        <f t="shared" si="189"/>
        <v>0</v>
      </c>
      <c r="V1183" s="6">
        <f t="shared" si="190"/>
        <v>0</v>
      </c>
      <c r="Y1183" s="8">
        <f t="shared" si="191"/>
        <v>46023</v>
      </c>
    </row>
    <row r="1184" spans="2:25" ht="18.75" x14ac:dyDescent="0.3">
      <c r="B1184" s="6">
        <f t="shared" si="183"/>
        <v>0</v>
      </c>
      <c r="C1184" s="6">
        <f t="shared" si="184"/>
        <v>0</v>
      </c>
      <c r="D1184" s="6" t="str">
        <f t="shared" si="185"/>
        <v/>
      </c>
      <c r="E1184" s="35" t="str">
        <f t="shared" si="182"/>
        <v/>
      </c>
      <c r="F1184" s="31"/>
      <c r="G1184" s="29"/>
      <c r="H1184" s="78" t="str">
        <f t="shared" si="186"/>
        <v/>
      </c>
      <c r="I1184" s="25"/>
      <c r="J1184" s="25"/>
      <c r="K1184" s="26"/>
      <c r="L1184" s="26"/>
      <c r="M1184" s="37"/>
      <c r="N1184" s="27"/>
      <c r="O1184" s="30"/>
      <c r="P1184" s="39" t="str">
        <f t="shared" si="187"/>
        <v/>
      </c>
      <c r="Q1184" s="40" t="str">
        <f>IF(OR(T1184=0,RIGHT(T1184,1)=$W$1),"",COUNTIF($T$3:T1184,T1184))</f>
        <v/>
      </c>
      <c r="S1184" s="6">
        <f t="shared" si="188"/>
        <v>0</v>
      </c>
      <c r="T1184" s="36">
        <f t="shared" si="189"/>
        <v>0</v>
      </c>
      <c r="V1184" s="6">
        <f t="shared" si="190"/>
        <v>0</v>
      </c>
      <c r="Y1184" s="8">
        <f t="shared" si="191"/>
        <v>46023</v>
      </c>
    </row>
    <row r="1185" spans="2:25" ht="18.75" x14ac:dyDescent="0.3">
      <c r="B1185" s="6">
        <f t="shared" si="183"/>
        <v>0</v>
      </c>
      <c r="C1185" s="6">
        <f t="shared" si="184"/>
        <v>0</v>
      </c>
      <c r="D1185" s="6" t="str">
        <f t="shared" si="185"/>
        <v/>
      </c>
      <c r="E1185" s="35" t="str">
        <f t="shared" si="182"/>
        <v/>
      </c>
      <c r="F1185" s="31"/>
      <c r="G1185" s="29"/>
      <c r="H1185" s="78" t="str">
        <f t="shared" si="186"/>
        <v/>
      </c>
      <c r="I1185" s="25"/>
      <c r="J1185" s="25"/>
      <c r="K1185" s="26"/>
      <c r="L1185" s="26"/>
      <c r="M1185" s="37"/>
      <c r="N1185" s="27"/>
      <c r="O1185" s="30"/>
      <c r="P1185" s="39" t="str">
        <f t="shared" si="187"/>
        <v/>
      </c>
      <c r="Q1185" s="40" t="str">
        <f>IF(OR(T1185=0,RIGHT(T1185,1)=$W$1),"",COUNTIF($T$3:T1185,T1185))</f>
        <v/>
      </c>
      <c r="S1185" s="6">
        <f t="shared" si="188"/>
        <v>0</v>
      </c>
      <c r="T1185" s="36">
        <f t="shared" si="189"/>
        <v>0</v>
      </c>
      <c r="V1185" s="6">
        <f t="shared" si="190"/>
        <v>0</v>
      </c>
      <c r="Y1185" s="8">
        <f t="shared" si="191"/>
        <v>46023</v>
      </c>
    </row>
    <row r="1186" spans="2:25" ht="18.75" x14ac:dyDescent="0.3">
      <c r="B1186" s="6">
        <f t="shared" si="183"/>
        <v>0</v>
      </c>
      <c r="C1186" s="6">
        <f t="shared" si="184"/>
        <v>0</v>
      </c>
      <c r="D1186" s="6" t="str">
        <f t="shared" si="185"/>
        <v/>
      </c>
      <c r="E1186" s="35" t="str">
        <f t="shared" si="182"/>
        <v/>
      </c>
      <c r="F1186" s="31"/>
      <c r="G1186" s="29"/>
      <c r="H1186" s="78" t="str">
        <f t="shared" si="186"/>
        <v/>
      </c>
      <c r="I1186" s="25"/>
      <c r="J1186" s="25"/>
      <c r="K1186" s="26"/>
      <c r="L1186" s="26"/>
      <c r="M1186" s="37"/>
      <c r="N1186" s="27"/>
      <c r="O1186" s="30"/>
      <c r="P1186" s="39" t="str">
        <f t="shared" si="187"/>
        <v/>
      </c>
      <c r="Q1186" s="40" t="str">
        <f>IF(OR(T1186=0,RIGHT(T1186,1)=$W$1),"",COUNTIF($T$3:T1186,T1186))</f>
        <v/>
      </c>
      <c r="S1186" s="6">
        <f t="shared" si="188"/>
        <v>0</v>
      </c>
      <c r="T1186" s="36">
        <f t="shared" si="189"/>
        <v>0</v>
      </c>
      <c r="V1186" s="6">
        <f t="shared" si="190"/>
        <v>0</v>
      </c>
      <c r="Y1186" s="8">
        <f t="shared" si="191"/>
        <v>46023</v>
      </c>
    </row>
    <row r="1187" spans="2:25" ht="18.75" x14ac:dyDescent="0.3">
      <c r="B1187" s="6">
        <f t="shared" si="183"/>
        <v>0</v>
      </c>
      <c r="C1187" s="6">
        <f t="shared" si="184"/>
        <v>0</v>
      </c>
      <c r="D1187" s="6" t="str">
        <f t="shared" si="185"/>
        <v/>
      </c>
      <c r="E1187" s="35" t="str">
        <f t="shared" si="182"/>
        <v/>
      </c>
      <c r="F1187" s="31"/>
      <c r="G1187" s="29"/>
      <c r="H1187" s="78" t="str">
        <f t="shared" si="186"/>
        <v/>
      </c>
      <c r="I1187" s="25"/>
      <c r="J1187" s="25"/>
      <c r="K1187" s="26"/>
      <c r="L1187" s="26"/>
      <c r="M1187" s="37"/>
      <c r="N1187" s="27"/>
      <c r="O1187" s="30"/>
      <c r="P1187" s="39" t="str">
        <f t="shared" si="187"/>
        <v/>
      </c>
      <c r="Q1187" s="40" t="str">
        <f>IF(OR(T1187=0,RIGHT(T1187,1)=$W$1),"",COUNTIF($T$3:T1187,T1187))</f>
        <v/>
      </c>
      <c r="S1187" s="6">
        <f t="shared" si="188"/>
        <v>0</v>
      </c>
      <c r="T1187" s="36">
        <f t="shared" si="189"/>
        <v>0</v>
      </c>
      <c r="V1187" s="6">
        <f t="shared" si="190"/>
        <v>0</v>
      </c>
      <c r="Y1187" s="8">
        <f t="shared" si="191"/>
        <v>46023</v>
      </c>
    </row>
    <row r="1188" spans="2:25" ht="18.75" x14ac:dyDescent="0.3">
      <c r="B1188" s="6">
        <f t="shared" si="183"/>
        <v>0</v>
      </c>
      <c r="C1188" s="6">
        <f t="shared" si="184"/>
        <v>0</v>
      </c>
      <c r="D1188" s="6" t="str">
        <f t="shared" si="185"/>
        <v/>
      </c>
      <c r="E1188" s="35" t="str">
        <f t="shared" si="182"/>
        <v/>
      </c>
      <c r="F1188" s="31"/>
      <c r="G1188" s="29"/>
      <c r="H1188" s="78" t="str">
        <f t="shared" si="186"/>
        <v/>
      </c>
      <c r="I1188" s="25"/>
      <c r="J1188" s="25"/>
      <c r="K1188" s="26"/>
      <c r="L1188" s="26"/>
      <c r="M1188" s="37"/>
      <c r="N1188" s="27"/>
      <c r="O1188" s="30"/>
      <c r="P1188" s="39" t="str">
        <f t="shared" si="187"/>
        <v/>
      </c>
      <c r="Q1188" s="40" t="str">
        <f>IF(OR(T1188=0,RIGHT(T1188,1)=$W$1),"",COUNTIF($T$3:T1188,T1188))</f>
        <v/>
      </c>
      <c r="S1188" s="6">
        <f t="shared" si="188"/>
        <v>0</v>
      </c>
      <c r="T1188" s="36">
        <f t="shared" si="189"/>
        <v>0</v>
      </c>
      <c r="V1188" s="6">
        <f t="shared" si="190"/>
        <v>0</v>
      </c>
      <c r="Y1188" s="8">
        <f t="shared" si="191"/>
        <v>46023</v>
      </c>
    </row>
    <row r="1189" spans="2:25" ht="18.75" x14ac:dyDescent="0.3">
      <c r="B1189" s="6">
        <f t="shared" si="183"/>
        <v>0</v>
      </c>
      <c r="C1189" s="6">
        <f t="shared" si="184"/>
        <v>0</v>
      </c>
      <c r="D1189" s="6" t="str">
        <f t="shared" si="185"/>
        <v/>
      </c>
      <c r="E1189" s="35" t="str">
        <f t="shared" si="182"/>
        <v/>
      </c>
      <c r="F1189" s="31"/>
      <c r="G1189" s="29"/>
      <c r="H1189" s="78" t="str">
        <f t="shared" si="186"/>
        <v/>
      </c>
      <c r="I1189" s="25"/>
      <c r="J1189" s="25"/>
      <c r="K1189" s="26"/>
      <c r="L1189" s="26"/>
      <c r="M1189" s="37"/>
      <c r="N1189" s="27"/>
      <c r="O1189" s="30"/>
      <c r="P1189" s="39" t="str">
        <f t="shared" si="187"/>
        <v/>
      </c>
      <c r="Q1189" s="40" t="str">
        <f>IF(OR(T1189=0,RIGHT(T1189,1)=$W$1),"",COUNTIF($T$3:T1189,T1189))</f>
        <v/>
      </c>
      <c r="S1189" s="6">
        <f t="shared" si="188"/>
        <v>0</v>
      </c>
      <c r="T1189" s="36">
        <f t="shared" si="189"/>
        <v>0</v>
      </c>
      <c r="V1189" s="6">
        <f t="shared" si="190"/>
        <v>0</v>
      </c>
      <c r="Y1189" s="8">
        <f t="shared" si="191"/>
        <v>46023</v>
      </c>
    </row>
    <row r="1190" spans="2:25" ht="18.75" x14ac:dyDescent="0.3">
      <c r="B1190" s="6">
        <f t="shared" si="183"/>
        <v>0</v>
      </c>
      <c r="C1190" s="6">
        <f t="shared" si="184"/>
        <v>0</v>
      </c>
      <c r="D1190" s="6" t="str">
        <f t="shared" si="185"/>
        <v/>
      </c>
      <c r="E1190" s="35" t="str">
        <f t="shared" si="182"/>
        <v/>
      </c>
      <c r="F1190" s="31"/>
      <c r="G1190" s="29"/>
      <c r="H1190" s="78" t="str">
        <f t="shared" si="186"/>
        <v/>
      </c>
      <c r="I1190" s="25"/>
      <c r="J1190" s="25"/>
      <c r="K1190" s="26"/>
      <c r="L1190" s="26"/>
      <c r="M1190" s="37"/>
      <c r="N1190" s="27"/>
      <c r="O1190" s="30"/>
      <c r="P1190" s="39" t="str">
        <f t="shared" si="187"/>
        <v/>
      </c>
      <c r="Q1190" s="40" t="str">
        <f>IF(OR(T1190=0,RIGHT(T1190,1)=$W$1),"",COUNTIF($T$3:T1190,T1190))</f>
        <v/>
      </c>
      <c r="S1190" s="6">
        <f t="shared" si="188"/>
        <v>0</v>
      </c>
      <c r="T1190" s="36">
        <f t="shared" si="189"/>
        <v>0</v>
      </c>
      <c r="V1190" s="6">
        <f t="shared" si="190"/>
        <v>0</v>
      </c>
      <c r="Y1190" s="8">
        <f t="shared" si="191"/>
        <v>46023</v>
      </c>
    </row>
    <row r="1191" spans="2:25" ht="18.75" x14ac:dyDescent="0.3">
      <c r="B1191" s="6">
        <f t="shared" si="183"/>
        <v>0</v>
      </c>
      <c r="C1191" s="6">
        <f t="shared" si="184"/>
        <v>0</v>
      </c>
      <c r="D1191" s="6" t="str">
        <f t="shared" si="185"/>
        <v/>
      </c>
      <c r="E1191" s="35" t="str">
        <f t="shared" si="182"/>
        <v/>
      </c>
      <c r="F1191" s="31"/>
      <c r="G1191" s="29"/>
      <c r="H1191" s="78" t="str">
        <f t="shared" si="186"/>
        <v/>
      </c>
      <c r="I1191" s="25"/>
      <c r="J1191" s="25"/>
      <c r="K1191" s="26"/>
      <c r="L1191" s="26"/>
      <c r="M1191" s="37"/>
      <c r="N1191" s="27"/>
      <c r="O1191" s="30"/>
      <c r="P1191" s="39" t="str">
        <f t="shared" si="187"/>
        <v/>
      </c>
      <c r="Q1191" s="40" t="str">
        <f>IF(OR(T1191=0,RIGHT(T1191,1)=$W$1),"",COUNTIF($T$3:T1191,T1191))</f>
        <v/>
      </c>
      <c r="S1191" s="6">
        <f t="shared" si="188"/>
        <v>0</v>
      </c>
      <c r="T1191" s="36">
        <f t="shared" si="189"/>
        <v>0</v>
      </c>
      <c r="V1191" s="6">
        <f t="shared" si="190"/>
        <v>0</v>
      </c>
      <c r="Y1191" s="8">
        <f t="shared" si="191"/>
        <v>46023</v>
      </c>
    </row>
    <row r="1192" spans="2:25" ht="18.75" x14ac:dyDescent="0.3">
      <c r="B1192" s="6">
        <f t="shared" si="183"/>
        <v>0</v>
      </c>
      <c r="C1192" s="6">
        <f t="shared" si="184"/>
        <v>0</v>
      </c>
      <c r="D1192" s="6" t="str">
        <f t="shared" si="185"/>
        <v/>
      </c>
      <c r="E1192" s="35" t="str">
        <f t="shared" si="182"/>
        <v/>
      </c>
      <c r="F1192" s="31"/>
      <c r="G1192" s="29"/>
      <c r="H1192" s="78" t="str">
        <f t="shared" si="186"/>
        <v/>
      </c>
      <c r="I1192" s="25"/>
      <c r="J1192" s="25"/>
      <c r="K1192" s="26"/>
      <c r="L1192" s="26"/>
      <c r="M1192" s="37"/>
      <c r="N1192" s="27"/>
      <c r="O1192" s="30"/>
      <c r="P1192" s="39" t="str">
        <f t="shared" si="187"/>
        <v/>
      </c>
      <c r="Q1192" s="40" t="str">
        <f>IF(OR(T1192=0,RIGHT(T1192,1)=$W$1),"",COUNTIF($T$3:T1192,T1192))</f>
        <v/>
      </c>
      <c r="S1192" s="6">
        <f t="shared" si="188"/>
        <v>0</v>
      </c>
      <c r="T1192" s="36">
        <f t="shared" si="189"/>
        <v>0</v>
      </c>
      <c r="V1192" s="6">
        <f t="shared" si="190"/>
        <v>0</v>
      </c>
      <c r="Y1192" s="8">
        <f t="shared" si="191"/>
        <v>46023</v>
      </c>
    </row>
    <row r="1193" spans="2:25" ht="18.75" x14ac:dyDescent="0.3">
      <c r="B1193" s="6">
        <f t="shared" si="183"/>
        <v>0</v>
      </c>
      <c r="C1193" s="6">
        <f t="shared" si="184"/>
        <v>0</v>
      </c>
      <c r="D1193" s="6" t="str">
        <f t="shared" si="185"/>
        <v/>
      </c>
      <c r="E1193" s="35" t="str">
        <f t="shared" si="182"/>
        <v/>
      </c>
      <c r="F1193" s="31"/>
      <c r="G1193" s="29"/>
      <c r="H1193" s="78" t="str">
        <f t="shared" si="186"/>
        <v/>
      </c>
      <c r="I1193" s="25"/>
      <c r="J1193" s="25"/>
      <c r="K1193" s="26"/>
      <c r="L1193" s="26"/>
      <c r="M1193" s="37"/>
      <c r="N1193" s="27"/>
      <c r="O1193" s="30"/>
      <c r="P1193" s="39" t="str">
        <f t="shared" si="187"/>
        <v/>
      </c>
      <c r="Q1193" s="40" t="str">
        <f>IF(OR(T1193=0,RIGHT(T1193,1)=$W$1),"",COUNTIF($T$3:T1193,T1193))</f>
        <v/>
      </c>
      <c r="S1193" s="6">
        <f t="shared" si="188"/>
        <v>0</v>
      </c>
      <c r="T1193" s="36">
        <f t="shared" si="189"/>
        <v>0</v>
      </c>
      <c r="V1193" s="6">
        <f t="shared" si="190"/>
        <v>0</v>
      </c>
      <c r="Y1193" s="8">
        <f t="shared" si="191"/>
        <v>46023</v>
      </c>
    </row>
    <row r="1194" spans="2:25" ht="18.75" x14ac:dyDescent="0.3">
      <c r="B1194" s="6">
        <f t="shared" si="183"/>
        <v>0</v>
      </c>
      <c r="C1194" s="6">
        <f t="shared" si="184"/>
        <v>0</v>
      </c>
      <c r="D1194" s="6" t="str">
        <f t="shared" si="185"/>
        <v/>
      </c>
      <c r="E1194" s="35" t="str">
        <f t="shared" si="182"/>
        <v/>
      </c>
      <c r="F1194" s="31"/>
      <c r="G1194" s="29"/>
      <c r="H1194" s="78" t="str">
        <f t="shared" si="186"/>
        <v/>
      </c>
      <c r="I1194" s="25"/>
      <c r="J1194" s="25"/>
      <c r="K1194" s="26"/>
      <c r="L1194" s="26"/>
      <c r="M1194" s="37"/>
      <c r="N1194" s="27"/>
      <c r="O1194" s="30"/>
      <c r="P1194" s="39" t="str">
        <f t="shared" si="187"/>
        <v/>
      </c>
      <c r="Q1194" s="40" t="str">
        <f>IF(OR(T1194=0,RIGHT(T1194,1)=$W$1),"",COUNTIF($T$3:T1194,T1194))</f>
        <v/>
      </c>
      <c r="S1194" s="6">
        <f t="shared" si="188"/>
        <v>0</v>
      </c>
      <c r="T1194" s="36">
        <f t="shared" si="189"/>
        <v>0</v>
      </c>
      <c r="V1194" s="6">
        <f t="shared" si="190"/>
        <v>0</v>
      </c>
      <c r="Y1194" s="8">
        <f t="shared" si="191"/>
        <v>46023</v>
      </c>
    </row>
    <row r="1195" spans="2:25" ht="18.75" x14ac:dyDescent="0.3">
      <c r="B1195" s="6">
        <f t="shared" si="183"/>
        <v>0</v>
      </c>
      <c r="C1195" s="6">
        <f t="shared" si="184"/>
        <v>0</v>
      </c>
      <c r="D1195" s="6" t="str">
        <f t="shared" si="185"/>
        <v/>
      </c>
      <c r="E1195" s="35" t="str">
        <f t="shared" si="182"/>
        <v/>
      </c>
      <c r="F1195" s="31"/>
      <c r="G1195" s="29"/>
      <c r="H1195" s="78" t="str">
        <f t="shared" si="186"/>
        <v/>
      </c>
      <c r="I1195" s="25"/>
      <c r="J1195" s="25"/>
      <c r="K1195" s="26"/>
      <c r="L1195" s="26"/>
      <c r="M1195" s="37"/>
      <c r="N1195" s="27"/>
      <c r="O1195" s="30"/>
      <c r="P1195" s="39" t="str">
        <f t="shared" si="187"/>
        <v/>
      </c>
      <c r="Q1195" s="40" t="str">
        <f>IF(OR(T1195=0,RIGHT(T1195,1)=$W$1),"",COUNTIF($T$3:T1195,T1195))</f>
        <v/>
      </c>
      <c r="S1195" s="6">
        <f t="shared" si="188"/>
        <v>0</v>
      </c>
      <c r="T1195" s="36">
        <f t="shared" si="189"/>
        <v>0</v>
      </c>
      <c r="V1195" s="6">
        <f t="shared" si="190"/>
        <v>0</v>
      </c>
      <c r="Y1195" s="8">
        <f t="shared" si="191"/>
        <v>46023</v>
      </c>
    </row>
    <row r="1196" spans="2:25" ht="18.75" x14ac:dyDescent="0.3">
      <c r="B1196" s="6">
        <f t="shared" si="183"/>
        <v>0</v>
      </c>
      <c r="C1196" s="6">
        <f t="shared" si="184"/>
        <v>0</v>
      </c>
      <c r="D1196" s="6" t="str">
        <f t="shared" si="185"/>
        <v/>
      </c>
      <c r="E1196" s="35" t="str">
        <f t="shared" si="182"/>
        <v/>
      </c>
      <c r="F1196" s="31"/>
      <c r="G1196" s="29"/>
      <c r="H1196" s="78" t="str">
        <f t="shared" si="186"/>
        <v/>
      </c>
      <c r="I1196" s="25"/>
      <c r="J1196" s="25"/>
      <c r="K1196" s="26"/>
      <c r="L1196" s="26"/>
      <c r="M1196" s="37"/>
      <c r="N1196" s="27"/>
      <c r="O1196" s="30"/>
      <c r="P1196" s="39" t="str">
        <f t="shared" si="187"/>
        <v/>
      </c>
      <c r="Q1196" s="40" t="str">
        <f>IF(OR(T1196=0,RIGHT(T1196,1)=$W$1),"",COUNTIF($T$3:T1196,T1196))</f>
        <v/>
      </c>
      <c r="S1196" s="6">
        <f t="shared" si="188"/>
        <v>0</v>
      </c>
      <c r="T1196" s="36">
        <f t="shared" si="189"/>
        <v>0</v>
      </c>
      <c r="V1196" s="6">
        <f t="shared" si="190"/>
        <v>0</v>
      </c>
      <c r="Y1196" s="8">
        <f t="shared" si="191"/>
        <v>46023</v>
      </c>
    </row>
    <row r="1197" spans="2:25" ht="18.75" x14ac:dyDescent="0.3">
      <c r="B1197" s="6">
        <f t="shared" si="183"/>
        <v>0</v>
      </c>
      <c r="C1197" s="6">
        <f t="shared" si="184"/>
        <v>0</v>
      </c>
      <c r="D1197" s="6" t="str">
        <f t="shared" si="185"/>
        <v/>
      </c>
      <c r="E1197" s="35" t="str">
        <f t="shared" si="182"/>
        <v/>
      </c>
      <c r="F1197" s="31"/>
      <c r="G1197" s="29"/>
      <c r="H1197" s="78" t="str">
        <f t="shared" si="186"/>
        <v/>
      </c>
      <c r="I1197" s="25"/>
      <c r="J1197" s="25"/>
      <c r="K1197" s="26"/>
      <c r="L1197" s="26"/>
      <c r="M1197" s="37"/>
      <c r="N1197" s="27"/>
      <c r="O1197" s="30"/>
      <c r="P1197" s="39" t="str">
        <f t="shared" si="187"/>
        <v/>
      </c>
      <c r="Q1197" s="40" t="str">
        <f>IF(OR(T1197=0,RIGHT(T1197,1)=$W$1),"",COUNTIF($T$3:T1197,T1197))</f>
        <v/>
      </c>
      <c r="S1197" s="6">
        <f t="shared" si="188"/>
        <v>0</v>
      </c>
      <c r="T1197" s="36">
        <f t="shared" si="189"/>
        <v>0</v>
      </c>
      <c r="V1197" s="6">
        <f t="shared" si="190"/>
        <v>0</v>
      </c>
      <c r="Y1197" s="8">
        <f t="shared" si="191"/>
        <v>46023</v>
      </c>
    </row>
    <row r="1198" spans="2:25" ht="18.75" x14ac:dyDescent="0.3">
      <c r="B1198" s="6">
        <f t="shared" si="183"/>
        <v>0</v>
      </c>
      <c r="C1198" s="6">
        <f t="shared" si="184"/>
        <v>0</v>
      </c>
      <c r="D1198" s="6" t="str">
        <f t="shared" si="185"/>
        <v/>
      </c>
      <c r="E1198" s="35" t="str">
        <f t="shared" si="182"/>
        <v/>
      </c>
      <c r="F1198" s="31"/>
      <c r="G1198" s="29"/>
      <c r="H1198" s="78" t="str">
        <f t="shared" si="186"/>
        <v/>
      </c>
      <c r="I1198" s="25"/>
      <c r="J1198" s="25"/>
      <c r="K1198" s="26"/>
      <c r="L1198" s="26"/>
      <c r="M1198" s="37"/>
      <c r="N1198" s="27"/>
      <c r="O1198" s="30"/>
      <c r="P1198" s="39" t="str">
        <f t="shared" si="187"/>
        <v/>
      </c>
      <c r="Q1198" s="40" t="str">
        <f>IF(OR(T1198=0,RIGHT(T1198,1)=$W$1),"",COUNTIF($T$3:T1198,T1198))</f>
        <v/>
      </c>
      <c r="S1198" s="6">
        <f t="shared" si="188"/>
        <v>0</v>
      </c>
      <c r="T1198" s="36">
        <f t="shared" si="189"/>
        <v>0</v>
      </c>
      <c r="V1198" s="6">
        <f t="shared" si="190"/>
        <v>0</v>
      </c>
      <c r="Y1198" s="8">
        <f t="shared" si="191"/>
        <v>46023</v>
      </c>
    </row>
    <row r="1199" spans="2:25" ht="18.75" x14ac:dyDescent="0.3">
      <c r="B1199" s="6">
        <f t="shared" si="183"/>
        <v>0</v>
      </c>
      <c r="C1199" s="6">
        <f t="shared" si="184"/>
        <v>0</v>
      </c>
      <c r="D1199" s="6" t="str">
        <f t="shared" si="185"/>
        <v/>
      </c>
      <c r="E1199" s="35" t="str">
        <f t="shared" si="182"/>
        <v/>
      </c>
      <c r="F1199" s="31"/>
      <c r="G1199" s="29"/>
      <c r="H1199" s="78" t="str">
        <f t="shared" si="186"/>
        <v/>
      </c>
      <c r="I1199" s="25"/>
      <c r="J1199" s="25"/>
      <c r="K1199" s="26"/>
      <c r="L1199" s="26"/>
      <c r="M1199" s="37"/>
      <c r="N1199" s="27"/>
      <c r="O1199" s="30"/>
      <c r="P1199" s="39" t="str">
        <f t="shared" si="187"/>
        <v/>
      </c>
      <c r="Q1199" s="40" t="str">
        <f>IF(OR(T1199=0,RIGHT(T1199,1)=$W$1),"",COUNTIF($T$3:T1199,T1199))</f>
        <v/>
      </c>
      <c r="S1199" s="6">
        <f t="shared" si="188"/>
        <v>0</v>
      </c>
      <c r="T1199" s="36">
        <f t="shared" si="189"/>
        <v>0</v>
      </c>
      <c r="V1199" s="6">
        <f t="shared" si="190"/>
        <v>0</v>
      </c>
      <c r="Y1199" s="8">
        <f t="shared" si="191"/>
        <v>46023</v>
      </c>
    </row>
    <row r="1200" spans="2:25" ht="18.75" x14ac:dyDescent="0.3">
      <c r="B1200" s="6">
        <f t="shared" si="183"/>
        <v>0</v>
      </c>
      <c r="C1200" s="6">
        <f t="shared" si="184"/>
        <v>0</v>
      </c>
      <c r="D1200" s="6" t="str">
        <f t="shared" si="185"/>
        <v/>
      </c>
      <c r="E1200" s="35" t="str">
        <f t="shared" si="182"/>
        <v/>
      </c>
      <c r="F1200" s="31"/>
      <c r="G1200" s="29"/>
      <c r="H1200" s="78" t="str">
        <f t="shared" si="186"/>
        <v/>
      </c>
      <c r="I1200" s="25"/>
      <c r="J1200" s="25"/>
      <c r="K1200" s="26"/>
      <c r="L1200" s="26"/>
      <c r="M1200" s="37"/>
      <c r="N1200" s="27"/>
      <c r="O1200" s="30"/>
      <c r="P1200" s="39" t="str">
        <f t="shared" si="187"/>
        <v/>
      </c>
      <c r="Q1200" s="40" t="str">
        <f>IF(OR(T1200=0,RIGHT(T1200,1)=$W$1),"",COUNTIF($T$3:T1200,T1200))</f>
        <v/>
      </c>
      <c r="S1200" s="6">
        <f t="shared" si="188"/>
        <v>0</v>
      </c>
      <c r="T1200" s="36">
        <f t="shared" si="189"/>
        <v>0</v>
      </c>
      <c r="V1200" s="6">
        <f t="shared" si="190"/>
        <v>0</v>
      </c>
      <c r="Y1200" s="8">
        <f t="shared" si="191"/>
        <v>46023</v>
      </c>
    </row>
    <row r="1201" spans="2:25" ht="18.75" x14ac:dyDescent="0.3">
      <c r="B1201" s="6">
        <f t="shared" si="183"/>
        <v>0</v>
      </c>
      <c r="C1201" s="6">
        <f t="shared" si="184"/>
        <v>0</v>
      </c>
      <c r="D1201" s="6" t="str">
        <f t="shared" si="185"/>
        <v/>
      </c>
      <c r="E1201" s="35" t="str">
        <f t="shared" si="182"/>
        <v/>
      </c>
      <c r="F1201" s="31"/>
      <c r="G1201" s="29"/>
      <c r="H1201" s="78" t="str">
        <f t="shared" si="186"/>
        <v/>
      </c>
      <c r="I1201" s="25"/>
      <c r="J1201" s="25"/>
      <c r="K1201" s="26"/>
      <c r="L1201" s="26"/>
      <c r="M1201" s="37"/>
      <c r="N1201" s="27"/>
      <c r="O1201" s="30"/>
      <c r="P1201" s="39" t="str">
        <f t="shared" si="187"/>
        <v/>
      </c>
      <c r="Q1201" s="40" t="str">
        <f>IF(OR(T1201=0,RIGHT(T1201,1)=$W$1),"",COUNTIF($T$3:T1201,T1201))</f>
        <v/>
      </c>
      <c r="S1201" s="6">
        <f t="shared" si="188"/>
        <v>0</v>
      </c>
      <c r="T1201" s="36">
        <f t="shared" si="189"/>
        <v>0</v>
      </c>
      <c r="V1201" s="6">
        <f t="shared" si="190"/>
        <v>0</v>
      </c>
      <c r="Y1201" s="8">
        <f t="shared" si="191"/>
        <v>46023</v>
      </c>
    </row>
    <row r="1202" spans="2:25" ht="18.75" x14ac:dyDescent="0.3">
      <c r="B1202" s="6">
        <f t="shared" si="183"/>
        <v>0</v>
      </c>
      <c r="C1202" s="6">
        <f t="shared" si="184"/>
        <v>0</v>
      </c>
      <c r="D1202" s="6" t="str">
        <f t="shared" si="185"/>
        <v/>
      </c>
      <c r="E1202" s="35" t="str">
        <f t="shared" si="182"/>
        <v/>
      </c>
      <c r="F1202" s="31"/>
      <c r="G1202" s="29"/>
      <c r="H1202" s="78" t="str">
        <f t="shared" si="186"/>
        <v/>
      </c>
      <c r="I1202" s="25"/>
      <c r="J1202" s="25"/>
      <c r="K1202" s="26"/>
      <c r="L1202" s="26"/>
      <c r="M1202" s="37"/>
      <c r="N1202" s="27"/>
      <c r="O1202" s="30"/>
      <c r="P1202" s="39" t="str">
        <f t="shared" si="187"/>
        <v/>
      </c>
      <c r="Q1202" s="40" t="str">
        <f>IF(OR(T1202=0,RIGHT(T1202,1)=$W$1),"",COUNTIF($T$3:T1202,T1202))</f>
        <v/>
      </c>
      <c r="S1202" s="6">
        <f t="shared" si="188"/>
        <v>0</v>
      </c>
      <c r="T1202" s="36">
        <f t="shared" si="189"/>
        <v>0</v>
      </c>
      <c r="V1202" s="6">
        <f t="shared" si="190"/>
        <v>0</v>
      </c>
      <c r="Y1202" s="8">
        <f t="shared" si="191"/>
        <v>46023</v>
      </c>
    </row>
    <row r="1203" spans="2:25" ht="18.75" x14ac:dyDescent="0.3">
      <c r="B1203" s="6">
        <f t="shared" si="183"/>
        <v>0</v>
      </c>
      <c r="C1203" s="6">
        <f t="shared" si="184"/>
        <v>0</v>
      </c>
      <c r="D1203" s="6" t="str">
        <f t="shared" si="185"/>
        <v/>
      </c>
      <c r="E1203" s="35" t="str">
        <f t="shared" si="182"/>
        <v/>
      </c>
      <c r="F1203" s="31"/>
      <c r="G1203" s="29"/>
      <c r="H1203" s="78" t="str">
        <f t="shared" si="186"/>
        <v/>
      </c>
      <c r="I1203" s="25"/>
      <c r="J1203" s="25"/>
      <c r="K1203" s="26"/>
      <c r="L1203" s="26"/>
      <c r="M1203" s="37"/>
      <c r="N1203" s="27"/>
      <c r="O1203" s="30"/>
      <c r="P1203" s="39" t="str">
        <f t="shared" si="187"/>
        <v/>
      </c>
      <c r="Q1203" s="40" t="str">
        <f>IF(OR(T1203=0,RIGHT(T1203,1)=$W$1),"",COUNTIF($T$3:T1203,T1203))</f>
        <v/>
      </c>
      <c r="S1203" s="6">
        <f t="shared" si="188"/>
        <v>0</v>
      </c>
      <c r="T1203" s="36">
        <f t="shared" si="189"/>
        <v>0</v>
      </c>
      <c r="V1203" s="6">
        <f t="shared" si="190"/>
        <v>0</v>
      </c>
      <c r="Y1203" s="8">
        <f t="shared" si="191"/>
        <v>46023</v>
      </c>
    </row>
    <row r="1204" spans="2:25" ht="18.75" x14ac:dyDescent="0.3">
      <c r="B1204" s="6">
        <f t="shared" si="183"/>
        <v>0</v>
      </c>
      <c r="C1204" s="6">
        <f t="shared" si="184"/>
        <v>0</v>
      </c>
      <c r="D1204" s="6" t="str">
        <f t="shared" si="185"/>
        <v/>
      </c>
      <c r="E1204" s="35" t="str">
        <f t="shared" si="182"/>
        <v/>
      </c>
      <c r="F1204" s="31"/>
      <c r="G1204" s="29"/>
      <c r="H1204" s="78" t="str">
        <f t="shared" si="186"/>
        <v/>
      </c>
      <c r="I1204" s="25"/>
      <c r="J1204" s="25"/>
      <c r="K1204" s="26"/>
      <c r="L1204" s="26"/>
      <c r="M1204" s="37"/>
      <c r="N1204" s="27"/>
      <c r="O1204" s="30"/>
      <c r="P1204" s="39" t="str">
        <f t="shared" si="187"/>
        <v/>
      </c>
      <c r="Q1204" s="40" t="str">
        <f>IF(OR(T1204=0,RIGHT(T1204,1)=$W$1),"",COUNTIF($T$3:T1204,T1204))</f>
        <v/>
      </c>
      <c r="S1204" s="6">
        <f t="shared" si="188"/>
        <v>0</v>
      </c>
      <c r="T1204" s="36">
        <f t="shared" si="189"/>
        <v>0</v>
      </c>
      <c r="V1204" s="6">
        <f t="shared" si="190"/>
        <v>0</v>
      </c>
      <c r="Y1204" s="8">
        <f t="shared" si="191"/>
        <v>46023</v>
      </c>
    </row>
    <row r="1205" spans="2:25" ht="18.75" x14ac:dyDescent="0.3">
      <c r="B1205" s="6">
        <f t="shared" si="183"/>
        <v>0</v>
      </c>
      <c r="C1205" s="6">
        <f t="shared" si="184"/>
        <v>0</v>
      </c>
      <c r="D1205" s="6" t="str">
        <f t="shared" si="185"/>
        <v/>
      </c>
      <c r="E1205" s="35" t="str">
        <f t="shared" si="182"/>
        <v/>
      </c>
      <c r="F1205" s="31"/>
      <c r="G1205" s="29"/>
      <c r="H1205" s="78" t="str">
        <f t="shared" si="186"/>
        <v/>
      </c>
      <c r="I1205" s="25"/>
      <c r="J1205" s="25"/>
      <c r="K1205" s="26"/>
      <c r="L1205" s="26"/>
      <c r="M1205" s="37"/>
      <c r="N1205" s="27"/>
      <c r="O1205" s="30"/>
      <c r="P1205" s="39" t="str">
        <f t="shared" si="187"/>
        <v/>
      </c>
      <c r="Q1205" s="40" t="str">
        <f>IF(OR(T1205=0,RIGHT(T1205,1)=$W$1),"",COUNTIF($T$3:T1205,T1205))</f>
        <v/>
      </c>
      <c r="S1205" s="6">
        <f t="shared" si="188"/>
        <v>0</v>
      </c>
      <c r="T1205" s="36">
        <f t="shared" si="189"/>
        <v>0</v>
      </c>
      <c r="V1205" s="6">
        <f t="shared" si="190"/>
        <v>0</v>
      </c>
      <c r="Y1205" s="8">
        <f t="shared" si="191"/>
        <v>46023</v>
      </c>
    </row>
    <row r="1206" spans="2:25" ht="18.75" x14ac:dyDescent="0.3">
      <c r="B1206" s="6">
        <f t="shared" si="183"/>
        <v>0</v>
      </c>
      <c r="C1206" s="6">
        <f t="shared" si="184"/>
        <v>0</v>
      </c>
      <c r="D1206" s="6" t="str">
        <f t="shared" si="185"/>
        <v/>
      </c>
      <c r="E1206" s="35" t="str">
        <f t="shared" si="182"/>
        <v/>
      </c>
      <c r="F1206" s="31"/>
      <c r="G1206" s="29"/>
      <c r="H1206" s="78" t="str">
        <f t="shared" si="186"/>
        <v/>
      </c>
      <c r="I1206" s="25"/>
      <c r="J1206" s="25"/>
      <c r="K1206" s="26"/>
      <c r="L1206" s="26"/>
      <c r="M1206" s="37"/>
      <c r="N1206" s="27"/>
      <c r="O1206" s="30"/>
      <c r="P1206" s="39" t="str">
        <f t="shared" si="187"/>
        <v/>
      </c>
      <c r="Q1206" s="40" t="str">
        <f>IF(OR(T1206=0,RIGHT(T1206,1)=$W$1),"",COUNTIF($T$3:T1206,T1206))</f>
        <v/>
      </c>
      <c r="S1206" s="6">
        <f t="shared" si="188"/>
        <v>0</v>
      </c>
      <c r="T1206" s="36">
        <f t="shared" si="189"/>
        <v>0</v>
      </c>
      <c r="V1206" s="6">
        <f t="shared" si="190"/>
        <v>0</v>
      </c>
      <c r="Y1206" s="8">
        <f t="shared" si="191"/>
        <v>46023</v>
      </c>
    </row>
    <row r="1207" spans="2:25" ht="18.75" x14ac:dyDescent="0.3">
      <c r="B1207" s="6">
        <f t="shared" si="183"/>
        <v>0</v>
      </c>
      <c r="C1207" s="6">
        <f t="shared" si="184"/>
        <v>0</v>
      </c>
      <c r="D1207" s="6" t="str">
        <f t="shared" si="185"/>
        <v/>
      </c>
      <c r="E1207" s="35" t="str">
        <f t="shared" si="182"/>
        <v/>
      </c>
      <c r="F1207" s="31"/>
      <c r="G1207" s="29"/>
      <c r="H1207" s="78" t="str">
        <f t="shared" si="186"/>
        <v/>
      </c>
      <c r="I1207" s="25"/>
      <c r="J1207" s="25"/>
      <c r="K1207" s="26"/>
      <c r="L1207" s="26"/>
      <c r="M1207" s="37"/>
      <c r="N1207" s="27"/>
      <c r="O1207" s="30"/>
      <c r="P1207" s="39" t="str">
        <f t="shared" si="187"/>
        <v/>
      </c>
      <c r="Q1207" s="40" t="str">
        <f>IF(OR(T1207=0,RIGHT(T1207,1)=$W$1),"",COUNTIF($T$3:T1207,T1207))</f>
        <v/>
      </c>
      <c r="S1207" s="6">
        <f t="shared" si="188"/>
        <v>0</v>
      </c>
      <c r="T1207" s="36">
        <f t="shared" si="189"/>
        <v>0</v>
      </c>
      <c r="V1207" s="6">
        <f t="shared" si="190"/>
        <v>0</v>
      </c>
      <c r="Y1207" s="8">
        <f t="shared" si="191"/>
        <v>46023</v>
      </c>
    </row>
    <row r="1208" spans="2:25" ht="18.75" x14ac:dyDescent="0.3">
      <c r="B1208" s="6">
        <f t="shared" si="183"/>
        <v>0</v>
      </c>
      <c r="C1208" s="6">
        <f t="shared" si="184"/>
        <v>0</v>
      </c>
      <c r="D1208" s="6" t="str">
        <f t="shared" si="185"/>
        <v/>
      </c>
      <c r="E1208" s="35" t="str">
        <f t="shared" si="182"/>
        <v/>
      </c>
      <c r="F1208" s="31"/>
      <c r="G1208" s="29"/>
      <c r="H1208" s="78" t="str">
        <f t="shared" si="186"/>
        <v/>
      </c>
      <c r="I1208" s="25"/>
      <c r="J1208" s="25"/>
      <c r="K1208" s="26"/>
      <c r="L1208" s="26"/>
      <c r="M1208" s="37"/>
      <c r="N1208" s="27"/>
      <c r="O1208" s="30"/>
      <c r="P1208" s="39" t="str">
        <f t="shared" si="187"/>
        <v/>
      </c>
      <c r="Q1208" s="40" t="str">
        <f>IF(OR(T1208=0,RIGHT(T1208,1)=$W$1),"",COUNTIF($T$3:T1208,T1208))</f>
        <v/>
      </c>
      <c r="S1208" s="6">
        <f t="shared" si="188"/>
        <v>0</v>
      </c>
      <c r="T1208" s="36">
        <f t="shared" si="189"/>
        <v>0</v>
      </c>
      <c r="V1208" s="6">
        <f t="shared" si="190"/>
        <v>0</v>
      </c>
      <c r="Y1208" s="8">
        <f t="shared" si="191"/>
        <v>46023</v>
      </c>
    </row>
    <row r="1209" spans="2:25" ht="18.75" x14ac:dyDescent="0.3">
      <c r="B1209" s="6">
        <f t="shared" si="183"/>
        <v>0</v>
      </c>
      <c r="C1209" s="6">
        <f t="shared" si="184"/>
        <v>0</v>
      </c>
      <c r="D1209" s="6" t="str">
        <f t="shared" si="185"/>
        <v/>
      </c>
      <c r="E1209" s="35" t="str">
        <f t="shared" si="182"/>
        <v/>
      </c>
      <c r="F1209" s="31"/>
      <c r="G1209" s="29"/>
      <c r="H1209" s="78" t="str">
        <f t="shared" si="186"/>
        <v/>
      </c>
      <c r="I1209" s="25"/>
      <c r="J1209" s="25"/>
      <c r="K1209" s="26"/>
      <c r="L1209" s="26"/>
      <c r="M1209" s="37"/>
      <c r="N1209" s="27"/>
      <c r="O1209" s="30"/>
      <c r="P1209" s="39" t="str">
        <f t="shared" si="187"/>
        <v/>
      </c>
      <c r="Q1209" s="40" t="str">
        <f>IF(OR(T1209=0,RIGHT(T1209,1)=$W$1),"",COUNTIF($T$3:T1209,T1209))</f>
        <v/>
      </c>
      <c r="S1209" s="6">
        <f t="shared" si="188"/>
        <v>0</v>
      </c>
      <c r="T1209" s="36">
        <f t="shared" si="189"/>
        <v>0</v>
      </c>
      <c r="V1209" s="6">
        <f t="shared" si="190"/>
        <v>0</v>
      </c>
      <c r="Y1209" s="8">
        <f t="shared" si="191"/>
        <v>46023</v>
      </c>
    </row>
    <row r="1210" spans="2:25" ht="18.75" x14ac:dyDescent="0.3">
      <c r="B1210" s="6">
        <f t="shared" si="183"/>
        <v>0</v>
      </c>
      <c r="C1210" s="6">
        <f t="shared" si="184"/>
        <v>0</v>
      </c>
      <c r="D1210" s="6" t="str">
        <f t="shared" si="185"/>
        <v/>
      </c>
      <c r="E1210" s="35" t="str">
        <f t="shared" si="182"/>
        <v/>
      </c>
      <c r="F1210" s="31"/>
      <c r="G1210" s="29"/>
      <c r="H1210" s="78" t="str">
        <f t="shared" si="186"/>
        <v/>
      </c>
      <c r="I1210" s="25"/>
      <c r="J1210" s="25"/>
      <c r="K1210" s="26"/>
      <c r="L1210" s="26"/>
      <c r="M1210" s="37"/>
      <c r="N1210" s="27"/>
      <c r="O1210" s="30"/>
      <c r="P1210" s="39" t="str">
        <f t="shared" si="187"/>
        <v/>
      </c>
      <c r="Q1210" s="40" t="str">
        <f>IF(OR(T1210=0,RIGHT(T1210,1)=$W$1),"",COUNTIF($T$3:T1210,T1210))</f>
        <v/>
      </c>
      <c r="S1210" s="6">
        <f t="shared" si="188"/>
        <v>0</v>
      </c>
      <c r="T1210" s="36">
        <f t="shared" si="189"/>
        <v>0</v>
      </c>
      <c r="V1210" s="6">
        <f t="shared" si="190"/>
        <v>0</v>
      </c>
      <c r="Y1210" s="8">
        <f t="shared" si="191"/>
        <v>46023</v>
      </c>
    </row>
    <row r="1211" spans="2:25" ht="18.75" x14ac:dyDescent="0.3">
      <c r="B1211" s="6">
        <f t="shared" si="183"/>
        <v>0</v>
      </c>
      <c r="C1211" s="6">
        <f t="shared" si="184"/>
        <v>0</v>
      </c>
      <c r="D1211" s="6" t="str">
        <f t="shared" si="185"/>
        <v/>
      </c>
      <c r="E1211" s="35" t="str">
        <f t="shared" si="182"/>
        <v/>
      </c>
      <c r="F1211" s="31"/>
      <c r="G1211" s="29"/>
      <c r="H1211" s="78" t="str">
        <f t="shared" si="186"/>
        <v/>
      </c>
      <c r="I1211" s="25"/>
      <c r="J1211" s="25"/>
      <c r="K1211" s="26"/>
      <c r="L1211" s="26"/>
      <c r="M1211" s="37"/>
      <c r="N1211" s="27"/>
      <c r="O1211" s="30"/>
      <c r="P1211" s="39" t="str">
        <f t="shared" si="187"/>
        <v/>
      </c>
      <c r="Q1211" s="40" t="str">
        <f>IF(OR(T1211=0,RIGHT(T1211,1)=$W$1),"",COUNTIF($T$3:T1211,T1211))</f>
        <v/>
      </c>
      <c r="S1211" s="6">
        <f t="shared" si="188"/>
        <v>0</v>
      </c>
      <c r="T1211" s="36">
        <f t="shared" si="189"/>
        <v>0</v>
      </c>
      <c r="V1211" s="6">
        <f t="shared" si="190"/>
        <v>0</v>
      </c>
      <c r="Y1211" s="8">
        <f t="shared" si="191"/>
        <v>46023</v>
      </c>
    </row>
    <row r="1212" spans="2:25" ht="18.75" x14ac:dyDescent="0.3">
      <c r="B1212" s="6">
        <f t="shared" si="183"/>
        <v>0</v>
      </c>
      <c r="C1212" s="6">
        <f t="shared" si="184"/>
        <v>0</v>
      </c>
      <c r="D1212" s="6" t="str">
        <f t="shared" si="185"/>
        <v/>
      </c>
      <c r="E1212" s="35" t="str">
        <f t="shared" si="182"/>
        <v/>
      </c>
      <c r="F1212" s="31"/>
      <c r="G1212" s="29"/>
      <c r="H1212" s="78" t="str">
        <f t="shared" si="186"/>
        <v/>
      </c>
      <c r="I1212" s="25"/>
      <c r="J1212" s="25"/>
      <c r="K1212" s="26"/>
      <c r="L1212" s="26"/>
      <c r="M1212" s="37"/>
      <c r="N1212" s="27"/>
      <c r="O1212" s="30"/>
      <c r="P1212" s="39" t="str">
        <f t="shared" si="187"/>
        <v/>
      </c>
      <c r="Q1212" s="40" t="str">
        <f>IF(OR(T1212=0,RIGHT(T1212,1)=$W$1),"",COUNTIF($T$3:T1212,T1212))</f>
        <v/>
      </c>
      <c r="S1212" s="6">
        <f t="shared" si="188"/>
        <v>0</v>
      </c>
      <c r="T1212" s="36">
        <f t="shared" si="189"/>
        <v>0</v>
      </c>
      <c r="V1212" s="6">
        <f t="shared" si="190"/>
        <v>0</v>
      </c>
      <c r="Y1212" s="8">
        <f t="shared" si="191"/>
        <v>46023</v>
      </c>
    </row>
    <row r="1213" spans="2:25" ht="18.75" x14ac:dyDescent="0.3">
      <c r="B1213" s="6">
        <f t="shared" si="183"/>
        <v>0</v>
      </c>
      <c r="C1213" s="6">
        <f t="shared" si="184"/>
        <v>0</v>
      </c>
      <c r="D1213" s="6" t="str">
        <f t="shared" si="185"/>
        <v/>
      </c>
      <c r="E1213" s="35" t="str">
        <f t="shared" si="182"/>
        <v/>
      </c>
      <c r="F1213" s="31"/>
      <c r="G1213" s="29"/>
      <c r="H1213" s="78" t="str">
        <f t="shared" si="186"/>
        <v/>
      </c>
      <c r="I1213" s="25"/>
      <c r="J1213" s="25"/>
      <c r="K1213" s="26"/>
      <c r="L1213" s="26"/>
      <c r="M1213" s="37"/>
      <c r="N1213" s="27"/>
      <c r="O1213" s="30"/>
      <c r="P1213" s="39" t="str">
        <f t="shared" si="187"/>
        <v/>
      </c>
      <c r="Q1213" s="40" t="str">
        <f>IF(OR(T1213=0,RIGHT(T1213,1)=$W$1),"",COUNTIF($T$3:T1213,T1213))</f>
        <v/>
      </c>
      <c r="S1213" s="6">
        <f t="shared" si="188"/>
        <v>0</v>
      </c>
      <c r="T1213" s="36">
        <f t="shared" si="189"/>
        <v>0</v>
      </c>
      <c r="V1213" s="6">
        <f t="shared" si="190"/>
        <v>0</v>
      </c>
      <c r="Y1213" s="8">
        <f t="shared" si="191"/>
        <v>46023</v>
      </c>
    </row>
    <row r="1214" spans="2:25" ht="18.75" x14ac:dyDescent="0.3">
      <c r="B1214" s="6">
        <f t="shared" si="183"/>
        <v>0</v>
      </c>
      <c r="C1214" s="6">
        <f t="shared" si="184"/>
        <v>0</v>
      </c>
      <c r="D1214" s="6" t="str">
        <f t="shared" si="185"/>
        <v/>
      </c>
      <c r="E1214" s="35" t="str">
        <f t="shared" si="182"/>
        <v/>
      </c>
      <c r="F1214" s="31"/>
      <c r="G1214" s="29"/>
      <c r="H1214" s="78" t="str">
        <f t="shared" si="186"/>
        <v/>
      </c>
      <c r="I1214" s="25"/>
      <c r="J1214" s="25"/>
      <c r="K1214" s="26"/>
      <c r="L1214" s="26"/>
      <c r="M1214" s="37"/>
      <c r="N1214" s="27"/>
      <c r="O1214" s="30"/>
      <c r="P1214" s="39" t="str">
        <f t="shared" si="187"/>
        <v/>
      </c>
      <c r="Q1214" s="40" t="str">
        <f>IF(OR(T1214=0,RIGHT(T1214,1)=$W$1),"",COUNTIF($T$3:T1214,T1214))</f>
        <v/>
      </c>
      <c r="S1214" s="6">
        <f t="shared" si="188"/>
        <v>0</v>
      </c>
      <c r="T1214" s="36">
        <f t="shared" si="189"/>
        <v>0</v>
      </c>
      <c r="V1214" s="6">
        <f t="shared" si="190"/>
        <v>0</v>
      </c>
      <c r="Y1214" s="8">
        <f t="shared" si="191"/>
        <v>46023</v>
      </c>
    </row>
    <row r="1215" spans="2:25" ht="18.75" x14ac:dyDescent="0.3">
      <c r="B1215" s="6">
        <f t="shared" si="183"/>
        <v>0</v>
      </c>
      <c r="C1215" s="6">
        <f t="shared" si="184"/>
        <v>0</v>
      </c>
      <c r="D1215" s="6" t="str">
        <f t="shared" si="185"/>
        <v/>
      </c>
      <c r="E1215" s="35" t="str">
        <f t="shared" si="182"/>
        <v/>
      </c>
      <c r="F1215" s="31"/>
      <c r="G1215" s="29"/>
      <c r="H1215" s="78" t="str">
        <f t="shared" si="186"/>
        <v/>
      </c>
      <c r="I1215" s="25"/>
      <c r="J1215" s="25"/>
      <c r="K1215" s="26"/>
      <c r="L1215" s="26"/>
      <c r="M1215" s="37"/>
      <c r="N1215" s="27"/>
      <c r="O1215" s="30"/>
      <c r="P1215" s="39" t="str">
        <f t="shared" si="187"/>
        <v/>
      </c>
      <c r="Q1215" s="40" t="str">
        <f>IF(OR(T1215=0,RIGHT(T1215,1)=$W$1),"",COUNTIF($T$3:T1215,T1215))</f>
        <v/>
      </c>
      <c r="S1215" s="6">
        <f t="shared" si="188"/>
        <v>0</v>
      </c>
      <c r="T1215" s="36">
        <f t="shared" si="189"/>
        <v>0</v>
      </c>
      <c r="V1215" s="6">
        <f t="shared" si="190"/>
        <v>0</v>
      </c>
      <c r="Y1215" s="8">
        <f t="shared" si="191"/>
        <v>46023</v>
      </c>
    </row>
    <row r="1216" spans="2:25" ht="18.75" x14ac:dyDescent="0.3">
      <c r="B1216" s="6">
        <f t="shared" si="183"/>
        <v>0</v>
      </c>
      <c r="C1216" s="6">
        <f t="shared" si="184"/>
        <v>0</v>
      </c>
      <c r="D1216" s="6" t="str">
        <f t="shared" si="185"/>
        <v/>
      </c>
      <c r="E1216" s="35" t="str">
        <f t="shared" si="182"/>
        <v/>
      </c>
      <c r="F1216" s="31"/>
      <c r="G1216" s="29"/>
      <c r="H1216" s="78" t="str">
        <f t="shared" si="186"/>
        <v/>
      </c>
      <c r="I1216" s="25"/>
      <c r="J1216" s="25"/>
      <c r="K1216" s="26"/>
      <c r="L1216" s="26"/>
      <c r="M1216" s="37"/>
      <c r="N1216" s="27"/>
      <c r="O1216" s="30"/>
      <c r="P1216" s="39" t="str">
        <f t="shared" si="187"/>
        <v/>
      </c>
      <c r="Q1216" s="40" t="str">
        <f>IF(OR(T1216=0,RIGHT(T1216,1)=$W$1),"",COUNTIF($T$3:T1216,T1216))</f>
        <v/>
      </c>
      <c r="S1216" s="6">
        <f t="shared" si="188"/>
        <v>0</v>
      </c>
      <c r="T1216" s="36">
        <f t="shared" si="189"/>
        <v>0</v>
      </c>
      <c r="V1216" s="6">
        <f t="shared" si="190"/>
        <v>0</v>
      </c>
      <c r="Y1216" s="8">
        <f t="shared" si="191"/>
        <v>46023</v>
      </c>
    </row>
    <row r="1217" spans="2:25" ht="18.75" x14ac:dyDescent="0.3">
      <c r="B1217" s="6">
        <f t="shared" si="183"/>
        <v>0</v>
      </c>
      <c r="C1217" s="6">
        <f t="shared" si="184"/>
        <v>0</v>
      </c>
      <c r="D1217" s="6" t="str">
        <f t="shared" si="185"/>
        <v/>
      </c>
      <c r="E1217" s="35" t="str">
        <f t="shared" si="182"/>
        <v/>
      </c>
      <c r="F1217" s="31"/>
      <c r="G1217" s="29"/>
      <c r="H1217" s="78" t="str">
        <f t="shared" si="186"/>
        <v/>
      </c>
      <c r="I1217" s="25"/>
      <c r="J1217" s="25"/>
      <c r="K1217" s="26"/>
      <c r="L1217" s="26"/>
      <c r="M1217" s="37"/>
      <c r="N1217" s="27"/>
      <c r="O1217" s="30"/>
      <c r="P1217" s="39" t="str">
        <f t="shared" si="187"/>
        <v/>
      </c>
      <c r="Q1217" s="40" t="str">
        <f>IF(OR(T1217=0,RIGHT(T1217,1)=$W$1),"",COUNTIF($T$3:T1217,T1217))</f>
        <v/>
      </c>
      <c r="S1217" s="6">
        <f t="shared" si="188"/>
        <v>0</v>
      </c>
      <c r="T1217" s="36">
        <f t="shared" si="189"/>
        <v>0</v>
      </c>
      <c r="V1217" s="6">
        <f t="shared" si="190"/>
        <v>0</v>
      </c>
      <c r="Y1217" s="8">
        <f t="shared" si="191"/>
        <v>46023</v>
      </c>
    </row>
    <row r="1218" spans="2:25" ht="18.75" x14ac:dyDescent="0.3">
      <c r="B1218" s="6">
        <f t="shared" si="183"/>
        <v>0</v>
      </c>
      <c r="C1218" s="6">
        <f t="shared" si="184"/>
        <v>0</v>
      </c>
      <c r="D1218" s="6" t="str">
        <f t="shared" si="185"/>
        <v/>
      </c>
      <c r="E1218" s="35" t="str">
        <f t="shared" si="182"/>
        <v/>
      </c>
      <c r="F1218" s="31"/>
      <c r="G1218" s="29"/>
      <c r="H1218" s="78" t="str">
        <f t="shared" si="186"/>
        <v/>
      </c>
      <c r="I1218" s="25"/>
      <c r="J1218" s="25"/>
      <c r="K1218" s="26"/>
      <c r="L1218" s="26"/>
      <c r="M1218" s="37"/>
      <c r="N1218" s="27"/>
      <c r="O1218" s="30"/>
      <c r="P1218" s="39" t="str">
        <f t="shared" si="187"/>
        <v/>
      </c>
      <c r="Q1218" s="40" t="str">
        <f>IF(OR(T1218=0,RIGHT(T1218,1)=$W$1),"",COUNTIF($T$3:T1218,T1218))</f>
        <v/>
      </c>
      <c r="S1218" s="6">
        <f t="shared" si="188"/>
        <v>0</v>
      </c>
      <c r="T1218" s="36">
        <f t="shared" si="189"/>
        <v>0</v>
      </c>
      <c r="V1218" s="6">
        <f t="shared" si="190"/>
        <v>0</v>
      </c>
      <c r="Y1218" s="8">
        <f t="shared" si="191"/>
        <v>46023</v>
      </c>
    </row>
    <row r="1219" spans="2:25" ht="18.75" x14ac:dyDescent="0.3">
      <c r="B1219" s="6">
        <f t="shared" si="183"/>
        <v>0</v>
      </c>
      <c r="C1219" s="6">
        <f t="shared" si="184"/>
        <v>0</v>
      </c>
      <c r="D1219" s="6" t="str">
        <f t="shared" si="185"/>
        <v/>
      </c>
      <c r="E1219" s="35" t="str">
        <f t="shared" ref="E1219:E1282" si="192">IF(D1219&lt;&gt;"",D1219&amp;" - "&amp;YEAR(F1219),"")</f>
        <v/>
      </c>
      <c r="F1219" s="31"/>
      <c r="G1219" s="29"/>
      <c r="H1219" s="78" t="str">
        <f t="shared" si="186"/>
        <v/>
      </c>
      <c r="I1219" s="25"/>
      <c r="J1219" s="25"/>
      <c r="K1219" s="26"/>
      <c r="L1219" s="26"/>
      <c r="M1219" s="37"/>
      <c r="N1219" s="27"/>
      <c r="O1219" s="30"/>
      <c r="P1219" s="39" t="str">
        <f t="shared" si="187"/>
        <v/>
      </c>
      <c r="Q1219" s="40" t="str">
        <f>IF(OR(T1219=0,RIGHT(T1219,1)=$W$1),"",COUNTIF($T$3:T1219,T1219))</f>
        <v/>
      </c>
      <c r="S1219" s="6">
        <f t="shared" si="188"/>
        <v>0</v>
      </c>
      <c r="T1219" s="36">
        <f t="shared" si="189"/>
        <v>0</v>
      </c>
      <c r="V1219" s="6">
        <f t="shared" si="190"/>
        <v>0</v>
      </c>
      <c r="Y1219" s="8">
        <f t="shared" si="191"/>
        <v>46023</v>
      </c>
    </row>
    <row r="1220" spans="2:25" ht="18.75" x14ac:dyDescent="0.3">
      <c r="B1220" s="6">
        <f t="shared" ref="B1220:B1283" si="193">IF($B$1=YEAR(F1220),B1219+1,B1219)</f>
        <v>0</v>
      </c>
      <c r="C1220" s="6">
        <f t="shared" ref="C1220:C1283" si="194">IF(AND($C$1=K1220,$Y$1=YEAR(F1220)),C1219+1,C1219)</f>
        <v>0</v>
      </c>
      <c r="D1220" s="6" t="str">
        <f t="shared" ref="D1220:D1283" si="195">IF(F1220&lt;&gt;0,IF(YEAR(F1220)&lt;&gt;YEAR(F1219),1,IF(M1220=$AI$1,D1219,D1219+1)),"")</f>
        <v/>
      </c>
      <c r="E1220" s="35" t="str">
        <f t="shared" si="192"/>
        <v/>
      </c>
      <c r="F1220" s="31"/>
      <c r="G1220" s="29"/>
      <c r="H1220" s="78" t="str">
        <f t="shared" ref="H1220:H1283" si="196">IF(G1220&lt;&gt;"",F1220,"")</f>
        <v/>
      </c>
      <c r="I1220" s="25"/>
      <c r="J1220" s="25"/>
      <c r="K1220" s="26"/>
      <c r="L1220" s="26"/>
      <c r="M1220" s="37"/>
      <c r="N1220" s="27"/>
      <c r="O1220" s="30"/>
      <c r="P1220" s="39" t="str">
        <f t="shared" ref="P1220:P1283" si="197">IF(OR(T1220=0,RIGHT(T1220,1)=$W$1),"",VLOOKUP(K1220,$AD$1:$AK$15,5,FALSE))</f>
        <v/>
      </c>
      <c r="Q1220" s="40" t="str">
        <f>IF(OR(T1220=0,RIGHT(T1220,1)=$W$1),"",COUNTIF($T$3:T1220,T1220))</f>
        <v/>
      </c>
      <c r="S1220" s="6">
        <f t="shared" ref="S1220:S1283" si="198">IF(AND($C$1=K1220,$Y$1=YEAR(F1220)),C1220,0)</f>
        <v>0</v>
      </c>
      <c r="T1220" s="36">
        <f t="shared" ref="T1220:T1283" si="199">IF(F1220=0,0,YEAR(F1220)&amp;VLOOKUP(K1220,$AD$1:$AE$15,2,FALSE))</f>
        <v>0</v>
      </c>
      <c r="V1220" s="6">
        <f t="shared" ref="V1220:V1283" si="200">IF(AND(YEAR(F1220)=$Y$1,K1220=$C$1,L1220&amp;$V$1&lt;&gt;$V$1),L1220,IF(AND(YEAR(F1220)=$Y$1,K1220=$C$1),1,0))</f>
        <v>0</v>
      </c>
      <c r="Y1220" s="8">
        <f t="shared" ref="Y1220:Y1283" si="201">IF(M1220&lt;&gt;$AI$1,$Y$2,F1219)</f>
        <v>46023</v>
      </c>
    </row>
    <row r="1221" spans="2:25" ht="18.75" x14ac:dyDescent="0.3">
      <c r="B1221" s="6">
        <f t="shared" si="193"/>
        <v>0</v>
      </c>
      <c r="C1221" s="6">
        <f t="shared" si="194"/>
        <v>0</v>
      </c>
      <c r="D1221" s="6" t="str">
        <f t="shared" si="195"/>
        <v/>
      </c>
      <c r="E1221" s="35" t="str">
        <f t="shared" si="192"/>
        <v/>
      </c>
      <c r="F1221" s="31"/>
      <c r="G1221" s="29"/>
      <c r="H1221" s="78" t="str">
        <f t="shared" si="196"/>
        <v/>
      </c>
      <c r="I1221" s="25"/>
      <c r="J1221" s="25"/>
      <c r="K1221" s="26"/>
      <c r="L1221" s="26"/>
      <c r="M1221" s="37"/>
      <c r="N1221" s="27"/>
      <c r="O1221" s="30"/>
      <c r="P1221" s="39" t="str">
        <f t="shared" si="197"/>
        <v/>
      </c>
      <c r="Q1221" s="40" t="str">
        <f>IF(OR(T1221=0,RIGHT(T1221,1)=$W$1),"",COUNTIF($T$3:T1221,T1221))</f>
        <v/>
      </c>
      <c r="S1221" s="6">
        <f t="shared" si="198"/>
        <v>0</v>
      </c>
      <c r="T1221" s="36">
        <f t="shared" si="199"/>
        <v>0</v>
      </c>
      <c r="V1221" s="6">
        <f t="shared" si="200"/>
        <v>0</v>
      </c>
      <c r="Y1221" s="8">
        <f t="shared" si="201"/>
        <v>46023</v>
      </c>
    </row>
    <row r="1222" spans="2:25" ht="18.75" x14ac:dyDescent="0.3">
      <c r="B1222" s="6">
        <f t="shared" si="193"/>
        <v>0</v>
      </c>
      <c r="C1222" s="6">
        <f t="shared" si="194"/>
        <v>0</v>
      </c>
      <c r="D1222" s="6" t="str">
        <f t="shared" si="195"/>
        <v/>
      </c>
      <c r="E1222" s="35" t="str">
        <f t="shared" si="192"/>
        <v/>
      </c>
      <c r="F1222" s="31"/>
      <c r="G1222" s="29"/>
      <c r="H1222" s="78" t="str">
        <f t="shared" si="196"/>
        <v/>
      </c>
      <c r="I1222" s="25"/>
      <c r="J1222" s="25"/>
      <c r="K1222" s="26"/>
      <c r="L1222" s="26"/>
      <c r="M1222" s="37"/>
      <c r="N1222" s="27"/>
      <c r="O1222" s="30"/>
      <c r="P1222" s="39" t="str">
        <f t="shared" si="197"/>
        <v/>
      </c>
      <c r="Q1222" s="40" t="str">
        <f>IF(OR(T1222=0,RIGHT(T1222,1)=$W$1),"",COUNTIF($T$3:T1222,T1222))</f>
        <v/>
      </c>
      <c r="S1222" s="6">
        <f t="shared" si="198"/>
        <v>0</v>
      </c>
      <c r="T1222" s="36">
        <f t="shared" si="199"/>
        <v>0</v>
      </c>
      <c r="V1222" s="6">
        <f t="shared" si="200"/>
        <v>0</v>
      </c>
      <c r="Y1222" s="8">
        <f t="shared" si="201"/>
        <v>46023</v>
      </c>
    </row>
    <row r="1223" spans="2:25" ht="18.75" x14ac:dyDescent="0.3">
      <c r="B1223" s="6">
        <f t="shared" si="193"/>
        <v>0</v>
      </c>
      <c r="C1223" s="6">
        <f t="shared" si="194"/>
        <v>0</v>
      </c>
      <c r="D1223" s="6" t="str">
        <f t="shared" si="195"/>
        <v/>
      </c>
      <c r="E1223" s="35" t="str">
        <f t="shared" si="192"/>
        <v/>
      </c>
      <c r="F1223" s="31"/>
      <c r="G1223" s="29"/>
      <c r="H1223" s="78" t="str">
        <f t="shared" si="196"/>
        <v/>
      </c>
      <c r="I1223" s="25"/>
      <c r="J1223" s="25"/>
      <c r="K1223" s="26"/>
      <c r="L1223" s="26"/>
      <c r="M1223" s="37"/>
      <c r="N1223" s="27"/>
      <c r="O1223" s="30"/>
      <c r="P1223" s="39" t="str">
        <f t="shared" si="197"/>
        <v/>
      </c>
      <c r="Q1223" s="40" t="str">
        <f>IF(OR(T1223=0,RIGHT(T1223,1)=$W$1),"",COUNTIF($T$3:T1223,T1223))</f>
        <v/>
      </c>
      <c r="S1223" s="6">
        <f t="shared" si="198"/>
        <v>0</v>
      </c>
      <c r="T1223" s="36">
        <f t="shared" si="199"/>
        <v>0</v>
      </c>
      <c r="V1223" s="6">
        <f t="shared" si="200"/>
        <v>0</v>
      </c>
      <c r="Y1223" s="8">
        <f t="shared" si="201"/>
        <v>46023</v>
      </c>
    </row>
    <row r="1224" spans="2:25" ht="18.75" x14ac:dyDescent="0.3">
      <c r="B1224" s="6">
        <f t="shared" si="193"/>
        <v>0</v>
      </c>
      <c r="C1224" s="6">
        <f t="shared" si="194"/>
        <v>0</v>
      </c>
      <c r="D1224" s="6" t="str">
        <f t="shared" si="195"/>
        <v/>
      </c>
      <c r="E1224" s="35" t="str">
        <f t="shared" si="192"/>
        <v/>
      </c>
      <c r="F1224" s="31"/>
      <c r="G1224" s="29"/>
      <c r="H1224" s="78" t="str">
        <f t="shared" si="196"/>
        <v/>
      </c>
      <c r="I1224" s="25"/>
      <c r="J1224" s="25"/>
      <c r="K1224" s="26"/>
      <c r="L1224" s="26"/>
      <c r="M1224" s="37"/>
      <c r="N1224" s="27"/>
      <c r="O1224" s="30"/>
      <c r="P1224" s="39" t="str">
        <f t="shared" si="197"/>
        <v/>
      </c>
      <c r="Q1224" s="40" t="str">
        <f>IF(OR(T1224=0,RIGHT(T1224,1)=$W$1),"",COUNTIF($T$3:T1224,T1224))</f>
        <v/>
      </c>
      <c r="S1224" s="6">
        <f t="shared" si="198"/>
        <v>0</v>
      </c>
      <c r="T1224" s="36">
        <f t="shared" si="199"/>
        <v>0</v>
      </c>
      <c r="V1224" s="6">
        <f t="shared" si="200"/>
        <v>0</v>
      </c>
      <c r="Y1224" s="8">
        <f t="shared" si="201"/>
        <v>46023</v>
      </c>
    </row>
    <row r="1225" spans="2:25" ht="18.75" x14ac:dyDescent="0.3">
      <c r="B1225" s="6">
        <f t="shared" si="193"/>
        <v>0</v>
      </c>
      <c r="C1225" s="6">
        <f t="shared" si="194"/>
        <v>0</v>
      </c>
      <c r="D1225" s="6" t="str">
        <f t="shared" si="195"/>
        <v/>
      </c>
      <c r="E1225" s="35" t="str">
        <f t="shared" si="192"/>
        <v/>
      </c>
      <c r="F1225" s="31"/>
      <c r="G1225" s="29"/>
      <c r="H1225" s="78" t="str">
        <f t="shared" si="196"/>
        <v/>
      </c>
      <c r="I1225" s="25"/>
      <c r="J1225" s="25"/>
      <c r="K1225" s="26"/>
      <c r="L1225" s="26"/>
      <c r="M1225" s="37"/>
      <c r="N1225" s="27"/>
      <c r="O1225" s="30"/>
      <c r="P1225" s="39" t="str">
        <f t="shared" si="197"/>
        <v/>
      </c>
      <c r="Q1225" s="40" t="str">
        <f>IF(OR(T1225=0,RIGHT(T1225,1)=$W$1),"",COUNTIF($T$3:T1225,T1225))</f>
        <v/>
      </c>
      <c r="S1225" s="6">
        <f t="shared" si="198"/>
        <v>0</v>
      </c>
      <c r="T1225" s="36">
        <f t="shared" si="199"/>
        <v>0</v>
      </c>
      <c r="V1225" s="6">
        <f t="shared" si="200"/>
        <v>0</v>
      </c>
      <c r="Y1225" s="8">
        <f t="shared" si="201"/>
        <v>46023</v>
      </c>
    </row>
    <row r="1226" spans="2:25" ht="18.75" x14ac:dyDescent="0.3">
      <c r="B1226" s="6">
        <f t="shared" si="193"/>
        <v>0</v>
      </c>
      <c r="C1226" s="6">
        <f t="shared" si="194"/>
        <v>0</v>
      </c>
      <c r="D1226" s="6" t="str">
        <f t="shared" si="195"/>
        <v/>
      </c>
      <c r="E1226" s="35" t="str">
        <f t="shared" si="192"/>
        <v/>
      </c>
      <c r="F1226" s="31"/>
      <c r="G1226" s="29"/>
      <c r="H1226" s="78" t="str">
        <f t="shared" si="196"/>
        <v/>
      </c>
      <c r="I1226" s="25"/>
      <c r="J1226" s="25"/>
      <c r="K1226" s="26"/>
      <c r="L1226" s="26"/>
      <c r="M1226" s="37"/>
      <c r="N1226" s="27"/>
      <c r="O1226" s="30"/>
      <c r="P1226" s="39" t="str">
        <f t="shared" si="197"/>
        <v/>
      </c>
      <c r="Q1226" s="40" t="str">
        <f>IF(OR(T1226=0,RIGHT(T1226,1)=$W$1),"",COUNTIF($T$3:T1226,T1226))</f>
        <v/>
      </c>
      <c r="S1226" s="6">
        <f t="shared" si="198"/>
        <v>0</v>
      </c>
      <c r="T1226" s="36">
        <f t="shared" si="199"/>
        <v>0</v>
      </c>
      <c r="V1226" s="6">
        <f t="shared" si="200"/>
        <v>0</v>
      </c>
      <c r="Y1226" s="8">
        <f t="shared" si="201"/>
        <v>46023</v>
      </c>
    </row>
    <row r="1227" spans="2:25" ht="18.75" x14ac:dyDescent="0.3">
      <c r="B1227" s="6">
        <f t="shared" si="193"/>
        <v>0</v>
      </c>
      <c r="C1227" s="6">
        <f t="shared" si="194"/>
        <v>0</v>
      </c>
      <c r="D1227" s="6" t="str">
        <f t="shared" si="195"/>
        <v/>
      </c>
      <c r="E1227" s="35" t="str">
        <f t="shared" si="192"/>
        <v/>
      </c>
      <c r="F1227" s="31"/>
      <c r="G1227" s="29"/>
      <c r="H1227" s="78" t="str">
        <f t="shared" si="196"/>
        <v/>
      </c>
      <c r="I1227" s="25"/>
      <c r="J1227" s="25"/>
      <c r="K1227" s="26"/>
      <c r="L1227" s="26"/>
      <c r="M1227" s="37"/>
      <c r="N1227" s="27"/>
      <c r="O1227" s="30"/>
      <c r="P1227" s="39" t="str">
        <f t="shared" si="197"/>
        <v/>
      </c>
      <c r="Q1227" s="40" t="str">
        <f>IF(OR(T1227=0,RIGHT(T1227,1)=$W$1),"",COUNTIF($T$3:T1227,T1227))</f>
        <v/>
      </c>
      <c r="S1227" s="6">
        <f t="shared" si="198"/>
        <v>0</v>
      </c>
      <c r="T1227" s="36">
        <f t="shared" si="199"/>
        <v>0</v>
      </c>
      <c r="V1227" s="6">
        <f t="shared" si="200"/>
        <v>0</v>
      </c>
      <c r="Y1227" s="8">
        <f t="shared" si="201"/>
        <v>46023</v>
      </c>
    </row>
    <row r="1228" spans="2:25" ht="18.75" x14ac:dyDescent="0.3">
      <c r="B1228" s="6">
        <f t="shared" si="193"/>
        <v>0</v>
      </c>
      <c r="C1228" s="6">
        <f t="shared" si="194"/>
        <v>0</v>
      </c>
      <c r="D1228" s="6" t="str">
        <f t="shared" si="195"/>
        <v/>
      </c>
      <c r="E1228" s="35" t="str">
        <f t="shared" si="192"/>
        <v/>
      </c>
      <c r="F1228" s="31"/>
      <c r="G1228" s="29"/>
      <c r="H1228" s="78" t="str">
        <f t="shared" si="196"/>
        <v/>
      </c>
      <c r="I1228" s="25"/>
      <c r="J1228" s="25"/>
      <c r="K1228" s="26"/>
      <c r="L1228" s="26"/>
      <c r="M1228" s="37"/>
      <c r="N1228" s="27"/>
      <c r="O1228" s="30"/>
      <c r="P1228" s="39" t="str">
        <f t="shared" si="197"/>
        <v/>
      </c>
      <c r="Q1228" s="40" t="str">
        <f>IF(OR(T1228=0,RIGHT(T1228,1)=$W$1),"",COUNTIF($T$3:T1228,T1228))</f>
        <v/>
      </c>
      <c r="S1228" s="6">
        <f t="shared" si="198"/>
        <v>0</v>
      </c>
      <c r="T1228" s="36">
        <f t="shared" si="199"/>
        <v>0</v>
      </c>
      <c r="V1228" s="6">
        <f t="shared" si="200"/>
        <v>0</v>
      </c>
      <c r="Y1228" s="8">
        <f t="shared" si="201"/>
        <v>46023</v>
      </c>
    </row>
    <row r="1229" spans="2:25" ht="18.75" x14ac:dyDescent="0.3">
      <c r="B1229" s="6">
        <f t="shared" si="193"/>
        <v>0</v>
      </c>
      <c r="C1229" s="6">
        <f t="shared" si="194"/>
        <v>0</v>
      </c>
      <c r="D1229" s="6" t="str">
        <f t="shared" si="195"/>
        <v/>
      </c>
      <c r="E1229" s="35" t="str">
        <f t="shared" si="192"/>
        <v/>
      </c>
      <c r="F1229" s="31"/>
      <c r="G1229" s="29"/>
      <c r="H1229" s="78" t="str">
        <f t="shared" si="196"/>
        <v/>
      </c>
      <c r="I1229" s="25"/>
      <c r="J1229" s="25"/>
      <c r="K1229" s="26"/>
      <c r="L1229" s="26"/>
      <c r="M1229" s="37"/>
      <c r="N1229" s="27"/>
      <c r="O1229" s="30"/>
      <c r="P1229" s="39" t="str">
        <f t="shared" si="197"/>
        <v/>
      </c>
      <c r="Q1229" s="40" t="str">
        <f>IF(OR(T1229=0,RIGHT(T1229,1)=$W$1),"",COUNTIF($T$3:T1229,T1229))</f>
        <v/>
      </c>
      <c r="S1229" s="6">
        <f t="shared" si="198"/>
        <v>0</v>
      </c>
      <c r="T1229" s="36">
        <f t="shared" si="199"/>
        <v>0</v>
      </c>
      <c r="V1229" s="6">
        <f t="shared" si="200"/>
        <v>0</v>
      </c>
      <c r="Y1229" s="8">
        <f t="shared" si="201"/>
        <v>46023</v>
      </c>
    </row>
    <row r="1230" spans="2:25" ht="18.75" x14ac:dyDescent="0.3">
      <c r="B1230" s="6">
        <f t="shared" si="193"/>
        <v>0</v>
      </c>
      <c r="C1230" s="6">
        <f t="shared" si="194"/>
        <v>0</v>
      </c>
      <c r="D1230" s="6" t="str">
        <f t="shared" si="195"/>
        <v/>
      </c>
      <c r="E1230" s="35" t="str">
        <f t="shared" si="192"/>
        <v/>
      </c>
      <c r="F1230" s="31"/>
      <c r="G1230" s="29"/>
      <c r="H1230" s="78" t="str">
        <f t="shared" si="196"/>
        <v/>
      </c>
      <c r="I1230" s="25"/>
      <c r="J1230" s="25"/>
      <c r="K1230" s="26"/>
      <c r="L1230" s="26"/>
      <c r="M1230" s="37"/>
      <c r="N1230" s="27"/>
      <c r="O1230" s="30"/>
      <c r="P1230" s="39" t="str">
        <f t="shared" si="197"/>
        <v/>
      </c>
      <c r="Q1230" s="40" t="str">
        <f>IF(OR(T1230=0,RIGHT(T1230,1)=$W$1),"",COUNTIF($T$3:T1230,T1230))</f>
        <v/>
      </c>
      <c r="S1230" s="6">
        <f t="shared" si="198"/>
        <v>0</v>
      </c>
      <c r="T1230" s="36">
        <f t="shared" si="199"/>
        <v>0</v>
      </c>
      <c r="V1230" s="6">
        <f t="shared" si="200"/>
        <v>0</v>
      </c>
      <c r="Y1230" s="8">
        <f t="shared" si="201"/>
        <v>46023</v>
      </c>
    </row>
    <row r="1231" spans="2:25" ht="18.75" x14ac:dyDescent="0.3">
      <c r="B1231" s="6">
        <f t="shared" si="193"/>
        <v>0</v>
      </c>
      <c r="C1231" s="6">
        <f t="shared" si="194"/>
        <v>0</v>
      </c>
      <c r="D1231" s="6" t="str">
        <f t="shared" si="195"/>
        <v/>
      </c>
      <c r="E1231" s="35" t="str">
        <f t="shared" si="192"/>
        <v/>
      </c>
      <c r="F1231" s="31"/>
      <c r="G1231" s="29"/>
      <c r="H1231" s="78" t="str">
        <f t="shared" si="196"/>
        <v/>
      </c>
      <c r="I1231" s="25"/>
      <c r="J1231" s="25"/>
      <c r="K1231" s="26"/>
      <c r="L1231" s="26"/>
      <c r="M1231" s="37"/>
      <c r="N1231" s="27"/>
      <c r="O1231" s="30"/>
      <c r="P1231" s="39" t="str">
        <f t="shared" si="197"/>
        <v/>
      </c>
      <c r="Q1231" s="40" t="str">
        <f>IF(OR(T1231=0,RIGHT(T1231,1)=$W$1),"",COUNTIF($T$3:T1231,T1231))</f>
        <v/>
      </c>
      <c r="S1231" s="6">
        <f t="shared" si="198"/>
        <v>0</v>
      </c>
      <c r="T1231" s="36">
        <f t="shared" si="199"/>
        <v>0</v>
      </c>
      <c r="V1231" s="6">
        <f t="shared" si="200"/>
        <v>0</v>
      </c>
      <c r="Y1231" s="8">
        <f t="shared" si="201"/>
        <v>46023</v>
      </c>
    </row>
    <row r="1232" spans="2:25" ht="18.75" x14ac:dyDescent="0.3">
      <c r="B1232" s="6">
        <f t="shared" si="193"/>
        <v>0</v>
      </c>
      <c r="C1232" s="6">
        <f t="shared" si="194"/>
        <v>0</v>
      </c>
      <c r="D1232" s="6" t="str">
        <f t="shared" si="195"/>
        <v/>
      </c>
      <c r="E1232" s="35" t="str">
        <f t="shared" si="192"/>
        <v/>
      </c>
      <c r="F1232" s="31"/>
      <c r="G1232" s="29"/>
      <c r="H1232" s="78" t="str">
        <f t="shared" si="196"/>
        <v/>
      </c>
      <c r="I1232" s="25"/>
      <c r="J1232" s="25"/>
      <c r="K1232" s="26"/>
      <c r="L1232" s="26"/>
      <c r="M1232" s="37"/>
      <c r="N1232" s="27"/>
      <c r="O1232" s="30"/>
      <c r="P1232" s="39" t="str">
        <f t="shared" si="197"/>
        <v/>
      </c>
      <c r="Q1232" s="40" t="str">
        <f>IF(OR(T1232=0,RIGHT(T1232,1)=$W$1),"",COUNTIF($T$3:T1232,T1232))</f>
        <v/>
      </c>
      <c r="S1232" s="6">
        <f t="shared" si="198"/>
        <v>0</v>
      </c>
      <c r="T1232" s="36">
        <f t="shared" si="199"/>
        <v>0</v>
      </c>
      <c r="V1232" s="6">
        <f t="shared" si="200"/>
        <v>0</v>
      </c>
      <c r="Y1232" s="8">
        <f t="shared" si="201"/>
        <v>46023</v>
      </c>
    </row>
    <row r="1233" spans="2:25" ht="18.75" x14ac:dyDescent="0.3">
      <c r="B1233" s="6">
        <f t="shared" si="193"/>
        <v>0</v>
      </c>
      <c r="C1233" s="6">
        <f t="shared" si="194"/>
        <v>0</v>
      </c>
      <c r="D1233" s="6" t="str">
        <f t="shared" si="195"/>
        <v/>
      </c>
      <c r="E1233" s="35" t="str">
        <f t="shared" si="192"/>
        <v/>
      </c>
      <c r="F1233" s="31"/>
      <c r="G1233" s="29"/>
      <c r="H1233" s="78" t="str">
        <f t="shared" si="196"/>
        <v/>
      </c>
      <c r="I1233" s="25"/>
      <c r="J1233" s="25"/>
      <c r="K1233" s="26"/>
      <c r="L1233" s="26"/>
      <c r="M1233" s="37"/>
      <c r="N1233" s="27"/>
      <c r="O1233" s="30"/>
      <c r="P1233" s="39" t="str">
        <f t="shared" si="197"/>
        <v/>
      </c>
      <c r="Q1233" s="40" t="str">
        <f>IF(OR(T1233=0,RIGHT(T1233,1)=$W$1),"",COUNTIF($T$3:T1233,T1233))</f>
        <v/>
      </c>
      <c r="S1233" s="6">
        <f t="shared" si="198"/>
        <v>0</v>
      </c>
      <c r="T1233" s="36">
        <f t="shared" si="199"/>
        <v>0</v>
      </c>
      <c r="V1233" s="6">
        <f t="shared" si="200"/>
        <v>0</v>
      </c>
      <c r="Y1233" s="8">
        <f t="shared" si="201"/>
        <v>46023</v>
      </c>
    </row>
    <row r="1234" spans="2:25" ht="18.75" x14ac:dyDescent="0.3">
      <c r="B1234" s="6">
        <f t="shared" si="193"/>
        <v>0</v>
      </c>
      <c r="C1234" s="6">
        <f t="shared" si="194"/>
        <v>0</v>
      </c>
      <c r="D1234" s="6" t="str">
        <f t="shared" si="195"/>
        <v/>
      </c>
      <c r="E1234" s="35" t="str">
        <f t="shared" si="192"/>
        <v/>
      </c>
      <c r="F1234" s="31"/>
      <c r="G1234" s="29"/>
      <c r="H1234" s="78" t="str">
        <f t="shared" si="196"/>
        <v/>
      </c>
      <c r="I1234" s="25"/>
      <c r="J1234" s="25"/>
      <c r="K1234" s="26"/>
      <c r="L1234" s="26"/>
      <c r="M1234" s="37"/>
      <c r="N1234" s="27"/>
      <c r="O1234" s="30"/>
      <c r="P1234" s="39" t="str">
        <f t="shared" si="197"/>
        <v/>
      </c>
      <c r="Q1234" s="40" t="str">
        <f>IF(OR(T1234=0,RIGHT(T1234,1)=$W$1),"",COUNTIF($T$3:T1234,T1234))</f>
        <v/>
      </c>
      <c r="S1234" s="6">
        <f t="shared" si="198"/>
        <v>0</v>
      </c>
      <c r="T1234" s="36">
        <f t="shared" si="199"/>
        <v>0</v>
      </c>
      <c r="V1234" s="6">
        <f t="shared" si="200"/>
        <v>0</v>
      </c>
      <c r="Y1234" s="8">
        <f t="shared" si="201"/>
        <v>46023</v>
      </c>
    </row>
    <row r="1235" spans="2:25" ht="18.75" x14ac:dyDescent="0.3">
      <c r="B1235" s="6">
        <f t="shared" si="193"/>
        <v>0</v>
      </c>
      <c r="C1235" s="6">
        <f t="shared" si="194"/>
        <v>0</v>
      </c>
      <c r="D1235" s="6" t="str">
        <f t="shared" si="195"/>
        <v/>
      </c>
      <c r="E1235" s="35" t="str">
        <f t="shared" si="192"/>
        <v/>
      </c>
      <c r="F1235" s="31"/>
      <c r="G1235" s="29"/>
      <c r="H1235" s="78" t="str">
        <f t="shared" si="196"/>
        <v/>
      </c>
      <c r="I1235" s="25"/>
      <c r="J1235" s="25"/>
      <c r="K1235" s="26"/>
      <c r="L1235" s="26"/>
      <c r="M1235" s="37"/>
      <c r="N1235" s="27"/>
      <c r="O1235" s="30"/>
      <c r="P1235" s="39" t="str">
        <f t="shared" si="197"/>
        <v/>
      </c>
      <c r="Q1235" s="40" t="str">
        <f>IF(OR(T1235=0,RIGHT(T1235,1)=$W$1),"",COUNTIF($T$3:T1235,T1235))</f>
        <v/>
      </c>
      <c r="S1235" s="6">
        <f t="shared" si="198"/>
        <v>0</v>
      </c>
      <c r="T1235" s="36">
        <f t="shared" si="199"/>
        <v>0</v>
      </c>
      <c r="V1235" s="6">
        <f t="shared" si="200"/>
        <v>0</v>
      </c>
      <c r="Y1235" s="8">
        <f t="shared" si="201"/>
        <v>46023</v>
      </c>
    </row>
    <row r="1236" spans="2:25" ht="18.75" x14ac:dyDescent="0.3">
      <c r="B1236" s="6">
        <f t="shared" si="193"/>
        <v>0</v>
      </c>
      <c r="C1236" s="6">
        <f t="shared" si="194"/>
        <v>0</v>
      </c>
      <c r="D1236" s="6" t="str">
        <f t="shared" si="195"/>
        <v/>
      </c>
      <c r="E1236" s="35" t="str">
        <f t="shared" si="192"/>
        <v/>
      </c>
      <c r="F1236" s="31"/>
      <c r="G1236" s="29"/>
      <c r="H1236" s="78" t="str">
        <f t="shared" si="196"/>
        <v/>
      </c>
      <c r="I1236" s="25"/>
      <c r="J1236" s="25"/>
      <c r="K1236" s="26"/>
      <c r="L1236" s="26"/>
      <c r="M1236" s="37"/>
      <c r="N1236" s="27"/>
      <c r="O1236" s="30"/>
      <c r="P1236" s="39" t="str">
        <f t="shared" si="197"/>
        <v/>
      </c>
      <c r="Q1236" s="40" t="str">
        <f>IF(OR(T1236=0,RIGHT(T1236,1)=$W$1),"",COUNTIF($T$3:T1236,T1236))</f>
        <v/>
      </c>
      <c r="S1236" s="6">
        <f t="shared" si="198"/>
        <v>0</v>
      </c>
      <c r="T1236" s="36">
        <f t="shared" si="199"/>
        <v>0</v>
      </c>
      <c r="V1236" s="6">
        <f t="shared" si="200"/>
        <v>0</v>
      </c>
      <c r="Y1236" s="8">
        <f t="shared" si="201"/>
        <v>46023</v>
      </c>
    </row>
    <row r="1237" spans="2:25" ht="18.75" x14ac:dyDescent="0.3">
      <c r="B1237" s="6">
        <f t="shared" si="193"/>
        <v>0</v>
      </c>
      <c r="C1237" s="6">
        <f t="shared" si="194"/>
        <v>0</v>
      </c>
      <c r="D1237" s="6" t="str">
        <f t="shared" si="195"/>
        <v/>
      </c>
      <c r="E1237" s="35" t="str">
        <f t="shared" si="192"/>
        <v/>
      </c>
      <c r="F1237" s="31"/>
      <c r="G1237" s="29"/>
      <c r="H1237" s="78" t="str">
        <f t="shared" si="196"/>
        <v/>
      </c>
      <c r="I1237" s="25"/>
      <c r="J1237" s="25"/>
      <c r="K1237" s="26"/>
      <c r="L1237" s="26"/>
      <c r="M1237" s="37"/>
      <c r="N1237" s="27"/>
      <c r="O1237" s="30"/>
      <c r="P1237" s="39" t="str">
        <f t="shared" si="197"/>
        <v/>
      </c>
      <c r="Q1237" s="40" t="str">
        <f>IF(OR(T1237=0,RIGHT(T1237,1)=$W$1),"",COUNTIF($T$3:T1237,T1237))</f>
        <v/>
      </c>
      <c r="S1237" s="6">
        <f t="shared" si="198"/>
        <v>0</v>
      </c>
      <c r="T1237" s="36">
        <f t="shared" si="199"/>
        <v>0</v>
      </c>
      <c r="V1237" s="6">
        <f t="shared" si="200"/>
        <v>0</v>
      </c>
      <c r="Y1237" s="8">
        <f t="shared" si="201"/>
        <v>46023</v>
      </c>
    </row>
    <row r="1238" spans="2:25" ht="18.75" x14ac:dyDescent="0.3">
      <c r="B1238" s="6">
        <f t="shared" si="193"/>
        <v>0</v>
      </c>
      <c r="C1238" s="6">
        <f t="shared" si="194"/>
        <v>0</v>
      </c>
      <c r="D1238" s="6" t="str">
        <f t="shared" si="195"/>
        <v/>
      </c>
      <c r="E1238" s="35" t="str">
        <f t="shared" si="192"/>
        <v/>
      </c>
      <c r="F1238" s="31"/>
      <c r="G1238" s="29"/>
      <c r="H1238" s="78" t="str">
        <f t="shared" si="196"/>
        <v/>
      </c>
      <c r="I1238" s="25"/>
      <c r="J1238" s="25"/>
      <c r="K1238" s="26"/>
      <c r="L1238" s="26"/>
      <c r="M1238" s="37"/>
      <c r="N1238" s="27"/>
      <c r="O1238" s="30"/>
      <c r="P1238" s="39" t="str">
        <f t="shared" si="197"/>
        <v/>
      </c>
      <c r="Q1238" s="40" t="str">
        <f>IF(OR(T1238=0,RIGHT(T1238,1)=$W$1),"",COUNTIF($T$3:T1238,T1238))</f>
        <v/>
      </c>
      <c r="S1238" s="6">
        <f t="shared" si="198"/>
        <v>0</v>
      </c>
      <c r="T1238" s="36">
        <f t="shared" si="199"/>
        <v>0</v>
      </c>
      <c r="V1238" s="6">
        <f t="shared" si="200"/>
        <v>0</v>
      </c>
      <c r="Y1238" s="8">
        <f t="shared" si="201"/>
        <v>46023</v>
      </c>
    </row>
    <row r="1239" spans="2:25" ht="18.75" x14ac:dyDescent="0.3">
      <c r="B1239" s="6">
        <f t="shared" si="193"/>
        <v>0</v>
      </c>
      <c r="C1239" s="6">
        <f t="shared" si="194"/>
        <v>0</v>
      </c>
      <c r="D1239" s="6" t="str">
        <f t="shared" si="195"/>
        <v/>
      </c>
      <c r="E1239" s="35" t="str">
        <f t="shared" si="192"/>
        <v/>
      </c>
      <c r="F1239" s="31"/>
      <c r="G1239" s="29"/>
      <c r="H1239" s="78" t="str">
        <f t="shared" si="196"/>
        <v/>
      </c>
      <c r="I1239" s="25"/>
      <c r="J1239" s="25"/>
      <c r="K1239" s="26"/>
      <c r="L1239" s="26"/>
      <c r="M1239" s="37"/>
      <c r="N1239" s="27"/>
      <c r="O1239" s="30"/>
      <c r="P1239" s="39" t="str">
        <f t="shared" si="197"/>
        <v/>
      </c>
      <c r="Q1239" s="40" t="str">
        <f>IF(OR(T1239=0,RIGHT(T1239,1)=$W$1),"",COUNTIF($T$3:T1239,T1239))</f>
        <v/>
      </c>
      <c r="S1239" s="6">
        <f t="shared" si="198"/>
        <v>0</v>
      </c>
      <c r="T1239" s="36">
        <f t="shared" si="199"/>
        <v>0</v>
      </c>
      <c r="V1239" s="6">
        <f t="shared" si="200"/>
        <v>0</v>
      </c>
      <c r="Y1239" s="8">
        <f t="shared" si="201"/>
        <v>46023</v>
      </c>
    </row>
    <row r="1240" spans="2:25" ht="18.75" x14ac:dyDescent="0.3">
      <c r="B1240" s="6">
        <f t="shared" si="193"/>
        <v>0</v>
      </c>
      <c r="C1240" s="6">
        <f t="shared" si="194"/>
        <v>0</v>
      </c>
      <c r="D1240" s="6" t="str">
        <f t="shared" si="195"/>
        <v/>
      </c>
      <c r="E1240" s="35" t="str">
        <f t="shared" si="192"/>
        <v/>
      </c>
      <c r="F1240" s="31"/>
      <c r="G1240" s="29"/>
      <c r="H1240" s="78" t="str">
        <f t="shared" si="196"/>
        <v/>
      </c>
      <c r="I1240" s="25"/>
      <c r="J1240" s="25"/>
      <c r="K1240" s="26"/>
      <c r="L1240" s="26"/>
      <c r="M1240" s="37"/>
      <c r="N1240" s="27"/>
      <c r="O1240" s="30"/>
      <c r="P1240" s="39" t="str">
        <f t="shared" si="197"/>
        <v/>
      </c>
      <c r="Q1240" s="40" t="str">
        <f>IF(OR(T1240=0,RIGHT(T1240,1)=$W$1),"",COUNTIF($T$3:T1240,T1240))</f>
        <v/>
      </c>
      <c r="S1240" s="6">
        <f t="shared" si="198"/>
        <v>0</v>
      </c>
      <c r="T1240" s="36">
        <f t="shared" si="199"/>
        <v>0</v>
      </c>
      <c r="V1240" s="6">
        <f t="shared" si="200"/>
        <v>0</v>
      </c>
      <c r="Y1240" s="8">
        <f t="shared" si="201"/>
        <v>46023</v>
      </c>
    </row>
    <row r="1241" spans="2:25" ht="18.75" x14ac:dyDescent="0.3">
      <c r="B1241" s="6">
        <f t="shared" si="193"/>
        <v>0</v>
      </c>
      <c r="C1241" s="6">
        <f t="shared" si="194"/>
        <v>0</v>
      </c>
      <c r="D1241" s="6" t="str">
        <f t="shared" si="195"/>
        <v/>
      </c>
      <c r="E1241" s="35" t="str">
        <f t="shared" si="192"/>
        <v/>
      </c>
      <c r="F1241" s="31"/>
      <c r="G1241" s="29"/>
      <c r="H1241" s="78" t="str">
        <f t="shared" si="196"/>
        <v/>
      </c>
      <c r="I1241" s="25"/>
      <c r="J1241" s="25"/>
      <c r="K1241" s="26"/>
      <c r="L1241" s="26"/>
      <c r="M1241" s="37"/>
      <c r="N1241" s="27"/>
      <c r="O1241" s="30"/>
      <c r="P1241" s="39" t="str">
        <f t="shared" si="197"/>
        <v/>
      </c>
      <c r="Q1241" s="40" t="str">
        <f>IF(OR(T1241=0,RIGHT(T1241,1)=$W$1),"",COUNTIF($T$3:T1241,T1241))</f>
        <v/>
      </c>
      <c r="S1241" s="6">
        <f t="shared" si="198"/>
        <v>0</v>
      </c>
      <c r="T1241" s="36">
        <f t="shared" si="199"/>
        <v>0</v>
      </c>
      <c r="V1241" s="6">
        <f t="shared" si="200"/>
        <v>0</v>
      </c>
      <c r="Y1241" s="8">
        <f t="shared" si="201"/>
        <v>46023</v>
      </c>
    </row>
    <row r="1242" spans="2:25" ht="18.75" x14ac:dyDescent="0.3">
      <c r="B1242" s="6">
        <f t="shared" si="193"/>
        <v>0</v>
      </c>
      <c r="C1242" s="6">
        <f t="shared" si="194"/>
        <v>0</v>
      </c>
      <c r="D1242" s="6" t="str">
        <f t="shared" si="195"/>
        <v/>
      </c>
      <c r="E1242" s="35" t="str">
        <f t="shared" si="192"/>
        <v/>
      </c>
      <c r="F1242" s="31"/>
      <c r="G1242" s="29"/>
      <c r="H1242" s="78" t="str">
        <f t="shared" si="196"/>
        <v/>
      </c>
      <c r="I1242" s="25"/>
      <c r="J1242" s="25"/>
      <c r="K1242" s="26"/>
      <c r="L1242" s="26"/>
      <c r="M1242" s="37"/>
      <c r="N1242" s="27"/>
      <c r="O1242" s="30"/>
      <c r="P1242" s="39" t="str">
        <f t="shared" si="197"/>
        <v/>
      </c>
      <c r="Q1242" s="40" t="str">
        <f>IF(OR(T1242=0,RIGHT(T1242,1)=$W$1),"",COUNTIF($T$3:T1242,T1242))</f>
        <v/>
      </c>
      <c r="S1242" s="6">
        <f t="shared" si="198"/>
        <v>0</v>
      </c>
      <c r="T1242" s="36">
        <f t="shared" si="199"/>
        <v>0</v>
      </c>
      <c r="V1242" s="6">
        <f t="shared" si="200"/>
        <v>0</v>
      </c>
      <c r="Y1242" s="8">
        <f t="shared" si="201"/>
        <v>46023</v>
      </c>
    </row>
    <row r="1243" spans="2:25" ht="18.75" x14ac:dyDescent="0.3">
      <c r="B1243" s="6">
        <f t="shared" si="193"/>
        <v>0</v>
      </c>
      <c r="C1243" s="6">
        <f t="shared" si="194"/>
        <v>0</v>
      </c>
      <c r="D1243" s="6" t="str">
        <f t="shared" si="195"/>
        <v/>
      </c>
      <c r="E1243" s="35" t="str">
        <f t="shared" si="192"/>
        <v/>
      </c>
      <c r="F1243" s="31"/>
      <c r="G1243" s="29"/>
      <c r="H1243" s="78" t="str">
        <f t="shared" si="196"/>
        <v/>
      </c>
      <c r="I1243" s="25"/>
      <c r="J1243" s="25"/>
      <c r="K1243" s="26"/>
      <c r="L1243" s="26"/>
      <c r="M1243" s="37"/>
      <c r="N1243" s="27"/>
      <c r="O1243" s="30"/>
      <c r="P1243" s="39" t="str">
        <f t="shared" si="197"/>
        <v/>
      </c>
      <c r="Q1243" s="40" t="str">
        <f>IF(OR(T1243=0,RIGHT(T1243,1)=$W$1),"",COUNTIF($T$3:T1243,T1243))</f>
        <v/>
      </c>
      <c r="S1243" s="6">
        <f t="shared" si="198"/>
        <v>0</v>
      </c>
      <c r="T1243" s="36">
        <f t="shared" si="199"/>
        <v>0</v>
      </c>
      <c r="V1243" s="6">
        <f t="shared" si="200"/>
        <v>0</v>
      </c>
      <c r="Y1243" s="8">
        <f t="shared" si="201"/>
        <v>46023</v>
      </c>
    </row>
    <row r="1244" spans="2:25" ht="18.75" x14ac:dyDescent="0.3">
      <c r="B1244" s="6">
        <f t="shared" si="193"/>
        <v>0</v>
      </c>
      <c r="C1244" s="6">
        <f t="shared" si="194"/>
        <v>0</v>
      </c>
      <c r="D1244" s="6" t="str">
        <f t="shared" si="195"/>
        <v/>
      </c>
      <c r="E1244" s="35" t="str">
        <f t="shared" si="192"/>
        <v/>
      </c>
      <c r="F1244" s="31"/>
      <c r="G1244" s="29"/>
      <c r="H1244" s="78" t="str">
        <f t="shared" si="196"/>
        <v/>
      </c>
      <c r="I1244" s="25"/>
      <c r="J1244" s="25"/>
      <c r="K1244" s="26"/>
      <c r="L1244" s="26"/>
      <c r="M1244" s="37"/>
      <c r="N1244" s="27"/>
      <c r="O1244" s="30"/>
      <c r="P1244" s="39" t="str">
        <f t="shared" si="197"/>
        <v/>
      </c>
      <c r="Q1244" s="40" t="str">
        <f>IF(OR(T1244=0,RIGHT(T1244,1)=$W$1),"",COUNTIF($T$3:T1244,T1244))</f>
        <v/>
      </c>
      <c r="S1244" s="6">
        <f t="shared" si="198"/>
        <v>0</v>
      </c>
      <c r="T1244" s="36">
        <f t="shared" si="199"/>
        <v>0</v>
      </c>
      <c r="V1244" s="6">
        <f t="shared" si="200"/>
        <v>0</v>
      </c>
      <c r="Y1244" s="8">
        <f t="shared" si="201"/>
        <v>46023</v>
      </c>
    </row>
    <row r="1245" spans="2:25" ht="18.75" x14ac:dyDescent="0.3">
      <c r="B1245" s="6">
        <f t="shared" si="193"/>
        <v>0</v>
      </c>
      <c r="C1245" s="6">
        <f t="shared" si="194"/>
        <v>0</v>
      </c>
      <c r="D1245" s="6" t="str">
        <f t="shared" si="195"/>
        <v/>
      </c>
      <c r="E1245" s="35" t="str">
        <f t="shared" si="192"/>
        <v/>
      </c>
      <c r="F1245" s="31"/>
      <c r="G1245" s="29"/>
      <c r="H1245" s="78" t="str">
        <f t="shared" si="196"/>
        <v/>
      </c>
      <c r="I1245" s="25"/>
      <c r="J1245" s="25"/>
      <c r="K1245" s="26"/>
      <c r="L1245" s="26"/>
      <c r="M1245" s="37"/>
      <c r="N1245" s="27"/>
      <c r="O1245" s="30"/>
      <c r="P1245" s="39" t="str">
        <f t="shared" si="197"/>
        <v/>
      </c>
      <c r="Q1245" s="40" t="str">
        <f>IF(OR(T1245=0,RIGHT(T1245,1)=$W$1),"",COUNTIF($T$3:T1245,T1245))</f>
        <v/>
      </c>
      <c r="S1245" s="6">
        <f t="shared" si="198"/>
        <v>0</v>
      </c>
      <c r="T1245" s="36">
        <f t="shared" si="199"/>
        <v>0</v>
      </c>
      <c r="V1245" s="6">
        <f t="shared" si="200"/>
        <v>0</v>
      </c>
      <c r="Y1245" s="8">
        <f t="shared" si="201"/>
        <v>46023</v>
      </c>
    </row>
    <row r="1246" spans="2:25" ht="18.75" x14ac:dyDescent="0.3">
      <c r="B1246" s="6">
        <f t="shared" si="193"/>
        <v>0</v>
      </c>
      <c r="C1246" s="6">
        <f t="shared" si="194"/>
        <v>0</v>
      </c>
      <c r="D1246" s="6" t="str">
        <f t="shared" si="195"/>
        <v/>
      </c>
      <c r="E1246" s="35" t="str">
        <f t="shared" si="192"/>
        <v/>
      </c>
      <c r="F1246" s="31"/>
      <c r="G1246" s="29"/>
      <c r="H1246" s="78" t="str">
        <f t="shared" si="196"/>
        <v/>
      </c>
      <c r="I1246" s="25"/>
      <c r="J1246" s="25"/>
      <c r="K1246" s="26"/>
      <c r="L1246" s="26"/>
      <c r="M1246" s="37"/>
      <c r="N1246" s="27"/>
      <c r="O1246" s="30"/>
      <c r="P1246" s="39" t="str">
        <f t="shared" si="197"/>
        <v/>
      </c>
      <c r="Q1246" s="40" t="str">
        <f>IF(OR(T1246=0,RIGHT(T1246,1)=$W$1),"",COUNTIF($T$3:T1246,T1246))</f>
        <v/>
      </c>
      <c r="S1246" s="6">
        <f t="shared" si="198"/>
        <v>0</v>
      </c>
      <c r="T1246" s="36">
        <f t="shared" si="199"/>
        <v>0</v>
      </c>
      <c r="V1246" s="6">
        <f t="shared" si="200"/>
        <v>0</v>
      </c>
      <c r="Y1246" s="8">
        <f t="shared" si="201"/>
        <v>46023</v>
      </c>
    </row>
    <row r="1247" spans="2:25" ht="18.75" x14ac:dyDescent="0.3">
      <c r="B1247" s="6">
        <f t="shared" si="193"/>
        <v>0</v>
      </c>
      <c r="C1247" s="6">
        <f t="shared" si="194"/>
        <v>0</v>
      </c>
      <c r="D1247" s="6" t="str">
        <f t="shared" si="195"/>
        <v/>
      </c>
      <c r="E1247" s="35" t="str">
        <f t="shared" si="192"/>
        <v/>
      </c>
      <c r="F1247" s="31"/>
      <c r="G1247" s="29"/>
      <c r="H1247" s="78" t="str">
        <f t="shared" si="196"/>
        <v/>
      </c>
      <c r="I1247" s="25"/>
      <c r="J1247" s="25"/>
      <c r="K1247" s="26"/>
      <c r="L1247" s="26"/>
      <c r="M1247" s="37"/>
      <c r="N1247" s="27"/>
      <c r="O1247" s="30"/>
      <c r="P1247" s="39" t="str">
        <f t="shared" si="197"/>
        <v/>
      </c>
      <c r="Q1247" s="40" t="str">
        <f>IF(OR(T1247=0,RIGHT(T1247,1)=$W$1),"",COUNTIF($T$3:T1247,T1247))</f>
        <v/>
      </c>
      <c r="S1247" s="6">
        <f t="shared" si="198"/>
        <v>0</v>
      </c>
      <c r="T1247" s="36">
        <f t="shared" si="199"/>
        <v>0</v>
      </c>
      <c r="V1247" s="6">
        <f t="shared" si="200"/>
        <v>0</v>
      </c>
      <c r="Y1247" s="8">
        <f t="shared" si="201"/>
        <v>46023</v>
      </c>
    </row>
    <row r="1248" spans="2:25" ht="18.75" x14ac:dyDescent="0.3">
      <c r="B1248" s="6">
        <f t="shared" si="193"/>
        <v>0</v>
      </c>
      <c r="C1248" s="6">
        <f t="shared" si="194"/>
        <v>0</v>
      </c>
      <c r="D1248" s="6" t="str">
        <f t="shared" si="195"/>
        <v/>
      </c>
      <c r="E1248" s="35" t="str">
        <f t="shared" si="192"/>
        <v/>
      </c>
      <c r="F1248" s="31"/>
      <c r="G1248" s="29"/>
      <c r="H1248" s="78" t="str">
        <f t="shared" si="196"/>
        <v/>
      </c>
      <c r="I1248" s="25"/>
      <c r="J1248" s="25"/>
      <c r="K1248" s="26"/>
      <c r="L1248" s="26"/>
      <c r="M1248" s="37"/>
      <c r="N1248" s="27"/>
      <c r="O1248" s="30"/>
      <c r="P1248" s="39" t="str">
        <f t="shared" si="197"/>
        <v/>
      </c>
      <c r="Q1248" s="40" t="str">
        <f>IF(OR(T1248=0,RIGHT(T1248,1)=$W$1),"",COUNTIF($T$3:T1248,T1248))</f>
        <v/>
      </c>
      <c r="S1248" s="6">
        <f t="shared" si="198"/>
        <v>0</v>
      </c>
      <c r="T1248" s="36">
        <f t="shared" si="199"/>
        <v>0</v>
      </c>
      <c r="V1248" s="6">
        <f t="shared" si="200"/>
        <v>0</v>
      </c>
      <c r="Y1248" s="8">
        <f t="shared" si="201"/>
        <v>46023</v>
      </c>
    </row>
    <row r="1249" spans="2:25" ht="18.75" x14ac:dyDescent="0.3">
      <c r="B1249" s="6">
        <f t="shared" si="193"/>
        <v>0</v>
      </c>
      <c r="C1249" s="6">
        <f t="shared" si="194"/>
        <v>0</v>
      </c>
      <c r="D1249" s="6" t="str">
        <f t="shared" si="195"/>
        <v/>
      </c>
      <c r="E1249" s="35" t="str">
        <f t="shared" si="192"/>
        <v/>
      </c>
      <c r="F1249" s="31"/>
      <c r="G1249" s="29"/>
      <c r="H1249" s="78" t="str">
        <f t="shared" si="196"/>
        <v/>
      </c>
      <c r="I1249" s="25"/>
      <c r="J1249" s="25"/>
      <c r="K1249" s="26"/>
      <c r="L1249" s="26"/>
      <c r="M1249" s="37"/>
      <c r="N1249" s="27"/>
      <c r="O1249" s="30"/>
      <c r="P1249" s="39" t="str">
        <f t="shared" si="197"/>
        <v/>
      </c>
      <c r="Q1249" s="40" t="str">
        <f>IF(OR(T1249=0,RIGHT(T1249,1)=$W$1),"",COUNTIF($T$3:T1249,T1249))</f>
        <v/>
      </c>
      <c r="S1249" s="6">
        <f t="shared" si="198"/>
        <v>0</v>
      </c>
      <c r="T1249" s="36">
        <f t="shared" si="199"/>
        <v>0</v>
      </c>
      <c r="V1249" s="6">
        <f t="shared" si="200"/>
        <v>0</v>
      </c>
      <c r="Y1249" s="8">
        <f t="shared" si="201"/>
        <v>46023</v>
      </c>
    </row>
    <row r="1250" spans="2:25" ht="18.75" x14ac:dyDescent="0.3">
      <c r="B1250" s="6">
        <f t="shared" si="193"/>
        <v>0</v>
      </c>
      <c r="C1250" s="6">
        <f t="shared" si="194"/>
        <v>0</v>
      </c>
      <c r="D1250" s="6" t="str">
        <f t="shared" si="195"/>
        <v/>
      </c>
      <c r="E1250" s="35" t="str">
        <f t="shared" si="192"/>
        <v/>
      </c>
      <c r="F1250" s="31"/>
      <c r="G1250" s="29"/>
      <c r="H1250" s="78" t="str">
        <f t="shared" si="196"/>
        <v/>
      </c>
      <c r="I1250" s="25"/>
      <c r="J1250" s="25"/>
      <c r="K1250" s="26"/>
      <c r="L1250" s="26"/>
      <c r="M1250" s="37"/>
      <c r="N1250" s="27"/>
      <c r="O1250" s="30"/>
      <c r="P1250" s="39" t="str">
        <f t="shared" si="197"/>
        <v/>
      </c>
      <c r="Q1250" s="40" t="str">
        <f>IF(OR(T1250=0,RIGHT(T1250,1)=$W$1),"",COUNTIF($T$3:T1250,T1250))</f>
        <v/>
      </c>
      <c r="S1250" s="6">
        <f t="shared" si="198"/>
        <v>0</v>
      </c>
      <c r="T1250" s="36">
        <f t="shared" si="199"/>
        <v>0</v>
      </c>
      <c r="V1250" s="6">
        <f t="shared" si="200"/>
        <v>0</v>
      </c>
      <c r="Y1250" s="8">
        <f t="shared" si="201"/>
        <v>46023</v>
      </c>
    </row>
    <row r="1251" spans="2:25" ht="18.75" x14ac:dyDescent="0.3">
      <c r="B1251" s="6">
        <f t="shared" si="193"/>
        <v>0</v>
      </c>
      <c r="C1251" s="6">
        <f t="shared" si="194"/>
        <v>0</v>
      </c>
      <c r="D1251" s="6" t="str">
        <f t="shared" si="195"/>
        <v/>
      </c>
      <c r="E1251" s="35" t="str">
        <f t="shared" si="192"/>
        <v/>
      </c>
      <c r="F1251" s="31"/>
      <c r="G1251" s="29"/>
      <c r="H1251" s="78" t="str">
        <f t="shared" si="196"/>
        <v/>
      </c>
      <c r="I1251" s="25"/>
      <c r="J1251" s="25"/>
      <c r="K1251" s="26"/>
      <c r="L1251" s="26"/>
      <c r="M1251" s="37"/>
      <c r="N1251" s="27"/>
      <c r="O1251" s="30"/>
      <c r="P1251" s="39" t="str">
        <f t="shared" si="197"/>
        <v/>
      </c>
      <c r="Q1251" s="40" t="str">
        <f>IF(OR(T1251=0,RIGHT(T1251,1)=$W$1),"",COUNTIF($T$3:T1251,T1251))</f>
        <v/>
      </c>
      <c r="S1251" s="6">
        <f t="shared" si="198"/>
        <v>0</v>
      </c>
      <c r="T1251" s="36">
        <f t="shared" si="199"/>
        <v>0</v>
      </c>
      <c r="V1251" s="6">
        <f t="shared" si="200"/>
        <v>0</v>
      </c>
      <c r="Y1251" s="8">
        <f t="shared" si="201"/>
        <v>46023</v>
      </c>
    </row>
    <row r="1252" spans="2:25" ht="18.75" x14ac:dyDescent="0.3">
      <c r="B1252" s="6">
        <f t="shared" si="193"/>
        <v>0</v>
      </c>
      <c r="C1252" s="6">
        <f t="shared" si="194"/>
        <v>0</v>
      </c>
      <c r="D1252" s="6" t="str">
        <f t="shared" si="195"/>
        <v/>
      </c>
      <c r="E1252" s="35" t="str">
        <f t="shared" si="192"/>
        <v/>
      </c>
      <c r="F1252" s="31"/>
      <c r="G1252" s="29"/>
      <c r="H1252" s="78" t="str">
        <f t="shared" si="196"/>
        <v/>
      </c>
      <c r="I1252" s="25"/>
      <c r="J1252" s="25"/>
      <c r="K1252" s="26"/>
      <c r="L1252" s="26"/>
      <c r="M1252" s="37"/>
      <c r="N1252" s="27"/>
      <c r="O1252" s="30"/>
      <c r="P1252" s="39" t="str">
        <f t="shared" si="197"/>
        <v/>
      </c>
      <c r="Q1252" s="40" t="str">
        <f>IF(OR(T1252=0,RIGHT(T1252,1)=$W$1),"",COUNTIF($T$3:T1252,T1252))</f>
        <v/>
      </c>
      <c r="S1252" s="6">
        <f t="shared" si="198"/>
        <v>0</v>
      </c>
      <c r="T1252" s="36">
        <f t="shared" si="199"/>
        <v>0</v>
      </c>
      <c r="V1252" s="6">
        <f t="shared" si="200"/>
        <v>0</v>
      </c>
      <c r="Y1252" s="8">
        <f t="shared" si="201"/>
        <v>46023</v>
      </c>
    </row>
    <row r="1253" spans="2:25" ht="18.75" x14ac:dyDescent="0.3">
      <c r="B1253" s="6">
        <f t="shared" si="193"/>
        <v>0</v>
      </c>
      <c r="C1253" s="6">
        <f t="shared" si="194"/>
        <v>0</v>
      </c>
      <c r="D1253" s="6" t="str">
        <f t="shared" si="195"/>
        <v/>
      </c>
      <c r="E1253" s="35" t="str">
        <f t="shared" si="192"/>
        <v/>
      </c>
      <c r="F1253" s="31"/>
      <c r="G1253" s="29"/>
      <c r="H1253" s="78" t="str">
        <f t="shared" si="196"/>
        <v/>
      </c>
      <c r="I1253" s="25"/>
      <c r="J1253" s="25"/>
      <c r="K1253" s="26"/>
      <c r="L1253" s="26"/>
      <c r="M1253" s="37"/>
      <c r="N1253" s="27"/>
      <c r="O1253" s="30"/>
      <c r="P1253" s="39" t="str">
        <f t="shared" si="197"/>
        <v/>
      </c>
      <c r="Q1253" s="40" t="str">
        <f>IF(OR(T1253=0,RIGHT(T1253,1)=$W$1),"",COUNTIF($T$3:T1253,T1253))</f>
        <v/>
      </c>
      <c r="S1253" s="6">
        <f t="shared" si="198"/>
        <v>0</v>
      </c>
      <c r="T1253" s="36">
        <f t="shared" si="199"/>
        <v>0</v>
      </c>
      <c r="V1253" s="6">
        <f t="shared" si="200"/>
        <v>0</v>
      </c>
      <c r="Y1253" s="8">
        <f t="shared" si="201"/>
        <v>46023</v>
      </c>
    </row>
    <row r="1254" spans="2:25" ht="18.75" x14ac:dyDescent="0.3">
      <c r="B1254" s="6">
        <f t="shared" si="193"/>
        <v>0</v>
      </c>
      <c r="C1254" s="6">
        <f t="shared" si="194"/>
        <v>0</v>
      </c>
      <c r="D1254" s="6" t="str">
        <f t="shared" si="195"/>
        <v/>
      </c>
      <c r="E1254" s="35" t="str">
        <f t="shared" si="192"/>
        <v/>
      </c>
      <c r="F1254" s="31"/>
      <c r="G1254" s="29"/>
      <c r="H1254" s="78" t="str">
        <f t="shared" si="196"/>
        <v/>
      </c>
      <c r="I1254" s="25"/>
      <c r="J1254" s="25"/>
      <c r="K1254" s="26"/>
      <c r="L1254" s="26"/>
      <c r="M1254" s="37"/>
      <c r="N1254" s="27"/>
      <c r="O1254" s="30"/>
      <c r="P1254" s="39" t="str">
        <f t="shared" si="197"/>
        <v/>
      </c>
      <c r="Q1254" s="40" t="str">
        <f>IF(OR(T1254=0,RIGHT(T1254,1)=$W$1),"",COUNTIF($T$3:T1254,T1254))</f>
        <v/>
      </c>
      <c r="S1254" s="6">
        <f t="shared" si="198"/>
        <v>0</v>
      </c>
      <c r="T1254" s="36">
        <f t="shared" si="199"/>
        <v>0</v>
      </c>
      <c r="V1254" s="6">
        <f t="shared" si="200"/>
        <v>0</v>
      </c>
      <c r="Y1254" s="8">
        <f t="shared" si="201"/>
        <v>46023</v>
      </c>
    </row>
    <row r="1255" spans="2:25" ht="18.75" x14ac:dyDescent="0.3">
      <c r="B1255" s="6">
        <f t="shared" si="193"/>
        <v>0</v>
      </c>
      <c r="C1255" s="6">
        <f t="shared" si="194"/>
        <v>0</v>
      </c>
      <c r="D1255" s="6" t="str">
        <f t="shared" si="195"/>
        <v/>
      </c>
      <c r="E1255" s="35" t="str">
        <f t="shared" si="192"/>
        <v/>
      </c>
      <c r="F1255" s="31"/>
      <c r="G1255" s="29"/>
      <c r="H1255" s="78" t="str">
        <f t="shared" si="196"/>
        <v/>
      </c>
      <c r="I1255" s="25"/>
      <c r="J1255" s="25"/>
      <c r="K1255" s="26"/>
      <c r="L1255" s="26"/>
      <c r="M1255" s="37"/>
      <c r="N1255" s="27"/>
      <c r="O1255" s="30"/>
      <c r="P1255" s="39" t="str">
        <f t="shared" si="197"/>
        <v/>
      </c>
      <c r="Q1255" s="40" t="str">
        <f>IF(OR(T1255=0,RIGHT(T1255,1)=$W$1),"",COUNTIF($T$3:T1255,T1255))</f>
        <v/>
      </c>
      <c r="S1255" s="6">
        <f t="shared" si="198"/>
        <v>0</v>
      </c>
      <c r="T1255" s="36">
        <f t="shared" si="199"/>
        <v>0</v>
      </c>
      <c r="V1255" s="6">
        <f t="shared" si="200"/>
        <v>0</v>
      </c>
      <c r="Y1255" s="8">
        <f t="shared" si="201"/>
        <v>46023</v>
      </c>
    </row>
    <row r="1256" spans="2:25" ht="18.75" x14ac:dyDescent="0.3">
      <c r="B1256" s="6">
        <f t="shared" si="193"/>
        <v>0</v>
      </c>
      <c r="C1256" s="6">
        <f t="shared" si="194"/>
        <v>0</v>
      </c>
      <c r="D1256" s="6" t="str">
        <f t="shared" si="195"/>
        <v/>
      </c>
      <c r="E1256" s="35" t="str">
        <f t="shared" si="192"/>
        <v/>
      </c>
      <c r="F1256" s="31"/>
      <c r="G1256" s="29"/>
      <c r="H1256" s="78" t="str">
        <f t="shared" si="196"/>
        <v/>
      </c>
      <c r="I1256" s="25"/>
      <c r="J1256" s="25"/>
      <c r="K1256" s="26"/>
      <c r="L1256" s="26"/>
      <c r="M1256" s="37"/>
      <c r="N1256" s="27"/>
      <c r="O1256" s="30"/>
      <c r="P1256" s="39" t="str">
        <f t="shared" si="197"/>
        <v/>
      </c>
      <c r="Q1256" s="40" t="str">
        <f>IF(OR(T1256=0,RIGHT(T1256,1)=$W$1),"",COUNTIF($T$3:T1256,T1256))</f>
        <v/>
      </c>
      <c r="S1256" s="6">
        <f t="shared" si="198"/>
        <v>0</v>
      </c>
      <c r="T1256" s="36">
        <f t="shared" si="199"/>
        <v>0</v>
      </c>
      <c r="V1256" s="6">
        <f t="shared" si="200"/>
        <v>0</v>
      </c>
      <c r="Y1256" s="8">
        <f t="shared" si="201"/>
        <v>46023</v>
      </c>
    </row>
    <row r="1257" spans="2:25" ht="18.75" x14ac:dyDescent="0.3">
      <c r="B1257" s="6">
        <f t="shared" si="193"/>
        <v>0</v>
      </c>
      <c r="C1257" s="6">
        <f t="shared" si="194"/>
        <v>0</v>
      </c>
      <c r="D1257" s="6" t="str">
        <f t="shared" si="195"/>
        <v/>
      </c>
      <c r="E1257" s="35" t="str">
        <f t="shared" si="192"/>
        <v/>
      </c>
      <c r="F1257" s="31"/>
      <c r="G1257" s="29"/>
      <c r="H1257" s="78" t="str">
        <f t="shared" si="196"/>
        <v/>
      </c>
      <c r="I1257" s="25"/>
      <c r="J1257" s="25"/>
      <c r="K1257" s="26"/>
      <c r="L1257" s="26"/>
      <c r="M1257" s="37"/>
      <c r="N1257" s="27"/>
      <c r="O1257" s="30"/>
      <c r="P1257" s="39" t="str">
        <f t="shared" si="197"/>
        <v/>
      </c>
      <c r="Q1257" s="40" t="str">
        <f>IF(OR(T1257=0,RIGHT(T1257,1)=$W$1),"",COUNTIF($T$3:T1257,T1257))</f>
        <v/>
      </c>
      <c r="S1257" s="6">
        <f t="shared" si="198"/>
        <v>0</v>
      </c>
      <c r="T1257" s="36">
        <f t="shared" si="199"/>
        <v>0</v>
      </c>
      <c r="V1257" s="6">
        <f t="shared" si="200"/>
        <v>0</v>
      </c>
      <c r="Y1257" s="8">
        <f t="shared" si="201"/>
        <v>46023</v>
      </c>
    </row>
    <row r="1258" spans="2:25" ht="18.75" x14ac:dyDescent="0.3">
      <c r="B1258" s="6">
        <f t="shared" si="193"/>
        <v>0</v>
      </c>
      <c r="C1258" s="6">
        <f t="shared" si="194"/>
        <v>0</v>
      </c>
      <c r="D1258" s="6" t="str">
        <f t="shared" si="195"/>
        <v/>
      </c>
      <c r="E1258" s="35" t="str">
        <f t="shared" si="192"/>
        <v/>
      </c>
      <c r="F1258" s="31"/>
      <c r="G1258" s="29"/>
      <c r="H1258" s="78" t="str">
        <f t="shared" si="196"/>
        <v/>
      </c>
      <c r="I1258" s="25"/>
      <c r="J1258" s="25"/>
      <c r="K1258" s="26"/>
      <c r="L1258" s="26"/>
      <c r="M1258" s="37"/>
      <c r="N1258" s="27"/>
      <c r="O1258" s="30"/>
      <c r="P1258" s="39" t="str">
        <f t="shared" si="197"/>
        <v/>
      </c>
      <c r="Q1258" s="40" t="str">
        <f>IF(OR(T1258=0,RIGHT(T1258,1)=$W$1),"",COUNTIF($T$3:T1258,T1258))</f>
        <v/>
      </c>
      <c r="S1258" s="6">
        <f t="shared" si="198"/>
        <v>0</v>
      </c>
      <c r="T1258" s="36">
        <f t="shared" si="199"/>
        <v>0</v>
      </c>
      <c r="V1258" s="6">
        <f t="shared" si="200"/>
        <v>0</v>
      </c>
      <c r="Y1258" s="8">
        <f t="shared" si="201"/>
        <v>46023</v>
      </c>
    </row>
    <row r="1259" spans="2:25" ht="18.75" x14ac:dyDescent="0.3">
      <c r="B1259" s="6">
        <f t="shared" si="193"/>
        <v>0</v>
      </c>
      <c r="C1259" s="6">
        <f t="shared" si="194"/>
        <v>0</v>
      </c>
      <c r="D1259" s="6" t="str">
        <f t="shared" si="195"/>
        <v/>
      </c>
      <c r="E1259" s="35" t="str">
        <f t="shared" si="192"/>
        <v/>
      </c>
      <c r="F1259" s="31"/>
      <c r="G1259" s="29"/>
      <c r="H1259" s="78" t="str">
        <f t="shared" si="196"/>
        <v/>
      </c>
      <c r="I1259" s="25"/>
      <c r="J1259" s="25"/>
      <c r="K1259" s="26"/>
      <c r="L1259" s="26"/>
      <c r="M1259" s="37"/>
      <c r="N1259" s="27"/>
      <c r="O1259" s="30"/>
      <c r="P1259" s="39" t="str">
        <f t="shared" si="197"/>
        <v/>
      </c>
      <c r="Q1259" s="40" t="str">
        <f>IF(OR(T1259=0,RIGHT(T1259,1)=$W$1),"",COUNTIF($T$3:T1259,T1259))</f>
        <v/>
      </c>
      <c r="S1259" s="6">
        <f t="shared" si="198"/>
        <v>0</v>
      </c>
      <c r="T1259" s="36">
        <f t="shared" si="199"/>
        <v>0</v>
      </c>
      <c r="V1259" s="6">
        <f t="shared" si="200"/>
        <v>0</v>
      </c>
      <c r="Y1259" s="8">
        <f t="shared" si="201"/>
        <v>46023</v>
      </c>
    </row>
    <row r="1260" spans="2:25" ht="18.75" x14ac:dyDescent="0.3">
      <c r="B1260" s="6">
        <f t="shared" si="193"/>
        <v>0</v>
      </c>
      <c r="C1260" s="6">
        <f t="shared" si="194"/>
        <v>0</v>
      </c>
      <c r="D1260" s="6" t="str">
        <f t="shared" si="195"/>
        <v/>
      </c>
      <c r="E1260" s="35" t="str">
        <f t="shared" si="192"/>
        <v/>
      </c>
      <c r="F1260" s="31"/>
      <c r="G1260" s="29"/>
      <c r="H1260" s="78" t="str">
        <f t="shared" si="196"/>
        <v/>
      </c>
      <c r="I1260" s="25"/>
      <c r="J1260" s="25"/>
      <c r="K1260" s="26"/>
      <c r="L1260" s="26"/>
      <c r="M1260" s="37"/>
      <c r="N1260" s="27"/>
      <c r="O1260" s="30"/>
      <c r="P1260" s="39" t="str">
        <f t="shared" si="197"/>
        <v/>
      </c>
      <c r="Q1260" s="40" t="str">
        <f>IF(OR(T1260=0,RIGHT(T1260,1)=$W$1),"",COUNTIF($T$3:T1260,T1260))</f>
        <v/>
      </c>
      <c r="S1260" s="6">
        <f t="shared" si="198"/>
        <v>0</v>
      </c>
      <c r="T1260" s="36">
        <f t="shared" si="199"/>
        <v>0</v>
      </c>
      <c r="V1260" s="6">
        <f t="shared" si="200"/>
        <v>0</v>
      </c>
      <c r="Y1260" s="8">
        <f t="shared" si="201"/>
        <v>46023</v>
      </c>
    </row>
    <row r="1261" spans="2:25" ht="18.75" x14ac:dyDescent="0.3">
      <c r="B1261" s="6">
        <f t="shared" si="193"/>
        <v>0</v>
      </c>
      <c r="C1261" s="6">
        <f t="shared" si="194"/>
        <v>0</v>
      </c>
      <c r="D1261" s="6" t="str">
        <f t="shared" si="195"/>
        <v/>
      </c>
      <c r="E1261" s="35" t="str">
        <f t="shared" si="192"/>
        <v/>
      </c>
      <c r="F1261" s="31"/>
      <c r="G1261" s="29"/>
      <c r="H1261" s="78" t="str">
        <f t="shared" si="196"/>
        <v/>
      </c>
      <c r="I1261" s="25"/>
      <c r="J1261" s="25"/>
      <c r="K1261" s="26"/>
      <c r="L1261" s="26"/>
      <c r="M1261" s="37"/>
      <c r="N1261" s="27"/>
      <c r="O1261" s="30"/>
      <c r="P1261" s="39" t="str">
        <f t="shared" si="197"/>
        <v/>
      </c>
      <c r="Q1261" s="40" t="str">
        <f>IF(OR(T1261=0,RIGHT(T1261,1)=$W$1),"",COUNTIF($T$3:T1261,T1261))</f>
        <v/>
      </c>
      <c r="S1261" s="6">
        <f t="shared" si="198"/>
        <v>0</v>
      </c>
      <c r="T1261" s="36">
        <f t="shared" si="199"/>
        <v>0</v>
      </c>
      <c r="V1261" s="6">
        <f t="shared" si="200"/>
        <v>0</v>
      </c>
      <c r="Y1261" s="8">
        <f t="shared" si="201"/>
        <v>46023</v>
      </c>
    </row>
    <row r="1262" spans="2:25" ht="18.75" x14ac:dyDescent="0.3">
      <c r="B1262" s="6">
        <f t="shared" si="193"/>
        <v>0</v>
      </c>
      <c r="C1262" s="6">
        <f t="shared" si="194"/>
        <v>0</v>
      </c>
      <c r="D1262" s="6" t="str">
        <f t="shared" si="195"/>
        <v/>
      </c>
      <c r="E1262" s="35" t="str">
        <f t="shared" si="192"/>
        <v/>
      </c>
      <c r="F1262" s="31"/>
      <c r="G1262" s="29"/>
      <c r="H1262" s="78" t="str">
        <f t="shared" si="196"/>
        <v/>
      </c>
      <c r="I1262" s="25"/>
      <c r="J1262" s="25"/>
      <c r="K1262" s="26"/>
      <c r="L1262" s="26"/>
      <c r="M1262" s="37"/>
      <c r="N1262" s="27"/>
      <c r="O1262" s="30"/>
      <c r="P1262" s="39" t="str">
        <f t="shared" si="197"/>
        <v/>
      </c>
      <c r="Q1262" s="40" t="str">
        <f>IF(OR(T1262=0,RIGHT(T1262,1)=$W$1),"",COUNTIF($T$3:T1262,T1262))</f>
        <v/>
      </c>
      <c r="S1262" s="6">
        <f t="shared" si="198"/>
        <v>0</v>
      </c>
      <c r="T1262" s="36">
        <f t="shared" si="199"/>
        <v>0</v>
      </c>
      <c r="V1262" s="6">
        <f t="shared" si="200"/>
        <v>0</v>
      </c>
      <c r="Y1262" s="8">
        <f t="shared" si="201"/>
        <v>46023</v>
      </c>
    </row>
    <row r="1263" spans="2:25" ht="18.75" x14ac:dyDescent="0.3">
      <c r="B1263" s="6">
        <f t="shared" si="193"/>
        <v>0</v>
      </c>
      <c r="C1263" s="6">
        <f t="shared" si="194"/>
        <v>0</v>
      </c>
      <c r="D1263" s="6" t="str">
        <f t="shared" si="195"/>
        <v/>
      </c>
      <c r="E1263" s="35" t="str">
        <f t="shared" si="192"/>
        <v/>
      </c>
      <c r="F1263" s="31"/>
      <c r="G1263" s="29"/>
      <c r="H1263" s="78" t="str">
        <f t="shared" si="196"/>
        <v/>
      </c>
      <c r="I1263" s="25"/>
      <c r="J1263" s="25"/>
      <c r="K1263" s="26"/>
      <c r="L1263" s="26"/>
      <c r="M1263" s="37"/>
      <c r="N1263" s="27"/>
      <c r="O1263" s="30"/>
      <c r="P1263" s="39" t="str">
        <f t="shared" si="197"/>
        <v/>
      </c>
      <c r="Q1263" s="40" t="str">
        <f>IF(OR(T1263=0,RIGHT(T1263,1)=$W$1),"",COUNTIF($T$3:T1263,T1263))</f>
        <v/>
      </c>
      <c r="S1263" s="6">
        <f t="shared" si="198"/>
        <v>0</v>
      </c>
      <c r="T1263" s="36">
        <f t="shared" si="199"/>
        <v>0</v>
      </c>
      <c r="V1263" s="6">
        <f t="shared" si="200"/>
        <v>0</v>
      </c>
      <c r="Y1263" s="8">
        <f t="shared" si="201"/>
        <v>46023</v>
      </c>
    </row>
    <row r="1264" spans="2:25" ht="18.75" x14ac:dyDescent="0.3">
      <c r="B1264" s="6">
        <f t="shared" si="193"/>
        <v>0</v>
      </c>
      <c r="C1264" s="6">
        <f t="shared" si="194"/>
        <v>0</v>
      </c>
      <c r="D1264" s="6" t="str">
        <f t="shared" si="195"/>
        <v/>
      </c>
      <c r="E1264" s="35" t="str">
        <f t="shared" si="192"/>
        <v/>
      </c>
      <c r="F1264" s="31"/>
      <c r="G1264" s="29"/>
      <c r="H1264" s="78" t="str">
        <f t="shared" si="196"/>
        <v/>
      </c>
      <c r="I1264" s="25"/>
      <c r="J1264" s="25"/>
      <c r="K1264" s="26"/>
      <c r="L1264" s="26"/>
      <c r="M1264" s="37"/>
      <c r="N1264" s="27"/>
      <c r="O1264" s="30"/>
      <c r="P1264" s="39" t="str">
        <f t="shared" si="197"/>
        <v/>
      </c>
      <c r="Q1264" s="40" t="str">
        <f>IF(OR(T1264=0,RIGHT(T1264,1)=$W$1),"",COUNTIF($T$3:T1264,T1264))</f>
        <v/>
      </c>
      <c r="S1264" s="6">
        <f t="shared" si="198"/>
        <v>0</v>
      </c>
      <c r="T1264" s="36">
        <f t="shared" si="199"/>
        <v>0</v>
      </c>
      <c r="V1264" s="6">
        <f t="shared" si="200"/>
        <v>0</v>
      </c>
      <c r="Y1264" s="8">
        <f t="shared" si="201"/>
        <v>46023</v>
      </c>
    </row>
    <row r="1265" spans="2:25" ht="18.75" x14ac:dyDescent="0.3">
      <c r="B1265" s="6">
        <f t="shared" si="193"/>
        <v>0</v>
      </c>
      <c r="C1265" s="6">
        <f t="shared" si="194"/>
        <v>0</v>
      </c>
      <c r="D1265" s="6" t="str">
        <f t="shared" si="195"/>
        <v/>
      </c>
      <c r="E1265" s="35" t="str">
        <f t="shared" si="192"/>
        <v/>
      </c>
      <c r="F1265" s="31"/>
      <c r="G1265" s="29"/>
      <c r="H1265" s="78" t="str">
        <f t="shared" si="196"/>
        <v/>
      </c>
      <c r="I1265" s="25"/>
      <c r="J1265" s="25"/>
      <c r="K1265" s="26"/>
      <c r="L1265" s="26"/>
      <c r="M1265" s="37"/>
      <c r="N1265" s="27"/>
      <c r="O1265" s="30"/>
      <c r="P1265" s="39" t="str">
        <f t="shared" si="197"/>
        <v/>
      </c>
      <c r="Q1265" s="40" t="str">
        <f>IF(OR(T1265=0,RIGHT(T1265,1)=$W$1),"",COUNTIF($T$3:T1265,T1265))</f>
        <v/>
      </c>
      <c r="S1265" s="6">
        <f t="shared" si="198"/>
        <v>0</v>
      </c>
      <c r="T1265" s="36">
        <f t="shared" si="199"/>
        <v>0</v>
      </c>
      <c r="V1265" s="6">
        <f t="shared" si="200"/>
        <v>0</v>
      </c>
      <c r="Y1265" s="8">
        <f t="shared" si="201"/>
        <v>46023</v>
      </c>
    </row>
    <row r="1266" spans="2:25" ht="18.75" x14ac:dyDescent="0.3">
      <c r="B1266" s="6">
        <f t="shared" si="193"/>
        <v>0</v>
      </c>
      <c r="C1266" s="6">
        <f t="shared" si="194"/>
        <v>0</v>
      </c>
      <c r="D1266" s="6" t="str">
        <f t="shared" si="195"/>
        <v/>
      </c>
      <c r="E1266" s="35" t="str">
        <f t="shared" si="192"/>
        <v/>
      </c>
      <c r="F1266" s="31"/>
      <c r="G1266" s="29"/>
      <c r="H1266" s="78" t="str">
        <f t="shared" si="196"/>
        <v/>
      </c>
      <c r="I1266" s="25"/>
      <c r="J1266" s="25"/>
      <c r="K1266" s="26"/>
      <c r="L1266" s="26"/>
      <c r="M1266" s="37"/>
      <c r="N1266" s="27"/>
      <c r="O1266" s="30"/>
      <c r="P1266" s="39" t="str">
        <f t="shared" si="197"/>
        <v/>
      </c>
      <c r="Q1266" s="40" t="str">
        <f>IF(OR(T1266=0,RIGHT(T1266,1)=$W$1),"",COUNTIF($T$3:T1266,T1266))</f>
        <v/>
      </c>
      <c r="S1266" s="6">
        <f t="shared" si="198"/>
        <v>0</v>
      </c>
      <c r="T1266" s="36">
        <f t="shared" si="199"/>
        <v>0</v>
      </c>
      <c r="V1266" s="6">
        <f t="shared" si="200"/>
        <v>0</v>
      </c>
      <c r="Y1266" s="8">
        <f t="shared" si="201"/>
        <v>46023</v>
      </c>
    </row>
    <row r="1267" spans="2:25" ht="18.75" x14ac:dyDescent="0.3">
      <c r="B1267" s="6">
        <f t="shared" si="193"/>
        <v>0</v>
      </c>
      <c r="C1267" s="6">
        <f t="shared" si="194"/>
        <v>0</v>
      </c>
      <c r="D1267" s="6" t="str">
        <f t="shared" si="195"/>
        <v/>
      </c>
      <c r="E1267" s="35" t="str">
        <f t="shared" si="192"/>
        <v/>
      </c>
      <c r="F1267" s="31"/>
      <c r="G1267" s="29"/>
      <c r="H1267" s="78" t="str">
        <f t="shared" si="196"/>
        <v/>
      </c>
      <c r="I1267" s="25"/>
      <c r="J1267" s="25"/>
      <c r="K1267" s="26"/>
      <c r="L1267" s="26"/>
      <c r="M1267" s="37"/>
      <c r="N1267" s="27"/>
      <c r="O1267" s="30"/>
      <c r="P1267" s="39" t="str">
        <f t="shared" si="197"/>
        <v/>
      </c>
      <c r="Q1267" s="40" t="str">
        <f>IF(OR(T1267=0,RIGHT(T1267,1)=$W$1),"",COUNTIF($T$3:T1267,T1267))</f>
        <v/>
      </c>
      <c r="S1267" s="6">
        <f t="shared" si="198"/>
        <v>0</v>
      </c>
      <c r="T1267" s="36">
        <f t="shared" si="199"/>
        <v>0</v>
      </c>
      <c r="V1267" s="6">
        <f t="shared" si="200"/>
        <v>0</v>
      </c>
      <c r="Y1267" s="8">
        <f t="shared" si="201"/>
        <v>46023</v>
      </c>
    </row>
    <row r="1268" spans="2:25" ht="18.75" x14ac:dyDescent="0.3">
      <c r="B1268" s="6">
        <f t="shared" si="193"/>
        <v>0</v>
      </c>
      <c r="C1268" s="6">
        <f t="shared" si="194"/>
        <v>0</v>
      </c>
      <c r="D1268" s="6" t="str">
        <f t="shared" si="195"/>
        <v/>
      </c>
      <c r="E1268" s="35" t="str">
        <f t="shared" si="192"/>
        <v/>
      </c>
      <c r="F1268" s="31"/>
      <c r="G1268" s="29"/>
      <c r="H1268" s="78" t="str">
        <f t="shared" si="196"/>
        <v/>
      </c>
      <c r="I1268" s="25"/>
      <c r="J1268" s="25"/>
      <c r="K1268" s="26"/>
      <c r="L1268" s="26"/>
      <c r="M1268" s="37"/>
      <c r="N1268" s="27"/>
      <c r="O1268" s="30"/>
      <c r="P1268" s="39" t="str">
        <f t="shared" si="197"/>
        <v/>
      </c>
      <c r="Q1268" s="40" t="str">
        <f>IF(OR(T1268=0,RIGHT(T1268,1)=$W$1),"",COUNTIF($T$3:T1268,T1268))</f>
        <v/>
      </c>
      <c r="S1268" s="6">
        <f t="shared" si="198"/>
        <v>0</v>
      </c>
      <c r="T1268" s="36">
        <f t="shared" si="199"/>
        <v>0</v>
      </c>
      <c r="V1268" s="6">
        <f t="shared" si="200"/>
        <v>0</v>
      </c>
      <c r="Y1268" s="8">
        <f t="shared" si="201"/>
        <v>46023</v>
      </c>
    </row>
    <row r="1269" spans="2:25" ht="18.75" x14ac:dyDescent="0.3">
      <c r="B1269" s="6">
        <f t="shared" si="193"/>
        <v>0</v>
      </c>
      <c r="C1269" s="6">
        <f t="shared" si="194"/>
        <v>0</v>
      </c>
      <c r="D1269" s="6" t="str">
        <f t="shared" si="195"/>
        <v/>
      </c>
      <c r="E1269" s="35" t="str">
        <f t="shared" si="192"/>
        <v/>
      </c>
      <c r="F1269" s="31"/>
      <c r="G1269" s="29"/>
      <c r="H1269" s="78" t="str">
        <f t="shared" si="196"/>
        <v/>
      </c>
      <c r="I1269" s="25"/>
      <c r="J1269" s="25"/>
      <c r="K1269" s="26"/>
      <c r="L1269" s="26"/>
      <c r="M1269" s="37"/>
      <c r="N1269" s="27"/>
      <c r="O1269" s="30"/>
      <c r="P1269" s="39" t="str">
        <f t="shared" si="197"/>
        <v/>
      </c>
      <c r="Q1269" s="40" t="str">
        <f>IF(OR(T1269=0,RIGHT(T1269,1)=$W$1),"",COUNTIF($T$3:T1269,T1269))</f>
        <v/>
      </c>
      <c r="S1269" s="6">
        <f t="shared" si="198"/>
        <v>0</v>
      </c>
      <c r="T1269" s="36">
        <f t="shared" si="199"/>
        <v>0</v>
      </c>
      <c r="V1269" s="6">
        <f t="shared" si="200"/>
        <v>0</v>
      </c>
      <c r="Y1269" s="8">
        <f t="shared" si="201"/>
        <v>46023</v>
      </c>
    </row>
    <row r="1270" spans="2:25" ht="18.75" x14ac:dyDescent="0.3">
      <c r="B1270" s="6">
        <f t="shared" si="193"/>
        <v>0</v>
      </c>
      <c r="C1270" s="6">
        <f t="shared" si="194"/>
        <v>0</v>
      </c>
      <c r="D1270" s="6" t="str">
        <f t="shared" si="195"/>
        <v/>
      </c>
      <c r="E1270" s="35" t="str">
        <f t="shared" si="192"/>
        <v/>
      </c>
      <c r="F1270" s="31"/>
      <c r="G1270" s="29"/>
      <c r="H1270" s="78" t="str">
        <f t="shared" si="196"/>
        <v/>
      </c>
      <c r="I1270" s="25"/>
      <c r="J1270" s="25"/>
      <c r="K1270" s="26"/>
      <c r="L1270" s="26"/>
      <c r="M1270" s="37"/>
      <c r="N1270" s="27"/>
      <c r="O1270" s="30"/>
      <c r="P1270" s="39" t="str">
        <f t="shared" si="197"/>
        <v/>
      </c>
      <c r="Q1270" s="40" t="str">
        <f>IF(OR(T1270=0,RIGHT(T1270,1)=$W$1),"",COUNTIF($T$3:T1270,T1270))</f>
        <v/>
      </c>
      <c r="S1270" s="6">
        <f t="shared" si="198"/>
        <v>0</v>
      </c>
      <c r="T1270" s="36">
        <f t="shared" si="199"/>
        <v>0</v>
      </c>
      <c r="V1270" s="6">
        <f t="shared" si="200"/>
        <v>0</v>
      </c>
      <c r="Y1270" s="8">
        <f t="shared" si="201"/>
        <v>46023</v>
      </c>
    </row>
    <row r="1271" spans="2:25" ht="18.75" x14ac:dyDescent="0.3">
      <c r="B1271" s="6">
        <f t="shared" si="193"/>
        <v>0</v>
      </c>
      <c r="C1271" s="6">
        <f t="shared" si="194"/>
        <v>0</v>
      </c>
      <c r="D1271" s="6" t="str">
        <f t="shared" si="195"/>
        <v/>
      </c>
      <c r="E1271" s="35" t="str">
        <f t="shared" si="192"/>
        <v/>
      </c>
      <c r="F1271" s="31"/>
      <c r="G1271" s="29"/>
      <c r="H1271" s="78" t="str">
        <f t="shared" si="196"/>
        <v/>
      </c>
      <c r="I1271" s="25"/>
      <c r="J1271" s="25"/>
      <c r="K1271" s="26"/>
      <c r="L1271" s="26"/>
      <c r="M1271" s="37"/>
      <c r="N1271" s="27"/>
      <c r="O1271" s="30"/>
      <c r="P1271" s="39" t="str">
        <f t="shared" si="197"/>
        <v/>
      </c>
      <c r="Q1271" s="40" t="str">
        <f>IF(OR(T1271=0,RIGHT(T1271,1)=$W$1),"",COUNTIF($T$3:T1271,T1271))</f>
        <v/>
      </c>
      <c r="S1271" s="6">
        <f t="shared" si="198"/>
        <v>0</v>
      </c>
      <c r="T1271" s="36">
        <f t="shared" si="199"/>
        <v>0</v>
      </c>
      <c r="V1271" s="6">
        <f t="shared" si="200"/>
        <v>0</v>
      </c>
      <c r="Y1271" s="8">
        <f t="shared" si="201"/>
        <v>46023</v>
      </c>
    </row>
    <row r="1272" spans="2:25" ht="18.75" x14ac:dyDescent="0.3">
      <c r="B1272" s="6">
        <f t="shared" si="193"/>
        <v>0</v>
      </c>
      <c r="C1272" s="6">
        <f t="shared" si="194"/>
        <v>0</v>
      </c>
      <c r="D1272" s="6" t="str">
        <f t="shared" si="195"/>
        <v/>
      </c>
      <c r="E1272" s="35" t="str">
        <f t="shared" si="192"/>
        <v/>
      </c>
      <c r="F1272" s="31"/>
      <c r="G1272" s="29"/>
      <c r="H1272" s="78" t="str">
        <f t="shared" si="196"/>
        <v/>
      </c>
      <c r="I1272" s="25"/>
      <c r="J1272" s="25"/>
      <c r="K1272" s="26"/>
      <c r="L1272" s="26"/>
      <c r="M1272" s="37"/>
      <c r="N1272" s="27"/>
      <c r="O1272" s="30"/>
      <c r="P1272" s="39" t="str">
        <f t="shared" si="197"/>
        <v/>
      </c>
      <c r="Q1272" s="40" t="str">
        <f>IF(OR(T1272=0,RIGHT(T1272,1)=$W$1),"",COUNTIF($T$3:T1272,T1272))</f>
        <v/>
      </c>
      <c r="S1272" s="6">
        <f t="shared" si="198"/>
        <v>0</v>
      </c>
      <c r="T1272" s="36">
        <f t="shared" si="199"/>
        <v>0</v>
      </c>
      <c r="V1272" s="6">
        <f t="shared" si="200"/>
        <v>0</v>
      </c>
      <c r="Y1272" s="8">
        <f t="shared" si="201"/>
        <v>46023</v>
      </c>
    </row>
    <row r="1273" spans="2:25" ht="18.75" x14ac:dyDescent="0.3">
      <c r="B1273" s="6">
        <f t="shared" si="193"/>
        <v>0</v>
      </c>
      <c r="C1273" s="6">
        <f t="shared" si="194"/>
        <v>0</v>
      </c>
      <c r="D1273" s="6" t="str">
        <f t="shared" si="195"/>
        <v/>
      </c>
      <c r="E1273" s="35" t="str">
        <f t="shared" si="192"/>
        <v/>
      </c>
      <c r="F1273" s="31"/>
      <c r="G1273" s="29"/>
      <c r="H1273" s="78" t="str">
        <f t="shared" si="196"/>
        <v/>
      </c>
      <c r="I1273" s="25"/>
      <c r="J1273" s="25"/>
      <c r="K1273" s="26"/>
      <c r="L1273" s="26"/>
      <c r="M1273" s="37"/>
      <c r="N1273" s="27"/>
      <c r="O1273" s="30"/>
      <c r="P1273" s="39" t="str">
        <f t="shared" si="197"/>
        <v/>
      </c>
      <c r="Q1273" s="40" t="str">
        <f>IF(OR(T1273=0,RIGHT(T1273,1)=$W$1),"",COUNTIF($T$3:T1273,T1273))</f>
        <v/>
      </c>
      <c r="S1273" s="6">
        <f t="shared" si="198"/>
        <v>0</v>
      </c>
      <c r="T1273" s="36">
        <f t="shared" si="199"/>
        <v>0</v>
      </c>
      <c r="V1273" s="6">
        <f t="shared" si="200"/>
        <v>0</v>
      </c>
      <c r="Y1273" s="8">
        <f t="shared" si="201"/>
        <v>46023</v>
      </c>
    </row>
    <row r="1274" spans="2:25" ht="18.75" x14ac:dyDescent="0.3">
      <c r="B1274" s="6">
        <f t="shared" si="193"/>
        <v>0</v>
      </c>
      <c r="C1274" s="6">
        <f t="shared" si="194"/>
        <v>0</v>
      </c>
      <c r="D1274" s="6" t="str">
        <f t="shared" si="195"/>
        <v/>
      </c>
      <c r="E1274" s="35" t="str">
        <f t="shared" si="192"/>
        <v/>
      </c>
      <c r="F1274" s="31"/>
      <c r="G1274" s="29"/>
      <c r="H1274" s="78" t="str">
        <f t="shared" si="196"/>
        <v/>
      </c>
      <c r="I1274" s="25"/>
      <c r="J1274" s="25"/>
      <c r="K1274" s="26"/>
      <c r="L1274" s="26"/>
      <c r="M1274" s="37"/>
      <c r="N1274" s="27"/>
      <c r="O1274" s="30"/>
      <c r="P1274" s="39" t="str">
        <f t="shared" si="197"/>
        <v/>
      </c>
      <c r="Q1274" s="40" t="str">
        <f>IF(OR(T1274=0,RIGHT(T1274,1)=$W$1),"",COUNTIF($T$3:T1274,T1274))</f>
        <v/>
      </c>
      <c r="S1274" s="6">
        <f t="shared" si="198"/>
        <v>0</v>
      </c>
      <c r="T1274" s="36">
        <f t="shared" si="199"/>
        <v>0</v>
      </c>
      <c r="V1274" s="6">
        <f t="shared" si="200"/>
        <v>0</v>
      </c>
      <c r="Y1274" s="8">
        <f t="shared" si="201"/>
        <v>46023</v>
      </c>
    </row>
    <row r="1275" spans="2:25" ht="18.75" x14ac:dyDescent="0.3">
      <c r="B1275" s="6">
        <f t="shared" si="193"/>
        <v>0</v>
      </c>
      <c r="C1275" s="6">
        <f t="shared" si="194"/>
        <v>0</v>
      </c>
      <c r="D1275" s="6" t="str">
        <f t="shared" si="195"/>
        <v/>
      </c>
      <c r="E1275" s="35" t="str">
        <f t="shared" si="192"/>
        <v/>
      </c>
      <c r="F1275" s="31"/>
      <c r="G1275" s="29"/>
      <c r="H1275" s="78" t="str">
        <f t="shared" si="196"/>
        <v/>
      </c>
      <c r="I1275" s="25"/>
      <c r="J1275" s="25"/>
      <c r="K1275" s="26"/>
      <c r="L1275" s="26"/>
      <c r="M1275" s="37"/>
      <c r="N1275" s="27"/>
      <c r="O1275" s="30"/>
      <c r="P1275" s="39" t="str">
        <f t="shared" si="197"/>
        <v/>
      </c>
      <c r="Q1275" s="40" t="str">
        <f>IF(OR(T1275=0,RIGHT(T1275,1)=$W$1),"",COUNTIF($T$3:T1275,T1275))</f>
        <v/>
      </c>
      <c r="S1275" s="6">
        <f t="shared" si="198"/>
        <v>0</v>
      </c>
      <c r="T1275" s="36">
        <f t="shared" si="199"/>
        <v>0</v>
      </c>
      <c r="V1275" s="6">
        <f t="shared" si="200"/>
        <v>0</v>
      </c>
      <c r="Y1275" s="8">
        <f t="shared" si="201"/>
        <v>46023</v>
      </c>
    </row>
    <row r="1276" spans="2:25" ht="18.75" x14ac:dyDescent="0.3">
      <c r="B1276" s="6">
        <f t="shared" si="193"/>
        <v>0</v>
      </c>
      <c r="C1276" s="6">
        <f t="shared" si="194"/>
        <v>0</v>
      </c>
      <c r="D1276" s="6" t="str">
        <f t="shared" si="195"/>
        <v/>
      </c>
      <c r="E1276" s="35" t="str">
        <f t="shared" si="192"/>
        <v/>
      </c>
      <c r="F1276" s="31"/>
      <c r="G1276" s="29"/>
      <c r="H1276" s="78" t="str">
        <f t="shared" si="196"/>
        <v/>
      </c>
      <c r="I1276" s="25"/>
      <c r="J1276" s="25"/>
      <c r="K1276" s="26"/>
      <c r="L1276" s="26"/>
      <c r="M1276" s="37"/>
      <c r="N1276" s="27"/>
      <c r="O1276" s="30"/>
      <c r="P1276" s="39" t="str">
        <f t="shared" si="197"/>
        <v/>
      </c>
      <c r="Q1276" s="40" t="str">
        <f>IF(OR(T1276=0,RIGHT(T1276,1)=$W$1),"",COUNTIF($T$3:T1276,T1276))</f>
        <v/>
      </c>
      <c r="S1276" s="6">
        <f t="shared" si="198"/>
        <v>0</v>
      </c>
      <c r="T1276" s="36">
        <f t="shared" si="199"/>
        <v>0</v>
      </c>
      <c r="V1276" s="6">
        <f t="shared" si="200"/>
        <v>0</v>
      </c>
      <c r="Y1276" s="8">
        <f t="shared" si="201"/>
        <v>46023</v>
      </c>
    </row>
    <row r="1277" spans="2:25" ht="18.75" x14ac:dyDescent="0.3">
      <c r="B1277" s="6">
        <f t="shared" si="193"/>
        <v>0</v>
      </c>
      <c r="C1277" s="6">
        <f t="shared" si="194"/>
        <v>0</v>
      </c>
      <c r="D1277" s="6" t="str">
        <f t="shared" si="195"/>
        <v/>
      </c>
      <c r="E1277" s="35" t="str">
        <f t="shared" si="192"/>
        <v/>
      </c>
      <c r="F1277" s="31"/>
      <c r="G1277" s="29"/>
      <c r="H1277" s="78" t="str">
        <f t="shared" si="196"/>
        <v/>
      </c>
      <c r="I1277" s="25"/>
      <c r="J1277" s="25"/>
      <c r="K1277" s="26"/>
      <c r="L1277" s="26"/>
      <c r="M1277" s="37"/>
      <c r="N1277" s="27"/>
      <c r="O1277" s="30"/>
      <c r="P1277" s="39" t="str">
        <f t="shared" si="197"/>
        <v/>
      </c>
      <c r="Q1277" s="40" t="str">
        <f>IF(OR(T1277=0,RIGHT(T1277,1)=$W$1),"",COUNTIF($T$3:T1277,T1277))</f>
        <v/>
      </c>
      <c r="S1277" s="6">
        <f t="shared" si="198"/>
        <v>0</v>
      </c>
      <c r="T1277" s="36">
        <f t="shared" si="199"/>
        <v>0</v>
      </c>
      <c r="V1277" s="6">
        <f t="shared" si="200"/>
        <v>0</v>
      </c>
      <c r="Y1277" s="8">
        <f t="shared" si="201"/>
        <v>46023</v>
      </c>
    </row>
    <row r="1278" spans="2:25" ht="18.75" x14ac:dyDescent="0.3">
      <c r="B1278" s="6">
        <f t="shared" si="193"/>
        <v>0</v>
      </c>
      <c r="C1278" s="6">
        <f t="shared" si="194"/>
        <v>0</v>
      </c>
      <c r="D1278" s="6" t="str">
        <f t="shared" si="195"/>
        <v/>
      </c>
      <c r="E1278" s="35" t="str">
        <f t="shared" si="192"/>
        <v/>
      </c>
      <c r="F1278" s="31"/>
      <c r="G1278" s="29"/>
      <c r="H1278" s="78" t="str">
        <f t="shared" si="196"/>
        <v/>
      </c>
      <c r="I1278" s="25"/>
      <c r="J1278" s="25"/>
      <c r="K1278" s="26"/>
      <c r="L1278" s="26"/>
      <c r="M1278" s="37"/>
      <c r="N1278" s="27"/>
      <c r="O1278" s="30"/>
      <c r="P1278" s="39" t="str">
        <f t="shared" si="197"/>
        <v/>
      </c>
      <c r="Q1278" s="40" t="str">
        <f>IF(OR(T1278=0,RIGHT(T1278,1)=$W$1),"",COUNTIF($T$3:T1278,T1278))</f>
        <v/>
      </c>
      <c r="S1278" s="6">
        <f t="shared" si="198"/>
        <v>0</v>
      </c>
      <c r="T1278" s="36">
        <f t="shared" si="199"/>
        <v>0</v>
      </c>
      <c r="V1278" s="6">
        <f t="shared" si="200"/>
        <v>0</v>
      </c>
      <c r="Y1278" s="8">
        <f t="shared" si="201"/>
        <v>46023</v>
      </c>
    </row>
    <row r="1279" spans="2:25" ht="18.75" x14ac:dyDescent="0.3">
      <c r="B1279" s="6">
        <f t="shared" si="193"/>
        <v>0</v>
      </c>
      <c r="C1279" s="6">
        <f t="shared" si="194"/>
        <v>0</v>
      </c>
      <c r="D1279" s="6" t="str">
        <f t="shared" si="195"/>
        <v/>
      </c>
      <c r="E1279" s="35" t="str">
        <f t="shared" si="192"/>
        <v/>
      </c>
      <c r="F1279" s="31"/>
      <c r="G1279" s="29"/>
      <c r="H1279" s="78" t="str">
        <f t="shared" si="196"/>
        <v/>
      </c>
      <c r="I1279" s="25"/>
      <c r="J1279" s="25"/>
      <c r="K1279" s="26"/>
      <c r="L1279" s="26"/>
      <c r="M1279" s="37"/>
      <c r="N1279" s="27"/>
      <c r="O1279" s="30"/>
      <c r="P1279" s="39" t="str">
        <f t="shared" si="197"/>
        <v/>
      </c>
      <c r="Q1279" s="40" t="str">
        <f>IF(OR(T1279=0,RIGHT(T1279,1)=$W$1),"",COUNTIF($T$3:T1279,T1279))</f>
        <v/>
      </c>
      <c r="S1279" s="6">
        <f t="shared" si="198"/>
        <v>0</v>
      </c>
      <c r="T1279" s="36">
        <f t="shared" si="199"/>
        <v>0</v>
      </c>
      <c r="V1279" s="6">
        <f t="shared" si="200"/>
        <v>0</v>
      </c>
      <c r="Y1279" s="8">
        <f t="shared" si="201"/>
        <v>46023</v>
      </c>
    </row>
    <row r="1280" spans="2:25" ht="18.75" x14ac:dyDescent="0.3">
      <c r="B1280" s="6">
        <f t="shared" si="193"/>
        <v>0</v>
      </c>
      <c r="C1280" s="6">
        <f t="shared" si="194"/>
        <v>0</v>
      </c>
      <c r="D1280" s="6" t="str">
        <f t="shared" si="195"/>
        <v/>
      </c>
      <c r="E1280" s="35" t="str">
        <f t="shared" si="192"/>
        <v/>
      </c>
      <c r="F1280" s="31"/>
      <c r="G1280" s="29"/>
      <c r="H1280" s="78" t="str">
        <f t="shared" si="196"/>
        <v/>
      </c>
      <c r="I1280" s="25"/>
      <c r="J1280" s="25"/>
      <c r="K1280" s="26"/>
      <c r="L1280" s="26"/>
      <c r="M1280" s="37"/>
      <c r="N1280" s="27"/>
      <c r="O1280" s="30"/>
      <c r="P1280" s="39" t="str">
        <f t="shared" si="197"/>
        <v/>
      </c>
      <c r="Q1280" s="40" t="str">
        <f>IF(OR(T1280=0,RIGHT(T1280,1)=$W$1),"",COUNTIF($T$3:T1280,T1280))</f>
        <v/>
      </c>
      <c r="S1280" s="6">
        <f t="shared" si="198"/>
        <v>0</v>
      </c>
      <c r="T1280" s="36">
        <f t="shared" si="199"/>
        <v>0</v>
      </c>
      <c r="V1280" s="6">
        <f t="shared" si="200"/>
        <v>0</v>
      </c>
      <c r="Y1280" s="8">
        <f t="shared" si="201"/>
        <v>46023</v>
      </c>
    </row>
    <row r="1281" spans="2:25" ht="18.75" x14ac:dyDescent="0.3">
      <c r="B1281" s="6">
        <f t="shared" si="193"/>
        <v>0</v>
      </c>
      <c r="C1281" s="6">
        <f t="shared" si="194"/>
        <v>0</v>
      </c>
      <c r="D1281" s="6" t="str">
        <f t="shared" si="195"/>
        <v/>
      </c>
      <c r="E1281" s="35" t="str">
        <f t="shared" si="192"/>
        <v/>
      </c>
      <c r="F1281" s="31"/>
      <c r="G1281" s="29"/>
      <c r="H1281" s="78" t="str">
        <f t="shared" si="196"/>
        <v/>
      </c>
      <c r="I1281" s="25"/>
      <c r="J1281" s="25"/>
      <c r="K1281" s="26"/>
      <c r="L1281" s="26"/>
      <c r="M1281" s="37"/>
      <c r="N1281" s="27"/>
      <c r="O1281" s="30"/>
      <c r="P1281" s="39" t="str">
        <f t="shared" si="197"/>
        <v/>
      </c>
      <c r="Q1281" s="40" t="str">
        <f>IF(OR(T1281=0,RIGHT(T1281,1)=$W$1),"",COUNTIF($T$3:T1281,T1281))</f>
        <v/>
      </c>
      <c r="S1281" s="6">
        <f t="shared" si="198"/>
        <v>0</v>
      </c>
      <c r="T1281" s="36">
        <f t="shared" si="199"/>
        <v>0</v>
      </c>
      <c r="V1281" s="6">
        <f t="shared" si="200"/>
        <v>0</v>
      </c>
      <c r="Y1281" s="8">
        <f t="shared" si="201"/>
        <v>46023</v>
      </c>
    </row>
    <row r="1282" spans="2:25" ht="18.75" x14ac:dyDescent="0.3">
      <c r="B1282" s="6">
        <f t="shared" si="193"/>
        <v>0</v>
      </c>
      <c r="C1282" s="6">
        <f t="shared" si="194"/>
        <v>0</v>
      </c>
      <c r="D1282" s="6" t="str">
        <f t="shared" si="195"/>
        <v/>
      </c>
      <c r="E1282" s="35" t="str">
        <f t="shared" si="192"/>
        <v/>
      </c>
      <c r="F1282" s="31"/>
      <c r="G1282" s="29"/>
      <c r="H1282" s="78" t="str">
        <f t="shared" si="196"/>
        <v/>
      </c>
      <c r="I1282" s="25"/>
      <c r="J1282" s="25"/>
      <c r="K1282" s="26"/>
      <c r="L1282" s="26"/>
      <c r="M1282" s="37"/>
      <c r="N1282" s="27"/>
      <c r="O1282" s="30"/>
      <c r="P1282" s="39" t="str">
        <f t="shared" si="197"/>
        <v/>
      </c>
      <c r="Q1282" s="40" t="str">
        <f>IF(OR(T1282=0,RIGHT(T1282,1)=$W$1),"",COUNTIF($T$3:T1282,T1282))</f>
        <v/>
      </c>
      <c r="S1282" s="6">
        <f t="shared" si="198"/>
        <v>0</v>
      </c>
      <c r="T1282" s="36">
        <f t="shared" si="199"/>
        <v>0</v>
      </c>
      <c r="V1282" s="6">
        <f t="shared" si="200"/>
        <v>0</v>
      </c>
      <c r="Y1282" s="8">
        <f t="shared" si="201"/>
        <v>46023</v>
      </c>
    </row>
    <row r="1283" spans="2:25" ht="18.75" x14ac:dyDescent="0.3">
      <c r="B1283" s="6">
        <f t="shared" si="193"/>
        <v>0</v>
      </c>
      <c r="C1283" s="6">
        <f t="shared" si="194"/>
        <v>0</v>
      </c>
      <c r="D1283" s="6" t="str">
        <f t="shared" si="195"/>
        <v/>
      </c>
      <c r="E1283" s="35" t="str">
        <f t="shared" ref="E1283:E1346" si="202">IF(D1283&lt;&gt;"",D1283&amp;" - "&amp;YEAR(F1283),"")</f>
        <v/>
      </c>
      <c r="F1283" s="31"/>
      <c r="G1283" s="29"/>
      <c r="H1283" s="78" t="str">
        <f t="shared" si="196"/>
        <v/>
      </c>
      <c r="I1283" s="25"/>
      <c r="J1283" s="25"/>
      <c r="K1283" s="26"/>
      <c r="L1283" s="26"/>
      <c r="M1283" s="37"/>
      <c r="N1283" s="27"/>
      <c r="O1283" s="30"/>
      <c r="P1283" s="39" t="str">
        <f t="shared" si="197"/>
        <v/>
      </c>
      <c r="Q1283" s="40" t="str">
        <f>IF(OR(T1283=0,RIGHT(T1283,1)=$W$1),"",COUNTIF($T$3:T1283,T1283))</f>
        <v/>
      </c>
      <c r="S1283" s="6">
        <f t="shared" si="198"/>
        <v>0</v>
      </c>
      <c r="T1283" s="36">
        <f t="shared" si="199"/>
        <v>0</v>
      </c>
      <c r="V1283" s="6">
        <f t="shared" si="200"/>
        <v>0</v>
      </c>
      <c r="Y1283" s="8">
        <f t="shared" si="201"/>
        <v>46023</v>
      </c>
    </row>
    <row r="1284" spans="2:25" ht="18.75" x14ac:dyDescent="0.3">
      <c r="B1284" s="6">
        <f t="shared" ref="B1284:B1347" si="203">IF($B$1=YEAR(F1284),B1283+1,B1283)</f>
        <v>0</v>
      </c>
      <c r="C1284" s="6">
        <f t="shared" ref="C1284:C1347" si="204">IF(AND($C$1=K1284,$Y$1=YEAR(F1284)),C1283+1,C1283)</f>
        <v>0</v>
      </c>
      <c r="D1284" s="6" t="str">
        <f t="shared" ref="D1284:D1347" si="205">IF(F1284&lt;&gt;0,IF(YEAR(F1284)&lt;&gt;YEAR(F1283),1,IF(M1284=$AI$1,D1283,D1283+1)),"")</f>
        <v/>
      </c>
      <c r="E1284" s="35" t="str">
        <f t="shared" si="202"/>
        <v/>
      </c>
      <c r="F1284" s="31"/>
      <c r="G1284" s="29"/>
      <c r="H1284" s="78" t="str">
        <f t="shared" ref="H1284:H1347" si="206">IF(G1284&lt;&gt;"",F1284,"")</f>
        <v/>
      </c>
      <c r="I1284" s="25"/>
      <c r="J1284" s="25"/>
      <c r="K1284" s="26"/>
      <c r="L1284" s="26"/>
      <c r="M1284" s="37"/>
      <c r="N1284" s="27"/>
      <c r="O1284" s="30"/>
      <c r="P1284" s="39" t="str">
        <f t="shared" ref="P1284:P1347" si="207">IF(OR(T1284=0,RIGHT(T1284,1)=$W$1),"",VLOOKUP(K1284,$AD$1:$AK$15,5,FALSE))</f>
        <v/>
      </c>
      <c r="Q1284" s="40" t="str">
        <f>IF(OR(T1284=0,RIGHT(T1284,1)=$W$1),"",COUNTIF($T$3:T1284,T1284))</f>
        <v/>
      </c>
      <c r="S1284" s="6">
        <f t="shared" ref="S1284:S1347" si="208">IF(AND($C$1=K1284,$Y$1=YEAR(F1284)),C1284,0)</f>
        <v>0</v>
      </c>
      <c r="T1284" s="36">
        <f t="shared" ref="T1284:T1347" si="209">IF(F1284=0,0,YEAR(F1284)&amp;VLOOKUP(K1284,$AD$1:$AE$15,2,FALSE))</f>
        <v>0</v>
      </c>
      <c r="V1284" s="6">
        <f t="shared" ref="V1284:V1347" si="210">IF(AND(YEAR(F1284)=$Y$1,K1284=$C$1,L1284&amp;$V$1&lt;&gt;$V$1),L1284,IF(AND(YEAR(F1284)=$Y$1,K1284=$C$1),1,0))</f>
        <v>0</v>
      </c>
      <c r="Y1284" s="8">
        <f t="shared" ref="Y1284:Y1347" si="211">IF(M1284&lt;&gt;$AI$1,$Y$2,F1283)</f>
        <v>46023</v>
      </c>
    </row>
    <row r="1285" spans="2:25" ht="18.75" x14ac:dyDescent="0.3">
      <c r="B1285" s="6">
        <f t="shared" si="203"/>
        <v>0</v>
      </c>
      <c r="C1285" s="6">
        <f t="shared" si="204"/>
        <v>0</v>
      </c>
      <c r="D1285" s="6" t="str">
        <f t="shared" si="205"/>
        <v/>
      </c>
      <c r="E1285" s="35" t="str">
        <f t="shared" si="202"/>
        <v/>
      </c>
      <c r="F1285" s="31"/>
      <c r="G1285" s="29"/>
      <c r="H1285" s="78" t="str">
        <f t="shared" si="206"/>
        <v/>
      </c>
      <c r="I1285" s="25"/>
      <c r="J1285" s="25"/>
      <c r="K1285" s="26"/>
      <c r="L1285" s="26"/>
      <c r="M1285" s="37"/>
      <c r="N1285" s="27"/>
      <c r="O1285" s="30"/>
      <c r="P1285" s="39" t="str">
        <f t="shared" si="207"/>
        <v/>
      </c>
      <c r="Q1285" s="40" t="str">
        <f>IF(OR(T1285=0,RIGHT(T1285,1)=$W$1),"",COUNTIF($T$3:T1285,T1285))</f>
        <v/>
      </c>
      <c r="S1285" s="6">
        <f t="shared" si="208"/>
        <v>0</v>
      </c>
      <c r="T1285" s="36">
        <f t="shared" si="209"/>
        <v>0</v>
      </c>
      <c r="V1285" s="6">
        <f t="shared" si="210"/>
        <v>0</v>
      </c>
      <c r="Y1285" s="8">
        <f t="shared" si="211"/>
        <v>46023</v>
      </c>
    </row>
    <row r="1286" spans="2:25" ht="18.75" x14ac:dyDescent="0.3">
      <c r="B1286" s="6">
        <f t="shared" si="203"/>
        <v>0</v>
      </c>
      <c r="C1286" s="6">
        <f t="shared" si="204"/>
        <v>0</v>
      </c>
      <c r="D1286" s="6" t="str">
        <f t="shared" si="205"/>
        <v/>
      </c>
      <c r="E1286" s="35" t="str">
        <f t="shared" si="202"/>
        <v/>
      </c>
      <c r="F1286" s="31"/>
      <c r="G1286" s="29"/>
      <c r="H1286" s="78" t="str">
        <f t="shared" si="206"/>
        <v/>
      </c>
      <c r="I1286" s="25"/>
      <c r="J1286" s="25"/>
      <c r="K1286" s="26"/>
      <c r="L1286" s="26"/>
      <c r="M1286" s="37"/>
      <c r="N1286" s="27"/>
      <c r="O1286" s="30"/>
      <c r="P1286" s="39" t="str">
        <f t="shared" si="207"/>
        <v/>
      </c>
      <c r="Q1286" s="40" t="str">
        <f>IF(OR(T1286=0,RIGHT(T1286,1)=$W$1),"",COUNTIF($T$3:T1286,T1286))</f>
        <v/>
      </c>
      <c r="S1286" s="6">
        <f t="shared" si="208"/>
        <v>0</v>
      </c>
      <c r="T1286" s="36">
        <f t="shared" si="209"/>
        <v>0</v>
      </c>
      <c r="V1286" s="6">
        <f t="shared" si="210"/>
        <v>0</v>
      </c>
      <c r="Y1286" s="8">
        <f t="shared" si="211"/>
        <v>46023</v>
      </c>
    </row>
    <row r="1287" spans="2:25" ht="18.75" x14ac:dyDescent="0.3">
      <c r="B1287" s="6">
        <f t="shared" si="203"/>
        <v>0</v>
      </c>
      <c r="C1287" s="6">
        <f t="shared" si="204"/>
        <v>0</v>
      </c>
      <c r="D1287" s="6" t="str">
        <f t="shared" si="205"/>
        <v/>
      </c>
      <c r="E1287" s="35" t="str">
        <f t="shared" si="202"/>
        <v/>
      </c>
      <c r="F1287" s="31"/>
      <c r="G1287" s="29"/>
      <c r="H1287" s="78" t="str">
        <f t="shared" si="206"/>
        <v/>
      </c>
      <c r="I1287" s="25"/>
      <c r="J1287" s="25"/>
      <c r="K1287" s="26"/>
      <c r="L1287" s="26"/>
      <c r="M1287" s="37"/>
      <c r="N1287" s="27"/>
      <c r="O1287" s="30"/>
      <c r="P1287" s="39" t="str">
        <f t="shared" si="207"/>
        <v/>
      </c>
      <c r="Q1287" s="40" t="str">
        <f>IF(OR(T1287=0,RIGHT(T1287,1)=$W$1),"",COUNTIF($T$3:T1287,T1287))</f>
        <v/>
      </c>
      <c r="S1287" s="6">
        <f t="shared" si="208"/>
        <v>0</v>
      </c>
      <c r="T1287" s="36">
        <f t="shared" si="209"/>
        <v>0</v>
      </c>
      <c r="V1287" s="6">
        <f t="shared" si="210"/>
        <v>0</v>
      </c>
      <c r="Y1287" s="8">
        <f t="shared" si="211"/>
        <v>46023</v>
      </c>
    </row>
    <row r="1288" spans="2:25" ht="18.75" x14ac:dyDescent="0.3">
      <c r="B1288" s="6">
        <f t="shared" si="203"/>
        <v>0</v>
      </c>
      <c r="C1288" s="6">
        <f t="shared" si="204"/>
        <v>0</v>
      </c>
      <c r="D1288" s="6" t="str">
        <f t="shared" si="205"/>
        <v/>
      </c>
      <c r="E1288" s="35" t="str">
        <f t="shared" si="202"/>
        <v/>
      </c>
      <c r="F1288" s="31"/>
      <c r="G1288" s="29"/>
      <c r="H1288" s="78" t="str">
        <f t="shared" si="206"/>
        <v/>
      </c>
      <c r="I1288" s="25"/>
      <c r="J1288" s="25"/>
      <c r="K1288" s="26"/>
      <c r="L1288" s="26"/>
      <c r="M1288" s="37"/>
      <c r="N1288" s="27"/>
      <c r="O1288" s="30"/>
      <c r="P1288" s="39" t="str">
        <f t="shared" si="207"/>
        <v/>
      </c>
      <c r="Q1288" s="40" t="str">
        <f>IF(OR(T1288=0,RIGHT(T1288,1)=$W$1),"",COUNTIF($T$3:T1288,T1288))</f>
        <v/>
      </c>
      <c r="S1288" s="6">
        <f t="shared" si="208"/>
        <v>0</v>
      </c>
      <c r="T1288" s="36">
        <f t="shared" si="209"/>
        <v>0</v>
      </c>
      <c r="V1288" s="6">
        <f t="shared" si="210"/>
        <v>0</v>
      </c>
      <c r="Y1288" s="8">
        <f t="shared" si="211"/>
        <v>46023</v>
      </c>
    </row>
    <row r="1289" spans="2:25" ht="18.75" x14ac:dyDescent="0.3">
      <c r="B1289" s="6">
        <f t="shared" si="203"/>
        <v>0</v>
      </c>
      <c r="C1289" s="6">
        <f t="shared" si="204"/>
        <v>0</v>
      </c>
      <c r="D1289" s="6" t="str">
        <f t="shared" si="205"/>
        <v/>
      </c>
      <c r="E1289" s="35" t="str">
        <f t="shared" si="202"/>
        <v/>
      </c>
      <c r="F1289" s="31"/>
      <c r="G1289" s="29"/>
      <c r="H1289" s="78" t="str">
        <f t="shared" si="206"/>
        <v/>
      </c>
      <c r="I1289" s="25"/>
      <c r="J1289" s="25"/>
      <c r="K1289" s="26"/>
      <c r="L1289" s="26"/>
      <c r="M1289" s="37"/>
      <c r="N1289" s="27"/>
      <c r="O1289" s="30"/>
      <c r="P1289" s="39" t="str">
        <f t="shared" si="207"/>
        <v/>
      </c>
      <c r="Q1289" s="40" t="str">
        <f>IF(OR(T1289=0,RIGHT(T1289,1)=$W$1),"",COUNTIF($T$3:T1289,T1289))</f>
        <v/>
      </c>
      <c r="S1289" s="6">
        <f t="shared" si="208"/>
        <v>0</v>
      </c>
      <c r="T1289" s="36">
        <f t="shared" si="209"/>
        <v>0</v>
      </c>
      <c r="V1289" s="6">
        <f t="shared" si="210"/>
        <v>0</v>
      </c>
      <c r="Y1289" s="8">
        <f t="shared" si="211"/>
        <v>46023</v>
      </c>
    </row>
    <row r="1290" spans="2:25" ht="18.75" x14ac:dyDescent="0.3">
      <c r="B1290" s="6">
        <f t="shared" si="203"/>
        <v>0</v>
      </c>
      <c r="C1290" s="6">
        <f t="shared" si="204"/>
        <v>0</v>
      </c>
      <c r="D1290" s="6" t="str">
        <f t="shared" si="205"/>
        <v/>
      </c>
      <c r="E1290" s="35" t="str">
        <f t="shared" si="202"/>
        <v/>
      </c>
      <c r="F1290" s="31"/>
      <c r="G1290" s="29"/>
      <c r="H1290" s="78" t="str">
        <f t="shared" si="206"/>
        <v/>
      </c>
      <c r="I1290" s="25"/>
      <c r="J1290" s="25"/>
      <c r="K1290" s="26"/>
      <c r="L1290" s="26"/>
      <c r="M1290" s="37"/>
      <c r="N1290" s="27"/>
      <c r="O1290" s="30"/>
      <c r="P1290" s="39" t="str">
        <f t="shared" si="207"/>
        <v/>
      </c>
      <c r="Q1290" s="40" t="str">
        <f>IF(OR(T1290=0,RIGHT(T1290,1)=$W$1),"",COUNTIF($T$3:T1290,T1290))</f>
        <v/>
      </c>
      <c r="S1290" s="6">
        <f t="shared" si="208"/>
        <v>0</v>
      </c>
      <c r="T1290" s="36">
        <f t="shared" si="209"/>
        <v>0</v>
      </c>
      <c r="V1290" s="6">
        <f t="shared" si="210"/>
        <v>0</v>
      </c>
      <c r="Y1290" s="8">
        <f t="shared" si="211"/>
        <v>46023</v>
      </c>
    </row>
    <row r="1291" spans="2:25" ht="18.75" x14ac:dyDescent="0.3">
      <c r="B1291" s="6">
        <f t="shared" si="203"/>
        <v>0</v>
      </c>
      <c r="C1291" s="6">
        <f t="shared" si="204"/>
        <v>0</v>
      </c>
      <c r="D1291" s="6" t="str">
        <f t="shared" si="205"/>
        <v/>
      </c>
      <c r="E1291" s="35" t="str">
        <f t="shared" si="202"/>
        <v/>
      </c>
      <c r="F1291" s="31"/>
      <c r="G1291" s="29"/>
      <c r="H1291" s="78" t="str">
        <f t="shared" si="206"/>
        <v/>
      </c>
      <c r="I1291" s="25"/>
      <c r="J1291" s="25"/>
      <c r="K1291" s="26"/>
      <c r="L1291" s="26"/>
      <c r="M1291" s="37"/>
      <c r="N1291" s="27"/>
      <c r="O1291" s="30"/>
      <c r="P1291" s="39" t="str">
        <f t="shared" si="207"/>
        <v/>
      </c>
      <c r="Q1291" s="40" t="str">
        <f>IF(OR(T1291=0,RIGHT(T1291,1)=$W$1),"",COUNTIF($T$3:T1291,T1291))</f>
        <v/>
      </c>
      <c r="S1291" s="6">
        <f t="shared" si="208"/>
        <v>0</v>
      </c>
      <c r="T1291" s="36">
        <f t="shared" si="209"/>
        <v>0</v>
      </c>
      <c r="V1291" s="6">
        <f t="shared" si="210"/>
        <v>0</v>
      </c>
      <c r="Y1291" s="8">
        <f t="shared" si="211"/>
        <v>46023</v>
      </c>
    </row>
    <row r="1292" spans="2:25" ht="18.75" x14ac:dyDescent="0.3">
      <c r="B1292" s="6">
        <f t="shared" si="203"/>
        <v>0</v>
      </c>
      <c r="C1292" s="6">
        <f t="shared" si="204"/>
        <v>0</v>
      </c>
      <c r="D1292" s="6" t="str">
        <f t="shared" si="205"/>
        <v/>
      </c>
      <c r="E1292" s="35" t="str">
        <f t="shared" si="202"/>
        <v/>
      </c>
      <c r="F1292" s="31"/>
      <c r="G1292" s="29"/>
      <c r="H1292" s="78" t="str">
        <f t="shared" si="206"/>
        <v/>
      </c>
      <c r="I1292" s="25"/>
      <c r="J1292" s="25"/>
      <c r="K1292" s="26"/>
      <c r="L1292" s="26"/>
      <c r="M1292" s="37"/>
      <c r="N1292" s="27"/>
      <c r="O1292" s="30"/>
      <c r="P1292" s="39" t="str">
        <f t="shared" si="207"/>
        <v/>
      </c>
      <c r="Q1292" s="40" t="str">
        <f>IF(OR(T1292=0,RIGHT(T1292,1)=$W$1),"",COUNTIF($T$3:T1292,T1292))</f>
        <v/>
      </c>
      <c r="S1292" s="6">
        <f t="shared" si="208"/>
        <v>0</v>
      </c>
      <c r="T1292" s="36">
        <f t="shared" si="209"/>
        <v>0</v>
      </c>
      <c r="V1292" s="6">
        <f t="shared" si="210"/>
        <v>0</v>
      </c>
      <c r="Y1292" s="8">
        <f t="shared" si="211"/>
        <v>46023</v>
      </c>
    </row>
    <row r="1293" spans="2:25" ht="18.75" x14ac:dyDescent="0.3">
      <c r="B1293" s="6">
        <f t="shared" si="203"/>
        <v>0</v>
      </c>
      <c r="C1293" s="6">
        <f t="shared" si="204"/>
        <v>0</v>
      </c>
      <c r="D1293" s="6" t="str">
        <f t="shared" si="205"/>
        <v/>
      </c>
      <c r="E1293" s="35" t="str">
        <f t="shared" si="202"/>
        <v/>
      </c>
      <c r="F1293" s="31"/>
      <c r="G1293" s="29"/>
      <c r="H1293" s="78" t="str">
        <f t="shared" si="206"/>
        <v/>
      </c>
      <c r="I1293" s="25"/>
      <c r="J1293" s="25"/>
      <c r="K1293" s="26"/>
      <c r="L1293" s="26"/>
      <c r="M1293" s="37"/>
      <c r="N1293" s="27"/>
      <c r="O1293" s="30"/>
      <c r="P1293" s="39" t="str">
        <f t="shared" si="207"/>
        <v/>
      </c>
      <c r="Q1293" s="40" t="str">
        <f>IF(OR(T1293=0,RIGHT(T1293,1)=$W$1),"",COUNTIF($T$3:T1293,T1293))</f>
        <v/>
      </c>
      <c r="S1293" s="6">
        <f t="shared" si="208"/>
        <v>0</v>
      </c>
      <c r="T1293" s="36">
        <f t="shared" si="209"/>
        <v>0</v>
      </c>
      <c r="V1293" s="6">
        <f t="shared" si="210"/>
        <v>0</v>
      </c>
      <c r="Y1293" s="8">
        <f t="shared" si="211"/>
        <v>46023</v>
      </c>
    </row>
    <row r="1294" spans="2:25" ht="18.75" x14ac:dyDescent="0.3">
      <c r="B1294" s="6">
        <f t="shared" si="203"/>
        <v>0</v>
      </c>
      <c r="C1294" s="6">
        <f t="shared" si="204"/>
        <v>0</v>
      </c>
      <c r="D1294" s="6" t="str">
        <f t="shared" si="205"/>
        <v/>
      </c>
      <c r="E1294" s="35" t="str">
        <f t="shared" si="202"/>
        <v/>
      </c>
      <c r="F1294" s="31"/>
      <c r="G1294" s="29"/>
      <c r="H1294" s="78" t="str">
        <f t="shared" si="206"/>
        <v/>
      </c>
      <c r="I1294" s="25"/>
      <c r="J1294" s="25"/>
      <c r="K1294" s="26"/>
      <c r="L1294" s="26"/>
      <c r="M1294" s="37"/>
      <c r="N1294" s="27"/>
      <c r="O1294" s="30"/>
      <c r="P1294" s="39" t="str">
        <f t="shared" si="207"/>
        <v/>
      </c>
      <c r="Q1294" s="40" t="str">
        <f>IF(OR(T1294=0,RIGHT(T1294,1)=$W$1),"",COUNTIF($T$3:T1294,T1294))</f>
        <v/>
      </c>
      <c r="S1294" s="6">
        <f t="shared" si="208"/>
        <v>0</v>
      </c>
      <c r="T1294" s="36">
        <f t="shared" si="209"/>
        <v>0</v>
      </c>
      <c r="V1294" s="6">
        <f t="shared" si="210"/>
        <v>0</v>
      </c>
      <c r="Y1294" s="8">
        <f t="shared" si="211"/>
        <v>46023</v>
      </c>
    </row>
    <row r="1295" spans="2:25" ht="18.75" x14ac:dyDescent="0.3">
      <c r="B1295" s="6">
        <f t="shared" si="203"/>
        <v>0</v>
      </c>
      <c r="C1295" s="6">
        <f t="shared" si="204"/>
        <v>0</v>
      </c>
      <c r="D1295" s="6" t="str">
        <f t="shared" si="205"/>
        <v/>
      </c>
      <c r="E1295" s="35" t="str">
        <f t="shared" si="202"/>
        <v/>
      </c>
      <c r="F1295" s="31"/>
      <c r="G1295" s="29"/>
      <c r="H1295" s="78" t="str">
        <f t="shared" si="206"/>
        <v/>
      </c>
      <c r="I1295" s="25"/>
      <c r="J1295" s="25"/>
      <c r="K1295" s="26"/>
      <c r="L1295" s="26"/>
      <c r="M1295" s="37"/>
      <c r="N1295" s="27"/>
      <c r="O1295" s="30"/>
      <c r="P1295" s="39" t="str">
        <f t="shared" si="207"/>
        <v/>
      </c>
      <c r="Q1295" s="40" t="str">
        <f>IF(OR(T1295=0,RIGHT(T1295,1)=$W$1),"",COUNTIF($T$3:T1295,T1295))</f>
        <v/>
      </c>
      <c r="S1295" s="6">
        <f t="shared" si="208"/>
        <v>0</v>
      </c>
      <c r="T1295" s="36">
        <f t="shared" si="209"/>
        <v>0</v>
      </c>
      <c r="V1295" s="6">
        <f t="shared" si="210"/>
        <v>0</v>
      </c>
      <c r="Y1295" s="8">
        <f t="shared" si="211"/>
        <v>46023</v>
      </c>
    </row>
    <row r="1296" spans="2:25" ht="18.75" x14ac:dyDescent="0.3">
      <c r="B1296" s="6">
        <f t="shared" si="203"/>
        <v>0</v>
      </c>
      <c r="C1296" s="6">
        <f t="shared" si="204"/>
        <v>0</v>
      </c>
      <c r="D1296" s="6" t="str">
        <f t="shared" si="205"/>
        <v/>
      </c>
      <c r="E1296" s="35" t="str">
        <f t="shared" si="202"/>
        <v/>
      </c>
      <c r="F1296" s="31"/>
      <c r="G1296" s="29"/>
      <c r="H1296" s="78" t="str">
        <f t="shared" si="206"/>
        <v/>
      </c>
      <c r="I1296" s="25"/>
      <c r="J1296" s="25"/>
      <c r="K1296" s="26"/>
      <c r="L1296" s="26"/>
      <c r="M1296" s="37"/>
      <c r="N1296" s="27"/>
      <c r="O1296" s="30"/>
      <c r="P1296" s="39" t="str">
        <f t="shared" si="207"/>
        <v/>
      </c>
      <c r="Q1296" s="40" t="str">
        <f>IF(OR(T1296=0,RIGHT(T1296,1)=$W$1),"",COUNTIF($T$3:T1296,T1296))</f>
        <v/>
      </c>
      <c r="S1296" s="6">
        <f t="shared" si="208"/>
        <v>0</v>
      </c>
      <c r="T1296" s="36">
        <f t="shared" si="209"/>
        <v>0</v>
      </c>
      <c r="V1296" s="6">
        <f t="shared" si="210"/>
        <v>0</v>
      </c>
      <c r="Y1296" s="8">
        <f t="shared" si="211"/>
        <v>46023</v>
      </c>
    </row>
    <row r="1297" spans="2:25" ht="18.75" x14ac:dyDescent="0.3">
      <c r="B1297" s="6">
        <f t="shared" si="203"/>
        <v>0</v>
      </c>
      <c r="C1297" s="6">
        <f t="shared" si="204"/>
        <v>0</v>
      </c>
      <c r="D1297" s="6" t="str">
        <f t="shared" si="205"/>
        <v/>
      </c>
      <c r="E1297" s="35" t="str">
        <f t="shared" si="202"/>
        <v/>
      </c>
      <c r="F1297" s="31"/>
      <c r="G1297" s="29"/>
      <c r="H1297" s="78" t="str">
        <f t="shared" si="206"/>
        <v/>
      </c>
      <c r="I1297" s="25"/>
      <c r="J1297" s="25"/>
      <c r="K1297" s="26"/>
      <c r="L1297" s="26"/>
      <c r="M1297" s="37"/>
      <c r="N1297" s="27"/>
      <c r="O1297" s="30"/>
      <c r="P1297" s="39" t="str">
        <f t="shared" si="207"/>
        <v/>
      </c>
      <c r="Q1297" s="40" t="str">
        <f>IF(OR(T1297=0,RIGHT(T1297,1)=$W$1),"",COUNTIF($T$3:T1297,T1297))</f>
        <v/>
      </c>
      <c r="S1297" s="6">
        <f t="shared" si="208"/>
        <v>0</v>
      </c>
      <c r="T1297" s="36">
        <f t="shared" si="209"/>
        <v>0</v>
      </c>
      <c r="V1297" s="6">
        <f t="shared" si="210"/>
        <v>0</v>
      </c>
      <c r="Y1297" s="8">
        <f t="shared" si="211"/>
        <v>46023</v>
      </c>
    </row>
    <row r="1298" spans="2:25" ht="18.75" x14ac:dyDescent="0.3">
      <c r="B1298" s="6">
        <f t="shared" si="203"/>
        <v>0</v>
      </c>
      <c r="C1298" s="6">
        <f t="shared" si="204"/>
        <v>0</v>
      </c>
      <c r="D1298" s="6" t="str">
        <f t="shared" si="205"/>
        <v/>
      </c>
      <c r="E1298" s="35" t="str">
        <f t="shared" si="202"/>
        <v/>
      </c>
      <c r="F1298" s="31"/>
      <c r="G1298" s="29"/>
      <c r="H1298" s="78" t="str">
        <f t="shared" si="206"/>
        <v/>
      </c>
      <c r="I1298" s="25"/>
      <c r="J1298" s="25"/>
      <c r="K1298" s="26"/>
      <c r="L1298" s="26"/>
      <c r="M1298" s="37"/>
      <c r="N1298" s="27"/>
      <c r="O1298" s="30"/>
      <c r="P1298" s="39" t="str">
        <f t="shared" si="207"/>
        <v/>
      </c>
      <c r="Q1298" s="40" t="str">
        <f>IF(OR(T1298=0,RIGHT(T1298,1)=$W$1),"",COUNTIF($T$3:T1298,T1298))</f>
        <v/>
      </c>
      <c r="S1298" s="6">
        <f t="shared" si="208"/>
        <v>0</v>
      </c>
      <c r="T1298" s="36">
        <f t="shared" si="209"/>
        <v>0</v>
      </c>
      <c r="V1298" s="6">
        <f t="shared" si="210"/>
        <v>0</v>
      </c>
      <c r="Y1298" s="8">
        <f t="shared" si="211"/>
        <v>46023</v>
      </c>
    </row>
    <row r="1299" spans="2:25" ht="18.75" x14ac:dyDescent="0.3">
      <c r="B1299" s="6">
        <f t="shared" si="203"/>
        <v>0</v>
      </c>
      <c r="C1299" s="6">
        <f t="shared" si="204"/>
        <v>0</v>
      </c>
      <c r="D1299" s="6" t="str">
        <f t="shared" si="205"/>
        <v/>
      </c>
      <c r="E1299" s="35" t="str">
        <f t="shared" si="202"/>
        <v/>
      </c>
      <c r="F1299" s="31"/>
      <c r="G1299" s="29"/>
      <c r="H1299" s="78" t="str">
        <f t="shared" si="206"/>
        <v/>
      </c>
      <c r="I1299" s="25"/>
      <c r="J1299" s="25"/>
      <c r="K1299" s="26"/>
      <c r="L1299" s="26"/>
      <c r="M1299" s="37"/>
      <c r="N1299" s="27"/>
      <c r="O1299" s="30"/>
      <c r="P1299" s="39" t="str">
        <f t="shared" si="207"/>
        <v/>
      </c>
      <c r="Q1299" s="40" t="str">
        <f>IF(OR(T1299=0,RIGHT(T1299,1)=$W$1),"",COUNTIF($T$3:T1299,T1299))</f>
        <v/>
      </c>
      <c r="S1299" s="6">
        <f t="shared" si="208"/>
        <v>0</v>
      </c>
      <c r="T1299" s="36">
        <f t="shared" si="209"/>
        <v>0</v>
      </c>
      <c r="V1299" s="6">
        <f t="shared" si="210"/>
        <v>0</v>
      </c>
      <c r="Y1299" s="8">
        <f t="shared" si="211"/>
        <v>46023</v>
      </c>
    </row>
    <row r="1300" spans="2:25" ht="18.75" x14ac:dyDescent="0.3">
      <c r="B1300" s="6">
        <f t="shared" si="203"/>
        <v>0</v>
      </c>
      <c r="C1300" s="6">
        <f t="shared" si="204"/>
        <v>0</v>
      </c>
      <c r="D1300" s="6" t="str">
        <f t="shared" si="205"/>
        <v/>
      </c>
      <c r="E1300" s="35" t="str">
        <f t="shared" si="202"/>
        <v/>
      </c>
      <c r="F1300" s="31"/>
      <c r="G1300" s="29"/>
      <c r="H1300" s="78" t="str">
        <f t="shared" si="206"/>
        <v/>
      </c>
      <c r="I1300" s="25"/>
      <c r="J1300" s="25"/>
      <c r="K1300" s="26"/>
      <c r="L1300" s="26"/>
      <c r="M1300" s="37"/>
      <c r="N1300" s="27"/>
      <c r="O1300" s="30"/>
      <c r="P1300" s="39" t="str">
        <f t="shared" si="207"/>
        <v/>
      </c>
      <c r="Q1300" s="40" t="str">
        <f>IF(OR(T1300=0,RIGHT(T1300,1)=$W$1),"",COUNTIF($T$3:T1300,T1300))</f>
        <v/>
      </c>
      <c r="S1300" s="6">
        <f t="shared" si="208"/>
        <v>0</v>
      </c>
      <c r="T1300" s="36">
        <f t="shared" si="209"/>
        <v>0</v>
      </c>
      <c r="V1300" s="6">
        <f t="shared" si="210"/>
        <v>0</v>
      </c>
      <c r="Y1300" s="8">
        <f t="shared" si="211"/>
        <v>46023</v>
      </c>
    </row>
    <row r="1301" spans="2:25" ht="18.75" x14ac:dyDescent="0.3">
      <c r="B1301" s="6">
        <f t="shared" si="203"/>
        <v>0</v>
      </c>
      <c r="C1301" s="6">
        <f t="shared" si="204"/>
        <v>0</v>
      </c>
      <c r="D1301" s="6" t="str">
        <f t="shared" si="205"/>
        <v/>
      </c>
      <c r="E1301" s="35" t="str">
        <f t="shared" si="202"/>
        <v/>
      </c>
      <c r="F1301" s="31"/>
      <c r="G1301" s="29"/>
      <c r="H1301" s="78" t="str">
        <f t="shared" si="206"/>
        <v/>
      </c>
      <c r="I1301" s="25"/>
      <c r="J1301" s="25"/>
      <c r="K1301" s="26"/>
      <c r="L1301" s="26"/>
      <c r="M1301" s="37"/>
      <c r="N1301" s="27"/>
      <c r="O1301" s="30"/>
      <c r="P1301" s="39" t="str">
        <f t="shared" si="207"/>
        <v/>
      </c>
      <c r="Q1301" s="40" t="str">
        <f>IF(OR(T1301=0,RIGHT(T1301,1)=$W$1),"",COUNTIF($T$3:T1301,T1301))</f>
        <v/>
      </c>
      <c r="S1301" s="6">
        <f t="shared" si="208"/>
        <v>0</v>
      </c>
      <c r="T1301" s="36">
        <f t="shared" si="209"/>
        <v>0</v>
      </c>
      <c r="V1301" s="6">
        <f t="shared" si="210"/>
        <v>0</v>
      </c>
      <c r="Y1301" s="8">
        <f t="shared" si="211"/>
        <v>46023</v>
      </c>
    </row>
    <row r="1302" spans="2:25" ht="18.75" x14ac:dyDescent="0.3">
      <c r="B1302" s="6">
        <f t="shared" si="203"/>
        <v>0</v>
      </c>
      <c r="C1302" s="6">
        <f t="shared" si="204"/>
        <v>0</v>
      </c>
      <c r="D1302" s="6" t="str">
        <f t="shared" si="205"/>
        <v/>
      </c>
      <c r="E1302" s="35" t="str">
        <f t="shared" si="202"/>
        <v/>
      </c>
      <c r="F1302" s="31"/>
      <c r="G1302" s="29"/>
      <c r="H1302" s="78" t="str">
        <f t="shared" si="206"/>
        <v/>
      </c>
      <c r="I1302" s="25"/>
      <c r="J1302" s="25"/>
      <c r="K1302" s="26"/>
      <c r="L1302" s="26"/>
      <c r="M1302" s="37"/>
      <c r="N1302" s="27"/>
      <c r="O1302" s="30"/>
      <c r="P1302" s="39" t="str">
        <f t="shared" si="207"/>
        <v/>
      </c>
      <c r="Q1302" s="40" t="str">
        <f>IF(OR(T1302=0,RIGHT(T1302,1)=$W$1),"",COUNTIF($T$3:T1302,T1302))</f>
        <v/>
      </c>
      <c r="S1302" s="6">
        <f t="shared" si="208"/>
        <v>0</v>
      </c>
      <c r="T1302" s="36">
        <f t="shared" si="209"/>
        <v>0</v>
      </c>
      <c r="V1302" s="6">
        <f t="shared" si="210"/>
        <v>0</v>
      </c>
      <c r="Y1302" s="8">
        <f t="shared" si="211"/>
        <v>46023</v>
      </c>
    </row>
    <row r="1303" spans="2:25" ht="18.75" x14ac:dyDescent="0.3">
      <c r="B1303" s="6">
        <f t="shared" si="203"/>
        <v>0</v>
      </c>
      <c r="C1303" s="6">
        <f t="shared" si="204"/>
        <v>0</v>
      </c>
      <c r="D1303" s="6" t="str">
        <f t="shared" si="205"/>
        <v/>
      </c>
      <c r="E1303" s="35" t="str">
        <f t="shared" si="202"/>
        <v/>
      </c>
      <c r="F1303" s="31"/>
      <c r="G1303" s="29"/>
      <c r="H1303" s="78" t="str">
        <f t="shared" si="206"/>
        <v/>
      </c>
      <c r="I1303" s="25"/>
      <c r="J1303" s="25"/>
      <c r="K1303" s="26"/>
      <c r="L1303" s="26"/>
      <c r="M1303" s="37"/>
      <c r="N1303" s="27"/>
      <c r="O1303" s="30"/>
      <c r="P1303" s="39" t="str">
        <f t="shared" si="207"/>
        <v/>
      </c>
      <c r="Q1303" s="40" t="str">
        <f>IF(OR(T1303=0,RIGHT(T1303,1)=$W$1),"",COUNTIF($T$3:T1303,T1303))</f>
        <v/>
      </c>
      <c r="S1303" s="6">
        <f t="shared" si="208"/>
        <v>0</v>
      </c>
      <c r="T1303" s="36">
        <f t="shared" si="209"/>
        <v>0</v>
      </c>
      <c r="V1303" s="6">
        <f t="shared" si="210"/>
        <v>0</v>
      </c>
      <c r="Y1303" s="8">
        <f t="shared" si="211"/>
        <v>46023</v>
      </c>
    </row>
    <row r="1304" spans="2:25" ht="18.75" x14ac:dyDescent="0.3">
      <c r="B1304" s="6">
        <f t="shared" si="203"/>
        <v>0</v>
      </c>
      <c r="C1304" s="6">
        <f t="shared" si="204"/>
        <v>0</v>
      </c>
      <c r="D1304" s="6" t="str">
        <f t="shared" si="205"/>
        <v/>
      </c>
      <c r="E1304" s="35" t="str">
        <f t="shared" si="202"/>
        <v/>
      </c>
      <c r="F1304" s="31"/>
      <c r="G1304" s="29"/>
      <c r="H1304" s="78" t="str">
        <f t="shared" si="206"/>
        <v/>
      </c>
      <c r="I1304" s="25"/>
      <c r="J1304" s="25"/>
      <c r="K1304" s="26"/>
      <c r="L1304" s="26"/>
      <c r="M1304" s="37"/>
      <c r="N1304" s="27"/>
      <c r="O1304" s="30"/>
      <c r="P1304" s="39" t="str">
        <f t="shared" si="207"/>
        <v/>
      </c>
      <c r="Q1304" s="40" t="str">
        <f>IF(OR(T1304=0,RIGHT(T1304,1)=$W$1),"",COUNTIF($T$3:T1304,T1304))</f>
        <v/>
      </c>
      <c r="S1304" s="6">
        <f t="shared" si="208"/>
        <v>0</v>
      </c>
      <c r="T1304" s="36">
        <f t="shared" si="209"/>
        <v>0</v>
      </c>
      <c r="V1304" s="6">
        <f t="shared" si="210"/>
        <v>0</v>
      </c>
      <c r="Y1304" s="8">
        <f t="shared" si="211"/>
        <v>46023</v>
      </c>
    </row>
    <row r="1305" spans="2:25" ht="18.75" x14ac:dyDescent="0.3">
      <c r="B1305" s="6">
        <f t="shared" si="203"/>
        <v>0</v>
      </c>
      <c r="C1305" s="6">
        <f t="shared" si="204"/>
        <v>0</v>
      </c>
      <c r="D1305" s="6" t="str">
        <f t="shared" si="205"/>
        <v/>
      </c>
      <c r="E1305" s="35" t="str">
        <f t="shared" si="202"/>
        <v/>
      </c>
      <c r="F1305" s="31"/>
      <c r="G1305" s="29"/>
      <c r="H1305" s="78" t="str">
        <f t="shared" si="206"/>
        <v/>
      </c>
      <c r="I1305" s="25"/>
      <c r="J1305" s="25"/>
      <c r="K1305" s="26"/>
      <c r="L1305" s="26"/>
      <c r="M1305" s="37"/>
      <c r="N1305" s="27"/>
      <c r="O1305" s="30"/>
      <c r="P1305" s="39" t="str">
        <f t="shared" si="207"/>
        <v/>
      </c>
      <c r="Q1305" s="40" t="str">
        <f>IF(OR(T1305=0,RIGHT(T1305,1)=$W$1),"",COUNTIF($T$3:T1305,T1305))</f>
        <v/>
      </c>
      <c r="S1305" s="6">
        <f t="shared" si="208"/>
        <v>0</v>
      </c>
      <c r="T1305" s="36">
        <f t="shared" si="209"/>
        <v>0</v>
      </c>
      <c r="V1305" s="6">
        <f t="shared" si="210"/>
        <v>0</v>
      </c>
      <c r="Y1305" s="8">
        <f t="shared" si="211"/>
        <v>46023</v>
      </c>
    </row>
    <row r="1306" spans="2:25" ht="18.75" x14ac:dyDescent="0.3">
      <c r="B1306" s="6">
        <f t="shared" si="203"/>
        <v>0</v>
      </c>
      <c r="C1306" s="6">
        <f t="shared" si="204"/>
        <v>0</v>
      </c>
      <c r="D1306" s="6" t="str">
        <f t="shared" si="205"/>
        <v/>
      </c>
      <c r="E1306" s="35" t="str">
        <f t="shared" si="202"/>
        <v/>
      </c>
      <c r="F1306" s="31"/>
      <c r="G1306" s="29"/>
      <c r="H1306" s="78" t="str">
        <f t="shared" si="206"/>
        <v/>
      </c>
      <c r="I1306" s="25"/>
      <c r="J1306" s="25"/>
      <c r="K1306" s="26"/>
      <c r="L1306" s="26"/>
      <c r="M1306" s="37"/>
      <c r="N1306" s="27"/>
      <c r="O1306" s="30"/>
      <c r="P1306" s="39" t="str">
        <f t="shared" si="207"/>
        <v/>
      </c>
      <c r="Q1306" s="40" t="str">
        <f>IF(OR(T1306=0,RIGHT(T1306,1)=$W$1),"",COUNTIF($T$3:T1306,T1306))</f>
        <v/>
      </c>
      <c r="S1306" s="6">
        <f t="shared" si="208"/>
        <v>0</v>
      </c>
      <c r="T1306" s="36">
        <f t="shared" si="209"/>
        <v>0</v>
      </c>
      <c r="V1306" s="6">
        <f t="shared" si="210"/>
        <v>0</v>
      </c>
      <c r="Y1306" s="8">
        <f t="shared" si="211"/>
        <v>46023</v>
      </c>
    </row>
    <row r="1307" spans="2:25" ht="18.75" x14ac:dyDescent="0.3">
      <c r="B1307" s="6">
        <f t="shared" si="203"/>
        <v>0</v>
      </c>
      <c r="C1307" s="6">
        <f t="shared" si="204"/>
        <v>0</v>
      </c>
      <c r="D1307" s="6" t="str">
        <f t="shared" si="205"/>
        <v/>
      </c>
      <c r="E1307" s="35" t="str">
        <f t="shared" si="202"/>
        <v/>
      </c>
      <c r="F1307" s="31"/>
      <c r="G1307" s="29"/>
      <c r="H1307" s="78" t="str">
        <f t="shared" si="206"/>
        <v/>
      </c>
      <c r="I1307" s="25"/>
      <c r="J1307" s="25"/>
      <c r="K1307" s="26"/>
      <c r="L1307" s="26"/>
      <c r="M1307" s="37"/>
      <c r="N1307" s="27"/>
      <c r="O1307" s="30"/>
      <c r="P1307" s="39" t="str">
        <f t="shared" si="207"/>
        <v/>
      </c>
      <c r="Q1307" s="40" t="str">
        <f>IF(OR(T1307=0,RIGHT(T1307,1)=$W$1),"",COUNTIF($T$3:T1307,T1307))</f>
        <v/>
      </c>
      <c r="S1307" s="6">
        <f t="shared" si="208"/>
        <v>0</v>
      </c>
      <c r="T1307" s="36">
        <f t="shared" si="209"/>
        <v>0</v>
      </c>
      <c r="V1307" s="6">
        <f t="shared" si="210"/>
        <v>0</v>
      </c>
      <c r="Y1307" s="8">
        <f t="shared" si="211"/>
        <v>46023</v>
      </c>
    </row>
    <row r="1308" spans="2:25" ht="18.75" x14ac:dyDescent="0.3">
      <c r="B1308" s="6">
        <f t="shared" si="203"/>
        <v>0</v>
      </c>
      <c r="C1308" s="6">
        <f t="shared" si="204"/>
        <v>0</v>
      </c>
      <c r="D1308" s="6" t="str">
        <f t="shared" si="205"/>
        <v/>
      </c>
      <c r="E1308" s="35" t="str">
        <f t="shared" si="202"/>
        <v/>
      </c>
      <c r="F1308" s="31"/>
      <c r="G1308" s="29"/>
      <c r="H1308" s="78" t="str">
        <f t="shared" si="206"/>
        <v/>
      </c>
      <c r="I1308" s="25"/>
      <c r="J1308" s="25"/>
      <c r="K1308" s="26"/>
      <c r="L1308" s="26"/>
      <c r="M1308" s="37"/>
      <c r="N1308" s="27"/>
      <c r="O1308" s="30"/>
      <c r="P1308" s="39" t="str">
        <f t="shared" si="207"/>
        <v/>
      </c>
      <c r="Q1308" s="40" t="str">
        <f>IF(OR(T1308=0,RIGHT(T1308,1)=$W$1),"",COUNTIF($T$3:T1308,T1308))</f>
        <v/>
      </c>
      <c r="S1308" s="6">
        <f t="shared" si="208"/>
        <v>0</v>
      </c>
      <c r="T1308" s="36">
        <f t="shared" si="209"/>
        <v>0</v>
      </c>
      <c r="V1308" s="6">
        <f t="shared" si="210"/>
        <v>0</v>
      </c>
      <c r="Y1308" s="8">
        <f t="shared" si="211"/>
        <v>46023</v>
      </c>
    </row>
    <row r="1309" spans="2:25" ht="18.75" x14ac:dyDescent="0.3">
      <c r="B1309" s="6">
        <f t="shared" si="203"/>
        <v>0</v>
      </c>
      <c r="C1309" s="6">
        <f t="shared" si="204"/>
        <v>0</v>
      </c>
      <c r="D1309" s="6" t="str">
        <f t="shared" si="205"/>
        <v/>
      </c>
      <c r="E1309" s="35" t="str">
        <f t="shared" si="202"/>
        <v/>
      </c>
      <c r="F1309" s="31"/>
      <c r="G1309" s="29"/>
      <c r="H1309" s="78" t="str">
        <f t="shared" si="206"/>
        <v/>
      </c>
      <c r="I1309" s="25"/>
      <c r="J1309" s="25"/>
      <c r="K1309" s="26"/>
      <c r="L1309" s="26"/>
      <c r="M1309" s="37"/>
      <c r="N1309" s="27"/>
      <c r="O1309" s="30"/>
      <c r="P1309" s="39" t="str">
        <f t="shared" si="207"/>
        <v/>
      </c>
      <c r="Q1309" s="40" t="str">
        <f>IF(OR(T1309=0,RIGHT(T1309,1)=$W$1),"",COUNTIF($T$3:T1309,T1309))</f>
        <v/>
      </c>
      <c r="S1309" s="6">
        <f t="shared" si="208"/>
        <v>0</v>
      </c>
      <c r="T1309" s="36">
        <f t="shared" si="209"/>
        <v>0</v>
      </c>
      <c r="V1309" s="6">
        <f t="shared" si="210"/>
        <v>0</v>
      </c>
      <c r="Y1309" s="8">
        <f t="shared" si="211"/>
        <v>46023</v>
      </c>
    </row>
    <row r="1310" spans="2:25" ht="18.75" x14ac:dyDescent="0.3">
      <c r="B1310" s="6">
        <f t="shared" si="203"/>
        <v>0</v>
      </c>
      <c r="C1310" s="6">
        <f t="shared" si="204"/>
        <v>0</v>
      </c>
      <c r="D1310" s="6" t="str">
        <f t="shared" si="205"/>
        <v/>
      </c>
      <c r="E1310" s="35" t="str">
        <f t="shared" si="202"/>
        <v/>
      </c>
      <c r="F1310" s="31"/>
      <c r="G1310" s="29"/>
      <c r="H1310" s="78" t="str">
        <f t="shared" si="206"/>
        <v/>
      </c>
      <c r="I1310" s="25"/>
      <c r="J1310" s="25"/>
      <c r="K1310" s="26"/>
      <c r="L1310" s="26"/>
      <c r="M1310" s="37"/>
      <c r="N1310" s="27"/>
      <c r="O1310" s="30"/>
      <c r="P1310" s="39" t="str">
        <f t="shared" si="207"/>
        <v/>
      </c>
      <c r="Q1310" s="40" t="str">
        <f>IF(OR(T1310=0,RIGHT(T1310,1)=$W$1),"",COUNTIF($T$3:T1310,T1310))</f>
        <v/>
      </c>
      <c r="S1310" s="6">
        <f t="shared" si="208"/>
        <v>0</v>
      </c>
      <c r="T1310" s="36">
        <f t="shared" si="209"/>
        <v>0</v>
      </c>
      <c r="V1310" s="6">
        <f t="shared" si="210"/>
        <v>0</v>
      </c>
      <c r="Y1310" s="8">
        <f t="shared" si="211"/>
        <v>46023</v>
      </c>
    </row>
    <row r="1311" spans="2:25" ht="18.75" x14ac:dyDescent="0.3">
      <c r="B1311" s="6">
        <f t="shared" si="203"/>
        <v>0</v>
      </c>
      <c r="C1311" s="6">
        <f t="shared" si="204"/>
        <v>0</v>
      </c>
      <c r="D1311" s="6" t="str">
        <f t="shared" si="205"/>
        <v/>
      </c>
      <c r="E1311" s="35" t="str">
        <f t="shared" si="202"/>
        <v/>
      </c>
      <c r="F1311" s="31"/>
      <c r="G1311" s="29"/>
      <c r="H1311" s="78" t="str">
        <f t="shared" si="206"/>
        <v/>
      </c>
      <c r="I1311" s="25"/>
      <c r="J1311" s="25"/>
      <c r="K1311" s="26"/>
      <c r="L1311" s="26"/>
      <c r="M1311" s="37"/>
      <c r="N1311" s="27"/>
      <c r="O1311" s="30"/>
      <c r="P1311" s="39" t="str">
        <f t="shared" si="207"/>
        <v/>
      </c>
      <c r="Q1311" s="40" t="str">
        <f>IF(OR(T1311=0,RIGHT(T1311,1)=$W$1),"",COUNTIF($T$3:T1311,T1311))</f>
        <v/>
      </c>
      <c r="S1311" s="6">
        <f t="shared" si="208"/>
        <v>0</v>
      </c>
      <c r="T1311" s="36">
        <f t="shared" si="209"/>
        <v>0</v>
      </c>
      <c r="V1311" s="6">
        <f t="shared" si="210"/>
        <v>0</v>
      </c>
      <c r="Y1311" s="8">
        <f t="shared" si="211"/>
        <v>46023</v>
      </c>
    </row>
    <row r="1312" spans="2:25" ht="18.75" x14ac:dyDescent="0.3">
      <c r="B1312" s="6">
        <f t="shared" si="203"/>
        <v>0</v>
      </c>
      <c r="C1312" s="6">
        <f t="shared" si="204"/>
        <v>0</v>
      </c>
      <c r="D1312" s="6" t="str">
        <f t="shared" si="205"/>
        <v/>
      </c>
      <c r="E1312" s="35" t="str">
        <f t="shared" si="202"/>
        <v/>
      </c>
      <c r="F1312" s="31"/>
      <c r="G1312" s="29"/>
      <c r="H1312" s="78" t="str">
        <f t="shared" si="206"/>
        <v/>
      </c>
      <c r="I1312" s="25"/>
      <c r="J1312" s="25"/>
      <c r="K1312" s="26"/>
      <c r="L1312" s="26"/>
      <c r="M1312" s="37"/>
      <c r="N1312" s="27"/>
      <c r="O1312" s="30"/>
      <c r="P1312" s="39" t="str">
        <f t="shared" si="207"/>
        <v/>
      </c>
      <c r="Q1312" s="40" t="str">
        <f>IF(OR(T1312=0,RIGHT(T1312,1)=$W$1),"",COUNTIF($T$3:T1312,T1312))</f>
        <v/>
      </c>
      <c r="S1312" s="6">
        <f t="shared" si="208"/>
        <v>0</v>
      </c>
      <c r="T1312" s="36">
        <f t="shared" si="209"/>
        <v>0</v>
      </c>
      <c r="V1312" s="6">
        <f t="shared" si="210"/>
        <v>0</v>
      </c>
      <c r="Y1312" s="8">
        <f t="shared" si="211"/>
        <v>46023</v>
      </c>
    </row>
    <row r="1313" spans="2:25" ht="18.75" x14ac:dyDescent="0.3">
      <c r="B1313" s="6">
        <f t="shared" si="203"/>
        <v>0</v>
      </c>
      <c r="C1313" s="6">
        <f t="shared" si="204"/>
        <v>0</v>
      </c>
      <c r="D1313" s="6" t="str">
        <f t="shared" si="205"/>
        <v/>
      </c>
      <c r="E1313" s="35" t="str">
        <f t="shared" si="202"/>
        <v/>
      </c>
      <c r="F1313" s="31"/>
      <c r="G1313" s="29"/>
      <c r="H1313" s="78" t="str">
        <f t="shared" si="206"/>
        <v/>
      </c>
      <c r="I1313" s="25"/>
      <c r="J1313" s="25"/>
      <c r="K1313" s="26"/>
      <c r="L1313" s="26"/>
      <c r="M1313" s="37"/>
      <c r="N1313" s="27"/>
      <c r="O1313" s="30"/>
      <c r="P1313" s="39" t="str">
        <f t="shared" si="207"/>
        <v/>
      </c>
      <c r="Q1313" s="40" t="str">
        <f>IF(OR(T1313=0,RIGHT(T1313,1)=$W$1),"",COUNTIF($T$3:T1313,T1313))</f>
        <v/>
      </c>
      <c r="S1313" s="6">
        <f t="shared" si="208"/>
        <v>0</v>
      </c>
      <c r="T1313" s="36">
        <f t="shared" si="209"/>
        <v>0</v>
      </c>
      <c r="V1313" s="6">
        <f t="shared" si="210"/>
        <v>0</v>
      </c>
      <c r="Y1313" s="8">
        <f t="shared" si="211"/>
        <v>46023</v>
      </c>
    </row>
    <row r="1314" spans="2:25" ht="18.75" x14ac:dyDescent="0.3">
      <c r="B1314" s="6">
        <f t="shared" si="203"/>
        <v>0</v>
      </c>
      <c r="C1314" s="6">
        <f t="shared" si="204"/>
        <v>0</v>
      </c>
      <c r="D1314" s="6" t="str">
        <f t="shared" si="205"/>
        <v/>
      </c>
      <c r="E1314" s="35" t="str">
        <f t="shared" si="202"/>
        <v/>
      </c>
      <c r="F1314" s="31"/>
      <c r="G1314" s="29"/>
      <c r="H1314" s="78" t="str">
        <f t="shared" si="206"/>
        <v/>
      </c>
      <c r="I1314" s="25"/>
      <c r="J1314" s="25"/>
      <c r="K1314" s="26"/>
      <c r="L1314" s="26"/>
      <c r="M1314" s="37"/>
      <c r="N1314" s="27"/>
      <c r="O1314" s="30"/>
      <c r="P1314" s="39" t="str">
        <f t="shared" si="207"/>
        <v/>
      </c>
      <c r="Q1314" s="40" t="str">
        <f>IF(OR(T1314=0,RIGHT(T1314,1)=$W$1),"",COUNTIF($T$3:T1314,T1314))</f>
        <v/>
      </c>
      <c r="S1314" s="6">
        <f t="shared" si="208"/>
        <v>0</v>
      </c>
      <c r="T1314" s="36">
        <f t="shared" si="209"/>
        <v>0</v>
      </c>
      <c r="V1314" s="6">
        <f t="shared" si="210"/>
        <v>0</v>
      </c>
      <c r="Y1314" s="8">
        <f t="shared" si="211"/>
        <v>46023</v>
      </c>
    </row>
    <row r="1315" spans="2:25" ht="18.75" x14ac:dyDescent="0.3">
      <c r="B1315" s="6">
        <f t="shared" si="203"/>
        <v>0</v>
      </c>
      <c r="C1315" s="6">
        <f t="shared" si="204"/>
        <v>0</v>
      </c>
      <c r="D1315" s="6" t="str">
        <f t="shared" si="205"/>
        <v/>
      </c>
      <c r="E1315" s="35" t="str">
        <f t="shared" si="202"/>
        <v/>
      </c>
      <c r="F1315" s="31"/>
      <c r="G1315" s="29"/>
      <c r="H1315" s="78" t="str">
        <f t="shared" si="206"/>
        <v/>
      </c>
      <c r="I1315" s="25"/>
      <c r="J1315" s="25"/>
      <c r="K1315" s="26"/>
      <c r="L1315" s="26"/>
      <c r="M1315" s="37"/>
      <c r="N1315" s="27"/>
      <c r="O1315" s="30"/>
      <c r="P1315" s="39" t="str">
        <f t="shared" si="207"/>
        <v/>
      </c>
      <c r="Q1315" s="40" t="str">
        <f>IF(OR(T1315=0,RIGHT(T1315,1)=$W$1),"",COUNTIF($T$3:T1315,T1315))</f>
        <v/>
      </c>
      <c r="S1315" s="6">
        <f t="shared" si="208"/>
        <v>0</v>
      </c>
      <c r="T1315" s="36">
        <f t="shared" si="209"/>
        <v>0</v>
      </c>
      <c r="V1315" s="6">
        <f t="shared" si="210"/>
        <v>0</v>
      </c>
      <c r="Y1315" s="8">
        <f t="shared" si="211"/>
        <v>46023</v>
      </c>
    </row>
    <row r="1316" spans="2:25" ht="18.75" x14ac:dyDescent="0.3">
      <c r="B1316" s="6">
        <f t="shared" si="203"/>
        <v>0</v>
      </c>
      <c r="C1316" s="6">
        <f t="shared" si="204"/>
        <v>0</v>
      </c>
      <c r="D1316" s="6" t="str">
        <f t="shared" si="205"/>
        <v/>
      </c>
      <c r="E1316" s="35" t="str">
        <f t="shared" si="202"/>
        <v/>
      </c>
      <c r="F1316" s="31"/>
      <c r="G1316" s="29"/>
      <c r="H1316" s="78" t="str">
        <f t="shared" si="206"/>
        <v/>
      </c>
      <c r="I1316" s="25"/>
      <c r="J1316" s="25"/>
      <c r="K1316" s="26"/>
      <c r="L1316" s="26"/>
      <c r="M1316" s="37"/>
      <c r="N1316" s="27"/>
      <c r="O1316" s="30"/>
      <c r="P1316" s="39" t="str">
        <f t="shared" si="207"/>
        <v/>
      </c>
      <c r="Q1316" s="40" t="str">
        <f>IF(OR(T1316=0,RIGHT(T1316,1)=$W$1),"",COUNTIF($T$3:T1316,T1316))</f>
        <v/>
      </c>
      <c r="S1316" s="6">
        <f t="shared" si="208"/>
        <v>0</v>
      </c>
      <c r="T1316" s="36">
        <f t="shared" si="209"/>
        <v>0</v>
      </c>
      <c r="V1316" s="6">
        <f t="shared" si="210"/>
        <v>0</v>
      </c>
      <c r="Y1316" s="8">
        <f t="shared" si="211"/>
        <v>46023</v>
      </c>
    </row>
    <row r="1317" spans="2:25" ht="18.75" x14ac:dyDescent="0.3">
      <c r="B1317" s="6">
        <f t="shared" si="203"/>
        <v>0</v>
      </c>
      <c r="C1317" s="6">
        <f t="shared" si="204"/>
        <v>0</v>
      </c>
      <c r="D1317" s="6" t="str">
        <f t="shared" si="205"/>
        <v/>
      </c>
      <c r="E1317" s="35" t="str">
        <f t="shared" si="202"/>
        <v/>
      </c>
      <c r="F1317" s="31"/>
      <c r="G1317" s="29"/>
      <c r="H1317" s="78" t="str">
        <f t="shared" si="206"/>
        <v/>
      </c>
      <c r="I1317" s="25"/>
      <c r="J1317" s="25"/>
      <c r="K1317" s="26"/>
      <c r="L1317" s="26"/>
      <c r="M1317" s="37"/>
      <c r="N1317" s="27"/>
      <c r="O1317" s="30"/>
      <c r="P1317" s="39" t="str">
        <f t="shared" si="207"/>
        <v/>
      </c>
      <c r="Q1317" s="40" t="str">
        <f>IF(OR(T1317=0,RIGHT(T1317,1)=$W$1),"",COUNTIF($T$3:T1317,T1317))</f>
        <v/>
      </c>
      <c r="S1317" s="6">
        <f t="shared" si="208"/>
        <v>0</v>
      </c>
      <c r="T1317" s="36">
        <f t="shared" si="209"/>
        <v>0</v>
      </c>
      <c r="V1317" s="6">
        <f t="shared" si="210"/>
        <v>0</v>
      </c>
      <c r="Y1317" s="8">
        <f t="shared" si="211"/>
        <v>46023</v>
      </c>
    </row>
    <row r="1318" spans="2:25" ht="18.75" x14ac:dyDescent="0.3">
      <c r="B1318" s="6">
        <f t="shared" si="203"/>
        <v>0</v>
      </c>
      <c r="C1318" s="6">
        <f t="shared" si="204"/>
        <v>0</v>
      </c>
      <c r="D1318" s="6" t="str">
        <f t="shared" si="205"/>
        <v/>
      </c>
      <c r="E1318" s="35" t="str">
        <f t="shared" si="202"/>
        <v/>
      </c>
      <c r="F1318" s="31"/>
      <c r="G1318" s="29"/>
      <c r="H1318" s="78" t="str">
        <f t="shared" si="206"/>
        <v/>
      </c>
      <c r="I1318" s="25"/>
      <c r="J1318" s="25"/>
      <c r="K1318" s="26"/>
      <c r="L1318" s="26"/>
      <c r="M1318" s="37"/>
      <c r="N1318" s="27"/>
      <c r="O1318" s="30"/>
      <c r="P1318" s="39" t="str">
        <f t="shared" si="207"/>
        <v/>
      </c>
      <c r="Q1318" s="40" t="str">
        <f>IF(OR(T1318=0,RIGHT(T1318,1)=$W$1),"",COUNTIF($T$3:T1318,T1318))</f>
        <v/>
      </c>
      <c r="S1318" s="6">
        <f t="shared" si="208"/>
        <v>0</v>
      </c>
      <c r="T1318" s="36">
        <f t="shared" si="209"/>
        <v>0</v>
      </c>
      <c r="V1318" s="6">
        <f t="shared" si="210"/>
        <v>0</v>
      </c>
      <c r="Y1318" s="8">
        <f t="shared" si="211"/>
        <v>46023</v>
      </c>
    </row>
    <row r="1319" spans="2:25" ht="18.75" x14ac:dyDescent="0.3">
      <c r="B1319" s="6">
        <f t="shared" si="203"/>
        <v>0</v>
      </c>
      <c r="C1319" s="6">
        <f t="shared" si="204"/>
        <v>0</v>
      </c>
      <c r="D1319" s="6" t="str">
        <f t="shared" si="205"/>
        <v/>
      </c>
      <c r="E1319" s="35" t="str">
        <f t="shared" si="202"/>
        <v/>
      </c>
      <c r="F1319" s="31"/>
      <c r="G1319" s="29"/>
      <c r="H1319" s="78" t="str">
        <f t="shared" si="206"/>
        <v/>
      </c>
      <c r="I1319" s="25"/>
      <c r="J1319" s="25"/>
      <c r="K1319" s="26"/>
      <c r="L1319" s="26"/>
      <c r="M1319" s="37"/>
      <c r="N1319" s="27"/>
      <c r="O1319" s="30"/>
      <c r="P1319" s="39" t="str">
        <f t="shared" si="207"/>
        <v/>
      </c>
      <c r="Q1319" s="40" t="str">
        <f>IF(OR(T1319=0,RIGHT(T1319,1)=$W$1),"",COUNTIF($T$3:T1319,T1319))</f>
        <v/>
      </c>
      <c r="S1319" s="6">
        <f t="shared" si="208"/>
        <v>0</v>
      </c>
      <c r="T1319" s="36">
        <f t="shared" si="209"/>
        <v>0</v>
      </c>
      <c r="V1319" s="6">
        <f t="shared" si="210"/>
        <v>0</v>
      </c>
      <c r="Y1319" s="8">
        <f t="shared" si="211"/>
        <v>46023</v>
      </c>
    </row>
    <row r="1320" spans="2:25" ht="18.75" x14ac:dyDescent="0.3">
      <c r="B1320" s="6">
        <f t="shared" si="203"/>
        <v>0</v>
      </c>
      <c r="C1320" s="6">
        <f t="shared" si="204"/>
        <v>0</v>
      </c>
      <c r="D1320" s="6" t="str">
        <f t="shared" si="205"/>
        <v/>
      </c>
      <c r="E1320" s="35" t="str">
        <f t="shared" si="202"/>
        <v/>
      </c>
      <c r="F1320" s="31"/>
      <c r="G1320" s="29"/>
      <c r="H1320" s="78" t="str">
        <f t="shared" si="206"/>
        <v/>
      </c>
      <c r="I1320" s="25"/>
      <c r="J1320" s="25"/>
      <c r="K1320" s="26"/>
      <c r="L1320" s="26"/>
      <c r="M1320" s="37"/>
      <c r="N1320" s="27"/>
      <c r="O1320" s="30"/>
      <c r="P1320" s="39" t="str">
        <f t="shared" si="207"/>
        <v/>
      </c>
      <c r="Q1320" s="40" t="str">
        <f>IF(OR(T1320=0,RIGHT(T1320,1)=$W$1),"",COUNTIF($T$3:T1320,T1320))</f>
        <v/>
      </c>
      <c r="S1320" s="6">
        <f t="shared" si="208"/>
        <v>0</v>
      </c>
      <c r="T1320" s="36">
        <f t="shared" si="209"/>
        <v>0</v>
      </c>
      <c r="V1320" s="6">
        <f t="shared" si="210"/>
        <v>0</v>
      </c>
      <c r="Y1320" s="8">
        <f t="shared" si="211"/>
        <v>46023</v>
      </c>
    </row>
    <row r="1321" spans="2:25" ht="18.75" x14ac:dyDescent="0.3">
      <c r="B1321" s="6">
        <f t="shared" si="203"/>
        <v>0</v>
      </c>
      <c r="C1321" s="6">
        <f t="shared" si="204"/>
        <v>0</v>
      </c>
      <c r="D1321" s="6" t="str">
        <f t="shared" si="205"/>
        <v/>
      </c>
      <c r="E1321" s="35" t="str">
        <f t="shared" si="202"/>
        <v/>
      </c>
      <c r="F1321" s="31"/>
      <c r="G1321" s="29"/>
      <c r="H1321" s="78" t="str">
        <f t="shared" si="206"/>
        <v/>
      </c>
      <c r="I1321" s="25"/>
      <c r="J1321" s="25"/>
      <c r="K1321" s="26"/>
      <c r="L1321" s="26"/>
      <c r="M1321" s="37"/>
      <c r="N1321" s="27"/>
      <c r="O1321" s="30"/>
      <c r="P1321" s="39" t="str">
        <f t="shared" si="207"/>
        <v/>
      </c>
      <c r="Q1321" s="40" t="str">
        <f>IF(OR(T1321=0,RIGHT(T1321,1)=$W$1),"",COUNTIF($T$3:T1321,T1321))</f>
        <v/>
      </c>
      <c r="S1321" s="6">
        <f t="shared" si="208"/>
        <v>0</v>
      </c>
      <c r="T1321" s="36">
        <f t="shared" si="209"/>
        <v>0</v>
      </c>
      <c r="V1321" s="6">
        <f t="shared" si="210"/>
        <v>0</v>
      </c>
      <c r="Y1321" s="8">
        <f t="shared" si="211"/>
        <v>46023</v>
      </c>
    </row>
    <row r="1322" spans="2:25" ht="18.75" x14ac:dyDescent="0.3">
      <c r="B1322" s="6">
        <f t="shared" si="203"/>
        <v>0</v>
      </c>
      <c r="C1322" s="6">
        <f t="shared" si="204"/>
        <v>0</v>
      </c>
      <c r="D1322" s="6" t="str">
        <f t="shared" si="205"/>
        <v/>
      </c>
      <c r="E1322" s="35" t="str">
        <f t="shared" si="202"/>
        <v/>
      </c>
      <c r="F1322" s="31"/>
      <c r="G1322" s="29"/>
      <c r="H1322" s="78" t="str">
        <f t="shared" si="206"/>
        <v/>
      </c>
      <c r="I1322" s="25"/>
      <c r="J1322" s="25"/>
      <c r="K1322" s="26"/>
      <c r="L1322" s="26"/>
      <c r="M1322" s="37"/>
      <c r="N1322" s="27"/>
      <c r="O1322" s="30"/>
      <c r="P1322" s="39" t="str">
        <f t="shared" si="207"/>
        <v/>
      </c>
      <c r="Q1322" s="40" t="str">
        <f>IF(OR(T1322=0,RIGHT(T1322,1)=$W$1),"",COUNTIF($T$3:T1322,T1322))</f>
        <v/>
      </c>
      <c r="S1322" s="6">
        <f t="shared" si="208"/>
        <v>0</v>
      </c>
      <c r="T1322" s="36">
        <f t="shared" si="209"/>
        <v>0</v>
      </c>
      <c r="V1322" s="6">
        <f t="shared" si="210"/>
        <v>0</v>
      </c>
      <c r="Y1322" s="8">
        <f t="shared" si="211"/>
        <v>46023</v>
      </c>
    </row>
    <row r="1323" spans="2:25" ht="18.75" x14ac:dyDescent="0.3">
      <c r="B1323" s="6">
        <f t="shared" si="203"/>
        <v>0</v>
      </c>
      <c r="C1323" s="6">
        <f t="shared" si="204"/>
        <v>0</v>
      </c>
      <c r="D1323" s="6" t="str">
        <f t="shared" si="205"/>
        <v/>
      </c>
      <c r="E1323" s="35" t="str">
        <f t="shared" si="202"/>
        <v/>
      </c>
      <c r="F1323" s="31"/>
      <c r="G1323" s="29"/>
      <c r="H1323" s="78" t="str">
        <f t="shared" si="206"/>
        <v/>
      </c>
      <c r="I1323" s="25"/>
      <c r="J1323" s="25"/>
      <c r="K1323" s="26"/>
      <c r="L1323" s="26"/>
      <c r="M1323" s="37"/>
      <c r="N1323" s="27"/>
      <c r="O1323" s="30"/>
      <c r="P1323" s="39" t="str">
        <f t="shared" si="207"/>
        <v/>
      </c>
      <c r="Q1323" s="40" t="str">
        <f>IF(OR(T1323=0,RIGHT(T1323,1)=$W$1),"",COUNTIF($T$3:T1323,T1323))</f>
        <v/>
      </c>
      <c r="S1323" s="6">
        <f t="shared" si="208"/>
        <v>0</v>
      </c>
      <c r="T1323" s="36">
        <f t="shared" si="209"/>
        <v>0</v>
      </c>
      <c r="V1323" s="6">
        <f t="shared" si="210"/>
        <v>0</v>
      </c>
      <c r="Y1323" s="8">
        <f t="shared" si="211"/>
        <v>46023</v>
      </c>
    </row>
    <row r="1324" spans="2:25" ht="18.75" x14ac:dyDescent="0.3">
      <c r="B1324" s="6">
        <f t="shared" si="203"/>
        <v>0</v>
      </c>
      <c r="C1324" s="6">
        <f t="shared" si="204"/>
        <v>0</v>
      </c>
      <c r="D1324" s="6" t="str">
        <f t="shared" si="205"/>
        <v/>
      </c>
      <c r="E1324" s="35" t="str">
        <f t="shared" si="202"/>
        <v/>
      </c>
      <c r="F1324" s="31"/>
      <c r="G1324" s="29"/>
      <c r="H1324" s="78" t="str">
        <f t="shared" si="206"/>
        <v/>
      </c>
      <c r="I1324" s="25"/>
      <c r="J1324" s="25"/>
      <c r="K1324" s="26"/>
      <c r="L1324" s="26"/>
      <c r="M1324" s="37"/>
      <c r="N1324" s="27"/>
      <c r="O1324" s="30"/>
      <c r="P1324" s="39" t="str">
        <f t="shared" si="207"/>
        <v/>
      </c>
      <c r="Q1324" s="40" t="str">
        <f>IF(OR(T1324=0,RIGHT(T1324,1)=$W$1),"",COUNTIF($T$3:T1324,T1324))</f>
        <v/>
      </c>
      <c r="S1324" s="6">
        <f t="shared" si="208"/>
        <v>0</v>
      </c>
      <c r="T1324" s="36">
        <f t="shared" si="209"/>
        <v>0</v>
      </c>
      <c r="V1324" s="6">
        <f t="shared" si="210"/>
        <v>0</v>
      </c>
      <c r="Y1324" s="8">
        <f t="shared" si="211"/>
        <v>46023</v>
      </c>
    </row>
    <row r="1325" spans="2:25" ht="18.75" x14ac:dyDescent="0.3">
      <c r="B1325" s="6">
        <f t="shared" si="203"/>
        <v>0</v>
      </c>
      <c r="C1325" s="6">
        <f t="shared" si="204"/>
        <v>0</v>
      </c>
      <c r="D1325" s="6" t="str">
        <f t="shared" si="205"/>
        <v/>
      </c>
      <c r="E1325" s="35" t="str">
        <f t="shared" si="202"/>
        <v/>
      </c>
      <c r="F1325" s="31"/>
      <c r="G1325" s="29"/>
      <c r="H1325" s="78" t="str">
        <f t="shared" si="206"/>
        <v/>
      </c>
      <c r="I1325" s="25"/>
      <c r="J1325" s="25"/>
      <c r="K1325" s="26"/>
      <c r="L1325" s="26"/>
      <c r="M1325" s="37"/>
      <c r="N1325" s="27"/>
      <c r="O1325" s="30"/>
      <c r="P1325" s="39" t="str">
        <f t="shared" si="207"/>
        <v/>
      </c>
      <c r="Q1325" s="40" t="str">
        <f>IF(OR(T1325=0,RIGHT(T1325,1)=$W$1),"",COUNTIF($T$3:T1325,T1325))</f>
        <v/>
      </c>
      <c r="S1325" s="6">
        <f t="shared" si="208"/>
        <v>0</v>
      </c>
      <c r="T1325" s="36">
        <f t="shared" si="209"/>
        <v>0</v>
      </c>
      <c r="V1325" s="6">
        <f t="shared" si="210"/>
        <v>0</v>
      </c>
      <c r="Y1325" s="8">
        <f t="shared" si="211"/>
        <v>46023</v>
      </c>
    </row>
    <row r="1326" spans="2:25" ht="18.75" x14ac:dyDescent="0.3">
      <c r="B1326" s="6">
        <f t="shared" si="203"/>
        <v>0</v>
      </c>
      <c r="C1326" s="6">
        <f t="shared" si="204"/>
        <v>0</v>
      </c>
      <c r="D1326" s="6" t="str">
        <f t="shared" si="205"/>
        <v/>
      </c>
      <c r="E1326" s="35" t="str">
        <f t="shared" si="202"/>
        <v/>
      </c>
      <c r="F1326" s="31"/>
      <c r="G1326" s="29"/>
      <c r="H1326" s="78" t="str">
        <f t="shared" si="206"/>
        <v/>
      </c>
      <c r="I1326" s="25"/>
      <c r="J1326" s="25"/>
      <c r="K1326" s="26"/>
      <c r="L1326" s="26"/>
      <c r="M1326" s="37"/>
      <c r="N1326" s="27"/>
      <c r="O1326" s="30"/>
      <c r="P1326" s="39" t="str">
        <f t="shared" si="207"/>
        <v/>
      </c>
      <c r="Q1326" s="40" t="str">
        <f>IF(OR(T1326=0,RIGHT(T1326,1)=$W$1),"",COUNTIF($T$3:T1326,T1326))</f>
        <v/>
      </c>
      <c r="S1326" s="6">
        <f t="shared" si="208"/>
        <v>0</v>
      </c>
      <c r="T1326" s="36">
        <f t="shared" si="209"/>
        <v>0</v>
      </c>
      <c r="V1326" s="6">
        <f t="shared" si="210"/>
        <v>0</v>
      </c>
      <c r="Y1326" s="8">
        <f t="shared" si="211"/>
        <v>46023</v>
      </c>
    </row>
    <row r="1327" spans="2:25" ht="18.75" x14ac:dyDescent="0.3">
      <c r="B1327" s="6">
        <f t="shared" si="203"/>
        <v>0</v>
      </c>
      <c r="C1327" s="6">
        <f t="shared" si="204"/>
        <v>0</v>
      </c>
      <c r="D1327" s="6" t="str">
        <f t="shared" si="205"/>
        <v/>
      </c>
      <c r="E1327" s="35" t="str">
        <f t="shared" si="202"/>
        <v/>
      </c>
      <c r="F1327" s="31"/>
      <c r="G1327" s="29"/>
      <c r="H1327" s="78" t="str">
        <f t="shared" si="206"/>
        <v/>
      </c>
      <c r="I1327" s="25"/>
      <c r="J1327" s="25"/>
      <c r="K1327" s="26"/>
      <c r="L1327" s="26"/>
      <c r="M1327" s="37"/>
      <c r="N1327" s="27"/>
      <c r="O1327" s="30"/>
      <c r="P1327" s="39" t="str">
        <f t="shared" si="207"/>
        <v/>
      </c>
      <c r="Q1327" s="40" t="str">
        <f>IF(OR(T1327=0,RIGHT(T1327,1)=$W$1),"",COUNTIF($T$3:T1327,T1327))</f>
        <v/>
      </c>
      <c r="S1327" s="6">
        <f t="shared" si="208"/>
        <v>0</v>
      </c>
      <c r="T1327" s="36">
        <f t="shared" si="209"/>
        <v>0</v>
      </c>
      <c r="V1327" s="6">
        <f t="shared" si="210"/>
        <v>0</v>
      </c>
      <c r="Y1327" s="8">
        <f t="shared" si="211"/>
        <v>46023</v>
      </c>
    </row>
    <row r="1328" spans="2:25" ht="18.75" x14ac:dyDescent="0.3">
      <c r="B1328" s="6">
        <f t="shared" si="203"/>
        <v>0</v>
      </c>
      <c r="C1328" s="6">
        <f t="shared" si="204"/>
        <v>0</v>
      </c>
      <c r="D1328" s="6" t="str">
        <f t="shared" si="205"/>
        <v/>
      </c>
      <c r="E1328" s="35" t="str">
        <f t="shared" si="202"/>
        <v/>
      </c>
      <c r="F1328" s="31"/>
      <c r="G1328" s="29"/>
      <c r="H1328" s="78" t="str">
        <f t="shared" si="206"/>
        <v/>
      </c>
      <c r="I1328" s="25"/>
      <c r="J1328" s="25"/>
      <c r="K1328" s="26"/>
      <c r="L1328" s="26"/>
      <c r="M1328" s="37"/>
      <c r="N1328" s="27"/>
      <c r="O1328" s="30"/>
      <c r="P1328" s="39" t="str">
        <f t="shared" si="207"/>
        <v/>
      </c>
      <c r="Q1328" s="40" t="str">
        <f>IF(OR(T1328=0,RIGHT(T1328,1)=$W$1),"",COUNTIF($T$3:T1328,T1328))</f>
        <v/>
      </c>
      <c r="S1328" s="6">
        <f t="shared" si="208"/>
        <v>0</v>
      </c>
      <c r="T1328" s="36">
        <f t="shared" si="209"/>
        <v>0</v>
      </c>
      <c r="V1328" s="6">
        <f t="shared" si="210"/>
        <v>0</v>
      </c>
      <c r="Y1328" s="8">
        <f t="shared" si="211"/>
        <v>46023</v>
      </c>
    </row>
    <row r="1329" spans="2:25" ht="18.75" x14ac:dyDescent="0.3">
      <c r="B1329" s="6">
        <f t="shared" si="203"/>
        <v>0</v>
      </c>
      <c r="C1329" s="6">
        <f t="shared" si="204"/>
        <v>0</v>
      </c>
      <c r="D1329" s="6" t="str">
        <f t="shared" si="205"/>
        <v/>
      </c>
      <c r="E1329" s="35" t="str">
        <f t="shared" si="202"/>
        <v/>
      </c>
      <c r="F1329" s="31"/>
      <c r="G1329" s="29"/>
      <c r="H1329" s="78" t="str">
        <f t="shared" si="206"/>
        <v/>
      </c>
      <c r="I1329" s="25"/>
      <c r="J1329" s="25"/>
      <c r="K1329" s="26"/>
      <c r="L1329" s="26"/>
      <c r="M1329" s="37"/>
      <c r="N1329" s="27"/>
      <c r="O1329" s="30"/>
      <c r="P1329" s="39" t="str">
        <f t="shared" si="207"/>
        <v/>
      </c>
      <c r="Q1329" s="40" t="str">
        <f>IF(OR(T1329=0,RIGHT(T1329,1)=$W$1),"",COUNTIF($T$3:T1329,T1329))</f>
        <v/>
      </c>
      <c r="S1329" s="6">
        <f t="shared" si="208"/>
        <v>0</v>
      </c>
      <c r="T1329" s="36">
        <f t="shared" si="209"/>
        <v>0</v>
      </c>
      <c r="V1329" s="6">
        <f t="shared" si="210"/>
        <v>0</v>
      </c>
      <c r="Y1329" s="8">
        <f t="shared" si="211"/>
        <v>46023</v>
      </c>
    </row>
    <row r="1330" spans="2:25" ht="18.75" x14ac:dyDescent="0.3">
      <c r="B1330" s="6">
        <f t="shared" si="203"/>
        <v>0</v>
      </c>
      <c r="C1330" s="6">
        <f t="shared" si="204"/>
        <v>0</v>
      </c>
      <c r="D1330" s="6" t="str">
        <f t="shared" si="205"/>
        <v/>
      </c>
      <c r="E1330" s="35" t="str">
        <f t="shared" si="202"/>
        <v/>
      </c>
      <c r="F1330" s="31"/>
      <c r="G1330" s="29"/>
      <c r="H1330" s="78" t="str">
        <f t="shared" si="206"/>
        <v/>
      </c>
      <c r="I1330" s="25"/>
      <c r="J1330" s="25"/>
      <c r="K1330" s="26"/>
      <c r="L1330" s="26"/>
      <c r="M1330" s="37"/>
      <c r="N1330" s="27"/>
      <c r="O1330" s="30"/>
      <c r="P1330" s="39" t="str">
        <f t="shared" si="207"/>
        <v/>
      </c>
      <c r="Q1330" s="40" t="str">
        <f>IF(OR(T1330=0,RIGHT(T1330,1)=$W$1),"",COUNTIF($T$3:T1330,T1330))</f>
        <v/>
      </c>
      <c r="S1330" s="6">
        <f t="shared" si="208"/>
        <v>0</v>
      </c>
      <c r="T1330" s="36">
        <f t="shared" si="209"/>
        <v>0</v>
      </c>
      <c r="V1330" s="6">
        <f t="shared" si="210"/>
        <v>0</v>
      </c>
      <c r="Y1330" s="8">
        <f t="shared" si="211"/>
        <v>46023</v>
      </c>
    </row>
    <row r="1331" spans="2:25" ht="18.75" x14ac:dyDescent="0.3">
      <c r="B1331" s="6">
        <f t="shared" si="203"/>
        <v>0</v>
      </c>
      <c r="C1331" s="6">
        <f t="shared" si="204"/>
        <v>0</v>
      </c>
      <c r="D1331" s="6" t="str">
        <f t="shared" si="205"/>
        <v/>
      </c>
      <c r="E1331" s="35" t="str">
        <f t="shared" si="202"/>
        <v/>
      </c>
      <c r="F1331" s="31"/>
      <c r="G1331" s="29"/>
      <c r="H1331" s="78" t="str">
        <f t="shared" si="206"/>
        <v/>
      </c>
      <c r="I1331" s="25"/>
      <c r="J1331" s="25"/>
      <c r="K1331" s="26"/>
      <c r="L1331" s="26"/>
      <c r="M1331" s="37"/>
      <c r="N1331" s="27"/>
      <c r="O1331" s="30"/>
      <c r="P1331" s="39" t="str">
        <f t="shared" si="207"/>
        <v/>
      </c>
      <c r="Q1331" s="40" t="str">
        <f>IF(OR(T1331=0,RIGHT(T1331,1)=$W$1),"",COUNTIF($T$3:T1331,T1331))</f>
        <v/>
      </c>
      <c r="S1331" s="6">
        <f t="shared" si="208"/>
        <v>0</v>
      </c>
      <c r="T1331" s="36">
        <f t="shared" si="209"/>
        <v>0</v>
      </c>
      <c r="V1331" s="6">
        <f t="shared" si="210"/>
        <v>0</v>
      </c>
      <c r="Y1331" s="8">
        <f t="shared" si="211"/>
        <v>46023</v>
      </c>
    </row>
    <row r="1332" spans="2:25" ht="18.75" x14ac:dyDescent="0.3">
      <c r="B1332" s="6">
        <f t="shared" si="203"/>
        <v>0</v>
      </c>
      <c r="C1332" s="6">
        <f t="shared" si="204"/>
        <v>0</v>
      </c>
      <c r="D1332" s="6" t="str">
        <f t="shared" si="205"/>
        <v/>
      </c>
      <c r="E1332" s="35" t="str">
        <f t="shared" si="202"/>
        <v/>
      </c>
      <c r="F1332" s="31"/>
      <c r="G1332" s="29"/>
      <c r="H1332" s="78" t="str">
        <f t="shared" si="206"/>
        <v/>
      </c>
      <c r="I1332" s="25"/>
      <c r="J1332" s="25"/>
      <c r="K1332" s="26"/>
      <c r="L1332" s="26"/>
      <c r="M1332" s="37"/>
      <c r="N1332" s="27"/>
      <c r="O1332" s="30"/>
      <c r="P1332" s="39" t="str">
        <f t="shared" si="207"/>
        <v/>
      </c>
      <c r="Q1332" s="40" t="str">
        <f>IF(OR(T1332=0,RIGHT(T1332,1)=$W$1),"",COUNTIF($T$3:T1332,T1332))</f>
        <v/>
      </c>
      <c r="S1332" s="6">
        <f t="shared" si="208"/>
        <v>0</v>
      </c>
      <c r="T1332" s="36">
        <f t="shared" si="209"/>
        <v>0</v>
      </c>
      <c r="V1332" s="6">
        <f t="shared" si="210"/>
        <v>0</v>
      </c>
      <c r="Y1332" s="8">
        <f t="shared" si="211"/>
        <v>46023</v>
      </c>
    </row>
    <row r="1333" spans="2:25" ht="18.75" x14ac:dyDescent="0.3">
      <c r="B1333" s="6">
        <f t="shared" si="203"/>
        <v>0</v>
      </c>
      <c r="C1333" s="6">
        <f t="shared" si="204"/>
        <v>0</v>
      </c>
      <c r="D1333" s="6" t="str">
        <f t="shared" si="205"/>
        <v/>
      </c>
      <c r="E1333" s="35" t="str">
        <f t="shared" si="202"/>
        <v/>
      </c>
      <c r="F1333" s="31"/>
      <c r="G1333" s="29"/>
      <c r="H1333" s="78" t="str">
        <f t="shared" si="206"/>
        <v/>
      </c>
      <c r="I1333" s="25"/>
      <c r="J1333" s="25"/>
      <c r="K1333" s="26"/>
      <c r="L1333" s="26"/>
      <c r="M1333" s="37"/>
      <c r="N1333" s="27"/>
      <c r="O1333" s="30"/>
      <c r="P1333" s="39" t="str">
        <f t="shared" si="207"/>
        <v/>
      </c>
      <c r="Q1333" s="40" t="str">
        <f>IF(OR(T1333=0,RIGHT(T1333,1)=$W$1),"",COUNTIF($T$3:T1333,T1333))</f>
        <v/>
      </c>
      <c r="S1333" s="6">
        <f t="shared" si="208"/>
        <v>0</v>
      </c>
      <c r="T1333" s="36">
        <f t="shared" si="209"/>
        <v>0</v>
      </c>
      <c r="V1333" s="6">
        <f t="shared" si="210"/>
        <v>0</v>
      </c>
      <c r="Y1333" s="8">
        <f t="shared" si="211"/>
        <v>46023</v>
      </c>
    </row>
    <row r="1334" spans="2:25" ht="18.75" x14ac:dyDescent="0.3">
      <c r="B1334" s="6">
        <f t="shared" si="203"/>
        <v>0</v>
      </c>
      <c r="C1334" s="6">
        <f t="shared" si="204"/>
        <v>0</v>
      </c>
      <c r="D1334" s="6" t="str">
        <f t="shared" si="205"/>
        <v/>
      </c>
      <c r="E1334" s="35" t="str">
        <f t="shared" si="202"/>
        <v/>
      </c>
      <c r="F1334" s="31"/>
      <c r="G1334" s="29"/>
      <c r="H1334" s="78" t="str">
        <f t="shared" si="206"/>
        <v/>
      </c>
      <c r="I1334" s="25"/>
      <c r="J1334" s="25"/>
      <c r="K1334" s="26"/>
      <c r="L1334" s="26"/>
      <c r="M1334" s="37"/>
      <c r="N1334" s="27"/>
      <c r="O1334" s="30"/>
      <c r="P1334" s="39" t="str">
        <f t="shared" si="207"/>
        <v/>
      </c>
      <c r="Q1334" s="40" t="str">
        <f>IF(OR(T1334=0,RIGHT(T1334,1)=$W$1),"",COUNTIF($T$3:T1334,T1334))</f>
        <v/>
      </c>
      <c r="S1334" s="6">
        <f t="shared" si="208"/>
        <v>0</v>
      </c>
      <c r="T1334" s="36">
        <f t="shared" si="209"/>
        <v>0</v>
      </c>
      <c r="V1334" s="6">
        <f t="shared" si="210"/>
        <v>0</v>
      </c>
      <c r="Y1334" s="8">
        <f t="shared" si="211"/>
        <v>46023</v>
      </c>
    </row>
    <row r="1335" spans="2:25" ht="18.75" x14ac:dyDescent="0.3">
      <c r="B1335" s="6">
        <f t="shared" si="203"/>
        <v>0</v>
      </c>
      <c r="C1335" s="6">
        <f t="shared" si="204"/>
        <v>0</v>
      </c>
      <c r="D1335" s="6" t="str">
        <f t="shared" si="205"/>
        <v/>
      </c>
      <c r="E1335" s="35" t="str">
        <f t="shared" si="202"/>
        <v/>
      </c>
      <c r="F1335" s="31"/>
      <c r="G1335" s="29"/>
      <c r="H1335" s="78" t="str">
        <f t="shared" si="206"/>
        <v/>
      </c>
      <c r="I1335" s="25"/>
      <c r="J1335" s="25"/>
      <c r="K1335" s="26"/>
      <c r="L1335" s="26"/>
      <c r="M1335" s="37"/>
      <c r="N1335" s="27"/>
      <c r="O1335" s="30"/>
      <c r="P1335" s="39" t="str">
        <f t="shared" si="207"/>
        <v/>
      </c>
      <c r="Q1335" s="40" t="str">
        <f>IF(OR(T1335=0,RIGHT(T1335,1)=$W$1),"",COUNTIF($T$3:T1335,T1335))</f>
        <v/>
      </c>
      <c r="S1335" s="6">
        <f t="shared" si="208"/>
        <v>0</v>
      </c>
      <c r="T1335" s="36">
        <f t="shared" si="209"/>
        <v>0</v>
      </c>
      <c r="V1335" s="6">
        <f t="shared" si="210"/>
        <v>0</v>
      </c>
      <c r="Y1335" s="8">
        <f t="shared" si="211"/>
        <v>46023</v>
      </c>
    </row>
    <row r="1336" spans="2:25" ht="18.75" x14ac:dyDescent="0.3">
      <c r="B1336" s="6">
        <f t="shared" si="203"/>
        <v>0</v>
      </c>
      <c r="C1336" s="6">
        <f t="shared" si="204"/>
        <v>0</v>
      </c>
      <c r="D1336" s="6" t="str">
        <f t="shared" si="205"/>
        <v/>
      </c>
      <c r="E1336" s="35" t="str">
        <f t="shared" si="202"/>
        <v/>
      </c>
      <c r="F1336" s="31"/>
      <c r="G1336" s="29"/>
      <c r="H1336" s="78" t="str">
        <f t="shared" si="206"/>
        <v/>
      </c>
      <c r="I1336" s="25"/>
      <c r="J1336" s="25"/>
      <c r="K1336" s="26"/>
      <c r="L1336" s="26"/>
      <c r="M1336" s="37"/>
      <c r="N1336" s="27"/>
      <c r="O1336" s="30"/>
      <c r="P1336" s="39" t="str">
        <f t="shared" si="207"/>
        <v/>
      </c>
      <c r="Q1336" s="40" t="str">
        <f>IF(OR(T1336=0,RIGHT(T1336,1)=$W$1),"",COUNTIF($T$3:T1336,T1336))</f>
        <v/>
      </c>
      <c r="S1336" s="6">
        <f t="shared" si="208"/>
        <v>0</v>
      </c>
      <c r="T1336" s="36">
        <f t="shared" si="209"/>
        <v>0</v>
      </c>
      <c r="V1336" s="6">
        <f t="shared" si="210"/>
        <v>0</v>
      </c>
      <c r="Y1336" s="8">
        <f t="shared" si="211"/>
        <v>46023</v>
      </c>
    </row>
    <row r="1337" spans="2:25" ht="18.75" x14ac:dyDescent="0.3">
      <c r="B1337" s="6">
        <f t="shared" si="203"/>
        <v>0</v>
      </c>
      <c r="C1337" s="6">
        <f t="shared" si="204"/>
        <v>0</v>
      </c>
      <c r="D1337" s="6" t="str">
        <f t="shared" si="205"/>
        <v/>
      </c>
      <c r="E1337" s="35" t="str">
        <f t="shared" si="202"/>
        <v/>
      </c>
      <c r="F1337" s="31"/>
      <c r="G1337" s="29"/>
      <c r="H1337" s="78" t="str">
        <f t="shared" si="206"/>
        <v/>
      </c>
      <c r="I1337" s="25"/>
      <c r="J1337" s="25"/>
      <c r="K1337" s="26"/>
      <c r="L1337" s="26"/>
      <c r="M1337" s="37"/>
      <c r="N1337" s="27"/>
      <c r="O1337" s="30"/>
      <c r="P1337" s="39" t="str">
        <f t="shared" si="207"/>
        <v/>
      </c>
      <c r="Q1337" s="40" t="str">
        <f>IF(OR(T1337=0,RIGHT(T1337,1)=$W$1),"",COUNTIF($T$3:T1337,T1337))</f>
        <v/>
      </c>
      <c r="S1337" s="6">
        <f t="shared" si="208"/>
        <v>0</v>
      </c>
      <c r="T1337" s="36">
        <f t="shared" si="209"/>
        <v>0</v>
      </c>
      <c r="V1337" s="6">
        <f t="shared" si="210"/>
        <v>0</v>
      </c>
      <c r="Y1337" s="8">
        <f t="shared" si="211"/>
        <v>46023</v>
      </c>
    </row>
    <row r="1338" spans="2:25" ht="18.75" x14ac:dyDescent="0.3">
      <c r="B1338" s="6">
        <f t="shared" si="203"/>
        <v>0</v>
      </c>
      <c r="C1338" s="6">
        <f t="shared" si="204"/>
        <v>0</v>
      </c>
      <c r="D1338" s="6" t="str">
        <f t="shared" si="205"/>
        <v/>
      </c>
      <c r="E1338" s="35" t="str">
        <f t="shared" si="202"/>
        <v/>
      </c>
      <c r="F1338" s="31"/>
      <c r="G1338" s="29"/>
      <c r="H1338" s="78" t="str">
        <f t="shared" si="206"/>
        <v/>
      </c>
      <c r="I1338" s="25"/>
      <c r="J1338" s="25"/>
      <c r="K1338" s="26"/>
      <c r="L1338" s="26"/>
      <c r="M1338" s="37"/>
      <c r="N1338" s="27"/>
      <c r="O1338" s="30"/>
      <c r="P1338" s="39" t="str">
        <f t="shared" si="207"/>
        <v/>
      </c>
      <c r="Q1338" s="40" t="str">
        <f>IF(OR(T1338=0,RIGHT(T1338,1)=$W$1),"",COUNTIF($T$3:T1338,T1338))</f>
        <v/>
      </c>
      <c r="S1338" s="6">
        <f t="shared" si="208"/>
        <v>0</v>
      </c>
      <c r="T1338" s="36">
        <f t="shared" si="209"/>
        <v>0</v>
      </c>
      <c r="V1338" s="6">
        <f t="shared" si="210"/>
        <v>0</v>
      </c>
      <c r="Y1338" s="8">
        <f t="shared" si="211"/>
        <v>46023</v>
      </c>
    </row>
    <row r="1339" spans="2:25" ht="18.75" x14ac:dyDescent="0.3">
      <c r="B1339" s="6">
        <f t="shared" si="203"/>
        <v>0</v>
      </c>
      <c r="C1339" s="6">
        <f t="shared" si="204"/>
        <v>0</v>
      </c>
      <c r="D1339" s="6" t="str">
        <f t="shared" si="205"/>
        <v/>
      </c>
      <c r="E1339" s="35" t="str">
        <f t="shared" si="202"/>
        <v/>
      </c>
      <c r="F1339" s="31"/>
      <c r="G1339" s="29"/>
      <c r="H1339" s="78" t="str">
        <f t="shared" si="206"/>
        <v/>
      </c>
      <c r="I1339" s="25"/>
      <c r="J1339" s="25"/>
      <c r="K1339" s="26"/>
      <c r="L1339" s="26"/>
      <c r="M1339" s="37"/>
      <c r="N1339" s="27"/>
      <c r="O1339" s="30"/>
      <c r="P1339" s="39" t="str">
        <f t="shared" si="207"/>
        <v/>
      </c>
      <c r="Q1339" s="40" t="str">
        <f>IF(OR(T1339=0,RIGHT(T1339,1)=$W$1),"",COUNTIF($T$3:T1339,T1339))</f>
        <v/>
      </c>
      <c r="S1339" s="6">
        <f t="shared" si="208"/>
        <v>0</v>
      </c>
      <c r="T1339" s="36">
        <f t="shared" si="209"/>
        <v>0</v>
      </c>
      <c r="V1339" s="6">
        <f t="shared" si="210"/>
        <v>0</v>
      </c>
      <c r="Y1339" s="8">
        <f t="shared" si="211"/>
        <v>46023</v>
      </c>
    </row>
    <row r="1340" spans="2:25" ht="18.75" x14ac:dyDescent="0.3">
      <c r="B1340" s="6">
        <f t="shared" si="203"/>
        <v>0</v>
      </c>
      <c r="C1340" s="6">
        <f t="shared" si="204"/>
        <v>0</v>
      </c>
      <c r="D1340" s="6" t="str">
        <f t="shared" si="205"/>
        <v/>
      </c>
      <c r="E1340" s="35" t="str">
        <f t="shared" si="202"/>
        <v/>
      </c>
      <c r="F1340" s="31"/>
      <c r="G1340" s="29"/>
      <c r="H1340" s="78" t="str">
        <f t="shared" si="206"/>
        <v/>
      </c>
      <c r="I1340" s="25"/>
      <c r="J1340" s="25"/>
      <c r="K1340" s="26"/>
      <c r="L1340" s="26"/>
      <c r="M1340" s="37"/>
      <c r="N1340" s="27"/>
      <c r="O1340" s="30"/>
      <c r="P1340" s="39" t="str">
        <f t="shared" si="207"/>
        <v/>
      </c>
      <c r="Q1340" s="40" t="str">
        <f>IF(OR(T1340=0,RIGHT(T1340,1)=$W$1),"",COUNTIF($T$3:T1340,T1340))</f>
        <v/>
      </c>
      <c r="S1340" s="6">
        <f t="shared" si="208"/>
        <v>0</v>
      </c>
      <c r="T1340" s="36">
        <f t="shared" si="209"/>
        <v>0</v>
      </c>
      <c r="V1340" s="6">
        <f t="shared" si="210"/>
        <v>0</v>
      </c>
      <c r="Y1340" s="8">
        <f t="shared" si="211"/>
        <v>46023</v>
      </c>
    </row>
    <row r="1341" spans="2:25" ht="18.75" x14ac:dyDescent="0.3">
      <c r="B1341" s="6">
        <f t="shared" si="203"/>
        <v>0</v>
      </c>
      <c r="C1341" s="6">
        <f t="shared" si="204"/>
        <v>0</v>
      </c>
      <c r="D1341" s="6" t="str">
        <f t="shared" si="205"/>
        <v/>
      </c>
      <c r="E1341" s="35" t="str">
        <f t="shared" si="202"/>
        <v/>
      </c>
      <c r="F1341" s="31"/>
      <c r="G1341" s="29"/>
      <c r="H1341" s="78" t="str">
        <f t="shared" si="206"/>
        <v/>
      </c>
      <c r="I1341" s="25"/>
      <c r="J1341" s="25"/>
      <c r="K1341" s="26"/>
      <c r="L1341" s="26"/>
      <c r="M1341" s="37"/>
      <c r="N1341" s="27"/>
      <c r="O1341" s="30"/>
      <c r="P1341" s="39" t="str">
        <f t="shared" si="207"/>
        <v/>
      </c>
      <c r="Q1341" s="40" t="str">
        <f>IF(OR(T1341=0,RIGHT(T1341,1)=$W$1),"",COUNTIF($T$3:T1341,T1341))</f>
        <v/>
      </c>
      <c r="S1341" s="6">
        <f t="shared" si="208"/>
        <v>0</v>
      </c>
      <c r="T1341" s="36">
        <f t="shared" si="209"/>
        <v>0</v>
      </c>
      <c r="V1341" s="6">
        <f t="shared" si="210"/>
        <v>0</v>
      </c>
      <c r="Y1341" s="8">
        <f t="shared" si="211"/>
        <v>46023</v>
      </c>
    </row>
    <row r="1342" spans="2:25" ht="18.75" x14ac:dyDescent="0.3">
      <c r="B1342" s="6">
        <f t="shared" si="203"/>
        <v>0</v>
      </c>
      <c r="C1342" s="6">
        <f t="shared" si="204"/>
        <v>0</v>
      </c>
      <c r="D1342" s="6" t="str">
        <f t="shared" si="205"/>
        <v/>
      </c>
      <c r="E1342" s="35" t="str">
        <f t="shared" si="202"/>
        <v/>
      </c>
      <c r="F1342" s="31"/>
      <c r="G1342" s="29"/>
      <c r="H1342" s="78" t="str">
        <f t="shared" si="206"/>
        <v/>
      </c>
      <c r="I1342" s="25"/>
      <c r="J1342" s="25"/>
      <c r="K1342" s="26"/>
      <c r="L1342" s="26"/>
      <c r="M1342" s="37"/>
      <c r="N1342" s="27"/>
      <c r="O1342" s="30"/>
      <c r="P1342" s="39" t="str">
        <f t="shared" si="207"/>
        <v/>
      </c>
      <c r="Q1342" s="40" t="str">
        <f>IF(OR(T1342=0,RIGHT(T1342,1)=$W$1),"",COUNTIF($T$3:T1342,T1342))</f>
        <v/>
      </c>
      <c r="S1342" s="6">
        <f t="shared" si="208"/>
        <v>0</v>
      </c>
      <c r="T1342" s="36">
        <f t="shared" si="209"/>
        <v>0</v>
      </c>
      <c r="V1342" s="6">
        <f t="shared" si="210"/>
        <v>0</v>
      </c>
      <c r="Y1342" s="8">
        <f t="shared" si="211"/>
        <v>46023</v>
      </c>
    </row>
    <row r="1343" spans="2:25" ht="18.75" x14ac:dyDescent="0.3">
      <c r="B1343" s="6">
        <f t="shared" si="203"/>
        <v>0</v>
      </c>
      <c r="C1343" s="6">
        <f t="shared" si="204"/>
        <v>0</v>
      </c>
      <c r="D1343" s="6" t="str">
        <f t="shared" si="205"/>
        <v/>
      </c>
      <c r="E1343" s="35" t="str">
        <f t="shared" si="202"/>
        <v/>
      </c>
      <c r="F1343" s="31"/>
      <c r="G1343" s="29"/>
      <c r="H1343" s="78" t="str">
        <f t="shared" si="206"/>
        <v/>
      </c>
      <c r="I1343" s="25"/>
      <c r="J1343" s="25"/>
      <c r="K1343" s="26"/>
      <c r="L1343" s="26"/>
      <c r="M1343" s="37"/>
      <c r="N1343" s="27"/>
      <c r="O1343" s="30"/>
      <c r="P1343" s="39" t="str">
        <f t="shared" si="207"/>
        <v/>
      </c>
      <c r="Q1343" s="40" t="str">
        <f>IF(OR(T1343=0,RIGHT(T1343,1)=$W$1),"",COUNTIF($T$3:T1343,T1343))</f>
        <v/>
      </c>
      <c r="S1343" s="6">
        <f t="shared" si="208"/>
        <v>0</v>
      </c>
      <c r="T1343" s="36">
        <f t="shared" si="209"/>
        <v>0</v>
      </c>
      <c r="V1343" s="6">
        <f t="shared" si="210"/>
        <v>0</v>
      </c>
      <c r="Y1343" s="8">
        <f t="shared" si="211"/>
        <v>46023</v>
      </c>
    </row>
    <row r="1344" spans="2:25" ht="18.75" x14ac:dyDescent="0.3">
      <c r="B1344" s="6">
        <f t="shared" si="203"/>
        <v>0</v>
      </c>
      <c r="C1344" s="6">
        <f t="shared" si="204"/>
        <v>0</v>
      </c>
      <c r="D1344" s="6" t="str">
        <f t="shared" si="205"/>
        <v/>
      </c>
      <c r="E1344" s="35" t="str">
        <f t="shared" si="202"/>
        <v/>
      </c>
      <c r="F1344" s="31"/>
      <c r="G1344" s="29"/>
      <c r="H1344" s="78" t="str">
        <f t="shared" si="206"/>
        <v/>
      </c>
      <c r="I1344" s="25"/>
      <c r="J1344" s="25"/>
      <c r="K1344" s="26"/>
      <c r="L1344" s="26"/>
      <c r="M1344" s="37"/>
      <c r="N1344" s="27"/>
      <c r="O1344" s="30"/>
      <c r="P1344" s="39" t="str">
        <f t="shared" si="207"/>
        <v/>
      </c>
      <c r="Q1344" s="40" t="str">
        <f>IF(OR(T1344=0,RIGHT(T1344,1)=$W$1),"",COUNTIF($T$3:T1344,T1344))</f>
        <v/>
      </c>
      <c r="S1344" s="6">
        <f t="shared" si="208"/>
        <v>0</v>
      </c>
      <c r="T1344" s="36">
        <f t="shared" si="209"/>
        <v>0</v>
      </c>
      <c r="V1344" s="6">
        <f t="shared" si="210"/>
        <v>0</v>
      </c>
      <c r="Y1344" s="8">
        <f t="shared" si="211"/>
        <v>46023</v>
      </c>
    </row>
    <row r="1345" spans="2:25" ht="18.75" x14ac:dyDescent="0.3">
      <c r="B1345" s="6">
        <f t="shared" si="203"/>
        <v>0</v>
      </c>
      <c r="C1345" s="6">
        <f t="shared" si="204"/>
        <v>0</v>
      </c>
      <c r="D1345" s="6" t="str">
        <f t="shared" si="205"/>
        <v/>
      </c>
      <c r="E1345" s="35" t="str">
        <f t="shared" si="202"/>
        <v/>
      </c>
      <c r="F1345" s="31"/>
      <c r="G1345" s="29"/>
      <c r="H1345" s="78" t="str">
        <f t="shared" si="206"/>
        <v/>
      </c>
      <c r="I1345" s="25"/>
      <c r="J1345" s="25"/>
      <c r="K1345" s="26"/>
      <c r="L1345" s="26"/>
      <c r="M1345" s="37"/>
      <c r="N1345" s="27"/>
      <c r="O1345" s="30"/>
      <c r="P1345" s="39" t="str">
        <f t="shared" si="207"/>
        <v/>
      </c>
      <c r="Q1345" s="40" t="str">
        <f>IF(OR(T1345=0,RIGHT(T1345,1)=$W$1),"",COUNTIF($T$3:T1345,T1345))</f>
        <v/>
      </c>
      <c r="S1345" s="6">
        <f t="shared" si="208"/>
        <v>0</v>
      </c>
      <c r="T1345" s="36">
        <f t="shared" si="209"/>
        <v>0</v>
      </c>
      <c r="V1345" s="6">
        <f t="shared" si="210"/>
        <v>0</v>
      </c>
      <c r="Y1345" s="8">
        <f t="shared" si="211"/>
        <v>46023</v>
      </c>
    </row>
    <row r="1346" spans="2:25" ht="18.75" x14ac:dyDescent="0.3">
      <c r="B1346" s="6">
        <f t="shared" si="203"/>
        <v>0</v>
      </c>
      <c r="C1346" s="6">
        <f t="shared" si="204"/>
        <v>0</v>
      </c>
      <c r="D1346" s="6" t="str">
        <f t="shared" si="205"/>
        <v/>
      </c>
      <c r="E1346" s="35" t="str">
        <f t="shared" si="202"/>
        <v/>
      </c>
      <c r="F1346" s="31"/>
      <c r="G1346" s="29"/>
      <c r="H1346" s="78" t="str">
        <f t="shared" si="206"/>
        <v/>
      </c>
      <c r="I1346" s="25"/>
      <c r="J1346" s="25"/>
      <c r="K1346" s="26"/>
      <c r="L1346" s="26"/>
      <c r="M1346" s="37"/>
      <c r="N1346" s="27"/>
      <c r="O1346" s="30"/>
      <c r="P1346" s="39" t="str">
        <f t="shared" si="207"/>
        <v/>
      </c>
      <c r="Q1346" s="40" t="str">
        <f>IF(OR(T1346=0,RIGHT(T1346,1)=$W$1),"",COUNTIF($T$3:T1346,T1346))</f>
        <v/>
      </c>
      <c r="S1346" s="6">
        <f t="shared" si="208"/>
        <v>0</v>
      </c>
      <c r="T1346" s="36">
        <f t="shared" si="209"/>
        <v>0</v>
      </c>
      <c r="V1346" s="6">
        <f t="shared" si="210"/>
        <v>0</v>
      </c>
      <c r="Y1346" s="8">
        <f t="shared" si="211"/>
        <v>46023</v>
      </c>
    </row>
    <row r="1347" spans="2:25" ht="18.75" x14ac:dyDescent="0.3">
      <c r="B1347" s="6">
        <f t="shared" si="203"/>
        <v>0</v>
      </c>
      <c r="C1347" s="6">
        <f t="shared" si="204"/>
        <v>0</v>
      </c>
      <c r="D1347" s="6" t="str">
        <f t="shared" si="205"/>
        <v/>
      </c>
      <c r="E1347" s="35" t="str">
        <f t="shared" ref="E1347:E1410" si="212">IF(D1347&lt;&gt;"",D1347&amp;" - "&amp;YEAR(F1347),"")</f>
        <v/>
      </c>
      <c r="F1347" s="31"/>
      <c r="G1347" s="29"/>
      <c r="H1347" s="78" t="str">
        <f t="shared" si="206"/>
        <v/>
      </c>
      <c r="I1347" s="25"/>
      <c r="J1347" s="25"/>
      <c r="K1347" s="26"/>
      <c r="L1347" s="26"/>
      <c r="M1347" s="37"/>
      <c r="N1347" s="27"/>
      <c r="O1347" s="30"/>
      <c r="P1347" s="39" t="str">
        <f t="shared" si="207"/>
        <v/>
      </c>
      <c r="Q1347" s="40" t="str">
        <f>IF(OR(T1347=0,RIGHT(T1347,1)=$W$1),"",COUNTIF($T$3:T1347,T1347))</f>
        <v/>
      </c>
      <c r="S1347" s="6">
        <f t="shared" si="208"/>
        <v>0</v>
      </c>
      <c r="T1347" s="36">
        <f t="shared" si="209"/>
        <v>0</v>
      </c>
      <c r="V1347" s="6">
        <f t="shared" si="210"/>
        <v>0</v>
      </c>
      <c r="Y1347" s="8">
        <f t="shared" si="211"/>
        <v>46023</v>
      </c>
    </row>
    <row r="1348" spans="2:25" ht="18.75" x14ac:dyDescent="0.3">
      <c r="B1348" s="6">
        <f t="shared" ref="B1348:B1411" si="213">IF($B$1=YEAR(F1348),B1347+1,B1347)</f>
        <v>0</v>
      </c>
      <c r="C1348" s="6">
        <f t="shared" ref="C1348:C1411" si="214">IF(AND($C$1=K1348,$Y$1=YEAR(F1348)),C1347+1,C1347)</f>
        <v>0</v>
      </c>
      <c r="D1348" s="6" t="str">
        <f t="shared" ref="D1348:D1411" si="215">IF(F1348&lt;&gt;0,IF(YEAR(F1348)&lt;&gt;YEAR(F1347),1,IF(M1348=$AI$1,D1347,D1347+1)),"")</f>
        <v/>
      </c>
      <c r="E1348" s="35" t="str">
        <f t="shared" si="212"/>
        <v/>
      </c>
      <c r="F1348" s="31"/>
      <c r="G1348" s="29"/>
      <c r="H1348" s="78" t="str">
        <f t="shared" ref="H1348:H1411" si="216">IF(G1348&lt;&gt;"",F1348,"")</f>
        <v/>
      </c>
      <c r="I1348" s="25"/>
      <c r="J1348" s="25"/>
      <c r="K1348" s="26"/>
      <c r="L1348" s="26"/>
      <c r="M1348" s="37"/>
      <c r="N1348" s="27"/>
      <c r="O1348" s="30"/>
      <c r="P1348" s="39" t="str">
        <f t="shared" ref="P1348:P1411" si="217">IF(OR(T1348=0,RIGHT(T1348,1)=$W$1),"",VLOOKUP(K1348,$AD$1:$AK$15,5,FALSE))</f>
        <v/>
      </c>
      <c r="Q1348" s="40" t="str">
        <f>IF(OR(T1348=0,RIGHT(T1348,1)=$W$1),"",COUNTIF($T$3:T1348,T1348))</f>
        <v/>
      </c>
      <c r="S1348" s="6">
        <f t="shared" ref="S1348:S1411" si="218">IF(AND($C$1=K1348,$Y$1=YEAR(F1348)),C1348,0)</f>
        <v>0</v>
      </c>
      <c r="T1348" s="36">
        <f t="shared" ref="T1348:T1411" si="219">IF(F1348=0,0,YEAR(F1348)&amp;VLOOKUP(K1348,$AD$1:$AE$15,2,FALSE))</f>
        <v>0</v>
      </c>
      <c r="V1348" s="6">
        <f t="shared" ref="V1348:V1411" si="220">IF(AND(YEAR(F1348)=$Y$1,K1348=$C$1,L1348&amp;$V$1&lt;&gt;$V$1),L1348,IF(AND(YEAR(F1348)=$Y$1,K1348=$C$1),1,0))</f>
        <v>0</v>
      </c>
      <c r="Y1348" s="8">
        <f t="shared" ref="Y1348:Y1411" si="221">IF(M1348&lt;&gt;$AI$1,$Y$2,F1347)</f>
        <v>46023</v>
      </c>
    </row>
    <row r="1349" spans="2:25" ht="18.75" x14ac:dyDescent="0.3">
      <c r="B1349" s="6">
        <f t="shared" si="213"/>
        <v>0</v>
      </c>
      <c r="C1349" s="6">
        <f t="shared" si="214"/>
        <v>0</v>
      </c>
      <c r="D1349" s="6" t="str">
        <f t="shared" si="215"/>
        <v/>
      </c>
      <c r="E1349" s="35" t="str">
        <f t="shared" si="212"/>
        <v/>
      </c>
      <c r="F1349" s="31"/>
      <c r="G1349" s="29"/>
      <c r="H1349" s="78" t="str">
        <f t="shared" si="216"/>
        <v/>
      </c>
      <c r="I1349" s="25"/>
      <c r="J1349" s="25"/>
      <c r="K1349" s="26"/>
      <c r="L1349" s="26"/>
      <c r="M1349" s="37"/>
      <c r="N1349" s="27"/>
      <c r="O1349" s="30"/>
      <c r="P1349" s="39" t="str">
        <f t="shared" si="217"/>
        <v/>
      </c>
      <c r="Q1349" s="40" t="str">
        <f>IF(OR(T1349=0,RIGHT(T1349,1)=$W$1),"",COUNTIF($T$3:T1349,T1349))</f>
        <v/>
      </c>
      <c r="S1349" s="6">
        <f t="shared" si="218"/>
        <v>0</v>
      </c>
      <c r="T1349" s="36">
        <f t="shared" si="219"/>
        <v>0</v>
      </c>
      <c r="V1349" s="6">
        <f t="shared" si="220"/>
        <v>0</v>
      </c>
      <c r="Y1349" s="8">
        <f t="shared" si="221"/>
        <v>46023</v>
      </c>
    </row>
    <row r="1350" spans="2:25" ht="18.75" x14ac:dyDescent="0.3">
      <c r="B1350" s="6">
        <f t="shared" si="213"/>
        <v>0</v>
      </c>
      <c r="C1350" s="6">
        <f t="shared" si="214"/>
        <v>0</v>
      </c>
      <c r="D1350" s="6" t="str">
        <f t="shared" si="215"/>
        <v/>
      </c>
      <c r="E1350" s="35" t="str">
        <f t="shared" si="212"/>
        <v/>
      </c>
      <c r="F1350" s="31"/>
      <c r="G1350" s="29"/>
      <c r="H1350" s="78" t="str">
        <f t="shared" si="216"/>
        <v/>
      </c>
      <c r="I1350" s="25"/>
      <c r="J1350" s="25"/>
      <c r="K1350" s="26"/>
      <c r="L1350" s="26"/>
      <c r="M1350" s="37"/>
      <c r="N1350" s="27"/>
      <c r="O1350" s="30"/>
      <c r="P1350" s="39" t="str">
        <f t="shared" si="217"/>
        <v/>
      </c>
      <c r="Q1350" s="40" t="str">
        <f>IF(OR(T1350=0,RIGHT(T1350,1)=$W$1),"",COUNTIF($T$3:T1350,T1350))</f>
        <v/>
      </c>
      <c r="S1350" s="6">
        <f t="shared" si="218"/>
        <v>0</v>
      </c>
      <c r="T1350" s="36">
        <f t="shared" si="219"/>
        <v>0</v>
      </c>
      <c r="V1350" s="6">
        <f t="shared" si="220"/>
        <v>0</v>
      </c>
      <c r="Y1350" s="8">
        <f t="shared" si="221"/>
        <v>46023</v>
      </c>
    </row>
    <row r="1351" spans="2:25" ht="18.75" x14ac:dyDescent="0.3">
      <c r="B1351" s="6">
        <f t="shared" si="213"/>
        <v>0</v>
      </c>
      <c r="C1351" s="6">
        <f t="shared" si="214"/>
        <v>0</v>
      </c>
      <c r="D1351" s="6" t="str">
        <f t="shared" si="215"/>
        <v/>
      </c>
      <c r="E1351" s="35" t="str">
        <f t="shared" si="212"/>
        <v/>
      </c>
      <c r="F1351" s="31"/>
      <c r="G1351" s="29"/>
      <c r="H1351" s="78" t="str">
        <f t="shared" si="216"/>
        <v/>
      </c>
      <c r="I1351" s="25"/>
      <c r="J1351" s="25"/>
      <c r="K1351" s="26"/>
      <c r="L1351" s="26"/>
      <c r="M1351" s="37"/>
      <c r="N1351" s="27"/>
      <c r="O1351" s="30"/>
      <c r="P1351" s="39" t="str">
        <f t="shared" si="217"/>
        <v/>
      </c>
      <c r="Q1351" s="40" t="str">
        <f>IF(OR(T1351=0,RIGHT(T1351,1)=$W$1),"",COUNTIF($T$3:T1351,T1351))</f>
        <v/>
      </c>
      <c r="S1351" s="6">
        <f t="shared" si="218"/>
        <v>0</v>
      </c>
      <c r="T1351" s="36">
        <f t="shared" si="219"/>
        <v>0</v>
      </c>
      <c r="V1351" s="6">
        <f t="shared" si="220"/>
        <v>0</v>
      </c>
      <c r="Y1351" s="8">
        <f t="shared" si="221"/>
        <v>46023</v>
      </c>
    </row>
    <row r="1352" spans="2:25" ht="18.75" x14ac:dyDescent="0.3">
      <c r="B1352" s="6">
        <f t="shared" si="213"/>
        <v>0</v>
      </c>
      <c r="C1352" s="6">
        <f t="shared" si="214"/>
        <v>0</v>
      </c>
      <c r="D1352" s="6" t="str">
        <f t="shared" si="215"/>
        <v/>
      </c>
      <c r="E1352" s="35" t="str">
        <f t="shared" si="212"/>
        <v/>
      </c>
      <c r="F1352" s="31"/>
      <c r="G1352" s="29"/>
      <c r="H1352" s="78" t="str">
        <f t="shared" si="216"/>
        <v/>
      </c>
      <c r="I1352" s="25"/>
      <c r="J1352" s="25"/>
      <c r="K1352" s="26"/>
      <c r="L1352" s="26"/>
      <c r="M1352" s="37"/>
      <c r="N1352" s="27"/>
      <c r="O1352" s="30"/>
      <c r="P1352" s="39" t="str">
        <f t="shared" si="217"/>
        <v/>
      </c>
      <c r="Q1352" s="40" t="str">
        <f>IF(OR(T1352=0,RIGHT(T1352,1)=$W$1),"",COUNTIF($T$3:T1352,T1352))</f>
        <v/>
      </c>
      <c r="S1352" s="6">
        <f t="shared" si="218"/>
        <v>0</v>
      </c>
      <c r="T1352" s="36">
        <f t="shared" si="219"/>
        <v>0</v>
      </c>
      <c r="V1352" s="6">
        <f t="shared" si="220"/>
        <v>0</v>
      </c>
      <c r="Y1352" s="8">
        <f t="shared" si="221"/>
        <v>46023</v>
      </c>
    </row>
    <row r="1353" spans="2:25" ht="18.75" x14ac:dyDescent="0.3">
      <c r="B1353" s="6">
        <f t="shared" si="213"/>
        <v>0</v>
      </c>
      <c r="C1353" s="6">
        <f t="shared" si="214"/>
        <v>0</v>
      </c>
      <c r="D1353" s="6" t="str">
        <f t="shared" si="215"/>
        <v/>
      </c>
      <c r="E1353" s="35" t="str">
        <f t="shared" si="212"/>
        <v/>
      </c>
      <c r="F1353" s="31"/>
      <c r="G1353" s="29"/>
      <c r="H1353" s="78" t="str">
        <f t="shared" si="216"/>
        <v/>
      </c>
      <c r="I1353" s="25"/>
      <c r="J1353" s="25"/>
      <c r="K1353" s="26"/>
      <c r="L1353" s="26"/>
      <c r="M1353" s="37"/>
      <c r="N1353" s="27"/>
      <c r="O1353" s="30"/>
      <c r="P1353" s="39" t="str">
        <f t="shared" si="217"/>
        <v/>
      </c>
      <c r="Q1353" s="40" t="str">
        <f>IF(OR(T1353=0,RIGHT(T1353,1)=$W$1),"",COUNTIF($T$3:T1353,T1353))</f>
        <v/>
      </c>
      <c r="S1353" s="6">
        <f t="shared" si="218"/>
        <v>0</v>
      </c>
      <c r="T1353" s="36">
        <f t="shared" si="219"/>
        <v>0</v>
      </c>
      <c r="V1353" s="6">
        <f t="shared" si="220"/>
        <v>0</v>
      </c>
      <c r="Y1353" s="8">
        <f t="shared" si="221"/>
        <v>46023</v>
      </c>
    </row>
    <row r="1354" spans="2:25" ht="18.75" x14ac:dyDescent="0.3">
      <c r="B1354" s="6">
        <f t="shared" si="213"/>
        <v>0</v>
      </c>
      <c r="C1354" s="6">
        <f t="shared" si="214"/>
        <v>0</v>
      </c>
      <c r="D1354" s="6" t="str">
        <f t="shared" si="215"/>
        <v/>
      </c>
      <c r="E1354" s="35" t="str">
        <f t="shared" si="212"/>
        <v/>
      </c>
      <c r="F1354" s="31"/>
      <c r="G1354" s="29"/>
      <c r="H1354" s="78" t="str">
        <f t="shared" si="216"/>
        <v/>
      </c>
      <c r="I1354" s="25"/>
      <c r="J1354" s="25"/>
      <c r="K1354" s="26"/>
      <c r="L1354" s="26"/>
      <c r="M1354" s="37"/>
      <c r="N1354" s="27"/>
      <c r="O1354" s="30"/>
      <c r="P1354" s="39" t="str">
        <f t="shared" si="217"/>
        <v/>
      </c>
      <c r="Q1354" s="40" t="str">
        <f>IF(OR(T1354=0,RIGHT(T1354,1)=$W$1),"",COUNTIF($T$3:T1354,T1354))</f>
        <v/>
      </c>
      <c r="S1354" s="6">
        <f t="shared" si="218"/>
        <v>0</v>
      </c>
      <c r="T1354" s="36">
        <f t="shared" si="219"/>
        <v>0</v>
      </c>
      <c r="V1354" s="6">
        <f t="shared" si="220"/>
        <v>0</v>
      </c>
      <c r="Y1354" s="8">
        <f t="shared" si="221"/>
        <v>46023</v>
      </c>
    </row>
    <row r="1355" spans="2:25" ht="18.75" x14ac:dyDescent="0.3">
      <c r="B1355" s="6">
        <f t="shared" si="213"/>
        <v>0</v>
      </c>
      <c r="C1355" s="6">
        <f t="shared" si="214"/>
        <v>0</v>
      </c>
      <c r="D1355" s="6" t="str">
        <f t="shared" si="215"/>
        <v/>
      </c>
      <c r="E1355" s="35" t="str">
        <f t="shared" si="212"/>
        <v/>
      </c>
      <c r="F1355" s="31"/>
      <c r="G1355" s="29"/>
      <c r="H1355" s="78" t="str">
        <f t="shared" si="216"/>
        <v/>
      </c>
      <c r="I1355" s="25"/>
      <c r="J1355" s="25"/>
      <c r="K1355" s="26"/>
      <c r="L1355" s="26"/>
      <c r="M1355" s="37"/>
      <c r="N1355" s="27"/>
      <c r="O1355" s="30"/>
      <c r="P1355" s="39" t="str">
        <f t="shared" si="217"/>
        <v/>
      </c>
      <c r="Q1355" s="40" t="str">
        <f>IF(OR(T1355=0,RIGHT(T1355,1)=$W$1),"",COUNTIF($T$3:T1355,T1355))</f>
        <v/>
      </c>
      <c r="S1355" s="6">
        <f t="shared" si="218"/>
        <v>0</v>
      </c>
      <c r="T1355" s="36">
        <f t="shared" si="219"/>
        <v>0</v>
      </c>
      <c r="V1355" s="6">
        <f t="shared" si="220"/>
        <v>0</v>
      </c>
      <c r="Y1355" s="8">
        <f t="shared" si="221"/>
        <v>46023</v>
      </c>
    </row>
    <row r="1356" spans="2:25" ht="18.75" x14ac:dyDescent="0.3">
      <c r="B1356" s="6">
        <f t="shared" si="213"/>
        <v>0</v>
      </c>
      <c r="C1356" s="6">
        <f t="shared" si="214"/>
        <v>0</v>
      </c>
      <c r="D1356" s="6" t="str">
        <f t="shared" si="215"/>
        <v/>
      </c>
      <c r="E1356" s="35" t="str">
        <f t="shared" si="212"/>
        <v/>
      </c>
      <c r="F1356" s="31"/>
      <c r="G1356" s="29"/>
      <c r="H1356" s="78" t="str">
        <f t="shared" si="216"/>
        <v/>
      </c>
      <c r="I1356" s="25"/>
      <c r="J1356" s="25"/>
      <c r="K1356" s="26"/>
      <c r="L1356" s="26"/>
      <c r="M1356" s="37"/>
      <c r="N1356" s="27"/>
      <c r="O1356" s="30"/>
      <c r="P1356" s="39" t="str">
        <f t="shared" si="217"/>
        <v/>
      </c>
      <c r="Q1356" s="40" t="str">
        <f>IF(OR(T1356=0,RIGHT(T1356,1)=$W$1),"",COUNTIF($T$3:T1356,T1356))</f>
        <v/>
      </c>
      <c r="S1356" s="6">
        <f t="shared" si="218"/>
        <v>0</v>
      </c>
      <c r="T1356" s="36">
        <f t="shared" si="219"/>
        <v>0</v>
      </c>
      <c r="V1356" s="6">
        <f t="shared" si="220"/>
        <v>0</v>
      </c>
      <c r="Y1356" s="8">
        <f t="shared" si="221"/>
        <v>46023</v>
      </c>
    </row>
    <row r="1357" spans="2:25" ht="18.75" x14ac:dyDescent="0.3">
      <c r="B1357" s="6">
        <f t="shared" si="213"/>
        <v>0</v>
      </c>
      <c r="C1357" s="6">
        <f t="shared" si="214"/>
        <v>0</v>
      </c>
      <c r="D1357" s="6" t="str">
        <f t="shared" si="215"/>
        <v/>
      </c>
      <c r="E1357" s="35" t="str">
        <f t="shared" si="212"/>
        <v/>
      </c>
      <c r="F1357" s="31"/>
      <c r="G1357" s="29"/>
      <c r="H1357" s="78" t="str">
        <f t="shared" si="216"/>
        <v/>
      </c>
      <c r="I1357" s="25"/>
      <c r="J1357" s="25"/>
      <c r="K1357" s="26"/>
      <c r="L1357" s="26"/>
      <c r="M1357" s="37"/>
      <c r="N1357" s="27"/>
      <c r="O1357" s="30"/>
      <c r="P1357" s="39" t="str">
        <f t="shared" si="217"/>
        <v/>
      </c>
      <c r="Q1357" s="40" t="str">
        <f>IF(OR(T1357=0,RIGHT(T1357,1)=$W$1),"",COUNTIF($T$3:T1357,T1357))</f>
        <v/>
      </c>
      <c r="S1357" s="6">
        <f t="shared" si="218"/>
        <v>0</v>
      </c>
      <c r="T1357" s="36">
        <f t="shared" si="219"/>
        <v>0</v>
      </c>
      <c r="V1357" s="6">
        <f t="shared" si="220"/>
        <v>0</v>
      </c>
      <c r="Y1357" s="8">
        <f t="shared" si="221"/>
        <v>46023</v>
      </c>
    </row>
    <row r="1358" spans="2:25" ht="18.75" x14ac:dyDescent="0.3">
      <c r="B1358" s="6">
        <f t="shared" si="213"/>
        <v>0</v>
      </c>
      <c r="C1358" s="6">
        <f t="shared" si="214"/>
        <v>0</v>
      </c>
      <c r="D1358" s="6" t="str">
        <f t="shared" si="215"/>
        <v/>
      </c>
      <c r="E1358" s="35" t="str">
        <f t="shared" si="212"/>
        <v/>
      </c>
      <c r="F1358" s="31"/>
      <c r="G1358" s="29"/>
      <c r="H1358" s="78" t="str">
        <f t="shared" si="216"/>
        <v/>
      </c>
      <c r="I1358" s="25"/>
      <c r="J1358" s="25"/>
      <c r="K1358" s="26"/>
      <c r="L1358" s="26"/>
      <c r="M1358" s="37"/>
      <c r="N1358" s="27"/>
      <c r="O1358" s="30"/>
      <c r="P1358" s="39" t="str">
        <f t="shared" si="217"/>
        <v/>
      </c>
      <c r="Q1358" s="40" t="str">
        <f>IF(OR(T1358=0,RIGHT(T1358,1)=$W$1),"",COUNTIF($T$3:T1358,T1358))</f>
        <v/>
      </c>
      <c r="S1358" s="6">
        <f t="shared" si="218"/>
        <v>0</v>
      </c>
      <c r="T1358" s="36">
        <f t="shared" si="219"/>
        <v>0</v>
      </c>
      <c r="V1358" s="6">
        <f t="shared" si="220"/>
        <v>0</v>
      </c>
      <c r="Y1358" s="8">
        <f t="shared" si="221"/>
        <v>46023</v>
      </c>
    </row>
    <row r="1359" spans="2:25" ht="18.75" x14ac:dyDescent="0.3">
      <c r="B1359" s="6">
        <f t="shared" si="213"/>
        <v>0</v>
      </c>
      <c r="C1359" s="6">
        <f t="shared" si="214"/>
        <v>0</v>
      </c>
      <c r="D1359" s="6" t="str">
        <f t="shared" si="215"/>
        <v/>
      </c>
      <c r="E1359" s="35" t="str">
        <f t="shared" si="212"/>
        <v/>
      </c>
      <c r="F1359" s="31"/>
      <c r="G1359" s="29"/>
      <c r="H1359" s="78" t="str">
        <f t="shared" si="216"/>
        <v/>
      </c>
      <c r="I1359" s="25"/>
      <c r="J1359" s="25"/>
      <c r="K1359" s="26"/>
      <c r="L1359" s="26"/>
      <c r="M1359" s="37"/>
      <c r="N1359" s="27"/>
      <c r="O1359" s="30"/>
      <c r="P1359" s="39" t="str">
        <f t="shared" si="217"/>
        <v/>
      </c>
      <c r="Q1359" s="40" t="str">
        <f>IF(OR(T1359=0,RIGHT(T1359,1)=$W$1),"",COUNTIF($T$3:T1359,T1359))</f>
        <v/>
      </c>
      <c r="S1359" s="6">
        <f t="shared" si="218"/>
        <v>0</v>
      </c>
      <c r="T1359" s="36">
        <f t="shared" si="219"/>
        <v>0</v>
      </c>
      <c r="V1359" s="6">
        <f t="shared" si="220"/>
        <v>0</v>
      </c>
      <c r="Y1359" s="8">
        <f t="shared" si="221"/>
        <v>46023</v>
      </c>
    </row>
    <row r="1360" spans="2:25" ht="18.75" x14ac:dyDescent="0.3">
      <c r="B1360" s="6">
        <f t="shared" si="213"/>
        <v>0</v>
      </c>
      <c r="C1360" s="6">
        <f t="shared" si="214"/>
        <v>0</v>
      </c>
      <c r="D1360" s="6" t="str">
        <f t="shared" si="215"/>
        <v/>
      </c>
      <c r="E1360" s="35" t="str">
        <f t="shared" si="212"/>
        <v/>
      </c>
      <c r="F1360" s="31"/>
      <c r="G1360" s="29"/>
      <c r="H1360" s="78" t="str">
        <f t="shared" si="216"/>
        <v/>
      </c>
      <c r="I1360" s="25"/>
      <c r="J1360" s="25"/>
      <c r="K1360" s="26"/>
      <c r="L1360" s="26"/>
      <c r="M1360" s="37"/>
      <c r="N1360" s="27"/>
      <c r="O1360" s="30"/>
      <c r="P1360" s="39" t="str">
        <f t="shared" si="217"/>
        <v/>
      </c>
      <c r="Q1360" s="40" t="str">
        <f>IF(OR(T1360=0,RIGHT(T1360,1)=$W$1),"",COUNTIF($T$3:T1360,T1360))</f>
        <v/>
      </c>
      <c r="S1360" s="6">
        <f t="shared" si="218"/>
        <v>0</v>
      </c>
      <c r="T1360" s="36">
        <f t="shared" si="219"/>
        <v>0</v>
      </c>
      <c r="V1360" s="6">
        <f t="shared" si="220"/>
        <v>0</v>
      </c>
      <c r="Y1360" s="8">
        <f t="shared" si="221"/>
        <v>46023</v>
      </c>
    </row>
    <row r="1361" spans="2:25" ht="18.75" x14ac:dyDescent="0.3">
      <c r="B1361" s="6">
        <f t="shared" si="213"/>
        <v>0</v>
      </c>
      <c r="C1361" s="6">
        <f t="shared" si="214"/>
        <v>0</v>
      </c>
      <c r="D1361" s="6" t="str">
        <f t="shared" si="215"/>
        <v/>
      </c>
      <c r="E1361" s="35" t="str">
        <f t="shared" si="212"/>
        <v/>
      </c>
      <c r="F1361" s="31"/>
      <c r="G1361" s="29"/>
      <c r="H1361" s="78" t="str">
        <f t="shared" si="216"/>
        <v/>
      </c>
      <c r="I1361" s="25"/>
      <c r="J1361" s="25"/>
      <c r="K1361" s="26"/>
      <c r="L1361" s="26"/>
      <c r="M1361" s="37"/>
      <c r="N1361" s="27"/>
      <c r="O1361" s="30"/>
      <c r="P1361" s="39" t="str">
        <f t="shared" si="217"/>
        <v/>
      </c>
      <c r="Q1361" s="40" t="str">
        <f>IF(OR(T1361=0,RIGHT(T1361,1)=$W$1),"",COUNTIF($T$3:T1361,T1361))</f>
        <v/>
      </c>
      <c r="S1361" s="6">
        <f t="shared" si="218"/>
        <v>0</v>
      </c>
      <c r="T1361" s="36">
        <f t="shared" si="219"/>
        <v>0</v>
      </c>
      <c r="V1361" s="6">
        <f t="shared" si="220"/>
        <v>0</v>
      </c>
      <c r="Y1361" s="8">
        <f t="shared" si="221"/>
        <v>46023</v>
      </c>
    </row>
    <row r="1362" spans="2:25" ht="18.75" x14ac:dyDescent="0.3">
      <c r="B1362" s="6">
        <f t="shared" si="213"/>
        <v>0</v>
      </c>
      <c r="C1362" s="6">
        <f t="shared" si="214"/>
        <v>0</v>
      </c>
      <c r="D1362" s="6" t="str">
        <f t="shared" si="215"/>
        <v/>
      </c>
      <c r="E1362" s="35" t="str">
        <f t="shared" si="212"/>
        <v/>
      </c>
      <c r="F1362" s="31"/>
      <c r="G1362" s="29"/>
      <c r="H1362" s="78" t="str">
        <f t="shared" si="216"/>
        <v/>
      </c>
      <c r="I1362" s="25"/>
      <c r="J1362" s="25"/>
      <c r="K1362" s="26"/>
      <c r="L1362" s="26"/>
      <c r="M1362" s="37"/>
      <c r="N1362" s="27"/>
      <c r="O1362" s="30"/>
      <c r="P1362" s="39" t="str">
        <f t="shared" si="217"/>
        <v/>
      </c>
      <c r="Q1362" s="40" t="str">
        <f>IF(OR(T1362=0,RIGHT(T1362,1)=$W$1),"",COUNTIF($T$3:T1362,T1362))</f>
        <v/>
      </c>
      <c r="S1362" s="6">
        <f t="shared" si="218"/>
        <v>0</v>
      </c>
      <c r="T1362" s="36">
        <f t="shared" si="219"/>
        <v>0</v>
      </c>
      <c r="V1362" s="6">
        <f t="shared" si="220"/>
        <v>0</v>
      </c>
      <c r="Y1362" s="8">
        <f t="shared" si="221"/>
        <v>46023</v>
      </c>
    </row>
    <row r="1363" spans="2:25" ht="18.75" x14ac:dyDescent="0.3">
      <c r="B1363" s="6">
        <f t="shared" si="213"/>
        <v>0</v>
      </c>
      <c r="C1363" s="6">
        <f t="shared" si="214"/>
        <v>0</v>
      </c>
      <c r="D1363" s="6" t="str">
        <f t="shared" si="215"/>
        <v/>
      </c>
      <c r="E1363" s="35" t="str">
        <f t="shared" si="212"/>
        <v/>
      </c>
      <c r="F1363" s="31"/>
      <c r="G1363" s="29"/>
      <c r="H1363" s="78" t="str">
        <f t="shared" si="216"/>
        <v/>
      </c>
      <c r="I1363" s="25"/>
      <c r="J1363" s="25"/>
      <c r="K1363" s="26"/>
      <c r="L1363" s="26"/>
      <c r="M1363" s="37"/>
      <c r="N1363" s="27"/>
      <c r="O1363" s="30"/>
      <c r="P1363" s="39" t="str">
        <f t="shared" si="217"/>
        <v/>
      </c>
      <c r="Q1363" s="40" t="str">
        <f>IF(OR(T1363=0,RIGHT(T1363,1)=$W$1),"",COUNTIF($T$3:T1363,T1363))</f>
        <v/>
      </c>
      <c r="S1363" s="6">
        <f t="shared" si="218"/>
        <v>0</v>
      </c>
      <c r="T1363" s="36">
        <f t="shared" si="219"/>
        <v>0</v>
      </c>
      <c r="V1363" s="6">
        <f t="shared" si="220"/>
        <v>0</v>
      </c>
      <c r="Y1363" s="8">
        <f t="shared" si="221"/>
        <v>46023</v>
      </c>
    </row>
    <row r="1364" spans="2:25" ht="18.75" x14ac:dyDescent="0.3">
      <c r="B1364" s="6">
        <f t="shared" si="213"/>
        <v>0</v>
      </c>
      <c r="C1364" s="6">
        <f t="shared" si="214"/>
        <v>0</v>
      </c>
      <c r="D1364" s="6" t="str">
        <f t="shared" si="215"/>
        <v/>
      </c>
      <c r="E1364" s="35" t="str">
        <f t="shared" si="212"/>
        <v/>
      </c>
      <c r="F1364" s="31"/>
      <c r="G1364" s="29"/>
      <c r="H1364" s="78" t="str">
        <f t="shared" si="216"/>
        <v/>
      </c>
      <c r="I1364" s="25"/>
      <c r="J1364" s="25"/>
      <c r="K1364" s="26"/>
      <c r="L1364" s="26"/>
      <c r="M1364" s="37"/>
      <c r="N1364" s="27"/>
      <c r="O1364" s="30"/>
      <c r="P1364" s="39" t="str">
        <f t="shared" si="217"/>
        <v/>
      </c>
      <c r="Q1364" s="40" t="str">
        <f>IF(OR(T1364=0,RIGHT(T1364,1)=$W$1),"",COUNTIF($T$3:T1364,T1364))</f>
        <v/>
      </c>
      <c r="S1364" s="6">
        <f t="shared" si="218"/>
        <v>0</v>
      </c>
      <c r="T1364" s="36">
        <f t="shared" si="219"/>
        <v>0</v>
      </c>
      <c r="V1364" s="6">
        <f t="shared" si="220"/>
        <v>0</v>
      </c>
      <c r="Y1364" s="8">
        <f t="shared" si="221"/>
        <v>46023</v>
      </c>
    </row>
    <row r="1365" spans="2:25" ht="18.75" x14ac:dyDescent="0.3">
      <c r="B1365" s="6">
        <f t="shared" si="213"/>
        <v>0</v>
      </c>
      <c r="C1365" s="6">
        <f t="shared" si="214"/>
        <v>0</v>
      </c>
      <c r="D1365" s="6" t="str">
        <f t="shared" si="215"/>
        <v/>
      </c>
      <c r="E1365" s="35" t="str">
        <f t="shared" si="212"/>
        <v/>
      </c>
      <c r="F1365" s="31"/>
      <c r="G1365" s="29"/>
      <c r="H1365" s="78" t="str">
        <f t="shared" si="216"/>
        <v/>
      </c>
      <c r="I1365" s="25"/>
      <c r="J1365" s="25"/>
      <c r="K1365" s="26"/>
      <c r="L1365" s="26"/>
      <c r="M1365" s="37"/>
      <c r="N1365" s="27"/>
      <c r="O1365" s="30"/>
      <c r="P1365" s="39" t="str">
        <f t="shared" si="217"/>
        <v/>
      </c>
      <c r="Q1365" s="40" t="str">
        <f>IF(OR(T1365=0,RIGHT(T1365,1)=$W$1),"",COUNTIF($T$3:T1365,T1365))</f>
        <v/>
      </c>
      <c r="S1365" s="6">
        <f t="shared" si="218"/>
        <v>0</v>
      </c>
      <c r="T1365" s="36">
        <f t="shared" si="219"/>
        <v>0</v>
      </c>
      <c r="V1365" s="6">
        <f t="shared" si="220"/>
        <v>0</v>
      </c>
      <c r="Y1365" s="8">
        <f t="shared" si="221"/>
        <v>46023</v>
      </c>
    </row>
    <row r="1366" spans="2:25" ht="18.75" x14ac:dyDescent="0.3">
      <c r="B1366" s="6">
        <f t="shared" si="213"/>
        <v>0</v>
      </c>
      <c r="C1366" s="6">
        <f t="shared" si="214"/>
        <v>0</v>
      </c>
      <c r="D1366" s="6" t="str">
        <f t="shared" si="215"/>
        <v/>
      </c>
      <c r="E1366" s="35" t="str">
        <f t="shared" si="212"/>
        <v/>
      </c>
      <c r="F1366" s="31"/>
      <c r="G1366" s="29"/>
      <c r="H1366" s="78" t="str">
        <f t="shared" si="216"/>
        <v/>
      </c>
      <c r="I1366" s="25"/>
      <c r="J1366" s="25"/>
      <c r="K1366" s="26"/>
      <c r="L1366" s="26"/>
      <c r="M1366" s="37"/>
      <c r="N1366" s="27"/>
      <c r="O1366" s="30"/>
      <c r="P1366" s="39" t="str">
        <f t="shared" si="217"/>
        <v/>
      </c>
      <c r="Q1366" s="40" t="str">
        <f>IF(OR(T1366=0,RIGHT(T1366,1)=$W$1),"",COUNTIF($T$3:T1366,T1366))</f>
        <v/>
      </c>
      <c r="S1366" s="6">
        <f t="shared" si="218"/>
        <v>0</v>
      </c>
      <c r="T1366" s="36">
        <f t="shared" si="219"/>
        <v>0</v>
      </c>
      <c r="V1366" s="6">
        <f t="shared" si="220"/>
        <v>0</v>
      </c>
      <c r="Y1366" s="8">
        <f t="shared" si="221"/>
        <v>46023</v>
      </c>
    </row>
    <row r="1367" spans="2:25" ht="18.75" x14ac:dyDescent="0.3">
      <c r="B1367" s="6">
        <f t="shared" si="213"/>
        <v>0</v>
      </c>
      <c r="C1367" s="6">
        <f t="shared" si="214"/>
        <v>0</v>
      </c>
      <c r="D1367" s="6" t="str">
        <f t="shared" si="215"/>
        <v/>
      </c>
      <c r="E1367" s="35" t="str">
        <f t="shared" si="212"/>
        <v/>
      </c>
      <c r="F1367" s="31"/>
      <c r="G1367" s="29"/>
      <c r="H1367" s="78" t="str">
        <f t="shared" si="216"/>
        <v/>
      </c>
      <c r="I1367" s="25"/>
      <c r="J1367" s="25"/>
      <c r="K1367" s="26"/>
      <c r="L1367" s="26"/>
      <c r="M1367" s="37"/>
      <c r="N1367" s="27"/>
      <c r="O1367" s="30"/>
      <c r="P1367" s="39" t="str">
        <f t="shared" si="217"/>
        <v/>
      </c>
      <c r="Q1367" s="40" t="str">
        <f>IF(OR(T1367=0,RIGHT(T1367,1)=$W$1),"",COUNTIF($T$3:T1367,T1367))</f>
        <v/>
      </c>
      <c r="S1367" s="6">
        <f t="shared" si="218"/>
        <v>0</v>
      </c>
      <c r="T1367" s="36">
        <f t="shared" si="219"/>
        <v>0</v>
      </c>
      <c r="V1367" s="6">
        <f t="shared" si="220"/>
        <v>0</v>
      </c>
      <c r="Y1367" s="8">
        <f t="shared" si="221"/>
        <v>46023</v>
      </c>
    </row>
    <row r="1368" spans="2:25" ht="18.75" x14ac:dyDescent="0.3">
      <c r="B1368" s="6">
        <f t="shared" si="213"/>
        <v>0</v>
      </c>
      <c r="C1368" s="6">
        <f t="shared" si="214"/>
        <v>0</v>
      </c>
      <c r="D1368" s="6" t="str">
        <f t="shared" si="215"/>
        <v/>
      </c>
      <c r="E1368" s="35" t="str">
        <f t="shared" si="212"/>
        <v/>
      </c>
      <c r="F1368" s="31"/>
      <c r="G1368" s="29"/>
      <c r="H1368" s="78" t="str">
        <f t="shared" si="216"/>
        <v/>
      </c>
      <c r="I1368" s="25"/>
      <c r="J1368" s="25"/>
      <c r="K1368" s="26"/>
      <c r="L1368" s="26"/>
      <c r="M1368" s="37"/>
      <c r="N1368" s="27"/>
      <c r="O1368" s="30"/>
      <c r="P1368" s="39" t="str">
        <f t="shared" si="217"/>
        <v/>
      </c>
      <c r="Q1368" s="40" t="str">
        <f>IF(OR(T1368=0,RIGHT(T1368,1)=$W$1),"",COUNTIF($T$3:T1368,T1368))</f>
        <v/>
      </c>
      <c r="S1368" s="6">
        <f t="shared" si="218"/>
        <v>0</v>
      </c>
      <c r="T1368" s="36">
        <f t="shared" si="219"/>
        <v>0</v>
      </c>
      <c r="V1368" s="6">
        <f t="shared" si="220"/>
        <v>0</v>
      </c>
      <c r="Y1368" s="8">
        <f t="shared" si="221"/>
        <v>46023</v>
      </c>
    </row>
    <row r="1369" spans="2:25" ht="18.75" x14ac:dyDescent="0.3">
      <c r="B1369" s="6">
        <f t="shared" si="213"/>
        <v>0</v>
      </c>
      <c r="C1369" s="6">
        <f t="shared" si="214"/>
        <v>0</v>
      </c>
      <c r="D1369" s="6" t="str">
        <f t="shared" si="215"/>
        <v/>
      </c>
      <c r="E1369" s="35" t="str">
        <f t="shared" si="212"/>
        <v/>
      </c>
      <c r="F1369" s="31"/>
      <c r="G1369" s="29"/>
      <c r="H1369" s="78" t="str">
        <f t="shared" si="216"/>
        <v/>
      </c>
      <c r="I1369" s="25"/>
      <c r="J1369" s="25"/>
      <c r="K1369" s="26"/>
      <c r="L1369" s="26"/>
      <c r="M1369" s="37"/>
      <c r="N1369" s="27"/>
      <c r="O1369" s="30"/>
      <c r="P1369" s="39" t="str">
        <f t="shared" si="217"/>
        <v/>
      </c>
      <c r="Q1369" s="40" t="str">
        <f>IF(OR(T1369=0,RIGHT(T1369,1)=$W$1),"",COUNTIF($T$3:T1369,T1369))</f>
        <v/>
      </c>
      <c r="S1369" s="6">
        <f t="shared" si="218"/>
        <v>0</v>
      </c>
      <c r="T1369" s="36">
        <f t="shared" si="219"/>
        <v>0</v>
      </c>
      <c r="V1369" s="6">
        <f t="shared" si="220"/>
        <v>0</v>
      </c>
      <c r="Y1369" s="8">
        <f t="shared" si="221"/>
        <v>46023</v>
      </c>
    </row>
    <row r="1370" spans="2:25" ht="18.75" x14ac:dyDescent="0.3">
      <c r="B1370" s="6">
        <f t="shared" si="213"/>
        <v>0</v>
      </c>
      <c r="C1370" s="6">
        <f t="shared" si="214"/>
        <v>0</v>
      </c>
      <c r="D1370" s="6" t="str">
        <f t="shared" si="215"/>
        <v/>
      </c>
      <c r="E1370" s="35" t="str">
        <f t="shared" si="212"/>
        <v/>
      </c>
      <c r="F1370" s="31"/>
      <c r="G1370" s="29"/>
      <c r="H1370" s="78" t="str">
        <f t="shared" si="216"/>
        <v/>
      </c>
      <c r="I1370" s="25"/>
      <c r="J1370" s="25"/>
      <c r="K1370" s="26"/>
      <c r="L1370" s="26"/>
      <c r="M1370" s="37"/>
      <c r="N1370" s="27"/>
      <c r="O1370" s="30"/>
      <c r="P1370" s="39" t="str">
        <f t="shared" si="217"/>
        <v/>
      </c>
      <c r="Q1370" s="40" t="str">
        <f>IF(OR(T1370=0,RIGHT(T1370,1)=$W$1),"",COUNTIF($T$3:T1370,T1370))</f>
        <v/>
      </c>
      <c r="S1370" s="6">
        <f t="shared" si="218"/>
        <v>0</v>
      </c>
      <c r="T1370" s="36">
        <f t="shared" si="219"/>
        <v>0</v>
      </c>
      <c r="V1370" s="6">
        <f t="shared" si="220"/>
        <v>0</v>
      </c>
      <c r="Y1370" s="8">
        <f t="shared" si="221"/>
        <v>46023</v>
      </c>
    </row>
    <row r="1371" spans="2:25" ht="18.75" x14ac:dyDescent="0.3">
      <c r="B1371" s="6">
        <f t="shared" si="213"/>
        <v>0</v>
      </c>
      <c r="C1371" s="6">
        <f t="shared" si="214"/>
        <v>0</v>
      </c>
      <c r="D1371" s="6" t="str">
        <f t="shared" si="215"/>
        <v/>
      </c>
      <c r="E1371" s="35" t="str">
        <f t="shared" si="212"/>
        <v/>
      </c>
      <c r="F1371" s="31"/>
      <c r="G1371" s="29"/>
      <c r="H1371" s="78" t="str">
        <f t="shared" si="216"/>
        <v/>
      </c>
      <c r="I1371" s="25"/>
      <c r="J1371" s="25"/>
      <c r="K1371" s="26"/>
      <c r="L1371" s="26"/>
      <c r="M1371" s="37"/>
      <c r="N1371" s="27"/>
      <c r="O1371" s="30"/>
      <c r="P1371" s="39" t="str">
        <f t="shared" si="217"/>
        <v/>
      </c>
      <c r="Q1371" s="40" t="str">
        <f>IF(OR(T1371=0,RIGHT(T1371,1)=$W$1),"",COUNTIF($T$3:T1371,T1371))</f>
        <v/>
      </c>
      <c r="S1371" s="6">
        <f t="shared" si="218"/>
        <v>0</v>
      </c>
      <c r="T1371" s="36">
        <f t="shared" si="219"/>
        <v>0</v>
      </c>
      <c r="V1371" s="6">
        <f t="shared" si="220"/>
        <v>0</v>
      </c>
      <c r="Y1371" s="8">
        <f t="shared" si="221"/>
        <v>46023</v>
      </c>
    </row>
    <row r="1372" spans="2:25" ht="18.75" x14ac:dyDescent="0.3">
      <c r="B1372" s="6">
        <f t="shared" si="213"/>
        <v>0</v>
      </c>
      <c r="C1372" s="6">
        <f t="shared" si="214"/>
        <v>0</v>
      </c>
      <c r="D1372" s="6" t="str">
        <f t="shared" si="215"/>
        <v/>
      </c>
      <c r="E1372" s="35" t="str">
        <f t="shared" si="212"/>
        <v/>
      </c>
      <c r="F1372" s="31"/>
      <c r="G1372" s="29"/>
      <c r="H1372" s="78" t="str">
        <f t="shared" si="216"/>
        <v/>
      </c>
      <c r="I1372" s="25"/>
      <c r="J1372" s="25"/>
      <c r="K1372" s="26"/>
      <c r="L1372" s="26"/>
      <c r="M1372" s="37"/>
      <c r="N1372" s="27"/>
      <c r="O1372" s="30"/>
      <c r="P1372" s="39" t="str">
        <f t="shared" si="217"/>
        <v/>
      </c>
      <c r="Q1372" s="40" t="str">
        <f>IF(OR(T1372=0,RIGHT(T1372,1)=$W$1),"",COUNTIF($T$3:T1372,T1372))</f>
        <v/>
      </c>
      <c r="S1372" s="6">
        <f t="shared" si="218"/>
        <v>0</v>
      </c>
      <c r="T1372" s="36">
        <f t="shared" si="219"/>
        <v>0</v>
      </c>
      <c r="V1372" s="6">
        <f t="shared" si="220"/>
        <v>0</v>
      </c>
      <c r="Y1372" s="8">
        <f t="shared" si="221"/>
        <v>46023</v>
      </c>
    </row>
    <row r="1373" spans="2:25" ht="18.75" x14ac:dyDescent="0.3">
      <c r="B1373" s="6">
        <f t="shared" si="213"/>
        <v>0</v>
      </c>
      <c r="C1373" s="6">
        <f t="shared" si="214"/>
        <v>0</v>
      </c>
      <c r="D1373" s="6" t="str">
        <f t="shared" si="215"/>
        <v/>
      </c>
      <c r="E1373" s="35" t="str">
        <f t="shared" si="212"/>
        <v/>
      </c>
      <c r="F1373" s="31"/>
      <c r="G1373" s="29"/>
      <c r="H1373" s="78" t="str">
        <f t="shared" si="216"/>
        <v/>
      </c>
      <c r="I1373" s="25"/>
      <c r="J1373" s="25"/>
      <c r="K1373" s="26"/>
      <c r="L1373" s="26"/>
      <c r="M1373" s="37"/>
      <c r="N1373" s="27"/>
      <c r="O1373" s="30"/>
      <c r="P1373" s="39" t="str">
        <f t="shared" si="217"/>
        <v/>
      </c>
      <c r="Q1373" s="40" t="str">
        <f>IF(OR(T1373=0,RIGHT(T1373,1)=$W$1),"",COUNTIF($T$3:T1373,T1373))</f>
        <v/>
      </c>
      <c r="S1373" s="6">
        <f t="shared" si="218"/>
        <v>0</v>
      </c>
      <c r="T1373" s="36">
        <f t="shared" si="219"/>
        <v>0</v>
      </c>
      <c r="V1373" s="6">
        <f t="shared" si="220"/>
        <v>0</v>
      </c>
      <c r="Y1373" s="8">
        <f t="shared" si="221"/>
        <v>46023</v>
      </c>
    </row>
    <row r="1374" spans="2:25" ht="18.75" x14ac:dyDescent="0.3">
      <c r="B1374" s="6">
        <f t="shared" si="213"/>
        <v>0</v>
      </c>
      <c r="C1374" s="6">
        <f t="shared" si="214"/>
        <v>0</v>
      </c>
      <c r="D1374" s="6" t="str">
        <f t="shared" si="215"/>
        <v/>
      </c>
      <c r="E1374" s="35" t="str">
        <f t="shared" si="212"/>
        <v/>
      </c>
      <c r="F1374" s="31"/>
      <c r="G1374" s="29"/>
      <c r="H1374" s="78" t="str">
        <f t="shared" si="216"/>
        <v/>
      </c>
      <c r="I1374" s="25"/>
      <c r="J1374" s="25"/>
      <c r="K1374" s="26"/>
      <c r="L1374" s="26"/>
      <c r="M1374" s="37"/>
      <c r="N1374" s="27"/>
      <c r="O1374" s="30"/>
      <c r="P1374" s="39" t="str">
        <f t="shared" si="217"/>
        <v/>
      </c>
      <c r="Q1374" s="40" t="str">
        <f>IF(OR(T1374=0,RIGHT(T1374,1)=$W$1),"",COUNTIF($T$3:T1374,T1374))</f>
        <v/>
      </c>
      <c r="S1374" s="6">
        <f t="shared" si="218"/>
        <v>0</v>
      </c>
      <c r="T1374" s="36">
        <f t="shared" si="219"/>
        <v>0</v>
      </c>
      <c r="V1374" s="6">
        <f t="shared" si="220"/>
        <v>0</v>
      </c>
      <c r="Y1374" s="8">
        <f t="shared" si="221"/>
        <v>46023</v>
      </c>
    </row>
    <row r="1375" spans="2:25" ht="18.75" x14ac:dyDescent="0.3">
      <c r="B1375" s="6">
        <f t="shared" si="213"/>
        <v>0</v>
      </c>
      <c r="C1375" s="6">
        <f t="shared" si="214"/>
        <v>0</v>
      </c>
      <c r="D1375" s="6" t="str">
        <f t="shared" si="215"/>
        <v/>
      </c>
      <c r="E1375" s="35" t="str">
        <f t="shared" si="212"/>
        <v/>
      </c>
      <c r="F1375" s="31"/>
      <c r="G1375" s="29"/>
      <c r="H1375" s="78" t="str">
        <f t="shared" si="216"/>
        <v/>
      </c>
      <c r="I1375" s="25"/>
      <c r="J1375" s="25"/>
      <c r="K1375" s="26"/>
      <c r="L1375" s="26"/>
      <c r="M1375" s="37"/>
      <c r="N1375" s="27"/>
      <c r="O1375" s="30"/>
      <c r="P1375" s="39" t="str">
        <f t="shared" si="217"/>
        <v/>
      </c>
      <c r="Q1375" s="40" t="str">
        <f>IF(OR(T1375=0,RIGHT(T1375,1)=$W$1),"",COUNTIF($T$3:T1375,T1375))</f>
        <v/>
      </c>
      <c r="S1375" s="6">
        <f t="shared" si="218"/>
        <v>0</v>
      </c>
      <c r="T1375" s="36">
        <f t="shared" si="219"/>
        <v>0</v>
      </c>
      <c r="V1375" s="6">
        <f t="shared" si="220"/>
        <v>0</v>
      </c>
      <c r="Y1375" s="8">
        <f t="shared" si="221"/>
        <v>46023</v>
      </c>
    </row>
    <row r="1376" spans="2:25" ht="18.75" x14ac:dyDescent="0.3">
      <c r="B1376" s="6">
        <f t="shared" si="213"/>
        <v>0</v>
      </c>
      <c r="C1376" s="6">
        <f t="shared" si="214"/>
        <v>0</v>
      </c>
      <c r="D1376" s="6" t="str">
        <f t="shared" si="215"/>
        <v/>
      </c>
      <c r="E1376" s="35" t="str">
        <f t="shared" si="212"/>
        <v/>
      </c>
      <c r="F1376" s="31"/>
      <c r="G1376" s="29"/>
      <c r="H1376" s="78" t="str">
        <f t="shared" si="216"/>
        <v/>
      </c>
      <c r="I1376" s="25"/>
      <c r="J1376" s="25"/>
      <c r="K1376" s="26"/>
      <c r="L1376" s="26"/>
      <c r="M1376" s="37"/>
      <c r="N1376" s="27"/>
      <c r="O1376" s="30"/>
      <c r="P1376" s="39" t="str">
        <f t="shared" si="217"/>
        <v/>
      </c>
      <c r="Q1376" s="40" t="str">
        <f>IF(OR(T1376=0,RIGHT(T1376,1)=$W$1),"",COUNTIF($T$3:T1376,T1376))</f>
        <v/>
      </c>
      <c r="S1376" s="6">
        <f t="shared" si="218"/>
        <v>0</v>
      </c>
      <c r="T1376" s="36">
        <f t="shared" si="219"/>
        <v>0</v>
      </c>
      <c r="V1376" s="6">
        <f t="shared" si="220"/>
        <v>0</v>
      </c>
      <c r="Y1376" s="8">
        <f t="shared" si="221"/>
        <v>46023</v>
      </c>
    </row>
    <row r="1377" spans="2:25" ht="18.75" x14ac:dyDescent="0.3">
      <c r="B1377" s="6">
        <f t="shared" si="213"/>
        <v>0</v>
      </c>
      <c r="C1377" s="6">
        <f t="shared" si="214"/>
        <v>0</v>
      </c>
      <c r="D1377" s="6" t="str">
        <f t="shared" si="215"/>
        <v/>
      </c>
      <c r="E1377" s="35" t="str">
        <f t="shared" si="212"/>
        <v/>
      </c>
      <c r="F1377" s="31"/>
      <c r="G1377" s="29"/>
      <c r="H1377" s="78" t="str">
        <f t="shared" si="216"/>
        <v/>
      </c>
      <c r="I1377" s="25"/>
      <c r="J1377" s="25"/>
      <c r="K1377" s="26"/>
      <c r="L1377" s="26"/>
      <c r="M1377" s="37"/>
      <c r="N1377" s="27"/>
      <c r="O1377" s="30"/>
      <c r="P1377" s="39" t="str">
        <f t="shared" si="217"/>
        <v/>
      </c>
      <c r="Q1377" s="40" t="str">
        <f>IF(OR(T1377=0,RIGHT(T1377,1)=$W$1),"",COUNTIF($T$3:T1377,T1377))</f>
        <v/>
      </c>
      <c r="S1377" s="6">
        <f t="shared" si="218"/>
        <v>0</v>
      </c>
      <c r="T1377" s="36">
        <f t="shared" si="219"/>
        <v>0</v>
      </c>
      <c r="V1377" s="6">
        <f t="shared" si="220"/>
        <v>0</v>
      </c>
      <c r="Y1377" s="8">
        <f t="shared" si="221"/>
        <v>46023</v>
      </c>
    </row>
    <row r="1378" spans="2:25" ht="18.75" x14ac:dyDescent="0.3">
      <c r="B1378" s="6">
        <f t="shared" si="213"/>
        <v>0</v>
      </c>
      <c r="C1378" s="6">
        <f t="shared" si="214"/>
        <v>0</v>
      </c>
      <c r="D1378" s="6" t="str">
        <f t="shared" si="215"/>
        <v/>
      </c>
      <c r="E1378" s="35" t="str">
        <f t="shared" si="212"/>
        <v/>
      </c>
      <c r="F1378" s="31"/>
      <c r="G1378" s="29"/>
      <c r="H1378" s="78" t="str">
        <f t="shared" si="216"/>
        <v/>
      </c>
      <c r="I1378" s="25"/>
      <c r="J1378" s="25"/>
      <c r="K1378" s="26"/>
      <c r="L1378" s="26"/>
      <c r="M1378" s="37"/>
      <c r="N1378" s="27"/>
      <c r="O1378" s="30"/>
      <c r="P1378" s="39" t="str">
        <f t="shared" si="217"/>
        <v/>
      </c>
      <c r="Q1378" s="40" t="str">
        <f>IF(OR(T1378=0,RIGHT(T1378,1)=$W$1),"",COUNTIF($T$3:T1378,T1378))</f>
        <v/>
      </c>
      <c r="S1378" s="6">
        <f t="shared" si="218"/>
        <v>0</v>
      </c>
      <c r="T1378" s="36">
        <f t="shared" si="219"/>
        <v>0</v>
      </c>
      <c r="V1378" s="6">
        <f t="shared" si="220"/>
        <v>0</v>
      </c>
      <c r="Y1378" s="8">
        <f t="shared" si="221"/>
        <v>46023</v>
      </c>
    </row>
    <row r="1379" spans="2:25" ht="18.75" x14ac:dyDescent="0.3">
      <c r="B1379" s="6">
        <f t="shared" si="213"/>
        <v>0</v>
      </c>
      <c r="C1379" s="6">
        <f t="shared" si="214"/>
        <v>0</v>
      </c>
      <c r="D1379" s="6" t="str">
        <f t="shared" si="215"/>
        <v/>
      </c>
      <c r="E1379" s="35" t="str">
        <f t="shared" si="212"/>
        <v/>
      </c>
      <c r="F1379" s="31"/>
      <c r="G1379" s="29"/>
      <c r="H1379" s="78" t="str">
        <f t="shared" si="216"/>
        <v/>
      </c>
      <c r="I1379" s="25"/>
      <c r="J1379" s="25"/>
      <c r="K1379" s="26"/>
      <c r="L1379" s="26"/>
      <c r="M1379" s="37"/>
      <c r="N1379" s="27"/>
      <c r="O1379" s="30"/>
      <c r="P1379" s="39" t="str">
        <f t="shared" si="217"/>
        <v/>
      </c>
      <c r="Q1379" s="40" t="str">
        <f>IF(OR(T1379=0,RIGHT(T1379,1)=$W$1),"",COUNTIF($T$3:T1379,T1379))</f>
        <v/>
      </c>
      <c r="S1379" s="6">
        <f t="shared" si="218"/>
        <v>0</v>
      </c>
      <c r="T1379" s="36">
        <f t="shared" si="219"/>
        <v>0</v>
      </c>
      <c r="V1379" s="6">
        <f t="shared" si="220"/>
        <v>0</v>
      </c>
      <c r="Y1379" s="8">
        <f t="shared" si="221"/>
        <v>46023</v>
      </c>
    </row>
    <row r="1380" spans="2:25" ht="18.75" x14ac:dyDescent="0.3">
      <c r="B1380" s="6">
        <f t="shared" si="213"/>
        <v>0</v>
      </c>
      <c r="C1380" s="6">
        <f t="shared" si="214"/>
        <v>0</v>
      </c>
      <c r="D1380" s="6" t="str">
        <f t="shared" si="215"/>
        <v/>
      </c>
      <c r="E1380" s="35" t="str">
        <f t="shared" si="212"/>
        <v/>
      </c>
      <c r="F1380" s="31"/>
      <c r="G1380" s="29"/>
      <c r="H1380" s="78" t="str">
        <f t="shared" si="216"/>
        <v/>
      </c>
      <c r="I1380" s="25"/>
      <c r="J1380" s="25"/>
      <c r="K1380" s="26"/>
      <c r="L1380" s="26"/>
      <c r="M1380" s="37"/>
      <c r="N1380" s="27"/>
      <c r="O1380" s="30"/>
      <c r="P1380" s="39" t="str">
        <f t="shared" si="217"/>
        <v/>
      </c>
      <c r="Q1380" s="40" t="str">
        <f>IF(OR(T1380=0,RIGHT(T1380,1)=$W$1),"",COUNTIF($T$3:T1380,T1380))</f>
        <v/>
      </c>
      <c r="S1380" s="6">
        <f t="shared" si="218"/>
        <v>0</v>
      </c>
      <c r="T1380" s="36">
        <f t="shared" si="219"/>
        <v>0</v>
      </c>
      <c r="V1380" s="6">
        <f t="shared" si="220"/>
        <v>0</v>
      </c>
      <c r="Y1380" s="8">
        <f t="shared" si="221"/>
        <v>46023</v>
      </c>
    </row>
    <row r="1381" spans="2:25" ht="18.75" x14ac:dyDescent="0.3">
      <c r="B1381" s="6">
        <f t="shared" si="213"/>
        <v>0</v>
      </c>
      <c r="C1381" s="6">
        <f t="shared" si="214"/>
        <v>0</v>
      </c>
      <c r="D1381" s="6" t="str">
        <f t="shared" si="215"/>
        <v/>
      </c>
      <c r="E1381" s="35" t="str">
        <f t="shared" si="212"/>
        <v/>
      </c>
      <c r="F1381" s="31"/>
      <c r="G1381" s="29"/>
      <c r="H1381" s="78" t="str">
        <f t="shared" si="216"/>
        <v/>
      </c>
      <c r="I1381" s="25"/>
      <c r="J1381" s="25"/>
      <c r="K1381" s="26"/>
      <c r="L1381" s="26"/>
      <c r="M1381" s="37"/>
      <c r="N1381" s="27"/>
      <c r="O1381" s="30"/>
      <c r="P1381" s="39" t="str">
        <f t="shared" si="217"/>
        <v/>
      </c>
      <c r="Q1381" s="40" t="str">
        <f>IF(OR(T1381=0,RIGHT(T1381,1)=$W$1),"",COUNTIF($T$3:T1381,T1381))</f>
        <v/>
      </c>
      <c r="S1381" s="6">
        <f t="shared" si="218"/>
        <v>0</v>
      </c>
      <c r="T1381" s="36">
        <f t="shared" si="219"/>
        <v>0</v>
      </c>
      <c r="V1381" s="6">
        <f t="shared" si="220"/>
        <v>0</v>
      </c>
      <c r="Y1381" s="8">
        <f t="shared" si="221"/>
        <v>46023</v>
      </c>
    </row>
    <row r="1382" spans="2:25" ht="18.75" x14ac:dyDescent="0.3">
      <c r="B1382" s="6">
        <f t="shared" si="213"/>
        <v>0</v>
      </c>
      <c r="C1382" s="6">
        <f t="shared" si="214"/>
        <v>0</v>
      </c>
      <c r="D1382" s="6" t="str">
        <f t="shared" si="215"/>
        <v/>
      </c>
      <c r="E1382" s="35" t="str">
        <f t="shared" si="212"/>
        <v/>
      </c>
      <c r="F1382" s="31"/>
      <c r="G1382" s="29"/>
      <c r="H1382" s="78" t="str">
        <f t="shared" si="216"/>
        <v/>
      </c>
      <c r="I1382" s="25"/>
      <c r="J1382" s="25"/>
      <c r="K1382" s="26"/>
      <c r="L1382" s="26"/>
      <c r="M1382" s="37"/>
      <c r="N1382" s="27"/>
      <c r="O1382" s="30"/>
      <c r="P1382" s="39" t="str">
        <f t="shared" si="217"/>
        <v/>
      </c>
      <c r="Q1382" s="40" t="str">
        <f>IF(OR(T1382=0,RIGHT(T1382,1)=$W$1),"",COUNTIF($T$3:T1382,T1382))</f>
        <v/>
      </c>
      <c r="S1382" s="6">
        <f t="shared" si="218"/>
        <v>0</v>
      </c>
      <c r="T1382" s="36">
        <f t="shared" si="219"/>
        <v>0</v>
      </c>
      <c r="V1382" s="6">
        <f t="shared" si="220"/>
        <v>0</v>
      </c>
      <c r="Y1382" s="8">
        <f t="shared" si="221"/>
        <v>46023</v>
      </c>
    </row>
    <row r="1383" spans="2:25" ht="18.75" x14ac:dyDescent="0.3">
      <c r="B1383" s="6">
        <f t="shared" si="213"/>
        <v>0</v>
      </c>
      <c r="C1383" s="6">
        <f t="shared" si="214"/>
        <v>0</v>
      </c>
      <c r="D1383" s="6" t="str">
        <f t="shared" si="215"/>
        <v/>
      </c>
      <c r="E1383" s="35" t="str">
        <f t="shared" si="212"/>
        <v/>
      </c>
      <c r="F1383" s="31"/>
      <c r="G1383" s="29"/>
      <c r="H1383" s="78" t="str">
        <f t="shared" si="216"/>
        <v/>
      </c>
      <c r="I1383" s="25"/>
      <c r="J1383" s="25"/>
      <c r="K1383" s="26"/>
      <c r="L1383" s="26"/>
      <c r="M1383" s="37"/>
      <c r="N1383" s="27"/>
      <c r="O1383" s="30"/>
      <c r="P1383" s="39" t="str">
        <f t="shared" si="217"/>
        <v/>
      </c>
      <c r="Q1383" s="40" t="str">
        <f>IF(OR(T1383=0,RIGHT(T1383,1)=$W$1),"",COUNTIF($T$3:T1383,T1383))</f>
        <v/>
      </c>
      <c r="S1383" s="6">
        <f t="shared" si="218"/>
        <v>0</v>
      </c>
      <c r="T1383" s="36">
        <f t="shared" si="219"/>
        <v>0</v>
      </c>
      <c r="V1383" s="6">
        <f t="shared" si="220"/>
        <v>0</v>
      </c>
      <c r="Y1383" s="8">
        <f t="shared" si="221"/>
        <v>46023</v>
      </c>
    </row>
    <row r="1384" spans="2:25" ht="18.75" x14ac:dyDescent="0.3">
      <c r="B1384" s="6">
        <f t="shared" si="213"/>
        <v>0</v>
      </c>
      <c r="C1384" s="6">
        <f t="shared" si="214"/>
        <v>0</v>
      </c>
      <c r="D1384" s="6" t="str">
        <f t="shared" si="215"/>
        <v/>
      </c>
      <c r="E1384" s="35" t="str">
        <f t="shared" si="212"/>
        <v/>
      </c>
      <c r="F1384" s="31"/>
      <c r="G1384" s="29"/>
      <c r="H1384" s="78" t="str">
        <f t="shared" si="216"/>
        <v/>
      </c>
      <c r="I1384" s="25"/>
      <c r="J1384" s="25"/>
      <c r="K1384" s="26"/>
      <c r="L1384" s="26"/>
      <c r="M1384" s="37"/>
      <c r="N1384" s="27"/>
      <c r="O1384" s="30"/>
      <c r="P1384" s="39" t="str">
        <f t="shared" si="217"/>
        <v/>
      </c>
      <c r="Q1384" s="40" t="str">
        <f>IF(OR(T1384=0,RIGHT(T1384,1)=$W$1),"",COUNTIF($T$3:T1384,T1384))</f>
        <v/>
      </c>
      <c r="S1384" s="6">
        <f t="shared" si="218"/>
        <v>0</v>
      </c>
      <c r="T1384" s="36">
        <f t="shared" si="219"/>
        <v>0</v>
      </c>
      <c r="V1384" s="6">
        <f t="shared" si="220"/>
        <v>0</v>
      </c>
      <c r="Y1384" s="8">
        <f t="shared" si="221"/>
        <v>46023</v>
      </c>
    </row>
    <row r="1385" spans="2:25" ht="18.75" x14ac:dyDescent="0.3">
      <c r="B1385" s="6">
        <f t="shared" si="213"/>
        <v>0</v>
      </c>
      <c r="C1385" s="6">
        <f t="shared" si="214"/>
        <v>0</v>
      </c>
      <c r="D1385" s="6" t="str">
        <f t="shared" si="215"/>
        <v/>
      </c>
      <c r="E1385" s="35" t="str">
        <f t="shared" si="212"/>
        <v/>
      </c>
      <c r="F1385" s="31"/>
      <c r="G1385" s="29"/>
      <c r="H1385" s="78" t="str">
        <f t="shared" si="216"/>
        <v/>
      </c>
      <c r="I1385" s="25"/>
      <c r="J1385" s="25"/>
      <c r="K1385" s="26"/>
      <c r="L1385" s="26"/>
      <c r="M1385" s="37"/>
      <c r="N1385" s="27"/>
      <c r="O1385" s="30"/>
      <c r="P1385" s="39" t="str">
        <f t="shared" si="217"/>
        <v/>
      </c>
      <c r="Q1385" s="40" t="str">
        <f>IF(OR(T1385=0,RIGHT(T1385,1)=$W$1),"",COUNTIF($T$3:T1385,T1385))</f>
        <v/>
      </c>
      <c r="S1385" s="6">
        <f t="shared" si="218"/>
        <v>0</v>
      </c>
      <c r="T1385" s="36">
        <f t="shared" si="219"/>
        <v>0</v>
      </c>
      <c r="V1385" s="6">
        <f t="shared" si="220"/>
        <v>0</v>
      </c>
      <c r="Y1385" s="8">
        <f t="shared" si="221"/>
        <v>46023</v>
      </c>
    </row>
    <row r="1386" spans="2:25" ht="18.75" x14ac:dyDescent="0.3">
      <c r="B1386" s="6">
        <f t="shared" si="213"/>
        <v>0</v>
      </c>
      <c r="C1386" s="6">
        <f t="shared" si="214"/>
        <v>0</v>
      </c>
      <c r="D1386" s="6" t="str">
        <f t="shared" si="215"/>
        <v/>
      </c>
      <c r="E1386" s="35" t="str">
        <f t="shared" si="212"/>
        <v/>
      </c>
      <c r="F1386" s="31"/>
      <c r="G1386" s="29"/>
      <c r="H1386" s="78" t="str">
        <f t="shared" si="216"/>
        <v/>
      </c>
      <c r="I1386" s="25"/>
      <c r="J1386" s="25"/>
      <c r="K1386" s="26"/>
      <c r="L1386" s="26"/>
      <c r="M1386" s="37"/>
      <c r="N1386" s="27"/>
      <c r="O1386" s="30"/>
      <c r="P1386" s="39" t="str">
        <f t="shared" si="217"/>
        <v/>
      </c>
      <c r="Q1386" s="40" t="str">
        <f>IF(OR(T1386=0,RIGHT(T1386,1)=$W$1),"",COUNTIF($T$3:T1386,T1386))</f>
        <v/>
      </c>
      <c r="S1386" s="6">
        <f t="shared" si="218"/>
        <v>0</v>
      </c>
      <c r="T1386" s="36">
        <f t="shared" si="219"/>
        <v>0</v>
      </c>
      <c r="V1386" s="6">
        <f t="shared" si="220"/>
        <v>0</v>
      </c>
      <c r="Y1386" s="8">
        <f t="shared" si="221"/>
        <v>46023</v>
      </c>
    </row>
    <row r="1387" spans="2:25" ht="18.75" x14ac:dyDescent="0.3">
      <c r="B1387" s="6">
        <f t="shared" si="213"/>
        <v>0</v>
      </c>
      <c r="C1387" s="6">
        <f t="shared" si="214"/>
        <v>0</v>
      </c>
      <c r="D1387" s="6" t="str">
        <f t="shared" si="215"/>
        <v/>
      </c>
      <c r="E1387" s="35" t="str">
        <f t="shared" si="212"/>
        <v/>
      </c>
      <c r="F1387" s="31"/>
      <c r="G1387" s="29"/>
      <c r="H1387" s="78" t="str">
        <f t="shared" si="216"/>
        <v/>
      </c>
      <c r="I1387" s="25"/>
      <c r="J1387" s="25"/>
      <c r="K1387" s="26"/>
      <c r="L1387" s="26"/>
      <c r="M1387" s="37"/>
      <c r="N1387" s="27"/>
      <c r="O1387" s="30"/>
      <c r="P1387" s="39" t="str">
        <f t="shared" si="217"/>
        <v/>
      </c>
      <c r="Q1387" s="40" t="str">
        <f>IF(OR(T1387=0,RIGHT(T1387,1)=$W$1),"",COUNTIF($T$3:T1387,T1387))</f>
        <v/>
      </c>
      <c r="S1387" s="6">
        <f t="shared" si="218"/>
        <v>0</v>
      </c>
      <c r="T1387" s="36">
        <f t="shared" si="219"/>
        <v>0</v>
      </c>
      <c r="V1387" s="6">
        <f t="shared" si="220"/>
        <v>0</v>
      </c>
      <c r="Y1387" s="8">
        <f t="shared" si="221"/>
        <v>46023</v>
      </c>
    </row>
    <row r="1388" spans="2:25" ht="18.75" x14ac:dyDescent="0.3">
      <c r="B1388" s="6">
        <f t="shared" si="213"/>
        <v>0</v>
      </c>
      <c r="C1388" s="6">
        <f t="shared" si="214"/>
        <v>0</v>
      </c>
      <c r="D1388" s="6" t="str">
        <f t="shared" si="215"/>
        <v/>
      </c>
      <c r="E1388" s="35" t="str">
        <f t="shared" si="212"/>
        <v/>
      </c>
      <c r="F1388" s="31"/>
      <c r="G1388" s="29"/>
      <c r="H1388" s="78" t="str">
        <f t="shared" si="216"/>
        <v/>
      </c>
      <c r="I1388" s="25"/>
      <c r="J1388" s="25"/>
      <c r="K1388" s="26"/>
      <c r="L1388" s="26"/>
      <c r="M1388" s="37"/>
      <c r="N1388" s="27"/>
      <c r="O1388" s="30"/>
      <c r="P1388" s="39" t="str">
        <f t="shared" si="217"/>
        <v/>
      </c>
      <c r="Q1388" s="40" t="str">
        <f>IF(OR(T1388=0,RIGHT(T1388,1)=$W$1),"",COUNTIF($T$3:T1388,T1388))</f>
        <v/>
      </c>
      <c r="S1388" s="6">
        <f t="shared" si="218"/>
        <v>0</v>
      </c>
      <c r="T1388" s="36">
        <f t="shared" si="219"/>
        <v>0</v>
      </c>
      <c r="V1388" s="6">
        <f t="shared" si="220"/>
        <v>0</v>
      </c>
      <c r="Y1388" s="8">
        <f t="shared" si="221"/>
        <v>46023</v>
      </c>
    </row>
    <row r="1389" spans="2:25" ht="18.75" x14ac:dyDescent="0.3">
      <c r="B1389" s="6">
        <f t="shared" si="213"/>
        <v>0</v>
      </c>
      <c r="C1389" s="6">
        <f t="shared" si="214"/>
        <v>0</v>
      </c>
      <c r="D1389" s="6" t="str">
        <f t="shared" si="215"/>
        <v/>
      </c>
      <c r="E1389" s="35" t="str">
        <f t="shared" si="212"/>
        <v/>
      </c>
      <c r="F1389" s="31"/>
      <c r="G1389" s="29"/>
      <c r="H1389" s="78" t="str">
        <f t="shared" si="216"/>
        <v/>
      </c>
      <c r="I1389" s="25"/>
      <c r="J1389" s="25"/>
      <c r="K1389" s="26"/>
      <c r="L1389" s="26"/>
      <c r="M1389" s="37"/>
      <c r="N1389" s="27"/>
      <c r="O1389" s="30"/>
      <c r="P1389" s="39" t="str">
        <f t="shared" si="217"/>
        <v/>
      </c>
      <c r="Q1389" s="40" t="str">
        <f>IF(OR(T1389=0,RIGHT(T1389,1)=$W$1),"",COUNTIF($T$3:T1389,T1389))</f>
        <v/>
      </c>
      <c r="S1389" s="6">
        <f t="shared" si="218"/>
        <v>0</v>
      </c>
      <c r="T1389" s="36">
        <f t="shared" si="219"/>
        <v>0</v>
      </c>
      <c r="V1389" s="6">
        <f t="shared" si="220"/>
        <v>0</v>
      </c>
      <c r="Y1389" s="8">
        <f t="shared" si="221"/>
        <v>46023</v>
      </c>
    </row>
    <row r="1390" spans="2:25" ht="18.75" x14ac:dyDescent="0.3">
      <c r="B1390" s="6">
        <f t="shared" si="213"/>
        <v>0</v>
      </c>
      <c r="C1390" s="6">
        <f t="shared" si="214"/>
        <v>0</v>
      </c>
      <c r="D1390" s="6" t="str">
        <f t="shared" si="215"/>
        <v/>
      </c>
      <c r="E1390" s="35" t="str">
        <f t="shared" si="212"/>
        <v/>
      </c>
      <c r="F1390" s="31"/>
      <c r="G1390" s="29"/>
      <c r="H1390" s="78" t="str">
        <f t="shared" si="216"/>
        <v/>
      </c>
      <c r="I1390" s="25"/>
      <c r="J1390" s="25"/>
      <c r="K1390" s="26"/>
      <c r="L1390" s="26"/>
      <c r="M1390" s="37"/>
      <c r="N1390" s="27"/>
      <c r="O1390" s="30"/>
      <c r="P1390" s="39" t="str">
        <f t="shared" si="217"/>
        <v/>
      </c>
      <c r="Q1390" s="40" t="str">
        <f>IF(OR(T1390=0,RIGHT(T1390,1)=$W$1),"",COUNTIF($T$3:T1390,T1390))</f>
        <v/>
      </c>
      <c r="S1390" s="6">
        <f t="shared" si="218"/>
        <v>0</v>
      </c>
      <c r="T1390" s="36">
        <f t="shared" si="219"/>
        <v>0</v>
      </c>
      <c r="V1390" s="6">
        <f t="shared" si="220"/>
        <v>0</v>
      </c>
      <c r="Y1390" s="8">
        <f t="shared" si="221"/>
        <v>46023</v>
      </c>
    </row>
    <row r="1391" spans="2:25" ht="18.75" x14ac:dyDescent="0.3">
      <c r="B1391" s="6">
        <f t="shared" si="213"/>
        <v>0</v>
      </c>
      <c r="C1391" s="6">
        <f t="shared" si="214"/>
        <v>0</v>
      </c>
      <c r="D1391" s="6" t="str">
        <f t="shared" si="215"/>
        <v/>
      </c>
      <c r="E1391" s="35" t="str">
        <f t="shared" si="212"/>
        <v/>
      </c>
      <c r="F1391" s="31"/>
      <c r="G1391" s="29"/>
      <c r="H1391" s="78" t="str">
        <f t="shared" si="216"/>
        <v/>
      </c>
      <c r="I1391" s="25"/>
      <c r="J1391" s="25"/>
      <c r="K1391" s="26"/>
      <c r="L1391" s="26"/>
      <c r="M1391" s="37"/>
      <c r="N1391" s="27"/>
      <c r="O1391" s="30"/>
      <c r="P1391" s="39" t="str">
        <f t="shared" si="217"/>
        <v/>
      </c>
      <c r="Q1391" s="40" t="str">
        <f>IF(OR(T1391=0,RIGHT(T1391,1)=$W$1),"",COUNTIF($T$3:T1391,T1391))</f>
        <v/>
      </c>
      <c r="S1391" s="6">
        <f t="shared" si="218"/>
        <v>0</v>
      </c>
      <c r="T1391" s="36">
        <f t="shared" si="219"/>
        <v>0</v>
      </c>
      <c r="V1391" s="6">
        <f t="shared" si="220"/>
        <v>0</v>
      </c>
      <c r="Y1391" s="8">
        <f t="shared" si="221"/>
        <v>46023</v>
      </c>
    </row>
    <row r="1392" spans="2:25" ht="18.75" x14ac:dyDescent="0.3">
      <c r="B1392" s="6">
        <f t="shared" si="213"/>
        <v>0</v>
      </c>
      <c r="C1392" s="6">
        <f t="shared" si="214"/>
        <v>0</v>
      </c>
      <c r="D1392" s="6" t="str">
        <f t="shared" si="215"/>
        <v/>
      </c>
      <c r="E1392" s="35" t="str">
        <f t="shared" si="212"/>
        <v/>
      </c>
      <c r="F1392" s="31"/>
      <c r="G1392" s="29"/>
      <c r="H1392" s="78" t="str">
        <f t="shared" si="216"/>
        <v/>
      </c>
      <c r="I1392" s="25"/>
      <c r="J1392" s="25"/>
      <c r="K1392" s="26"/>
      <c r="L1392" s="26"/>
      <c r="M1392" s="37"/>
      <c r="N1392" s="27"/>
      <c r="O1392" s="30"/>
      <c r="P1392" s="39" t="str">
        <f t="shared" si="217"/>
        <v/>
      </c>
      <c r="Q1392" s="40" t="str">
        <f>IF(OR(T1392=0,RIGHT(T1392,1)=$W$1),"",COUNTIF($T$3:T1392,T1392))</f>
        <v/>
      </c>
      <c r="S1392" s="6">
        <f t="shared" si="218"/>
        <v>0</v>
      </c>
      <c r="T1392" s="36">
        <f t="shared" si="219"/>
        <v>0</v>
      </c>
      <c r="V1392" s="6">
        <f t="shared" si="220"/>
        <v>0</v>
      </c>
      <c r="Y1392" s="8">
        <f t="shared" si="221"/>
        <v>46023</v>
      </c>
    </row>
    <row r="1393" spans="2:25" ht="18.75" x14ac:dyDescent="0.3">
      <c r="B1393" s="6">
        <f t="shared" si="213"/>
        <v>0</v>
      </c>
      <c r="C1393" s="6">
        <f t="shared" si="214"/>
        <v>0</v>
      </c>
      <c r="D1393" s="6" t="str">
        <f t="shared" si="215"/>
        <v/>
      </c>
      <c r="E1393" s="35" t="str">
        <f t="shared" si="212"/>
        <v/>
      </c>
      <c r="F1393" s="31"/>
      <c r="G1393" s="29"/>
      <c r="H1393" s="78" t="str">
        <f t="shared" si="216"/>
        <v/>
      </c>
      <c r="I1393" s="25"/>
      <c r="J1393" s="25"/>
      <c r="K1393" s="26"/>
      <c r="L1393" s="26"/>
      <c r="M1393" s="37"/>
      <c r="N1393" s="27"/>
      <c r="O1393" s="30"/>
      <c r="P1393" s="39" t="str">
        <f t="shared" si="217"/>
        <v/>
      </c>
      <c r="Q1393" s="40" t="str">
        <f>IF(OR(T1393=0,RIGHT(T1393,1)=$W$1),"",COUNTIF($T$3:T1393,T1393))</f>
        <v/>
      </c>
      <c r="S1393" s="6">
        <f t="shared" si="218"/>
        <v>0</v>
      </c>
      <c r="T1393" s="36">
        <f t="shared" si="219"/>
        <v>0</v>
      </c>
      <c r="V1393" s="6">
        <f t="shared" si="220"/>
        <v>0</v>
      </c>
      <c r="Y1393" s="8">
        <f t="shared" si="221"/>
        <v>46023</v>
      </c>
    </row>
    <row r="1394" spans="2:25" ht="18.75" x14ac:dyDescent="0.3">
      <c r="B1394" s="6">
        <f t="shared" si="213"/>
        <v>0</v>
      </c>
      <c r="C1394" s="6">
        <f t="shared" si="214"/>
        <v>0</v>
      </c>
      <c r="D1394" s="6" t="str">
        <f t="shared" si="215"/>
        <v/>
      </c>
      <c r="E1394" s="35" t="str">
        <f t="shared" si="212"/>
        <v/>
      </c>
      <c r="F1394" s="31"/>
      <c r="G1394" s="29"/>
      <c r="H1394" s="78" t="str">
        <f t="shared" si="216"/>
        <v/>
      </c>
      <c r="I1394" s="25"/>
      <c r="J1394" s="25"/>
      <c r="K1394" s="26"/>
      <c r="L1394" s="26"/>
      <c r="M1394" s="37"/>
      <c r="N1394" s="27"/>
      <c r="O1394" s="30"/>
      <c r="P1394" s="39" t="str">
        <f t="shared" si="217"/>
        <v/>
      </c>
      <c r="Q1394" s="40" t="str">
        <f>IF(OR(T1394=0,RIGHT(T1394,1)=$W$1),"",COUNTIF($T$3:T1394,T1394))</f>
        <v/>
      </c>
      <c r="S1394" s="6">
        <f t="shared" si="218"/>
        <v>0</v>
      </c>
      <c r="T1394" s="36">
        <f t="shared" si="219"/>
        <v>0</v>
      </c>
      <c r="V1394" s="6">
        <f t="shared" si="220"/>
        <v>0</v>
      </c>
      <c r="Y1394" s="8">
        <f t="shared" si="221"/>
        <v>46023</v>
      </c>
    </row>
    <row r="1395" spans="2:25" ht="18.75" x14ac:dyDescent="0.3">
      <c r="B1395" s="6">
        <f t="shared" si="213"/>
        <v>0</v>
      </c>
      <c r="C1395" s="6">
        <f t="shared" si="214"/>
        <v>0</v>
      </c>
      <c r="D1395" s="6" t="str">
        <f t="shared" si="215"/>
        <v/>
      </c>
      <c r="E1395" s="35" t="str">
        <f t="shared" si="212"/>
        <v/>
      </c>
      <c r="F1395" s="31"/>
      <c r="G1395" s="29"/>
      <c r="H1395" s="78" t="str">
        <f t="shared" si="216"/>
        <v/>
      </c>
      <c r="I1395" s="25"/>
      <c r="J1395" s="25"/>
      <c r="K1395" s="26"/>
      <c r="L1395" s="26"/>
      <c r="M1395" s="37"/>
      <c r="N1395" s="27"/>
      <c r="O1395" s="30"/>
      <c r="P1395" s="39" t="str">
        <f t="shared" si="217"/>
        <v/>
      </c>
      <c r="Q1395" s="40" t="str">
        <f>IF(OR(T1395=0,RIGHT(T1395,1)=$W$1),"",COUNTIF($T$3:T1395,T1395))</f>
        <v/>
      </c>
      <c r="S1395" s="6">
        <f t="shared" si="218"/>
        <v>0</v>
      </c>
      <c r="T1395" s="36">
        <f t="shared" si="219"/>
        <v>0</v>
      </c>
      <c r="V1395" s="6">
        <f t="shared" si="220"/>
        <v>0</v>
      </c>
      <c r="Y1395" s="8">
        <f t="shared" si="221"/>
        <v>46023</v>
      </c>
    </row>
    <row r="1396" spans="2:25" ht="18.75" x14ac:dyDescent="0.3">
      <c r="B1396" s="6">
        <f t="shared" si="213"/>
        <v>0</v>
      </c>
      <c r="C1396" s="6">
        <f t="shared" si="214"/>
        <v>0</v>
      </c>
      <c r="D1396" s="6" t="str">
        <f t="shared" si="215"/>
        <v/>
      </c>
      <c r="E1396" s="35" t="str">
        <f t="shared" si="212"/>
        <v/>
      </c>
      <c r="F1396" s="31"/>
      <c r="G1396" s="29"/>
      <c r="H1396" s="78" t="str">
        <f t="shared" si="216"/>
        <v/>
      </c>
      <c r="I1396" s="25"/>
      <c r="J1396" s="25"/>
      <c r="K1396" s="26"/>
      <c r="L1396" s="26"/>
      <c r="M1396" s="37"/>
      <c r="N1396" s="27"/>
      <c r="O1396" s="30"/>
      <c r="P1396" s="39" t="str">
        <f t="shared" si="217"/>
        <v/>
      </c>
      <c r="Q1396" s="40" t="str">
        <f>IF(OR(T1396=0,RIGHT(T1396,1)=$W$1),"",COUNTIF($T$3:T1396,T1396))</f>
        <v/>
      </c>
      <c r="S1396" s="6">
        <f t="shared" si="218"/>
        <v>0</v>
      </c>
      <c r="T1396" s="36">
        <f t="shared" si="219"/>
        <v>0</v>
      </c>
      <c r="V1396" s="6">
        <f t="shared" si="220"/>
        <v>0</v>
      </c>
      <c r="Y1396" s="8">
        <f t="shared" si="221"/>
        <v>46023</v>
      </c>
    </row>
    <row r="1397" spans="2:25" ht="18.75" x14ac:dyDescent="0.3">
      <c r="B1397" s="6">
        <f t="shared" si="213"/>
        <v>0</v>
      </c>
      <c r="C1397" s="6">
        <f t="shared" si="214"/>
        <v>0</v>
      </c>
      <c r="D1397" s="6" t="str">
        <f t="shared" si="215"/>
        <v/>
      </c>
      <c r="E1397" s="35" t="str">
        <f t="shared" si="212"/>
        <v/>
      </c>
      <c r="F1397" s="31"/>
      <c r="G1397" s="29"/>
      <c r="H1397" s="78" t="str">
        <f t="shared" si="216"/>
        <v/>
      </c>
      <c r="I1397" s="25"/>
      <c r="J1397" s="25"/>
      <c r="K1397" s="26"/>
      <c r="L1397" s="26"/>
      <c r="M1397" s="37"/>
      <c r="N1397" s="27"/>
      <c r="O1397" s="30"/>
      <c r="P1397" s="39" t="str">
        <f t="shared" si="217"/>
        <v/>
      </c>
      <c r="Q1397" s="40" t="str">
        <f>IF(OR(T1397=0,RIGHT(T1397,1)=$W$1),"",COUNTIF($T$3:T1397,T1397))</f>
        <v/>
      </c>
      <c r="S1397" s="6">
        <f t="shared" si="218"/>
        <v>0</v>
      </c>
      <c r="T1397" s="36">
        <f t="shared" si="219"/>
        <v>0</v>
      </c>
      <c r="V1397" s="6">
        <f t="shared" si="220"/>
        <v>0</v>
      </c>
      <c r="Y1397" s="8">
        <f t="shared" si="221"/>
        <v>46023</v>
      </c>
    </row>
    <row r="1398" spans="2:25" ht="18.75" x14ac:dyDescent="0.3">
      <c r="B1398" s="6">
        <f t="shared" si="213"/>
        <v>0</v>
      </c>
      <c r="C1398" s="6">
        <f t="shared" si="214"/>
        <v>0</v>
      </c>
      <c r="D1398" s="6" t="str">
        <f t="shared" si="215"/>
        <v/>
      </c>
      <c r="E1398" s="35" t="str">
        <f t="shared" si="212"/>
        <v/>
      </c>
      <c r="F1398" s="31"/>
      <c r="G1398" s="29"/>
      <c r="H1398" s="78" t="str">
        <f t="shared" si="216"/>
        <v/>
      </c>
      <c r="I1398" s="25"/>
      <c r="J1398" s="25"/>
      <c r="K1398" s="26"/>
      <c r="L1398" s="26"/>
      <c r="M1398" s="37"/>
      <c r="N1398" s="27"/>
      <c r="O1398" s="30"/>
      <c r="P1398" s="39" t="str">
        <f t="shared" si="217"/>
        <v/>
      </c>
      <c r="Q1398" s="40" t="str">
        <f>IF(OR(T1398=0,RIGHT(T1398,1)=$W$1),"",COUNTIF($T$3:T1398,T1398))</f>
        <v/>
      </c>
      <c r="S1398" s="6">
        <f t="shared" si="218"/>
        <v>0</v>
      </c>
      <c r="T1398" s="36">
        <f t="shared" si="219"/>
        <v>0</v>
      </c>
      <c r="V1398" s="6">
        <f t="shared" si="220"/>
        <v>0</v>
      </c>
      <c r="Y1398" s="8">
        <f t="shared" si="221"/>
        <v>46023</v>
      </c>
    </row>
    <row r="1399" spans="2:25" ht="18.75" x14ac:dyDescent="0.3">
      <c r="B1399" s="6">
        <f t="shared" si="213"/>
        <v>0</v>
      </c>
      <c r="C1399" s="6">
        <f t="shared" si="214"/>
        <v>0</v>
      </c>
      <c r="D1399" s="6" t="str">
        <f t="shared" si="215"/>
        <v/>
      </c>
      <c r="E1399" s="35" t="str">
        <f t="shared" si="212"/>
        <v/>
      </c>
      <c r="F1399" s="31"/>
      <c r="G1399" s="29"/>
      <c r="H1399" s="78" t="str">
        <f t="shared" si="216"/>
        <v/>
      </c>
      <c r="I1399" s="25"/>
      <c r="J1399" s="25"/>
      <c r="K1399" s="26"/>
      <c r="L1399" s="26"/>
      <c r="M1399" s="37"/>
      <c r="N1399" s="27"/>
      <c r="O1399" s="30"/>
      <c r="P1399" s="39" t="str">
        <f t="shared" si="217"/>
        <v/>
      </c>
      <c r="Q1399" s="40" t="str">
        <f>IF(OR(T1399=0,RIGHT(T1399,1)=$W$1),"",COUNTIF($T$3:T1399,T1399))</f>
        <v/>
      </c>
      <c r="S1399" s="6">
        <f t="shared" si="218"/>
        <v>0</v>
      </c>
      <c r="T1399" s="36">
        <f t="shared" si="219"/>
        <v>0</v>
      </c>
      <c r="V1399" s="6">
        <f t="shared" si="220"/>
        <v>0</v>
      </c>
      <c r="Y1399" s="8">
        <f t="shared" si="221"/>
        <v>46023</v>
      </c>
    </row>
    <row r="1400" spans="2:25" ht="18.75" x14ac:dyDescent="0.3">
      <c r="B1400" s="6">
        <f t="shared" si="213"/>
        <v>0</v>
      </c>
      <c r="C1400" s="6">
        <f t="shared" si="214"/>
        <v>0</v>
      </c>
      <c r="D1400" s="6" t="str">
        <f t="shared" si="215"/>
        <v/>
      </c>
      <c r="E1400" s="35" t="str">
        <f t="shared" si="212"/>
        <v/>
      </c>
      <c r="F1400" s="31"/>
      <c r="G1400" s="29"/>
      <c r="H1400" s="78" t="str">
        <f t="shared" si="216"/>
        <v/>
      </c>
      <c r="I1400" s="25"/>
      <c r="J1400" s="25"/>
      <c r="K1400" s="26"/>
      <c r="L1400" s="26"/>
      <c r="M1400" s="37"/>
      <c r="N1400" s="27"/>
      <c r="O1400" s="30"/>
      <c r="P1400" s="39" t="str">
        <f t="shared" si="217"/>
        <v/>
      </c>
      <c r="Q1400" s="40" t="str">
        <f>IF(OR(T1400=0,RIGHT(T1400,1)=$W$1),"",COUNTIF($T$3:T1400,T1400))</f>
        <v/>
      </c>
      <c r="S1400" s="6">
        <f t="shared" si="218"/>
        <v>0</v>
      </c>
      <c r="T1400" s="36">
        <f t="shared" si="219"/>
        <v>0</v>
      </c>
      <c r="V1400" s="6">
        <f t="shared" si="220"/>
        <v>0</v>
      </c>
      <c r="Y1400" s="8">
        <f t="shared" si="221"/>
        <v>46023</v>
      </c>
    </row>
    <row r="1401" spans="2:25" ht="18.75" x14ac:dyDescent="0.3">
      <c r="B1401" s="6">
        <f t="shared" si="213"/>
        <v>0</v>
      </c>
      <c r="C1401" s="6">
        <f t="shared" si="214"/>
        <v>0</v>
      </c>
      <c r="D1401" s="6" t="str">
        <f t="shared" si="215"/>
        <v/>
      </c>
      <c r="E1401" s="35" t="str">
        <f t="shared" si="212"/>
        <v/>
      </c>
      <c r="F1401" s="31"/>
      <c r="G1401" s="29"/>
      <c r="H1401" s="78" t="str">
        <f t="shared" si="216"/>
        <v/>
      </c>
      <c r="I1401" s="25"/>
      <c r="J1401" s="25"/>
      <c r="K1401" s="26"/>
      <c r="L1401" s="26"/>
      <c r="M1401" s="37"/>
      <c r="N1401" s="27"/>
      <c r="O1401" s="30"/>
      <c r="P1401" s="39" t="str">
        <f t="shared" si="217"/>
        <v/>
      </c>
      <c r="Q1401" s="40" t="str">
        <f>IF(OR(T1401=0,RIGHT(T1401,1)=$W$1),"",COUNTIF($T$3:T1401,T1401))</f>
        <v/>
      </c>
      <c r="S1401" s="6">
        <f t="shared" si="218"/>
        <v>0</v>
      </c>
      <c r="T1401" s="36">
        <f t="shared" si="219"/>
        <v>0</v>
      </c>
      <c r="V1401" s="6">
        <f t="shared" si="220"/>
        <v>0</v>
      </c>
      <c r="Y1401" s="8">
        <f t="shared" si="221"/>
        <v>46023</v>
      </c>
    </row>
    <row r="1402" spans="2:25" ht="18.75" x14ac:dyDescent="0.3">
      <c r="B1402" s="6">
        <f t="shared" si="213"/>
        <v>0</v>
      </c>
      <c r="C1402" s="6">
        <f t="shared" si="214"/>
        <v>0</v>
      </c>
      <c r="D1402" s="6" t="str">
        <f t="shared" si="215"/>
        <v/>
      </c>
      <c r="E1402" s="35" t="str">
        <f t="shared" si="212"/>
        <v/>
      </c>
      <c r="F1402" s="31"/>
      <c r="G1402" s="29"/>
      <c r="H1402" s="78" t="str">
        <f t="shared" si="216"/>
        <v/>
      </c>
      <c r="I1402" s="25"/>
      <c r="J1402" s="25"/>
      <c r="K1402" s="26"/>
      <c r="L1402" s="26"/>
      <c r="M1402" s="37"/>
      <c r="N1402" s="27"/>
      <c r="O1402" s="30"/>
      <c r="P1402" s="39" t="str">
        <f t="shared" si="217"/>
        <v/>
      </c>
      <c r="Q1402" s="40" t="str">
        <f>IF(OR(T1402=0,RIGHT(T1402,1)=$W$1),"",COUNTIF($T$3:T1402,T1402))</f>
        <v/>
      </c>
      <c r="S1402" s="6">
        <f t="shared" si="218"/>
        <v>0</v>
      </c>
      <c r="T1402" s="36">
        <f t="shared" si="219"/>
        <v>0</v>
      </c>
      <c r="V1402" s="6">
        <f t="shared" si="220"/>
        <v>0</v>
      </c>
      <c r="Y1402" s="8">
        <f t="shared" si="221"/>
        <v>46023</v>
      </c>
    </row>
    <row r="1403" spans="2:25" ht="18.75" x14ac:dyDescent="0.3">
      <c r="B1403" s="6">
        <f t="shared" si="213"/>
        <v>0</v>
      </c>
      <c r="C1403" s="6">
        <f t="shared" si="214"/>
        <v>0</v>
      </c>
      <c r="D1403" s="6" t="str">
        <f t="shared" si="215"/>
        <v/>
      </c>
      <c r="E1403" s="35" t="str">
        <f t="shared" si="212"/>
        <v/>
      </c>
      <c r="F1403" s="31"/>
      <c r="G1403" s="29"/>
      <c r="H1403" s="78" t="str">
        <f t="shared" si="216"/>
        <v/>
      </c>
      <c r="I1403" s="25"/>
      <c r="J1403" s="25"/>
      <c r="K1403" s="26"/>
      <c r="L1403" s="26"/>
      <c r="M1403" s="37"/>
      <c r="N1403" s="27"/>
      <c r="O1403" s="30"/>
      <c r="P1403" s="39" t="str">
        <f t="shared" si="217"/>
        <v/>
      </c>
      <c r="Q1403" s="40" t="str">
        <f>IF(OR(T1403=0,RIGHT(T1403,1)=$W$1),"",COUNTIF($T$3:T1403,T1403))</f>
        <v/>
      </c>
      <c r="S1403" s="6">
        <f t="shared" si="218"/>
        <v>0</v>
      </c>
      <c r="T1403" s="36">
        <f t="shared" si="219"/>
        <v>0</v>
      </c>
      <c r="V1403" s="6">
        <f t="shared" si="220"/>
        <v>0</v>
      </c>
      <c r="Y1403" s="8">
        <f t="shared" si="221"/>
        <v>46023</v>
      </c>
    </row>
    <row r="1404" spans="2:25" ht="18.75" x14ac:dyDescent="0.3">
      <c r="B1404" s="6">
        <f t="shared" si="213"/>
        <v>0</v>
      </c>
      <c r="C1404" s="6">
        <f t="shared" si="214"/>
        <v>0</v>
      </c>
      <c r="D1404" s="6" t="str">
        <f t="shared" si="215"/>
        <v/>
      </c>
      <c r="E1404" s="35" t="str">
        <f t="shared" si="212"/>
        <v/>
      </c>
      <c r="F1404" s="31"/>
      <c r="G1404" s="29"/>
      <c r="H1404" s="78" t="str">
        <f t="shared" si="216"/>
        <v/>
      </c>
      <c r="I1404" s="25"/>
      <c r="J1404" s="25"/>
      <c r="K1404" s="26"/>
      <c r="L1404" s="26"/>
      <c r="M1404" s="37"/>
      <c r="N1404" s="27"/>
      <c r="O1404" s="30"/>
      <c r="P1404" s="39" t="str">
        <f t="shared" si="217"/>
        <v/>
      </c>
      <c r="Q1404" s="40" t="str">
        <f>IF(OR(T1404=0,RIGHT(T1404,1)=$W$1),"",COUNTIF($T$3:T1404,T1404))</f>
        <v/>
      </c>
      <c r="S1404" s="6">
        <f t="shared" si="218"/>
        <v>0</v>
      </c>
      <c r="T1404" s="36">
        <f t="shared" si="219"/>
        <v>0</v>
      </c>
      <c r="V1404" s="6">
        <f t="shared" si="220"/>
        <v>0</v>
      </c>
      <c r="Y1404" s="8">
        <f t="shared" si="221"/>
        <v>46023</v>
      </c>
    </row>
    <row r="1405" spans="2:25" ht="18.75" x14ac:dyDescent="0.3">
      <c r="B1405" s="6">
        <f t="shared" si="213"/>
        <v>0</v>
      </c>
      <c r="C1405" s="6">
        <f t="shared" si="214"/>
        <v>0</v>
      </c>
      <c r="D1405" s="6" t="str">
        <f t="shared" si="215"/>
        <v/>
      </c>
      <c r="E1405" s="35" t="str">
        <f t="shared" si="212"/>
        <v/>
      </c>
      <c r="F1405" s="31"/>
      <c r="G1405" s="29"/>
      <c r="H1405" s="78" t="str">
        <f t="shared" si="216"/>
        <v/>
      </c>
      <c r="I1405" s="25"/>
      <c r="J1405" s="25"/>
      <c r="K1405" s="26"/>
      <c r="L1405" s="26"/>
      <c r="M1405" s="37"/>
      <c r="N1405" s="27"/>
      <c r="O1405" s="30"/>
      <c r="P1405" s="39" t="str">
        <f t="shared" si="217"/>
        <v/>
      </c>
      <c r="Q1405" s="40" t="str">
        <f>IF(OR(T1405=0,RIGHT(T1405,1)=$W$1),"",COUNTIF($T$3:T1405,T1405))</f>
        <v/>
      </c>
      <c r="S1405" s="6">
        <f t="shared" si="218"/>
        <v>0</v>
      </c>
      <c r="T1405" s="36">
        <f t="shared" si="219"/>
        <v>0</v>
      </c>
      <c r="V1405" s="6">
        <f t="shared" si="220"/>
        <v>0</v>
      </c>
      <c r="Y1405" s="8">
        <f t="shared" si="221"/>
        <v>46023</v>
      </c>
    </row>
    <row r="1406" spans="2:25" ht="18.75" x14ac:dyDescent="0.3">
      <c r="B1406" s="6">
        <f t="shared" si="213"/>
        <v>0</v>
      </c>
      <c r="C1406" s="6">
        <f t="shared" si="214"/>
        <v>0</v>
      </c>
      <c r="D1406" s="6" t="str">
        <f t="shared" si="215"/>
        <v/>
      </c>
      <c r="E1406" s="35" t="str">
        <f t="shared" si="212"/>
        <v/>
      </c>
      <c r="F1406" s="31"/>
      <c r="G1406" s="29"/>
      <c r="H1406" s="78" t="str">
        <f t="shared" si="216"/>
        <v/>
      </c>
      <c r="I1406" s="25"/>
      <c r="J1406" s="25"/>
      <c r="K1406" s="26"/>
      <c r="L1406" s="26"/>
      <c r="M1406" s="37"/>
      <c r="N1406" s="27"/>
      <c r="O1406" s="30"/>
      <c r="P1406" s="39" t="str">
        <f t="shared" si="217"/>
        <v/>
      </c>
      <c r="Q1406" s="40" t="str">
        <f>IF(OR(T1406=0,RIGHT(T1406,1)=$W$1),"",COUNTIF($T$3:T1406,T1406))</f>
        <v/>
      </c>
      <c r="S1406" s="6">
        <f t="shared" si="218"/>
        <v>0</v>
      </c>
      <c r="T1406" s="36">
        <f t="shared" si="219"/>
        <v>0</v>
      </c>
      <c r="V1406" s="6">
        <f t="shared" si="220"/>
        <v>0</v>
      </c>
      <c r="Y1406" s="8">
        <f t="shared" si="221"/>
        <v>46023</v>
      </c>
    </row>
    <row r="1407" spans="2:25" ht="18.75" x14ac:dyDescent="0.3">
      <c r="B1407" s="6">
        <f t="shared" si="213"/>
        <v>0</v>
      </c>
      <c r="C1407" s="6">
        <f t="shared" si="214"/>
        <v>0</v>
      </c>
      <c r="D1407" s="6" t="str">
        <f t="shared" si="215"/>
        <v/>
      </c>
      <c r="E1407" s="35" t="str">
        <f t="shared" si="212"/>
        <v/>
      </c>
      <c r="F1407" s="31"/>
      <c r="G1407" s="29"/>
      <c r="H1407" s="78" t="str">
        <f t="shared" si="216"/>
        <v/>
      </c>
      <c r="I1407" s="25"/>
      <c r="J1407" s="25"/>
      <c r="K1407" s="26"/>
      <c r="L1407" s="26"/>
      <c r="M1407" s="37"/>
      <c r="N1407" s="27"/>
      <c r="O1407" s="30"/>
      <c r="P1407" s="39" t="str">
        <f t="shared" si="217"/>
        <v/>
      </c>
      <c r="Q1407" s="40" t="str">
        <f>IF(OR(T1407=0,RIGHT(T1407,1)=$W$1),"",COUNTIF($T$3:T1407,T1407))</f>
        <v/>
      </c>
      <c r="S1407" s="6">
        <f t="shared" si="218"/>
        <v>0</v>
      </c>
      <c r="T1407" s="36">
        <f t="shared" si="219"/>
        <v>0</v>
      </c>
      <c r="V1407" s="6">
        <f t="shared" si="220"/>
        <v>0</v>
      </c>
      <c r="Y1407" s="8">
        <f t="shared" si="221"/>
        <v>46023</v>
      </c>
    </row>
    <row r="1408" spans="2:25" ht="18.75" x14ac:dyDescent="0.3">
      <c r="B1408" s="6">
        <f t="shared" si="213"/>
        <v>0</v>
      </c>
      <c r="C1408" s="6">
        <f t="shared" si="214"/>
        <v>0</v>
      </c>
      <c r="D1408" s="6" t="str">
        <f t="shared" si="215"/>
        <v/>
      </c>
      <c r="E1408" s="35" t="str">
        <f t="shared" si="212"/>
        <v/>
      </c>
      <c r="F1408" s="31"/>
      <c r="G1408" s="29"/>
      <c r="H1408" s="78" t="str">
        <f t="shared" si="216"/>
        <v/>
      </c>
      <c r="I1408" s="25"/>
      <c r="J1408" s="25"/>
      <c r="K1408" s="26"/>
      <c r="L1408" s="26"/>
      <c r="M1408" s="37"/>
      <c r="N1408" s="27"/>
      <c r="O1408" s="30"/>
      <c r="P1408" s="39" t="str">
        <f t="shared" si="217"/>
        <v/>
      </c>
      <c r="Q1408" s="40" t="str">
        <f>IF(OR(T1408=0,RIGHT(T1408,1)=$W$1),"",COUNTIF($T$3:T1408,T1408))</f>
        <v/>
      </c>
      <c r="S1408" s="6">
        <f t="shared" si="218"/>
        <v>0</v>
      </c>
      <c r="T1408" s="36">
        <f t="shared" si="219"/>
        <v>0</v>
      </c>
      <c r="V1408" s="6">
        <f t="shared" si="220"/>
        <v>0</v>
      </c>
      <c r="Y1408" s="8">
        <f t="shared" si="221"/>
        <v>46023</v>
      </c>
    </row>
    <row r="1409" spans="2:25" ht="18.75" x14ac:dyDescent="0.3">
      <c r="B1409" s="6">
        <f t="shared" si="213"/>
        <v>0</v>
      </c>
      <c r="C1409" s="6">
        <f t="shared" si="214"/>
        <v>0</v>
      </c>
      <c r="D1409" s="6" t="str">
        <f t="shared" si="215"/>
        <v/>
      </c>
      <c r="E1409" s="35" t="str">
        <f t="shared" si="212"/>
        <v/>
      </c>
      <c r="F1409" s="31"/>
      <c r="G1409" s="29"/>
      <c r="H1409" s="78" t="str">
        <f t="shared" si="216"/>
        <v/>
      </c>
      <c r="I1409" s="25"/>
      <c r="J1409" s="25"/>
      <c r="K1409" s="26"/>
      <c r="L1409" s="26"/>
      <c r="M1409" s="37"/>
      <c r="N1409" s="27"/>
      <c r="O1409" s="30"/>
      <c r="P1409" s="39" t="str">
        <f t="shared" si="217"/>
        <v/>
      </c>
      <c r="Q1409" s="40" t="str">
        <f>IF(OR(T1409=0,RIGHT(T1409,1)=$W$1),"",COUNTIF($T$3:T1409,T1409))</f>
        <v/>
      </c>
      <c r="S1409" s="6">
        <f t="shared" si="218"/>
        <v>0</v>
      </c>
      <c r="T1409" s="36">
        <f t="shared" si="219"/>
        <v>0</v>
      </c>
      <c r="V1409" s="6">
        <f t="shared" si="220"/>
        <v>0</v>
      </c>
      <c r="Y1409" s="8">
        <f t="shared" si="221"/>
        <v>46023</v>
      </c>
    </row>
    <row r="1410" spans="2:25" ht="18.75" x14ac:dyDescent="0.3">
      <c r="B1410" s="6">
        <f t="shared" si="213"/>
        <v>0</v>
      </c>
      <c r="C1410" s="6">
        <f t="shared" si="214"/>
        <v>0</v>
      </c>
      <c r="D1410" s="6" t="str">
        <f t="shared" si="215"/>
        <v/>
      </c>
      <c r="E1410" s="35" t="str">
        <f t="shared" si="212"/>
        <v/>
      </c>
      <c r="F1410" s="31"/>
      <c r="G1410" s="29"/>
      <c r="H1410" s="78" t="str">
        <f t="shared" si="216"/>
        <v/>
      </c>
      <c r="I1410" s="25"/>
      <c r="J1410" s="25"/>
      <c r="K1410" s="26"/>
      <c r="L1410" s="26"/>
      <c r="M1410" s="37"/>
      <c r="N1410" s="27"/>
      <c r="O1410" s="30"/>
      <c r="P1410" s="39" t="str">
        <f t="shared" si="217"/>
        <v/>
      </c>
      <c r="Q1410" s="40" t="str">
        <f>IF(OR(T1410=0,RIGHT(T1410,1)=$W$1),"",COUNTIF($T$3:T1410,T1410))</f>
        <v/>
      </c>
      <c r="S1410" s="6">
        <f t="shared" si="218"/>
        <v>0</v>
      </c>
      <c r="T1410" s="36">
        <f t="shared" si="219"/>
        <v>0</v>
      </c>
      <c r="V1410" s="6">
        <f t="shared" si="220"/>
        <v>0</v>
      </c>
      <c r="Y1410" s="8">
        <f t="shared" si="221"/>
        <v>46023</v>
      </c>
    </row>
    <row r="1411" spans="2:25" ht="18.75" x14ac:dyDescent="0.3">
      <c r="B1411" s="6">
        <f t="shared" si="213"/>
        <v>0</v>
      </c>
      <c r="C1411" s="6">
        <f t="shared" si="214"/>
        <v>0</v>
      </c>
      <c r="D1411" s="6" t="str">
        <f t="shared" si="215"/>
        <v/>
      </c>
      <c r="E1411" s="35" t="str">
        <f t="shared" ref="E1411:E1474" si="222">IF(D1411&lt;&gt;"",D1411&amp;" - "&amp;YEAR(F1411),"")</f>
        <v/>
      </c>
      <c r="F1411" s="31"/>
      <c r="G1411" s="29"/>
      <c r="H1411" s="78" t="str">
        <f t="shared" si="216"/>
        <v/>
      </c>
      <c r="I1411" s="25"/>
      <c r="J1411" s="25"/>
      <c r="K1411" s="26"/>
      <c r="L1411" s="26"/>
      <c r="M1411" s="37"/>
      <c r="N1411" s="27"/>
      <c r="O1411" s="30"/>
      <c r="P1411" s="39" t="str">
        <f t="shared" si="217"/>
        <v/>
      </c>
      <c r="Q1411" s="40" t="str">
        <f>IF(OR(T1411=0,RIGHT(T1411,1)=$W$1),"",COUNTIF($T$3:T1411,T1411))</f>
        <v/>
      </c>
      <c r="S1411" s="6">
        <f t="shared" si="218"/>
        <v>0</v>
      </c>
      <c r="T1411" s="36">
        <f t="shared" si="219"/>
        <v>0</v>
      </c>
      <c r="V1411" s="6">
        <f t="shared" si="220"/>
        <v>0</v>
      </c>
      <c r="Y1411" s="8">
        <f t="shared" si="221"/>
        <v>46023</v>
      </c>
    </row>
    <row r="1412" spans="2:25" ht="18.75" x14ac:dyDescent="0.3">
      <c r="B1412" s="6">
        <f t="shared" ref="B1412:B1475" si="223">IF($B$1=YEAR(F1412),B1411+1,B1411)</f>
        <v>0</v>
      </c>
      <c r="C1412" s="6">
        <f t="shared" ref="C1412:C1475" si="224">IF(AND($C$1=K1412,$Y$1=YEAR(F1412)),C1411+1,C1411)</f>
        <v>0</v>
      </c>
      <c r="D1412" s="6" t="str">
        <f t="shared" ref="D1412:D1475" si="225">IF(F1412&lt;&gt;0,IF(YEAR(F1412)&lt;&gt;YEAR(F1411),1,IF(M1412=$AI$1,D1411,D1411+1)),"")</f>
        <v/>
      </c>
      <c r="E1412" s="35" t="str">
        <f t="shared" si="222"/>
        <v/>
      </c>
      <c r="F1412" s="31"/>
      <c r="G1412" s="29"/>
      <c r="H1412" s="78" t="str">
        <f t="shared" ref="H1412:H1475" si="226">IF(G1412&lt;&gt;"",F1412,"")</f>
        <v/>
      </c>
      <c r="I1412" s="25"/>
      <c r="J1412" s="25"/>
      <c r="K1412" s="26"/>
      <c r="L1412" s="26"/>
      <c r="M1412" s="37"/>
      <c r="N1412" s="27"/>
      <c r="O1412" s="30"/>
      <c r="P1412" s="39" t="str">
        <f t="shared" ref="P1412:P1475" si="227">IF(OR(T1412=0,RIGHT(T1412,1)=$W$1),"",VLOOKUP(K1412,$AD$1:$AK$15,5,FALSE))</f>
        <v/>
      </c>
      <c r="Q1412" s="40" t="str">
        <f>IF(OR(T1412=0,RIGHT(T1412,1)=$W$1),"",COUNTIF($T$3:T1412,T1412))</f>
        <v/>
      </c>
      <c r="S1412" s="6">
        <f t="shared" ref="S1412:S1475" si="228">IF(AND($C$1=K1412,$Y$1=YEAR(F1412)),C1412,0)</f>
        <v>0</v>
      </c>
      <c r="T1412" s="36">
        <f t="shared" ref="T1412:T1475" si="229">IF(F1412=0,0,YEAR(F1412)&amp;VLOOKUP(K1412,$AD$1:$AE$15,2,FALSE))</f>
        <v>0</v>
      </c>
      <c r="V1412" s="6">
        <f t="shared" ref="V1412:V1475" si="230">IF(AND(YEAR(F1412)=$Y$1,K1412=$C$1,L1412&amp;$V$1&lt;&gt;$V$1),L1412,IF(AND(YEAR(F1412)=$Y$1,K1412=$C$1),1,0))</f>
        <v>0</v>
      </c>
      <c r="Y1412" s="8">
        <f t="shared" ref="Y1412:Y1475" si="231">IF(M1412&lt;&gt;$AI$1,$Y$2,F1411)</f>
        <v>46023</v>
      </c>
    </row>
    <row r="1413" spans="2:25" ht="18.75" x14ac:dyDescent="0.3">
      <c r="B1413" s="6">
        <f t="shared" si="223"/>
        <v>0</v>
      </c>
      <c r="C1413" s="6">
        <f t="shared" si="224"/>
        <v>0</v>
      </c>
      <c r="D1413" s="6" t="str">
        <f t="shared" si="225"/>
        <v/>
      </c>
      <c r="E1413" s="35" t="str">
        <f t="shared" si="222"/>
        <v/>
      </c>
      <c r="F1413" s="31"/>
      <c r="G1413" s="29"/>
      <c r="H1413" s="78" t="str">
        <f t="shared" si="226"/>
        <v/>
      </c>
      <c r="I1413" s="25"/>
      <c r="J1413" s="25"/>
      <c r="K1413" s="26"/>
      <c r="L1413" s="26"/>
      <c r="M1413" s="37"/>
      <c r="N1413" s="27"/>
      <c r="O1413" s="30"/>
      <c r="P1413" s="39" t="str">
        <f t="shared" si="227"/>
        <v/>
      </c>
      <c r="Q1413" s="40" t="str">
        <f>IF(OR(T1413=0,RIGHT(T1413,1)=$W$1),"",COUNTIF($T$3:T1413,T1413))</f>
        <v/>
      </c>
      <c r="S1413" s="6">
        <f t="shared" si="228"/>
        <v>0</v>
      </c>
      <c r="T1413" s="36">
        <f t="shared" si="229"/>
        <v>0</v>
      </c>
      <c r="V1413" s="6">
        <f t="shared" si="230"/>
        <v>0</v>
      </c>
      <c r="Y1413" s="8">
        <f t="shared" si="231"/>
        <v>46023</v>
      </c>
    </row>
    <row r="1414" spans="2:25" ht="18.75" x14ac:dyDescent="0.3">
      <c r="B1414" s="6">
        <f t="shared" si="223"/>
        <v>0</v>
      </c>
      <c r="C1414" s="6">
        <f t="shared" si="224"/>
        <v>0</v>
      </c>
      <c r="D1414" s="6" t="str">
        <f t="shared" si="225"/>
        <v/>
      </c>
      <c r="E1414" s="35" t="str">
        <f t="shared" si="222"/>
        <v/>
      </c>
      <c r="F1414" s="31"/>
      <c r="G1414" s="29"/>
      <c r="H1414" s="78" t="str">
        <f t="shared" si="226"/>
        <v/>
      </c>
      <c r="I1414" s="25"/>
      <c r="J1414" s="25"/>
      <c r="K1414" s="26"/>
      <c r="L1414" s="26"/>
      <c r="M1414" s="37"/>
      <c r="N1414" s="27"/>
      <c r="O1414" s="30"/>
      <c r="P1414" s="39" t="str">
        <f t="shared" si="227"/>
        <v/>
      </c>
      <c r="Q1414" s="40" t="str">
        <f>IF(OR(T1414=0,RIGHT(T1414,1)=$W$1),"",COUNTIF($T$3:T1414,T1414))</f>
        <v/>
      </c>
      <c r="S1414" s="6">
        <f t="shared" si="228"/>
        <v>0</v>
      </c>
      <c r="T1414" s="36">
        <f t="shared" si="229"/>
        <v>0</v>
      </c>
      <c r="V1414" s="6">
        <f t="shared" si="230"/>
        <v>0</v>
      </c>
      <c r="Y1414" s="8">
        <f t="shared" si="231"/>
        <v>46023</v>
      </c>
    </row>
    <row r="1415" spans="2:25" ht="18.75" x14ac:dyDescent="0.3">
      <c r="B1415" s="6">
        <f t="shared" si="223"/>
        <v>0</v>
      </c>
      <c r="C1415" s="6">
        <f t="shared" si="224"/>
        <v>0</v>
      </c>
      <c r="D1415" s="6" t="str">
        <f t="shared" si="225"/>
        <v/>
      </c>
      <c r="E1415" s="35" t="str">
        <f t="shared" si="222"/>
        <v/>
      </c>
      <c r="F1415" s="31"/>
      <c r="G1415" s="29"/>
      <c r="H1415" s="78" t="str">
        <f t="shared" si="226"/>
        <v/>
      </c>
      <c r="I1415" s="25"/>
      <c r="J1415" s="25"/>
      <c r="K1415" s="26"/>
      <c r="L1415" s="26"/>
      <c r="M1415" s="37"/>
      <c r="N1415" s="27"/>
      <c r="O1415" s="30"/>
      <c r="P1415" s="39" t="str">
        <f t="shared" si="227"/>
        <v/>
      </c>
      <c r="Q1415" s="40" t="str">
        <f>IF(OR(T1415=0,RIGHT(T1415,1)=$W$1),"",COUNTIF($T$3:T1415,T1415))</f>
        <v/>
      </c>
      <c r="S1415" s="6">
        <f t="shared" si="228"/>
        <v>0</v>
      </c>
      <c r="T1415" s="36">
        <f t="shared" si="229"/>
        <v>0</v>
      </c>
      <c r="V1415" s="6">
        <f t="shared" si="230"/>
        <v>0</v>
      </c>
      <c r="Y1415" s="8">
        <f t="shared" si="231"/>
        <v>46023</v>
      </c>
    </row>
    <row r="1416" spans="2:25" ht="18.75" x14ac:dyDescent="0.3">
      <c r="B1416" s="6">
        <f t="shared" si="223"/>
        <v>0</v>
      </c>
      <c r="C1416" s="6">
        <f t="shared" si="224"/>
        <v>0</v>
      </c>
      <c r="D1416" s="6" t="str">
        <f t="shared" si="225"/>
        <v/>
      </c>
      <c r="E1416" s="35" t="str">
        <f t="shared" si="222"/>
        <v/>
      </c>
      <c r="F1416" s="31"/>
      <c r="G1416" s="29"/>
      <c r="H1416" s="78" t="str">
        <f t="shared" si="226"/>
        <v/>
      </c>
      <c r="I1416" s="25"/>
      <c r="J1416" s="25"/>
      <c r="K1416" s="26"/>
      <c r="L1416" s="26"/>
      <c r="M1416" s="37"/>
      <c r="N1416" s="27"/>
      <c r="O1416" s="30"/>
      <c r="P1416" s="39" t="str">
        <f t="shared" si="227"/>
        <v/>
      </c>
      <c r="Q1416" s="40" t="str">
        <f>IF(OR(T1416=0,RIGHT(T1416,1)=$W$1),"",COUNTIF($T$3:T1416,T1416))</f>
        <v/>
      </c>
      <c r="S1416" s="6">
        <f t="shared" si="228"/>
        <v>0</v>
      </c>
      <c r="T1416" s="36">
        <f t="shared" si="229"/>
        <v>0</v>
      </c>
      <c r="V1416" s="6">
        <f t="shared" si="230"/>
        <v>0</v>
      </c>
      <c r="Y1416" s="8">
        <f t="shared" si="231"/>
        <v>46023</v>
      </c>
    </row>
    <row r="1417" spans="2:25" ht="18.75" x14ac:dyDescent="0.3">
      <c r="B1417" s="6">
        <f t="shared" si="223"/>
        <v>0</v>
      </c>
      <c r="C1417" s="6">
        <f t="shared" si="224"/>
        <v>0</v>
      </c>
      <c r="D1417" s="6" t="str">
        <f t="shared" si="225"/>
        <v/>
      </c>
      <c r="E1417" s="35" t="str">
        <f t="shared" si="222"/>
        <v/>
      </c>
      <c r="F1417" s="31"/>
      <c r="G1417" s="29"/>
      <c r="H1417" s="78" t="str">
        <f t="shared" si="226"/>
        <v/>
      </c>
      <c r="I1417" s="25"/>
      <c r="J1417" s="25"/>
      <c r="K1417" s="26"/>
      <c r="L1417" s="26"/>
      <c r="M1417" s="37"/>
      <c r="N1417" s="27"/>
      <c r="O1417" s="30"/>
      <c r="P1417" s="39" t="str">
        <f t="shared" si="227"/>
        <v/>
      </c>
      <c r="Q1417" s="40" t="str">
        <f>IF(OR(T1417=0,RIGHT(T1417,1)=$W$1),"",COUNTIF($T$3:T1417,T1417))</f>
        <v/>
      </c>
      <c r="S1417" s="6">
        <f t="shared" si="228"/>
        <v>0</v>
      </c>
      <c r="T1417" s="36">
        <f t="shared" si="229"/>
        <v>0</v>
      </c>
      <c r="V1417" s="6">
        <f t="shared" si="230"/>
        <v>0</v>
      </c>
      <c r="Y1417" s="8">
        <f t="shared" si="231"/>
        <v>46023</v>
      </c>
    </row>
    <row r="1418" spans="2:25" ht="18.75" x14ac:dyDescent="0.3">
      <c r="B1418" s="6">
        <f t="shared" si="223"/>
        <v>0</v>
      </c>
      <c r="C1418" s="6">
        <f t="shared" si="224"/>
        <v>0</v>
      </c>
      <c r="D1418" s="6" t="str">
        <f t="shared" si="225"/>
        <v/>
      </c>
      <c r="E1418" s="35" t="str">
        <f t="shared" si="222"/>
        <v/>
      </c>
      <c r="F1418" s="31"/>
      <c r="G1418" s="29"/>
      <c r="H1418" s="78" t="str">
        <f t="shared" si="226"/>
        <v/>
      </c>
      <c r="I1418" s="25"/>
      <c r="J1418" s="25"/>
      <c r="K1418" s="26"/>
      <c r="L1418" s="26"/>
      <c r="M1418" s="37"/>
      <c r="N1418" s="27"/>
      <c r="O1418" s="30"/>
      <c r="P1418" s="39" t="str">
        <f t="shared" si="227"/>
        <v/>
      </c>
      <c r="Q1418" s="40" t="str">
        <f>IF(OR(T1418=0,RIGHT(T1418,1)=$W$1),"",COUNTIF($T$3:T1418,T1418))</f>
        <v/>
      </c>
      <c r="S1418" s="6">
        <f t="shared" si="228"/>
        <v>0</v>
      </c>
      <c r="T1418" s="36">
        <f t="shared" si="229"/>
        <v>0</v>
      </c>
      <c r="V1418" s="6">
        <f t="shared" si="230"/>
        <v>0</v>
      </c>
      <c r="Y1418" s="8">
        <f t="shared" si="231"/>
        <v>46023</v>
      </c>
    </row>
    <row r="1419" spans="2:25" ht="18.75" x14ac:dyDescent="0.3">
      <c r="B1419" s="6">
        <f t="shared" si="223"/>
        <v>0</v>
      </c>
      <c r="C1419" s="6">
        <f t="shared" si="224"/>
        <v>0</v>
      </c>
      <c r="D1419" s="6" t="str">
        <f t="shared" si="225"/>
        <v/>
      </c>
      <c r="E1419" s="35" t="str">
        <f t="shared" si="222"/>
        <v/>
      </c>
      <c r="F1419" s="31"/>
      <c r="G1419" s="29"/>
      <c r="H1419" s="78" t="str">
        <f t="shared" si="226"/>
        <v/>
      </c>
      <c r="I1419" s="25"/>
      <c r="J1419" s="25"/>
      <c r="K1419" s="26"/>
      <c r="L1419" s="26"/>
      <c r="M1419" s="37"/>
      <c r="N1419" s="27"/>
      <c r="O1419" s="30"/>
      <c r="P1419" s="39" t="str">
        <f t="shared" si="227"/>
        <v/>
      </c>
      <c r="Q1419" s="40" t="str">
        <f>IF(OR(T1419=0,RIGHT(T1419,1)=$W$1),"",COUNTIF($T$3:T1419,T1419))</f>
        <v/>
      </c>
      <c r="S1419" s="6">
        <f t="shared" si="228"/>
        <v>0</v>
      </c>
      <c r="T1419" s="36">
        <f t="shared" si="229"/>
        <v>0</v>
      </c>
      <c r="V1419" s="6">
        <f t="shared" si="230"/>
        <v>0</v>
      </c>
      <c r="Y1419" s="8">
        <f t="shared" si="231"/>
        <v>46023</v>
      </c>
    </row>
    <row r="1420" spans="2:25" ht="18.75" x14ac:dyDescent="0.3">
      <c r="B1420" s="6">
        <f t="shared" si="223"/>
        <v>0</v>
      </c>
      <c r="C1420" s="6">
        <f t="shared" si="224"/>
        <v>0</v>
      </c>
      <c r="D1420" s="6" t="str">
        <f t="shared" si="225"/>
        <v/>
      </c>
      <c r="E1420" s="35" t="str">
        <f t="shared" si="222"/>
        <v/>
      </c>
      <c r="F1420" s="31"/>
      <c r="G1420" s="29"/>
      <c r="H1420" s="78" t="str">
        <f t="shared" si="226"/>
        <v/>
      </c>
      <c r="I1420" s="25"/>
      <c r="J1420" s="25"/>
      <c r="K1420" s="26"/>
      <c r="L1420" s="26"/>
      <c r="M1420" s="37"/>
      <c r="N1420" s="27"/>
      <c r="O1420" s="30"/>
      <c r="P1420" s="39" t="str">
        <f t="shared" si="227"/>
        <v/>
      </c>
      <c r="Q1420" s="40" t="str">
        <f>IF(OR(T1420=0,RIGHT(T1420,1)=$W$1),"",COUNTIF($T$3:T1420,T1420))</f>
        <v/>
      </c>
      <c r="S1420" s="6">
        <f t="shared" si="228"/>
        <v>0</v>
      </c>
      <c r="T1420" s="36">
        <f t="shared" si="229"/>
        <v>0</v>
      </c>
      <c r="V1420" s="6">
        <f t="shared" si="230"/>
        <v>0</v>
      </c>
      <c r="Y1420" s="8">
        <f t="shared" si="231"/>
        <v>46023</v>
      </c>
    </row>
    <row r="1421" spans="2:25" ht="18.75" x14ac:dyDescent="0.3">
      <c r="B1421" s="6">
        <f t="shared" si="223"/>
        <v>0</v>
      </c>
      <c r="C1421" s="6">
        <f t="shared" si="224"/>
        <v>0</v>
      </c>
      <c r="D1421" s="6" t="str">
        <f t="shared" si="225"/>
        <v/>
      </c>
      <c r="E1421" s="35" t="str">
        <f t="shared" si="222"/>
        <v/>
      </c>
      <c r="F1421" s="31"/>
      <c r="G1421" s="29"/>
      <c r="H1421" s="78" t="str">
        <f t="shared" si="226"/>
        <v/>
      </c>
      <c r="I1421" s="25"/>
      <c r="J1421" s="25"/>
      <c r="K1421" s="26"/>
      <c r="L1421" s="26"/>
      <c r="M1421" s="37"/>
      <c r="N1421" s="27"/>
      <c r="O1421" s="30"/>
      <c r="P1421" s="39" t="str">
        <f t="shared" si="227"/>
        <v/>
      </c>
      <c r="Q1421" s="40" t="str">
        <f>IF(OR(T1421=0,RIGHT(T1421,1)=$W$1),"",COUNTIF($T$3:T1421,T1421))</f>
        <v/>
      </c>
      <c r="S1421" s="6">
        <f t="shared" si="228"/>
        <v>0</v>
      </c>
      <c r="T1421" s="36">
        <f t="shared" si="229"/>
        <v>0</v>
      </c>
      <c r="V1421" s="6">
        <f t="shared" si="230"/>
        <v>0</v>
      </c>
      <c r="Y1421" s="8">
        <f t="shared" si="231"/>
        <v>46023</v>
      </c>
    </row>
    <row r="1422" spans="2:25" ht="18.75" x14ac:dyDescent="0.3">
      <c r="B1422" s="6">
        <f t="shared" si="223"/>
        <v>0</v>
      </c>
      <c r="C1422" s="6">
        <f t="shared" si="224"/>
        <v>0</v>
      </c>
      <c r="D1422" s="6" t="str">
        <f t="shared" si="225"/>
        <v/>
      </c>
      <c r="E1422" s="35" t="str">
        <f t="shared" si="222"/>
        <v/>
      </c>
      <c r="F1422" s="31"/>
      <c r="G1422" s="29"/>
      <c r="H1422" s="78" t="str">
        <f t="shared" si="226"/>
        <v/>
      </c>
      <c r="I1422" s="25"/>
      <c r="J1422" s="25"/>
      <c r="K1422" s="26"/>
      <c r="L1422" s="26"/>
      <c r="M1422" s="37"/>
      <c r="N1422" s="27"/>
      <c r="O1422" s="30"/>
      <c r="P1422" s="39" t="str">
        <f t="shared" si="227"/>
        <v/>
      </c>
      <c r="Q1422" s="40" t="str">
        <f>IF(OR(T1422=0,RIGHT(T1422,1)=$W$1),"",COUNTIF($T$3:T1422,T1422))</f>
        <v/>
      </c>
      <c r="S1422" s="6">
        <f t="shared" si="228"/>
        <v>0</v>
      </c>
      <c r="T1422" s="36">
        <f t="shared" si="229"/>
        <v>0</v>
      </c>
      <c r="V1422" s="6">
        <f t="shared" si="230"/>
        <v>0</v>
      </c>
      <c r="Y1422" s="8">
        <f t="shared" si="231"/>
        <v>46023</v>
      </c>
    </row>
    <row r="1423" spans="2:25" ht="18.75" x14ac:dyDescent="0.3">
      <c r="B1423" s="6">
        <f t="shared" si="223"/>
        <v>0</v>
      </c>
      <c r="C1423" s="6">
        <f t="shared" si="224"/>
        <v>0</v>
      </c>
      <c r="D1423" s="6" t="str">
        <f t="shared" si="225"/>
        <v/>
      </c>
      <c r="E1423" s="35" t="str">
        <f t="shared" si="222"/>
        <v/>
      </c>
      <c r="F1423" s="31"/>
      <c r="G1423" s="29"/>
      <c r="H1423" s="78" t="str">
        <f t="shared" si="226"/>
        <v/>
      </c>
      <c r="I1423" s="25"/>
      <c r="J1423" s="25"/>
      <c r="K1423" s="26"/>
      <c r="L1423" s="26"/>
      <c r="M1423" s="37"/>
      <c r="N1423" s="27"/>
      <c r="O1423" s="30"/>
      <c r="P1423" s="39" t="str">
        <f t="shared" si="227"/>
        <v/>
      </c>
      <c r="Q1423" s="40" t="str">
        <f>IF(OR(T1423=0,RIGHT(T1423,1)=$W$1),"",COUNTIF($T$3:T1423,T1423))</f>
        <v/>
      </c>
      <c r="S1423" s="6">
        <f t="shared" si="228"/>
        <v>0</v>
      </c>
      <c r="T1423" s="36">
        <f t="shared" si="229"/>
        <v>0</v>
      </c>
      <c r="V1423" s="6">
        <f t="shared" si="230"/>
        <v>0</v>
      </c>
      <c r="Y1423" s="8">
        <f t="shared" si="231"/>
        <v>46023</v>
      </c>
    </row>
    <row r="1424" spans="2:25" ht="18.75" x14ac:dyDescent="0.3">
      <c r="B1424" s="6">
        <f t="shared" si="223"/>
        <v>0</v>
      </c>
      <c r="C1424" s="6">
        <f t="shared" si="224"/>
        <v>0</v>
      </c>
      <c r="D1424" s="6" t="str">
        <f t="shared" si="225"/>
        <v/>
      </c>
      <c r="E1424" s="35" t="str">
        <f t="shared" si="222"/>
        <v/>
      </c>
      <c r="F1424" s="31"/>
      <c r="G1424" s="29"/>
      <c r="H1424" s="78" t="str">
        <f t="shared" si="226"/>
        <v/>
      </c>
      <c r="I1424" s="25"/>
      <c r="J1424" s="25"/>
      <c r="K1424" s="26"/>
      <c r="L1424" s="26"/>
      <c r="M1424" s="37"/>
      <c r="N1424" s="27"/>
      <c r="O1424" s="30"/>
      <c r="P1424" s="39" t="str">
        <f t="shared" si="227"/>
        <v/>
      </c>
      <c r="Q1424" s="40" t="str">
        <f>IF(OR(T1424=0,RIGHT(T1424,1)=$W$1),"",COUNTIF($T$3:T1424,T1424))</f>
        <v/>
      </c>
      <c r="S1424" s="6">
        <f t="shared" si="228"/>
        <v>0</v>
      </c>
      <c r="T1424" s="36">
        <f t="shared" si="229"/>
        <v>0</v>
      </c>
      <c r="V1424" s="6">
        <f t="shared" si="230"/>
        <v>0</v>
      </c>
      <c r="Y1424" s="8">
        <f t="shared" si="231"/>
        <v>46023</v>
      </c>
    </row>
    <row r="1425" spans="2:25" ht="18.75" x14ac:dyDescent="0.3">
      <c r="B1425" s="6">
        <f t="shared" si="223"/>
        <v>0</v>
      </c>
      <c r="C1425" s="6">
        <f t="shared" si="224"/>
        <v>0</v>
      </c>
      <c r="D1425" s="6" t="str">
        <f t="shared" si="225"/>
        <v/>
      </c>
      <c r="E1425" s="35" t="str">
        <f t="shared" si="222"/>
        <v/>
      </c>
      <c r="F1425" s="31"/>
      <c r="G1425" s="29"/>
      <c r="H1425" s="78" t="str">
        <f t="shared" si="226"/>
        <v/>
      </c>
      <c r="I1425" s="25"/>
      <c r="J1425" s="25"/>
      <c r="K1425" s="26"/>
      <c r="L1425" s="26"/>
      <c r="M1425" s="37"/>
      <c r="N1425" s="27"/>
      <c r="O1425" s="30"/>
      <c r="P1425" s="39" t="str">
        <f t="shared" si="227"/>
        <v/>
      </c>
      <c r="Q1425" s="40" t="str">
        <f>IF(OR(T1425=0,RIGHT(T1425,1)=$W$1),"",COUNTIF($T$3:T1425,T1425))</f>
        <v/>
      </c>
      <c r="S1425" s="6">
        <f t="shared" si="228"/>
        <v>0</v>
      </c>
      <c r="T1425" s="36">
        <f t="shared" si="229"/>
        <v>0</v>
      </c>
      <c r="V1425" s="6">
        <f t="shared" si="230"/>
        <v>0</v>
      </c>
      <c r="Y1425" s="8">
        <f t="shared" si="231"/>
        <v>46023</v>
      </c>
    </row>
    <row r="1426" spans="2:25" ht="18.75" x14ac:dyDescent="0.3">
      <c r="B1426" s="6">
        <f t="shared" si="223"/>
        <v>0</v>
      </c>
      <c r="C1426" s="6">
        <f t="shared" si="224"/>
        <v>0</v>
      </c>
      <c r="D1426" s="6" t="str">
        <f t="shared" si="225"/>
        <v/>
      </c>
      <c r="E1426" s="35" t="str">
        <f t="shared" si="222"/>
        <v/>
      </c>
      <c r="F1426" s="31"/>
      <c r="G1426" s="29"/>
      <c r="H1426" s="78" t="str">
        <f t="shared" si="226"/>
        <v/>
      </c>
      <c r="I1426" s="25"/>
      <c r="J1426" s="25"/>
      <c r="K1426" s="26"/>
      <c r="L1426" s="26"/>
      <c r="M1426" s="37"/>
      <c r="N1426" s="27"/>
      <c r="O1426" s="30"/>
      <c r="P1426" s="39" t="str">
        <f t="shared" si="227"/>
        <v/>
      </c>
      <c r="Q1426" s="40" t="str">
        <f>IF(OR(T1426=0,RIGHT(T1426,1)=$W$1),"",COUNTIF($T$3:T1426,T1426))</f>
        <v/>
      </c>
      <c r="S1426" s="6">
        <f t="shared" si="228"/>
        <v>0</v>
      </c>
      <c r="T1426" s="36">
        <f t="shared" si="229"/>
        <v>0</v>
      </c>
      <c r="V1426" s="6">
        <f t="shared" si="230"/>
        <v>0</v>
      </c>
      <c r="Y1426" s="8">
        <f t="shared" si="231"/>
        <v>46023</v>
      </c>
    </row>
    <row r="1427" spans="2:25" ht="18.75" x14ac:dyDescent="0.3">
      <c r="B1427" s="6">
        <f t="shared" si="223"/>
        <v>0</v>
      </c>
      <c r="C1427" s="6">
        <f t="shared" si="224"/>
        <v>0</v>
      </c>
      <c r="D1427" s="6" t="str">
        <f t="shared" si="225"/>
        <v/>
      </c>
      <c r="E1427" s="35" t="str">
        <f t="shared" si="222"/>
        <v/>
      </c>
      <c r="F1427" s="31"/>
      <c r="G1427" s="29"/>
      <c r="H1427" s="78" t="str">
        <f t="shared" si="226"/>
        <v/>
      </c>
      <c r="I1427" s="25"/>
      <c r="J1427" s="25"/>
      <c r="K1427" s="26"/>
      <c r="L1427" s="26"/>
      <c r="M1427" s="37"/>
      <c r="N1427" s="27"/>
      <c r="O1427" s="30"/>
      <c r="P1427" s="39" t="str">
        <f t="shared" si="227"/>
        <v/>
      </c>
      <c r="Q1427" s="40" t="str">
        <f>IF(OR(T1427=0,RIGHT(T1427,1)=$W$1),"",COUNTIF($T$3:T1427,T1427))</f>
        <v/>
      </c>
      <c r="S1427" s="6">
        <f t="shared" si="228"/>
        <v>0</v>
      </c>
      <c r="T1427" s="36">
        <f t="shared" si="229"/>
        <v>0</v>
      </c>
      <c r="V1427" s="6">
        <f t="shared" si="230"/>
        <v>0</v>
      </c>
      <c r="Y1427" s="8">
        <f t="shared" si="231"/>
        <v>46023</v>
      </c>
    </row>
    <row r="1428" spans="2:25" ht="18.75" x14ac:dyDescent="0.3">
      <c r="B1428" s="6">
        <f t="shared" si="223"/>
        <v>0</v>
      </c>
      <c r="C1428" s="6">
        <f t="shared" si="224"/>
        <v>0</v>
      </c>
      <c r="D1428" s="6" t="str">
        <f t="shared" si="225"/>
        <v/>
      </c>
      <c r="E1428" s="35" t="str">
        <f t="shared" si="222"/>
        <v/>
      </c>
      <c r="F1428" s="31"/>
      <c r="G1428" s="29"/>
      <c r="H1428" s="78" t="str">
        <f t="shared" si="226"/>
        <v/>
      </c>
      <c r="I1428" s="25"/>
      <c r="J1428" s="25"/>
      <c r="K1428" s="26"/>
      <c r="L1428" s="26"/>
      <c r="M1428" s="37"/>
      <c r="N1428" s="27"/>
      <c r="O1428" s="30"/>
      <c r="P1428" s="39" t="str">
        <f t="shared" si="227"/>
        <v/>
      </c>
      <c r="Q1428" s="40" t="str">
        <f>IF(OR(T1428=0,RIGHT(T1428,1)=$W$1),"",COUNTIF($T$3:T1428,T1428))</f>
        <v/>
      </c>
      <c r="S1428" s="6">
        <f t="shared" si="228"/>
        <v>0</v>
      </c>
      <c r="T1428" s="36">
        <f t="shared" si="229"/>
        <v>0</v>
      </c>
      <c r="V1428" s="6">
        <f t="shared" si="230"/>
        <v>0</v>
      </c>
      <c r="Y1428" s="8">
        <f t="shared" si="231"/>
        <v>46023</v>
      </c>
    </row>
    <row r="1429" spans="2:25" ht="18.75" x14ac:dyDescent="0.3">
      <c r="B1429" s="6">
        <f t="shared" si="223"/>
        <v>0</v>
      </c>
      <c r="C1429" s="6">
        <f t="shared" si="224"/>
        <v>0</v>
      </c>
      <c r="D1429" s="6" t="str">
        <f t="shared" si="225"/>
        <v/>
      </c>
      <c r="E1429" s="35" t="str">
        <f t="shared" si="222"/>
        <v/>
      </c>
      <c r="F1429" s="31"/>
      <c r="G1429" s="29"/>
      <c r="H1429" s="78" t="str">
        <f t="shared" si="226"/>
        <v/>
      </c>
      <c r="I1429" s="25"/>
      <c r="J1429" s="25"/>
      <c r="K1429" s="26"/>
      <c r="L1429" s="26"/>
      <c r="M1429" s="37"/>
      <c r="N1429" s="27"/>
      <c r="O1429" s="30"/>
      <c r="P1429" s="39" t="str">
        <f t="shared" si="227"/>
        <v/>
      </c>
      <c r="Q1429" s="40" t="str">
        <f>IF(OR(T1429=0,RIGHT(T1429,1)=$W$1),"",COUNTIF($T$3:T1429,T1429))</f>
        <v/>
      </c>
      <c r="S1429" s="6">
        <f t="shared" si="228"/>
        <v>0</v>
      </c>
      <c r="T1429" s="36">
        <f t="shared" si="229"/>
        <v>0</v>
      </c>
      <c r="V1429" s="6">
        <f t="shared" si="230"/>
        <v>0</v>
      </c>
      <c r="Y1429" s="8">
        <f t="shared" si="231"/>
        <v>46023</v>
      </c>
    </row>
    <row r="1430" spans="2:25" ht="18.75" x14ac:dyDescent="0.3">
      <c r="B1430" s="6">
        <f t="shared" si="223"/>
        <v>0</v>
      </c>
      <c r="C1430" s="6">
        <f t="shared" si="224"/>
        <v>0</v>
      </c>
      <c r="D1430" s="6" t="str">
        <f t="shared" si="225"/>
        <v/>
      </c>
      <c r="E1430" s="35" t="str">
        <f t="shared" si="222"/>
        <v/>
      </c>
      <c r="F1430" s="31"/>
      <c r="G1430" s="29"/>
      <c r="H1430" s="78" t="str">
        <f t="shared" si="226"/>
        <v/>
      </c>
      <c r="I1430" s="25"/>
      <c r="J1430" s="25"/>
      <c r="K1430" s="26"/>
      <c r="L1430" s="26"/>
      <c r="M1430" s="37"/>
      <c r="N1430" s="27"/>
      <c r="O1430" s="30"/>
      <c r="P1430" s="39" t="str">
        <f t="shared" si="227"/>
        <v/>
      </c>
      <c r="Q1430" s="40" t="str">
        <f>IF(OR(T1430=0,RIGHT(T1430,1)=$W$1),"",COUNTIF($T$3:T1430,T1430))</f>
        <v/>
      </c>
      <c r="S1430" s="6">
        <f t="shared" si="228"/>
        <v>0</v>
      </c>
      <c r="T1430" s="36">
        <f t="shared" si="229"/>
        <v>0</v>
      </c>
      <c r="V1430" s="6">
        <f t="shared" si="230"/>
        <v>0</v>
      </c>
      <c r="Y1430" s="8">
        <f t="shared" si="231"/>
        <v>46023</v>
      </c>
    </row>
    <row r="1431" spans="2:25" ht="18.75" x14ac:dyDescent="0.3">
      <c r="B1431" s="6">
        <f t="shared" si="223"/>
        <v>0</v>
      </c>
      <c r="C1431" s="6">
        <f t="shared" si="224"/>
        <v>0</v>
      </c>
      <c r="D1431" s="6" t="str">
        <f t="shared" si="225"/>
        <v/>
      </c>
      <c r="E1431" s="35" t="str">
        <f t="shared" si="222"/>
        <v/>
      </c>
      <c r="F1431" s="31"/>
      <c r="G1431" s="29"/>
      <c r="H1431" s="78" t="str">
        <f t="shared" si="226"/>
        <v/>
      </c>
      <c r="I1431" s="25"/>
      <c r="J1431" s="25"/>
      <c r="K1431" s="26"/>
      <c r="L1431" s="26"/>
      <c r="M1431" s="37"/>
      <c r="N1431" s="27"/>
      <c r="O1431" s="30"/>
      <c r="P1431" s="39" t="str">
        <f t="shared" si="227"/>
        <v/>
      </c>
      <c r="Q1431" s="40" t="str">
        <f>IF(OR(T1431=0,RIGHT(T1431,1)=$W$1),"",COUNTIF($T$3:T1431,T1431))</f>
        <v/>
      </c>
      <c r="S1431" s="6">
        <f t="shared" si="228"/>
        <v>0</v>
      </c>
      <c r="T1431" s="36">
        <f t="shared" si="229"/>
        <v>0</v>
      </c>
      <c r="V1431" s="6">
        <f t="shared" si="230"/>
        <v>0</v>
      </c>
      <c r="Y1431" s="8">
        <f t="shared" si="231"/>
        <v>46023</v>
      </c>
    </row>
    <row r="1432" spans="2:25" ht="18.75" x14ac:dyDescent="0.3">
      <c r="B1432" s="6">
        <f t="shared" si="223"/>
        <v>0</v>
      </c>
      <c r="C1432" s="6">
        <f t="shared" si="224"/>
        <v>0</v>
      </c>
      <c r="D1432" s="6" t="str">
        <f t="shared" si="225"/>
        <v/>
      </c>
      <c r="E1432" s="35" t="str">
        <f t="shared" si="222"/>
        <v/>
      </c>
      <c r="F1432" s="31"/>
      <c r="G1432" s="29"/>
      <c r="H1432" s="78" t="str">
        <f t="shared" si="226"/>
        <v/>
      </c>
      <c r="I1432" s="25"/>
      <c r="J1432" s="25"/>
      <c r="K1432" s="26"/>
      <c r="L1432" s="26"/>
      <c r="M1432" s="37"/>
      <c r="N1432" s="27"/>
      <c r="O1432" s="30"/>
      <c r="P1432" s="39" t="str">
        <f t="shared" si="227"/>
        <v/>
      </c>
      <c r="Q1432" s="40" t="str">
        <f>IF(OR(T1432=0,RIGHT(T1432,1)=$W$1),"",COUNTIF($T$3:T1432,T1432))</f>
        <v/>
      </c>
      <c r="S1432" s="6">
        <f t="shared" si="228"/>
        <v>0</v>
      </c>
      <c r="T1432" s="36">
        <f t="shared" si="229"/>
        <v>0</v>
      </c>
      <c r="V1432" s="6">
        <f t="shared" si="230"/>
        <v>0</v>
      </c>
      <c r="Y1432" s="8">
        <f t="shared" si="231"/>
        <v>46023</v>
      </c>
    </row>
    <row r="1433" spans="2:25" ht="18.75" x14ac:dyDescent="0.3">
      <c r="B1433" s="6">
        <f t="shared" si="223"/>
        <v>0</v>
      </c>
      <c r="C1433" s="6">
        <f t="shared" si="224"/>
        <v>0</v>
      </c>
      <c r="D1433" s="6" t="str">
        <f t="shared" si="225"/>
        <v/>
      </c>
      <c r="E1433" s="35" t="str">
        <f t="shared" si="222"/>
        <v/>
      </c>
      <c r="F1433" s="31"/>
      <c r="G1433" s="29"/>
      <c r="H1433" s="78" t="str">
        <f t="shared" si="226"/>
        <v/>
      </c>
      <c r="I1433" s="25"/>
      <c r="J1433" s="25"/>
      <c r="K1433" s="26"/>
      <c r="L1433" s="26"/>
      <c r="M1433" s="37"/>
      <c r="N1433" s="27"/>
      <c r="O1433" s="30"/>
      <c r="P1433" s="39" t="str">
        <f t="shared" si="227"/>
        <v/>
      </c>
      <c r="Q1433" s="40" t="str">
        <f>IF(OR(T1433=0,RIGHT(T1433,1)=$W$1),"",COUNTIF($T$3:T1433,T1433))</f>
        <v/>
      </c>
      <c r="S1433" s="6">
        <f t="shared" si="228"/>
        <v>0</v>
      </c>
      <c r="T1433" s="36">
        <f t="shared" si="229"/>
        <v>0</v>
      </c>
      <c r="V1433" s="6">
        <f t="shared" si="230"/>
        <v>0</v>
      </c>
      <c r="Y1433" s="8">
        <f t="shared" si="231"/>
        <v>46023</v>
      </c>
    </row>
    <row r="1434" spans="2:25" ht="18.75" x14ac:dyDescent="0.3">
      <c r="B1434" s="6">
        <f t="shared" si="223"/>
        <v>0</v>
      </c>
      <c r="C1434" s="6">
        <f t="shared" si="224"/>
        <v>0</v>
      </c>
      <c r="D1434" s="6" t="str">
        <f t="shared" si="225"/>
        <v/>
      </c>
      <c r="E1434" s="35" t="str">
        <f t="shared" si="222"/>
        <v/>
      </c>
      <c r="F1434" s="31"/>
      <c r="G1434" s="29"/>
      <c r="H1434" s="78" t="str">
        <f t="shared" si="226"/>
        <v/>
      </c>
      <c r="I1434" s="25"/>
      <c r="J1434" s="25"/>
      <c r="K1434" s="26"/>
      <c r="L1434" s="26"/>
      <c r="M1434" s="37"/>
      <c r="N1434" s="27"/>
      <c r="O1434" s="30"/>
      <c r="P1434" s="39" t="str">
        <f t="shared" si="227"/>
        <v/>
      </c>
      <c r="Q1434" s="40" t="str">
        <f>IF(OR(T1434=0,RIGHT(T1434,1)=$W$1),"",COUNTIF($T$3:T1434,T1434))</f>
        <v/>
      </c>
      <c r="S1434" s="6">
        <f t="shared" si="228"/>
        <v>0</v>
      </c>
      <c r="T1434" s="36">
        <f t="shared" si="229"/>
        <v>0</v>
      </c>
      <c r="V1434" s="6">
        <f t="shared" si="230"/>
        <v>0</v>
      </c>
      <c r="Y1434" s="8">
        <f t="shared" si="231"/>
        <v>46023</v>
      </c>
    </row>
    <row r="1435" spans="2:25" ht="18.75" x14ac:dyDescent="0.3">
      <c r="B1435" s="6">
        <f t="shared" si="223"/>
        <v>0</v>
      </c>
      <c r="C1435" s="6">
        <f t="shared" si="224"/>
        <v>0</v>
      </c>
      <c r="D1435" s="6" t="str">
        <f t="shared" si="225"/>
        <v/>
      </c>
      <c r="E1435" s="35" t="str">
        <f t="shared" si="222"/>
        <v/>
      </c>
      <c r="F1435" s="31"/>
      <c r="G1435" s="29"/>
      <c r="H1435" s="78" t="str">
        <f t="shared" si="226"/>
        <v/>
      </c>
      <c r="I1435" s="25"/>
      <c r="J1435" s="25"/>
      <c r="K1435" s="26"/>
      <c r="L1435" s="26"/>
      <c r="M1435" s="37"/>
      <c r="N1435" s="27"/>
      <c r="O1435" s="30"/>
      <c r="P1435" s="39" t="str">
        <f t="shared" si="227"/>
        <v/>
      </c>
      <c r="Q1435" s="40" t="str">
        <f>IF(OR(T1435=0,RIGHT(T1435,1)=$W$1),"",COUNTIF($T$3:T1435,T1435))</f>
        <v/>
      </c>
      <c r="S1435" s="6">
        <f t="shared" si="228"/>
        <v>0</v>
      </c>
      <c r="T1435" s="36">
        <f t="shared" si="229"/>
        <v>0</v>
      </c>
      <c r="V1435" s="6">
        <f t="shared" si="230"/>
        <v>0</v>
      </c>
      <c r="Y1435" s="8">
        <f t="shared" si="231"/>
        <v>46023</v>
      </c>
    </row>
    <row r="1436" spans="2:25" ht="18.75" x14ac:dyDescent="0.3">
      <c r="B1436" s="6">
        <f t="shared" si="223"/>
        <v>0</v>
      </c>
      <c r="C1436" s="6">
        <f t="shared" si="224"/>
        <v>0</v>
      </c>
      <c r="D1436" s="6" t="str">
        <f t="shared" si="225"/>
        <v/>
      </c>
      <c r="E1436" s="35" t="str">
        <f t="shared" si="222"/>
        <v/>
      </c>
      <c r="F1436" s="31"/>
      <c r="G1436" s="29"/>
      <c r="H1436" s="78" t="str">
        <f t="shared" si="226"/>
        <v/>
      </c>
      <c r="I1436" s="25"/>
      <c r="J1436" s="25"/>
      <c r="K1436" s="26"/>
      <c r="L1436" s="26"/>
      <c r="M1436" s="37"/>
      <c r="N1436" s="27"/>
      <c r="O1436" s="30"/>
      <c r="P1436" s="39" t="str">
        <f t="shared" si="227"/>
        <v/>
      </c>
      <c r="Q1436" s="40" t="str">
        <f>IF(OR(T1436=0,RIGHT(T1436,1)=$W$1),"",COUNTIF($T$3:T1436,T1436))</f>
        <v/>
      </c>
      <c r="S1436" s="6">
        <f t="shared" si="228"/>
        <v>0</v>
      </c>
      <c r="T1436" s="36">
        <f t="shared" si="229"/>
        <v>0</v>
      </c>
      <c r="V1436" s="6">
        <f t="shared" si="230"/>
        <v>0</v>
      </c>
      <c r="Y1436" s="8">
        <f t="shared" si="231"/>
        <v>46023</v>
      </c>
    </row>
    <row r="1437" spans="2:25" ht="18.75" x14ac:dyDescent="0.3">
      <c r="B1437" s="6">
        <f t="shared" si="223"/>
        <v>0</v>
      </c>
      <c r="C1437" s="6">
        <f t="shared" si="224"/>
        <v>0</v>
      </c>
      <c r="D1437" s="6" t="str">
        <f t="shared" si="225"/>
        <v/>
      </c>
      <c r="E1437" s="35" t="str">
        <f t="shared" si="222"/>
        <v/>
      </c>
      <c r="F1437" s="31"/>
      <c r="G1437" s="29"/>
      <c r="H1437" s="78" t="str">
        <f t="shared" si="226"/>
        <v/>
      </c>
      <c r="I1437" s="25"/>
      <c r="J1437" s="25"/>
      <c r="K1437" s="26"/>
      <c r="L1437" s="26"/>
      <c r="M1437" s="37"/>
      <c r="N1437" s="27"/>
      <c r="O1437" s="30"/>
      <c r="P1437" s="39" t="str">
        <f t="shared" si="227"/>
        <v/>
      </c>
      <c r="Q1437" s="40" t="str">
        <f>IF(OR(T1437=0,RIGHT(T1437,1)=$W$1),"",COUNTIF($T$3:T1437,T1437))</f>
        <v/>
      </c>
      <c r="S1437" s="6">
        <f t="shared" si="228"/>
        <v>0</v>
      </c>
      <c r="T1437" s="36">
        <f t="shared" si="229"/>
        <v>0</v>
      </c>
      <c r="V1437" s="6">
        <f t="shared" si="230"/>
        <v>0</v>
      </c>
      <c r="Y1437" s="8">
        <f t="shared" si="231"/>
        <v>46023</v>
      </c>
    </row>
    <row r="1438" spans="2:25" ht="18.75" x14ac:dyDescent="0.3">
      <c r="B1438" s="6">
        <f t="shared" si="223"/>
        <v>0</v>
      </c>
      <c r="C1438" s="6">
        <f t="shared" si="224"/>
        <v>0</v>
      </c>
      <c r="D1438" s="6" t="str">
        <f t="shared" si="225"/>
        <v/>
      </c>
      <c r="E1438" s="35" t="str">
        <f t="shared" si="222"/>
        <v/>
      </c>
      <c r="F1438" s="31"/>
      <c r="G1438" s="29"/>
      <c r="H1438" s="78" t="str">
        <f t="shared" si="226"/>
        <v/>
      </c>
      <c r="I1438" s="25"/>
      <c r="J1438" s="25"/>
      <c r="K1438" s="26"/>
      <c r="L1438" s="26"/>
      <c r="M1438" s="37"/>
      <c r="N1438" s="27"/>
      <c r="O1438" s="30"/>
      <c r="P1438" s="39" t="str">
        <f t="shared" si="227"/>
        <v/>
      </c>
      <c r="Q1438" s="40" t="str">
        <f>IF(OR(T1438=0,RIGHT(T1438,1)=$W$1),"",COUNTIF($T$3:T1438,T1438))</f>
        <v/>
      </c>
      <c r="S1438" s="6">
        <f t="shared" si="228"/>
        <v>0</v>
      </c>
      <c r="T1438" s="36">
        <f t="shared" si="229"/>
        <v>0</v>
      </c>
      <c r="V1438" s="6">
        <f t="shared" si="230"/>
        <v>0</v>
      </c>
      <c r="Y1438" s="8">
        <f t="shared" si="231"/>
        <v>46023</v>
      </c>
    </row>
    <row r="1439" spans="2:25" ht="18.75" x14ac:dyDescent="0.3">
      <c r="B1439" s="6">
        <f t="shared" si="223"/>
        <v>0</v>
      </c>
      <c r="C1439" s="6">
        <f t="shared" si="224"/>
        <v>0</v>
      </c>
      <c r="D1439" s="6" t="str">
        <f t="shared" si="225"/>
        <v/>
      </c>
      <c r="E1439" s="35" t="str">
        <f t="shared" si="222"/>
        <v/>
      </c>
      <c r="F1439" s="31"/>
      <c r="G1439" s="29"/>
      <c r="H1439" s="78" t="str">
        <f t="shared" si="226"/>
        <v/>
      </c>
      <c r="I1439" s="25"/>
      <c r="J1439" s="25"/>
      <c r="K1439" s="26"/>
      <c r="L1439" s="26"/>
      <c r="M1439" s="37"/>
      <c r="N1439" s="27"/>
      <c r="O1439" s="30"/>
      <c r="P1439" s="39" t="str">
        <f t="shared" si="227"/>
        <v/>
      </c>
      <c r="Q1439" s="40" t="str">
        <f>IF(OR(T1439=0,RIGHT(T1439,1)=$W$1),"",COUNTIF($T$3:T1439,T1439))</f>
        <v/>
      </c>
      <c r="S1439" s="6">
        <f t="shared" si="228"/>
        <v>0</v>
      </c>
      <c r="T1439" s="36">
        <f t="shared" si="229"/>
        <v>0</v>
      </c>
      <c r="V1439" s="6">
        <f t="shared" si="230"/>
        <v>0</v>
      </c>
      <c r="Y1439" s="8">
        <f t="shared" si="231"/>
        <v>46023</v>
      </c>
    </row>
    <row r="1440" spans="2:25" ht="18.75" x14ac:dyDescent="0.3">
      <c r="B1440" s="6">
        <f t="shared" si="223"/>
        <v>0</v>
      </c>
      <c r="C1440" s="6">
        <f t="shared" si="224"/>
        <v>0</v>
      </c>
      <c r="D1440" s="6" t="str">
        <f t="shared" si="225"/>
        <v/>
      </c>
      <c r="E1440" s="35" t="str">
        <f t="shared" si="222"/>
        <v/>
      </c>
      <c r="F1440" s="31"/>
      <c r="G1440" s="29"/>
      <c r="H1440" s="78" t="str">
        <f t="shared" si="226"/>
        <v/>
      </c>
      <c r="I1440" s="25"/>
      <c r="J1440" s="25"/>
      <c r="K1440" s="26"/>
      <c r="L1440" s="26"/>
      <c r="M1440" s="37"/>
      <c r="N1440" s="27"/>
      <c r="O1440" s="30"/>
      <c r="P1440" s="39" t="str">
        <f t="shared" si="227"/>
        <v/>
      </c>
      <c r="Q1440" s="40" t="str">
        <f>IF(OR(T1440=0,RIGHT(T1440,1)=$W$1),"",COUNTIF($T$3:T1440,T1440))</f>
        <v/>
      </c>
      <c r="S1440" s="6">
        <f t="shared" si="228"/>
        <v>0</v>
      </c>
      <c r="T1440" s="36">
        <f t="shared" si="229"/>
        <v>0</v>
      </c>
      <c r="V1440" s="6">
        <f t="shared" si="230"/>
        <v>0</v>
      </c>
      <c r="Y1440" s="8">
        <f t="shared" si="231"/>
        <v>46023</v>
      </c>
    </row>
    <row r="1441" spans="2:25" ht="18.75" x14ac:dyDescent="0.3">
      <c r="B1441" s="6">
        <f t="shared" si="223"/>
        <v>0</v>
      </c>
      <c r="C1441" s="6">
        <f t="shared" si="224"/>
        <v>0</v>
      </c>
      <c r="D1441" s="6" t="str">
        <f t="shared" si="225"/>
        <v/>
      </c>
      <c r="E1441" s="35" t="str">
        <f t="shared" si="222"/>
        <v/>
      </c>
      <c r="F1441" s="31"/>
      <c r="G1441" s="29"/>
      <c r="H1441" s="78" t="str">
        <f t="shared" si="226"/>
        <v/>
      </c>
      <c r="I1441" s="25"/>
      <c r="J1441" s="25"/>
      <c r="K1441" s="26"/>
      <c r="L1441" s="26"/>
      <c r="M1441" s="37"/>
      <c r="N1441" s="27"/>
      <c r="O1441" s="30"/>
      <c r="P1441" s="39" t="str">
        <f t="shared" si="227"/>
        <v/>
      </c>
      <c r="Q1441" s="40" t="str">
        <f>IF(OR(T1441=0,RIGHT(T1441,1)=$W$1),"",COUNTIF($T$3:T1441,T1441))</f>
        <v/>
      </c>
      <c r="S1441" s="6">
        <f t="shared" si="228"/>
        <v>0</v>
      </c>
      <c r="T1441" s="36">
        <f t="shared" si="229"/>
        <v>0</v>
      </c>
      <c r="V1441" s="6">
        <f t="shared" si="230"/>
        <v>0</v>
      </c>
      <c r="Y1441" s="8">
        <f t="shared" si="231"/>
        <v>46023</v>
      </c>
    </row>
    <row r="1442" spans="2:25" ht="18.75" x14ac:dyDescent="0.3">
      <c r="B1442" s="6">
        <f t="shared" si="223"/>
        <v>0</v>
      </c>
      <c r="C1442" s="6">
        <f t="shared" si="224"/>
        <v>0</v>
      </c>
      <c r="D1442" s="6" t="str">
        <f t="shared" si="225"/>
        <v/>
      </c>
      <c r="E1442" s="35" t="str">
        <f t="shared" si="222"/>
        <v/>
      </c>
      <c r="F1442" s="31"/>
      <c r="G1442" s="29"/>
      <c r="H1442" s="78" t="str">
        <f t="shared" si="226"/>
        <v/>
      </c>
      <c r="I1442" s="25"/>
      <c r="J1442" s="25"/>
      <c r="K1442" s="26"/>
      <c r="L1442" s="26"/>
      <c r="M1442" s="37"/>
      <c r="N1442" s="27"/>
      <c r="O1442" s="30"/>
      <c r="P1442" s="39" t="str">
        <f t="shared" si="227"/>
        <v/>
      </c>
      <c r="Q1442" s="40" t="str">
        <f>IF(OR(T1442=0,RIGHT(T1442,1)=$W$1),"",COUNTIF($T$3:T1442,T1442))</f>
        <v/>
      </c>
      <c r="S1442" s="6">
        <f t="shared" si="228"/>
        <v>0</v>
      </c>
      <c r="T1442" s="36">
        <f t="shared" si="229"/>
        <v>0</v>
      </c>
      <c r="V1442" s="6">
        <f t="shared" si="230"/>
        <v>0</v>
      </c>
      <c r="Y1442" s="8">
        <f t="shared" si="231"/>
        <v>46023</v>
      </c>
    </row>
    <row r="1443" spans="2:25" ht="18.75" x14ac:dyDescent="0.3">
      <c r="B1443" s="6">
        <f t="shared" si="223"/>
        <v>0</v>
      </c>
      <c r="C1443" s="6">
        <f t="shared" si="224"/>
        <v>0</v>
      </c>
      <c r="D1443" s="6" t="str">
        <f t="shared" si="225"/>
        <v/>
      </c>
      <c r="E1443" s="35" t="str">
        <f t="shared" si="222"/>
        <v/>
      </c>
      <c r="F1443" s="31"/>
      <c r="G1443" s="29"/>
      <c r="H1443" s="78" t="str">
        <f t="shared" si="226"/>
        <v/>
      </c>
      <c r="I1443" s="25"/>
      <c r="J1443" s="25"/>
      <c r="K1443" s="26"/>
      <c r="L1443" s="26"/>
      <c r="M1443" s="37"/>
      <c r="N1443" s="27"/>
      <c r="O1443" s="30"/>
      <c r="P1443" s="39" t="str">
        <f t="shared" si="227"/>
        <v/>
      </c>
      <c r="Q1443" s="40" t="str">
        <f>IF(OR(T1443=0,RIGHT(T1443,1)=$W$1),"",COUNTIF($T$3:T1443,T1443))</f>
        <v/>
      </c>
      <c r="S1443" s="6">
        <f t="shared" si="228"/>
        <v>0</v>
      </c>
      <c r="T1443" s="36">
        <f t="shared" si="229"/>
        <v>0</v>
      </c>
      <c r="V1443" s="6">
        <f t="shared" si="230"/>
        <v>0</v>
      </c>
      <c r="Y1443" s="8">
        <f t="shared" si="231"/>
        <v>46023</v>
      </c>
    </row>
    <row r="1444" spans="2:25" ht="18.75" x14ac:dyDescent="0.3">
      <c r="B1444" s="6">
        <f t="shared" si="223"/>
        <v>0</v>
      </c>
      <c r="C1444" s="6">
        <f t="shared" si="224"/>
        <v>0</v>
      </c>
      <c r="D1444" s="6" t="str">
        <f t="shared" si="225"/>
        <v/>
      </c>
      <c r="E1444" s="35" t="str">
        <f t="shared" si="222"/>
        <v/>
      </c>
      <c r="F1444" s="31"/>
      <c r="G1444" s="29"/>
      <c r="H1444" s="78" t="str">
        <f t="shared" si="226"/>
        <v/>
      </c>
      <c r="I1444" s="25"/>
      <c r="J1444" s="25"/>
      <c r="K1444" s="26"/>
      <c r="L1444" s="26"/>
      <c r="M1444" s="37"/>
      <c r="N1444" s="27"/>
      <c r="O1444" s="30"/>
      <c r="P1444" s="39" t="str">
        <f t="shared" si="227"/>
        <v/>
      </c>
      <c r="Q1444" s="40" t="str">
        <f>IF(OR(T1444=0,RIGHT(T1444,1)=$W$1),"",COUNTIF($T$3:T1444,T1444))</f>
        <v/>
      </c>
      <c r="S1444" s="6">
        <f t="shared" si="228"/>
        <v>0</v>
      </c>
      <c r="T1444" s="36">
        <f t="shared" si="229"/>
        <v>0</v>
      </c>
      <c r="V1444" s="6">
        <f t="shared" si="230"/>
        <v>0</v>
      </c>
      <c r="Y1444" s="8">
        <f t="shared" si="231"/>
        <v>46023</v>
      </c>
    </row>
    <row r="1445" spans="2:25" ht="18.75" x14ac:dyDescent="0.3">
      <c r="B1445" s="6">
        <f t="shared" si="223"/>
        <v>0</v>
      </c>
      <c r="C1445" s="6">
        <f t="shared" si="224"/>
        <v>0</v>
      </c>
      <c r="D1445" s="6" t="str">
        <f t="shared" si="225"/>
        <v/>
      </c>
      <c r="E1445" s="35" t="str">
        <f t="shared" si="222"/>
        <v/>
      </c>
      <c r="F1445" s="31"/>
      <c r="G1445" s="29"/>
      <c r="H1445" s="78" t="str">
        <f t="shared" si="226"/>
        <v/>
      </c>
      <c r="I1445" s="25"/>
      <c r="J1445" s="25"/>
      <c r="K1445" s="26"/>
      <c r="L1445" s="26"/>
      <c r="M1445" s="37"/>
      <c r="N1445" s="27"/>
      <c r="O1445" s="30"/>
      <c r="P1445" s="39" t="str">
        <f t="shared" si="227"/>
        <v/>
      </c>
      <c r="Q1445" s="40" t="str">
        <f>IF(OR(T1445=0,RIGHT(T1445,1)=$W$1),"",COUNTIF($T$3:T1445,T1445))</f>
        <v/>
      </c>
      <c r="S1445" s="6">
        <f t="shared" si="228"/>
        <v>0</v>
      </c>
      <c r="T1445" s="36">
        <f t="shared" si="229"/>
        <v>0</v>
      </c>
      <c r="V1445" s="6">
        <f t="shared" si="230"/>
        <v>0</v>
      </c>
      <c r="Y1445" s="8">
        <f t="shared" si="231"/>
        <v>46023</v>
      </c>
    </row>
    <row r="1446" spans="2:25" ht="18.75" x14ac:dyDescent="0.3">
      <c r="B1446" s="6">
        <f t="shared" si="223"/>
        <v>0</v>
      </c>
      <c r="C1446" s="6">
        <f t="shared" si="224"/>
        <v>0</v>
      </c>
      <c r="D1446" s="6" t="str">
        <f t="shared" si="225"/>
        <v/>
      </c>
      <c r="E1446" s="35" t="str">
        <f t="shared" si="222"/>
        <v/>
      </c>
      <c r="F1446" s="31"/>
      <c r="G1446" s="29"/>
      <c r="H1446" s="78" t="str">
        <f t="shared" si="226"/>
        <v/>
      </c>
      <c r="I1446" s="25"/>
      <c r="J1446" s="25"/>
      <c r="K1446" s="26"/>
      <c r="L1446" s="26"/>
      <c r="M1446" s="37"/>
      <c r="N1446" s="27"/>
      <c r="O1446" s="30"/>
      <c r="P1446" s="39" t="str">
        <f t="shared" si="227"/>
        <v/>
      </c>
      <c r="Q1446" s="40" t="str">
        <f>IF(OR(T1446=0,RIGHT(T1446,1)=$W$1),"",COUNTIF($T$3:T1446,T1446))</f>
        <v/>
      </c>
      <c r="S1446" s="6">
        <f t="shared" si="228"/>
        <v>0</v>
      </c>
      <c r="T1446" s="36">
        <f t="shared" si="229"/>
        <v>0</v>
      </c>
      <c r="V1446" s="6">
        <f t="shared" si="230"/>
        <v>0</v>
      </c>
      <c r="Y1446" s="8">
        <f t="shared" si="231"/>
        <v>46023</v>
      </c>
    </row>
    <row r="1447" spans="2:25" ht="18.75" x14ac:dyDescent="0.3">
      <c r="B1447" s="6">
        <f t="shared" si="223"/>
        <v>0</v>
      </c>
      <c r="C1447" s="6">
        <f t="shared" si="224"/>
        <v>0</v>
      </c>
      <c r="D1447" s="6" t="str">
        <f t="shared" si="225"/>
        <v/>
      </c>
      <c r="E1447" s="35" t="str">
        <f t="shared" si="222"/>
        <v/>
      </c>
      <c r="F1447" s="31"/>
      <c r="G1447" s="29"/>
      <c r="H1447" s="78" t="str">
        <f t="shared" si="226"/>
        <v/>
      </c>
      <c r="I1447" s="25"/>
      <c r="J1447" s="25"/>
      <c r="K1447" s="26"/>
      <c r="L1447" s="26"/>
      <c r="M1447" s="37"/>
      <c r="N1447" s="27"/>
      <c r="O1447" s="30"/>
      <c r="P1447" s="39" t="str">
        <f t="shared" si="227"/>
        <v/>
      </c>
      <c r="Q1447" s="40" t="str">
        <f>IF(OR(T1447=0,RIGHT(T1447,1)=$W$1),"",COUNTIF($T$3:T1447,T1447))</f>
        <v/>
      </c>
      <c r="S1447" s="6">
        <f t="shared" si="228"/>
        <v>0</v>
      </c>
      <c r="T1447" s="36">
        <f t="shared" si="229"/>
        <v>0</v>
      </c>
      <c r="V1447" s="6">
        <f t="shared" si="230"/>
        <v>0</v>
      </c>
      <c r="Y1447" s="8">
        <f t="shared" si="231"/>
        <v>46023</v>
      </c>
    </row>
    <row r="1448" spans="2:25" ht="18.75" x14ac:dyDescent="0.3">
      <c r="B1448" s="6">
        <f t="shared" si="223"/>
        <v>0</v>
      </c>
      <c r="C1448" s="6">
        <f t="shared" si="224"/>
        <v>0</v>
      </c>
      <c r="D1448" s="6" t="str">
        <f t="shared" si="225"/>
        <v/>
      </c>
      <c r="E1448" s="35" t="str">
        <f t="shared" si="222"/>
        <v/>
      </c>
      <c r="F1448" s="31"/>
      <c r="G1448" s="29"/>
      <c r="H1448" s="78" t="str">
        <f t="shared" si="226"/>
        <v/>
      </c>
      <c r="I1448" s="25"/>
      <c r="J1448" s="25"/>
      <c r="K1448" s="26"/>
      <c r="L1448" s="26"/>
      <c r="M1448" s="37"/>
      <c r="N1448" s="27"/>
      <c r="O1448" s="30"/>
      <c r="P1448" s="39" t="str">
        <f t="shared" si="227"/>
        <v/>
      </c>
      <c r="Q1448" s="40" t="str">
        <f>IF(OR(T1448=0,RIGHT(T1448,1)=$W$1),"",COUNTIF($T$3:T1448,T1448))</f>
        <v/>
      </c>
      <c r="S1448" s="6">
        <f t="shared" si="228"/>
        <v>0</v>
      </c>
      <c r="T1448" s="36">
        <f t="shared" si="229"/>
        <v>0</v>
      </c>
      <c r="V1448" s="6">
        <f t="shared" si="230"/>
        <v>0</v>
      </c>
      <c r="Y1448" s="8">
        <f t="shared" si="231"/>
        <v>46023</v>
      </c>
    </row>
    <row r="1449" spans="2:25" ht="18.75" x14ac:dyDescent="0.3">
      <c r="B1449" s="6">
        <f t="shared" si="223"/>
        <v>0</v>
      </c>
      <c r="C1449" s="6">
        <f t="shared" si="224"/>
        <v>0</v>
      </c>
      <c r="D1449" s="6" t="str">
        <f t="shared" si="225"/>
        <v/>
      </c>
      <c r="E1449" s="35" t="str">
        <f t="shared" si="222"/>
        <v/>
      </c>
      <c r="F1449" s="31"/>
      <c r="G1449" s="29"/>
      <c r="H1449" s="78" t="str">
        <f t="shared" si="226"/>
        <v/>
      </c>
      <c r="I1449" s="25"/>
      <c r="J1449" s="25"/>
      <c r="K1449" s="26"/>
      <c r="L1449" s="26"/>
      <c r="M1449" s="37"/>
      <c r="N1449" s="27"/>
      <c r="O1449" s="30"/>
      <c r="P1449" s="39" t="str">
        <f t="shared" si="227"/>
        <v/>
      </c>
      <c r="Q1449" s="40" t="str">
        <f>IF(OR(T1449=0,RIGHT(T1449,1)=$W$1),"",COUNTIF($T$3:T1449,T1449))</f>
        <v/>
      </c>
      <c r="S1449" s="6">
        <f t="shared" si="228"/>
        <v>0</v>
      </c>
      <c r="T1449" s="36">
        <f t="shared" si="229"/>
        <v>0</v>
      </c>
      <c r="V1449" s="6">
        <f t="shared" si="230"/>
        <v>0</v>
      </c>
      <c r="Y1449" s="8">
        <f t="shared" si="231"/>
        <v>46023</v>
      </c>
    </row>
    <row r="1450" spans="2:25" ht="18.75" x14ac:dyDescent="0.3">
      <c r="B1450" s="6">
        <f t="shared" si="223"/>
        <v>0</v>
      </c>
      <c r="C1450" s="6">
        <f t="shared" si="224"/>
        <v>0</v>
      </c>
      <c r="D1450" s="6" t="str">
        <f t="shared" si="225"/>
        <v/>
      </c>
      <c r="E1450" s="35" t="str">
        <f t="shared" si="222"/>
        <v/>
      </c>
      <c r="F1450" s="31"/>
      <c r="G1450" s="29"/>
      <c r="H1450" s="78" t="str">
        <f t="shared" si="226"/>
        <v/>
      </c>
      <c r="I1450" s="25"/>
      <c r="J1450" s="25"/>
      <c r="K1450" s="26"/>
      <c r="L1450" s="26"/>
      <c r="M1450" s="37"/>
      <c r="N1450" s="27"/>
      <c r="O1450" s="30"/>
      <c r="P1450" s="39" t="str">
        <f t="shared" si="227"/>
        <v/>
      </c>
      <c r="Q1450" s="40" t="str">
        <f>IF(OR(T1450=0,RIGHT(T1450,1)=$W$1),"",COUNTIF($T$3:T1450,T1450))</f>
        <v/>
      </c>
      <c r="S1450" s="6">
        <f t="shared" si="228"/>
        <v>0</v>
      </c>
      <c r="T1450" s="36">
        <f t="shared" si="229"/>
        <v>0</v>
      </c>
      <c r="V1450" s="6">
        <f t="shared" si="230"/>
        <v>0</v>
      </c>
      <c r="Y1450" s="8">
        <f t="shared" si="231"/>
        <v>46023</v>
      </c>
    </row>
    <row r="1451" spans="2:25" ht="18.75" x14ac:dyDescent="0.3">
      <c r="B1451" s="6">
        <f t="shared" si="223"/>
        <v>0</v>
      </c>
      <c r="C1451" s="6">
        <f t="shared" si="224"/>
        <v>0</v>
      </c>
      <c r="D1451" s="6" t="str">
        <f t="shared" si="225"/>
        <v/>
      </c>
      <c r="E1451" s="35" t="str">
        <f t="shared" si="222"/>
        <v/>
      </c>
      <c r="F1451" s="31"/>
      <c r="G1451" s="29"/>
      <c r="H1451" s="78" t="str">
        <f t="shared" si="226"/>
        <v/>
      </c>
      <c r="I1451" s="25"/>
      <c r="J1451" s="25"/>
      <c r="K1451" s="26"/>
      <c r="L1451" s="26"/>
      <c r="M1451" s="37"/>
      <c r="N1451" s="27"/>
      <c r="O1451" s="30"/>
      <c r="P1451" s="39" t="str">
        <f t="shared" si="227"/>
        <v/>
      </c>
      <c r="Q1451" s="40" t="str">
        <f>IF(OR(T1451=0,RIGHT(T1451,1)=$W$1),"",COUNTIF($T$3:T1451,T1451))</f>
        <v/>
      </c>
      <c r="S1451" s="6">
        <f t="shared" si="228"/>
        <v>0</v>
      </c>
      <c r="T1451" s="36">
        <f t="shared" si="229"/>
        <v>0</v>
      </c>
      <c r="V1451" s="6">
        <f t="shared" si="230"/>
        <v>0</v>
      </c>
      <c r="Y1451" s="8">
        <f t="shared" si="231"/>
        <v>46023</v>
      </c>
    </row>
    <row r="1452" spans="2:25" ht="18.75" x14ac:dyDescent="0.3">
      <c r="B1452" s="6">
        <f t="shared" si="223"/>
        <v>0</v>
      </c>
      <c r="C1452" s="6">
        <f t="shared" si="224"/>
        <v>0</v>
      </c>
      <c r="D1452" s="6" t="str">
        <f t="shared" si="225"/>
        <v/>
      </c>
      <c r="E1452" s="35" t="str">
        <f t="shared" si="222"/>
        <v/>
      </c>
      <c r="F1452" s="31"/>
      <c r="G1452" s="29"/>
      <c r="H1452" s="78" t="str">
        <f t="shared" si="226"/>
        <v/>
      </c>
      <c r="I1452" s="25"/>
      <c r="J1452" s="25"/>
      <c r="K1452" s="26"/>
      <c r="L1452" s="26"/>
      <c r="M1452" s="37"/>
      <c r="N1452" s="27"/>
      <c r="O1452" s="30"/>
      <c r="P1452" s="39" t="str">
        <f t="shared" si="227"/>
        <v/>
      </c>
      <c r="Q1452" s="40" t="str">
        <f>IF(OR(T1452=0,RIGHT(T1452,1)=$W$1),"",COUNTIF($T$3:T1452,T1452))</f>
        <v/>
      </c>
      <c r="S1452" s="6">
        <f t="shared" si="228"/>
        <v>0</v>
      </c>
      <c r="T1452" s="36">
        <f t="shared" si="229"/>
        <v>0</v>
      </c>
      <c r="V1452" s="6">
        <f t="shared" si="230"/>
        <v>0</v>
      </c>
      <c r="Y1452" s="8">
        <f t="shared" si="231"/>
        <v>46023</v>
      </c>
    </row>
    <row r="1453" spans="2:25" ht="18.75" x14ac:dyDescent="0.3">
      <c r="B1453" s="6">
        <f t="shared" si="223"/>
        <v>0</v>
      </c>
      <c r="C1453" s="6">
        <f t="shared" si="224"/>
        <v>0</v>
      </c>
      <c r="D1453" s="6" t="str">
        <f t="shared" si="225"/>
        <v/>
      </c>
      <c r="E1453" s="35" t="str">
        <f t="shared" si="222"/>
        <v/>
      </c>
      <c r="F1453" s="31"/>
      <c r="G1453" s="29"/>
      <c r="H1453" s="78" t="str">
        <f t="shared" si="226"/>
        <v/>
      </c>
      <c r="I1453" s="25"/>
      <c r="J1453" s="25"/>
      <c r="K1453" s="26"/>
      <c r="L1453" s="26"/>
      <c r="M1453" s="37"/>
      <c r="N1453" s="27"/>
      <c r="O1453" s="30"/>
      <c r="P1453" s="39" t="str">
        <f t="shared" si="227"/>
        <v/>
      </c>
      <c r="Q1453" s="40" t="str">
        <f>IF(OR(T1453=0,RIGHT(T1453,1)=$W$1),"",COUNTIF($T$3:T1453,T1453))</f>
        <v/>
      </c>
      <c r="S1453" s="6">
        <f t="shared" si="228"/>
        <v>0</v>
      </c>
      <c r="T1453" s="36">
        <f t="shared" si="229"/>
        <v>0</v>
      </c>
      <c r="V1453" s="6">
        <f t="shared" si="230"/>
        <v>0</v>
      </c>
      <c r="Y1453" s="8">
        <f t="shared" si="231"/>
        <v>46023</v>
      </c>
    </row>
    <row r="1454" spans="2:25" ht="18.75" x14ac:dyDescent="0.3">
      <c r="B1454" s="6">
        <f t="shared" si="223"/>
        <v>0</v>
      </c>
      <c r="C1454" s="6">
        <f t="shared" si="224"/>
        <v>0</v>
      </c>
      <c r="D1454" s="6" t="str">
        <f t="shared" si="225"/>
        <v/>
      </c>
      <c r="E1454" s="35" t="str">
        <f t="shared" si="222"/>
        <v/>
      </c>
      <c r="F1454" s="31"/>
      <c r="G1454" s="29"/>
      <c r="H1454" s="78" t="str">
        <f t="shared" si="226"/>
        <v/>
      </c>
      <c r="I1454" s="25"/>
      <c r="J1454" s="25"/>
      <c r="K1454" s="26"/>
      <c r="L1454" s="26"/>
      <c r="M1454" s="37"/>
      <c r="N1454" s="27"/>
      <c r="O1454" s="30"/>
      <c r="P1454" s="39" t="str">
        <f t="shared" si="227"/>
        <v/>
      </c>
      <c r="Q1454" s="40" t="str">
        <f>IF(OR(T1454=0,RIGHT(T1454,1)=$W$1),"",COUNTIF($T$3:T1454,T1454))</f>
        <v/>
      </c>
      <c r="S1454" s="6">
        <f t="shared" si="228"/>
        <v>0</v>
      </c>
      <c r="T1454" s="36">
        <f t="shared" si="229"/>
        <v>0</v>
      </c>
      <c r="V1454" s="6">
        <f t="shared" si="230"/>
        <v>0</v>
      </c>
      <c r="Y1454" s="8">
        <f t="shared" si="231"/>
        <v>46023</v>
      </c>
    </row>
    <row r="1455" spans="2:25" ht="18.75" x14ac:dyDescent="0.3">
      <c r="B1455" s="6">
        <f t="shared" si="223"/>
        <v>0</v>
      </c>
      <c r="C1455" s="6">
        <f t="shared" si="224"/>
        <v>0</v>
      </c>
      <c r="D1455" s="6" t="str">
        <f t="shared" si="225"/>
        <v/>
      </c>
      <c r="E1455" s="35" t="str">
        <f t="shared" si="222"/>
        <v/>
      </c>
      <c r="F1455" s="31"/>
      <c r="G1455" s="29"/>
      <c r="H1455" s="78" t="str">
        <f t="shared" si="226"/>
        <v/>
      </c>
      <c r="I1455" s="25"/>
      <c r="J1455" s="25"/>
      <c r="K1455" s="26"/>
      <c r="L1455" s="26"/>
      <c r="M1455" s="37"/>
      <c r="N1455" s="27"/>
      <c r="O1455" s="30"/>
      <c r="P1455" s="39" t="str">
        <f t="shared" si="227"/>
        <v/>
      </c>
      <c r="Q1455" s="40" t="str">
        <f>IF(OR(T1455=0,RIGHT(T1455,1)=$W$1),"",COUNTIF($T$3:T1455,T1455))</f>
        <v/>
      </c>
      <c r="S1455" s="6">
        <f t="shared" si="228"/>
        <v>0</v>
      </c>
      <c r="T1455" s="36">
        <f t="shared" si="229"/>
        <v>0</v>
      </c>
      <c r="V1455" s="6">
        <f t="shared" si="230"/>
        <v>0</v>
      </c>
      <c r="Y1455" s="8">
        <f t="shared" si="231"/>
        <v>46023</v>
      </c>
    </row>
    <row r="1456" spans="2:25" ht="18.75" x14ac:dyDescent="0.3">
      <c r="B1456" s="6">
        <f t="shared" si="223"/>
        <v>0</v>
      </c>
      <c r="C1456" s="6">
        <f t="shared" si="224"/>
        <v>0</v>
      </c>
      <c r="D1456" s="6" t="str">
        <f t="shared" si="225"/>
        <v/>
      </c>
      <c r="E1456" s="35" t="str">
        <f t="shared" si="222"/>
        <v/>
      </c>
      <c r="F1456" s="31"/>
      <c r="G1456" s="29"/>
      <c r="H1456" s="78" t="str">
        <f t="shared" si="226"/>
        <v/>
      </c>
      <c r="I1456" s="25"/>
      <c r="J1456" s="25"/>
      <c r="K1456" s="26"/>
      <c r="L1456" s="26"/>
      <c r="M1456" s="37"/>
      <c r="N1456" s="27"/>
      <c r="O1456" s="30"/>
      <c r="P1456" s="39" t="str">
        <f t="shared" si="227"/>
        <v/>
      </c>
      <c r="Q1456" s="40" t="str">
        <f>IF(OR(T1456=0,RIGHT(T1456,1)=$W$1),"",COUNTIF($T$3:T1456,T1456))</f>
        <v/>
      </c>
      <c r="S1456" s="6">
        <f t="shared" si="228"/>
        <v>0</v>
      </c>
      <c r="T1456" s="36">
        <f t="shared" si="229"/>
        <v>0</v>
      </c>
      <c r="V1456" s="6">
        <f t="shared" si="230"/>
        <v>0</v>
      </c>
      <c r="Y1456" s="8">
        <f t="shared" si="231"/>
        <v>46023</v>
      </c>
    </row>
    <row r="1457" spans="2:25" ht="18.75" x14ac:dyDescent="0.3">
      <c r="B1457" s="6">
        <f t="shared" si="223"/>
        <v>0</v>
      </c>
      <c r="C1457" s="6">
        <f t="shared" si="224"/>
        <v>0</v>
      </c>
      <c r="D1457" s="6" t="str">
        <f t="shared" si="225"/>
        <v/>
      </c>
      <c r="E1457" s="35" t="str">
        <f t="shared" si="222"/>
        <v/>
      </c>
      <c r="F1457" s="31"/>
      <c r="G1457" s="29"/>
      <c r="H1457" s="78" t="str">
        <f t="shared" si="226"/>
        <v/>
      </c>
      <c r="I1457" s="25"/>
      <c r="J1457" s="25"/>
      <c r="K1457" s="26"/>
      <c r="L1457" s="26"/>
      <c r="M1457" s="37"/>
      <c r="N1457" s="27"/>
      <c r="O1457" s="30"/>
      <c r="P1457" s="39" t="str">
        <f t="shared" si="227"/>
        <v/>
      </c>
      <c r="Q1457" s="40" t="str">
        <f>IF(OR(T1457=0,RIGHT(T1457,1)=$W$1),"",COUNTIF($T$3:T1457,T1457))</f>
        <v/>
      </c>
      <c r="S1457" s="6">
        <f t="shared" si="228"/>
        <v>0</v>
      </c>
      <c r="T1457" s="36">
        <f t="shared" si="229"/>
        <v>0</v>
      </c>
      <c r="V1457" s="6">
        <f t="shared" si="230"/>
        <v>0</v>
      </c>
      <c r="Y1457" s="8">
        <f t="shared" si="231"/>
        <v>46023</v>
      </c>
    </row>
    <row r="1458" spans="2:25" ht="18.75" x14ac:dyDescent="0.3">
      <c r="B1458" s="6">
        <f t="shared" si="223"/>
        <v>0</v>
      </c>
      <c r="C1458" s="6">
        <f t="shared" si="224"/>
        <v>0</v>
      </c>
      <c r="D1458" s="6" t="str">
        <f t="shared" si="225"/>
        <v/>
      </c>
      <c r="E1458" s="35" t="str">
        <f t="shared" si="222"/>
        <v/>
      </c>
      <c r="F1458" s="31"/>
      <c r="G1458" s="29"/>
      <c r="H1458" s="78" t="str">
        <f t="shared" si="226"/>
        <v/>
      </c>
      <c r="I1458" s="25"/>
      <c r="J1458" s="25"/>
      <c r="K1458" s="26"/>
      <c r="L1458" s="26"/>
      <c r="M1458" s="37"/>
      <c r="N1458" s="27"/>
      <c r="O1458" s="30"/>
      <c r="P1458" s="39" t="str">
        <f t="shared" si="227"/>
        <v/>
      </c>
      <c r="Q1458" s="40" t="str">
        <f>IF(OR(T1458=0,RIGHT(T1458,1)=$W$1),"",COUNTIF($T$3:T1458,T1458))</f>
        <v/>
      </c>
      <c r="S1458" s="6">
        <f t="shared" si="228"/>
        <v>0</v>
      </c>
      <c r="T1458" s="36">
        <f t="shared" si="229"/>
        <v>0</v>
      </c>
      <c r="V1458" s="6">
        <f t="shared" si="230"/>
        <v>0</v>
      </c>
      <c r="Y1458" s="8">
        <f t="shared" si="231"/>
        <v>46023</v>
      </c>
    </row>
    <row r="1459" spans="2:25" ht="18.75" x14ac:dyDescent="0.3">
      <c r="B1459" s="6">
        <f t="shared" si="223"/>
        <v>0</v>
      </c>
      <c r="C1459" s="6">
        <f t="shared" si="224"/>
        <v>0</v>
      </c>
      <c r="D1459" s="6" t="str">
        <f t="shared" si="225"/>
        <v/>
      </c>
      <c r="E1459" s="35" t="str">
        <f t="shared" si="222"/>
        <v/>
      </c>
      <c r="F1459" s="31"/>
      <c r="G1459" s="29"/>
      <c r="H1459" s="78" t="str">
        <f t="shared" si="226"/>
        <v/>
      </c>
      <c r="I1459" s="25"/>
      <c r="J1459" s="25"/>
      <c r="K1459" s="26"/>
      <c r="L1459" s="26"/>
      <c r="M1459" s="37"/>
      <c r="N1459" s="27"/>
      <c r="O1459" s="30"/>
      <c r="P1459" s="39" t="str">
        <f t="shared" si="227"/>
        <v/>
      </c>
      <c r="Q1459" s="40" t="str">
        <f>IF(OR(T1459=0,RIGHT(T1459,1)=$W$1),"",COUNTIF($T$3:T1459,T1459))</f>
        <v/>
      </c>
      <c r="S1459" s="6">
        <f t="shared" si="228"/>
        <v>0</v>
      </c>
      <c r="T1459" s="36">
        <f t="shared" si="229"/>
        <v>0</v>
      </c>
      <c r="V1459" s="6">
        <f t="shared" si="230"/>
        <v>0</v>
      </c>
      <c r="Y1459" s="8">
        <f t="shared" si="231"/>
        <v>46023</v>
      </c>
    </row>
    <row r="1460" spans="2:25" ht="18.75" x14ac:dyDescent="0.3">
      <c r="B1460" s="6">
        <f t="shared" si="223"/>
        <v>0</v>
      </c>
      <c r="C1460" s="6">
        <f t="shared" si="224"/>
        <v>0</v>
      </c>
      <c r="D1460" s="6" t="str">
        <f t="shared" si="225"/>
        <v/>
      </c>
      <c r="E1460" s="35" t="str">
        <f t="shared" si="222"/>
        <v/>
      </c>
      <c r="F1460" s="31"/>
      <c r="G1460" s="29"/>
      <c r="H1460" s="78" t="str">
        <f t="shared" si="226"/>
        <v/>
      </c>
      <c r="I1460" s="25"/>
      <c r="J1460" s="25"/>
      <c r="K1460" s="26"/>
      <c r="L1460" s="26"/>
      <c r="M1460" s="37"/>
      <c r="N1460" s="27"/>
      <c r="O1460" s="30"/>
      <c r="P1460" s="39" t="str">
        <f t="shared" si="227"/>
        <v/>
      </c>
      <c r="Q1460" s="40" t="str">
        <f>IF(OR(T1460=0,RIGHT(T1460,1)=$W$1),"",COUNTIF($T$3:T1460,T1460))</f>
        <v/>
      </c>
      <c r="S1460" s="6">
        <f t="shared" si="228"/>
        <v>0</v>
      </c>
      <c r="T1460" s="36">
        <f t="shared" si="229"/>
        <v>0</v>
      </c>
      <c r="V1460" s="6">
        <f t="shared" si="230"/>
        <v>0</v>
      </c>
      <c r="Y1460" s="8">
        <f t="shared" si="231"/>
        <v>46023</v>
      </c>
    </row>
    <row r="1461" spans="2:25" ht="18.75" x14ac:dyDescent="0.3">
      <c r="B1461" s="6">
        <f t="shared" si="223"/>
        <v>0</v>
      </c>
      <c r="C1461" s="6">
        <f t="shared" si="224"/>
        <v>0</v>
      </c>
      <c r="D1461" s="6" t="str">
        <f t="shared" si="225"/>
        <v/>
      </c>
      <c r="E1461" s="35" t="str">
        <f t="shared" si="222"/>
        <v/>
      </c>
      <c r="F1461" s="31"/>
      <c r="G1461" s="29"/>
      <c r="H1461" s="78" t="str">
        <f t="shared" si="226"/>
        <v/>
      </c>
      <c r="I1461" s="25"/>
      <c r="J1461" s="25"/>
      <c r="K1461" s="26"/>
      <c r="L1461" s="26"/>
      <c r="M1461" s="37"/>
      <c r="N1461" s="27"/>
      <c r="O1461" s="30"/>
      <c r="P1461" s="39" t="str">
        <f t="shared" si="227"/>
        <v/>
      </c>
      <c r="Q1461" s="40" t="str">
        <f>IF(OR(T1461=0,RIGHT(T1461,1)=$W$1),"",COUNTIF($T$3:T1461,T1461))</f>
        <v/>
      </c>
      <c r="S1461" s="6">
        <f t="shared" si="228"/>
        <v>0</v>
      </c>
      <c r="T1461" s="36">
        <f t="shared" si="229"/>
        <v>0</v>
      </c>
      <c r="V1461" s="6">
        <f t="shared" si="230"/>
        <v>0</v>
      </c>
      <c r="Y1461" s="8">
        <f t="shared" si="231"/>
        <v>46023</v>
      </c>
    </row>
    <row r="1462" spans="2:25" ht="18.75" x14ac:dyDescent="0.3">
      <c r="B1462" s="6">
        <f t="shared" si="223"/>
        <v>0</v>
      </c>
      <c r="C1462" s="6">
        <f t="shared" si="224"/>
        <v>0</v>
      </c>
      <c r="D1462" s="6" t="str">
        <f t="shared" si="225"/>
        <v/>
      </c>
      <c r="E1462" s="35" t="str">
        <f t="shared" si="222"/>
        <v/>
      </c>
      <c r="F1462" s="31"/>
      <c r="G1462" s="29"/>
      <c r="H1462" s="78" t="str">
        <f t="shared" si="226"/>
        <v/>
      </c>
      <c r="I1462" s="25"/>
      <c r="J1462" s="25"/>
      <c r="K1462" s="26"/>
      <c r="L1462" s="26"/>
      <c r="M1462" s="37"/>
      <c r="N1462" s="27"/>
      <c r="O1462" s="30"/>
      <c r="P1462" s="39" t="str">
        <f t="shared" si="227"/>
        <v/>
      </c>
      <c r="Q1462" s="40" t="str">
        <f>IF(OR(T1462=0,RIGHT(T1462,1)=$W$1),"",COUNTIF($T$3:T1462,T1462))</f>
        <v/>
      </c>
      <c r="S1462" s="6">
        <f t="shared" si="228"/>
        <v>0</v>
      </c>
      <c r="T1462" s="36">
        <f t="shared" si="229"/>
        <v>0</v>
      </c>
      <c r="V1462" s="6">
        <f t="shared" si="230"/>
        <v>0</v>
      </c>
      <c r="Y1462" s="8">
        <f t="shared" si="231"/>
        <v>46023</v>
      </c>
    </row>
    <row r="1463" spans="2:25" ht="18.75" x14ac:dyDescent="0.3">
      <c r="B1463" s="6">
        <f t="shared" si="223"/>
        <v>0</v>
      </c>
      <c r="C1463" s="6">
        <f t="shared" si="224"/>
        <v>0</v>
      </c>
      <c r="D1463" s="6" t="str">
        <f t="shared" si="225"/>
        <v/>
      </c>
      <c r="E1463" s="35" t="str">
        <f t="shared" si="222"/>
        <v/>
      </c>
      <c r="F1463" s="31"/>
      <c r="G1463" s="29"/>
      <c r="H1463" s="78" t="str">
        <f t="shared" si="226"/>
        <v/>
      </c>
      <c r="I1463" s="25"/>
      <c r="J1463" s="25"/>
      <c r="K1463" s="26"/>
      <c r="L1463" s="26"/>
      <c r="M1463" s="37"/>
      <c r="N1463" s="27"/>
      <c r="O1463" s="30"/>
      <c r="P1463" s="39" t="str">
        <f t="shared" si="227"/>
        <v/>
      </c>
      <c r="Q1463" s="40" t="str">
        <f>IF(OR(T1463=0,RIGHT(T1463,1)=$W$1),"",COUNTIF($T$3:T1463,T1463))</f>
        <v/>
      </c>
      <c r="S1463" s="6">
        <f t="shared" si="228"/>
        <v>0</v>
      </c>
      <c r="T1463" s="36">
        <f t="shared" si="229"/>
        <v>0</v>
      </c>
      <c r="V1463" s="6">
        <f t="shared" si="230"/>
        <v>0</v>
      </c>
      <c r="Y1463" s="8">
        <f t="shared" si="231"/>
        <v>46023</v>
      </c>
    </row>
    <row r="1464" spans="2:25" ht="18.75" x14ac:dyDescent="0.3">
      <c r="B1464" s="6">
        <f t="shared" si="223"/>
        <v>0</v>
      </c>
      <c r="C1464" s="6">
        <f t="shared" si="224"/>
        <v>0</v>
      </c>
      <c r="D1464" s="6" t="str">
        <f t="shared" si="225"/>
        <v/>
      </c>
      <c r="E1464" s="35" t="str">
        <f t="shared" si="222"/>
        <v/>
      </c>
      <c r="F1464" s="31"/>
      <c r="G1464" s="29"/>
      <c r="H1464" s="78" t="str">
        <f t="shared" si="226"/>
        <v/>
      </c>
      <c r="I1464" s="25"/>
      <c r="J1464" s="25"/>
      <c r="K1464" s="26"/>
      <c r="L1464" s="26"/>
      <c r="M1464" s="37"/>
      <c r="N1464" s="27"/>
      <c r="O1464" s="30"/>
      <c r="P1464" s="39" t="str">
        <f t="shared" si="227"/>
        <v/>
      </c>
      <c r="Q1464" s="40" t="str">
        <f>IF(OR(T1464=0,RIGHT(T1464,1)=$W$1),"",COUNTIF($T$3:T1464,T1464))</f>
        <v/>
      </c>
      <c r="S1464" s="6">
        <f t="shared" si="228"/>
        <v>0</v>
      </c>
      <c r="T1464" s="36">
        <f t="shared" si="229"/>
        <v>0</v>
      </c>
      <c r="V1464" s="6">
        <f t="shared" si="230"/>
        <v>0</v>
      </c>
      <c r="Y1464" s="8">
        <f t="shared" si="231"/>
        <v>46023</v>
      </c>
    </row>
    <row r="1465" spans="2:25" ht="18.75" x14ac:dyDescent="0.3">
      <c r="B1465" s="6">
        <f t="shared" si="223"/>
        <v>0</v>
      </c>
      <c r="C1465" s="6">
        <f t="shared" si="224"/>
        <v>0</v>
      </c>
      <c r="D1465" s="6" t="str">
        <f t="shared" si="225"/>
        <v/>
      </c>
      <c r="E1465" s="35" t="str">
        <f t="shared" si="222"/>
        <v/>
      </c>
      <c r="F1465" s="31"/>
      <c r="G1465" s="29"/>
      <c r="H1465" s="78" t="str">
        <f t="shared" si="226"/>
        <v/>
      </c>
      <c r="I1465" s="25"/>
      <c r="J1465" s="25"/>
      <c r="K1465" s="26"/>
      <c r="L1465" s="26"/>
      <c r="M1465" s="37"/>
      <c r="N1465" s="27"/>
      <c r="O1465" s="30"/>
      <c r="P1465" s="39" t="str">
        <f t="shared" si="227"/>
        <v/>
      </c>
      <c r="Q1465" s="40" t="str">
        <f>IF(OR(T1465=0,RIGHT(T1465,1)=$W$1),"",COUNTIF($T$3:T1465,T1465))</f>
        <v/>
      </c>
      <c r="S1465" s="6">
        <f t="shared" si="228"/>
        <v>0</v>
      </c>
      <c r="T1465" s="36">
        <f t="shared" si="229"/>
        <v>0</v>
      </c>
      <c r="V1465" s="6">
        <f t="shared" si="230"/>
        <v>0</v>
      </c>
      <c r="Y1465" s="8">
        <f t="shared" si="231"/>
        <v>46023</v>
      </c>
    </row>
    <row r="1466" spans="2:25" ht="18.75" x14ac:dyDescent="0.3">
      <c r="B1466" s="6">
        <f t="shared" si="223"/>
        <v>0</v>
      </c>
      <c r="C1466" s="6">
        <f t="shared" si="224"/>
        <v>0</v>
      </c>
      <c r="D1466" s="6" t="str">
        <f t="shared" si="225"/>
        <v/>
      </c>
      <c r="E1466" s="35" t="str">
        <f t="shared" si="222"/>
        <v/>
      </c>
      <c r="F1466" s="31"/>
      <c r="G1466" s="29"/>
      <c r="H1466" s="78" t="str">
        <f t="shared" si="226"/>
        <v/>
      </c>
      <c r="I1466" s="25"/>
      <c r="J1466" s="25"/>
      <c r="K1466" s="26"/>
      <c r="L1466" s="26"/>
      <c r="M1466" s="37"/>
      <c r="N1466" s="27"/>
      <c r="O1466" s="30"/>
      <c r="P1466" s="39" t="str">
        <f t="shared" si="227"/>
        <v/>
      </c>
      <c r="Q1466" s="40" t="str">
        <f>IF(OR(T1466=0,RIGHT(T1466,1)=$W$1),"",COUNTIF($T$3:T1466,T1466))</f>
        <v/>
      </c>
      <c r="S1466" s="6">
        <f t="shared" si="228"/>
        <v>0</v>
      </c>
      <c r="T1466" s="36">
        <f t="shared" si="229"/>
        <v>0</v>
      </c>
      <c r="V1466" s="6">
        <f t="shared" si="230"/>
        <v>0</v>
      </c>
      <c r="Y1466" s="8">
        <f t="shared" si="231"/>
        <v>46023</v>
      </c>
    </row>
    <row r="1467" spans="2:25" ht="18.75" x14ac:dyDescent="0.3">
      <c r="B1467" s="6">
        <f t="shared" si="223"/>
        <v>0</v>
      </c>
      <c r="C1467" s="6">
        <f t="shared" si="224"/>
        <v>0</v>
      </c>
      <c r="D1467" s="6" t="str">
        <f t="shared" si="225"/>
        <v/>
      </c>
      <c r="E1467" s="35" t="str">
        <f t="shared" si="222"/>
        <v/>
      </c>
      <c r="F1467" s="31"/>
      <c r="G1467" s="29"/>
      <c r="H1467" s="78" t="str">
        <f t="shared" si="226"/>
        <v/>
      </c>
      <c r="I1467" s="25"/>
      <c r="J1467" s="25"/>
      <c r="K1467" s="26"/>
      <c r="L1467" s="26"/>
      <c r="M1467" s="37"/>
      <c r="N1467" s="27"/>
      <c r="O1467" s="30"/>
      <c r="P1467" s="39" t="str">
        <f t="shared" si="227"/>
        <v/>
      </c>
      <c r="Q1467" s="40" t="str">
        <f>IF(OR(T1467=0,RIGHT(T1467,1)=$W$1),"",COUNTIF($T$3:T1467,T1467))</f>
        <v/>
      </c>
      <c r="S1467" s="6">
        <f t="shared" si="228"/>
        <v>0</v>
      </c>
      <c r="T1467" s="36">
        <f t="shared" si="229"/>
        <v>0</v>
      </c>
      <c r="V1467" s="6">
        <f t="shared" si="230"/>
        <v>0</v>
      </c>
      <c r="Y1467" s="8">
        <f t="shared" si="231"/>
        <v>46023</v>
      </c>
    </row>
    <row r="1468" spans="2:25" ht="18.75" x14ac:dyDescent="0.3">
      <c r="B1468" s="6">
        <f t="shared" si="223"/>
        <v>0</v>
      </c>
      <c r="C1468" s="6">
        <f t="shared" si="224"/>
        <v>0</v>
      </c>
      <c r="D1468" s="6" t="str">
        <f t="shared" si="225"/>
        <v/>
      </c>
      <c r="E1468" s="35" t="str">
        <f t="shared" si="222"/>
        <v/>
      </c>
      <c r="F1468" s="31"/>
      <c r="G1468" s="29"/>
      <c r="H1468" s="78" t="str">
        <f t="shared" si="226"/>
        <v/>
      </c>
      <c r="I1468" s="25"/>
      <c r="J1468" s="25"/>
      <c r="K1468" s="26"/>
      <c r="L1468" s="26"/>
      <c r="M1468" s="37"/>
      <c r="N1468" s="27"/>
      <c r="O1468" s="30"/>
      <c r="P1468" s="39" t="str">
        <f t="shared" si="227"/>
        <v/>
      </c>
      <c r="Q1468" s="40" t="str">
        <f>IF(OR(T1468=0,RIGHT(T1468,1)=$W$1),"",COUNTIF($T$3:T1468,T1468))</f>
        <v/>
      </c>
      <c r="S1468" s="6">
        <f t="shared" si="228"/>
        <v>0</v>
      </c>
      <c r="T1468" s="36">
        <f t="shared" si="229"/>
        <v>0</v>
      </c>
      <c r="V1468" s="6">
        <f t="shared" si="230"/>
        <v>0</v>
      </c>
      <c r="Y1468" s="8">
        <f t="shared" si="231"/>
        <v>46023</v>
      </c>
    </row>
    <row r="1469" spans="2:25" ht="18.75" x14ac:dyDescent="0.3">
      <c r="B1469" s="6">
        <f t="shared" si="223"/>
        <v>0</v>
      </c>
      <c r="C1469" s="6">
        <f t="shared" si="224"/>
        <v>0</v>
      </c>
      <c r="D1469" s="6" t="str">
        <f t="shared" si="225"/>
        <v/>
      </c>
      <c r="E1469" s="35" t="str">
        <f t="shared" si="222"/>
        <v/>
      </c>
      <c r="F1469" s="31"/>
      <c r="G1469" s="29"/>
      <c r="H1469" s="78" t="str">
        <f t="shared" si="226"/>
        <v/>
      </c>
      <c r="I1469" s="25"/>
      <c r="J1469" s="25"/>
      <c r="K1469" s="26"/>
      <c r="L1469" s="26"/>
      <c r="M1469" s="37"/>
      <c r="N1469" s="27"/>
      <c r="O1469" s="30"/>
      <c r="P1469" s="39" t="str">
        <f t="shared" si="227"/>
        <v/>
      </c>
      <c r="Q1469" s="40" t="str">
        <f>IF(OR(T1469=0,RIGHT(T1469,1)=$W$1),"",COUNTIF($T$3:T1469,T1469))</f>
        <v/>
      </c>
      <c r="S1469" s="6">
        <f t="shared" si="228"/>
        <v>0</v>
      </c>
      <c r="T1469" s="36">
        <f t="shared" si="229"/>
        <v>0</v>
      </c>
      <c r="V1469" s="6">
        <f t="shared" si="230"/>
        <v>0</v>
      </c>
      <c r="Y1469" s="8">
        <f t="shared" si="231"/>
        <v>46023</v>
      </c>
    </row>
    <row r="1470" spans="2:25" ht="18.75" x14ac:dyDescent="0.3">
      <c r="B1470" s="6">
        <f t="shared" si="223"/>
        <v>0</v>
      </c>
      <c r="C1470" s="6">
        <f t="shared" si="224"/>
        <v>0</v>
      </c>
      <c r="D1470" s="6" t="str">
        <f t="shared" si="225"/>
        <v/>
      </c>
      <c r="E1470" s="35" t="str">
        <f t="shared" si="222"/>
        <v/>
      </c>
      <c r="F1470" s="31"/>
      <c r="G1470" s="29"/>
      <c r="H1470" s="78" t="str">
        <f t="shared" si="226"/>
        <v/>
      </c>
      <c r="I1470" s="25"/>
      <c r="J1470" s="25"/>
      <c r="K1470" s="26"/>
      <c r="L1470" s="26"/>
      <c r="M1470" s="37"/>
      <c r="N1470" s="27"/>
      <c r="O1470" s="30"/>
      <c r="P1470" s="39" t="str">
        <f t="shared" si="227"/>
        <v/>
      </c>
      <c r="Q1470" s="40" t="str">
        <f>IF(OR(T1470=0,RIGHT(T1470,1)=$W$1),"",COUNTIF($T$3:T1470,T1470))</f>
        <v/>
      </c>
      <c r="S1470" s="6">
        <f t="shared" si="228"/>
        <v>0</v>
      </c>
      <c r="T1470" s="36">
        <f t="shared" si="229"/>
        <v>0</v>
      </c>
      <c r="V1470" s="6">
        <f t="shared" si="230"/>
        <v>0</v>
      </c>
      <c r="Y1470" s="8">
        <f t="shared" si="231"/>
        <v>46023</v>
      </c>
    </row>
    <row r="1471" spans="2:25" ht="18.75" x14ac:dyDescent="0.3">
      <c r="B1471" s="6">
        <f t="shared" si="223"/>
        <v>0</v>
      </c>
      <c r="C1471" s="6">
        <f t="shared" si="224"/>
        <v>0</v>
      </c>
      <c r="D1471" s="6" t="str">
        <f t="shared" si="225"/>
        <v/>
      </c>
      <c r="E1471" s="35" t="str">
        <f t="shared" si="222"/>
        <v/>
      </c>
      <c r="F1471" s="31"/>
      <c r="G1471" s="29"/>
      <c r="H1471" s="78" t="str">
        <f t="shared" si="226"/>
        <v/>
      </c>
      <c r="I1471" s="25"/>
      <c r="J1471" s="25"/>
      <c r="K1471" s="26"/>
      <c r="L1471" s="26"/>
      <c r="M1471" s="37"/>
      <c r="N1471" s="27"/>
      <c r="O1471" s="30"/>
      <c r="P1471" s="39" t="str">
        <f t="shared" si="227"/>
        <v/>
      </c>
      <c r="Q1471" s="40" t="str">
        <f>IF(OR(T1471=0,RIGHT(T1471,1)=$W$1),"",COUNTIF($T$3:T1471,T1471))</f>
        <v/>
      </c>
      <c r="S1471" s="6">
        <f t="shared" si="228"/>
        <v>0</v>
      </c>
      <c r="T1471" s="36">
        <f t="shared" si="229"/>
        <v>0</v>
      </c>
      <c r="V1471" s="6">
        <f t="shared" si="230"/>
        <v>0</v>
      </c>
      <c r="Y1471" s="8">
        <f t="shared" si="231"/>
        <v>46023</v>
      </c>
    </row>
    <row r="1472" spans="2:25" ht="18.75" x14ac:dyDescent="0.3">
      <c r="B1472" s="6">
        <f t="shared" si="223"/>
        <v>0</v>
      </c>
      <c r="C1472" s="6">
        <f t="shared" si="224"/>
        <v>0</v>
      </c>
      <c r="D1472" s="6" t="str">
        <f t="shared" si="225"/>
        <v/>
      </c>
      <c r="E1472" s="35" t="str">
        <f t="shared" si="222"/>
        <v/>
      </c>
      <c r="F1472" s="31"/>
      <c r="G1472" s="29"/>
      <c r="H1472" s="78" t="str">
        <f t="shared" si="226"/>
        <v/>
      </c>
      <c r="I1472" s="25"/>
      <c r="J1472" s="25"/>
      <c r="K1472" s="26"/>
      <c r="L1472" s="26"/>
      <c r="M1472" s="37"/>
      <c r="N1472" s="27"/>
      <c r="O1472" s="30"/>
      <c r="P1472" s="39" t="str">
        <f t="shared" si="227"/>
        <v/>
      </c>
      <c r="Q1472" s="40" t="str">
        <f>IF(OR(T1472=0,RIGHT(T1472,1)=$W$1),"",COUNTIF($T$3:T1472,T1472))</f>
        <v/>
      </c>
      <c r="S1472" s="6">
        <f t="shared" si="228"/>
        <v>0</v>
      </c>
      <c r="T1472" s="36">
        <f t="shared" si="229"/>
        <v>0</v>
      </c>
      <c r="V1472" s="6">
        <f t="shared" si="230"/>
        <v>0</v>
      </c>
      <c r="Y1472" s="8">
        <f t="shared" si="231"/>
        <v>46023</v>
      </c>
    </row>
    <row r="1473" spans="2:25" ht="18.75" x14ac:dyDescent="0.3">
      <c r="B1473" s="6">
        <f t="shared" si="223"/>
        <v>0</v>
      </c>
      <c r="C1473" s="6">
        <f t="shared" si="224"/>
        <v>0</v>
      </c>
      <c r="D1473" s="6" t="str">
        <f t="shared" si="225"/>
        <v/>
      </c>
      <c r="E1473" s="35" t="str">
        <f t="shared" si="222"/>
        <v/>
      </c>
      <c r="F1473" s="31"/>
      <c r="G1473" s="29"/>
      <c r="H1473" s="78" t="str">
        <f t="shared" si="226"/>
        <v/>
      </c>
      <c r="I1473" s="25"/>
      <c r="J1473" s="25"/>
      <c r="K1473" s="26"/>
      <c r="L1473" s="26"/>
      <c r="M1473" s="37"/>
      <c r="N1473" s="27"/>
      <c r="O1473" s="30"/>
      <c r="P1473" s="39" t="str">
        <f t="shared" si="227"/>
        <v/>
      </c>
      <c r="Q1473" s="40" t="str">
        <f>IF(OR(T1473=0,RIGHT(T1473,1)=$W$1),"",COUNTIF($T$3:T1473,T1473))</f>
        <v/>
      </c>
      <c r="S1473" s="6">
        <f t="shared" si="228"/>
        <v>0</v>
      </c>
      <c r="T1473" s="36">
        <f t="shared" si="229"/>
        <v>0</v>
      </c>
      <c r="V1473" s="6">
        <f t="shared" si="230"/>
        <v>0</v>
      </c>
      <c r="Y1473" s="8">
        <f t="shared" si="231"/>
        <v>46023</v>
      </c>
    </row>
    <row r="1474" spans="2:25" ht="18.75" x14ac:dyDescent="0.3">
      <c r="B1474" s="6">
        <f t="shared" si="223"/>
        <v>0</v>
      </c>
      <c r="C1474" s="6">
        <f t="shared" si="224"/>
        <v>0</v>
      </c>
      <c r="D1474" s="6" t="str">
        <f t="shared" si="225"/>
        <v/>
      </c>
      <c r="E1474" s="35" t="str">
        <f t="shared" si="222"/>
        <v/>
      </c>
      <c r="F1474" s="31"/>
      <c r="G1474" s="29"/>
      <c r="H1474" s="78" t="str">
        <f t="shared" si="226"/>
        <v/>
      </c>
      <c r="I1474" s="25"/>
      <c r="J1474" s="25"/>
      <c r="K1474" s="26"/>
      <c r="L1474" s="26"/>
      <c r="M1474" s="37"/>
      <c r="N1474" s="27"/>
      <c r="O1474" s="30"/>
      <c r="P1474" s="39" t="str">
        <f t="shared" si="227"/>
        <v/>
      </c>
      <c r="Q1474" s="40" t="str">
        <f>IF(OR(T1474=0,RIGHT(T1474,1)=$W$1),"",COUNTIF($T$3:T1474,T1474))</f>
        <v/>
      </c>
      <c r="S1474" s="6">
        <f t="shared" si="228"/>
        <v>0</v>
      </c>
      <c r="T1474" s="36">
        <f t="shared" si="229"/>
        <v>0</v>
      </c>
      <c r="V1474" s="6">
        <f t="shared" si="230"/>
        <v>0</v>
      </c>
      <c r="Y1474" s="8">
        <f t="shared" si="231"/>
        <v>46023</v>
      </c>
    </row>
    <row r="1475" spans="2:25" ht="18.75" x14ac:dyDescent="0.3">
      <c r="B1475" s="6">
        <f t="shared" si="223"/>
        <v>0</v>
      </c>
      <c r="C1475" s="6">
        <f t="shared" si="224"/>
        <v>0</v>
      </c>
      <c r="D1475" s="6" t="str">
        <f t="shared" si="225"/>
        <v/>
      </c>
      <c r="E1475" s="35" t="str">
        <f t="shared" ref="E1475:E1538" si="232">IF(D1475&lt;&gt;"",D1475&amp;" - "&amp;YEAR(F1475),"")</f>
        <v/>
      </c>
      <c r="F1475" s="31"/>
      <c r="G1475" s="29"/>
      <c r="H1475" s="78" t="str">
        <f t="shared" si="226"/>
        <v/>
      </c>
      <c r="I1475" s="25"/>
      <c r="J1475" s="25"/>
      <c r="K1475" s="26"/>
      <c r="L1475" s="26"/>
      <c r="M1475" s="37"/>
      <c r="N1475" s="27"/>
      <c r="O1475" s="30"/>
      <c r="P1475" s="39" t="str">
        <f t="shared" si="227"/>
        <v/>
      </c>
      <c r="Q1475" s="40" t="str">
        <f>IF(OR(T1475=0,RIGHT(T1475,1)=$W$1),"",COUNTIF($T$3:T1475,T1475))</f>
        <v/>
      </c>
      <c r="S1475" s="6">
        <f t="shared" si="228"/>
        <v>0</v>
      </c>
      <c r="T1475" s="36">
        <f t="shared" si="229"/>
        <v>0</v>
      </c>
      <c r="V1475" s="6">
        <f t="shared" si="230"/>
        <v>0</v>
      </c>
      <c r="Y1475" s="8">
        <f t="shared" si="231"/>
        <v>46023</v>
      </c>
    </row>
    <row r="1476" spans="2:25" ht="18.75" x14ac:dyDescent="0.3">
      <c r="B1476" s="6">
        <f t="shared" ref="B1476:B1539" si="233">IF($B$1=YEAR(F1476),B1475+1,B1475)</f>
        <v>0</v>
      </c>
      <c r="C1476" s="6">
        <f t="shared" ref="C1476:C1539" si="234">IF(AND($C$1=K1476,$Y$1=YEAR(F1476)),C1475+1,C1475)</f>
        <v>0</v>
      </c>
      <c r="D1476" s="6" t="str">
        <f t="shared" ref="D1476:D1539" si="235">IF(F1476&lt;&gt;0,IF(YEAR(F1476)&lt;&gt;YEAR(F1475),1,IF(M1476=$AI$1,D1475,D1475+1)),"")</f>
        <v/>
      </c>
      <c r="E1476" s="35" t="str">
        <f t="shared" si="232"/>
        <v/>
      </c>
      <c r="F1476" s="31"/>
      <c r="G1476" s="29"/>
      <c r="H1476" s="78" t="str">
        <f t="shared" ref="H1476:H1539" si="236">IF(G1476&lt;&gt;"",F1476,"")</f>
        <v/>
      </c>
      <c r="I1476" s="25"/>
      <c r="J1476" s="25"/>
      <c r="K1476" s="26"/>
      <c r="L1476" s="26"/>
      <c r="M1476" s="37"/>
      <c r="N1476" s="27"/>
      <c r="O1476" s="30"/>
      <c r="P1476" s="39" t="str">
        <f t="shared" ref="P1476:P1539" si="237">IF(OR(T1476=0,RIGHT(T1476,1)=$W$1),"",VLOOKUP(K1476,$AD$1:$AK$15,5,FALSE))</f>
        <v/>
      </c>
      <c r="Q1476" s="40" t="str">
        <f>IF(OR(T1476=0,RIGHT(T1476,1)=$W$1),"",COUNTIF($T$3:T1476,T1476))</f>
        <v/>
      </c>
      <c r="S1476" s="6">
        <f t="shared" ref="S1476:S1539" si="238">IF(AND($C$1=K1476,$Y$1=YEAR(F1476)),C1476,0)</f>
        <v>0</v>
      </c>
      <c r="T1476" s="36">
        <f t="shared" ref="T1476:T1539" si="239">IF(F1476=0,0,YEAR(F1476)&amp;VLOOKUP(K1476,$AD$1:$AE$15,2,FALSE))</f>
        <v>0</v>
      </c>
      <c r="V1476" s="6">
        <f t="shared" ref="V1476:V1539" si="240">IF(AND(YEAR(F1476)=$Y$1,K1476=$C$1,L1476&amp;$V$1&lt;&gt;$V$1),L1476,IF(AND(YEAR(F1476)=$Y$1,K1476=$C$1),1,0))</f>
        <v>0</v>
      </c>
      <c r="Y1476" s="8">
        <f t="shared" ref="Y1476:Y1539" si="241">IF(M1476&lt;&gt;$AI$1,$Y$2,F1475)</f>
        <v>46023</v>
      </c>
    </row>
    <row r="1477" spans="2:25" ht="18.75" x14ac:dyDescent="0.3">
      <c r="B1477" s="6">
        <f t="shared" si="233"/>
        <v>0</v>
      </c>
      <c r="C1477" s="6">
        <f t="shared" si="234"/>
        <v>0</v>
      </c>
      <c r="D1477" s="6" t="str">
        <f t="shared" si="235"/>
        <v/>
      </c>
      <c r="E1477" s="35" t="str">
        <f t="shared" si="232"/>
        <v/>
      </c>
      <c r="F1477" s="31"/>
      <c r="G1477" s="29"/>
      <c r="H1477" s="78" t="str">
        <f t="shared" si="236"/>
        <v/>
      </c>
      <c r="I1477" s="25"/>
      <c r="J1477" s="25"/>
      <c r="K1477" s="26"/>
      <c r="L1477" s="26"/>
      <c r="M1477" s="37"/>
      <c r="N1477" s="27"/>
      <c r="O1477" s="30"/>
      <c r="P1477" s="39" t="str">
        <f t="shared" si="237"/>
        <v/>
      </c>
      <c r="Q1477" s="40" t="str">
        <f>IF(OR(T1477=0,RIGHT(T1477,1)=$W$1),"",COUNTIF($T$3:T1477,T1477))</f>
        <v/>
      </c>
      <c r="S1477" s="6">
        <f t="shared" si="238"/>
        <v>0</v>
      </c>
      <c r="T1477" s="36">
        <f t="shared" si="239"/>
        <v>0</v>
      </c>
      <c r="V1477" s="6">
        <f t="shared" si="240"/>
        <v>0</v>
      </c>
      <c r="Y1477" s="8">
        <f t="shared" si="241"/>
        <v>46023</v>
      </c>
    </row>
    <row r="1478" spans="2:25" ht="18.75" x14ac:dyDescent="0.3">
      <c r="B1478" s="6">
        <f t="shared" si="233"/>
        <v>0</v>
      </c>
      <c r="C1478" s="6">
        <f t="shared" si="234"/>
        <v>0</v>
      </c>
      <c r="D1478" s="6" t="str">
        <f t="shared" si="235"/>
        <v/>
      </c>
      <c r="E1478" s="35" t="str">
        <f t="shared" si="232"/>
        <v/>
      </c>
      <c r="F1478" s="31"/>
      <c r="G1478" s="29"/>
      <c r="H1478" s="78" t="str">
        <f t="shared" si="236"/>
        <v/>
      </c>
      <c r="I1478" s="25"/>
      <c r="J1478" s="25"/>
      <c r="K1478" s="26"/>
      <c r="L1478" s="26"/>
      <c r="M1478" s="37"/>
      <c r="N1478" s="27"/>
      <c r="O1478" s="30"/>
      <c r="P1478" s="39" t="str">
        <f t="shared" si="237"/>
        <v/>
      </c>
      <c r="Q1478" s="40" t="str">
        <f>IF(OR(T1478=0,RIGHT(T1478,1)=$W$1),"",COUNTIF($T$3:T1478,T1478))</f>
        <v/>
      </c>
      <c r="S1478" s="6">
        <f t="shared" si="238"/>
        <v>0</v>
      </c>
      <c r="T1478" s="36">
        <f t="shared" si="239"/>
        <v>0</v>
      </c>
      <c r="V1478" s="6">
        <f t="shared" si="240"/>
        <v>0</v>
      </c>
      <c r="Y1478" s="8">
        <f t="shared" si="241"/>
        <v>46023</v>
      </c>
    </row>
    <row r="1479" spans="2:25" ht="18.75" x14ac:dyDescent="0.3">
      <c r="B1479" s="6">
        <f t="shared" si="233"/>
        <v>0</v>
      </c>
      <c r="C1479" s="6">
        <f t="shared" si="234"/>
        <v>0</v>
      </c>
      <c r="D1479" s="6" t="str">
        <f t="shared" si="235"/>
        <v/>
      </c>
      <c r="E1479" s="35" t="str">
        <f t="shared" si="232"/>
        <v/>
      </c>
      <c r="F1479" s="31"/>
      <c r="G1479" s="29"/>
      <c r="H1479" s="78" t="str">
        <f t="shared" si="236"/>
        <v/>
      </c>
      <c r="I1479" s="25"/>
      <c r="J1479" s="25"/>
      <c r="K1479" s="26"/>
      <c r="L1479" s="26"/>
      <c r="M1479" s="37"/>
      <c r="N1479" s="27"/>
      <c r="O1479" s="30"/>
      <c r="P1479" s="39" t="str">
        <f t="shared" si="237"/>
        <v/>
      </c>
      <c r="Q1479" s="40" t="str">
        <f>IF(OR(T1479=0,RIGHT(T1479,1)=$W$1),"",COUNTIF($T$3:T1479,T1479))</f>
        <v/>
      </c>
      <c r="S1479" s="6">
        <f t="shared" si="238"/>
        <v>0</v>
      </c>
      <c r="T1479" s="36">
        <f t="shared" si="239"/>
        <v>0</v>
      </c>
      <c r="V1479" s="6">
        <f t="shared" si="240"/>
        <v>0</v>
      </c>
      <c r="Y1479" s="8">
        <f t="shared" si="241"/>
        <v>46023</v>
      </c>
    </row>
    <row r="1480" spans="2:25" ht="18.75" x14ac:dyDescent="0.3">
      <c r="B1480" s="6">
        <f t="shared" si="233"/>
        <v>0</v>
      </c>
      <c r="C1480" s="6">
        <f t="shared" si="234"/>
        <v>0</v>
      </c>
      <c r="D1480" s="6" t="str">
        <f t="shared" si="235"/>
        <v/>
      </c>
      <c r="E1480" s="35" t="str">
        <f t="shared" si="232"/>
        <v/>
      </c>
      <c r="F1480" s="31"/>
      <c r="G1480" s="29"/>
      <c r="H1480" s="78" t="str">
        <f t="shared" si="236"/>
        <v/>
      </c>
      <c r="I1480" s="25"/>
      <c r="J1480" s="25"/>
      <c r="K1480" s="26"/>
      <c r="L1480" s="26"/>
      <c r="M1480" s="37"/>
      <c r="N1480" s="27"/>
      <c r="O1480" s="30"/>
      <c r="P1480" s="39" t="str">
        <f t="shared" si="237"/>
        <v/>
      </c>
      <c r="Q1480" s="40" t="str">
        <f>IF(OR(T1480=0,RIGHT(T1480,1)=$W$1),"",COUNTIF($T$3:T1480,T1480))</f>
        <v/>
      </c>
      <c r="S1480" s="6">
        <f t="shared" si="238"/>
        <v>0</v>
      </c>
      <c r="T1480" s="36">
        <f t="shared" si="239"/>
        <v>0</v>
      </c>
      <c r="V1480" s="6">
        <f t="shared" si="240"/>
        <v>0</v>
      </c>
      <c r="Y1480" s="8">
        <f t="shared" si="241"/>
        <v>46023</v>
      </c>
    </row>
    <row r="1481" spans="2:25" ht="18.75" x14ac:dyDescent="0.3">
      <c r="B1481" s="6">
        <f t="shared" si="233"/>
        <v>0</v>
      </c>
      <c r="C1481" s="6">
        <f t="shared" si="234"/>
        <v>0</v>
      </c>
      <c r="D1481" s="6" t="str">
        <f t="shared" si="235"/>
        <v/>
      </c>
      <c r="E1481" s="35" t="str">
        <f t="shared" si="232"/>
        <v/>
      </c>
      <c r="F1481" s="31"/>
      <c r="G1481" s="29"/>
      <c r="H1481" s="78" t="str">
        <f t="shared" si="236"/>
        <v/>
      </c>
      <c r="I1481" s="25"/>
      <c r="J1481" s="25"/>
      <c r="K1481" s="26"/>
      <c r="L1481" s="26"/>
      <c r="M1481" s="37"/>
      <c r="N1481" s="27"/>
      <c r="O1481" s="30"/>
      <c r="P1481" s="39" t="str">
        <f t="shared" si="237"/>
        <v/>
      </c>
      <c r="Q1481" s="40" t="str">
        <f>IF(OR(T1481=0,RIGHT(T1481,1)=$W$1),"",COUNTIF($T$3:T1481,T1481))</f>
        <v/>
      </c>
      <c r="S1481" s="6">
        <f t="shared" si="238"/>
        <v>0</v>
      </c>
      <c r="T1481" s="36">
        <f t="shared" si="239"/>
        <v>0</v>
      </c>
      <c r="V1481" s="6">
        <f t="shared" si="240"/>
        <v>0</v>
      </c>
      <c r="Y1481" s="8">
        <f t="shared" si="241"/>
        <v>46023</v>
      </c>
    </row>
    <row r="1482" spans="2:25" ht="18.75" x14ac:dyDescent="0.3">
      <c r="B1482" s="6">
        <f t="shared" si="233"/>
        <v>0</v>
      </c>
      <c r="C1482" s="6">
        <f t="shared" si="234"/>
        <v>0</v>
      </c>
      <c r="D1482" s="6" t="str">
        <f t="shared" si="235"/>
        <v/>
      </c>
      <c r="E1482" s="35" t="str">
        <f t="shared" si="232"/>
        <v/>
      </c>
      <c r="F1482" s="31"/>
      <c r="G1482" s="29"/>
      <c r="H1482" s="78" t="str">
        <f t="shared" si="236"/>
        <v/>
      </c>
      <c r="I1482" s="25"/>
      <c r="J1482" s="25"/>
      <c r="K1482" s="26"/>
      <c r="L1482" s="26"/>
      <c r="M1482" s="37"/>
      <c r="N1482" s="27"/>
      <c r="O1482" s="30"/>
      <c r="P1482" s="39" t="str">
        <f t="shared" si="237"/>
        <v/>
      </c>
      <c r="Q1482" s="40" t="str">
        <f>IF(OR(T1482=0,RIGHT(T1482,1)=$W$1),"",COUNTIF($T$3:T1482,T1482))</f>
        <v/>
      </c>
      <c r="S1482" s="6">
        <f t="shared" si="238"/>
        <v>0</v>
      </c>
      <c r="T1482" s="36">
        <f t="shared" si="239"/>
        <v>0</v>
      </c>
      <c r="V1482" s="6">
        <f t="shared" si="240"/>
        <v>0</v>
      </c>
      <c r="Y1482" s="8">
        <f t="shared" si="241"/>
        <v>46023</v>
      </c>
    </row>
    <row r="1483" spans="2:25" ht="18.75" x14ac:dyDescent="0.3">
      <c r="B1483" s="6">
        <f t="shared" si="233"/>
        <v>0</v>
      </c>
      <c r="C1483" s="6">
        <f t="shared" si="234"/>
        <v>0</v>
      </c>
      <c r="D1483" s="6" t="str">
        <f t="shared" si="235"/>
        <v/>
      </c>
      <c r="E1483" s="35" t="str">
        <f t="shared" si="232"/>
        <v/>
      </c>
      <c r="F1483" s="31"/>
      <c r="G1483" s="29"/>
      <c r="H1483" s="78" t="str">
        <f t="shared" si="236"/>
        <v/>
      </c>
      <c r="I1483" s="25"/>
      <c r="J1483" s="25"/>
      <c r="K1483" s="26"/>
      <c r="L1483" s="26"/>
      <c r="M1483" s="37"/>
      <c r="N1483" s="27"/>
      <c r="O1483" s="30"/>
      <c r="P1483" s="39" t="str">
        <f t="shared" si="237"/>
        <v/>
      </c>
      <c r="Q1483" s="40" t="str">
        <f>IF(OR(T1483=0,RIGHT(T1483,1)=$W$1),"",COUNTIF($T$3:T1483,T1483))</f>
        <v/>
      </c>
      <c r="S1483" s="6">
        <f t="shared" si="238"/>
        <v>0</v>
      </c>
      <c r="T1483" s="36">
        <f t="shared" si="239"/>
        <v>0</v>
      </c>
      <c r="V1483" s="6">
        <f t="shared" si="240"/>
        <v>0</v>
      </c>
      <c r="Y1483" s="8">
        <f t="shared" si="241"/>
        <v>46023</v>
      </c>
    </row>
    <row r="1484" spans="2:25" ht="18.75" x14ac:dyDescent="0.3">
      <c r="B1484" s="6">
        <f t="shared" si="233"/>
        <v>0</v>
      </c>
      <c r="C1484" s="6">
        <f t="shared" si="234"/>
        <v>0</v>
      </c>
      <c r="D1484" s="6" t="str">
        <f t="shared" si="235"/>
        <v/>
      </c>
      <c r="E1484" s="35" t="str">
        <f t="shared" si="232"/>
        <v/>
      </c>
      <c r="F1484" s="31"/>
      <c r="G1484" s="29"/>
      <c r="H1484" s="78" t="str">
        <f t="shared" si="236"/>
        <v/>
      </c>
      <c r="I1484" s="25"/>
      <c r="J1484" s="25"/>
      <c r="K1484" s="26"/>
      <c r="L1484" s="26"/>
      <c r="M1484" s="37"/>
      <c r="N1484" s="27"/>
      <c r="O1484" s="30"/>
      <c r="P1484" s="39" t="str">
        <f t="shared" si="237"/>
        <v/>
      </c>
      <c r="Q1484" s="40" t="str">
        <f>IF(OR(T1484=0,RIGHT(T1484,1)=$W$1),"",COUNTIF($T$3:T1484,T1484))</f>
        <v/>
      </c>
      <c r="S1484" s="6">
        <f t="shared" si="238"/>
        <v>0</v>
      </c>
      <c r="T1484" s="36">
        <f t="shared" si="239"/>
        <v>0</v>
      </c>
      <c r="V1484" s="6">
        <f t="shared" si="240"/>
        <v>0</v>
      </c>
      <c r="Y1484" s="8">
        <f t="shared" si="241"/>
        <v>46023</v>
      </c>
    </row>
    <row r="1485" spans="2:25" ht="18.75" x14ac:dyDescent="0.3">
      <c r="B1485" s="6">
        <f t="shared" si="233"/>
        <v>0</v>
      </c>
      <c r="C1485" s="6">
        <f t="shared" si="234"/>
        <v>0</v>
      </c>
      <c r="D1485" s="6" t="str">
        <f t="shared" si="235"/>
        <v/>
      </c>
      <c r="E1485" s="35" t="str">
        <f t="shared" si="232"/>
        <v/>
      </c>
      <c r="F1485" s="31"/>
      <c r="G1485" s="29"/>
      <c r="H1485" s="78" t="str">
        <f t="shared" si="236"/>
        <v/>
      </c>
      <c r="I1485" s="25"/>
      <c r="J1485" s="25"/>
      <c r="K1485" s="26"/>
      <c r="L1485" s="26"/>
      <c r="M1485" s="37"/>
      <c r="N1485" s="27"/>
      <c r="O1485" s="30"/>
      <c r="P1485" s="39" t="str">
        <f t="shared" si="237"/>
        <v/>
      </c>
      <c r="Q1485" s="40" t="str">
        <f>IF(OR(T1485=0,RIGHT(T1485,1)=$W$1),"",COUNTIF($T$3:T1485,T1485))</f>
        <v/>
      </c>
      <c r="S1485" s="6">
        <f t="shared" si="238"/>
        <v>0</v>
      </c>
      <c r="T1485" s="36">
        <f t="shared" si="239"/>
        <v>0</v>
      </c>
      <c r="V1485" s="6">
        <f t="shared" si="240"/>
        <v>0</v>
      </c>
      <c r="Y1485" s="8">
        <f t="shared" si="241"/>
        <v>46023</v>
      </c>
    </row>
    <row r="1486" spans="2:25" ht="18.75" x14ac:dyDescent="0.3">
      <c r="B1486" s="6">
        <f t="shared" si="233"/>
        <v>0</v>
      </c>
      <c r="C1486" s="6">
        <f t="shared" si="234"/>
        <v>0</v>
      </c>
      <c r="D1486" s="6" t="str">
        <f t="shared" si="235"/>
        <v/>
      </c>
      <c r="E1486" s="35" t="str">
        <f t="shared" si="232"/>
        <v/>
      </c>
      <c r="F1486" s="31"/>
      <c r="G1486" s="29"/>
      <c r="H1486" s="78" t="str">
        <f t="shared" si="236"/>
        <v/>
      </c>
      <c r="I1486" s="25"/>
      <c r="J1486" s="25"/>
      <c r="K1486" s="26"/>
      <c r="L1486" s="26"/>
      <c r="M1486" s="37"/>
      <c r="N1486" s="27"/>
      <c r="O1486" s="30"/>
      <c r="P1486" s="39" t="str">
        <f t="shared" si="237"/>
        <v/>
      </c>
      <c r="Q1486" s="40" t="str">
        <f>IF(OR(T1486=0,RIGHT(T1486,1)=$W$1),"",COUNTIF($T$3:T1486,T1486))</f>
        <v/>
      </c>
      <c r="S1486" s="6">
        <f t="shared" si="238"/>
        <v>0</v>
      </c>
      <c r="T1486" s="36">
        <f t="shared" si="239"/>
        <v>0</v>
      </c>
      <c r="V1486" s="6">
        <f t="shared" si="240"/>
        <v>0</v>
      </c>
      <c r="Y1486" s="8">
        <f t="shared" si="241"/>
        <v>46023</v>
      </c>
    </row>
    <row r="1487" spans="2:25" ht="18.75" x14ac:dyDescent="0.3">
      <c r="B1487" s="6">
        <f t="shared" si="233"/>
        <v>0</v>
      </c>
      <c r="C1487" s="6">
        <f t="shared" si="234"/>
        <v>0</v>
      </c>
      <c r="D1487" s="6" t="str">
        <f t="shared" si="235"/>
        <v/>
      </c>
      <c r="E1487" s="35" t="str">
        <f t="shared" si="232"/>
        <v/>
      </c>
      <c r="F1487" s="31"/>
      <c r="G1487" s="29"/>
      <c r="H1487" s="78" t="str">
        <f t="shared" si="236"/>
        <v/>
      </c>
      <c r="I1487" s="25"/>
      <c r="J1487" s="25"/>
      <c r="K1487" s="26"/>
      <c r="L1487" s="26"/>
      <c r="M1487" s="37"/>
      <c r="N1487" s="27"/>
      <c r="O1487" s="30"/>
      <c r="P1487" s="39" t="str">
        <f t="shared" si="237"/>
        <v/>
      </c>
      <c r="Q1487" s="40" t="str">
        <f>IF(OR(T1487=0,RIGHT(T1487,1)=$W$1),"",COUNTIF($T$3:T1487,T1487))</f>
        <v/>
      </c>
      <c r="S1487" s="6">
        <f t="shared" si="238"/>
        <v>0</v>
      </c>
      <c r="T1487" s="36">
        <f t="shared" si="239"/>
        <v>0</v>
      </c>
      <c r="V1487" s="6">
        <f t="shared" si="240"/>
        <v>0</v>
      </c>
      <c r="Y1487" s="8">
        <f t="shared" si="241"/>
        <v>46023</v>
      </c>
    </row>
    <row r="1488" spans="2:25" ht="18.75" x14ac:dyDescent="0.3">
      <c r="B1488" s="6">
        <f t="shared" si="233"/>
        <v>0</v>
      </c>
      <c r="C1488" s="6">
        <f t="shared" si="234"/>
        <v>0</v>
      </c>
      <c r="D1488" s="6" t="str">
        <f t="shared" si="235"/>
        <v/>
      </c>
      <c r="E1488" s="35" t="str">
        <f t="shared" si="232"/>
        <v/>
      </c>
      <c r="F1488" s="31"/>
      <c r="G1488" s="29"/>
      <c r="H1488" s="78" t="str">
        <f t="shared" si="236"/>
        <v/>
      </c>
      <c r="I1488" s="25"/>
      <c r="J1488" s="25"/>
      <c r="K1488" s="26"/>
      <c r="L1488" s="26"/>
      <c r="M1488" s="37"/>
      <c r="N1488" s="27"/>
      <c r="O1488" s="30"/>
      <c r="P1488" s="39" t="str">
        <f t="shared" si="237"/>
        <v/>
      </c>
      <c r="Q1488" s="40" t="str">
        <f>IF(OR(T1488=0,RIGHT(T1488,1)=$W$1),"",COUNTIF($T$3:T1488,T1488))</f>
        <v/>
      </c>
      <c r="S1488" s="6">
        <f t="shared" si="238"/>
        <v>0</v>
      </c>
      <c r="T1488" s="36">
        <f t="shared" si="239"/>
        <v>0</v>
      </c>
      <c r="V1488" s="6">
        <f t="shared" si="240"/>
        <v>0</v>
      </c>
      <c r="Y1488" s="8">
        <f t="shared" si="241"/>
        <v>46023</v>
      </c>
    </row>
    <row r="1489" spans="2:25" ht="18.75" x14ac:dyDescent="0.3">
      <c r="B1489" s="6">
        <f t="shared" si="233"/>
        <v>0</v>
      </c>
      <c r="C1489" s="6">
        <f t="shared" si="234"/>
        <v>0</v>
      </c>
      <c r="D1489" s="6" t="str">
        <f t="shared" si="235"/>
        <v/>
      </c>
      <c r="E1489" s="35" t="str">
        <f t="shared" si="232"/>
        <v/>
      </c>
      <c r="F1489" s="31"/>
      <c r="G1489" s="29"/>
      <c r="H1489" s="78" t="str">
        <f t="shared" si="236"/>
        <v/>
      </c>
      <c r="I1489" s="25"/>
      <c r="J1489" s="25"/>
      <c r="K1489" s="26"/>
      <c r="L1489" s="26"/>
      <c r="M1489" s="37"/>
      <c r="N1489" s="27"/>
      <c r="O1489" s="30"/>
      <c r="P1489" s="39" t="str">
        <f t="shared" si="237"/>
        <v/>
      </c>
      <c r="Q1489" s="40" t="str">
        <f>IF(OR(T1489=0,RIGHT(T1489,1)=$W$1),"",COUNTIF($T$3:T1489,T1489))</f>
        <v/>
      </c>
      <c r="S1489" s="6">
        <f t="shared" si="238"/>
        <v>0</v>
      </c>
      <c r="T1489" s="36">
        <f t="shared" si="239"/>
        <v>0</v>
      </c>
      <c r="V1489" s="6">
        <f t="shared" si="240"/>
        <v>0</v>
      </c>
      <c r="Y1489" s="8">
        <f t="shared" si="241"/>
        <v>46023</v>
      </c>
    </row>
    <row r="1490" spans="2:25" ht="18.75" x14ac:dyDescent="0.3">
      <c r="B1490" s="6">
        <f t="shared" si="233"/>
        <v>0</v>
      </c>
      <c r="C1490" s="6">
        <f t="shared" si="234"/>
        <v>0</v>
      </c>
      <c r="D1490" s="6" t="str">
        <f t="shared" si="235"/>
        <v/>
      </c>
      <c r="E1490" s="35" t="str">
        <f t="shared" si="232"/>
        <v/>
      </c>
      <c r="F1490" s="31"/>
      <c r="G1490" s="29"/>
      <c r="H1490" s="78" t="str">
        <f t="shared" si="236"/>
        <v/>
      </c>
      <c r="I1490" s="25"/>
      <c r="J1490" s="25"/>
      <c r="K1490" s="26"/>
      <c r="L1490" s="26"/>
      <c r="M1490" s="37"/>
      <c r="N1490" s="27"/>
      <c r="O1490" s="30"/>
      <c r="P1490" s="39" t="str">
        <f t="shared" si="237"/>
        <v/>
      </c>
      <c r="Q1490" s="40" t="str">
        <f>IF(OR(T1490=0,RIGHT(T1490,1)=$W$1),"",COUNTIF($T$3:T1490,T1490))</f>
        <v/>
      </c>
      <c r="S1490" s="6">
        <f t="shared" si="238"/>
        <v>0</v>
      </c>
      <c r="T1490" s="36">
        <f t="shared" si="239"/>
        <v>0</v>
      </c>
      <c r="V1490" s="6">
        <f t="shared" si="240"/>
        <v>0</v>
      </c>
      <c r="Y1490" s="8">
        <f t="shared" si="241"/>
        <v>46023</v>
      </c>
    </row>
    <row r="1491" spans="2:25" ht="18.75" x14ac:dyDescent="0.3">
      <c r="B1491" s="6">
        <f t="shared" si="233"/>
        <v>0</v>
      </c>
      <c r="C1491" s="6">
        <f t="shared" si="234"/>
        <v>0</v>
      </c>
      <c r="D1491" s="6" t="str">
        <f t="shared" si="235"/>
        <v/>
      </c>
      <c r="E1491" s="35" t="str">
        <f t="shared" si="232"/>
        <v/>
      </c>
      <c r="F1491" s="31"/>
      <c r="G1491" s="29"/>
      <c r="H1491" s="78" t="str">
        <f t="shared" si="236"/>
        <v/>
      </c>
      <c r="I1491" s="25"/>
      <c r="J1491" s="25"/>
      <c r="K1491" s="26"/>
      <c r="L1491" s="26"/>
      <c r="M1491" s="37"/>
      <c r="N1491" s="27"/>
      <c r="O1491" s="30"/>
      <c r="P1491" s="39" t="str">
        <f t="shared" si="237"/>
        <v/>
      </c>
      <c r="Q1491" s="40" t="str">
        <f>IF(OR(T1491=0,RIGHT(T1491,1)=$W$1),"",COUNTIF($T$3:T1491,T1491))</f>
        <v/>
      </c>
      <c r="S1491" s="6">
        <f t="shared" si="238"/>
        <v>0</v>
      </c>
      <c r="T1491" s="36">
        <f t="shared" si="239"/>
        <v>0</v>
      </c>
      <c r="V1491" s="6">
        <f t="shared" si="240"/>
        <v>0</v>
      </c>
      <c r="Y1491" s="8">
        <f t="shared" si="241"/>
        <v>46023</v>
      </c>
    </row>
    <row r="1492" spans="2:25" ht="18.75" x14ac:dyDescent="0.3">
      <c r="B1492" s="6">
        <f t="shared" si="233"/>
        <v>0</v>
      </c>
      <c r="C1492" s="6">
        <f t="shared" si="234"/>
        <v>0</v>
      </c>
      <c r="D1492" s="6" t="str">
        <f t="shared" si="235"/>
        <v/>
      </c>
      <c r="E1492" s="35" t="str">
        <f t="shared" si="232"/>
        <v/>
      </c>
      <c r="F1492" s="31"/>
      <c r="G1492" s="29"/>
      <c r="H1492" s="78" t="str">
        <f t="shared" si="236"/>
        <v/>
      </c>
      <c r="I1492" s="25"/>
      <c r="J1492" s="25"/>
      <c r="K1492" s="26"/>
      <c r="L1492" s="26"/>
      <c r="M1492" s="37"/>
      <c r="N1492" s="27"/>
      <c r="O1492" s="30"/>
      <c r="P1492" s="39" t="str">
        <f t="shared" si="237"/>
        <v/>
      </c>
      <c r="Q1492" s="40" t="str">
        <f>IF(OR(T1492=0,RIGHT(T1492,1)=$W$1),"",COUNTIF($T$3:T1492,T1492))</f>
        <v/>
      </c>
      <c r="S1492" s="6">
        <f t="shared" si="238"/>
        <v>0</v>
      </c>
      <c r="T1492" s="36">
        <f t="shared" si="239"/>
        <v>0</v>
      </c>
      <c r="V1492" s="6">
        <f t="shared" si="240"/>
        <v>0</v>
      </c>
      <c r="Y1492" s="8">
        <f t="shared" si="241"/>
        <v>46023</v>
      </c>
    </row>
    <row r="1493" spans="2:25" ht="18.75" x14ac:dyDescent="0.3">
      <c r="B1493" s="6">
        <f t="shared" si="233"/>
        <v>0</v>
      </c>
      <c r="C1493" s="6">
        <f t="shared" si="234"/>
        <v>0</v>
      </c>
      <c r="D1493" s="6" t="str">
        <f t="shared" si="235"/>
        <v/>
      </c>
      <c r="E1493" s="35" t="str">
        <f t="shared" si="232"/>
        <v/>
      </c>
      <c r="F1493" s="31"/>
      <c r="G1493" s="29"/>
      <c r="H1493" s="78" t="str">
        <f t="shared" si="236"/>
        <v/>
      </c>
      <c r="I1493" s="25"/>
      <c r="J1493" s="25"/>
      <c r="K1493" s="26"/>
      <c r="L1493" s="26"/>
      <c r="M1493" s="37"/>
      <c r="N1493" s="27"/>
      <c r="O1493" s="30"/>
      <c r="P1493" s="39" t="str">
        <f t="shared" si="237"/>
        <v/>
      </c>
      <c r="Q1493" s="40" t="str">
        <f>IF(OR(T1493=0,RIGHT(T1493,1)=$W$1),"",COUNTIF($T$3:T1493,T1493))</f>
        <v/>
      </c>
      <c r="S1493" s="6">
        <f t="shared" si="238"/>
        <v>0</v>
      </c>
      <c r="T1493" s="36">
        <f t="shared" si="239"/>
        <v>0</v>
      </c>
      <c r="V1493" s="6">
        <f t="shared" si="240"/>
        <v>0</v>
      </c>
      <c r="Y1493" s="8">
        <f t="shared" si="241"/>
        <v>46023</v>
      </c>
    </row>
    <row r="1494" spans="2:25" ht="18.75" x14ac:dyDescent="0.3">
      <c r="B1494" s="6">
        <f t="shared" si="233"/>
        <v>0</v>
      </c>
      <c r="C1494" s="6">
        <f t="shared" si="234"/>
        <v>0</v>
      </c>
      <c r="D1494" s="6" t="str">
        <f t="shared" si="235"/>
        <v/>
      </c>
      <c r="E1494" s="35" t="str">
        <f t="shared" si="232"/>
        <v/>
      </c>
      <c r="F1494" s="31"/>
      <c r="G1494" s="29"/>
      <c r="H1494" s="78" t="str">
        <f t="shared" si="236"/>
        <v/>
      </c>
      <c r="I1494" s="25"/>
      <c r="J1494" s="25"/>
      <c r="K1494" s="26"/>
      <c r="L1494" s="26"/>
      <c r="M1494" s="37"/>
      <c r="N1494" s="27"/>
      <c r="O1494" s="30"/>
      <c r="P1494" s="39" t="str">
        <f t="shared" si="237"/>
        <v/>
      </c>
      <c r="Q1494" s="40" t="str">
        <f>IF(OR(T1494=0,RIGHT(T1494,1)=$W$1),"",COUNTIF($T$3:T1494,T1494))</f>
        <v/>
      </c>
      <c r="S1494" s="6">
        <f t="shared" si="238"/>
        <v>0</v>
      </c>
      <c r="T1494" s="36">
        <f t="shared" si="239"/>
        <v>0</v>
      </c>
      <c r="V1494" s="6">
        <f t="shared" si="240"/>
        <v>0</v>
      </c>
      <c r="Y1494" s="8">
        <f t="shared" si="241"/>
        <v>46023</v>
      </c>
    </row>
    <row r="1495" spans="2:25" ht="18.75" x14ac:dyDescent="0.3">
      <c r="B1495" s="6">
        <f t="shared" si="233"/>
        <v>0</v>
      </c>
      <c r="C1495" s="6">
        <f t="shared" si="234"/>
        <v>0</v>
      </c>
      <c r="D1495" s="6" t="str">
        <f t="shared" si="235"/>
        <v/>
      </c>
      <c r="E1495" s="35" t="str">
        <f t="shared" si="232"/>
        <v/>
      </c>
      <c r="F1495" s="31"/>
      <c r="G1495" s="29"/>
      <c r="H1495" s="78" t="str">
        <f t="shared" si="236"/>
        <v/>
      </c>
      <c r="I1495" s="25"/>
      <c r="J1495" s="25"/>
      <c r="K1495" s="26"/>
      <c r="L1495" s="26"/>
      <c r="M1495" s="37"/>
      <c r="N1495" s="27"/>
      <c r="O1495" s="30"/>
      <c r="P1495" s="39" t="str">
        <f t="shared" si="237"/>
        <v/>
      </c>
      <c r="Q1495" s="40" t="str">
        <f>IF(OR(T1495=0,RIGHT(T1495,1)=$W$1),"",COUNTIF($T$3:T1495,T1495))</f>
        <v/>
      </c>
      <c r="S1495" s="6">
        <f t="shared" si="238"/>
        <v>0</v>
      </c>
      <c r="T1495" s="36">
        <f t="shared" si="239"/>
        <v>0</v>
      </c>
      <c r="V1495" s="6">
        <f t="shared" si="240"/>
        <v>0</v>
      </c>
      <c r="Y1495" s="8">
        <f t="shared" si="241"/>
        <v>46023</v>
      </c>
    </row>
    <row r="1496" spans="2:25" ht="18.75" x14ac:dyDescent="0.3">
      <c r="B1496" s="6">
        <f t="shared" si="233"/>
        <v>0</v>
      </c>
      <c r="C1496" s="6">
        <f t="shared" si="234"/>
        <v>0</v>
      </c>
      <c r="D1496" s="6" t="str">
        <f t="shared" si="235"/>
        <v/>
      </c>
      <c r="E1496" s="35" t="str">
        <f t="shared" si="232"/>
        <v/>
      </c>
      <c r="F1496" s="31"/>
      <c r="G1496" s="29"/>
      <c r="H1496" s="78" t="str">
        <f t="shared" si="236"/>
        <v/>
      </c>
      <c r="I1496" s="25"/>
      <c r="J1496" s="25"/>
      <c r="K1496" s="26"/>
      <c r="L1496" s="26"/>
      <c r="M1496" s="37"/>
      <c r="N1496" s="27"/>
      <c r="O1496" s="30"/>
      <c r="P1496" s="39" t="str">
        <f t="shared" si="237"/>
        <v/>
      </c>
      <c r="Q1496" s="40" t="str">
        <f>IF(OR(T1496=0,RIGHT(T1496,1)=$W$1),"",COUNTIF($T$3:T1496,T1496))</f>
        <v/>
      </c>
      <c r="S1496" s="6">
        <f t="shared" si="238"/>
        <v>0</v>
      </c>
      <c r="T1496" s="36">
        <f t="shared" si="239"/>
        <v>0</v>
      </c>
      <c r="V1496" s="6">
        <f t="shared" si="240"/>
        <v>0</v>
      </c>
      <c r="Y1496" s="8">
        <f t="shared" si="241"/>
        <v>46023</v>
      </c>
    </row>
    <row r="1497" spans="2:25" ht="18.75" x14ac:dyDescent="0.3">
      <c r="B1497" s="6">
        <f t="shared" si="233"/>
        <v>0</v>
      </c>
      <c r="C1497" s="6">
        <f t="shared" si="234"/>
        <v>0</v>
      </c>
      <c r="D1497" s="6" t="str">
        <f t="shared" si="235"/>
        <v/>
      </c>
      <c r="E1497" s="35" t="str">
        <f t="shared" si="232"/>
        <v/>
      </c>
      <c r="F1497" s="31"/>
      <c r="G1497" s="29"/>
      <c r="H1497" s="78" t="str">
        <f t="shared" si="236"/>
        <v/>
      </c>
      <c r="I1497" s="25"/>
      <c r="J1497" s="25"/>
      <c r="K1497" s="26"/>
      <c r="L1497" s="26"/>
      <c r="M1497" s="37"/>
      <c r="N1497" s="27"/>
      <c r="O1497" s="30"/>
      <c r="P1497" s="39" t="str">
        <f t="shared" si="237"/>
        <v/>
      </c>
      <c r="Q1497" s="40" t="str">
        <f>IF(OR(T1497=0,RIGHT(T1497,1)=$W$1),"",COUNTIF($T$3:T1497,T1497))</f>
        <v/>
      </c>
      <c r="S1497" s="6">
        <f t="shared" si="238"/>
        <v>0</v>
      </c>
      <c r="T1497" s="36">
        <f t="shared" si="239"/>
        <v>0</v>
      </c>
      <c r="V1497" s="6">
        <f t="shared" si="240"/>
        <v>0</v>
      </c>
      <c r="Y1497" s="8">
        <f t="shared" si="241"/>
        <v>46023</v>
      </c>
    </row>
    <row r="1498" spans="2:25" ht="18.75" x14ac:dyDescent="0.3">
      <c r="B1498" s="6">
        <f t="shared" si="233"/>
        <v>0</v>
      </c>
      <c r="C1498" s="6">
        <f t="shared" si="234"/>
        <v>0</v>
      </c>
      <c r="D1498" s="6" t="str">
        <f t="shared" si="235"/>
        <v/>
      </c>
      <c r="E1498" s="35" t="str">
        <f t="shared" si="232"/>
        <v/>
      </c>
      <c r="F1498" s="31"/>
      <c r="G1498" s="29"/>
      <c r="H1498" s="78" t="str">
        <f t="shared" si="236"/>
        <v/>
      </c>
      <c r="I1498" s="25"/>
      <c r="J1498" s="25"/>
      <c r="K1498" s="26"/>
      <c r="L1498" s="26"/>
      <c r="M1498" s="37"/>
      <c r="N1498" s="27"/>
      <c r="O1498" s="30"/>
      <c r="P1498" s="39" t="str">
        <f t="shared" si="237"/>
        <v/>
      </c>
      <c r="Q1498" s="40" t="str">
        <f>IF(OR(T1498=0,RIGHT(T1498,1)=$W$1),"",COUNTIF($T$3:T1498,T1498))</f>
        <v/>
      </c>
      <c r="S1498" s="6">
        <f t="shared" si="238"/>
        <v>0</v>
      </c>
      <c r="T1498" s="36">
        <f t="shared" si="239"/>
        <v>0</v>
      </c>
      <c r="V1498" s="6">
        <f t="shared" si="240"/>
        <v>0</v>
      </c>
      <c r="Y1498" s="8">
        <f t="shared" si="241"/>
        <v>46023</v>
      </c>
    </row>
    <row r="1499" spans="2:25" ht="18.75" x14ac:dyDescent="0.3">
      <c r="B1499" s="6">
        <f t="shared" si="233"/>
        <v>0</v>
      </c>
      <c r="C1499" s="6">
        <f t="shared" si="234"/>
        <v>0</v>
      </c>
      <c r="D1499" s="6" t="str">
        <f t="shared" si="235"/>
        <v/>
      </c>
      <c r="E1499" s="35" t="str">
        <f t="shared" si="232"/>
        <v/>
      </c>
      <c r="F1499" s="31"/>
      <c r="G1499" s="29"/>
      <c r="H1499" s="78" t="str">
        <f t="shared" si="236"/>
        <v/>
      </c>
      <c r="I1499" s="25"/>
      <c r="J1499" s="25"/>
      <c r="K1499" s="26"/>
      <c r="L1499" s="26"/>
      <c r="M1499" s="37"/>
      <c r="N1499" s="27"/>
      <c r="O1499" s="30"/>
      <c r="P1499" s="39" t="str">
        <f t="shared" si="237"/>
        <v/>
      </c>
      <c r="Q1499" s="40" t="str">
        <f>IF(OR(T1499=0,RIGHT(T1499,1)=$W$1),"",COUNTIF($T$3:T1499,T1499))</f>
        <v/>
      </c>
      <c r="S1499" s="6">
        <f t="shared" si="238"/>
        <v>0</v>
      </c>
      <c r="T1499" s="36">
        <f t="shared" si="239"/>
        <v>0</v>
      </c>
      <c r="V1499" s="6">
        <f t="shared" si="240"/>
        <v>0</v>
      </c>
      <c r="Y1499" s="8">
        <f t="shared" si="241"/>
        <v>46023</v>
      </c>
    </row>
    <row r="1500" spans="2:25" ht="18.75" x14ac:dyDescent="0.3">
      <c r="B1500" s="6">
        <f t="shared" si="233"/>
        <v>0</v>
      </c>
      <c r="C1500" s="6">
        <f t="shared" si="234"/>
        <v>0</v>
      </c>
      <c r="D1500" s="6" t="str">
        <f t="shared" si="235"/>
        <v/>
      </c>
      <c r="E1500" s="35" t="str">
        <f t="shared" si="232"/>
        <v/>
      </c>
      <c r="F1500" s="31"/>
      <c r="G1500" s="29"/>
      <c r="H1500" s="78" t="str">
        <f t="shared" si="236"/>
        <v/>
      </c>
      <c r="I1500" s="25"/>
      <c r="J1500" s="25"/>
      <c r="K1500" s="26"/>
      <c r="L1500" s="26"/>
      <c r="M1500" s="37"/>
      <c r="N1500" s="27"/>
      <c r="O1500" s="30"/>
      <c r="P1500" s="39" t="str">
        <f t="shared" si="237"/>
        <v/>
      </c>
      <c r="Q1500" s="40" t="str">
        <f>IF(OR(T1500=0,RIGHT(T1500,1)=$W$1),"",COUNTIF($T$3:T1500,T1500))</f>
        <v/>
      </c>
      <c r="S1500" s="6">
        <f t="shared" si="238"/>
        <v>0</v>
      </c>
      <c r="T1500" s="36">
        <f t="shared" si="239"/>
        <v>0</v>
      </c>
      <c r="V1500" s="6">
        <f t="shared" si="240"/>
        <v>0</v>
      </c>
      <c r="Y1500" s="8">
        <f t="shared" si="241"/>
        <v>46023</v>
      </c>
    </row>
    <row r="1501" spans="2:25" ht="18.75" x14ac:dyDescent="0.3">
      <c r="B1501" s="6">
        <f t="shared" si="233"/>
        <v>0</v>
      </c>
      <c r="C1501" s="6">
        <f t="shared" si="234"/>
        <v>0</v>
      </c>
      <c r="D1501" s="6" t="str">
        <f t="shared" si="235"/>
        <v/>
      </c>
      <c r="E1501" s="35" t="str">
        <f t="shared" si="232"/>
        <v/>
      </c>
      <c r="F1501" s="31"/>
      <c r="G1501" s="29"/>
      <c r="H1501" s="78" t="str">
        <f t="shared" si="236"/>
        <v/>
      </c>
      <c r="I1501" s="25"/>
      <c r="J1501" s="25"/>
      <c r="K1501" s="26"/>
      <c r="L1501" s="26"/>
      <c r="M1501" s="37"/>
      <c r="N1501" s="27"/>
      <c r="O1501" s="30"/>
      <c r="P1501" s="39" t="str">
        <f t="shared" si="237"/>
        <v/>
      </c>
      <c r="Q1501" s="40" t="str">
        <f>IF(OR(T1501=0,RIGHT(T1501,1)=$W$1),"",COUNTIF($T$3:T1501,T1501))</f>
        <v/>
      </c>
      <c r="S1501" s="6">
        <f t="shared" si="238"/>
        <v>0</v>
      </c>
      <c r="T1501" s="36">
        <f t="shared" si="239"/>
        <v>0</v>
      </c>
      <c r="V1501" s="6">
        <f t="shared" si="240"/>
        <v>0</v>
      </c>
      <c r="Y1501" s="8">
        <f t="shared" si="241"/>
        <v>46023</v>
      </c>
    </row>
    <row r="1502" spans="2:25" ht="18.75" x14ac:dyDescent="0.3">
      <c r="B1502" s="6">
        <f t="shared" si="233"/>
        <v>0</v>
      </c>
      <c r="C1502" s="6">
        <f t="shared" si="234"/>
        <v>0</v>
      </c>
      <c r="D1502" s="6" t="str">
        <f t="shared" si="235"/>
        <v/>
      </c>
      <c r="E1502" s="35" t="str">
        <f t="shared" si="232"/>
        <v/>
      </c>
      <c r="F1502" s="31"/>
      <c r="G1502" s="29"/>
      <c r="H1502" s="78" t="str">
        <f t="shared" si="236"/>
        <v/>
      </c>
      <c r="I1502" s="25"/>
      <c r="J1502" s="25"/>
      <c r="K1502" s="26"/>
      <c r="L1502" s="26"/>
      <c r="M1502" s="37"/>
      <c r="N1502" s="27"/>
      <c r="O1502" s="30"/>
      <c r="P1502" s="39" t="str">
        <f t="shared" si="237"/>
        <v/>
      </c>
      <c r="Q1502" s="40" t="str">
        <f>IF(OR(T1502=0,RIGHT(T1502,1)=$W$1),"",COUNTIF($T$3:T1502,T1502))</f>
        <v/>
      </c>
      <c r="S1502" s="6">
        <f t="shared" si="238"/>
        <v>0</v>
      </c>
      <c r="T1502" s="36">
        <f t="shared" si="239"/>
        <v>0</v>
      </c>
      <c r="V1502" s="6">
        <f t="shared" si="240"/>
        <v>0</v>
      </c>
      <c r="Y1502" s="8">
        <f t="shared" si="241"/>
        <v>46023</v>
      </c>
    </row>
    <row r="1503" spans="2:25" ht="18.75" x14ac:dyDescent="0.3">
      <c r="B1503" s="6">
        <f t="shared" si="233"/>
        <v>0</v>
      </c>
      <c r="C1503" s="6">
        <f t="shared" si="234"/>
        <v>0</v>
      </c>
      <c r="D1503" s="6" t="str">
        <f t="shared" si="235"/>
        <v/>
      </c>
      <c r="E1503" s="35" t="str">
        <f t="shared" si="232"/>
        <v/>
      </c>
      <c r="F1503" s="31"/>
      <c r="G1503" s="29"/>
      <c r="H1503" s="78" t="str">
        <f t="shared" si="236"/>
        <v/>
      </c>
      <c r="I1503" s="25"/>
      <c r="J1503" s="25"/>
      <c r="K1503" s="26"/>
      <c r="L1503" s="26"/>
      <c r="M1503" s="37"/>
      <c r="N1503" s="27"/>
      <c r="O1503" s="30"/>
      <c r="P1503" s="39" t="str">
        <f t="shared" si="237"/>
        <v/>
      </c>
      <c r="Q1503" s="40" t="str">
        <f>IF(OR(T1503=0,RIGHT(T1503,1)=$W$1),"",COUNTIF($T$3:T1503,T1503))</f>
        <v/>
      </c>
      <c r="S1503" s="6">
        <f t="shared" si="238"/>
        <v>0</v>
      </c>
      <c r="T1503" s="36">
        <f t="shared" si="239"/>
        <v>0</v>
      </c>
      <c r="V1503" s="6">
        <f t="shared" si="240"/>
        <v>0</v>
      </c>
      <c r="Y1503" s="8">
        <f t="shared" si="241"/>
        <v>46023</v>
      </c>
    </row>
    <row r="1504" spans="2:25" ht="18.75" x14ac:dyDescent="0.3">
      <c r="B1504" s="6">
        <f t="shared" si="233"/>
        <v>0</v>
      </c>
      <c r="C1504" s="6">
        <f t="shared" si="234"/>
        <v>0</v>
      </c>
      <c r="D1504" s="6" t="str">
        <f t="shared" si="235"/>
        <v/>
      </c>
      <c r="E1504" s="35" t="str">
        <f t="shared" si="232"/>
        <v/>
      </c>
      <c r="F1504" s="31"/>
      <c r="G1504" s="29"/>
      <c r="H1504" s="78" t="str">
        <f t="shared" si="236"/>
        <v/>
      </c>
      <c r="I1504" s="25"/>
      <c r="J1504" s="25"/>
      <c r="K1504" s="26"/>
      <c r="L1504" s="26"/>
      <c r="M1504" s="37"/>
      <c r="N1504" s="27"/>
      <c r="O1504" s="30"/>
      <c r="P1504" s="39" t="str">
        <f t="shared" si="237"/>
        <v/>
      </c>
      <c r="Q1504" s="40" t="str">
        <f>IF(OR(T1504=0,RIGHT(T1504,1)=$W$1),"",COUNTIF($T$3:T1504,T1504))</f>
        <v/>
      </c>
      <c r="S1504" s="6">
        <f t="shared" si="238"/>
        <v>0</v>
      </c>
      <c r="T1504" s="36">
        <f t="shared" si="239"/>
        <v>0</v>
      </c>
      <c r="V1504" s="6">
        <f t="shared" si="240"/>
        <v>0</v>
      </c>
      <c r="Y1504" s="8">
        <f t="shared" si="241"/>
        <v>46023</v>
      </c>
    </row>
    <row r="1505" spans="2:25" ht="18.75" x14ac:dyDescent="0.3">
      <c r="B1505" s="6">
        <f t="shared" si="233"/>
        <v>0</v>
      </c>
      <c r="C1505" s="6">
        <f t="shared" si="234"/>
        <v>0</v>
      </c>
      <c r="D1505" s="6" t="str">
        <f t="shared" si="235"/>
        <v/>
      </c>
      <c r="E1505" s="35" t="str">
        <f t="shared" si="232"/>
        <v/>
      </c>
      <c r="F1505" s="31"/>
      <c r="G1505" s="29"/>
      <c r="H1505" s="78" t="str">
        <f t="shared" si="236"/>
        <v/>
      </c>
      <c r="I1505" s="25"/>
      <c r="J1505" s="25"/>
      <c r="K1505" s="26"/>
      <c r="L1505" s="26"/>
      <c r="M1505" s="37"/>
      <c r="N1505" s="27"/>
      <c r="O1505" s="30"/>
      <c r="P1505" s="39" t="str">
        <f t="shared" si="237"/>
        <v/>
      </c>
      <c r="Q1505" s="40" t="str">
        <f>IF(OR(T1505=0,RIGHT(T1505,1)=$W$1),"",COUNTIF($T$3:T1505,T1505))</f>
        <v/>
      </c>
      <c r="S1505" s="6">
        <f t="shared" si="238"/>
        <v>0</v>
      </c>
      <c r="T1505" s="36">
        <f t="shared" si="239"/>
        <v>0</v>
      </c>
      <c r="V1505" s="6">
        <f t="shared" si="240"/>
        <v>0</v>
      </c>
      <c r="Y1505" s="8">
        <f t="shared" si="241"/>
        <v>46023</v>
      </c>
    </row>
    <row r="1506" spans="2:25" ht="18.75" x14ac:dyDescent="0.3">
      <c r="B1506" s="6">
        <f t="shared" si="233"/>
        <v>0</v>
      </c>
      <c r="C1506" s="6">
        <f t="shared" si="234"/>
        <v>0</v>
      </c>
      <c r="D1506" s="6" t="str">
        <f t="shared" si="235"/>
        <v/>
      </c>
      <c r="E1506" s="35" t="str">
        <f t="shared" si="232"/>
        <v/>
      </c>
      <c r="F1506" s="31"/>
      <c r="G1506" s="29"/>
      <c r="H1506" s="78" t="str">
        <f t="shared" si="236"/>
        <v/>
      </c>
      <c r="I1506" s="25"/>
      <c r="J1506" s="25"/>
      <c r="K1506" s="26"/>
      <c r="L1506" s="26"/>
      <c r="M1506" s="37"/>
      <c r="N1506" s="27"/>
      <c r="O1506" s="30"/>
      <c r="P1506" s="39" t="str">
        <f t="shared" si="237"/>
        <v/>
      </c>
      <c r="Q1506" s="40" t="str">
        <f>IF(OR(T1506=0,RIGHT(T1506,1)=$W$1),"",COUNTIF($T$3:T1506,T1506))</f>
        <v/>
      </c>
      <c r="S1506" s="6">
        <f t="shared" si="238"/>
        <v>0</v>
      </c>
      <c r="T1506" s="36">
        <f t="shared" si="239"/>
        <v>0</v>
      </c>
      <c r="V1506" s="6">
        <f t="shared" si="240"/>
        <v>0</v>
      </c>
      <c r="Y1506" s="8">
        <f t="shared" si="241"/>
        <v>46023</v>
      </c>
    </row>
    <row r="1507" spans="2:25" ht="18.75" x14ac:dyDescent="0.3">
      <c r="B1507" s="6">
        <f t="shared" si="233"/>
        <v>0</v>
      </c>
      <c r="C1507" s="6">
        <f t="shared" si="234"/>
        <v>0</v>
      </c>
      <c r="D1507" s="6" t="str">
        <f t="shared" si="235"/>
        <v/>
      </c>
      <c r="E1507" s="35" t="str">
        <f t="shared" si="232"/>
        <v/>
      </c>
      <c r="F1507" s="31"/>
      <c r="G1507" s="29"/>
      <c r="H1507" s="78" t="str">
        <f t="shared" si="236"/>
        <v/>
      </c>
      <c r="I1507" s="25"/>
      <c r="J1507" s="25"/>
      <c r="K1507" s="26"/>
      <c r="L1507" s="26"/>
      <c r="M1507" s="37"/>
      <c r="N1507" s="27"/>
      <c r="O1507" s="30"/>
      <c r="P1507" s="39" t="str">
        <f t="shared" si="237"/>
        <v/>
      </c>
      <c r="Q1507" s="40" t="str">
        <f>IF(OR(T1507=0,RIGHT(T1507,1)=$W$1),"",COUNTIF($T$3:T1507,T1507))</f>
        <v/>
      </c>
      <c r="S1507" s="6">
        <f t="shared" si="238"/>
        <v>0</v>
      </c>
      <c r="T1507" s="36">
        <f t="shared" si="239"/>
        <v>0</v>
      </c>
      <c r="V1507" s="6">
        <f t="shared" si="240"/>
        <v>0</v>
      </c>
      <c r="Y1507" s="8">
        <f t="shared" si="241"/>
        <v>46023</v>
      </c>
    </row>
    <row r="1508" spans="2:25" ht="18.75" x14ac:dyDescent="0.3">
      <c r="B1508" s="6">
        <f t="shared" si="233"/>
        <v>0</v>
      </c>
      <c r="C1508" s="6">
        <f t="shared" si="234"/>
        <v>0</v>
      </c>
      <c r="D1508" s="6" t="str">
        <f t="shared" si="235"/>
        <v/>
      </c>
      <c r="E1508" s="35" t="str">
        <f t="shared" si="232"/>
        <v/>
      </c>
      <c r="F1508" s="31"/>
      <c r="G1508" s="29"/>
      <c r="H1508" s="78" t="str">
        <f t="shared" si="236"/>
        <v/>
      </c>
      <c r="I1508" s="25"/>
      <c r="J1508" s="25"/>
      <c r="K1508" s="26"/>
      <c r="L1508" s="26"/>
      <c r="M1508" s="37"/>
      <c r="N1508" s="27"/>
      <c r="O1508" s="30"/>
      <c r="P1508" s="39" t="str">
        <f t="shared" si="237"/>
        <v/>
      </c>
      <c r="Q1508" s="40" t="str">
        <f>IF(OR(T1508=0,RIGHT(T1508,1)=$W$1),"",COUNTIF($T$3:T1508,T1508))</f>
        <v/>
      </c>
      <c r="S1508" s="6">
        <f t="shared" si="238"/>
        <v>0</v>
      </c>
      <c r="T1508" s="36">
        <f t="shared" si="239"/>
        <v>0</v>
      </c>
      <c r="V1508" s="6">
        <f t="shared" si="240"/>
        <v>0</v>
      </c>
      <c r="Y1508" s="8">
        <f t="shared" si="241"/>
        <v>46023</v>
      </c>
    </row>
    <row r="1509" spans="2:25" ht="18.75" x14ac:dyDescent="0.3">
      <c r="B1509" s="6">
        <f t="shared" si="233"/>
        <v>0</v>
      </c>
      <c r="C1509" s="6">
        <f t="shared" si="234"/>
        <v>0</v>
      </c>
      <c r="D1509" s="6" t="str">
        <f t="shared" si="235"/>
        <v/>
      </c>
      <c r="E1509" s="35" t="str">
        <f t="shared" si="232"/>
        <v/>
      </c>
      <c r="F1509" s="31"/>
      <c r="G1509" s="29"/>
      <c r="H1509" s="78" t="str">
        <f t="shared" si="236"/>
        <v/>
      </c>
      <c r="I1509" s="25"/>
      <c r="J1509" s="25"/>
      <c r="K1509" s="26"/>
      <c r="L1509" s="26"/>
      <c r="M1509" s="37"/>
      <c r="N1509" s="27"/>
      <c r="O1509" s="30"/>
      <c r="P1509" s="39" t="str">
        <f t="shared" si="237"/>
        <v/>
      </c>
      <c r="Q1509" s="40" t="str">
        <f>IF(OR(T1509=0,RIGHT(T1509,1)=$W$1),"",COUNTIF($T$3:T1509,T1509))</f>
        <v/>
      </c>
      <c r="S1509" s="6">
        <f t="shared" si="238"/>
        <v>0</v>
      </c>
      <c r="T1509" s="36">
        <f t="shared" si="239"/>
        <v>0</v>
      </c>
      <c r="V1509" s="6">
        <f t="shared" si="240"/>
        <v>0</v>
      </c>
      <c r="Y1509" s="8">
        <f t="shared" si="241"/>
        <v>46023</v>
      </c>
    </row>
    <row r="1510" spans="2:25" ht="18.75" x14ac:dyDescent="0.3">
      <c r="B1510" s="6">
        <f t="shared" si="233"/>
        <v>0</v>
      </c>
      <c r="C1510" s="6">
        <f t="shared" si="234"/>
        <v>0</v>
      </c>
      <c r="D1510" s="6" t="str">
        <f t="shared" si="235"/>
        <v/>
      </c>
      <c r="E1510" s="35" t="str">
        <f t="shared" si="232"/>
        <v/>
      </c>
      <c r="F1510" s="31"/>
      <c r="G1510" s="29"/>
      <c r="H1510" s="78" t="str">
        <f t="shared" si="236"/>
        <v/>
      </c>
      <c r="I1510" s="25"/>
      <c r="J1510" s="25"/>
      <c r="K1510" s="26"/>
      <c r="L1510" s="26"/>
      <c r="M1510" s="37"/>
      <c r="N1510" s="27"/>
      <c r="O1510" s="30"/>
      <c r="P1510" s="39" t="str">
        <f t="shared" si="237"/>
        <v/>
      </c>
      <c r="Q1510" s="40" t="str">
        <f>IF(OR(T1510=0,RIGHT(T1510,1)=$W$1),"",COUNTIF($T$3:T1510,T1510))</f>
        <v/>
      </c>
      <c r="S1510" s="6">
        <f t="shared" si="238"/>
        <v>0</v>
      </c>
      <c r="T1510" s="36">
        <f t="shared" si="239"/>
        <v>0</v>
      </c>
      <c r="V1510" s="6">
        <f t="shared" si="240"/>
        <v>0</v>
      </c>
      <c r="Y1510" s="8">
        <f t="shared" si="241"/>
        <v>46023</v>
      </c>
    </row>
    <row r="1511" spans="2:25" ht="18.75" x14ac:dyDescent="0.3">
      <c r="B1511" s="6">
        <f t="shared" si="233"/>
        <v>0</v>
      </c>
      <c r="C1511" s="6">
        <f t="shared" si="234"/>
        <v>0</v>
      </c>
      <c r="D1511" s="6" t="str">
        <f t="shared" si="235"/>
        <v/>
      </c>
      <c r="E1511" s="35" t="str">
        <f t="shared" si="232"/>
        <v/>
      </c>
      <c r="F1511" s="31"/>
      <c r="G1511" s="29"/>
      <c r="H1511" s="78" t="str">
        <f t="shared" si="236"/>
        <v/>
      </c>
      <c r="I1511" s="25"/>
      <c r="J1511" s="25"/>
      <c r="K1511" s="26"/>
      <c r="L1511" s="26"/>
      <c r="M1511" s="37"/>
      <c r="N1511" s="27"/>
      <c r="O1511" s="30"/>
      <c r="P1511" s="39" t="str">
        <f t="shared" si="237"/>
        <v/>
      </c>
      <c r="Q1511" s="40" t="str">
        <f>IF(OR(T1511=0,RIGHT(T1511,1)=$W$1),"",COUNTIF($T$3:T1511,T1511))</f>
        <v/>
      </c>
      <c r="S1511" s="6">
        <f t="shared" si="238"/>
        <v>0</v>
      </c>
      <c r="T1511" s="36">
        <f t="shared" si="239"/>
        <v>0</v>
      </c>
      <c r="V1511" s="6">
        <f t="shared" si="240"/>
        <v>0</v>
      </c>
      <c r="Y1511" s="8">
        <f t="shared" si="241"/>
        <v>46023</v>
      </c>
    </row>
    <row r="1512" spans="2:25" ht="18.75" x14ac:dyDescent="0.3">
      <c r="B1512" s="6">
        <f t="shared" si="233"/>
        <v>0</v>
      </c>
      <c r="C1512" s="6">
        <f t="shared" si="234"/>
        <v>0</v>
      </c>
      <c r="D1512" s="6" t="str">
        <f t="shared" si="235"/>
        <v/>
      </c>
      <c r="E1512" s="35" t="str">
        <f t="shared" si="232"/>
        <v/>
      </c>
      <c r="F1512" s="31"/>
      <c r="G1512" s="29"/>
      <c r="H1512" s="78" t="str">
        <f t="shared" si="236"/>
        <v/>
      </c>
      <c r="I1512" s="25"/>
      <c r="J1512" s="25"/>
      <c r="K1512" s="26"/>
      <c r="L1512" s="26"/>
      <c r="M1512" s="37"/>
      <c r="N1512" s="27"/>
      <c r="O1512" s="30"/>
      <c r="P1512" s="39" t="str">
        <f t="shared" si="237"/>
        <v/>
      </c>
      <c r="Q1512" s="40" t="str">
        <f>IF(OR(T1512=0,RIGHT(T1512,1)=$W$1),"",COUNTIF($T$3:T1512,T1512))</f>
        <v/>
      </c>
      <c r="S1512" s="6">
        <f t="shared" si="238"/>
        <v>0</v>
      </c>
      <c r="T1512" s="36">
        <f t="shared" si="239"/>
        <v>0</v>
      </c>
      <c r="V1512" s="6">
        <f t="shared" si="240"/>
        <v>0</v>
      </c>
      <c r="Y1512" s="8">
        <f t="shared" si="241"/>
        <v>46023</v>
      </c>
    </row>
    <row r="1513" spans="2:25" ht="18.75" x14ac:dyDescent="0.3">
      <c r="B1513" s="6">
        <f t="shared" si="233"/>
        <v>0</v>
      </c>
      <c r="C1513" s="6">
        <f t="shared" si="234"/>
        <v>0</v>
      </c>
      <c r="D1513" s="6" t="str">
        <f t="shared" si="235"/>
        <v/>
      </c>
      <c r="E1513" s="35" t="str">
        <f t="shared" si="232"/>
        <v/>
      </c>
      <c r="F1513" s="31"/>
      <c r="G1513" s="29"/>
      <c r="H1513" s="78" t="str">
        <f t="shared" si="236"/>
        <v/>
      </c>
      <c r="I1513" s="25"/>
      <c r="J1513" s="25"/>
      <c r="K1513" s="26"/>
      <c r="L1513" s="26"/>
      <c r="M1513" s="37"/>
      <c r="N1513" s="27"/>
      <c r="O1513" s="30"/>
      <c r="P1513" s="39" t="str">
        <f t="shared" si="237"/>
        <v/>
      </c>
      <c r="Q1513" s="40" t="str">
        <f>IF(OR(T1513=0,RIGHT(T1513,1)=$W$1),"",COUNTIF($T$3:T1513,T1513))</f>
        <v/>
      </c>
      <c r="S1513" s="6">
        <f t="shared" si="238"/>
        <v>0</v>
      </c>
      <c r="T1513" s="36">
        <f t="shared" si="239"/>
        <v>0</v>
      </c>
      <c r="V1513" s="6">
        <f t="shared" si="240"/>
        <v>0</v>
      </c>
      <c r="Y1513" s="8">
        <f t="shared" si="241"/>
        <v>46023</v>
      </c>
    </row>
    <row r="1514" spans="2:25" ht="18.75" x14ac:dyDescent="0.3">
      <c r="B1514" s="6">
        <f t="shared" si="233"/>
        <v>0</v>
      </c>
      <c r="C1514" s="6">
        <f t="shared" si="234"/>
        <v>0</v>
      </c>
      <c r="D1514" s="6" t="str">
        <f t="shared" si="235"/>
        <v/>
      </c>
      <c r="E1514" s="35" t="str">
        <f t="shared" si="232"/>
        <v/>
      </c>
      <c r="F1514" s="31"/>
      <c r="G1514" s="29"/>
      <c r="H1514" s="78" t="str">
        <f t="shared" si="236"/>
        <v/>
      </c>
      <c r="I1514" s="25"/>
      <c r="J1514" s="25"/>
      <c r="K1514" s="26"/>
      <c r="L1514" s="26"/>
      <c r="M1514" s="37"/>
      <c r="N1514" s="27"/>
      <c r="O1514" s="30"/>
      <c r="P1514" s="39" t="str">
        <f t="shared" si="237"/>
        <v/>
      </c>
      <c r="Q1514" s="40" t="str">
        <f>IF(OR(T1514=0,RIGHT(T1514,1)=$W$1),"",COUNTIF($T$3:T1514,T1514))</f>
        <v/>
      </c>
      <c r="S1514" s="6">
        <f t="shared" si="238"/>
        <v>0</v>
      </c>
      <c r="T1514" s="36">
        <f t="shared" si="239"/>
        <v>0</v>
      </c>
      <c r="V1514" s="6">
        <f t="shared" si="240"/>
        <v>0</v>
      </c>
      <c r="Y1514" s="8">
        <f t="shared" si="241"/>
        <v>46023</v>
      </c>
    </row>
    <row r="1515" spans="2:25" ht="18.75" x14ac:dyDescent="0.3">
      <c r="B1515" s="6">
        <f t="shared" si="233"/>
        <v>0</v>
      </c>
      <c r="C1515" s="6">
        <f t="shared" si="234"/>
        <v>0</v>
      </c>
      <c r="D1515" s="6" t="str">
        <f t="shared" si="235"/>
        <v/>
      </c>
      <c r="E1515" s="35" t="str">
        <f t="shared" si="232"/>
        <v/>
      </c>
      <c r="F1515" s="31"/>
      <c r="G1515" s="29"/>
      <c r="H1515" s="78" t="str">
        <f t="shared" si="236"/>
        <v/>
      </c>
      <c r="I1515" s="25"/>
      <c r="J1515" s="25"/>
      <c r="K1515" s="26"/>
      <c r="L1515" s="26"/>
      <c r="M1515" s="37"/>
      <c r="N1515" s="27"/>
      <c r="O1515" s="30"/>
      <c r="P1515" s="39" t="str">
        <f t="shared" si="237"/>
        <v/>
      </c>
      <c r="Q1515" s="40" t="str">
        <f>IF(OR(T1515=0,RIGHT(T1515,1)=$W$1),"",COUNTIF($T$3:T1515,T1515))</f>
        <v/>
      </c>
      <c r="S1515" s="6">
        <f t="shared" si="238"/>
        <v>0</v>
      </c>
      <c r="T1515" s="36">
        <f t="shared" si="239"/>
        <v>0</v>
      </c>
      <c r="V1515" s="6">
        <f t="shared" si="240"/>
        <v>0</v>
      </c>
      <c r="Y1515" s="8">
        <f t="shared" si="241"/>
        <v>46023</v>
      </c>
    </row>
    <row r="1516" spans="2:25" ht="18.75" x14ac:dyDescent="0.3">
      <c r="B1516" s="6">
        <f t="shared" si="233"/>
        <v>0</v>
      </c>
      <c r="C1516" s="6">
        <f t="shared" si="234"/>
        <v>0</v>
      </c>
      <c r="D1516" s="6" t="str">
        <f t="shared" si="235"/>
        <v/>
      </c>
      <c r="E1516" s="35" t="str">
        <f t="shared" si="232"/>
        <v/>
      </c>
      <c r="F1516" s="31"/>
      <c r="G1516" s="29"/>
      <c r="H1516" s="78" t="str">
        <f t="shared" si="236"/>
        <v/>
      </c>
      <c r="I1516" s="25"/>
      <c r="J1516" s="25"/>
      <c r="K1516" s="26"/>
      <c r="L1516" s="26"/>
      <c r="M1516" s="37"/>
      <c r="N1516" s="27"/>
      <c r="O1516" s="30"/>
      <c r="P1516" s="39" t="str">
        <f t="shared" si="237"/>
        <v/>
      </c>
      <c r="Q1516" s="40" t="str">
        <f>IF(OR(T1516=0,RIGHT(T1516,1)=$W$1),"",COUNTIF($T$3:T1516,T1516))</f>
        <v/>
      </c>
      <c r="S1516" s="6">
        <f t="shared" si="238"/>
        <v>0</v>
      </c>
      <c r="T1516" s="36">
        <f t="shared" si="239"/>
        <v>0</v>
      </c>
      <c r="V1516" s="6">
        <f t="shared" si="240"/>
        <v>0</v>
      </c>
      <c r="Y1516" s="8">
        <f t="shared" si="241"/>
        <v>46023</v>
      </c>
    </row>
    <row r="1517" spans="2:25" ht="18.75" x14ac:dyDescent="0.3">
      <c r="B1517" s="6">
        <f t="shared" si="233"/>
        <v>0</v>
      </c>
      <c r="C1517" s="6">
        <f t="shared" si="234"/>
        <v>0</v>
      </c>
      <c r="D1517" s="6" t="str">
        <f t="shared" si="235"/>
        <v/>
      </c>
      <c r="E1517" s="35" t="str">
        <f t="shared" si="232"/>
        <v/>
      </c>
      <c r="F1517" s="31"/>
      <c r="G1517" s="29"/>
      <c r="H1517" s="78" t="str">
        <f t="shared" si="236"/>
        <v/>
      </c>
      <c r="I1517" s="25"/>
      <c r="J1517" s="25"/>
      <c r="K1517" s="26"/>
      <c r="L1517" s="26"/>
      <c r="M1517" s="37"/>
      <c r="N1517" s="27"/>
      <c r="O1517" s="30"/>
      <c r="P1517" s="39" t="str">
        <f t="shared" si="237"/>
        <v/>
      </c>
      <c r="Q1517" s="40" t="str">
        <f>IF(OR(T1517=0,RIGHT(T1517,1)=$W$1),"",COUNTIF($T$3:T1517,T1517))</f>
        <v/>
      </c>
      <c r="S1517" s="6">
        <f t="shared" si="238"/>
        <v>0</v>
      </c>
      <c r="T1517" s="36">
        <f t="shared" si="239"/>
        <v>0</v>
      </c>
      <c r="V1517" s="6">
        <f t="shared" si="240"/>
        <v>0</v>
      </c>
      <c r="Y1517" s="8">
        <f t="shared" si="241"/>
        <v>46023</v>
      </c>
    </row>
    <row r="1518" spans="2:25" ht="18.75" x14ac:dyDescent="0.3">
      <c r="B1518" s="6">
        <f t="shared" si="233"/>
        <v>0</v>
      </c>
      <c r="C1518" s="6">
        <f t="shared" si="234"/>
        <v>0</v>
      </c>
      <c r="D1518" s="6" t="str">
        <f t="shared" si="235"/>
        <v/>
      </c>
      <c r="E1518" s="35" t="str">
        <f t="shared" si="232"/>
        <v/>
      </c>
      <c r="F1518" s="31"/>
      <c r="G1518" s="29"/>
      <c r="H1518" s="78" t="str">
        <f t="shared" si="236"/>
        <v/>
      </c>
      <c r="I1518" s="25"/>
      <c r="J1518" s="25"/>
      <c r="K1518" s="26"/>
      <c r="L1518" s="26"/>
      <c r="M1518" s="37"/>
      <c r="N1518" s="27"/>
      <c r="O1518" s="30"/>
      <c r="P1518" s="39" t="str">
        <f t="shared" si="237"/>
        <v/>
      </c>
      <c r="Q1518" s="40" t="str">
        <f>IF(OR(T1518=0,RIGHT(T1518,1)=$W$1),"",COUNTIF($T$3:T1518,T1518))</f>
        <v/>
      </c>
      <c r="S1518" s="6">
        <f t="shared" si="238"/>
        <v>0</v>
      </c>
      <c r="T1518" s="36">
        <f t="shared" si="239"/>
        <v>0</v>
      </c>
      <c r="V1518" s="6">
        <f t="shared" si="240"/>
        <v>0</v>
      </c>
      <c r="Y1518" s="8">
        <f t="shared" si="241"/>
        <v>46023</v>
      </c>
    </row>
    <row r="1519" spans="2:25" ht="18.75" x14ac:dyDescent="0.3">
      <c r="B1519" s="6">
        <f t="shared" si="233"/>
        <v>0</v>
      </c>
      <c r="C1519" s="6">
        <f t="shared" si="234"/>
        <v>0</v>
      </c>
      <c r="D1519" s="6" t="str">
        <f t="shared" si="235"/>
        <v/>
      </c>
      <c r="E1519" s="35" t="str">
        <f t="shared" si="232"/>
        <v/>
      </c>
      <c r="F1519" s="31"/>
      <c r="G1519" s="29"/>
      <c r="H1519" s="78" t="str">
        <f t="shared" si="236"/>
        <v/>
      </c>
      <c r="I1519" s="25"/>
      <c r="J1519" s="25"/>
      <c r="K1519" s="26"/>
      <c r="L1519" s="26"/>
      <c r="M1519" s="37"/>
      <c r="N1519" s="27"/>
      <c r="O1519" s="30"/>
      <c r="P1519" s="39" t="str">
        <f t="shared" si="237"/>
        <v/>
      </c>
      <c r="Q1519" s="40" t="str">
        <f>IF(OR(T1519=0,RIGHT(T1519,1)=$W$1),"",COUNTIF($T$3:T1519,T1519))</f>
        <v/>
      </c>
      <c r="S1519" s="6">
        <f t="shared" si="238"/>
        <v>0</v>
      </c>
      <c r="T1519" s="36">
        <f t="shared" si="239"/>
        <v>0</v>
      </c>
      <c r="V1519" s="6">
        <f t="shared" si="240"/>
        <v>0</v>
      </c>
      <c r="Y1519" s="8">
        <f t="shared" si="241"/>
        <v>46023</v>
      </c>
    </row>
    <row r="1520" spans="2:25" ht="18.75" x14ac:dyDescent="0.3">
      <c r="B1520" s="6">
        <f t="shared" si="233"/>
        <v>0</v>
      </c>
      <c r="C1520" s="6">
        <f t="shared" si="234"/>
        <v>0</v>
      </c>
      <c r="D1520" s="6" t="str">
        <f t="shared" si="235"/>
        <v/>
      </c>
      <c r="E1520" s="35" t="str">
        <f t="shared" si="232"/>
        <v/>
      </c>
      <c r="F1520" s="31"/>
      <c r="G1520" s="29"/>
      <c r="H1520" s="78" t="str">
        <f t="shared" si="236"/>
        <v/>
      </c>
      <c r="I1520" s="25"/>
      <c r="J1520" s="25"/>
      <c r="K1520" s="26"/>
      <c r="L1520" s="26"/>
      <c r="M1520" s="37"/>
      <c r="N1520" s="27"/>
      <c r="O1520" s="30"/>
      <c r="P1520" s="39" t="str">
        <f t="shared" si="237"/>
        <v/>
      </c>
      <c r="Q1520" s="40" t="str">
        <f>IF(OR(T1520=0,RIGHT(T1520,1)=$W$1),"",COUNTIF($T$3:T1520,T1520))</f>
        <v/>
      </c>
      <c r="S1520" s="6">
        <f t="shared" si="238"/>
        <v>0</v>
      </c>
      <c r="T1520" s="36">
        <f t="shared" si="239"/>
        <v>0</v>
      </c>
      <c r="V1520" s="6">
        <f t="shared" si="240"/>
        <v>0</v>
      </c>
      <c r="Y1520" s="8">
        <f t="shared" si="241"/>
        <v>46023</v>
      </c>
    </row>
    <row r="1521" spans="2:25" ht="18.75" x14ac:dyDescent="0.3">
      <c r="B1521" s="6">
        <f t="shared" si="233"/>
        <v>0</v>
      </c>
      <c r="C1521" s="6">
        <f t="shared" si="234"/>
        <v>0</v>
      </c>
      <c r="D1521" s="6" t="str">
        <f t="shared" si="235"/>
        <v/>
      </c>
      <c r="E1521" s="35" t="str">
        <f t="shared" si="232"/>
        <v/>
      </c>
      <c r="F1521" s="31"/>
      <c r="G1521" s="29"/>
      <c r="H1521" s="78" t="str">
        <f t="shared" si="236"/>
        <v/>
      </c>
      <c r="I1521" s="25"/>
      <c r="J1521" s="25"/>
      <c r="K1521" s="26"/>
      <c r="L1521" s="26"/>
      <c r="M1521" s="37"/>
      <c r="N1521" s="27"/>
      <c r="O1521" s="30"/>
      <c r="P1521" s="39" t="str">
        <f t="shared" si="237"/>
        <v/>
      </c>
      <c r="Q1521" s="40" t="str">
        <f>IF(OR(T1521=0,RIGHT(T1521,1)=$W$1),"",COUNTIF($T$3:T1521,T1521))</f>
        <v/>
      </c>
      <c r="S1521" s="6">
        <f t="shared" si="238"/>
        <v>0</v>
      </c>
      <c r="T1521" s="36">
        <f t="shared" si="239"/>
        <v>0</v>
      </c>
      <c r="V1521" s="6">
        <f t="shared" si="240"/>
        <v>0</v>
      </c>
      <c r="Y1521" s="8">
        <f t="shared" si="241"/>
        <v>46023</v>
      </c>
    </row>
    <row r="1522" spans="2:25" ht="18.75" x14ac:dyDescent="0.3">
      <c r="B1522" s="6">
        <f t="shared" si="233"/>
        <v>0</v>
      </c>
      <c r="C1522" s="6">
        <f t="shared" si="234"/>
        <v>0</v>
      </c>
      <c r="D1522" s="6" t="str">
        <f t="shared" si="235"/>
        <v/>
      </c>
      <c r="E1522" s="35" t="str">
        <f t="shared" si="232"/>
        <v/>
      </c>
      <c r="F1522" s="31"/>
      <c r="G1522" s="29"/>
      <c r="H1522" s="78" t="str">
        <f t="shared" si="236"/>
        <v/>
      </c>
      <c r="I1522" s="25"/>
      <c r="J1522" s="25"/>
      <c r="K1522" s="26"/>
      <c r="L1522" s="26"/>
      <c r="M1522" s="37"/>
      <c r="N1522" s="27"/>
      <c r="O1522" s="30"/>
      <c r="P1522" s="39" t="str">
        <f t="shared" si="237"/>
        <v/>
      </c>
      <c r="Q1522" s="40" t="str">
        <f>IF(OR(T1522=0,RIGHT(T1522,1)=$W$1),"",COUNTIF($T$3:T1522,T1522))</f>
        <v/>
      </c>
      <c r="S1522" s="6">
        <f t="shared" si="238"/>
        <v>0</v>
      </c>
      <c r="T1522" s="36">
        <f t="shared" si="239"/>
        <v>0</v>
      </c>
      <c r="V1522" s="6">
        <f t="shared" si="240"/>
        <v>0</v>
      </c>
      <c r="Y1522" s="8">
        <f t="shared" si="241"/>
        <v>46023</v>
      </c>
    </row>
    <row r="1523" spans="2:25" ht="18.75" x14ac:dyDescent="0.3">
      <c r="B1523" s="6">
        <f t="shared" si="233"/>
        <v>0</v>
      </c>
      <c r="C1523" s="6">
        <f t="shared" si="234"/>
        <v>0</v>
      </c>
      <c r="D1523" s="6" t="str">
        <f t="shared" si="235"/>
        <v/>
      </c>
      <c r="E1523" s="35" t="str">
        <f t="shared" si="232"/>
        <v/>
      </c>
      <c r="F1523" s="31"/>
      <c r="G1523" s="29"/>
      <c r="H1523" s="78" t="str">
        <f t="shared" si="236"/>
        <v/>
      </c>
      <c r="I1523" s="25"/>
      <c r="J1523" s="25"/>
      <c r="K1523" s="26"/>
      <c r="L1523" s="26"/>
      <c r="M1523" s="37"/>
      <c r="N1523" s="27"/>
      <c r="O1523" s="30"/>
      <c r="P1523" s="39" t="str">
        <f t="shared" si="237"/>
        <v/>
      </c>
      <c r="Q1523" s="40" t="str">
        <f>IF(OR(T1523=0,RIGHT(T1523,1)=$W$1),"",COUNTIF($T$3:T1523,T1523))</f>
        <v/>
      </c>
      <c r="S1523" s="6">
        <f t="shared" si="238"/>
        <v>0</v>
      </c>
      <c r="T1523" s="36">
        <f t="shared" si="239"/>
        <v>0</v>
      </c>
      <c r="V1523" s="6">
        <f t="shared" si="240"/>
        <v>0</v>
      </c>
      <c r="Y1523" s="8">
        <f t="shared" si="241"/>
        <v>46023</v>
      </c>
    </row>
    <row r="1524" spans="2:25" ht="18.75" x14ac:dyDescent="0.3">
      <c r="B1524" s="6">
        <f t="shared" si="233"/>
        <v>0</v>
      </c>
      <c r="C1524" s="6">
        <f t="shared" si="234"/>
        <v>0</v>
      </c>
      <c r="D1524" s="6" t="str">
        <f t="shared" si="235"/>
        <v/>
      </c>
      <c r="E1524" s="35" t="str">
        <f t="shared" si="232"/>
        <v/>
      </c>
      <c r="F1524" s="31"/>
      <c r="G1524" s="29"/>
      <c r="H1524" s="78" t="str">
        <f t="shared" si="236"/>
        <v/>
      </c>
      <c r="I1524" s="25"/>
      <c r="J1524" s="25"/>
      <c r="K1524" s="26"/>
      <c r="L1524" s="26"/>
      <c r="M1524" s="37"/>
      <c r="N1524" s="27"/>
      <c r="O1524" s="30"/>
      <c r="P1524" s="39" t="str">
        <f t="shared" si="237"/>
        <v/>
      </c>
      <c r="Q1524" s="40" t="str">
        <f>IF(OR(T1524=0,RIGHT(T1524,1)=$W$1),"",COUNTIF($T$3:T1524,T1524))</f>
        <v/>
      </c>
      <c r="S1524" s="6">
        <f t="shared" si="238"/>
        <v>0</v>
      </c>
      <c r="T1524" s="36">
        <f t="shared" si="239"/>
        <v>0</v>
      </c>
      <c r="V1524" s="6">
        <f t="shared" si="240"/>
        <v>0</v>
      </c>
      <c r="Y1524" s="8">
        <f t="shared" si="241"/>
        <v>46023</v>
      </c>
    </row>
    <row r="1525" spans="2:25" ht="18.75" x14ac:dyDescent="0.3">
      <c r="B1525" s="6">
        <f t="shared" si="233"/>
        <v>0</v>
      </c>
      <c r="C1525" s="6">
        <f t="shared" si="234"/>
        <v>0</v>
      </c>
      <c r="D1525" s="6" t="str">
        <f t="shared" si="235"/>
        <v/>
      </c>
      <c r="E1525" s="35" t="str">
        <f t="shared" si="232"/>
        <v/>
      </c>
      <c r="F1525" s="31"/>
      <c r="G1525" s="29"/>
      <c r="H1525" s="78" t="str">
        <f t="shared" si="236"/>
        <v/>
      </c>
      <c r="I1525" s="25"/>
      <c r="J1525" s="25"/>
      <c r="K1525" s="26"/>
      <c r="L1525" s="26"/>
      <c r="M1525" s="37"/>
      <c r="N1525" s="27"/>
      <c r="O1525" s="30"/>
      <c r="P1525" s="39" t="str">
        <f t="shared" si="237"/>
        <v/>
      </c>
      <c r="Q1525" s="40" t="str">
        <f>IF(OR(T1525=0,RIGHT(T1525,1)=$W$1),"",COUNTIF($T$3:T1525,T1525))</f>
        <v/>
      </c>
      <c r="S1525" s="6">
        <f t="shared" si="238"/>
        <v>0</v>
      </c>
      <c r="T1525" s="36">
        <f t="shared" si="239"/>
        <v>0</v>
      </c>
      <c r="V1525" s="6">
        <f t="shared" si="240"/>
        <v>0</v>
      </c>
      <c r="Y1525" s="8">
        <f t="shared" si="241"/>
        <v>46023</v>
      </c>
    </row>
    <row r="1526" spans="2:25" ht="18.75" x14ac:dyDescent="0.3">
      <c r="B1526" s="6">
        <f t="shared" si="233"/>
        <v>0</v>
      </c>
      <c r="C1526" s="6">
        <f t="shared" si="234"/>
        <v>0</v>
      </c>
      <c r="D1526" s="6" t="str">
        <f t="shared" si="235"/>
        <v/>
      </c>
      <c r="E1526" s="35" t="str">
        <f t="shared" si="232"/>
        <v/>
      </c>
      <c r="F1526" s="31"/>
      <c r="G1526" s="29"/>
      <c r="H1526" s="78" t="str">
        <f t="shared" si="236"/>
        <v/>
      </c>
      <c r="I1526" s="25"/>
      <c r="J1526" s="25"/>
      <c r="K1526" s="26"/>
      <c r="L1526" s="26"/>
      <c r="M1526" s="37"/>
      <c r="N1526" s="27"/>
      <c r="O1526" s="30"/>
      <c r="P1526" s="39" t="str">
        <f t="shared" si="237"/>
        <v/>
      </c>
      <c r="Q1526" s="40" t="str">
        <f>IF(OR(T1526=0,RIGHT(T1526,1)=$W$1),"",COUNTIF($T$3:T1526,T1526))</f>
        <v/>
      </c>
      <c r="S1526" s="6">
        <f t="shared" si="238"/>
        <v>0</v>
      </c>
      <c r="T1526" s="36">
        <f t="shared" si="239"/>
        <v>0</v>
      </c>
      <c r="V1526" s="6">
        <f t="shared" si="240"/>
        <v>0</v>
      </c>
      <c r="Y1526" s="8">
        <f t="shared" si="241"/>
        <v>46023</v>
      </c>
    </row>
    <row r="1527" spans="2:25" ht="18.75" x14ac:dyDescent="0.3">
      <c r="B1527" s="6">
        <f t="shared" si="233"/>
        <v>0</v>
      </c>
      <c r="C1527" s="6">
        <f t="shared" si="234"/>
        <v>0</v>
      </c>
      <c r="D1527" s="6" t="str">
        <f t="shared" si="235"/>
        <v/>
      </c>
      <c r="E1527" s="35" t="str">
        <f t="shared" si="232"/>
        <v/>
      </c>
      <c r="F1527" s="31"/>
      <c r="G1527" s="29"/>
      <c r="H1527" s="78" t="str">
        <f t="shared" si="236"/>
        <v/>
      </c>
      <c r="I1527" s="25"/>
      <c r="J1527" s="25"/>
      <c r="K1527" s="26"/>
      <c r="L1527" s="26"/>
      <c r="M1527" s="37"/>
      <c r="N1527" s="27"/>
      <c r="O1527" s="30"/>
      <c r="P1527" s="39" t="str">
        <f t="shared" si="237"/>
        <v/>
      </c>
      <c r="Q1527" s="40" t="str">
        <f>IF(OR(T1527=0,RIGHT(T1527,1)=$W$1),"",COUNTIF($T$3:T1527,T1527))</f>
        <v/>
      </c>
      <c r="S1527" s="6">
        <f t="shared" si="238"/>
        <v>0</v>
      </c>
      <c r="T1527" s="36">
        <f t="shared" si="239"/>
        <v>0</v>
      </c>
      <c r="V1527" s="6">
        <f t="shared" si="240"/>
        <v>0</v>
      </c>
      <c r="Y1527" s="8">
        <f t="shared" si="241"/>
        <v>46023</v>
      </c>
    </row>
    <row r="1528" spans="2:25" ht="18.75" x14ac:dyDescent="0.3">
      <c r="B1528" s="6">
        <f t="shared" si="233"/>
        <v>0</v>
      </c>
      <c r="C1528" s="6">
        <f t="shared" si="234"/>
        <v>0</v>
      </c>
      <c r="D1528" s="6" t="str">
        <f t="shared" si="235"/>
        <v/>
      </c>
      <c r="E1528" s="35" t="str">
        <f t="shared" si="232"/>
        <v/>
      </c>
      <c r="F1528" s="31"/>
      <c r="G1528" s="29"/>
      <c r="H1528" s="78" t="str">
        <f t="shared" si="236"/>
        <v/>
      </c>
      <c r="I1528" s="25"/>
      <c r="J1528" s="25"/>
      <c r="K1528" s="26"/>
      <c r="L1528" s="26"/>
      <c r="M1528" s="37"/>
      <c r="N1528" s="27"/>
      <c r="O1528" s="30"/>
      <c r="P1528" s="39" t="str">
        <f t="shared" si="237"/>
        <v/>
      </c>
      <c r="Q1528" s="40" t="str">
        <f>IF(OR(T1528=0,RIGHT(T1528,1)=$W$1),"",COUNTIF($T$3:T1528,T1528))</f>
        <v/>
      </c>
      <c r="S1528" s="6">
        <f t="shared" si="238"/>
        <v>0</v>
      </c>
      <c r="T1528" s="36">
        <f t="shared" si="239"/>
        <v>0</v>
      </c>
      <c r="V1528" s="6">
        <f t="shared" si="240"/>
        <v>0</v>
      </c>
      <c r="Y1528" s="8">
        <f t="shared" si="241"/>
        <v>46023</v>
      </c>
    </row>
    <row r="1529" spans="2:25" ht="18.75" x14ac:dyDescent="0.3">
      <c r="B1529" s="6">
        <f t="shared" si="233"/>
        <v>0</v>
      </c>
      <c r="C1529" s="6">
        <f t="shared" si="234"/>
        <v>0</v>
      </c>
      <c r="D1529" s="6" t="str">
        <f t="shared" si="235"/>
        <v/>
      </c>
      <c r="E1529" s="35" t="str">
        <f t="shared" si="232"/>
        <v/>
      </c>
      <c r="F1529" s="31"/>
      <c r="G1529" s="29"/>
      <c r="H1529" s="78" t="str">
        <f t="shared" si="236"/>
        <v/>
      </c>
      <c r="I1529" s="25"/>
      <c r="J1529" s="25"/>
      <c r="K1529" s="26"/>
      <c r="L1529" s="26"/>
      <c r="M1529" s="37"/>
      <c r="N1529" s="27"/>
      <c r="O1529" s="30"/>
      <c r="P1529" s="39" t="str">
        <f t="shared" si="237"/>
        <v/>
      </c>
      <c r="Q1529" s="40" t="str">
        <f>IF(OR(T1529=0,RIGHT(T1529,1)=$W$1),"",COUNTIF($T$3:T1529,T1529))</f>
        <v/>
      </c>
      <c r="S1529" s="6">
        <f t="shared" si="238"/>
        <v>0</v>
      </c>
      <c r="T1529" s="36">
        <f t="shared" si="239"/>
        <v>0</v>
      </c>
      <c r="V1529" s="6">
        <f t="shared" si="240"/>
        <v>0</v>
      </c>
      <c r="Y1529" s="8">
        <f t="shared" si="241"/>
        <v>46023</v>
      </c>
    </row>
    <row r="1530" spans="2:25" ht="18.75" x14ac:dyDescent="0.3">
      <c r="B1530" s="6">
        <f t="shared" si="233"/>
        <v>0</v>
      </c>
      <c r="C1530" s="6">
        <f t="shared" si="234"/>
        <v>0</v>
      </c>
      <c r="D1530" s="6" t="str">
        <f t="shared" si="235"/>
        <v/>
      </c>
      <c r="E1530" s="35" t="str">
        <f t="shared" si="232"/>
        <v/>
      </c>
      <c r="F1530" s="31"/>
      <c r="G1530" s="29"/>
      <c r="H1530" s="78" t="str">
        <f t="shared" si="236"/>
        <v/>
      </c>
      <c r="I1530" s="25"/>
      <c r="J1530" s="25"/>
      <c r="K1530" s="26"/>
      <c r="L1530" s="26"/>
      <c r="M1530" s="37"/>
      <c r="N1530" s="27"/>
      <c r="O1530" s="30"/>
      <c r="P1530" s="39" t="str">
        <f t="shared" si="237"/>
        <v/>
      </c>
      <c r="Q1530" s="40" t="str">
        <f>IF(OR(T1530=0,RIGHT(T1530,1)=$W$1),"",COUNTIF($T$3:T1530,T1530))</f>
        <v/>
      </c>
      <c r="S1530" s="6">
        <f t="shared" si="238"/>
        <v>0</v>
      </c>
      <c r="T1530" s="36">
        <f t="shared" si="239"/>
        <v>0</v>
      </c>
      <c r="V1530" s="6">
        <f t="shared" si="240"/>
        <v>0</v>
      </c>
      <c r="Y1530" s="8">
        <f t="shared" si="241"/>
        <v>46023</v>
      </c>
    </row>
    <row r="1531" spans="2:25" ht="18.75" x14ac:dyDescent="0.3">
      <c r="B1531" s="6">
        <f t="shared" si="233"/>
        <v>0</v>
      </c>
      <c r="C1531" s="6">
        <f t="shared" si="234"/>
        <v>0</v>
      </c>
      <c r="D1531" s="6" t="str">
        <f t="shared" si="235"/>
        <v/>
      </c>
      <c r="E1531" s="35" t="str">
        <f t="shared" si="232"/>
        <v/>
      </c>
      <c r="F1531" s="31"/>
      <c r="G1531" s="29"/>
      <c r="H1531" s="78" t="str">
        <f t="shared" si="236"/>
        <v/>
      </c>
      <c r="I1531" s="25"/>
      <c r="J1531" s="25"/>
      <c r="K1531" s="26"/>
      <c r="L1531" s="26"/>
      <c r="M1531" s="37"/>
      <c r="N1531" s="27"/>
      <c r="O1531" s="30"/>
      <c r="P1531" s="39" t="str">
        <f t="shared" si="237"/>
        <v/>
      </c>
      <c r="Q1531" s="40" t="str">
        <f>IF(OR(T1531=0,RIGHT(T1531,1)=$W$1),"",COUNTIF($T$3:T1531,T1531))</f>
        <v/>
      </c>
      <c r="S1531" s="6">
        <f t="shared" si="238"/>
        <v>0</v>
      </c>
      <c r="T1531" s="36">
        <f t="shared" si="239"/>
        <v>0</v>
      </c>
      <c r="V1531" s="6">
        <f t="shared" si="240"/>
        <v>0</v>
      </c>
      <c r="Y1531" s="8">
        <f t="shared" si="241"/>
        <v>46023</v>
      </c>
    </row>
    <row r="1532" spans="2:25" ht="18.75" x14ac:dyDescent="0.3">
      <c r="B1532" s="6">
        <f t="shared" si="233"/>
        <v>0</v>
      </c>
      <c r="C1532" s="6">
        <f t="shared" si="234"/>
        <v>0</v>
      </c>
      <c r="D1532" s="6" t="str">
        <f t="shared" si="235"/>
        <v/>
      </c>
      <c r="E1532" s="35" t="str">
        <f t="shared" si="232"/>
        <v/>
      </c>
      <c r="F1532" s="31"/>
      <c r="G1532" s="29"/>
      <c r="H1532" s="78" t="str">
        <f t="shared" si="236"/>
        <v/>
      </c>
      <c r="I1532" s="25"/>
      <c r="J1532" s="25"/>
      <c r="K1532" s="26"/>
      <c r="L1532" s="26"/>
      <c r="M1532" s="37"/>
      <c r="N1532" s="27"/>
      <c r="O1532" s="30"/>
      <c r="P1532" s="39" t="str">
        <f t="shared" si="237"/>
        <v/>
      </c>
      <c r="Q1532" s="40" t="str">
        <f>IF(OR(T1532=0,RIGHT(T1532,1)=$W$1),"",COUNTIF($T$3:T1532,T1532))</f>
        <v/>
      </c>
      <c r="S1532" s="6">
        <f t="shared" si="238"/>
        <v>0</v>
      </c>
      <c r="T1532" s="36">
        <f t="shared" si="239"/>
        <v>0</v>
      </c>
      <c r="V1532" s="6">
        <f t="shared" si="240"/>
        <v>0</v>
      </c>
      <c r="Y1532" s="8">
        <f t="shared" si="241"/>
        <v>46023</v>
      </c>
    </row>
    <row r="1533" spans="2:25" ht="18.75" x14ac:dyDescent="0.3">
      <c r="B1533" s="6">
        <f t="shared" si="233"/>
        <v>0</v>
      </c>
      <c r="C1533" s="6">
        <f t="shared" si="234"/>
        <v>0</v>
      </c>
      <c r="D1533" s="6" t="str">
        <f t="shared" si="235"/>
        <v/>
      </c>
      <c r="E1533" s="35" t="str">
        <f t="shared" si="232"/>
        <v/>
      </c>
      <c r="F1533" s="31"/>
      <c r="G1533" s="29"/>
      <c r="H1533" s="78" t="str">
        <f t="shared" si="236"/>
        <v/>
      </c>
      <c r="I1533" s="25"/>
      <c r="J1533" s="25"/>
      <c r="K1533" s="26"/>
      <c r="L1533" s="26"/>
      <c r="M1533" s="37"/>
      <c r="N1533" s="27"/>
      <c r="O1533" s="30"/>
      <c r="P1533" s="39" t="str">
        <f t="shared" si="237"/>
        <v/>
      </c>
      <c r="Q1533" s="40" t="str">
        <f>IF(OR(T1533=0,RIGHT(T1533,1)=$W$1),"",COUNTIF($T$3:T1533,T1533))</f>
        <v/>
      </c>
      <c r="S1533" s="6">
        <f t="shared" si="238"/>
        <v>0</v>
      </c>
      <c r="T1533" s="36">
        <f t="shared" si="239"/>
        <v>0</v>
      </c>
      <c r="V1533" s="6">
        <f t="shared" si="240"/>
        <v>0</v>
      </c>
      <c r="Y1533" s="8">
        <f t="shared" si="241"/>
        <v>46023</v>
      </c>
    </row>
    <row r="1534" spans="2:25" ht="18.75" x14ac:dyDescent="0.3">
      <c r="B1534" s="6">
        <f t="shared" si="233"/>
        <v>0</v>
      </c>
      <c r="C1534" s="6">
        <f t="shared" si="234"/>
        <v>0</v>
      </c>
      <c r="D1534" s="6" t="str">
        <f t="shared" si="235"/>
        <v/>
      </c>
      <c r="E1534" s="35" t="str">
        <f t="shared" si="232"/>
        <v/>
      </c>
      <c r="F1534" s="31"/>
      <c r="G1534" s="29"/>
      <c r="H1534" s="78" t="str">
        <f t="shared" si="236"/>
        <v/>
      </c>
      <c r="I1534" s="25"/>
      <c r="J1534" s="25"/>
      <c r="K1534" s="26"/>
      <c r="L1534" s="26"/>
      <c r="M1534" s="37"/>
      <c r="N1534" s="27"/>
      <c r="O1534" s="30"/>
      <c r="P1534" s="39" t="str">
        <f t="shared" si="237"/>
        <v/>
      </c>
      <c r="Q1534" s="40" t="str">
        <f>IF(OR(T1534=0,RIGHT(T1534,1)=$W$1),"",COUNTIF($T$3:T1534,T1534))</f>
        <v/>
      </c>
      <c r="S1534" s="6">
        <f t="shared" si="238"/>
        <v>0</v>
      </c>
      <c r="T1534" s="36">
        <f t="shared" si="239"/>
        <v>0</v>
      </c>
      <c r="V1534" s="6">
        <f t="shared" si="240"/>
        <v>0</v>
      </c>
      <c r="Y1534" s="8">
        <f t="shared" si="241"/>
        <v>46023</v>
      </c>
    </row>
    <row r="1535" spans="2:25" ht="18.75" x14ac:dyDescent="0.3">
      <c r="B1535" s="6">
        <f t="shared" si="233"/>
        <v>0</v>
      </c>
      <c r="C1535" s="6">
        <f t="shared" si="234"/>
        <v>0</v>
      </c>
      <c r="D1535" s="6" t="str">
        <f t="shared" si="235"/>
        <v/>
      </c>
      <c r="E1535" s="35" t="str">
        <f t="shared" si="232"/>
        <v/>
      </c>
      <c r="F1535" s="31"/>
      <c r="G1535" s="29"/>
      <c r="H1535" s="78" t="str">
        <f t="shared" si="236"/>
        <v/>
      </c>
      <c r="I1535" s="25"/>
      <c r="J1535" s="25"/>
      <c r="K1535" s="26"/>
      <c r="L1535" s="26"/>
      <c r="M1535" s="37"/>
      <c r="N1535" s="27"/>
      <c r="O1535" s="30"/>
      <c r="P1535" s="39" t="str">
        <f t="shared" si="237"/>
        <v/>
      </c>
      <c r="Q1535" s="40" t="str">
        <f>IF(OR(T1535=0,RIGHT(T1535,1)=$W$1),"",COUNTIF($T$3:T1535,T1535))</f>
        <v/>
      </c>
      <c r="S1535" s="6">
        <f t="shared" si="238"/>
        <v>0</v>
      </c>
      <c r="T1535" s="36">
        <f t="shared" si="239"/>
        <v>0</v>
      </c>
      <c r="V1535" s="6">
        <f t="shared" si="240"/>
        <v>0</v>
      </c>
      <c r="Y1535" s="8">
        <f t="shared" si="241"/>
        <v>46023</v>
      </c>
    </row>
    <row r="1536" spans="2:25" ht="18.75" x14ac:dyDescent="0.3">
      <c r="B1536" s="6">
        <f t="shared" si="233"/>
        <v>0</v>
      </c>
      <c r="C1536" s="6">
        <f t="shared" si="234"/>
        <v>0</v>
      </c>
      <c r="D1536" s="6" t="str">
        <f t="shared" si="235"/>
        <v/>
      </c>
      <c r="E1536" s="35" t="str">
        <f t="shared" si="232"/>
        <v/>
      </c>
      <c r="F1536" s="31"/>
      <c r="G1536" s="29"/>
      <c r="H1536" s="78" t="str">
        <f t="shared" si="236"/>
        <v/>
      </c>
      <c r="I1536" s="25"/>
      <c r="J1536" s="25"/>
      <c r="K1536" s="26"/>
      <c r="L1536" s="26"/>
      <c r="M1536" s="37"/>
      <c r="N1536" s="27"/>
      <c r="O1536" s="30"/>
      <c r="P1536" s="39" t="str">
        <f t="shared" si="237"/>
        <v/>
      </c>
      <c r="Q1536" s="40" t="str">
        <f>IF(OR(T1536=0,RIGHT(T1536,1)=$W$1),"",COUNTIF($T$3:T1536,T1536))</f>
        <v/>
      </c>
      <c r="S1536" s="6">
        <f t="shared" si="238"/>
        <v>0</v>
      </c>
      <c r="T1536" s="36">
        <f t="shared" si="239"/>
        <v>0</v>
      </c>
      <c r="V1536" s="6">
        <f t="shared" si="240"/>
        <v>0</v>
      </c>
      <c r="Y1536" s="8">
        <f t="shared" si="241"/>
        <v>46023</v>
      </c>
    </row>
    <row r="1537" spans="2:25" ht="18.75" x14ac:dyDescent="0.3">
      <c r="B1537" s="6">
        <f t="shared" si="233"/>
        <v>0</v>
      </c>
      <c r="C1537" s="6">
        <f t="shared" si="234"/>
        <v>0</v>
      </c>
      <c r="D1537" s="6" t="str">
        <f t="shared" si="235"/>
        <v/>
      </c>
      <c r="E1537" s="35" t="str">
        <f t="shared" si="232"/>
        <v/>
      </c>
      <c r="F1537" s="31"/>
      <c r="G1537" s="29"/>
      <c r="H1537" s="78" t="str">
        <f t="shared" si="236"/>
        <v/>
      </c>
      <c r="I1537" s="25"/>
      <c r="J1537" s="25"/>
      <c r="K1537" s="26"/>
      <c r="L1537" s="26"/>
      <c r="M1537" s="37"/>
      <c r="N1537" s="27"/>
      <c r="O1537" s="30"/>
      <c r="P1537" s="39" t="str">
        <f t="shared" si="237"/>
        <v/>
      </c>
      <c r="Q1537" s="40" t="str">
        <f>IF(OR(T1537=0,RIGHT(T1537,1)=$W$1),"",COUNTIF($T$3:T1537,T1537))</f>
        <v/>
      </c>
      <c r="S1537" s="6">
        <f t="shared" si="238"/>
        <v>0</v>
      </c>
      <c r="T1537" s="36">
        <f t="shared" si="239"/>
        <v>0</v>
      </c>
      <c r="V1537" s="6">
        <f t="shared" si="240"/>
        <v>0</v>
      </c>
      <c r="Y1537" s="8">
        <f t="shared" si="241"/>
        <v>46023</v>
      </c>
    </row>
    <row r="1538" spans="2:25" ht="18.75" x14ac:dyDescent="0.3">
      <c r="B1538" s="6">
        <f t="shared" si="233"/>
        <v>0</v>
      </c>
      <c r="C1538" s="6">
        <f t="shared" si="234"/>
        <v>0</v>
      </c>
      <c r="D1538" s="6" t="str">
        <f t="shared" si="235"/>
        <v/>
      </c>
      <c r="E1538" s="35" t="str">
        <f t="shared" si="232"/>
        <v/>
      </c>
      <c r="F1538" s="31"/>
      <c r="G1538" s="29"/>
      <c r="H1538" s="78" t="str">
        <f t="shared" si="236"/>
        <v/>
      </c>
      <c r="I1538" s="25"/>
      <c r="J1538" s="25"/>
      <c r="K1538" s="26"/>
      <c r="L1538" s="26"/>
      <c r="M1538" s="37"/>
      <c r="N1538" s="27"/>
      <c r="O1538" s="30"/>
      <c r="P1538" s="39" t="str">
        <f t="shared" si="237"/>
        <v/>
      </c>
      <c r="Q1538" s="40" t="str">
        <f>IF(OR(T1538=0,RIGHT(T1538,1)=$W$1),"",COUNTIF($T$3:T1538,T1538))</f>
        <v/>
      </c>
      <c r="S1538" s="6">
        <f t="shared" si="238"/>
        <v>0</v>
      </c>
      <c r="T1538" s="36">
        <f t="shared" si="239"/>
        <v>0</v>
      </c>
      <c r="V1538" s="6">
        <f t="shared" si="240"/>
        <v>0</v>
      </c>
      <c r="Y1538" s="8">
        <f t="shared" si="241"/>
        <v>46023</v>
      </c>
    </row>
    <row r="1539" spans="2:25" ht="18.75" x14ac:dyDescent="0.3">
      <c r="B1539" s="6">
        <f t="shared" si="233"/>
        <v>0</v>
      </c>
      <c r="C1539" s="6">
        <f t="shared" si="234"/>
        <v>0</v>
      </c>
      <c r="D1539" s="6" t="str">
        <f t="shared" si="235"/>
        <v/>
      </c>
      <c r="E1539" s="35" t="str">
        <f t="shared" ref="E1539:E1602" si="242">IF(D1539&lt;&gt;"",D1539&amp;" - "&amp;YEAR(F1539),"")</f>
        <v/>
      </c>
      <c r="F1539" s="31"/>
      <c r="G1539" s="29"/>
      <c r="H1539" s="78" t="str">
        <f t="shared" si="236"/>
        <v/>
      </c>
      <c r="I1539" s="25"/>
      <c r="J1539" s="25"/>
      <c r="K1539" s="26"/>
      <c r="L1539" s="26"/>
      <c r="M1539" s="37"/>
      <c r="N1539" s="27"/>
      <c r="O1539" s="30"/>
      <c r="P1539" s="39" t="str">
        <f t="shared" si="237"/>
        <v/>
      </c>
      <c r="Q1539" s="40" t="str">
        <f>IF(OR(T1539=0,RIGHT(T1539,1)=$W$1),"",COUNTIF($T$3:T1539,T1539))</f>
        <v/>
      </c>
      <c r="S1539" s="6">
        <f t="shared" si="238"/>
        <v>0</v>
      </c>
      <c r="T1539" s="36">
        <f t="shared" si="239"/>
        <v>0</v>
      </c>
      <c r="V1539" s="6">
        <f t="shared" si="240"/>
        <v>0</v>
      </c>
      <c r="Y1539" s="8">
        <f t="shared" si="241"/>
        <v>46023</v>
      </c>
    </row>
    <row r="1540" spans="2:25" ht="18.75" x14ac:dyDescent="0.3">
      <c r="B1540" s="6">
        <f t="shared" ref="B1540:B1603" si="243">IF($B$1=YEAR(F1540),B1539+1,B1539)</f>
        <v>0</v>
      </c>
      <c r="C1540" s="6">
        <f t="shared" ref="C1540:C1603" si="244">IF(AND($C$1=K1540,$Y$1=YEAR(F1540)),C1539+1,C1539)</f>
        <v>0</v>
      </c>
      <c r="D1540" s="6" t="str">
        <f t="shared" ref="D1540:D1603" si="245">IF(F1540&lt;&gt;0,IF(YEAR(F1540)&lt;&gt;YEAR(F1539),1,IF(M1540=$AI$1,D1539,D1539+1)),"")</f>
        <v/>
      </c>
      <c r="E1540" s="35" t="str">
        <f t="shared" si="242"/>
        <v/>
      </c>
      <c r="F1540" s="31"/>
      <c r="G1540" s="29"/>
      <c r="H1540" s="78" t="str">
        <f t="shared" ref="H1540:H1603" si="246">IF(G1540&lt;&gt;"",F1540,"")</f>
        <v/>
      </c>
      <c r="I1540" s="25"/>
      <c r="J1540" s="25"/>
      <c r="K1540" s="26"/>
      <c r="L1540" s="26"/>
      <c r="M1540" s="37"/>
      <c r="N1540" s="27"/>
      <c r="O1540" s="30"/>
      <c r="P1540" s="39" t="str">
        <f t="shared" ref="P1540:P1603" si="247">IF(OR(T1540=0,RIGHT(T1540,1)=$W$1),"",VLOOKUP(K1540,$AD$1:$AK$15,5,FALSE))</f>
        <v/>
      </c>
      <c r="Q1540" s="40" t="str">
        <f>IF(OR(T1540=0,RIGHT(T1540,1)=$W$1),"",COUNTIF($T$3:T1540,T1540))</f>
        <v/>
      </c>
      <c r="S1540" s="6">
        <f t="shared" ref="S1540:S1603" si="248">IF(AND($C$1=K1540,$Y$1=YEAR(F1540)),C1540,0)</f>
        <v>0</v>
      </c>
      <c r="T1540" s="36">
        <f t="shared" ref="T1540:T1603" si="249">IF(F1540=0,0,YEAR(F1540)&amp;VLOOKUP(K1540,$AD$1:$AE$15,2,FALSE))</f>
        <v>0</v>
      </c>
      <c r="V1540" s="6">
        <f t="shared" ref="V1540:V1603" si="250">IF(AND(YEAR(F1540)=$Y$1,K1540=$C$1,L1540&amp;$V$1&lt;&gt;$V$1),L1540,IF(AND(YEAR(F1540)=$Y$1,K1540=$C$1),1,0))</f>
        <v>0</v>
      </c>
      <c r="Y1540" s="8">
        <f t="shared" ref="Y1540:Y1603" si="251">IF(M1540&lt;&gt;$AI$1,$Y$2,F1539)</f>
        <v>46023</v>
      </c>
    </row>
    <row r="1541" spans="2:25" ht="18.75" x14ac:dyDescent="0.3">
      <c r="B1541" s="6">
        <f t="shared" si="243"/>
        <v>0</v>
      </c>
      <c r="C1541" s="6">
        <f t="shared" si="244"/>
        <v>0</v>
      </c>
      <c r="D1541" s="6" t="str">
        <f t="shared" si="245"/>
        <v/>
      </c>
      <c r="E1541" s="35" t="str">
        <f t="shared" si="242"/>
        <v/>
      </c>
      <c r="F1541" s="31"/>
      <c r="G1541" s="29"/>
      <c r="H1541" s="78" t="str">
        <f t="shared" si="246"/>
        <v/>
      </c>
      <c r="I1541" s="25"/>
      <c r="J1541" s="25"/>
      <c r="K1541" s="26"/>
      <c r="L1541" s="26"/>
      <c r="M1541" s="37"/>
      <c r="N1541" s="27"/>
      <c r="O1541" s="30"/>
      <c r="P1541" s="39" t="str">
        <f t="shared" si="247"/>
        <v/>
      </c>
      <c r="Q1541" s="40" t="str">
        <f>IF(OR(T1541=0,RIGHT(T1541,1)=$W$1),"",COUNTIF($T$3:T1541,T1541))</f>
        <v/>
      </c>
      <c r="S1541" s="6">
        <f t="shared" si="248"/>
        <v>0</v>
      </c>
      <c r="T1541" s="36">
        <f t="shared" si="249"/>
        <v>0</v>
      </c>
      <c r="V1541" s="6">
        <f t="shared" si="250"/>
        <v>0</v>
      </c>
      <c r="Y1541" s="8">
        <f t="shared" si="251"/>
        <v>46023</v>
      </c>
    </row>
    <row r="1542" spans="2:25" ht="18.75" x14ac:dyDescent="0.3">
      <c r="B1542" s="6">
        <f t="shared" si="243"/>
        <v>0</v>
      </c>
      <c r="C1542" s="6">
        <f t="shared" si="244"/>
        <v>0</v>
      </c>
      <c r="D1542" s="6" t="str">
        <f t="shared" si="245"/>
        <v/>
      </c>
      <c r="E1542" s="35" t="str">
        <f t="shared" si="242"/>
        <v/>
      </c>
      <c r="F1542" s="31"/>
      <c r="G1542" s="29"/>
      <c r="H1542" s="78" t="str">
        <f t="shared" si="246"/>
        <v/>
      </c>
      <c r="I1542" s="25"/>
      <c r="J1542" s="25"/>
      <c r="K1542" s="26"/>
      <c r="L1542" s="26"/>
      <c r="M1542" s="37"/>
      <c r="N1542" s="27"/>
      <c r="O1542" s="30"/>
      <c r="P1542" s="39" t="str">
        <f t="shared" si="247"/>
        <v/>
      </c>
      <c r="Q1542" s="40" t="str">
        <f>IF(OR(T1542=0,RIGHT(T1542,1)=$W$1),"",COUNTIF($T$3:T1542,T1542))</f>
        <v/>
      </c>
      <c r="S1542" s="6">
        <f t="shared" si="248"/>
        <v>0</v>
      </c>
      <c r="T1542" s="36">
        <f t="shared" si="249"/>
        <v>0</v>
      </c>
      <c r="V1542" s="6">
        <f t="shared" si="250"/>
        <v>0</v>
      </c>
      <c r="Y1542" s="8">
        <f t="shared" si="251"/>
        <v>46023</v>
      </c>
    </row>
    <row r="1543" spans="2:25" ht="18.75" x14ac:dyDescent="0.3">
      <c r="B1543" s="6">
        <f t="shared" si="243"/>
        <v>0</v>
      </c>
      <c r="C1543" s="6">
        <f t="shared" si="244"/>
        <v>0</v>
      </c>
      <c r="D1543" s="6" t="str">
        <f t="shared" si="245"/>
        <v/>
      </c>
      <c r="E1543" s="35" t="str">
        <f t="shared" si="242"/>
        <v/>
      </c>
      <c r="F1543" s="31"/>
      <c r="G1543" s="29"/>
      <c r="H1543" s="78" t="str">
        <f t="shared" si="246"/>
        <v/>
      </c>
      <c r="I1543" s="25"/>
      <c r="J1543" s="25"/>
      <c r="K1543" s="26"/>
      <c r="L1543" s="26"/>
      <c r="M1543" s="37"/>
      <c r="N1543" s="27"/>
      <c r="O1543" s="30"/>
      <c r="P1543" s="39" t="str">
        <f t="shared" si="247"/>
        <v/>
      </c>
      <c r="Q1543" s="40" t="str">
        <f>IF(OR(T1543=0,RIGHT(T1543,1)=$W$1),"",COUNTIF($T$3:T1543,T1543))</f>
        <v/>
      </c>
      <c r="S1543" s="6">
        <f t="shared" si="248"/>
        <v>0</v>
      </c>
      <c r="T1543" s="36">
        <f t="shared" si="249"/>
        <v>0</v>
      </c>
      <c r="V1543" s="6">
        <f t="shared" si="250"/>
        <v>0</v>
      </c>
      <c r="Y1543" s="8">
        <f t="shared" si="251"/>
        <v>46023</v>
      </c>
    </row>
    <row r="1544" spans="2:25" ht="18.75" x14ac:dyDescent="0.3">
      <c r="B1544" s="6">
        <f t="shared" si="243"/>
        <v>0</v>
      </c>
      <c r="C1544" s="6">
        <f t="shared" si="244"/>
        <v>0</v>
      </c>
      <c r="D1544" s="6" t="str">
        <f t="shared" si="245"/>
        <v/>
      </c>
      <c r="E1544" s="35" t="str">
        <f t="shared" si="242"/>
        <v/>
      </c>
      <c r="F1544" s="31"/>
      <c r="G1544" s="29"/>
      <c r="H1544" s="78" t="str">
        <f t="shared" si="246"/>
        <v/>
      </c>
      <c r="I1544" s="25"/>
      <c r="J1544" s="25"/>
      <c r="K1544" s="26"/>
      <c r="L1544" s="26"/>
      <c r="M1544" s="37"/>
      <c r="N1544" s="27"/>
      <c r="O1544" s="30"/>
      <c r="P1544" s="39" t="str">
        <f t="shared" si="247"/>
        <v/>
      </c>
      <c r="Q1544" s="40" t="str">
        <f>IF(OR(T1544=0,RIGHT(T1544,1)=$W$1),"",COUNTIF($T$3:T1544,T1544))</f>
        <v/>
      </c>
      <c r="S1544" s="6">
        <f t="shared" si="248"/>
        <v>0</v>
      </c>
      <c r="T1544" s="36">
        <f t="shared" si="249"/>
        <v>0</v>
      </c>
      <c r="V1544" s="6">
        <f t="shared" si="250"/>
        <v>0</v>
      </c>
      <c r="Y1544" s="8">
        <f t="shared" si="251"/>
        <v>46023</v>
      </c>
    </row>
    <row r="1545" spans="2:25" ht="18.75" x14ac:dyDescent="0.3">
      <c r="B1545" s="6">
        <f t="shared" si="243"/>
        <v>0</v>
      </c>
      <c r="C1545" s="6">
        <f t="shared" si="244"/>
        <v>0</v>
      </c>
      <c r="D1545" s="6" t="str">
        <f t="shared" si="245"/>
        <v/>
      </c>
      <c r="E1545" s="35" t="str">
        <f t="shared" si="242"/>
        <v/>
      </c>
      <c r="F1545" s="31"/>
      <c r="G1545" s="29"/>
      <c r="H1545" s="78" t="str">
        <f t="shared" si="246"/>
        <v/>
      </c>
      <c r="I1545" s="25"/>
      <c r="J1545" s="25"/>
      <c r="K1545" s="26"/>
      <c r="L1545" s="26"/>
      <c r="M1545" s="37"/>
      <c r="N1545" s="27"/>
      <c r="O1545" s="30"/>
      <c r="P1545" s="39" t="str">
        <f t="shared" si="247"/>
        <v/>
      </c>
      <c r="Q1545" s="40" t="str">
        <f>IF(OR(T1545=0,RIGHT(T1545,1)=$W$1),"",COUNTIF($T$3:T1545,T1545))</f>
        <v/>
      </c>
      <c r="S1545" s="6">
        <f t="shared" si="248"/>
        <v>0</v>
      </c>
      <c r="T1545" s="36">
        <f t="shared" si="249"/>
        <v>0</v>
      </c>
      <c r="V1545" s="6">
        <f t="shared" si="250"/>
        <v>0</v>
      </c>
      <c r="Y1545" s="8">
        <f t="shared" si="251"/>
        <v>46023</v>
      </c>
    </row>
    <row r="1546" spans="2:25" ht="18.75" x14ac:dyDescent="0.3">
      <c r="B1546" s="6">
        <f t="shared" si="243"/>
        <v>0</v>
      </c>
      <c r="C1546" s="6">
        <f t="shared" si="244"/>
        <v>0</v>
      </c>
      <c r="D1546" s="6" t="str">
        <f t="shared" si="245"/>
        <v/>
      </c>
      <c r="E1546" s="35" t="str">
        <f t="shared" si="242"/>
        <v/>
      </c>
      <c r="F1546" s="31"/>
      <c r="G1546" s="29"/>
      <c r="H1546" s="78" t="str">
        <f t="shared" si="246"/>
        <v/>
      </c>
      <c r="I1546" s="25"/>
      <c r="J1546" s="25"/>
      <c r="K1546" s="26"/>
      <c r="L1546" s="26"/>
      <c r="M1546" s="37"/>
      <c r="N1546" s="27"/>
      <c r="O1546" s="30"/>
      <c r="P1546" s="39" t="str">
        <f t="shared" si="247"/>
        <v/>
      </c>
      <c r="Q1546" s="40" t="str">
        <f>IF(OR(T1546=0,RIGHT(T1546,1)=$W$1),"",COUNTIF($T$3:T1546,T1546))</f>
        <v/>
      </c>
      <c r="S1546" s="6">
        <f t="shared" si="248"/>
        <v>0</v>
      </c>
      <c r="T1546" s="36">
        <f t="shared" si="249"/>
        <v>0</v>
      </c>
      <c r="V1546" s="6">
        <f t="shared" si="250"/>
        <v>0</v>
      </c>
      <c r="Y1546" s="8">
        <f t="shared" si="251"/>
        <v>46023</v>
      </c>
    </row>
    <row r="1547" spans="2:25" ht="18.75" x14ac:dyDescent="0.3">
      <c r="B1547" s="6">
        <f t="shared" si="243"/>
        <v>0</v>
      </c>
      <c r="C1547" s="6">
        <f t="shared" si="244"/>
        <v>0</v>
      </c>
      <c r="D1547" s="6" t="str">
        <f t="shared" si="245"/>
        <v/>
      </c>
      <c r="E1547" s="35" t="str">
        <f t="shared" si="242"/>
        <v/>
      </c>
      <c r="F1547" s="31"/>
      <c r="G1547" s="29"/>
      <c r="H1547" s="78" t="str">
        <f t="shared" si="246"/>
        <v/>
      </c>
      <c r="I1547" s="25"/>
      <c r="J1547" s="25"/>
      <c r="K1547" s="26"/>
      <c r="L1547" s="26"/>
      <c r="M1547" s="37"/>
      <c r="N1547" s="27"/>
      <c r="O1547" s="30"/>
      <c r="P1547" s="39" t="str">
        <f t="shared" si="247"/>
        <v/>
      </c>
      <c r="Q1547" s="40" t="str">
        <f>IF(OR(T1547=0,RIGHT(T1547,1)=$W$1),"",COUNTIF($T$3:T1547,T1547))</f>
        <v/>
      </c>
      <c r="S1547" s="6">
        <f t="shared" si="248"/>
        <v>0</v>
      </c>
      <c r="T1547" s="36">
        <f t="shared" si="249"/>
        <v>0</v>
      </c>
      <c r="V1547" s="6">
        <f t="shared" si="250"/>
        <v>0</v>
      </c>
      <c r="Y1547" s="8">
        <f t="shared" si="251"/>
        <v>46023</v>
      </c>
    </row>
    <row r="1548" spans="2:25" ht="18.75" x14ac:dyDescent="0.3">
      <c r="B1548" s="6">
        <f t="shared" si="243"/>
        <v>0</v>
      </c>
      <c r="C1548" s="6">
        <f t="shared" si="244"/>
        <v>0</v>
      </c>
      <c r="D1548" s="6" t="str">
        <f t="shared" si="245"/>
        <v/>
      </c>
      <c r="E1548" s="35" t="str">
        <f t="shared" si="242"/>
        <v/>
      </c>
      <c r="F1548" s="31"/>
      <c r="G1548" s="29"/>
      <c r="H1548" s="78" t="str">
        <f t="shared" si="246"/>
        <v/>
      </c>
      <c r="I1548" s="25"/>
      <c r="J1548" s="25"/>
      <c r="K1548" s="26"/>
      <c r="L1548" s="26"/>
      <c r="M1548" s="37"/>
      <c r="N1548" s="27"/>
      <c r="O1548" s="30"/>
      <c r="P1548" s="39" t="str">
        <f t="shared" si="247"/>
        <v/>
      </c>
      <c r="Q1548" s="40" t="str">
        <f>IF(OR(T1548=0,RIGHT(T1548,1)=$W$1),"",COUNTIF($T$3:T1548,T1548))</f>
        <v/>
      </c>
      <c r="S1548" s="6">
        <f t="shared" si="248"/>
        <v>0</v>
      </c>
      <c r="T1548" s="36">
        <f t="shared" si="249"/>
        <v>0</v>
      </c>
      <c r="V1548" s="6">
        <f t="shared" si="250"/>
        <v>0</v>
      </c>
      <c r="Y1548" s="8">
        <f t="shared" si="251"/>
        <v>46023</v>
      </c>
    </row>
    <row r="1549" spans="2:25" ht="18.75" x14ac:dyDescent="0.3">
      <c r="B1549" s="6">
        <f t="shared" si="243"/>
        <v>0</v>
      </c>
      <c r="C1549" s="6">
        <f t="shared" si="244"/>
        <v>0</v>
      </c>
      <c r="D1549" s="6" t="str">
        <f t="shared" si="245"/>
        <v/>
      </c>
      <c r="E1549" s="35" t="str">
        <f t="shared" si="242"/>
        <v/>
      </c>
      <c r="F1549" s="31"/>
      <c r="G1549" s="29"/>
      <c r="H1549" s="78" t="str">
        <f t="shared" si="246"/>
        <v/>
      </c>
      <c r="I1549" s="25"/>
      <c r="J1549" s="25"/>
      <c r="K1549" s="26"/>
      <c r="L1549" s="26"/>
      <c r="M1549" s="37"/>
      <c r="N1549" s="27"/>
      <c r="O1549" s="30"/>
      <c r="P1549" s="39" t="str">
        <f t="shared" si="247"/>
        <v/>
      </c>
      <c r="Q1549" s="40" t="str">
        <f>IF(OR(T1549=0,RIGHT(T1549,1)=$W$1),"",COUNTIF($T$3:T1549,T1549))</f>
        <v/>
      </c>
      <c r="S1549" s="6">
        <f t="shared" si="248"/>
        <v>0</v>
      </c>
      <c r="T1549" s="36">
        <f t="shared" si="249"/>
        <v>0</v>
      </c>
      <c r="V1549" s="6">
        <f t="shared" si="250"/>
        <v>0</v>
      </c>
      <c r="Y1549" s="8">
        <f t="shared" si="251"/>
        <v>46023</v>
      </c>
    </row>
    <row r="1550" spans="2:25" ht="18.75" x14ac:dyDescent="0.3">
      <c r="B1550" s="6">
        <f t="shared" si="243"/>
        <v>0</v>
      </c>
      <c r="C1550" s="6">
        <f t="shared" si="244"/>
        <v>0</v>
      </c>
      <c r="D1550" s="6" t="str">
        <f t="shared" si="245"/>
        <v/>
      </c>
      <c r="E1550" s="35" t="str">
        <f t="shared" si="242"/>
        <v/>
      </c>
      <c r="F1550" s="31"/>
      <c r="G1550" s="29"/>
      <c r="H1550" s="78" t="str">
        <f t="shared" si="246"/>
        <v/>
      </c>
      <c r="I1550" s="25"/>
      <c r="J1550" s="25"/>
      <c r="K1550" s="26"/>
      <c r="L1550" s="26"/>
      <c r="M1550" s="37"/>
      <c r="N1550" s="27"/>
      <c r="O1550" s="30"/>
      <c r="P1550" s="39" t="str">
        <f t="shared" si="247"/>
        <v/>
      </c>
      <c r="Q1550" s="40" t="str">
        <f>IF(OR(T1550=0,RIGHT(T1550,1)=$W$1),"",COUNTIF($T$3:T1550,T1550))</f>
        <v/>
      </c>
      <c r="S1550" s="6">
        <f t="shared" si="248"/>
        <v>0</v>
      </c>
      <c r="T1550" s="36">
        <f t="shared" si="249"/>
        <v>0</v>
      </c>
      <c r="V1550" s="6">
        <f t="shared" si="250"/>
        <v>0</v>
      </c>
      <c r="Y1550" s="8">
        <f t="shared" si="251"/>
        <v>46023</v>
      </c>
    </row>
    <row r="1551" spans="2:25" ht="18.75" x14ac:dyDescent="0.3">
      <c r="B1551" s="6">
        <f t="shared" si="243"/>
        <v>0</v>
      </c>
      <c r="C1551" s="6">
        <f t="shared" si="244"/>
        <v>0</v>
      </c>
      <c r="D1551" s="6" t="str">
        <f t="shared" si="245"/>
        <v/>
      </c>
      <c r="E1551" s="35" t="str">
        <f t="shared" si="242"/>
        <v/>
      </c>
      <c r="F1551" s="31"/>
      <c r="G1551" s="29"/>
      <c r="H1551" s="78" t="str">
        <f t="shared" si="246"/>
        <v/>
      </c>
      <c r="I1551" s="25"/>
      <c r="J1551" s="25"/>
      <c r="K1551" s="26"/>
      <c r="L1551" s="26"/>
      <c r="M1551" s="37"/>
      <c r="N1551" s="27"/>
      <c r="O1551" s="30"/>
      <c r="P1551" s="39" t="str">
        <f t="shared" si="247"/>
        <v/>
      </c>
      <c r="Q1551" s="40" t="str">
        <f>IF(OR(T1551=0,RIGHT(T1551,1)=$W$1),"",COUNTIF($T$3:T1551,T1551))</f>
        <v/>
      </c>
      <c r="S1551" s="6">
        <f t="shared" si="248"/>
        <v>0</v>
      </c>
      <c r="T1551" s="36">
        <f t="shared" si="249"/>
        <v>0</v>
      </c>
      <c r="V1551" s="6">
        <f t="shared" si="250"/>
        <v>0</v>
      </c>
      <c r="Y1551" s="8">
        <f t="shared" si="251"/>
        <v>46023</v>
      </c>
    </row>
    <row r="1552" spans="2:25" ht="18.75" x14ac:dyDescent="0.3">
      <c r="B1552" s="6">
        <f t="shared" si="243"/>
        <v>0</v>
      </c>
      <c r="C1552" s="6">
        <f t="shared" si="244"/>
        <v>0</v>
      </c>
      <c r="D1552" s="6" t="str">
        <f t="shared" si="245"/>
        <v/>
      </c>
      <c r="E1552" s="35" t="str">
        <f t="shared" si="242"/>
        <v/>
      </c>
      <c r="F1552" s="31"/>
      <c r="G1552" s="29"/>
      <c r="H1552" s="78" t="str">
        <f t="shared" si="246"/>
        <v/>
      </c>
      <c r="I1552" s="25"/>
      <c r="J1552" s="25"/>
      <c r="K1552" s="26"/>
      <c r="L1552" s="26"/>
      <c r="M1552" s="37"/>
      <c r="N1552" s="27"/>
      <c r="O1552" s="30"/>
      <c r="P1552" s="39" t="str">
        <f t="shared" si="247"/>
        <v/>
      </c>
      <c r="Q1552" s="40" t="str">
        <f>IF(OR(T1552=0,RIGHT(T1552,1)=$W$1),"",COUNTIF($T$3:T1552,T1552))</f>
        <v/>
      </c>
      <c r="S1552" s="6">
        <f t="shared" si="248"/>
        <v>0</v>
      </c>
      <c r="T1552" s="36">
        <f t="shared" si="249"/>
        <v>0</v>
      </c>
      <c r="V1552" s="6">
        <f t="shared" si="250"/>
        <v>0</v>
      </c>
      <c r="Y1552" s="8">
        <f t="shared" si="251"/>
        <v>46023</v>
      </c>
    </row>
    <row r="1553" spans="2:25" ht="18.75" x14ac:dyDescent="0.3">
      <c r="B1553" s="6">
        <f t="shared" si="243"/>
        <v>0</v>
      </c>
      <c r="C1553" s="6">
        <f t="shared" si="244"/>
        <v>0</v>
      </c>
      <c r="D1553" s="6" t="str">
        <f t="shared" si="245"/>
        <v/>
      </c>
      <c r="E1553" s="35" t="str">
        <f t="shared" si="242"/>
        <v/>
      </c>
      <c r="F1553" s="31"/>
      <c r="G1553" s="29"/>
      <c r="H1553" s="78" t="str">
        <f t="shared" si="246"/>
        <v/>
      </c>
      <c r="I1553" s="25"/>
      <c r="J1553" s="25"/>
      <c r="K1553" s="26"/>
      <c r="L1553" s="26"/>
      <c r="M1553" s="37"/>
      <c r="N1553" s="27"/>
      <c r="O1553" s="30"/>
      <c r="P1553" s="39" t="str">
        <f t="shared" si="247"/>
        <v/>
      </c>
      <c r="Q1553" s="40" t="str">
        <f>IF(OR(T1553=0,RIGHT(T1553,1)=$W$1),"",COUNTIF($T$3:T1553,T1553))</f>
        <v/>
      </c>
      <c r="S1553" s="6">
        <f t="shared" si="248"/>
        <v>0</v>
      </c>
      <c r="T1553" s="36">
        <f t="shared" si="249"/>
        <v>0</v>
      </c>
      <c r="V1553" s="6">
        <f t="shared" si="250"/>
        <v>0</v>
      </c>
      <c r="Y1553" s="8">
        <f t="shared" si="251"/>
        <v>46023</v>
      </c>
    </row>
    <row r="1554" spans="2:25" ht="18.75" x14ac:dyDescent="0.3">
      <c r="B1554" s="6">
        <f t="shared" si="243"/>
        <v>0</v>
      </c>
      <c r="C1554" s="6">
        <f t="shared" si="244"/>
        <v>0</v>
      </c>
      <c r="D1554" s="6" t="str">
        <f t="shared" si="245"/>
        <v/>
      </c>
      <c r="E1554" s="35" t="str">
        <f t="shared" si="242"/>
        <v/>
      </c>
      <c r="F1554" s="31"/>
      <c r="G1554" s="29"/>
      <c r="H1554" s="78" t="str">
        <f t="shared" si="246"/>
        <v/>
      </c>
      <c r="I1554" s="25"/>
      <c r="J1554" s="25"/>
      <c r="K1554" s="26"/>
      <c r="L1554" s="26"/>
      <c r="M1554" s="37"/>
      <c r="N1554" s="27"/>
      <c r="O1554" s="30"/>
      <c r="P1554" s="39" t="str">
        <f t="shared" si="247"/>
        <v/>
      </c>
      <c r="Q1554" s="40" t="str">
        <f>IF(OR(T1554=0,RIGHT(T1554,1)=$W$1),"",COUNTIF($T$3:T1554,T1554))</f>
        <v/>
      </c>
      <c r="S1554" s="6">
        <f t="shared" si="248"/>
        <v>0</v>
      </c>
      <c r="T1554" s="36">
        <f t="shared" si="249"/>
        <v>0</v>
      </c>
      <c r="V1554" s="6">
        <f t="shared" si="250"/>
        <v>0</v>
      </c>
      <c r="Y1554" s="8">
        <f t="shared" si="251"/>
        <v>46023</v>
      </c>
    </row>
    <row r="1555" spans="2:25" ht="18.75" x14ac:dyDescent="0.3">
      <c r="B1555" s="6">
        <f t="shared" si="243"/>
        <v>0</v>
      </c>
      <c r="C1555" s="6">
        <f t="shared" si="244"/>
        <v>0</v>
      </c>
      <c r="D1555" s="6" t="str">
        <f t="shared" si="245"/>
        <v/>
      </c>
      <c r="E1555" s="35" t="str">
        <f t="shared" si="242"/>
        <v/>
      </c>
      <c r="F1555" s="31"/>
      <c r="G1555" s="29"/>
      <c r="H1555" s="78" t="str">
        <f t="shared" si="246"/>
        <v/>
      </c>
      <c r="I1555" s="25"/>
      <c r="J1555" s="25"/>
      <c r="K1555" s="26"/>
      <c r="L1555" s="26"/>
      <c r="M1555" s="37"/>
      <c r="N1555" s="27"/>
      <c r="O1555" s="30"/>
      <c r="P1555" s="39" t="str">
        <f t="shared" si="247"/>
        <v/>
      </c>
      <c r="Q1555" s="40" t="str">
        <f>IF(OR(T1555=0,RIGHT(T1555,1)=$W$1),"",COUNTIF($T$3:T1555,T1555))</f>
        <v/>
      </c>
      <c r="S1555" s="6">
        <f t="shared" si="248"/>
        <v>0</v>
      </c>
      <c r="T1555" s="36">
        <f t="shared" si="249"/>
        <v>0</v>
      </c>
      <c r="V1555" s="6">
        <f t="shared" si="250"/>
        <v>0</v>
      </c>
      <c r="Y1555" s="8">
        <f t="shared" si="251"/>
        <v>46023</v>
      </c>
    </row>
    <row r="1556" spans="2:25" ht="18.75" x14ac:dyDescent="0.3">
      <c r="B1556" s="6">
        <f t="shared" si="243"/>
        <v>0</v>
      </c>
      <c r="C1556" s="6">
        <f t="shared" si="244"/>
        <v>0</v>
      </c>
      <c r="D1556" s="6" t="str">
        <f t="shared" si="245"/>
        <v/>
      </c>
      <c r="E1556" s="35" t="str">
        <f t="shared" si="242"/>
        <v/>
      </c>
      <c r="F1556" s="31"/>
      <c r="G1556" s="29"/>
      <c r="H1556" s="78" t="str">
        <f t="shared" si="246"/>
        <v/>
      </c>
      <c r="I1556" s="25"/>
      <c r="J1556" s="25"/>
      <c r="K1556" s="26"/>
      <c r="L1556" s="26"/>
      <c r="M1556" s="37"/>
      <c r="N1556" s="27"/>
      <c r="O1556" s="30"/>
      <c r="P1556" s="39" t="str">
        <f t="shared" si="247"/>
        <v/>
      </c>
      <c r="Q1556" s="40" t="str">
        <f>IF(OR(T1556=0,RIGHT(T1556,1)=$W$1),"",COUNTIF($T$3:T1556,T1556))</f>
        <v/>
      </c>
      <c r="S1556" s="6">
        <f t="shared" si="248"/>
        <v>0</v>
      </c>
      <c r="T1556" s="36">
        <f t="shared" si="249"/>
        <v>0</v>
      </c>
      <c r="V1556" s="6">
        <f t="shared" si="250"/>
        <v>0</v>
      </c>
      <c r="Y1556" s="8">
        <f t="shared" si="251"/>
        <v>46023</v>
      </c>
    </row>
    <row r="1557" spans="2:25" ht="18.75" x14ac:dyDescent="0.3">
      <c r="B1557" s="6">
        <f t="shared" si="243"/>
        <v>0</v>
      </c>
      <c r="C1557" s="6">
        <f t="shared" si="244"/>
        <v>0</v>
      </c>
      <c r="D1557" s="6" t="str">
        <f t="shared" si="245"/>
        <v/>
      </c>
      <c r="E1557" s="35" t="str">
        <f t="shared" si="242"/>
        <v/>
      </c>
      <c r="F1557" s="31"/>
      <c r="G1557" s="29"/>
      <c r="H1557" s="78" t="str">
        <f t="shared" si="246"/>
        <v/>
      </c>
      <c r="I1557" s="25"/>
      <c r="J1557" s="25"/>
      <c r="K1557" s="26"/>
      <c r="L1557" s="26"/>
      <c r="M1557" s="37"/>
      <c r="N1557" s="27"/>
      <c r="O1557" s="30"/>
      <c r="P1557" s="39" t="str">
        <f t="shared" si="247"/>
        <v/>
      </c>
      <c r="Q1557" s="40" t="str">
        <f>IF(OR(T1557=0,RIGHT(T1557,1)=$W$1),"",COUNTIF($T$3:T1557,T1557))</f>
        <v/>
      </c>
      <c r="S1557" s="6">
        <f t="shared" si="248"/>
        <v>0</v>
      </c>
      <c r="T1557" s="36">
        <f t="shared" si="249"/>
        <v>0</v>
      </c>
      <c r="V1557" s="6">
        <f t="shared" si="250"/>
        <v>0</v>
      </c>
      <c r="Y1557" s="8">
        <f t="shared" si="251"/>
        <v>46023</v>
      </c>
    </row>
    <row r="1558" spans="2:25" ht="18.75" x14ac:dyDescent="0.3">
      <c r="B1558" s="6">
        <f t="shared" si="243"/>
        <v>0</v>
      </c>
      <c r="C1558" s="6">
        <f t="shared" si="244"/>
        <v>0</v>
      </c>
      <c r="D1558" s="6" t="str">
        <f t="shared" si="245"/>
        <v/>
      </c>
      <c r="E1558" s="35" t="str">
        <f t="shared" si="242"/>
        <v/>
      </c>
      <c r="F1558" s="31"/>
      <c r="G1558" s="29"/>
      <c r="H1558" s="78" t="str">
        <f t="shared" si="246"/>
        <v/>
      </c>
      <c r="I1558" s="25"/>
      <c r="J1558" s="25"/>
      <c r="K1558" s="26"/>
      <c r="L1558" s="26"/>
      <c r="M1558" s="37"/>
      <c r="N1558" s="27"/>
      <c r="O1558" s="30"/>
      <c r="P1558" s="39" t="str">
        <f t="shared" si="247"/>
        <v/>
      </c>
      <c r="Q1558" s="40" t="str">
        <f>IF(OR(T1558=0,RIGHT(T1558,1)=$W$1),"",COUNTIF($T$3:T1558,T1558))</f>
        <v/>
      </c>
      <c r="S1558" s="6">
        <f t="shared" si="248"/>
        <v>0</v>
      </c>
      <c r="T1558" s="36">
        <f t="shared" si="249"/>
        <v>0</v>
      </c>
      <c r="V1558" s="6">
        <f t="shared" si="250"/>
        <v>0</v>
      </c>
      <c r="Y1558" s="8">
        <f t="shared" si="251"/>
        <v>46023</v>
      </c>
    </row>
    <row r="1559" spans="2:25" ht="18.75" x14ac:dyDescent="0.3">
      <c r="B1559" s="6">
        <f t="shared" si="243"/>
        <v>0</v>
      </c>
      <c r="C1559" s="6">
        <f t="shared" si="244"/>
        <v>0</v>
      </c>
      <c r="D1559" s="6" t="str">
        <f t="shared" si="245"/>
        <v/>
      </c>
      <c r="E1559" s="35" t="str">
        <f t="shared" si="242"/>
        <v/>
      </c>
      <c r="F1559" s="31"/>
      <c r="G1559" s="29"/>
      <c r="H1559" s="78" t="str">
        <f t="shared" si="246"/>
        <v/>
      </c>
      <c r="I1559" s="25"/>
      <c r="J1559" s="25"/>
      <c r="K1559" s="26"/>
      <c r="L1559" s="26"/>
      <c r="M1559" s="37"/>
      <c r="N1559" s="27"/>
      <c r="O1559" s="30"/>
      <c r="P1559" s="39" t="str">
        <f t="shared" si="247"/>
        <v/>
      </c>
      <c r="Q1559" s="40" t="str">
        <f>IF(OR(T1559=0,RIGHT(T1559,1)=$W$1),"",COUNTIF($T$3:T1559,T1559))</f>
        <v/>
      </c>
      <c r="S1559" s="6">
        <f t="shared" si="248"/>
        <v>0</v>
      </c>
      <c r="T1559" s="36">
        <f t="shared" si="249"/>
        <v>0</v>
      </c>
      <c r="V1559" s="6">
        <f t="shared" si="250"/>
        <v>0</v>
      </c>
      <c r="Y1559" s="8">
        <f t="shared" si="251"/>
        <v>46023</v>
      </c>
    </row>
    <row r="1560" spans="2:25" ht="18.75" x14ac:dyDescent="0.3">
      <c r="B1560" s="6">
        <f t="shared" si="243"/>
        <v>0</v>
      </c>
      <c r="C1560" s="6">
        <f t="shared" si="244"/>
        <v>0</v>
      </c>
      <c r="D1560" s="6" t="str">
        <f t="shared" si="245"/>
        <v/>
      </c>
      <c r="E1560" s="35" t="str">
        <f t="shared" si="242"/>
        <v/>
      </c>
      <c r="F1560" s="31"/>
      <c r="G1560" s="29"/>
      <c r="H1560" s="78" t="str">
        <f t="shared" si="246"/>
        <v/>
      </c>
      <c r="I1560" s="25"/>
      <c r="J1560" s="25"/>
      <c r="K1560" s="26"/>
      <c r="L1560" s="26"/>
      <c r="M1560" s="37"/>
      <c r="N1560" s="27"/>
      <c r="O1560" s="30"/>
      <c r="P1560" s="39" t="str">
        <f t="shared" si="247"/>
        <v/>
      </c>
      <c r="Q1560" s="40" t="str">
        <f>IF(OR(T1560=0,RIGHT(T1560,1)=$W$1),"",COUNTIF($T$3:T1560,T1560))</f>
        <v/>
      </c>
      <c r="S1560" s="6">
        <f t="shared" si="248"/>
        <v>0</v>
      </c>
      <c r="T1560" s="36">
        <f t="shared" si="249"/>
        <v>0</v>
      </c>
      <c r="V1560" s="6">
        <f t="shared" si="250"/>
        <v>0</v>
      </c>
      <c r="Y1560" s="8">
        <f t="shared" si="251"/>
        <v>46023</v>
      </c>
    </row>
    <row r="1561" spans="2:25" ht="18.75" x14ac:dyDescent="0.3">
      <c r="B1561" s="6">
        <f t="shared" si="243"/>
        <v>0</v>
      </c>
      <c r="C1561" s="6">
        <f t="shared" si="244"/>
        <v>0</v>
      </c>
      <c r="D1561" s="6" t="str">
        <f t="shared" si="245"/>
        <v/>
      </c>
      <c r="E1561" s="35" t="str">
        <f t="shared" si="242"/>
        <v/>
      </c>
      <c r="F1561" s="31"/>
      <c r="G1561" s="29"/>
      <c r="H1561" s="78" t="str">
        <f t="shared" si="246"/>
        <v/>
      </c>
      <c r="I1561" s="25"/>
      <c r="J1561" s="25"/>
      <c r="K1561" s="26"/>
      <c r="L1561" s="26"/>
      <c r="M1561" s="37"/>
      <c r="N1561" s="27"/>
      <c r="O1561" s="30"/>
      <c r="P1561" s="39" t="str">
        <f t="shared" si="247"/>
        <v/>
      </c>
      <c r="Q1561" s="40" t="str">
        <f>IF(OR(T1561=0,RIGHT(T1561,1)=$W$1),"",COUNTIF($T$3:T1561,T1561))</f>
        <v/>
      </c>
      <c r="S1561" s="6">
        <f t="shared" si="248"/>
        <v>0</v>
      </c>
      <c r="T1561" s="36">
        <f t="shared" si="249"/>
        <v>0</v>
      </c>
      <c r="V1561" s="6">
        <f t="shared" si="250"/>
        <v>0</v>
      </c>
      <c r="Y1561" s="8">
        <f t="shared" si="251"/>
        <v>46023</v>
      </c>
    </row>
    <row r="1562" spans="2:25" ht="18.75" x14ac:dyDescent="0.3">
      <c r="B1562" s="6">
        <f t="shared" si="243"/>
        <v>0</v>
      </c>
      <c r="C1562" s="6">
        <f t="shared" si="244"/>
        <v>0</v>
      </c>
      <c r="D1562" s="6" t="str">
        <f t="shared" si="245"/>
        <v/>
      </c>
      <c r="E1562" s="35" t="str">
        <f t="shared" si="242"/>
        <v/>
      </c>
      <c r="F1562" s="31"/>
      <c r="G1562" s="29"/>
      <c r="H1562" s="78" t="str">
        <f t="shared" si="246"/>
        <v/>
      </c>
      <c r="I1562" s="25"/>
      <c r="J1562" s="25"/>
      <c r="K1562" s="26"/>
      <c r="L1562" s="26"/>
      <c r="M1562" s="37"/>
      <c r="N1562" s="27"/>
      <c r="O1562" s="30"/>
      <c r="P1562" s="39" t="str">
        <f t="shared" si="247"/>
        <v/>
      </c>
      <c r="Q1562" s="40" t="str">
        <f>IF(OR(T1562=0,RIGHT(T1562,1)=$W$1),"",COUNTIF($T$3:T1562,T1562))</f>
        <v/>
      </c>
      <c r="S1562" s="6">
        <f t="shared" si="248"/>
        <v>0</v>
      </c>
      <c r="T1562" s="36">
        <f t="shared" si="249"/>
        <v>0</v>
      </c>
      <c r="V1562" s="6">
        <f t="shared" si="250"/>
        <v>0</v>
      </c>
      <c r="Y1562" s="8">
        <f t="shared" si="251"/>
        <v>46023</v>
      </c>
    </row>
    <row r="1563" spans="2:25" ht="18.75" x14ac:dyDescent="0.3">
      <c r="B1563" s="6">
        <f t="shared" si="243"/>
        <v>0</v>
      </c>
      <c r="C1563" s="6">
        <f t="shared" si="244"/>
        <v>0</v>
      </c>
      <c r="D1563" s="6" t="str">
        <f t="shared" si="245"/>
        <v/>
      </c>
      <c r="E1563" s="35" t="str">
        <f t="shared" si="242"/>
        <v/>
      </c>
      <c r="F1563" s="31"/>
      <c r="G1563" s="29"/>
      <c r="H1563" s="78" t="str">
        <f t="shared" si="246"/>
        <v/>
      </c>
      <c r="I1563" s="25"/>
      <c r="J1563" s="25"/>
      <c r="K1563" s="26"/>
      <c r="L1563" s="26"/>
      <c r="M1563" s="37"/>
      <c r="N1563" s="27"/>
      <c r="O1563" s="30"/>
      <c r="P1563" s="39" t="str">
        <f t="shared" si="247"/>
        <v/>
      </c>
      <c r="Q1563" s="40" t="str">
        <f>IF(OR(T1563=0,RIGHT(T1563,1)=$W$1),"",COUNTIF($T$3:T1563,T1563))</f>
        <v/>
      </c>
      <c r="S1563" s="6">
        <f t="shared" si="248"/>
        <v>0</v>
      </c>
      <c r="T1563" s="36">
        <f t="shared" si="249"/>
        <v>0</v>
      </c>
      <c r="V1563" s="6">
        <f t="shared" si="250"/>
        <v>0</v>
      </c>
      <c r="Y1563" s="8">
        <f t="shared" si="251"/>
        <v>46023</v>
      </c>
    </row>
    <row r="1564" spans="2:25" ht="18.75" x14ac:dyDescent="0.3">
      <c r="B1564" s="6">
        <f t="shared" si="243"/>
        <v>0</v>
      </c>
      <c r="C1564" s="6">
        <f t="shared" si="244"/>
        <v>0</v>
      </c>
      <c r="D1564" s="6" t="str">
        <f t="shared" si="245"/>
        <v/>
      </c>
      <c r="E1564" s="35" t="str">
        <f t="shared" si="242"/>
        <v/>
      </c>
      <c r="F1564" s="31"/>
      <c r="G1564" s="29"/>
      <c r="H1564" s="78" t="str">
        <f t="shared" si="246"/>
        <v/>
      </c>
      <c r="I1564" s="25"/>
      <c r="J1564" s="25"/>
      <c r="K1564" s="26"/>
      <c r="L1564" s="26"/>
      <c r="M1564" s="37"/>
      <c r="N1564" s="27"/>
      <c r="O1564" s="30"/>
      <c r="P1564" s="39" t="str">
        <f t="shared" si="247"/>
        <v/>
      </c>
      <c r="Q1564" s="40" t="str">
        <f>IF(OR(T1564=0,RIGHT(T1564,1)=$W$1),"",COUNTIF($T$3:T1564,T1564))</f>
        <v/>
      </c>
      <c r="S1564" s="6">
        <f t="shared" si="248"/>
        <v>0</v>
      </c>
      <c r="T1564" s="36">
        <f t="shared" si="249"/>
        <v>0</v>
      </c>
      <c r="V1564" s="6">
        <f t="shared" si="250"/>
        <v>0</v>
      </c>
      <c r="Y1564" s="8">
        <f t="shared" si="251"/>
        <v>46023</v>
      </c>
    </row>
    <row r="1565" spans="2:25" ht="18.75" x14ac:dyDescent="0.3">
      <c r="B1565" s="6">
        <f t="shared" si="243"/>
        <v>0</v>
      </c>
      <c r="C1565" s="6">
        <f t="shared" si="244"/>
        <v>0</v>
      </c>
      <c r="D1565" s="6" t="str">
        <f t="shared" si="245"/>
        <v/>
      </c>
      <c r="E1565" s="35" t="str">
        <f t="shared" si="242"/>
        <v/>
      </c>
      <c r="F1565" s="31"/>
      <c r="G1565" s="29"/>
      <c r="H1565" s="78" t="str">
        <f t="shared" si="246"/>
        <v/>
      </c>
      <c r="I1565" s="25"/>
      <c r="J1565" s="25"/>
      <c r="K1565" s="26"/>
      <c r="L1565" s="26"/>
      <c r="M1565" s="37"/>
      <c r="N1565" s="27"/>
      <c r="O1565" s="30"/>
      <c r="P1565" s="39" t="str">
        <f t="shared" si="247"/>
        <v/>
      </c>
      <c r="Q1565" s="40" t="str">
        <f>IF(OR(T1565=0,RIGHT(T1565,1)=$W$1),"",COUNTIF($T$3:T1565,T1565))</f>
        <v/>
      </c>
      <c r="S1565" s="6">
        <f t="shared" si="248"/>
        <v>0</v>
      </c>
      <c r="T1565" s="36">
        <f t="shared" si="249"/>
        <v>0</v>
      </c>
      <c r="V1565" s="6">
        <f t="shared" si="250"/>
        <v>0</v>
      </c>
      <c r="Y1565" s="8">
        <f t="shared" si="251"/>
        <v>46023</v>
      </c>
    </row>
    <row r="1566" spans="2:25" ht="18.75" x14ac:dyDescent="0.3">
      <c r="B1566" s="6">
        <f t="shared" si="243"/>
        <v>0</v>
      </c>
      <c r="C1566" s="6">
        <f t="shared" si="244"/>
        <v>0</v>
      </c>
      <c r="D1566" s="6" t="str">
        <f t="shared" si="245"/>
        <v/>
      </c>
      <c r="E1566" s="35" t="str">
        <f t="shared" si="242"/>
        <v/>
      </c>
      <c r="F1566" s="31"/>
      <c r="G1566" s="29"/>
      <c r="H1566" s="78" t="str">
        <f t="shared" si="246"/>
        <v/>
      </c>
      <c r="I1566" s="25"/>
      <c r="J1566" s="25"/>
      <c r="K1566" s="26"/>
      <c r="L1566" s="26"/>
      <c r="M1566" s="37"/>
      <c r="N1566" s="27"/>
      <c r="O1566" s="30"/>
      <c r="P1566" s="39" t="str">
        <f t="shared" si="247"/>
        <v/>
      </c>
      <c r="Q1566" s="40" t="str">
        <f>IF(OR(T1566=0,RIGHT(T1566,1)=$W$1),"",COUNTIF($T$3:T1566,T1566))</f>
        <v/>
      </c>
      <c r="S1566" s="6">
        <f t="shared" si="248"/>
        <v>0</v>
      </c>
      <c r="T1566" s="36">
        <f t="shared" si="249"/>
        <v>0</v>
      </c>
      <c r="V1566" s="6">
        <f t="shared" si="250"/>
        <v>0</v>
      </c>
      <c r="Y1566" s="8">
        <f t="shared" si="251"/>
        <v>46023</v>
      </c>
    </row>
    <row r="1567" spans="2:25" ht="18.75" x14ac:dyDescent="0.3">
      <c r="B1567" s="6">
        <f t="shared" si="243"/>
        <v>0</v>
      </c>
      <c r="C1567" s="6">
        <f t="shared" si="244"/>
        <v>0</v>
      </c>
      <c r="D1567" s="6" t="str">
        <f t="shared" si="245"/>
        <v/>
      </c>
      <c r="E1567" s="35" t="str">
        <f t="shared" si="242"/>
        <v/>
      </c>
      <c r="F1567" s="31"/>
      <c r="G1567" s="29"/>
      <c r="H1567" s="78" t="str">
        <f t="shared" si="246"/>
        <v/>
      </c>
      <c r="I1567" s="25"/>
      <c r="J1567" s="25"/>
      <c r="K1567" s="26"/>
      <c r="L1567" s="26"/>
      <c r="M1567" s="37"/>
      <c r="N1567" s="27"/>
      <c r="O1567" s="30"/>
      <c r="P1567" s="39" t="str">
        <f t="shared" si="247"/>
        <v/>
      </c>
      <c r="Q1567" s="40" t="str">
        <f>IF(OR(T1567=0,RIGHT(T1567,1)=$W$1),"",COUNTIF($T$3:T1567,T1567))</f>
        <v/>
      </c>
      <c r="S1567" s="6">
        <f t="shared" si="248"/>
        <v>0</v>
      </c>
      <c r="T1567" s="36">
        <f t="shared" si="249"/>
        <v>0</v>
      </c>
      <c r="V1567" s="6">
        <f t="shared" si="250"/>
        <v>0</v>
      </c>
      <c r="Y1567" s="8">
        <f t="shared" si="251"/>
        <v>46023</v>
      </c>
    </row>
    <row r="1568" spans="2:25" ht="18.75" x14ac:dyDescent="0.3">
      <c r="B1568" s="6">
        <f t="shared" si="243"/>
        <v>0</v>
      </c>
      <c r="C1568" s="6">
        <f t="shared" si="244"/>
        <v>0</v>
      </c>
      <c r="D1568" s="6" t="str">
        <f t="shared" si="245"/>
        <v/>
      </c>
      <c r="E1568" s="35" t="str">
        <f t="shared" si="242"/>
        <v/>
      </c>
      <c r="F1568" s="31"/>
      <c r="G1568" s="29"/>
      <c r="H1568" s="78" t="str">
        <f t="shared" si="246"/>
        <v/>
      </c>
      <c r="I1568" s="25"/>
      <c r="J1568" s="25"/>
      <c r="K1568" s="26"/>
      <c r="L1568" s="26"/>
      <c r="M1568" s="37"/>
      <c r="N1568" s="27"/>
      <c r="O1568" s="30"/>
      <c r="P1568" s="39" t="str">
        <f t="shared" si="247"/>
        <v/>
      </c>
      <c r="Q1568" s="40" t="str">
        <f>IF(OR(T1568=0,RIGHT(T1568,1)=$W$1),"",COUNTIF($T$3:T1568,T1568))</f>
        <v/>
      </c>
      <c r="S1568" s="6">
        <f t="shared" si="248"/>
        <v>0</v>
      </c>
      <c r="T1568" s="36">
        <f t="shared" si="249"/>
        <v>0</v>
      </c>
      <c r="V1568" s="6">
        <f t="shared" si="250"/>
        <v>0</v>
      </c>
      <c r="Y1568" s="8">
        <f t="shared" si="251"/>
        <v>46023</v>
      </c>
    </row>
    <row r="1569" spans="2:25" ht="18.75" x14ac:dyDescent="0.3">
      <c r="B1569" s="6">
        <f t="shared" si="243"/>
        <v>0</v>
      </c>
      <c r="C1569" s="6">
        <f t="shared" si="244"/>
        <v>0</v>
      </c>
      <c r="D1569" s="6" t="str">
        <f t="shared" si="245"/>
        <v/>
      </c>
      <c r="E1569" s="35" t="str">
        <f t="shared" si="242"/>
        <v/>
      </c>
      <c r="F1569" s="31"/>
      <c r="G1569" s="29"/>
      <c r="H1569" s="78" t="str">
        <f t="shared" si="246"/>
        <v/>
      </c>
      <c r="I1569" s="25"/>
      <c r="J1569" s="25"/>
      <c r="K1569" s="26"/>
      <c r="L1569" s="26"/>
      <c r="M1569" s="37"/>
      <c r="N1569" s="27"/>
      <c r="O1569" s="30"/>
      <c r="P1569" s="39" t="str">
        <f t="shared" si="247"/>
        <v/>
      </c>
      <c r="Q1569" s="40" t="str">
        <f>IF(OR(T1569=0,RIGHT(T1569,1)=$W$1),"",COUNTIF($T$3:T1569,T1569))</f>
        <v/>
      </c>
      <c r="S1569" s="6">
        <f t="shared" si="248"/>
        <v>0</v>
      </c>
      <c r="T1569" s="36">
        <f t="shared" si="249"/>
        <v>0</v>
      </c>
      <c r="V1569" s="6">
        <f t="shared" si="250"/>
        <v>0</v>
      </c>
      <c r="Y1569" s="8">
        <f t="shared" si="251"/>
        <v>46023</v>
      </c>
    </row>
    <row r="1570" spans="2:25" ht="18.75" x14ac:dyDescent="0.3">
      <c r="B1570" s="6">
        <f t="shared" si="243"/>
        <v>0</v>
      </c>
      <c r="C1570" s="6">
        <f t="shared" si="244"/>
        <v>0</v>
      </c>
      <c r="D1570" s="6" t="str">
        <f t="shared" si="245"/>
        <v/>
      </c>
      <c r="E1570" s="35" t="str">
        <f t="shared" si="242"/>
        <v/>
      </c>
      <c r="F1570" s="31"/>
      <c r="G1570" s="29"/>
      <c r="H1570" s="78" t="str">
        <f t="shared" si="246"/>
        <v/>
      </c>
      <c r="I1570" s="25"/>
      <c r="J1570" s="25"/>
      <c r="K1570" s="26"/>
      <c r="L1570" s="26"/>
      <c r="M1570" s="37"/>
      <c r="N1570" s="27"/>
      <c r="O1570" s="30"/>
      <c r="P1570" s="39" t="str">
        <f t="shared" si="247"/>
        <v/>
      </c>
      <c r="Q1570" s="40" t="str">
        <f>IF(OR(T1570=0,RIGHT(T1570,1)=$W$1),"",COUNTIF($T$3:T1570,T1570))</f>
        <v/>
      </c>
      <c r="S1570" s="6">
        <f t="shared" si="248"/>
        <v>0</v>
      </c>
      <c r="T1570" s="36">
        <f t="shared" si="249"/>
        <v>0</v>
      </c>
      <c r="V1570" s="6">
        <f t="shared" si="250"/>
        <v>0</v>
      </c>
      <c r="Y1570" s="8">
        <f t="shared" si="251"/>
        <v>46023</v>
      </c>
    </row>
    <row r="1571" spans="2:25" ht="18.75" x14ac:dyDescent="0.3">
      <c r="B1571" s="6">
        <f t="shared" si="243"/>
        <v>0</v>
      </c>
      <c r="C1571" s="6">
        <f t="shared" si="244"/>
        <v>0</v>
      </c>
      <c r="D1571" s="6" t="str">
        <f t="shared" si="245"/>
        <v/>
      </c>
      <c r="E1571" s="35" t="str">
        <f t="shared" si="242"/>
        <v/>
      </c>
      <c r="F1571" s="31"/>
      <c r="G1571" s="29"/>
      <c r="H1571" s="78" t="str">
        <f t="shared" si="246"/>
        <v/>
      </c>
      <c r="I1571" s="25"/>
      <c r="J1571" s="25"/>
      <c r="K1571" s="26"/>
      <c r="L1571" s="26"/>
      <c r="M1571" s="37"/>
      <c r="N1571" s="27"/>
      <c r="O1571" s="30"/>
      <c r="P1571" s="39" t="str">
        <f t="shared" si="247"/>
        <v/>
      </c>
      <c r="Q1571" s="40" t="str">
        <f>IF(OR(T1571=0,RIGHT(T1571,1)=$W$1),"",COUNTIF($T$3:T1571,T1571))</f>
        <v/>
      </c>
      <c r="S1571" s="6">
        <f t="shared" si="248"/>
        <v>0</v>
      </c>
      <c r="T1571" s="36">
        <f t="shared" si="249"/>
        <v>0</v>
      </c>
      <c r="V1571" s="6">
        <f t="shared" si="250"/>
        <v>0</v>
      </c>
      <c r="Y1571" s="8">
        <f t="shared" si="251"/>
        <v>46023</v>
      </c>
    </row>
    <row r="1572" spans="2:25" ht="18.75" x14ac:dyDescent="0.3">
      <c r="B1572" s="6">
        <f t="shared" si="243"/>
        <v>0</v>
      </c>
      <c r="C1572" s="6">
        <f t="shared" si="244"/>
        <v>0</v>
      </c>
      <c r="D1572" s="6" t="str">
        <f t="shared" si="245"/>
        <v/>
      </c>
      <c r="E1572" s="35" t="str">
        <f t="shared" si="242"/>
        <v/>
      </c>
      <c r="F1572" s="31"/>
      <c r="G1572" s="29"/>
      <c r="H1572" s="78" t="str">
        <f t="shared" si="246"/>
        <v/>
      </c>
      <c r="I1572" s="25"/>
      <c r="J1572" s="25"/>
      <c r="K1572" s="26"/>
      <c r="L1572" s="26"/>
      <c r="M1572" s="37"/>
      <c r="N1572" s="27"/>
      <c r="O1572" s="30"/>
      <c r="P1572" s="39" t="str">
        <f t="shared" si="247"/>
        <v/>
      </c>
      <c r="Q1572" s="40" t="str">
        <f>IF(OR(T1572=0,RIGHT(T1572,1)=$W$1),"",COUNTIF($T$3:T1572,T1572))</f>
        <v/>
      </c>
      <c r="S1572" s="6">
        <f t="shared" si="248"/>
        <v>0</v>
      </c>
      <c r="T1572" s="36">
        <f t="shared" si="249"/>
        <v>0</v>
      </c>
      <c r="V1572" s="6">
        <f t="shared" si="250"/>
        <v>0</v>
      </c>
      <c r="Y1572" s="8">
        <f t="shared" si="251"/>
        <v>46023</v>
      </c>
    </row>
    <row r="1573" spans="2:25" ht="18.75" x14ac:dyDescent="0.3">
      <c r="B1573" s="6">
        <f t="shared" si="243"/>
        <v>0</v>
      </c>
      <c r="C1573" s="6">
        <f t="shared" si="244"/>
        <v>0</v>
      </c>
      <c r="D1573" s="6" t="str">
        <f t="shared" si="245"/>
        <v/>
      </c>
      <c r="E1573" s="35" t="str">
        <f t="shared" si="242"/>
        <v/>
      </c>
      <c r="F1573" s="31"/>
      <c r="G1573" s="29"/>
      <c r="H1573" s="78" t="str">
        <f t="shared" si="246"/>
        <v/>
      </c>
      <c r="I1573" s="25"/>
      <c r="J1573" s="25"/>
      <c r="K1573" s="26"/>
      <c r="L1573" s="26"/>
      <c r="M1573" s="37"/>
      <c r="N1573" s="27"/>
      <c r="O1573" s="30"/>
      <c r="P1573" s="39" t="str">
        <f t="shared" si="247"/>
        <v/>
      </c>
      <c r="Q1573" s="40" t="str">
        <f>IF(OR(T1573=0,RIGHT(T1573,1)=$W$1),"",COUNTIF($T$3:T1573,T1573))</f>
        <v/>
      </c>
      <c r="S1573" s="6">
        <f t="shared" si="248"/>
        <v>0</v>
      </c>
      <c r="T1573" s="36">
        <f t="shared" si="249"/>
        <v>0</v>
      </c>
      <c r="V1573" s="6">
        <f t="shared" si="250"/>
        <v>0</v>
      </c>
      <c r="Y1573" s="8">
        <f t="shared" si="251"/>
        <v>46023</v>
      </c>
    </row>
    <row r="1574" spans="2:25" ht="18.75" x14ac:dyDescent="0.3">
      <c r="B1574" s="6">
        <f t="shared" si="243"/>
        <v>0</v>
      </c>
      <c r="C1574" s="6">
        <f t="shared" si="244"/>
        <v>0</v>
      </c>
      <c r="D1574" s="6" t="str">
        <f t="shared" si="245"/>
        <v/>
      </c>
      <c r="E1574" s="35" t="str">
        <f t="shared" si="242"/>
        <v/>
      </c>
      <c r="F1574" s="31"/>
      <c r="G1574" s="29"/>
      <c r="H1574" s="78" t="str">
        <f t="shared" si="246"/>
        <v/>
      </c>
      <c r="I1574" s="25"/>
      <c r="J1574" s="25"/>
      <c r="K1574" s="26"/>
      <c r="L1574" s="26"/>
      <c r="M1574" s="37"/>
      <c r="N1574" s="27"/>
      <c r="O1574" s="30"/>
      <c r="P1574" s="39" t="str">
        <f t="shared" si="247"/>
        <v/>
      </c>
      <c r="Q1574" s="40" t="str">
        <f>IF(OR(T1574=0,RIGHT(T1574,1)=$W$1),"",COUNTIF($T$3:T1574,T1574))</f>
        <v/>
      </c>
      <c r="S1574" s="6">
        <f t="shared" si="248"/>
        <v>0</v>
      </c>
      <c r="T1574" s="36">
        <f t="shared" si="249"/>
        <v>0</v>
      </c>
      <c r="V1574" s="6">
        <f t="shared" si="250"/>
        <v>0</v>
      </c>
      <c r="Y1574" s="8">
        <f t="shared" si="251"/>
        <v>46023</v>
      </c>
    </row>
    <row r="1575" spans="2:25" ht="18.75" x14ac:dyDescent="0.3">
      <c r="B1575" s="6">
        <f t="shared" si="243"/>
        <v>0</v>
      </c>
      <c r="C1575" s="6">
        <f t="shared" si="244"/>
        <v>0</v>
      </c>
      <c r="D1575" s="6" t="str">
        <f t="shared" si="245"/>
        <v/>
      </c>
      <c r="E1575" s="35" t="str">
        <f t="shared" si="242"/>
        <v/>
      </c>
      <c r="F1575" s="31"/>
      <c r="G1575" s="29"/>
      <c r="H1575" s="78" t="str">
        <f t="shared" si="246"/>
        <v/>
      </c>
      <c r="I1575" s="25"/>
      <c r="J1575" s="25"/>
      <c r="K1575" s="26"/>
      <c r="L1575" s="26"/>
      <c r="M1575" s="37"/>
      <c r="N1575" s="27"/>
      <c r="O1575" s="30"/>
      <c r="P1575" s="39" t="str">
        <f t="shared" si="247"/>
        <v/>
      </c>
      <c r="Q1575" s="40" t="str">
        <f>IF(OR(T1575=0,RIGHT(T1575,1)=$W$1),"",COUNTIF($T$3:T1575,T1575))</f>
        <v/>
      </c>
      <c r="S1575" s="6">
        <f t="shared" si="248"/>
        <v>0</v>
      </c>
      <c r="T1575" s="36">
        <f t="shared" si="249"/>
        <v>0</v>
      </c>
      <c r="V1575" s="6">
        <f t="shared" si="250"/>
        <v>0</v>
      </c>
      <c r="Y1575" s="8">
        <f t="shared" si="251"/>
        <v>46023</v>
      </c>
    </row>
    <row r="1576" spans="2:25" ht="18.75" x14ac:dyDescent="0.3">
      <c r="B1576" s="6">
        <f t="shared" si="243"/>
        <v>0</v>
      </c>
      <c r="C1576" s="6">
        <f t="shared" si="244"/>
        <v>0</v>
      </c>
      <c r="D1576" s="6" t="str">
        <f t="shared" si="245"/>
        <v/>
      </c>
      <c r="E1576" s="35" t="str">
        <f t="shared" si="242"/>
        <v/>
      </c>
      <c r="F1576" s="31"/>
      <c r="G1576" s="29"/>
      <c r="H1576" s="78" t="str">
        <f t="shared" si="246"/>
        <v/>
      </c>
      <c r="I1576" s="25"/>
      <c r="J1576" s="25"/>
      <c r="K1576" s="26"/>
      <c r="L1576" s="26"/>
      <c r="M1576" s="37"/>
      <c r="N1576" s="27"/>
      <c r="O1576" s="30"/>
      <c r="P1576" s="39" t="str">
        <f t="shared" si="247"/>
        <v/>
      </c>
      <c r="Q1576" s="40" t="str">
        <f>IF(OR(T1576=0,RIGHT(T1576,1)=$W$1),"",COUNTIF($T$3:T1576,T1576))</f>
        <v/>
      </c>
      <c r="S1576" s="6">
        <f t="shared" si="248"/>
        <v>0</v>
      </c>
      <c r="T1576" s="36">
        <f t="shared" si="249"/>
        <v>0</v>
      </c>
      <c r="V1576" s="6">
        <f t="shared" si="250"/>
        <v>0</v>
      </c>
      <c r="Y1576" s="8">
        <f t="shared" si="251"/>
        <v>46023</v>
      </c>
    </row>
    <row r="1577" spans="2:25" ht="18.75" x14ac:dyDescent="0.3">
      <c r="B1577" s="6">
        <f t="shared" si="243"/>
        <v>0</v>
      </c>
      <c r="C1577" s="6">
        <f t="shared" si="244"/>
        <v>0</v>
      </c>
      <c r="D1577" s="6" t="str">
        <f t="shared" si="245"/>
        <v/>
      </c>
      <c r="E1577" s="35" t="str">
        <f t="shared" si="242"/>
        <v/>
      </c>
      <c r="F1577" s="31"/>
      <c r="G1577" s="29"/>
      <c r="H1577" s="78" t="str">
        <f t="shared" si="246"/>
        <v/>
      </c>
      <c r="I1577" s="25"/>
      <c r="J1577" s="25"/>
      <c r="K1577" s="26"/>
      <c r="L1577" s="26"/>
      <c r="M1577" s="37"/>
      <c r="N1577" s="27"/>
      <c r="O1577" s="30"/>
      <c r="P1577" s="39" t="str">
        <f t="shared" si="247"/>
        <v/>
      </c>
      <c r="Q1577" s="40" t="str">
        <f>IF(OR(T1577=0,RIGHT(T1577,1)=$W$1),"",COUNTIF($T$3:T1577,T1577))</f>
        <v/>
      </c>
      <c r="S1577" s="6">
        <f t="shared" si="248"/>
        <v>0</v>
      </c>
      <c r="T1577" s="36">
        <f t="shared" si="249"/>
        <v>0</v>
      </c>
      <c r="V1577" s="6">
        <f t="shared" si="250"/>
        <v>0</v>
      </c>
      <c r="Y1577" s="8">
        <f t="shared" si="251"/>
        <v>46023</v>
      </c>
    </row>
    <row r="1578" spans="2:25" ht="18.75" x14ac:dyDescent="0.3">
      <c r="B1578" s="6">
        <f t="shared" si="243"/>
        <v>0</v>
      </c>
      <c r="C1578" s="6">
        <f t="shared" si="244"/>
        <v>0</v>
      </c>
      <c r="D1578" s="6" t="str">
        <f t="shared" si="245"/>
        <v/>
      </c>
      <c r="E1578" s="35" t="str">
        <f t="shared" si="242"/>
        <v/>
      </c>
      <c r="F1578" s="31"/>
      <c r="G1578" s="29"/>
      <c r="H1578" s="78" t="str">
        <f t="shared" si="246"/>
        <v/>
      </c>
      <c r="I1578" s="25"/>
      <c r="J1578" s="25"/>
      <c r="K1578" s="26"/>
      <c r="L1578" s="26"/>
      <c r="M1578" s="37"/>
      <c r="N1578" s="27"/>
      <c r="O1578" s="30"/>
      <c r="P1578" s="39" t="str">
        <f t="shared" si="247"/>
        <v/>
      </c>
      <c r="Q1578" s="40" t="str">
        <f>IF(OR(T1578=0,RIGHT(T1578,1)=$W$1),"",COUNTIF($T$3:T1578,T1578))</f>
        <v/>
      </c>
      <c r="S1578" s="6">
        <f t="shared" si="248"/>
        <v>0</v>
      </c>
      <c r="T1578" s="36">
        <f t="shared" si="249"/>
        <v>0</v>
      </c>
      <c r="V1578" s="6">
        <f t="shared" si="250"/>
        <v>0</v>
      </c>
      <c r="Y1578" s="8">
        <f t="shared" si="251"/>
        <v>46023</v>
      </c>
    </row>
    <row r="1579" spans="2:25" ht="18.75" x14ac:dyDescent="0.3">
      <c r="B1579" s="6">
        <f t="shared" si="243"/>
        <v>0</v>
      </c>
      <c r="C1579" s="6">
        <f t="shared" si="244"/>
        <v>0</v>
      </c>
      <c r="D1579" s="6" t="str">
        <f t="shared" si="245"/>
        <v/>
      </c>
      <c r="E1579" s="35" t="str">
        <f t="shared" si="242"/>
        <v/>
      </c>
      <c r="F1579" s="31"/>
      <c r="G1579" s="29"/>
      <c r="H1579" s="78" t="str">
        <f t="shared" si="246"/>
        <v/>
      </c>
      <c r="I1579" s="25"/>
      <c r="J1579" s="25"/>
      <c r="K1579" s="26"/>
      <c r="L1579" s="26"/>
      <c r="M1579" s="37"/>
      <c r="N1579" s="27"/>
      <c r="O1579" s="30"/>
      <c r="P1579" s="39" t="str">
        <f t="shared" si="247"/>
        <v/>
      </c>
      <c r="Q1579" s="40" t="str">
        <f>IF(OR(T1579=0,RIGHT(T1579,1)=$W$1),"",COUNTIF($T$3:T1579,T1579))</f>
        <v/>
      </c>
      <c r="S1579" s="6">
        <f t="shared" si="248"/>
        <v>0</v>
      </c>
      <c r="T1579" s="36">
        <f t="shared" si="249"/>
        <v>0</v>
      </c>
      <c r="V1579" s="6">
        <f t="shared" si="250"/>
        <v>0</v>
      </c>
      <c r="Y1579" s="8">
        <f t="shared" si="251"/>
        <v>46023</v>
      </c>
    </row>
    <row r="1580" spans="2:25" ht="18.75" x14ac:dyDescent="0.3">
      <c r="B1580" s="6">
        <f t="shared" si="243"/>
        <v>0</v>
      </c>
      <c r="C1580" s="6">
        <f t="shared" si="244"/>
        <v>0</v>
      </c>
      <c r="D1580" s="6" t="str">
        <f t="shared" si="245"/>
        <v/>
      </c>
      <c r="E1580" s="35" t="str">
        <f t="shared" si="242"/>
        <v/>
      </c>
      <c r="F1580" s="31"/>
      <c r="G1580" s="29"/>
      <c r="H1580" s="78" t="str">
        <f t="shared" si="246"/>
        <v/>
      </c>
      <c r="I1580" s="25"/>
      <c r="J1580" s="25"/>
      <c r="K1580" s="26"/>
      <c r="L1580" s="26"/>
      <c r="M1580" s="37"/>
      <c r="N1580" s="27"/>
      <c r="O1580" s="30"/>
      <c r="P1580" s="39" t="str">
        <f t="shared" si="247"/>
        <v/>
      </c>
      <c r="Q1580" s="40" t="str">
        <f>IF(OR(T1580=0,RIGHT(T1580,1)=$W$1),"",COUNTIF($T$3:T1580,T1580))</f>
        <v/>
      </c>
      <c r="S1580" s="6">
        <f t="shared" si="248"/>
        <v>0</v>
      </c>
      <c r="T1580" s="36">
        <f t="shared" si="249"/>
        <v>0</v>
      </c>
      <c r="V1580" s="6">
        <f t="shared" si="250"/>
        <v>0</v>
      </c>
      <c r="Y1580" s="8">
        <f t="shared" si="251"/>
        <v>46023</v>
      </c>
    </row>
    <row r="1581" spans="2:25" ht="18.75" x14ac:dyDescent="0.3">
      <c r="B1581" s="6">
        <f t="shared" si="243"/>
        <v>0</v>
      </c>
      <c r="C1581" s="6">
        <f t="shared" si="244"/>
        <v>0</v>
      </c>
      <c r="D1581" s="6" t="str">
        <f t="shared" si="245"/>
        <v/>
      </c>
      <c r="E1581" s="35" t="str">
        <f t="shared" si="242"/>
        <v/>
      </c>
      <c r="F1581" s="31"/>
      <c r="G1581" s="29"/>
      <c r="H1581" s="78" t="str">
        <f t="shared" si="246"/>
        <v/>
      </c>
      <c r="I1581" s="25"/>
      <c r="J1581" s="25"/>
      <c r="K1581" s="26"/>
      <c r="L1581" s="26"/>
      <c r="M1581" s="37"/>
      <c r="N1581" s="27"/>
      <c r="O1581" s="30"/>
      <c r="P1581" s="39" t="str">
        <f t="shared" si="247"/>
        <v/>
      </c>
      <c r="Q1581" s="40" t="str">
        <f>IF(OR(T1581=0,RIGHT(T1581,1)=$W$1),"",COUNTIF($T$3:T1581,T1581))</f>
        <v/>
      </c>
      <c r="S1581" s="6">
        <f t="shared" si="248"/>
        <v>0</v>
      </c>
      <c r="T1581" s="36">
        <f t="shared" si="249"/>
        <v>0</v>
      </c>
      <c r="V1581" s="6">
        <f t="shared" si="250"/>
        <v>0</v>
      </c>
      <c r="Y1581" s="8">
        <f t="shared" si="251"/>
        <v>46023</v>
      </c>
    </row>
    <row r="1582" spans="2:25" ht="18.75" x14ac:dyDescent="0.3">
      <c r="B1582" s="6">
        <f t="shared" si="243"/>
        <v>0</v>
      </c>
      <c r="C1582" s="6">
        <f t="shared" si="244"/>
        <v>0</v>
      </c>
      <c r="D1582" s="6" t="str">
        <f t="shared" si="245"/>
        <v/>
      </c>
      <c r="E1582" s="35" t="str">
        <f t="shared" si="242"/>
        <v/>
      </c>
      <c r="F1582" s="31"/>
      <c r="G1582" s="29"/>
      <c r="H1582" s="78" t="str">
        <f t="shared" si="246"/>
        <v/>
      </c>
      <c r="I1582" s="25"/>
      <c r="J1582" s="25"/>
      <c r="K1582" s="26"/>
      <c r="L1582" s="26"/>
      <c r="M1582" s="37"/>
      <c r="N1582" s="27"/>
      <c r="O1582" s="30"/>
      <c r="P1582" s="39" t="str">
        <f t="shared" si="247"/>
        <v/>
      </c>
      <c r="Q1582" s="40" t="str">
        <f>IF(OR(T1582=0,RIGHT(T1582,1)=$W$1),"",COUNTIF($T$3:T1582,T1582))</f>
        <v/>
      </c>
      <c r="S1582" s="6">
        <f t="shared" si="248"/>
        <v>0</v>
      </c>
      <c r="T1582" s="36">
        <f t="shared" si="249"/>
        <v>0</v>
      </c>
      <c r="V1582" s="6">
        <f t="shared" si="250"/>
        <v>0</v>
      </c>
      <c r="Y1582" s="8">
        <f t="shared" si="251"/>
        <v>46023</v>
      </c>
    </row>
    <row r="1583" spans="2:25" ht="18.75" x14ac:dyDescent="0.3">
      <c r="B1583" s="6">
        <f t="shared" si="243"/>
        <v>0</v>
      </c>
      <c r="C1583" s="6">
        <f t="shared" si="244"/>
        <v>0</v>
      </c>
      <c r="D1583" s="6" t="str">
        <f t="shared" si="245"/>
        <v/>
      </c>
      <c r="E1583" s="35" t="str">
        <f t="shared" si="242"/>
        <v/>
      </c>
      <c r="F1583" s="31"/>
      <c r="G1583" s="29"/>
      <c r="H1583" s="78" t="str">
        <f t="shared" si="246"/>
        <v/>
      </c>
      <c r="I1583" s="25"/>
      <c r="J1583" s="25"/>
      <c r="K1583" s="26"/>
      <c r="L1583" s="26"/>
      <c r="M1583" s="37"/>
      <c r="N1583" s="27"/>
      <c r="O1583" s="30"/>
      <c r="P1583" s="39" t="str">
        <f t="shared" si="247"/>
        <v/>
      </c>
      <c r="Q1583" s="40" t="str">
        <f>IF(OR(T1583=0,RIGHT(T1583,1)=$W$1),"",COUNTIF($T$3:T1583,T1583))</f>
        <v/>
      </c>
      <c r="S1583" s="6">
        <f t="shared" si="248"/>
        <v>0</v>
      </c>
      <c r="T1583" s="36">
        <f t="shared" si="249"/>
        <v>0</v>
      </c>
      <c r="V1583" s="6">
        <f t="shared" si="250"/>
        <v>0</v>
      </c>
      <c r="Y1583" s="8">
        <f t="shared" si="251"/>
        <v>46023</v>
      </c>
    </row>
    <row r="1584" spans="2:25" ht="18.75" x14ac:dyDescent="0.3">
      <c r="B1584" s="6">
        <f t="shared" si="243"/>
        <v>0</v>
      </c>
      <c r="C1584" s="6">
        <f t="shared" si="244"/>
        <v>0</v>
      </c>
      <c r="D1584" s="6" t="str">
        <f t="shared" si="245"/>
        <v/>
      </c>
      <c r="E1584" s="35" t="str">
        <f t="shared" si="242"/>
        <v/>
      </c>
      <c r="F1584" s="31"/>
      <c r="G1584" s="29"/>
      <c r="H1584" s="78" t="str">
        <f t="shared" si="246"/>
        <v/>
      </c>
      <c r="I1584" s="25"/>
      <c r="J1584" s="25"/>
      <c r="K1584" s="26"/>
      <c r="L1584" s="26"/>
      <c r="M1584" s="37"/>
      <c r="N1584" s="27"/>
      <c r="O1584" s="30"/>
      <c r="P1584" s="39" t="str">
        <f t="shared" si="247"/>
        <v/>
      </c>
      <c r="Q1584" s="40" t="str">
        <f>IF(OR(T1584=0,RIGHT(T1584,1)=$W$1),"",COUNTIF($T$3:T1584,T1584))</f>
        <v/>
      </c>
      <c r="S1584" s="6">
        <f t="shared" si="248"/>
        <v>0</v>
      </c>
      <c r="T1584" s="36">
        <f t="shared" si="249"/>
        <v>0</v>
      </c>
      <c r="V1584" s="6">
        <f t="shared" si="250"/>
        <v>0</v>
      </c>
      <c r="Y1584" s="8">
        <f t="shared" si="251"/>
        <v>46023</v>
      </c>
    </row>
    <row r="1585" spans="2:25" ht="18.75" x14ac:dyDescent="0.3">
      <c r="B1585" s="6">
        <f t="shared" si="243"/>
        <v>0</v>
      </c>
      <c r="C1585" s="6">
        <f t="shared" si="244"/>
        <v>0</v>
      </c>
      <c r="D1585" s="6" t="str">
        <f t="shared" si="245"/>
        <v/>
      </c>
      <c r="E1585" s="35" t="str">
        <f t="shared" si="242"/>
        <v/>
      </c>
      <c r="F1585" s="31"/>
      <c r="G1585" s="29"/>
      <c r="H1585" s="78" t="str">
        <f t="shared" si="246"/>
        <v/>
      </c>
      <c r="I1585" s="25"/>
      <c r="J1585" s="25"/>
      <c r="K1585" s="26"/>
      <c r="L1585" s="26"/>
      <c r="M1585" s="37"/>
      <c r="N1585" s="27"/>
      <c r="O1585" s="30"/>
      <c r="P1585" s="39" t="str">
        <f t="shared" si="247"/>
        <v/>
      </c>
      <c r="Q1585" s="40" t="str">
        <f>IF(OR(T1585=0,RIGHT(T1585,1)=$W$1),"",COUNTIF($T$3:T1585,T1585))</f>
        <v/>
      </c>
      <c r="S1585" s="6">
        <f t="shared" si="248"/>
        <v>0</v>
      </c>
      <c r="T1585" s="36">
        <f t="shared" si="249"/>
        <v>0</v>
      </c>
      <c r="V1585" s="6">
        <f t="shared" si="250"/>
        <v>0</v>
      </c>
      <c r="Y1585" s="8">
        <f t="shared" si="251"/>
        <v>46023</v>
      </c>
    </row>
    <row r="1586" spans="2:25" ht="18.75" x14ac:dyDescent="0.3">
      <c r="B1586" s="6">
        <f t="shared" si="243"/>
        <v>0</v>
      </c>
      <c r="C1586" s="6">
        <f t="shared" si="244"/>
        <v>0</v>
      </c>
      <c r="D1586" s="6" t="str">
        <f t="shared" si="245"/>
        <v/>
      </c>
      <c r="E1586" s="35" t="str">
        <f t="shared" si="242"/>
        <v/>
      </c>
      <c r="F1586" s="31"/>
      <c r="G1586" s="29"/>
      <c r="H1586" s="78" t="str">
        <f t="shared" si="246"/>
        <v/>
      </c>
      <c r="I1586" s="25"/>
      <c r="J1586" s="25"/>
      <c r="K1586" s="26"/>
      <c r="L1586" s="26"/>
      <c r="M1586" s="37"/>
      <c r="N1586" s="27"/>
      <c r="O1586" s="30"/>
      <c r="P1586" s="39" t="str">
        <f t="shared" si="247"/>
        <v/>
      </c>
      <c r="Q1586" s="40" t="str">
        <f>IF(OR(T1586=0,RIGHT(T1586,1)=$W$1),"",COUNTIF($T$3:T1586,T1586))</f>
        <v/>
      </c>
      <c r="S1586" s="6">
        <f t="shared" si="248"/>
        <v>0</v>
      </c>
      <c r="T1586" s="36">
        <f t="shared" si="249"/>
        <v>0</v>
      </c>
      <c r="V1586" s="6">
        <f t="shared" si="250"/>
        <v>0</v>
      </c>
      <c r="Y1586" s="8">
        <f t="shared" si="251"/>
        <v>46023</v>
      </c>
    </row>
    <row r="1587" spans="2:25" ht="18.75" x14ac:dyDescent="0.3">
      <c r="B1587" s="6">
        <f t="shared" si="243"/>
        <v>0</v>
      </c>
      <c r="C1587" s="6">
        <f t="shared" si="244"/>
        <v>0</v>
      </c>
      <c r="D1587" s="6" t="str">
        <f t="shared" si="245"/>
        <v/>
      </c>
      <c r="E1587" s="35" t="str">
        <f t="shared" si="242"/>
        <v/>
      </c>
      <c r="F1587" s="31"/>
      <c r="G1587" s="29"/>
      <c r="H1587" s="78" t="str">
        <f t="shared" si="246"/>
        <v/>
      </c>
      <c r="I1587" s="25"/>
      <c r="J1587" s="25"/>
      <c r="K1587" s="26"/>
      <c r="L1587" s="26"/>
      <c r="M1587" s="37"/>
      <c r="N1587" s="27"/>
      <c r="O1587" s="30"/>
      <c r="P1587" s="39" t="str">
        <f t="shared" si="247"/>
        <v/>
      </c>
      <c r="Q1587" s="40" t="str">
        <f>IF(OR(T1587=0,RIGHT(T1587,1)=$W$1),"",COUNTIF($T$3:T1587,T1587))</f>
        <v/>
      </c>
      <c r="S1587" s="6">
        <f t="shared" si="248"/>
        <v>0</v>
      </c>
      <c r="T1587" s="36">
        <f t="shared" si="249"/>
        <v>0</v>
      </c>
      <c r="V1587" s="6">
        <f t="shared" si="250"/>
        <v>0</v>
      </c>
      <c r="Y1587" s="8">
        <f t="shared" si="251"/>
        <v>46023</v>
      </c>
    </row>
    <row r="1588" spans="2:25" ht="18.75" x14ac:dyDescent="0.3">
      <c r="B1588" s="6">
        <f t="shared" si="243"/>
        <v>0</v>
      </c>
      <c r="C1588" s="6">
        <f t="shared" si="244"/>
        <v>0</v>
      </c>
      <c r="D1588" s="6" t="str">
        <f t="shared" si="245"/>
        <v/>
      </c>
      <c r="E1588" s="35" t="str">
        <f t="shared" si="242"/>
        <v/>
      </c>
      <c r="F1588" s="31"/>
      <c r="G1588" s="29"/>
      <c r="H1588" s="78" t="str">
        <f t="shared" si="246"/>
        <v/>
      </c>
      <c r="I1588" s="25"/>
      <c r="J1588" s="25"/>
      <c r="K1588" s="26"/>
      <c r="L1588" s="26"/>
      <c r="M1588" s="37"/>
      <c r="N1588" s="27"/>
      <c r="O1588" s="30"/>
      <c r="P1588" s="39" t="str">
        <f t="shared" si="247"/>
        <v/>
      </c>
      <c r="Q1588" s="40" t="str">
        <f>IF(OR(T1588=0,RIGHT(T1588,1)=$W$1),"",COUNTIF($T$3:T1588,T1588))</f>
        <v/>
      </c>
      <c r="S1588" s="6">
        <f t="shared" si="248"/>
        <v>0</v>
      </c>
      <c r="T1588" s="36">
        <f t="shared" si="249"/>
        <v>0</v>
      </c>
      <c r="V1588" s="6">
        <f t="shared" si="250"/>
        <v>0</v>
      </c>
      <c r="Y1588" s="8">
        <f t="shared" si="251"/>
        <v>46023</v>
      </c>
    </row>
    <row r="1589" spans="2:25" ht="18.75" x14ac:dyDescent="0.3">
      <c r="B1589" s="6">
        <f t="shared" si="243"/>
        <v>0</v>
      </c>
      <c r="C1589" s="6">
        <f t="shared" si="244"/>
        <v>0</v>
      </c>
      <c r="D1589" s="6" t="str">
        <f t="shared" si="245"/>
        <v/>
      </c>
      <c r="E1589" s="35" t="str">
        <f t="shared" si="242"/>
        <v/>
      </c>
      <c r="F1589" s="31"/>
      <c r="G1589" s="29"/>
      <c r="H1589" s="78" t="str">
        <f t="shared" si="246"/>
        <v/>
      </c>
      <c r="I1589" s="25"/>
      <c r="J1589" s="25"/>
      <c r="K1589" s="26"/>
      <c r="L1589" s="26"/>
      <c r="M1589" s="37"/>
      <c r="N1589" s="27"/>
      <c r="O1589" s="30"/>
      <c r="P1589" s="39" t="str">
        <f t="shared" si="247"/>
        <v/>
      </c>
      <c r="Q1589" s="40" t="str">
        <f>IF(OR(T1589=0,RIGHT(T1589,1)=$W$1),"",COUNTIF($T$3:T1589,T1589))</f>
        <v/>
      </c>
      <c r="S1589" s="6">
        <f t="shared" si="248"/>
        <v>0</v>
      </c>
      <c r="T1589" s="36">
        <f t="shared" si="249"/>
        <v>0</v>
      </c>
      <c r="V1589" s="6">
        <f t="shared" si="250"/>
        <v>0</v>
      </c>
      <c r="Y1589" s="8">
        <f t="shared" si="251"/>
        <v>46023</v>
      </c>
    </row>
    <row r="1590" spans="2:25" ht="18.75" x14ac:dyDescent="0.3">
      <c r="B1590" s="6">
        <f t="shared" si="243"/>
        <v>0</v>
      </c>
      <c r="C1590" s="6">
        <f t="shared" si="244"/>
        <v>0</v>
      </c>
      <c r="D1590" s="6" t="str">
        <f t="shared" si="245"/>
        <v/>
      </c>
      <c r="E1590" s="35" t="str">
        <f t="shared" si="242"/>
        <v/>
      </c>
      <c r="F1590" s="31"/>
      <c r="G1590" s="29"/>
      <c r="H1590" s="78" t="str">
        <f t="shared" si="246"/>
        <v/>
      </c>
      <c r="I1590" s="25"/>
      <c r="J1590" s="25"/>
      <c r="K1590" s="26"/>
      <c r="L1590" s="26"/>
      <c r="M1590" s="37"/>
      <c r="N1590" s="27"/>
      <c r="O1590" s="30"/>
      <c r="P1590" s="39" t="str">
        <f t="shared" si="247"/>
        <v/>
      </c>
      <c r="Q1590" s="40" t="str">
        <f>IF(OR(T1590=0,RIGHT(T1590,1)=$W$1),"",COUNTIF($T$3:T1590,T1590))</f>
        <v/>
      </c>
      <c r="S1590" s="6">
        <f t="shared" si="248"/>
        <v>0</v>
      </c>
      <c r="T1590" s="36">
        <f t="shared" si="249"/>
        <v>0</v>
      </c>
      <c r="V1590" s="6">
        <f t="shared" si="250"/>
        <v>0</v>
      </c>
      <c r="Y1590" s="8">
        <f t="shared" si="251"/>
        <v>46023</v>
      </c>
    </row>
    <row r="1591" spans="2:25" ht="18.75" x14ac:dyDescent="0.3">
      <c r="B1591" s="6">
        <f t="shared" si="243"/>
        <v>0</v>
      </c>
      <c r="C1591" s="6">
        <f t="shared" si="244"/>
        <v>0</v>
      </c>
      <c r="D1591" s="6" t="str">
        <f t="shared" si="245"/>
        <v/>
      </c>
      <c r="E1591" s="35" t="str">
        <f t="shared" si="242"/>
        <v/>
      </c>
      <c r="F1591" s="31"/>
      <c r="G1591" s="29"/>
      <c r="H1591" s="78" t="str">
        <f t="shared" si="246"/>
        <v/>
      </c>
      <c r="I1591" s="25"/>
      <c r="J1591" s="25"/>
      <c r="K1591" s="26"/>
      <c r="L1591" s="26"/>
      <c r="M1591" s="37"/>
      <c r="N1591" s="27"/>
      <c r="O1591" s="30"/>
      <c r="P1591" s="39" t="str">
        <f t="shared" si="247"/>
        <v/>
      </c>
      <c r="Q1591" s="40" t="str">
        <f>IF(OR(T1591=0,RIGHT(T1591,1)=$W$1),"",COUNTIF($T$3:T1591,T1591))</f>
        <v/>
      </c>
      <c r="S1591" s="6">
        <f t="shared" si="248"/>
        <v>0</v>
      </c>
      <c r="T1591" s="36">
        <f t="shared" si="249"/>
        <v>0</v>
      </c>
      <c r="V1591" s="6">
        <f t="shared" si="250"/>
        <v>0</v>
      </c>
      <c r="Y1591" s="8">
        <f t="shared" si="251"/>
        <v>46023</v>
      </c>
    </row>
    <row r="1592" spans="2:25" ht="18.75" x14ac:dyDescent="0.3">
      <c r="B1592" s="6">
        <f t="shared" si="243"/>
        <v>0</v>
      </c>
      <c r="C1592" s="6">
        <f t="shared" si="244"/>
        <v>0</v>
      </c>
      <c r="D1592" s="6" t="str">
        <f t="shared" si="245"/>
        <v/>
      </c>
      <c r="E1592" s="35" t="str">
        <f t="shared" si="242"/>
        <v/>
      </c>
      <c r="F1592" s="31"/>
      <c r="G1592" s="29"/>
      <c r="H1592" s="78" t="str">
        <f t="shared" si="246"/>
        <v/>
      </c>
      <c r="I1592" s="25"/>
      <c r="J1592" s="25"/>
      <c r="K1592" s="26"/>
      <c r="L1592" s="26"/>
      <c r="M1592" s="37"/>
      <c r="N1592" s="27"/>
      <c r="O1592" s="30"/>
      <c r="P1592" s="39" t="str">
        <f t="shared" si="247"/>
        <v/>
      </c>
      <c r="Q1592" s="40" t="str">
        <f>IF(OR(T1592=0,RIGHT(T1592,1)=$W$1),"",COUNTIF($T$3:T1592,T1592))</f>
        <v/>
      </c>
      <c r="S1592" s="6">
        <f t="shared" si="248"/>
        <v>0</v>
      </c>
      <c r="T1592" s="36">
        <f t="shared" si="249"/>
        <v>0</v>
      </c>
      <c r="V1592" s="6">
        <f t="shared" si="250"/>
        <v>0</v>
      </c>
      <c r="Y1592" s="8">
        <f t="shared" si="251"/>
        <v>46023</v>
      </c>
    </row>
    <row r="1593" spans="2:25" ht="18.75" x14ac:dyDescent="0.3">
      <c r="B1593" s="6">
        <f t="shared" si="243"/>
        <v>0</v>
      </c>
      <c r="C1593" s="6">
        <f t="shared" si="244"/>
        <v>0</v>
      </c>
      <c r="D1593" s="6" t="str">
        <f t="shared" si="245"/>
        <v/>
      </c>
      <c r="E1593" s="35" t="str">
        <f t="shared" si="242"/>
        <v/>
      </c>
      <c r="F1593" s="31"/>
      <c r="G1593" s="29"/>
      <c r="H1593" s="78" t="str">
        <f t="shared" si="246"/>
        <v/>
      </c>
      <c r="I1593" s="25"/>
      <c r="J1593" s="25"/>
      <c r="K1593" s="26"/>
      <c r="L1593" s="26"/>
      <c r="M1593" s="37"/>
      <c r="N1593" s="27"/>
      <c r="O1593" s="30"/>
      <c r="P1593" s="39" t="str">
        <f t="shared" si="247"/>
        <v/>
      </c>
      <c r="Q1593" s="40" t="str">
        <f>IF(OR(T1593=0,RIGHT(T1593,1)=$W$1),"",COUNTIF($T$3:T1593,T1593))</f>
        <v/>
      </c>
      <c r="S1593" s="6">
        <f t="shared" si="248"/>
        <v>0</v>
      </c>
      <c r="T1593" s="36">
        <f t="shared" si="249"/>
        <v>0</v>
      </c>
      <c r="V1593" s="6">
        <f t="shared" si="250"/>
        <v>0</v>
      </c>
      <c r="Y1593" s="8">
        <f t="shared" si="251"/>
        <v>46023</v>
      </c>
    </row>
    <row r="1594" spans="2:25" ht="18.75" x14ac:dyDescent="0.3">
      <c r="B1594" s="6">
        <f t="shared" si="243"/>
        <v>0</v>
      </c>
      <c r="C1594" s="6">
        <f t="shared" si="244"/>
        <v>0</v>
      </c>
      <c r="D1594" s="6" t="str">
        <f t="shared" si="245"/>
        <v/>
      </c>
      <c r="E1594" s="35" t="str">
        <f t="shared" si="242"/>
        <v/>
      </c>
      <c r="F1594" s="31"/>
      <c r="G1594" s="29"/>
      <c r="H1594" s="78" t="str">
        <f t="shared" si="246"/>
        <v/>
      </c>
      <c r="I1594" s="25"/>
      <c r="J1594" s="25"/>
      <c r="K1594" s="26"/>
      <c r="L1594" s="26"/>
      <c r="M1594" s="37"/>
      <c r="N1594" s="27"/>
      <c r="O1594" s="30"/>
      <c r="P1594" s="39" t="str">
        <f t="shared" si="247"/>
        <v/>
      </c>
      <c r="Q1594" s="40" t="str">
        <f>IF(OR(T1594=0,RIGHT(T1594,1)=$W$1),"",COUNTIF($T$3:T1594,T1594))</f>
        <v/>
      </c>
      <c r="S1594" s="6">
        <f t="shared" si="248"/>
        <v>0</v>
      </c>
      <c r="T1594" s="36">
        <f t="shared" si="249"/>
        <v>0</v>
      </c>
      <c r="V1594" s="6">
        <f t="shared" si="250"/>
        <v>0</v>
      </c>
      <c r="Y1594" s="8">
        <f t="shared" si="251"/>
        <v>46023</v>
      </c>
    </row>
    <row r="1595" spans="2:25" ht="18.75" x14ac:dyDescent="0.3">
      <c r="B1595" s="6">
        <f t="shared" si="243"/>
        <v>0</v>
      </c>
      <c r="C1595" s="6">
        <f t="shared" si="244"/>
        <v>0</v>
      </c>
      <c r="D1595" s="6" t="str">
        <f t="shared" si="245"/>
        <v/>
      </c>
      <c r="E1595" s="35" t="str">
        <f t="shared" si="242"/>
        <v/>
      </c>
      <c r="F1595" s="31"/>
      <c r="G1595" s="29"/>
      <c r="H1595" s="78" t="str">
        <f t="shared" si="246"/>
        <v/>
      </c>
      <c r="I1595" s="25"/>
      <c r="J1595" s="25"/>
      <c r="K1595" s="26"/>
      <c r="L1595" s="26"/>
      <c r="M1595" s="37"/>
      <c r="N1595" s="27"/>
      <c r="O1595" s="30"/>
      <c r="P1595" s="39" t="str">
        <f t="shared" si="247"/>
        <v/>
      </c>
      <c r="Q1595" s="40" t="str">
        <f>IF(OR(T1595=0,RIGHT(T1595,1)=$W$1),"",COUNTIF($T$3:T1595,T1595))</f>
        <v/>
      </c>
      <c r="S1595" s="6">
        <f t="shared" si="248"/>
        <v>0</v>
      </c>
      <c r="T1595" s="36">
        <f t="shared" si="249"/>
        <v>0</v>
      </c>
      <c r="V1595" s="6">
        <f t="shared" si="250"/>
        <v>0</v>
      </c>
      <c r="Y1595" s="8">
        <f t="shared" si="251"/>
        <v>46023</v>
      </c>
    </row>
    <row r="1596" spans="2:25" ht="18.75" x14ac:dyDescent="0.3">
      <c r="B1596" s="6">
        <f t="shared" si="243"/>
        <v>0</v>
      </c>
      <c r="C1596" s="6">
        <f t="shared" si="244"/>
        <v>0</v>
      </c>
      <c r="D1596" s="6" t="str">
        <f t="shared" si="245"/>
        <v/>
      </c>
      <c r="E1596" s="35" t="str">
        <f t="shared" si="242"/>
        <v/>
      </c>
      <c r="F1596" s="31"/>
      <c r="G1596" s="29"/>
      <c r="H1596" s="78" t="str">
        <f t="shared" si="246"/>
        <v/>
      </c>
      <c r="I1596" s="25"/>
      <c r="J1596" s="25"/>
      <c r="K1596" s="26"/>
      <c r="L1596" s="26"/>
      <c r="M1596" s="37"/>
      <c r="N1596" s="27"/>
      <c r="O1596" s="30"/>
      <c r="P1596" s="39" t="str">
        <f t="shared" si="247"/>
        <v/>
      </c>
      <c r="Q1596" s="40" t="str">
        <f>IF(OR(T1596=0,RIGHT(T1596,1)=$W$1),"",COUNTIF($T$3:T1596,T1596))</f>
        <v/>
      </c>
      <c r="S1596" s="6">
        <f t="shared" si="248"/>
        <v>0</v>
      </c>
      <c r="T1596" s="36">
        <f t="shared" si="249"/>
        <v>0</v>
      </c>
      <c r="V1596" s="6">
        <f t="shared" si="250"/>
        <v>0</v>
      </c>
      <c r="Y1596" s="8">
        <f t="shared" si="251"/>
        <v>46023</v>
      </c>
    </row>
    <row r="1597" spans="2:25" ht="18.75" x14ac:dyDescent="0.3">
      <c r="B1597" s="6">
        <f t="shared" si="243"/>
        <v>0</v>
      </c>
      <c r="C1597" s="6">
        <f t="shared" si="244"/>
        <v>0</v>
      </c>
      <c r="D1597" s="6" t="str">
        <f t="shared" si="245"/>
        <v/>
      </c>
      <c r="E1597" s="35" t="str">
        <f t="shared" si="242"/>
        <v/>
      </c>
      <c r="F1597" s="31"/>
      <c r="G1597" s="29"/>
      <c r="H1597" s="78" t="str">
        <f t="shared" si="246"/>
        <v/>
      </c>
      <c r="I1597" s="25"/>
      <c r="J1597" s="25"/>
      <c r="K1597" s="26"/>
      <c r="L1597" s="26"/>
      <c r="M1597" s="37"/>
      <c r="N1597" s="27"/>
      <c r="O1597" s="30"/>
      <c r="P1597" s="39" t="str">
        <f t="shared" si="247"/>
        <v/>
      </c>
      <c r="Q1597" s="40" t="str">
        <f>IF(OR(T1597=0,RIGHT(T1597,1)=$W$1),"",COUNTIF($T$3:T1597,T1597))</f>
        <v/>
      </c>
      <c r="S1597" s="6">
        <f t="shared" si="248"/>
        <v>0</v>
      </c>
      <c r="T1597" s="36">
        <f t="shared" si="249"/>
        <v>0</v>
      </c>
      <c r="V1597" s="6">
        <f t="shared" si="250"/>
        <v>0</v>
      </c>
      <c r="Y1597" s="8">
        <f t="shared" si="251"/>
        <v>46023</v>
      </c>
    </row>
    <row r="1598" spans="2:25" ht="18.75" x14ac:dyDescent="0.3">
      <c r="B1598" s="6">
        <f t="shared" si="243"/>
        <v>0</v>
      </c>
      <c r="C1598" s="6">
        <f t="shared" si="244"/>
        <v>0</v>
      </c>
      <c r="D1598" s="6" t="str">
        <f t="shared" si="245"/>
        <v/>
      </c>
      <c r="E1598" s="35" t="str">
        <f t="shared" si="242"/>
        <v/>
      </c>
      <c r="F1598" s="31"/>
      <c r="G1598" s="29"/>
      <c r="H1598" s="78" t="str">
        <f t="shared" si="246"/>
        <v/>
      </c>
      <c r="I1598" s="25"/>
      <c r="J1598" s="25"/>
      <c r="K1598" s="26"/>
      <c r="L1598" s="26"/>
      <c r="M1598" s="37"/>
      <c r="N1598" s="27"/>
      <c r="O1598" s="30"/>
      <c r="P1598" s="39" t="str">
        <f t="shared" si="247"/>
        <v/>
      </c>
      <c r="Q1598" s="40" t="str">
        <f>IF(OR(T1598=0,RIGHT(T1598,1)=$W$1),"",COUNTIF($T$3:T1598,T1598))</f>
        <v/>
      </c>
      <c r="S1598" s="6">
        <f t="shared" si="248"/>
        <v>0</v>
      </c>
      <c r="T1598" s="36">
        <f t="shared" si="249"/>
        <v>0</v>
      </c>
      <c r="V1598" s="6">
        <f t="shared" si="250"/>
        <v>0</v>
      </c>
      <c r="Y1598" s="8">
        <f t="shared" si="251"/>
        <v>46023</v>
      </c>
    </row>
    <row r="1599" spans="2:25" ht="18.75" x14ac:dyDescent="0.3">
      <c r="B1599" s="6">
        <f t="shared" si="243"/>
        <v>0</v>
      </c>
      <c r="C1599" s="6">
        <f t="shared" si="244"/>
        <v>0</v>
      </c>
      <c r="D1599" s="6" t="str">
        <f t="shared" si="245"/>
        <v/>
      </c>
      <c r="E1599" s="35" t="str">
        <f t="shared" si="242"/>
        <v/>
      </c>
      <c r="F1599" s="31"/>
      <c r="G1599" s="29"/>
      <c r="H1599" s="78" t="str">
        <f t="shared" si="246"/>
        <v/>
      </c>
      <c r="I1599" s="25"/>
      <c r="J1599" s="25"/>
      <c r="K1599" s="26"/>
      <c r="L1599" s="26"/>
      <c r="M1599" s="37"/>
      <c r="N1599" s="27"/>
      <c r="O1599" s="30"/>
      <c r="P1599" s="39" t="str">
        <f t="shared" si="247"/>
        <v/>
      </c>
      <c r="Q1599" s="40" t="str">
        <f>IF(OR(T1599=0,RIGHT(T1599,1)=$W$1),"",COUNTIF($T$3:T1599,T1599))</f>
        <v/>
      </c>
      <c r="S1599" s="6">
        <f t="shared" si="248"/>
        <v>0</v>
      </c>
      <c r="T1599" s="36">
        <f t="shared" si="249"/>
        <v>0</v>
      </c>
      <c r="V1599" s="6">
        <f t="shared" si="250"/>
        <v>0</v>
      </c>
      <c r="Y1599" s="8">
        <f t="shared" si="251"/>
        <v>46023</v>
      </c>
    </row>
    <row r="1600" spans="2:25" ht="18.75" x14ac:dyDescent="0.3">
      <c r="B1600" s="6">
        <f t="shared" si="243"/>
        <v>0</v>
      </c>
      <c r="C1600" s="6">
        <f t="shared" si="244"/>
        <v>0</v>
      </c>
      <c r="D1600" s="6" t="str">
        <f t="shared" si="245"/>
        <v/>
      </c>
      <c r="E1600" s="35" t="str">
        <f t="shared" si="242"/>
        <v/>
      </c>
      <c r="F1600" s="31"/>
      <c r="G1600" s="29"/>
      <c r="H1600" s="78" t="str">
        <f t="shared" si="246"/>
        <v/>
      </c>
      <c r="I1600" s="25"/>
      <c r="J1600" s="25"/>
      <c r="K1600" s="26"/>
      <c r="L1600" s="26"/>
      <c r="M1600" s="37"/>
      <c r="N1600" s="27"/>
      <c r="O1600" s="30"/>
      <c r="P1600" s="39" t="str">
        <f t="shared" si="247"/>
        <v/>
      </c>
      <c r="Q1600" s="40" t="str">
        <f>IF(OR(T1600=0,RIGHT(T1600,1)=$W$1),"",COUNTIF($T$3:T1600,T1600))</f>
        <v/>
      </c>
      <c r="S1600" s="6">
        <f t="shared" si="248"/>
        <v>0</v>
      </c>
      <c r="T1600" s="36">
        <f t="shared" si="249"/>
        <v>0</v>
      </c>
      <c r="V1600" s="6">
        <f t="shared" si="250"/>
        <v>0</v>
      </c>
      <c r="Y1600" s="8">
        <f t="shared" si="251"/>
        <v>46023</v>
      </c>
    </row>
    <row r="1601" spans="2:25" ht="18.75" x14ac:dyDescent="0.3">
      <c r="B1601" s="6">
        <f t="shared" si="243"/>
        <v>0</v>
      </c>
      <c r="C1601" s="6">
        <f t="shared" si="244"/>
        <v>0</v>
      </c>
      <c r="D1601" s="6" t="str">
        <f t="shared" si="245"/>
        <v/>
      </c>
      <c r="E1601" s="35" t="str">
        <f t="shared" si="242"/>
        <v/>
      </c>
      <c r="F1601" s="31"/>
      <c r="G1601" s="29"/>
      <c r="H1601" s="78" t="str">
        <f t="shared" si="246"/>
        <v/>
      </c>
      <c r="I1601" s="25"/>
      <c r="J1601" s="25"/>
      <c r="K1601" s="26"/>
      <c r="L1601" s="26"/>
      <c r="M1601" s="37"/>
      <c r="N1601" s="27"/>
      <c r="O1601" s="30"/>
      <c r="P1601" s="39" t="str">
        <f t="shared" si="247"/>
        <v/>
      </c>
      <c r="Q1601" s="40" t="str">
        <f>IF(OR(T1601=0,RIGHT(T1601,1)=$W$1),"",COUNTIF($T$3:T1601,T1601))</f>
        <v/>
      </c>
      <c r="S1601" s="6">
        <f t="shared" si="248"/>
        <v>0</v>
      </c>
      <c r="T1601" s="36">
        <f t="shared" si="249"/>
        <v>0</v>
      </c>
      <c r="V1601" s="6">
        <f t="shared" si="250"/>
        <v>0</v>
      </c>
      <c r="Y1601" s="8">
        <f t="shared" si="251"/>
        <v>46023</v>
      </c>
    </row>
    <row r="1602" spans="2:25" ht="18.75" x14ac:dyDescent="0.3">
      <c r="B1602" s="6">
        <f t="shared" si="243"/>
        <v>0</v>
      </c>
      <c r="C1602" s="6">
        <f t="shared" si="244"/>
        <v>0</v>
      </c>
      <c r="D1602" s="6" t="str">
        <f t="shared" si="245"/>
        <v/>
      </c>
      <c r="E1602" s="35" t="str">
        <f t="shared" si="242"/>
        <v/>
      </c>
      <c r="F1602" s="31"/>
      <c r="G1602" s="29"/>
      <c r="H1602" s="78" t="str">
        <f t="shared" si="246"/>
        <v/>
      </c>
      <c r="I1602" s="25"/>
      <c r="J1602" s="25"/>
      <c r="K1602" s="26"/>
      <c r="L1602" s="26"/>
      <c r="M1602" s="37"/>
      <c r="N1602" s="27"/>
      <c r="O1602" s="30"/>
      <c r="P1602" s="39" t="str">
        <f t="shared" si="247"/>
        <v/>
      </c>
      <c r="Q1602" s="40" t="str">
        <f>IF(OR(T1602=0,RIGHT(T1602,1)=$W$1),"",COUNTIF($T$3:T1602,T1602))</f>
        <v/>
      </c>
      <c r="S1602" s="6">
        <f t="shared" si="248"/>
        <v>0</v>
      </c>
      <c r="T1602" s="36">
        <f t="shared" si="249"/>
        <v>0</v>
      </c>
      <c r="V1602" s="6">
        <f t="shared" si="250"/>
        <v>0</v>
      </c>
      <c r="Y1602" s="8">
        <f t="shared" si="251"/>
        <v>46023</v>
      </c>
    </row>
    <row r="1603" spans="2:25" ht="18.75" x14ac:dyDescent="0.3">
      <c r="B1603" s="6">
        <f t="shared" si="243"/>
        <v>0</v>
      </c>
      <c r="C1603" s="6">
        <f t="shared" si="244"/>
        <v>0</v>
      </c>
      <c r="D1603" s="6" t="str">
        <f t="shared" si="245"/>
        <v/>
      </c>
      <c r="E1603" s="35" t="str">
        <f t="shared" ref="E1603:E1666" si="252">IF(D1603&lt;&gt;"",D1603&amp;" - "&amp;YEAR(F1603),"")</f>
        <v/>
      </c>
      <c r="F1603" s="31"/>
      <c r="G1603" s="29"/>
      <c r="H1603" s="78" t="str">
        <f t="shared" si="246"/>
        <v/>
      </c>
      <c r="I1603" s="25"/>
      <c r="J1603" s="25"/>
      <c r="K1603" s="26"/>
      <c r="L1603" s="26"/>
      <c r="M1603" s="37"/>
      <c r="N1603" s="27"/>
      <c r="O1603" s="30"/>
      <c r="P1603" s="39" t="str">
        <f t="shared" si="247"/>
        <v/>
      </c>
      <c r="Q1603" s="40" t="str">
        <f>IF(OR(T1603=0,RIGHT(T1603,1)=$W$1),"",COUNTIF($T$3:T1603,T1603))</f>
        <v/>
      </c>
      <c r="S1603" s="6">
        <f t="shared" si="248"/>
        <v>0</v>
      </c>
      <c r="T1603" s="36">
        <f t="shared" si="249"/>
        <v>0</v>
      </c>
      <c r="V1603" s="6">
        <f t="shared" si="250"/>
        <v>0</v>
      </c>
      <c r="Y1603" s="8">
        <f t="shared" si="251"/>
        <v>46023</v>
      </c>
    </row>
    <row r="1604" spans="2:25" ht="18.75" x14ac:dyDescent="0.3">
      <c r="B1604" s="6">
        <f t="shared" ref="B1604:B1667" si="253">IF($B$1=YEAR(F1604),B1603+1,B1603)</f>
        <v>0</v>
      </c>
      <c r="C1604" s="6">
        <f t="shared" ref="C1604:C1667" si="254">IF(AND($C$1=K1604,$Y$1=YEAR(F1604)),C1603+1,C1603)</f>
        <v>0</v>
      </c>
      <c r="D1604" s="6" t="str">
        <f t="shared" ref="D1604:D1667" si="255">IF(F1604&lt;&gt;0,IF(YEAR(F1604)&lt;&gt;YEAR(F1603),1,IF(M1604=$AI$1,D1603,D1603+1)),"")</f>
        <v/>
      </c>
      <c r="E1604" s="35" t="str">
        <f t="shared" si="252"/>
        <v/>
      </c>
      <c r="F1604" s="31"/>
      <c r="G1604" s="29"/>
      <c r="H1604" s="78" t="str">
        <f t="shared" ref="H1604:H1667" si="256">IF(G1604&lt;&gt;"",F1604,"")</f>
        <v/>
      </c>
      <c r="I1604" s="25"/>
      <c r="J1604" s="25"/>
      <c r="K1604" s="26"/>
      <c r="L1604" s="26"/>
      <c r="M1604" s="37"/>
      <c r="N1604" s="27"/>
      <c r="O1604" s="30"/>
      <c r="P1604" s="39" t="str">
        <f t="shared" ref="P1604:P1667" si="257">IF(OR(T1604=0,RIGHT(T1604,1)=$W$1),"",VLOOKUP(K1604,$AD$1:$AK$15,5,FALSE))</f>
        <v/>
      </c>
      <c r="Q1604" s="40" t="str">
        <f>IF(OR(T1604=0,RIGHT(T1604,1)=$W$1),"",COUNTIF($T$3:T1604,T1604))</f>
        <v/>
      </c>
      <c r="S1604" s="6">
        <f t="shared" ref="S1604:S1667" si="258">IF(AND($C$1=K1604,$Y$1=YEAR(F1604)),C1604,0)</f>
        <v>0</v>
      </c>
      <c r="T1604" s="36">
        <f t="shared" ref="T1604:T1667" si="259">IF(F1604=0,0,YEAR(F1604)&amp;VLOOKUP(K1604,$AD$1:$AE$15,2,FALSE))</f>
        <v>0</v>
      </c>
      <c r="V1604" s="6">
        <f t="shared" ref="V1604:V1667" si="260">IF(AND(YEAR(F1604)=$Y$1,K1604=$C$1,L1604&amp;$V$1&lt;&gt;$V$1),L1604,IF(AND(YEAR(F1604)=$Y$1,K1604=$C$1),1,0))</f>
        <v>0</v>
      </c>
      <c r="Y1604" s="8">
        <f t="shared" ref="Y1604:Y1667" si="261">IF(M1604&lt;&gt;$AI$1,$Y$2,F1603)</f>
        <v>46023</v>
      </c>
    </row>
    <row r="1605" spans="2:25" ht="18.75" x14ac:dyDescent="0.3">
      <c r="B1605" s="6">
        <f t="shared" si="253"/>
        <v>0</v>
      </c>
      <c r="C1605" s="6">
        <f t="shared" si="254"/>
        <v>0</v>
      </c>
      <c r="D1605" s="6" t="str">
        <f t="shared" si="255"/>
        <v/>
      </c>
      <c r="E1605" s="35" t="str">
        <f t="shared" si="252"/>
        <v/>
      </c>
      <c r="F1605" s="31"/>
      <c r="G1605" s="29"/>
      <c r="H1605" s="78" t="str">
        <f t="shared" si="256"/>
        <v/>
      </c>
      <c r="I1605" s="25"/>
      <c r="J1605" s="25"/>
      <c r="K1605" s="26"/>
      <c r="L1605" s="26"/>
      <c r="M1605" s="37"/>
      <c r="N1605" s="27"/>
      <c r="O1605" s="30"/>
      <c r="P1605" s="39" t="str">
        <f t="shared" si="257"/>
        <v/>
      </c>
      <c r="Q1605" s="40" t="str">
        <f>IF(OR(T1605=0,RIGHT(T1605,1)=$W$1),"",COUNTIF($T$3:T1605,T1605))</f>
        <v/>
      </c>
      <c r="S1605" s="6">
        <f t="shared" si="258"/>
        <v>0</v>
      </c>
      <c r="T1605" s="36">
        <f t="shared" si="259"/>
        <v>0</v>
      </c>
      <c r="V1605" s="6">
        <f t="shared" si="260"/>
        <v>0</v>
      </c>
      <c r="Y1605" s="8">
        <f t="shared" si="261"/>
        <v>46023</v>
      </c>
    </row>
    <row r="1606" spans="2:25" ht="18.75" x14ac:dyDescent="0.3">
      <c r="B1606" s="6">
        <f t="shared" si="253"/>
        <v>0</v>
      </c>
      <c r="C1606" s="6">
        <f t="shared" si="254"/>
        <v>0</v>
      </c>
      <c r="D1606" s="6" t="str">
        <f t="shared" si="255"/>
        <v/>
      </c>
      <c r="E1606" s="35" t="str">
        <f t="shared" si="252"/>
        <v/>
      </c>
      <c r="F1606" s="31"/>
      <c r="G1606" s="29"/>
      <c r="H1606" s="78" t="str">
        <f t="shared" si="256"/>
        <v/>
      </c>
      <c r="I1606" s="25"/>
      <c r="J1606" s="25"/>
      <c r="K1606" s="26"/>
      <c r="L1606" s="26"/>
      <c r="M1606" s="37"/>
      <c r="N1606" s="27"/>
      <c r="O1606" s="30"/>
      <c r="P1606" s="39" t="str">
        <f t="shared" si="257"/>
        <v/>
      </c>
      <c r="Q1606" s="40" t="str">
        <f>IF(OR(T1606=0,RIGHT(T1606,1)=$W$1),"",COUNTIF($T$3:T1606,T1606))</f>
        <v/>
      </c>
      <c r="S1606" s="6">
        <f t="shared" si="258"/>
        <v>0</v>
      </c>
      <c r="T1606" s="36">
        <f t="shared" si="259"/>
        <v>0</v>
      </c>
      <c r="V1606" s="6">
        <f t="shared" si="260"/>
        <v>0</v>
      </c>
      <c r="Y1606" s="8">
        <f t="shared" si="261"/>
        <v>46023</v>
      </c>
    </row>
    <row r="1607" spans="2:25" ht="18.75" x14ac:dyDescent="0.3">
      <c r="B1607" s="6">
        <f t="shared" si="253"/>
        <v>0</v>
      </c>
      <c r="C1607" s="6">
        <f t="shared" si="254"/>
        <v>0</v>
      </c>
      <c r="D1607" s="6" t="str">
        <f t="shared" si="255"/>
        <v/>
      </c>
      <c r="E1607" s="35" t="str">
        <f t="shared" si="252"/>
        <v/>
      </c>
      <c r="F1607" s="31"/>
      <c r="G1607" s="29"/>
      <c r="H1607" s="78" t="str">
        <f t="shared" si="256"/>
        <v/>
      </c>
      <c r="I1607" s="25"/>
      <c r="J1607" s="25"/>
      <c r="K1607" s="26"/>
      <c r="L1607" s="26"/>
      <c r="M1607" s="37"/>
      <c r="N1607" s="27"/>
      <c r="O1607" s="30"/>
      <c r="P1607" s="39" t="str">
        <f t="shared" si="257"/>
        <v/>
      </c>
      <c r="Q1607" s="40" t="str">
        <f>IF(OR(T1607=0,RIGHT(T1607,1)=$W$1),"",COUNTIF($T$3:T1607,T1607))</f>
        <v/>
      </c>
      <c r="S1607" s="6">
        <f t="shared" si="258"/>
        <v>0</v>
      </c>
      <c r="T1607" s="36">
        <f t="shared" si="259"/>
        <v>0</v>
      </c>
      <c r="V1607" s="6">
        <f t="shared" si="260"/>
        <v>0</v>
      </c>
      <c r="Y1607" s="8">
        <f t="shared" si="261"/>
        <v>46023</v>
      </c>
    </row>
    <row r="1608" spans="2:25" ht="18.75" x14ac:dyDescent="0.3">
      <c r="B1608" s="6">
        <f t="shared" si="253"/>
        <v>0</v>
      </c>
      <c r="C1608" s="6">
        <f t="shared" si="254"/>
        <v>0</v>
      </c>
      <c r="D1608" s="6" t="str">
        <f t="shared" si="255"/>
        <v/>
      </c>
      <c r="E1608" s="35" t="str">
        <f t="shared" si="252"/>
        <v/>
      </c>
      <c r="F1608" s="31"/>
      <c r="G1608" s="29"/>
      <c r="H1608" s="78" t="str">
        <f t="shared" si="256"/>
        <v/>
      </c>
      <c r="I1608" s="25"/>
      <c r="J1608" s="25"/>
      <c r="K1608" s="26"/>
      <c r="L1608" s="26"/>
      <c r="M1608" s="37"/>
      <c r="N1608" s="27"/>
      <c r="O1608" s="30"/>
      <c r="P1608" s="39" t="str">
        <f t="shared" si="257"/>
        <v/>
      </c>
      <c r="Q1608" s="40" t="str">
        <f>IF(OR(T1608=0,RIGHT(T1608,1)=$W$1),"",COUNTIF($T$3:T1608,T1608))</f>
        <v/>
      </c>
      <c r="S1608" s="6">
        <f t="shared" si="258"/>
        <v>0</v>
      </c>
      <c r="T1608" s="36">
        <f t="shared" si="259"/>
        <v>0</v>
      </c>
      <c r="V1608" s="6">
        <f t="shared" si="260"/>
        <v>0</v>
      </c>
      <c r="Y1608" s="8">
        <f t="shared" si="261"/>
        <v>46023</v>
      </c>
    </row>
    <row r="1609" spans="2:25" ht="18.75" x14ac:dyDescent="0.3">
      <c r="B1609" s="6">
        <f t="shared" si="253"/>
        <v>0</v>
      </c>
      <c r="C1609" s="6">
        <f t="shared" si="254"/>
        <v>0</v>
      </c>
      <c r="D1609" s="6" t="str">
        <f t="shared" si="255"/>
        <v/>
      </c>
      <c r="E1609" s="35" t="str">
        <f t="shared" si="252"/>
        <v/>
      </c>
      <c r="F1609" s="31"/>
      <c r="G1609" s="29"/>
      <c r="H1609" s="78" t="str">
        <f t="shared" si="256"/>
        <v/>
      </c>
      <c r="I1609" s="25"/>
      <c r="J1609" s="25"/>
      <c r="K1609" s="26"/>
      <c r="L1609" s="26"/>
      <c r="M1609" s="37"/>
      <c r="N1609" s="27"/>
      <c r="O1609" s="30"/>
      <c r="P1609" s="39" t="str">
        <f t="shared" si="257"/>
        <v/>
      </c>
      <c r="Q1609" s="40" t="str">
        <f>IF(OR(T1609=0,RIGHT(T1609,1)=$W$1),"",COUNTIF($T$3:T1609,T1609))</f>
        <v/>
      </c>
      <c r="S1609" s="6">
        <f t="shared" si="258"/>
        <v>0</v>
      </c>
      <c r="T1609" s="36">
        <f t="shared" si="259"/>
        <v>0</v>
      </c>
      <c r="V1609" s="6">
        <f t="shared" si="260"/>
        <v>0</v>
      </c>
      <c r="Y1609" s="8">
        <f t="shared" si="261"/>
        <v>46023</v>
      </c>
    </row>
    <row r="1610" spans="2:25" ht="18.75" x14ac:dyDescent="0.3">
      <c r="B1610" s="6">
        <f t="shared" si="253"/>
        <v>0</v>
      </c>
      <c r="C1610" s="6">
        <f t="shared" si="254"/>
        <v>0</v>
      </c>
      <c r="D1610" s="6" t="str">
        <f t="shared" si="255"/>
        <v/>
      </c>
      <c r="E1610" s="35" t="str">
        <f t="shared" si="252"/>
        <v/>
      </c>
      <c r="F1610" s="31"/>
      <c r="G1610" s="29"/>
      <c r="H1610" s="78" t="str">
        <f t="shared" si="256"/>
        <v/>
      </c>
      <c r="I1610" s="25"/>
      <c r="J1610" s="25"/>
      <c r="K1610" s="26"/>
      <c r="L1610" s="26"/>
      <c r="M1610" s="37"/>
      <c r="N1610" s="27"/>
      <c r="O1610" s="30"/>
      <c r="P1610" s="39" t="str">
        <f t="shared" si="257"/>
        <v/>
      </c>
      <c r="Q1610" s="40" t="str">
        <f>IF(OR(T1610=0,RIGHT(T1610,1)=$W$1),"",COUNTIF($T$3:T1610,T1610))</f>
        <v/>
      </c>
      <c r="S1610" s="6">
        <f t="shared" si="258"/>
        <v>0</v>
      </c>
      <c r="T1610" s="36">
        <f t="shared" si="259"/>
        <v>0</v>
      </c>
      <c r="V1610" s="6">
        <f t="shared" si="260"/>
        <v>0</v>
      </c>
      <c r="Y1610" s="8">
        <f t="shared" si="261"/>
        <v>46023</v>
      </c>
    </row>
    <row r="1611" spans="2:25" ht="18.75" x14ac:dyDescent="0.3">
      <c r="B1611" s="6">
        <f t="shared" si="253"/>
        <v>0</v>
      </c>
      <c r="C1611" s="6">
        <f t="shared" si="254"/>
        <v>0</v>
      </c>
      <c r="D1611" s="6" t="str">
        <f t="shared" si="255"/>
        <v/>
      </c>
      <c r="E1611" s="35" t="str">
        <f t="shared" si="252"/>
        <v/>
      </c>
      <c r="F1611" s="31"/>
      <c r="G1611" s="29"/>
      <c r="H1611" s="78" t="str">
        <f t="shared" si="256"/>
        <v/>
      </c>
      <c r="I1611" s="25"/>
      <c r="J1611" s="25"/>
      <c r="K1611" s="26"/>
      <c r="L1611" s="26"/>
      <c r="M1611" s="37"/>
      <c r="N1611" s="27"/>
      <c r="O1611" s="30"/>
      <c r="P1611" s="39" t="str">
        <f t="shared" si="257"/>
        <v/>
      </c>
      <c r="Q1611" s="40" t="str">
        <f>IF(OR(T1611=0,RIGHT(T1611,1)=$W$1),"",COUNTIF($T$3:T1611,T1611))</f>
        <v/>
      </c>
      <c r="S1611" s="6">
        <f t="shared" si="258"/>
        <v>0</v>
      </c>
      <c r="T1611" s="36">
        <f t="shared" si="259"/>
        <v>0</v>
      </c>
      <c r="V1611" s="6">
        <f t="shared" si="260"/>
        <v>0</v>
      </c>
      <c r="Y1611" s="8">
        <f t="shared" si="261"/>
        <v>46023</v>
      </c>
    </row>
    <row r="1612" spans="2:25" ht="18.75" x14ac:dyDescent="0.3">
      <c r="B1612" s="6">
        <f t="shared" si="253"/>
        <v>0</v>
      </c>
      <c r="C1612" s="6">
        <f t="shared" si="254"/>
        <v>0</v>
      </c>
      <c r="D1612" s="6" t="str">
        <f t="shared" si="255"/>
        <v/>
      </c>
      <c r="E1612" s="35" t="str">
        <f t="shared" si="252"/>
        <v/>
      </c>
      <c r="F1612" s="31"/>
      <c r="G1612" s="29"/>
      <c r="H1612" s="78" t="str">
        <f t="shared" si="256"/>
        <v/>
      </c>
      <c r="I1612" s="25"/>
      <c r="J1612" s="25"/>
      <c r="K1612" s="26"/>
      <c r="L1612" s="26"/>
      <c r="M1612" s="37"/>
      <c r="N1612" s="27"/>
      <c r="O1612" s="30"/>
      <c r="P1612" s="39" t="str">
        <f t="shared" si="257"/>
        <v/>
      </c>
      <c r="Q1612" s="40" t="str">
        <f>IF(OR(T1612=0,RIGHT(T1612,1)=$W$1),"",COUNTIF($T$3:T1612,T1612))</f>
        <v/>
      </c>
      <c r="S1612" s="6">
        <f t="shared" si="258"/>
        <v>0</v>
      </c>
      <c r="T1612" s="36">
        <f t="shared" si="259"/>
        <v>0</v>
      </c>
      <c r="V1612" s="6">
        <f t="shared" si="260"/>
        <v>0</v>
      </c>
      <c r="Y1612" s="8">
        <f t="shared" si="261"/>
        <v>46023</v>
      </c>
    </row>
    <row r="1613" spans="2:25" ht="18.75" x14ac:dyDescent="0.3">
      <c r="B1613" s="6">
        <f t="shared" si="253"/>
        <v>0</v>
      </c>
      <c r="C1613" s="6">
        <f t="shared" si="254"/>
        <v>0</v>
      </c>
      <c r="D1613" s="6" t="str">
        <f t="shared" si="255"/>
        <v/>
      </c>
      <c r="E1613" s="35" t="str">
        <f t="shared" si="252"/>
        <v/>
      </c>
      <c r="F1613" s="31"/>
      <c r="G1613" s="29"/>
      <c r="H1613" s="78" t="str">
        <f t="shared" si="256"/>
        <v/>
      </c>
      <c r="I1613" s="25"/>
      <c r="J1613" s="25"/>
      <c r="K1613" s="26"/>
      <c r="L1613" s="26"/>
      <c r="M1613" s="37"/>
      <c r="N1613" s="27"/>
      <c r="O1613" s="30"/>
      <c r="P1613" s="39" t="str">
        <f t="shared" si="257"/>
        <v/>
      </c>
      <c r="Q1613" s="40" t="str">
        <f>IF(OR(T1613=0,RIGHT(T1613,1)=$W$1),"",COUNTIF($T$3:T1613,T1613))</f>
        <v/>
      </c>
      <c r="S1613" s="6">
        <f t="shared" si="258"/>
        <v>0</v>
      </c>
      <c r="T1613" s="36">
        <f t="shared" si="259"/>
        <v>0</v>
      </c>
      <c r="V1613" s="6">
        <f t="shared" si="260"/>
        <v>0</v>
      </c>
      <c r="Y1613" s="8">
        <f t="shared" si="261"/>
        <v>46023</v>
      </c>
    </row>
    <row r="1614" spans="2:25" ht="18.75" x14ac:dyDescent="0.3">
      <c r="B1614" s="6">
        <f t="shared" si="253"/>
        <v>0</v>
      </c>
      <c r="C1614" s="6">
        <f t="shared" si="254"/>
        <v>0</v>
      </c>
      <c r="D1614" s="6" t="str">
        <f t="shared" si="255"/>
        <v/>
      </c>
      <c r="E1614" s="35" t="str">
        <f t="shared" si="252"/>
        <v/>
      </c>
      <c r="F1614" s="31"/>
      <c r="G1614" s="29"/>
      <c r="H1614" s="78" t="str">
        <f t="shared" si="256"/>
        <v/>
      </c>
      <c r="I1614" s="25"/>
      <c r="J1614" s="25"/>
      <c r="K1614" s="26"/>
      <c r="L1614" s="26"/>
      <c r="M1614" s="37"/>
      <c r="N1614" s="27"/>
      <c r="O1614" s="30"/>
      <c r="P1614" s="39" t="str">
        <f t="shared" si="257"/>
        <v/>
      </c>
      <c r="Q1614" s="40" t="str">
        <f>IF(OR(T1614=0,RIGHT(T1614,1)=$W$1),"",COUNTIF($T$3:T1614,T1614))</f>
        <v/>
      </c>
      <c r="S1614" s="6">
        <f t="shared" si="258"/>
        <v>0</v>
      </c>
      <c r="T1614" s="36">
        <f t="shared" si="259"/>
        <v>0</v>
      </c>
      <c r="V1614" s="6">
        <f t="shared" si="260"/>
        <v>0</v>
      </c>
      <c r="Y1614" s="8">
        <f t="shared" si="261"/>
        <v>46023</v>
      </c>
    </row>
    <row r="1615" spans="2:25" ht="18.75" x14ac:dyDescent="0.3">
      <c r="B1615" s="6">
        <f t="shared" si="253"/>
        <v>0</v>
      </c>
      <c r="C1615" s="6">
        <f t="shared" si="254"/>
        <v>0</v>
      </c>
      <c r="D1615" s="6" t="str">
        <f t="shared" si="255"/>
        <v/>
      </c>
      <c r="E1615" s="35" t="str">
        <f t="shared" si="252"/>
        <v/>
      </c>
      <c r="F1615" s="31"/>
      <c r="G1615" s="29"/>
      <c r="H1615" s="78" t="str">
        <f t="shared" si="256"/>
        <v/>
      </c>
      <c r="I1615" s="25"/>
      <c r="J1615" s="25"/>
      <c r="K1615" s="26"/>
      <c r="L1615" s="26"/>
      <c r="M1615" s="37"/>
      <c r="N1615" s="27"/>
      <c r="O1615" s="30"/>
      <c r="P1615" s="39" t="str">
        <f t="shared" si="257"/>
        <v/>
      </c>
      <c r="Q1615" s="40" t="str">
        <f>IF(OR(T1615=0,RIGHT(T1615,1)=$W$1),"",COUNTIF($T$3:T1615,T1615))</f>
        <v/>
      </c>
      <c r="S1615" s="6">
        <f t="shared" si="258"/>
        <v>0</v>
      </c>
      <c r="T1615" s="36">
        <f t="shared" si="259"/>
        <v>0</v>
      </c>
      <c r="V1615" s="6">
        <f t="shared" si="260"/>
        <v>0</v>
      </c>
      <c r="Y1615" s="8">
        <f t="shared" si="261"/>
        <v>46023</v>
      </c>
    </row>
    <row r="1616" spans="2:25" ht="18.75" x14ac:dyDescent="0.3">
      <c r="B1616" s="6">
        <f t="shared" si="253"/>
        <v>0</v>
      </c>
      <c r="C1616" s="6">
        <f t="shared" si="254"/>
        <v>0</v>
      </c>
      <c r="D1616" s="6" t="str">
        <f t="shared" si="255"/>
        <v/>
      </c>
      <c r="E1616" s="35" t="str">
        <f t="shared" si="252"/>
        <v/>
      </c>
      <c r="F1616" s="31"/>
      <c r="G1616" s="29"/>
      <c r="H1616" s="78" t="str">
        <f t="shared" si="256"/>
        <v/>
      </c>
      <c r="I1616" s="25"/>
      <c r="J1616" s="25"/>
      <c r="K1616" s="26"/>
      <c r="L1616" s="26"/>
      <c r="M1616" s="37"/>
      <c r="N1616" s="27"/>
      <c r="O1616" s="30"/>
      <c r="P1616" s="39" t="str">
        <f t="shared" si="257"/>
        <v/>
      </c>
      <c r="Q1616" s="40" t="str">
        <f>IF(OR(T1616=0,RIGHT(T1616,1)=$W$1),"",COUNTIF($T$3:T1616,T1616))</f>
        <v/>
      </c>
      <c r="S1616" s="6">
        <f t="shared" si="258"/>
        <v>0</v>
      </c>
      <c r="T1616" s="36">
        <f t="shared" si="259"/>
        <v>0</v>
      </c>
      <c r="V1616" s="6">
        <f t="shared" si="260"/>
        <v>0</v>
      </c>
      <c r="Y1616" s="8">
        <f t="shared" si="261"/>
        <v>46023</v>
      </c>
    </row>
    <row r="1617" spans="2:25" ht="18.75" x14ac:dyDescent="0.3">
      <c r="B1617" s="6">
        <f t="shared" si="253"/>
        <v>0</v>
      </c>
      <c r="C1617" s="6">
        <f t="shared" si="254"/>
        <v>0</v>
      </c>
      <c r="D1617" s="6" t="str">
        <f t="shared" si="255"/>
        <v/>
      </c>
      <c r="E1617" s="35" t="str">
        <f t="shared" si="252"/>
        <v/>
      </c>
      <c r="F1617" s="31"/>
      <c r="G1617" s="29"/>
      <c r="H1617" s="78" t="str">
        <f t="shared" si="256"/>
        <v/>
      </c>
      <c r="I1617" s="25"/>
      <c r="J1617" s="25"/>
      <c r="K1617" s="26"/>
      <c r="L1617" s="26"/>
      <c r="M1617" s="37"/>
      <c r="N1617" s="27"/>
      <c r="O1617" s="30"/>
      <c r="P1617" s="39" t="str">
        <f t="shared" si="257"/>
        <v/>
      </c>
      <c r="Q1617" s="40" t="str">
        <f>IF(OR(T1617=0,RIGHT(T1617,1)=$W$1),"",COUNTIF($T$3:T1617,T1617))</f>
        <v/>
      </c>
      <c r="S1617" s="6">
        <f t="shared" si="258"/>
        <v>0</v>
      </c>
      <c r="T1617" s="36">
        <f t="shared" si="259"/>
        <v>0</v>
      </c>
      <c r="V1617" s="6">
        <f t="shared" si="260"/>
        <v>0</v>
      </c>
      <c r="Y1617" s="8">
        <f t="shared" si="261"/>
        <v>46023</v>
      </c>
    </row>
    <row r="1618" spans="2:25" ht="18.75" x14ac:dyDescent="0.3">
      <c r="B1618" s="6">
        <f t="shared" si="253"/>
        <v>0</v>
      </c>
      <c r="C1618" s="6">
        <f t="shared" si="254"/>
        <v>0</v>
      </c>
      <c r="D1618" s="6" t="str">
        <f t="shared" si="255"/>
        <v/>
      </c>
      <c r="E1618" s="35" t="str">
        <f t="shared" si="252"/>
        <v/>
      </c>
      <c r="F1618" s="31"/>
      <c r="G1618" s="29"/>
      <c r="H1618" s="78" t="str">
        <f t="shared" si="256"/>
        <v/>
      </c>
      <c r="I1618" s="25"/>
      <c r="J1618" s="25"/>
      <c r="K1618" s="26"/>
      <c r="L1618" s="26"/>
      <c r="M1618" s="37"/>
      <c r="N1618" s="27"/>
      <c r="O1618" s="30"/>
      <c r="P1618" s="39" t="str">
        <f t="shared" si="257"/>
        <v/>
      </c>
      <c r="Q1618" s="40" t="str">
        <f>IF(OR(T1618=0,RIGHT(T1618,1)=$W$1),"",COUNTIF($T$3:T1618,T1618))</f>
        <v/>
      </c>
      <c r="S1618" s="6">
        <f t="shared" si="258"/>
        <v>0</v>
      </c>
      <c r="T1618" s="36">
        <f t="shared" si="259"/>
        <v>0</v>
      </c>
      <c r="V1618" s="6">
        <f t="shared" si="260"/>
        <v>0</v>
      </c>
      <c r="Y1618" s="8">
        <f t="shared" si="261"/>
        <v>46023</v>
      </c>
    </row>
    <row r="1619" spans="2:25" ht="18.75" x14ac:dyDescent="0.3">
      <c r="B1619" s="6">
        <f t="shared" si="253"/>
        <v>0</v>
      </c>
      <c r="C1619" s="6">
        <f t="shared" si="254"/>
        <v>0</v>
      </c>
      <c r="D1619" s="6" t="str">
        <f t="shared" si="255"/>
        <v/>
      </c>
      <c r="E1619" s="35" t="str">
        <f t="shared" si="252"/>
        <v/>
      </c>
      <c r="F1619" s="31"/>
      <c r="G1619" s="29"/>
      <c r="H1619" s="78" t="str">
        <f t="shared" si="256"/>
        <v/>
      </c>
      <c r="I1619" s="25"/>
      <c r="J1619" s="25"/>
      <c r="K1619" s="26"/>
      <c r="L1619" s="26"/>
      <c r="M1619" s="37"/>
      <c r="N1619" s="27"/>
      <c r="O1619" s="30"/>
      <c r="P1619" s="39" t="str">
        <f t="shared" si="257"/>
        <v/>
      </c>
      <c r="Q1619" s="40" t="str">
        <f>IF(OR(T1619=0,RIGHT(T1619,1)=$W$1),"",COUNTIF($T$3:T1619,T1619))</f>
        <v/>
      </c>
      <c r="S1619" s="6">
        <f t="shared" si="258"/>
        <v>0</v>
      </c>
      <c r="T1619" s="36">
        <f t="shared" si="259"/>
        <v>0</v>
      </c>
      <c r="V1619" s="6">
        <f t="shared" si="260"/>
        <v>0</v>
      </c>
      <c r="Y1619" s="8">
        <f t="shared" si="261"/>
        <v>46023</v>
      </c>
    </row>
    <row r="1620" spans="2:25" ht="18.75" x14ac:dyDescent="0.3">
      <c r="B1620" s="6">
        <f t="shared" si="253"/>
        <v>0</v>
      </c>
      <c r="C1620" s="6">
        <f t="shared" si="254"/>
        <v>0</v>
      </c>
      <c r="D1620" s="6" t="str">
        <f t="shared" si="255"/>
        <v/>
      </c>
      <c r="E1620" s="35" t="str">
        <f t="shared" si="252"/>
        <v/>
      </c>
      <c r="F1620" s="31"/>
      <c r="G1620" s="29"/>
      <c r="H1620" s="78" t="str">
        <f t="shared" si="256"/>
        <v/>
      </c>
      <c r="I1620" s="25"/>
      <c r="J1620" s="25"/>
      <c r="K1620" s="26"/>
      <c r="L1620" s="26"/>
      <c r="M1620" s="37"/>
      <c r="N1620" s="27"/>
      <c r="O1620" s="30"/>
      <c r="P1620" s="39" t="str">
        <f t="shared" si="257"/>
        <v/>
      </c>
      <c r="Q1620" s="40" t="str">
        <f>IF(OR(T1620=0,RIGHT(T1620,1)=$W$1),"",COUNTIF($T$3:T1620,T1620))</f>
        <v/>
      </c>
      <c r="S1620" s="6">
        <f t="shared" si="258"/>
        <v>0</v>
      </c>
      <c r="T1620" s="36">
        <f t="shared" si="259"/>
        <v>0</v>
      </c>
      <c r="V1620" s="6">
        <f t="shared" si="260"/>
        <v>0</v>
      </c>
      <c r="Y1620" s="8">
        <f t="shared" si="261"/>
        <v>46023</v>
      </c>
    </row>
    <row r="1621" spans="2:25" ht="18.75" x14ac:dyDescent="0.3">
      <c r="B1621" s="6">
        <f t="shared" si="253"/>
        <v>0</v>
      </c>
      <c r="C1621" s="6">
        <f t="shared" si="254"/>
        <v>0</v>
      </c>
      <c r="D1621" s="6" t="str">
        <f t="shared" si="255"/>
        <v/>
      </c>
      <c r="E1621" s="35" t="str">
        <f t="shared" si="252"/>
        <v/>
      </c>
      <c r="F1621" s="31"/>
      <c r="G1621" s="29"/>
      <c r="H1621" s="78" t="str">
        <f t="shared" si="256"/>
        <v/>
      </c>
      <c r="I1621" s="25"/>
      <c r="J1621" s="25"/>
      <c r="K1621" s="26"/>
      <c r="L1621" s="26"/>
      <c r="M1621" s="37"/>
      <c r="N1621" s="27"/>
      <c r="O1621" s="30"/>
      <c r="P1621" s="39" t="str">
        <f t="shared" si="257"/>
        <v/>
      </c>
      <c r="Q1621" s="40" t="str">
        <f>IF(OR(T1621=0,RIGHT(T1621,1)=$W$1),"",COUNTIF($T$3:T1621,T1621))</f>
        <v/>
      </c>
      <c r="S1621" s="6">
        <f t="shared" si="258"/>
        <v>0</v>
      </c>
      <c r="T1621" s="36">
        <f t="shared" si="259"/>
        <v>0</v>
      </c>
      <c r="V1621" s="6">
        <f t="shared" si="260"/>
        <v>0</v>
      </c>
      <c r="Y1621" s="8">
        <f t="shared" si="261"/>
        <v>46023</v>
      </c>
    </row>
    <row r="1622" spans="2:25" ht="18.75" x14ac:dyDescent="0.3">
      <c r="B1622" s="6">
        <f t="shared" si="253"/>
        <v>0</v>
      </c>
      <c r="C1622" s="6">
        <f t="shared" si="254"/>
        <v>0</v>
      </c>
      <c r="D1622" s="6" t="str">
        <f t="shared" si="255"/>
        <v/>
      </c>
      <c r="E1622" s="35" t="str">
        <f t="shared" si="252"/>
        <v/>
      </c>
      <c r="F1622" s="31"/>
      <c r="G1622" s="29"/>
      <c r="H1622" s="78" t="str">
        <f t="shared" si="256"/>
        <v/>
      </c>
      <c r="I1622" s="25"/>
      <c r="J1622" s="25"/>
      <c r="K1622" s="26"/>
      <c r="L1622" s="26"/>
      <c r="M1622" s="37"/>
      <c r="N1622" s="27"/>
      <c r="O1622" s="30"/>
      <c r="P1622" s="39" t="str">
        <f t="shared" si="257"/>
        <v/>
      </c>
      <c r="Q1622" s="40" t="str">
        <f>IF(OR(T1622=0,RIGHT(T1622,1)=$W$1),"",COUNTIF($T$3:T1622,T1622))</f>
        <v/>
      </c>
      <c r="S1622" s="6">
        <f t="shared" si="258"/>
        <v>0</v>
      </c>
      <c r="T1622" s="36">
        <f t="shared" si="259"/>
        <v>0</v>
      </c>
      <c r="V1622" s="6">
        <f t="shared" si="260"/>
        <v>0</v>
      </c>
      <c r="Y1622" s="8">
        <f t="shared" si="261"/>
        <v>46023</v>
      </c>
    </row>
    <row r="1623" spans="2:25" ht="18.75" x14ac:dyDescent="0.3">
      <c r="B1623" s="6">
        <f t="shared" si="253"/>
        <v>0</v>
      </c>
      <c r="C1623" s="6">
        <f t="shared" si="254"/>
        <v>0</v>
      </c>
      <c r="D1623" s="6" t="str">
        <f t="shared" si="255"/>
        <v/>
      </c>
      <c r="E1623" s="35" t="str">
        <f t="shared" si="252"/>
        <v/>
      </c>
      <c r="F1623" s="31"/>
      <c r="G1623" s="29"/>
      <c r="H1623" s="78" t="str">
        <f t="shared" si="256"/>
        <v/>
      </c>
      <c r="I1623" s="25"/>
      <c r="J1623" s="25"/>
      <c r="K1623" s="26"/>
      <c r="L1623" s="26"/>
      <c r="M1623" s="37"/>
      <c r="N1623" s="27"/>
      <c r="O1623" s="30"/>
      <c r="P1623" s="39" t="str">
        <f t="shared" si="257"/>
        <v/>
      </c>
      <c r="Q1623" s="40" t="str">
        <f>IF(OR(T1623=0,RIGHT(T1623,1)=$W$1),"",COUNTIF($T$3:T1623,T1623))</f>
        <v/>
      </c>
      <c r="S1623" s="6">
        <f t="shared" si="258"/>
        <v>0</v>
      </c>
      <c r="T1623" s="36">
        <f t="shared" si="259"/>
        <v>0</v>
      </c>
      <c r="V1623" s="6">
        <f t="shared" si="260"/>
        <v>0</v>
      </c>
      <c r="Y1623" s="8">
        <f t="shared" si="261"/>
        <v>46023</v>
      </c>
    </row>
    <row r="1624" spans="2:25" ht="18.75" x14ac:dyDescent="0.3">
      <c r="B1624" s="6">
        <f t="shared" si="253"/>
        <v>0</v>
      </c>
      <c r="C1624" s="6">
        <f t="shared" si="254"/>
        <v>0</v>
      </c>
      <c r="D1624" s="6" t="str">
        <f t="shared" si="255"/>
        <v/>
      </c>
      <c r="E1624" s="35" t="str">
        <f t="shared" si="252"/>
        <v/>
      </c>
      <c r="F1624" s="31"/>
      <c r="G1624" s="29"/>
      <c r="H1624" s="78" t="str">
        <f t="shared" si="256"/>
        <v/>
      </c>
      <c r="I1624" s="25"/>
      <c r="J1624" s="25"/>
      <c r="K1624" s="26"/>
      <c r="L1624" s="26"/>
      <c r="M1624" s="37"/>
      <c r="N1624" s="27"/>
      <c r="O1624" s="30"/>
      <c r="P1624" s="39" t="str">
        <f t="shared" si="257"/>
        <v/>
      </c>
      <c r="Q1624" s="40" t="str">
        <f>IF(OR(T1624=0,RIGHT(T1624,1)=$W$1),"",COUNTIF($T$3:T1624,T1624))</f>
        <v/>
      </c>
      <c r="S1624" s="6">
        <f t="shared" si="258"/>
        <v>0</v>
      </c>
      <c r="T1624" s="36">
        <f t="shared" si="259"/>
        <v>0</v>
      </c>
      <c r="V1624" s="6">
        <f t="shared" si="260"/>
        <v>0</v>
      </c>
      <c r="Y1624" s="8">
        <f t="shared" si="261"/>
        <v>46023</v>
      </c>
    </row>
    <row r="1625" spans="2:25" ht="18.75" x14ac:dyDescent="0.3">
      <c r="B1625" s="6">
        <f t="shared" si="253"/>
        <v>0</v>
      </c>
      <c r="C1625" s="6">
        <f t="shared" si="254"/>
        <v>0</v>
      </c>
      <c r="D1625" s="6" t="str">
        <f t="shared" si="255"/>
        <v/>
      </c>
      <c r="E1625" s="35" t="str">
        <f t="shared" si="252"/>
        <v/>
      </c>
      <c r="F1625" s="31"/>
      <c r="G1625" s="29"/>
      <c r="H1625" s="78" t="str">
        <f t="shared" si="256"/>
        <v/>
      </c>
      <c r="I1625" s="25"/>
      <c r="J1625" s="25"/>
      <c r="K1625" s="26"/>
      <c r="L1625" s="26"/>
      <c r="M1625" s="37"/>
      <c r="N1625" s="27"/>
      <c r="O1625" s="30"/>
      <c r="P1625" s="39" t="str">
        <f t="shared" si="257"/>
        <v/>
      </c>
      <c r="Q1625" s="40" t="str">
        <f>IF(OR(T1625=0,RIGHT(T1625,1)=$W$1),"",COUNTIF($T$3:T1625,T1625))</f>
        <v/>
      </c>
      <c r="S1625" s="6">
        <f t="shared" si="258"/>
        <v>0</v>
      </c>
      <c r="T1625" s="36">
        <f t="shared" si="259"/>
        <v>0</v>
      </c>
      <c r="V1625" s="6">
        <f t="shared" si="260"/>
        <v>0</v>
      </c>
      <c r="Y1625" s="8">
        <f t="shared" si="261"/>
        <v>46023</v>
      </c>
    </row>
    <row r="1626" spans="2:25" ht="18.75" x14ac:dyDescent="0.3">
      <c r="B1626" s="6">
        <f t="shared" si="253"/>
        <v>0</v>
      </c>
      <c r="C1626" s="6">
        <f t="shared" si="254"/>
        <v>0</v>
      </c>
      <c r="D1626" s="6" t="str">
        <f t="shared" si="255"/>
        <v/>
      </c>
      <c r="E1626" s="35" t="str">
        <f t="shared" si="252"/>
        <v/>
      </c>
      <c r="F1626" s="31"/>
      <c r="G1626" s="29"/>
      <c r="H1626" s="78" t="str">
        <f t="shared" si="256"/>
        <v/>
      </c>
      <c r="I1626" s="25"/>
      <c r="J1626" s="25"/>
      <c r="K1626" s="26"/>
      <c r="L1626" s="26"/>
      <c r="M1626" s="37"/>
      <c r="N1626" s="27"/>
      <c r="O1626" s="30"/>
      <c r="P1626" s="39" t="str">
        <f t="shared" si="257"/>
        <v/>
      </c>
      <c r="Q1626" s="40" t="str">
        <f>IF(OR(T1626=0,RIGHT(T1626,1)=$W$1),"",COUNTIF($T$3:T1626,T1626))</f>
        <v/>
      </c>
      <c r="S1626" s="6">
        <f t="shared" si="258"/>
        <v>0</v>
      </c>
      <c r="T1626" s="36">
        <f t="shared" si="259"/>
        <v>0</v>
      </c>
      <c r="V1626" s="6">
        <f t="shared" si="260"/>
        <v>0</v>
      </c>
      <c r="Y1626" s="8">
        <f t="shared" si="261"/>
        <v>46023</v>
      </c>
    </row>
    <row r="1627" spans="2:25" ht="18.75" x14ac:dyDescent="0.3">
      <c r="B1627" s="6">
        <f t="shared" si="253"/>
        <v>0</v>
      </c>
      <c r="C1627" s="6">
        <f t="shared" si="254"/>
        <v>0</v>
      </c>
      <c r="D1627" s="6" t="str">
        <f t="shared" si="255"/>
        <v/>
      </c>
      <c r="E1627" s="35" t="str">
        <f t="shared" si="252"/>
        <v/>
      </c>
      <c r="F1627" s="31"/>
      <c r="G1627" s="29"/>
      <c r="H1627" s="78" t="str">
        <f t="shared" si="256"/>
        <v/>
      </c>
      <c r="I1627" s="25"/>
      <c r="J1627" s="25"/>
      <c r="K1627" s="26"/>
      <c r="L1627" s="26"/>
      <c r="M1627" s="37"/>
      <c r="N1627" s="27"/>
      <c r="O1627" s="30"/>
      <c r="P1627" s="39" t="str">
        <f t="shared" si="257"/>
        <v/>
      </c>
      <c r="Q1627" s="40" t="str">
        <f>IF(OR(T1627=0,RIGHT(T1627,1)=$W$1),"",COUNTIF($T$3:T1627,T1627))</f>
        <v/>
      </c>
      <c r="S1627" s="6">
        <f t="shared" si="258"/>
        <v>0</v>
      </c>
      <c r="T1627" s="36">
        <f t="shared" si="259"/>
        <v>0</v>
      </c>
      <c r="V1627" s="6">
        <f t="shared" si="260"/>
        <v>0</v>
      </c>
      <c r="Y1627" s="8">
        <f t="shared" si="261"/>
        <v>46023</v>
      </c>
    </row>
    <row r="1628" spans="2:25" ht="18.75" x14ac:dyDescent="0.3">
      <c r="B1628" s="6">
        <f t="shared" si="253"/>
        <v>0</v>
      </c>
      <c r="C1628" s="6">
        <f t="shared" si="254"/>
        <v>0</v>
      </c>
      <c r="D1628" s="6" t="str">
        <f t="shared" si="255"/>
        <v/>
      </c>
      <c r="E1628" s="35" t="str">
        <f t="shared" si="252"/>
        <v/>
      </c>
      <c r="F1628" s="31"/>
      <c r="G1628" s="29"/>
      <c r="H1628" s="78" t="str">
        <f t="shared" si="256"/>
        <v/>
      </c>
      <c r="I1628" s="25"/>
      <c r="J1628" s="25"/>
      <c r="K1628" s="26"/>
      <c r="L1628" s="26"/>
      <c r="M1628" s="37"/>
      <c r="N1628" s="27"/>
      <c r="O1628" s="30"/>
      <c r="P1628" s="39" t="str">
        <f t="shared" si="257"/>
        <v/>
      </c>
      <c r="Q1628" s="40" t="str">
        <f>IF(OR(T1628=0,RIGHT(T1628,1)=$W$1),"",COUNTIF($T$3:T1628,T1628))</f>
        <v/>
      </c>
      <c r="S1628" s="6">
        <f t="shared" si="258"/>
        <v>0</v>
      </c>
      <c r="T1628" s="36">
        <f t="shared" si="259"/>
        <v>0</v>
      </c>
      <c r="V1628" s="6">
        <f t="shared" si="260"/>
        <v>0</v>
      </c>
      <c r="Y1628" s="8">
        <f t="shared" si="261"/>
        <v>46023</v>
      </c>
    </row>
    <row r="1629" spans="2:25" ht="18.75" x14ac:dyDescent="0.3">
      <c r="B1629" s="6">
        <f t="shared" si="253"/>
        <v>0</v>
      </c>
      <c r="C1629" s="6">
        <f t="shared" si="254"/>
        <v>0</v>
      </c>
      <c r="D1629" s="6" t="str">
        <f t="shared" si="255"/>
        <v/>
      </c>
      <c r="E1629" s="35" t="str">
        <f t="shared" si="252"/>
        <v/>
      </c>
      <c r="F1629" s="31"/>
      <c r="G1629" s="29"/>
      <c r="H1629" s="78" t="str">
        <f t="shared" si="256"/>
        <v/>
      </c>
      <c r="I1629" s="25"/>
      <c r="J1629" s="25"/>
      <c r="K1629" s="26"/>
      <c r="L1629" s="26"/>
      <c r="M1629" s="37"/>
      <c r="N1629" s="27"/>
      <c r="O1629" s="30"/>
      <c r="P1629" s="39" t="str">
        <f t="shared" si="257"/>
        <v/>
      </c>
      <c r="Q1629" s="40" t="str">
        <f>IF(OR(T1629=0,RIGHT(T1629,1)=$W$1),"",COUNTIF($T$3:T1629,T1629))</f>
        <v/>
      </c>
      <c r="S1629" s="6">
        <f t="shared" si="258"/>
        <v>0</v>
      </c>
      <c r="T1629" s="36">
        <f t="shared" si="259"/>
        <v>0</v>
      </c>
      <c r="V1629" s="6">
        <f t="shared" si="260"/>
        <v>0</v>
      </c>
      <c r="Y1629" s="8">
        <f t="shared" si="261"/>
        <v>46023</v>
      </c>
    </row>
    <row r="1630" spans="2:25" ht="18.75" x14ac:dyDescent="0.3">
      <c r="B1630" s="6">
        <f t="shared" si="253"/>
        <v>0</v>
      </c>
      <c r="C1630" s="6">
        <f t="shared" si="254"/>
        <v>0</v>
      </c>
      <c r="D1630" s="6" t="str">
        <f t="shared" si="255"/>
        <v/>
      </c>
      <c r="E1630" s="35" t="str">
        <f t="shared" si="252"/>
        <v/>
      </c>
      <c r="F1630" s="31"/>
      <c r="G1630" s="29"/>
      <c r="H1630" s="78" t="str">
        <f t="shared" si="256"/>
        <v/>
      </c>
      <c r="I1630" s="25"/>
      <c r="J1630" s="25"/>
      <c r="K1630" s="26"/>
      <c r="L1630" s="26"/>
      <c r="M1630" s="37"/>
      <c r="N1630" s="27"/>
      <c r="O1630" s="30"/>
      <c r="P1630" s="39" t="str">
        <f t="shared" si="257"/>
        <v/>
      </c>
      <c r="Q1630" s="40" t="str">
        <f>IF(OR(T1630=0,RIGHT(T1630,1)=$W$1),"",COUNTIF($T$3:T1630,T1630))</f>
        <v/>
      </c>
      <c r="S1630" s="6">
        <f t="shared" si="258"/>
        <v>0</v>
      </c>
      <c r="T1630" s="36">
        <f t="shared" si="259"/>
        <v>0</v>
      </c>
      <c r="V1630" s="6">
        <f t="shared" si="260"/>
        <v>0</v>
      </c>
      <c r="Y1630" s="8">
        <f t="shared" si="261"/>
        <v>46023</v>
      </c>
    </row>
    <row r="1631" spans="2:25" ht="18.75" x14ac:dyDescent="0.3">
      <c r="B1631" s="6">
        <f t="shared" si="253"/>
        <v>0</v>
      </c>
      <c r="C1631" s="6">
        <f t="shared" si="254"/>
        <v>0</v>
      </c>
      <c r="D1631" s="6" t="str">
        <f t="shared" si="255"/>
        <v/>
      </c>
      <c r="E1631" s="35" t="str">
        <f t="shared" si="252"/>
        <v/>
      </c>
      <c r="F1631" s="31"/>
      <c r="G1631" s="29"/>
      <c r="H1631" s="78" t="str">
        <f t="shared" si="256"/>
        <v/>
      </c>
      <c r="I1631" s="25"/>
      <c r="J1631" s="25"/>
      <c r="K1631" s="26"/>
      <c r="L1631" s="26"/>
      <c r="M1631" s="37"/>
      <c r="N1631" s="27"/>
      <c r="O1631" s="30"/>
      <c r="P1631" s="39" t="str">
        <f t="shared" si="257"/>
        <v/>
      </c>
      <c r="Q1631" s="40" t="str">
        <f>IF(OR(T1631=0,RIGHT(T1631,1)=$W$1),"",COUNTIF($T$3:T1631,T1631))</f>
        <v/>
      </c>
      <c r="S1631" s="6">
        <f t="shared" si="258"/>
        <v>0</v>
      </c>
      <c r="T1631" s="36">
        <f t="shared" si="259"/>
        <v>0</v>
      </c>
      <c r="V1631" s="6">
        <f t="shared" si="260"/>
        <v>0</v>
      </c>
      <c r="Y1631" s="8">
        <f t="shared" si="261"/>
        <v>46023</v>
      </c>
    </row>
    <row r="1632" spans="2:25" ht="18.75" x14ac:dyDescent="0.3">
      <c r="B1632" s="6">
        <f t="shared" si="253"/>
        <v>0</v>
      </c>
      <c r="C1632" s="6">
        <f t="shared" si="254"/>
        <v>0</v>
      </c>
      <c r="D1632" s="6" t="str">
        <f t="shared" si="255"/>
        <v/>
      </c>
      <c r="E1632" s="35" t="str">
        <f t="shared" si="252"/>
        <v/>
      </c>
      <c r="F1632" s="31"/>
      <c r="G1632" s="29"/>
      <c r="H1632" s="78" t="str">
        <f t="shared" si="256"/>
        <v/>
      </c>
      <c r="I1632" s="25"/>
      <c r="J1632" s="25"/>
      <c r="K1632" s="26"/>
      <c r="L1632" s="26"/>
      <c r="M1632" s="37"/>
      <c r="N1632" s="27"/>
      <c r="O1632" s="30"/>
      <c r="P1632" s="39" t="str">
        <f t="shared" si="257"/>
        <v/>
      </c>
      <c r="Q1632" s="40" t="str">
        <f>IF(OR(T1632=0,RIGHT(T1632,1)=$W$1),"",COUNTIF($T$3:T1632,T1632))</f>
        <v/>
      </c>
      <c r="S1632" s="6">
        <f t="shared" si="258"/>
        <v>0</v>
      </c>
      <c r="T1632" s="36">
        <f t="shared" si="259"/>
        <v>0</v>
      </c>
      <c r="V1632" s="6">
        <f t="shared" si="260"/>
        <v>0</v>
      </c>
      <c r="Y1632" s="8">
        <f t="shared" si="261"/>
        <v>46023</v>
      </c>
    </row>
    <row r="1633" spans="2:25" ht="18.75" x14ac:dyDescent="0.3">
      <c r="B1633" s="6">
        <f t="shared" si="253"/>
        <v>0</v>
      </c>
      <c r="C1633" s="6">
        <f t="shared" si="254"/>
        <v>0</v>
      </c>
      <c r="D1633" s="6" t="str">
        <f t="shared" si="255"/>
        <v/>
      </c>
      <c r="E1633" s="35" t="str">
        <f t="shared" si="252"/>
        <v/>
      </c>
      <c r="F1633" s="31"/>
      <c r="G1633" s="29"/>
      <c r="H1633" s="78" t="str">
        <f t="shared" si="256"/>
        <v/>
      </c>
      <c r="I1633" s="25"/>
      <c r="J1633" s="25"/>
      <c r="K1633" s="26"/>
      <c r="L1633" s="26"/>
      <c r="M1633" s="37"/>
      <c r="N1633" s="27"/>
      <c r="O1633" s="30"/>
      <c r="P1633" s="39" t="str">
        <f t="shared" si="257"/>
        <v/>
      </c>
      <c r="Q1633" s="40" t="str">
        <f>IF(OR(T1633=0,RIGHT(T1633,1)=$W$1),"",COUNTIF($T$3:T1633,T1633))</f>
        <v/>
      </c>
      <c r="S1633" s="6">
        <f t="shared" si="258"/>
        <v>0</v>
      </c>
      <c r="T1633" s="36">
        <f t="shared" si="259"/>
        <v>0</v>
      </c>
      <c r="V1633" s="6">
        <f t="shared" si="260"/>
        <v>0</v>
      </c>
      <c r="Y1633" s="8">
        <f t="shared" si="261"/>
        <v>46023</v>
      </c>
    </row>
    <row r="1634" spans="2:25" ht="18.75" x14ac:dyDescent="0.3">
      <c r="B1634" s="6">
        <f t="shared" si="253"/>
        <v>0</v>
      </c>
      <c r="C1634" s="6">
        <f t="shared" si="254"/>
        <v>0</v>
      </c>
      <c r="D1634" s="6" t="str">
        <f t="shared" si="255"/>
        <v/>
      </c>
      <c r="E1634" s="35" t="str">
        <f t="shared" si="252"/>
        <v/>
      </c>
      <c r="F1634" s="31"/>
      <c r="G1634" s="29"/>
      <c r="H1634" s="78" t="str">
        <f t="shared" si="256"/>
        <v/>
      </c>
      <c r="I1634" s="25"/>
      <c r="J1634" s="25"/>
      <c r="K1634" s="26"/>
      <c r="L1634" s="26"/>
      <c r="M1634" s="37"/>
      <c r="N1634" s="27"/>
      <c r="O1634" s="30"/>
      <c r="P1634" s="39" t="str">
        <f t="shared" si="257"/>
        <v/>
      </c>
      <c r="Q1634" s="40" t="str">
        <f>IF(OR(T1634=0,RIGHT(T1634,1)=$W$1),"",COUNTIF($T$3:T1634,T1634))</f>
        <v/>
      </c>
      <c r="S1634" s="6">
        <f t="shared" si="258"/>
        <v>0</v>
      </c>
      <c r="T1634" s="36">
        <f t="shared" si="259"/>
        <v>0</v>
      </c>
      <c r="V1634" s="6">
        <f t="shared" si="260"/>
        <v>0</v>
      </c>
      <c r="Y1634" s="8">
        <f t="shared" si="261"/>
        <v>46023</v>
      </c>
    </row>
    <row r="1635" spans="2:25" ht="18.75" x14ac:dyDescent="0.3">
      <c r="B1635" s="6">
        <f t="shared" si="253"/>
        <v>0</v>
      </c>
      <c r="C1635" s="6">
        <f t="shared" si="254"/>
        <v>0</v>
      </c>
      <c r="D1635" s="6" t="str">
        <f t="shared" si="255"/>
        <v/>
      </c>
      <c r="E1635" s="35" t="str">
        <f t="shared" si="252"/>
        <v/>
      </c>
      <c r="F1635" s="31"/>
      <c r="G1635" s="29"/>
      <c r="H1635" s="78" t="str">
        <f t="shared" si="256"/>
        <v/>
      </c>
      <c r="I1635" s="25"/>
      <c r="J1635" s="25"/>
      <c r="K1635" s="26"/>
      <c r="L1635" s="26"/>
      <c r="M1635" s="37"/>
      <c r="N1635" s="27"/>
      <c r="O1635" s="30"/>
      <c r="P1635" s="39" t="str">
        <f t="shared" si="257"/>
        <v/>
      </c>
      <c r="Q1635" s="40" t="str">
        <f>IF(OR(T1635=0,RIGHT(T1635,1)=$W$1),"",COUNTIF($T$3:T1635,T1635))</f>
        <v/>
      </c>
      <c r="S1635" s="6">
        <f t="shared" si="258"/>
        <v>0</v>
      </c>
      <c r="T1635" s="36">
        <f t="shared" si="259"/>
        <v>0</v>
      </c>
      <c r="V1635" s="6">
        <f t="shared" si="260"/>
        <v>0</v>
      </c>
      <c r="Y1635" s="8">
        <f t="shared" si="261"/>
        <v>46023</v>
      </c>
    </row>
    <row r="1636" spans="2:25" ht="18.75" x14ac:dyDescent="0.3">
      <c r="B1636" s="6">
        <f t="shared" si="253"/>
        <v>0</v>
      </c>
      <c r="C1636" s="6">
        <f t="shared" si="254"/>
        <v>0</v>
      </c>
      <c r="D1636" s="6" t="str">
        <f t="shared" si="255"/>
        <v/>
      </c>
      <c r="E1636" s="35" t="str">
        <f t="shared" si="252"/>
        <v/>
      </c>
      <c r="F1636" s="31"/>
      <c r="G1636" s="29"/>
      <c r="H1636" s="78" t="str">
        <f t="shared" si="256"/>
        <v/>
      </c>
      <c r="I1636" s="25"/>
      <c r="J1636" s="25"/>
      <c r="K1636" s="26"/>
      <c r="L1636" s="26"/>
      <c r="M1636" s="37"/>
      <c r="N1636" s="27"/>
      <c r="O1636" s="30"/>
      <c r="P1636" s="39" t="str">
        <f t="shared" si="257"/>
        <v/>
      </c>
      <c r="Q1636" s="40" t="str">
        <f>IF(OR(T1636=0,RIGHT(T1636,1)=$W$1),"",COUNTIF($T$3:T1636,T1636))</f>
        <v/>
      </c>
      <c r="S1636" s="6">
        <f t="shared" si="258"/>
        <v>0</v>
      </c>
      <c r="T1636" s="36">
        <f t="shared" si="259"/>
        <v>0</v>
      </c>
      <c r="V1636" s="6">
        <f t="shared" si="260"/>
        <v>0</v>
      </c>
      <c r="Y1636" s="8">
        <f t="shared" si="261"/>
        <v>46023</v>
      </c>
    </row>
    <row r="1637" spans="2:25" ht="18.75" x14ac:dyDescent="0.3">
      <c r="B1637" s="6">
        <f t="shared" si="253"/>
        <v>0</v>
      </c>
      <c r="C1637" s="6">
        <f t="shared" si="254"/>
        <v>0</v>
      </c>
      <c r="D1637" s="6" t="str">
        <f t="shared" si="255"/>
        <v/>
      </c>
      <c r="E1637" s="35" t="str">
        <f t="shared" si="252"/>
        <v/>
      </c>
      <c r="F1637" s="31"/>
      <c r="G1637" s="29"/>
      <c r="H1637" s="78" t="str">
        <f t="shared" si="256"/>
        <v/>
      </c>
      <c r="I1637" s="25"/>
      <c r="J1637" s="25"/>
      <c r="K1637" s="26"/>
      <c r="L1637" s="26"/>
      <c r="M1637" s="37"/>
      <c r="N1637" s="27"/>
      <c r="O1637" s="30"/>
      <c r="P1637" s="39" t="str">
        <f t="shared" si="257"/>
        <v/>
      </c>
      <c r="Q1637" s="40" t="str">
        <f>IF(OR(T1637=0,RIGHT(T1637,1)=$W$1),"",COUNTIF($T$3:T1637,T1637))</f>
        <v/>
      </c>
      <c r="S1637" s="6">
        <f t="shared" si="258"/>
        <v>0</v>
      </c>
      <c r="T1637" s="36">
        <f t="shared" si="259"/>
        <v>0</v>
      </c>
      <c r="V1637" s="6">
        <f t="shared" si="260"/>
        <v>0</v>
      </c>
      <c r="Y1637" s="8">
        <f t="shared" si="261"/>
        <v>46023</v>
      </c>
    </row>
    <row r="1638" spans="2:25" ht="18.75" x14ac:dyDescent="0.3">
      <c r="B1638" s="6">
        <f t="shared" si="253"/>
        <v>0</v>
      </c>
      <c r="C1638" s="6">
        <f t="shared" si="254"/>
        <v>0</v>
      </c>
      <c r="D1638" s="6" t="str">
        <f t="shared" si="255"/>
        <v/>
      </c>
      <c r="E1638" s="35" t="str">
        <f t="shared" si="252"/>
        <v/>
      </c>
      <c r="F1638" s="31"/>
      <c r="G1638" s="29"/>
      <c r="H1638" s="78" t="str">
        <f t="shared" si="256"/>
        <v/>
      </c>
      <c r="I1638" s="25"/>
      <c r="J1638" s="25"/>
      <c r="K1638" s="26"/>
      <c r="L1638" s="26"/>
      <c r="M1638" s="37"/>
      <c r="N1638" s="27"/>
      <c r="O1638" s="30"/>
      <c r="P1638" s="39" t="str">
        <f t="shared" si="257"/>
        <v/>
      </c>
      <c r="Q1638" s="40" t="str">
        <f>IF(OR(T1638=0,RIGHT(T1638,1)=$W$1),"",COUNTIF($T$3:T1638,T1638))</f>
        <v/>
      </c>
      <c r="S1638" s="6">
        <f t="shared" si="258"/>
        <v>0</v>
      </c>
      <c r="T1638" s="36">
        <f t="shared" si="259"/>
        <v>0</v>
      </c>
      <c r="V1638" s="6">
        <f t="shared" si="260"/>
        <v>0</v>
      </c>
      <c r="Y1638" s="8">
        <f t="shared" si="261"/>
        <v>46023</v>
      </c>
    </row>
    <row r="1639" spans="2:25" ht="18.75" x14ac:dyDescent="0.3">
      <c r="B1639" s="6">
        <f t="shared" si="253"/>
        <v>0</v>
      </c>
      <c r="C1639" s="6">
        <f t="shared" si="254"/>
        <v>0</v>
      </c>
      <c r="D1639" s="6" t="str">
        <f t="shared" si="255"/>
        <v/>
      </c>
      <c r="E1639" s="35" t="str">
        <f t="shared" si="252"/>
        <v/>
      </c>
      <c r="F1639" s="31"/>
      <c r="G1639" s="29"/>
      <c r="H1639" s="78" t="str">
        <f t="shared" si="256"/>
        <v/>
      </c>
      <c r="I1639" s="25"/>
      <c r="J1639" s="25"/>
      <c r="K1639" s="26"/>
      <c r="L1639" s="26"/>
      <c r="M1639" s="37"/>
      <c r="N1639" s="27"/>
      <c r="O1639" s="30"/>
      <c r="P1639" s="39" t="str">
        <f t="shared" si="257"/>
        <v/>
      </c>
      <c r="Q1639" s="40" t="str">
        <f>IF(OR(T1639=0,RIGHT(T1639,1)=$W$1),"",COUNTIF($T$3:T1639,T1639))</f>
        <v/>
      </c>
      <c r="S1639" s="6">
        <f t="shared" si="258"/>
        <v>0</v>
      </c>
      <c r="T1639" s="36">
        <f t="shared" si="259"/>
        <v>0</v>
      </c>
      <c r="V1639" s="6">
        <f t="shared" si="260"/>
        <v>0</v>
      </c>
      <c r="Y1639" s="8">
        <f t="shared" si="261"/>
        <v>46023</v>
      </c>
    </row>
    <row r="1640" spans="2:25" ht="18.75" x14ac:dyDescent="0.3">
      <c r="B1640" s="6">
        <f t="shared" si="253"/>
        <v>0</v>
      </c>
      <c r="C1640" s="6">
        <f t="shared" si="254"/>
        <v>0</v>
      </c>
      <c r="D1640" s="6" t="str">
        <f t="shared" si="255"/>
        <v/>
      </c>
      <c r="E1640" s="35" t="str">
        <f t="shared" si="252"/>
        <v/>
      </c>
      <c r="F1640" s="31"/>
      <c r="G1640" s="29"/>
      <c r="H1640" s="78" t="str">
        <f t="shared" si="256"/>
        <v/>
      </c>
      <c r="I1640" s="25"/>
      <c r="J1640" s="25"/>
      <c r="K1640" s="26"/>
      <c r="L1640" s="26"/>
      <c r="M1640" s="37"/>
      <c r="N1640" s="27"/>
      <c r="O1640" s="30"/>
      <c r="P1640" s="39" t="str">
        <f t="shared" si="257"/>
        <v/>
      </c>
      <c r="Q1640" s="40" t="str">
        <f>IF(OR(T1640=0,RIGHT(T1640,1)=$W$1),"",COUNTIF($T$3:T1640,T1640))</f>
        <v/>
      </c>
      <c r="S1640" s="6">
        <f t="shared" si="258"/>
        <v>0</v>
      </c>
      <c r="T1640" s="36">
        <f t="shared" si="259"/>
        <v>0</v>
      </c>
      <c r="V1640" s="6">
        <f t="shared" si="260"/>
        <v>0</v>
      </c>
      <c r="Y1640" s="8">
        <f t="shared" si="261"/>
        <v>46023</v>
      </c>
    </row>
    <row r="1641" spans="2:25" ht="18.75" x14ac:dyDescent="0.3">
      <c r="B1641" s="6">
        <f t="shared" si="253"/>
        <v>0</v>
      </c>
      <c r="C1641" s="6">
        <f t="shared" si="254"/>
        <v>0</v>
      </c>
      <c r="D1641" s="6" t="str">
        <f t="shared" si="255"/>
        <v/>
      </c>
      <c r="E1641" s="35" t="str">
        <f t="shared" si="252"/>
        <v/>
      </c>
      <c r="F1641" s="31"/>
      <c r="G1641" s="29"/>
      <c r="H1641" s="78" t="str">
        <f t="shared" si="256"/>
        <v/>
      </c>
      <c r="I1641" s="25"/>
      <c r="J1641" s="25"/>
      <c r="K1641" s="26"/>
      <c r="L1641" s="26"/>
      <c r="M1641" s="37"/>
      <c r="N1641" s="27"/>
      <c r="O1641" s="30"/>
      <c r="P1641" s="39" t="str">
        <f t="shared" si="257"/>
        <v/>
      </c>
      <c r="Q1641" s="40" t="str">
        <f>IF(OR(T1641=0,RIGHT(T1641,1)=$W$1),"",COUNTIF($T$3:T1641,T1641))</f>
        <v/>
      </c>
      <c r="S1641" s="6">
        <f t="shared" si="258"/>
        <v>0</v>
      </c>
      <c r="T1641" s="36">
        <f t="shared" si="259"/>
        <v>0</v>
      </c>
      <c r="V1641" s="6">
        <f t="shared" si="260"/>
        <v>0</v>
      </c>
      <c r="Y1641" s="8">
        <f t="shared" si="261"/>
        <v>46023</v>
      </c>
    </row>
    <row r="1642" spans="2:25" ht="18.75" x14ac:dyDescent="0.3">
      <c r="B1642" s="6">
        <f t="shared" si="253"/>
        <v>0</v>
      </c>
      <c r="C1642" s="6">
        <f t="shared" si="254"/>
        <v>0</v>
      </c>
      <c r="D1642" s="6" t="str">
        <f t="shared" si="255"/>
        <v/>
      </c>
      <c r="E1642" s="35" t="str">
        <f t="shared" si="252"/>
        <v/>
      </c>
      <c r="F1642" s="31"/>
      <c r="G1642" s="29"/>
      <c r="H1642" s="78" t="str">
        <f t="shared" si="256"/>
        <v/>
      </c>
      <c r="I1642" s="25"/>
      <c r="J1642" s="25"/>
      <c r="K1642" s="26"/>
      <c r="L1642" s="26"/>
      <c r="M1642" s="37"/>
      <c r="N1642" s="27"/>
      <c r="O1642" s="30"/>
      <c r="P1642" s="39" t="str">
        <f t="shared" si="257"/>
        <v/>
      </c>
      <c r="Q1642" s="40" t="str">
        <f>IF(OR(T1642=0,RIGHT(T1642,1)=$W$1),"",COUNTIF($T$3:T1642,T1642))</f>
        <v/>
      </c>
      <c r="S1642" s="6">
        <f t="shared" si="258"/>
        <v>0</v>
      </c>
      <c r="T1642" s="36">
        <f t="shared" si="259"/>
        <v>0</v>
      </c>
      <c r="V1642" s="6">
        <f t="shared" si="260"/>
        <v>0</v>
      </c>
      <c r="Y1642" s="8">
        <f t="shared" si="261"/>
        <v>46023</v>
      </c>
    </row>
    <row r="1643" spans="2:25" ht="18.75" x14ac:dyDescent="0.3">
      <c r="B1643" s="6">
        <f t="shared" si="253"/>
        <v>0</v>
      </c>
      <c r="C1643" s="6">
        <f t="shared" si="254"/>
        <v>0</v>
      </c>
      <c r="D1643" s="6" t="str">
        <f t="shared" si="255"/>
        <v/>
      </c>
      <c r="E1643" s="35" t="str">
        <f t="shared" si="252"/>
        <v/>
      </c>
      <c r="F1643" s="31"/>
      <c r="G1643" s="29"/>
      <c r="H1643" s="78" t="str">
        <f t="shared" si="256"/>
        <v/>
      </c>
      <c r="I1643" s="25"/>
      <c r="J1643" s="25"/>
      <c r="K1643" s="26"/>
      <c r="L1643" s="26"/>
      <c r="M1643" s="37"/>
      <c r="N1643" s="27"/>
      <c r="O1643" s="30"/>
      <c r="P1643" s="39" t="str">
        <f t="shared" si="257"/>
        <v/>
      </c>
      <c r="Q1643" s="40" t="str">
        <f>IF(OR(T1643=0,RIGHT(T1643,1)=$W$1),"",COUNTIF($T$3:T1643,T1643))</f>
        <v/>
      </c>
      <c r="S1643" s="6">
        <f t="shared" si="258"/>
        <v>0</v>
      </c>
      <c r="T1643" s="36">
        <f t="shared" si="259"/>
        <v>0</v>
      </c>
      <c r="V1643" s="6">
        <f t="shared" si="260"/>
        <v>0</v>
      </c>
      <c r="Y1643" s="8">
        <f t="shared" si="261"/>
        <v>46023</v>
      </c>
    </row>
    <row r="1644" spans="2:25" ht="18.75" x14ac:dyDescent="0.3">
      <c r="B1644" s="6">
        <f t="shared" si="253"/>
        <v>0</v>
      </c>
      <c r="C1644" s="6">
        <f t="shared" si="254"/>
        <v>0</v>
      </c>
      <c r="D1644" s="6" t="str">
        <f t="shared" si="255"/>
        <v/>
      </c>
      <c r="E1644" s="35" t="str">
        <f t="shared" si="252"/>
        <v/>
      </c>
      <c r="F1644" s="31"/>
      <c r="G1644" s="29"/>
      <c r="H1644" s="78" t="str">
        <f t="shared" si="256"/>
        <v/>
      </c>
      <c r="I1644" s="25"/>
      <c r="J1644" s="25"/>
      <c r="K1644" s="26"/>
      <c r="L1644" s="26"/>
      <c r="M1644" s="37"/>
      <c r="N1644" s="27"/>
      <c r="O1644" s="30"/>
      <c r="P1644" s="39" t="str">
        <f t="shared" si="257"/>
        <v/>
      </c>
      <c r="Q1644" s="40" t="str">
        <f>IF(OR(T1644=0,RIGHT(T1644,1)=$W$1),"",COUNTIF($T$3:T1644,T1644))</f>
        <v/>
      </c>
      <c r="S1644" s="6">
        <f t="shared" si="258"/>
        <v>0</v>
      </c>
      <c r="T1644" s="36">
        <f t="shared" si="259"/>
        <v>0</v>
      </c>
      <c r="V1644" s="6">
        <f t="shared" si="260"/>
        <v>0</v>
      </c>
      <c r="Y1644" s="8">
        <f t="shared" si="261"/>
        <v>46023</v>
      </c>
    </row>
    <row r="1645" spans="2:25" ht="18.75" x14ac:dyDescent="0.3">
      <c r="B1645" s="6">
        <f t="shared" si="253"/>
        <v>0</v>
      </c>
      <c r="C1645" s="6">
        <f t="shared" si="254"/>
        <v>0</v>
      </c>
      <c r="D1645" s="6" t="str">
        <f t="shared" si="255"/>
        <v/>
      </c>
      <c r="E1645" s="35" t="str">
        <f t="shared" si="252"/>
        <v/>
      </c>
      <c r="F1645" s="31"/>
      <c r="G1645" s="29"/>
      <c r="H1645" s="78" t="str">
        <f t="shared" si="256"/>
        <v/>
      </c>
      <c r="I1645" s="25"/>
      <c r="J1645" s="25"/>
      <c r="K1645" s="26"/>
      <c r="L1645" s="26"/>
      <c r="M1645" s="37"/>
      <c r="N1645" s="27"/>
      <c r="O1645" s="30"/>
      <c r="P1645" s="39" t="str">
        <f t="shared" si="257"/>
        <v/>
      </c>
      <c r="Q1645" s="40" t="str">
        <f>IF(OR(T1645=0,RIGHT(T1645,1)=$W$1),"",COUNTIF($T$3:T1645,T1645))</f>
        <v/>
      </c>
      <c r="S1645" s="6">
        <f t="shared" si="258"/>
        <v>0</v>
      </c>
      <c r="T1645" s="36">
        <f t="shared" si="259"/>
        <v>0</v>
      </c>
      <c r="V1645" s="6">
        <f t="shared" si="260"/>
        <v>0</v>
      </c>
      <c r="Y1645" s="8">
        <f t="shared" si="261"/>
        <v>46023</v>
      </c>
    </row>
    <row r="1646" spans="2:25" ht="18.75" x14ac:dyDescent="0.3">
      <c r="B1646" s="6">
        <f t="shared" si="253"/>
        <v>0</v>
      </c>
      <c r="C1646" s="6">
        <f t="shared" si="254"/>
        <v>0</v>
      </c>
      <c r="D1646" s="6" t="str">
        <f t="shared" si="255"/>
        <v/>
      </c>
      <c r="E1646" s="35" t="str">
        <f t="shared" si="252"/>
        <v/>
      </c>
      <c r="F1646" s="31"/>
      <c r="G1646" s="29"/>
      <c r="H1646" s="78" t="str">
        <f t="shared" si="256"/>
        <v/>
      </c>
      <c r="I1646" s="25"/>
      <c r="J1646" s="25"/>
      <c r="K1646" s="26"/>
      <c r="L1646" s="26"/>
      <c r="M1646" s="37"/>
      <c r="N1646" s="27"/>
      <c r="O1646" s="30"/>
      <c r="P1646" s="39" t="str">
        <f t="shared" si="257"/>
        <v/>
      </c>
      <c r="Q1646" s="40" t="str">
        <f>IF(OR(T1646=0,RIGHT(T1646,1)=$W$1),"",COUNTIF($T$3:T1646,T1646))</f>
        <v/>
      </c>
      <c r="S1646" s="6">
        <f t="shared" si="258"/>
        <v>0</v>
      </c>
      <c r="T1646" s="36">
        <f t="shared" si="259"/>
        <v>0</v>
      </c>
      <c r="V1646" s="6">
        <f t="shared" si="260"/>
        <v>0</v>
      </c>
      <c r="Y1646" s="8">
        <f t="shared" si="261"/>
        <v>46023</v>
      </c>
    </row>
    <row r="1647" spans="2:25" ht="18.75" x14ac:dyDescent="0.3">
      <c r="B1647" s="6">
        <f t="shared" si="253"/>
        <v>0</v>
      </c>
      <c r="C1647" s="6">
        <f t="shared" si="254"/>
        <v>0</v>
      </c>
      <c r="D1647" s="6" t="str">
        <f t="shared" si="255"/>
        <v/>
      </c>
      <c r="E1647" s="35" t="str">
        <f t="shared" si="252"/>
        <v/>
      </c>
      <c r="F1647" s="31"/>
      <c r="G1647" s="29"/>
      <c r="H1647" s="78" t="str">
        <f t="shared" si="256"/>
        <v/>
      </c>
      <c r="I1647" s="25"/>
      <c r="J1647" s="25"/>
      <c r="K1647" s="26"/>
      <c r="L1647" s="26"/>
      <c r="M1647" s="37"/>
      <c r="N1647" s="27"/>
      <c r="O1647" s="30"/>
      <c r="P1647" s="39" t="str">
        <f t="shared" si="257"/>
        <v/>
      </c>
      <c r="Q1647" s="40" t="str">
        <f>IF(OR(T1647=0,RIGHT(T1647,1)=$W$1),"",COUNTIF($T$3:T1647,T1647))</f>
        <v/>
      </c>
      <c r="S1647" s="6">
        <f t="shared" si="258"/>
        <v>0</v>
      </c>
      <c r="T1647" s="36">
        <f t="shared" si="259"/>
        <v>0</v>
      </c>
      <c r="V1647" s="6">
        <f t="shared" si="260"/>
        <v>0</v>
      </c>
      <c r="Y1647" s="8">
        <f t="shared" si="261"/>
        <v>46023</v>
      </c>
    </row>
    <row r="1648" spans="2:25" ht="18.75" x14ac:dyDescent="0.3">
      <c r="B1648" s="6">
        <f t="shared" si="253"/>
        <v>0</v>
      </c>
      <c r="C1648" s="6">
        <f t="shared" si="254"/>
        <v>0</v>
      </c>
      <c r="D1648" s="6" t="str">
        <f t="shared" si="255"/>
        <v/>
      </c>
      <c r="E1648" s="35" t="str">
        <f t="shared" si="252"/>
        <v/>
      </c>
      <c r="F1648" s="31"/>
      <c r="G1648" s="29"/>
      <c r="H1648" s="78" t="str">
        <f t="shared" si="256"/>
        <v/>
      </c>
      <c r="I1648" s="25"/>
      <c r="J1648" s="25"/>
      <c r="K1648" s="26"/>
      <c r="L1648" s="26"/>
      <c r="M1648" s="37"/>
      <c r="N1648" s="27"/>
      <c r="O1648" s="30"/>
      <c r="P1648" s="39" t="str">
        <f t="shared" si="257"/>
        <v/>
      </c>
      <c r="Q1648" s="40" t="str">
        <f>IF(OR(T1648=0,RIGHT(T1648,1)=$W$1),"",COUNTIF($T$3:T1648,T1648))</f>
        <v/>
      </c>
      <c r="S1648" s="6">
        <f t="shared" si="258"/>
        <v>0</v>
      </c>
      <c r="T1648" s="36">
        <f t="shared" si="259"/>
        <v>0</v>
      </c>
      <c r="V1648" s="6">
        <f t="shared" si="260"/>
        <v>0</v>
      </c>
      <c r="Y1648" s="8">
        <f t="shared" si="261"/>
        <v>46023</v>
      </c>
    </row>
    <row r="1649" spans="2:25" ht="18.75" x14ac:dyDescent="0.3">
      <c r="B1649" s="6">
        <f t="shared" si="253"/>
        <v>0</v>
      </c>
      <c r="C1649" s="6">
        <f t="shared" si="254"/>
        <v>0</v>
      </c>
      <c r="D1649" s="6" t="str">
        <f t="shared" si="255"/>
        <v/>
      </c>
      <c r="E1649" s="35" t="str">
        <f t="shared" si="252"/>
        <v/>
      </c>
      <c r="F1649" s="31"/>
      <c r="G1649" s="29"/>
      <c r="H1649" s="78" t="str">
        <f t="shared" si="256"/>
        <v/>
      </c>
      <c r="I1649" s="25"/>
      <c r="J1649" s="25"/>
      <c r="K1649" s="26"/>
      <c r="L1649" s="26"/>
      <c r="M1649" s="37"/>
      <c r="N1649" s="27"/>
      <c r="O1649" s="30"/>
      <c r="P1649" s="39" t="str">
        <f t="shared" si="257"/>
        <v/>
      </c>
      <c r="Q1649" s="40" t="str">
        <f>IF(OR(T1649=0,RIGHT(T1649,1)=$W$1),"",COUNTIF($T$3:T1649,T1649))</f>
        <v/>
      </c>
      <c r="S1649" s="6">
        <f t="shared" si="258"/>
        <v>0</v>
      </c>
      <c r="T1649" s="36">
        <f t="shared" si="259"/>
        <v>0</v>
      </c>
      <c r="V1649" s="6">
        <f t="shared" si="260"/>
        <v>0</v>
      </c>
      <c r="Y1649" s="8">
        <f t="shared" si="261"/>
        <v>46023</v>
      </c>
    </row>
    <row r="1650" spans="2:25" ht="18.75" x14ac:dyDescent="0.3">
      <c r="B1650" s="6">
        <f t="shared" si="253"/>
        <v>0</v>
      </c>
      <c r="C1650" s="6">
        <f t="shared" si="254"/>
        <v>0</v>
      </c>
      <c r="D1650" s="6" t="str">
        <f t="shared" si="255"/>
        <v/>
      </c>
      <c r="E1650" s="35" t="str">
        <f t="shared" si="252"/>
        <v/>
      </c>
      <c r="F1650" s="31"/>
      <c r="G1650" s="29"/>
      <c r="H1650" s="78" t="str">
        <f t="shared" si="256"/>
        <v/>
      </c>
      <c r="I1650" s="25"/>
      <c r="J1650" s="25"/>
      <c r="K1650" s="26"/>
      <c r="L1650" s="26"/>
      <c r="M1650" s="37"/>
      <c r="N1650" s="27"/>
      <c r="O1650" s="30"/>
      <c r="P1650" s="39" t="str">
        <f t="shared" si="257"/>
        <v/>
      </c>
      <c r="Q1650" s="40" t="str">
        <f>IF(OR(T1650=0,RIGHT(T1650,1)=$W$1),"",COUNTIF($T$3:T1650,T1650))</f>
        <v/>
      </c>
      <c r="S1650" s="6">
        <f t="shared" si="258"/>
        <v>0</v>
      </c>
      <c r="T1650" s="36">
        <f t="shared" si="259"/>
        <v>0</v>
      </c>
      <c r="V1650" s="6">
        <f t="shared" si="260"/>
        <v>0</v>
      </c>
      <c r="Y1650" s="8">
        <f t="shared" si="261"/>
        <v>46023</v>
      </c>
    </row>
    <row r="1651" spans="2:25" ht="18.75" x14ac:dyDescent="0.3">
      <c r="B1651" s="6">
        <f t="shared" si="253"/>
        <v>0</v>
      </c>
      <c r="C1651" s="6">
        <f t="shared" si="254"/>
        <v>0</v>
      </c>
      <c r="D1651" s="6" t="str">
        <f t="shared" si="255"/>
        <v/>
      </c>
      <c r="E1651" s="35" t="str">
        <f t="shared" si="252"/>
        <v/>
      </c>
      <c r="F1651" s="31"/>
      <c r="G1651" s="29"/>
      <c r="H1651" s="78" t="str">
        <f t="shared" si="256"/>
        <v/>
      </c>
      <c r="I1651" s="25"/>
      <c r="J1651" s="25"/>
      <c r="K1651" s="26"/>
      <c r="L1651" s="26"/>
      <c r="M1651" s="37"/>
      <c r="N1651" s="27"/>
      <c r="O1651" s="30"/>
      <c r="P1651" s="39" t="str">
        <f t="shared" si="257"/>
        <v/>
      </c>
      <c r="Q1651" s="40" t="str">
        <f>IF(OR(T1651=0,RIGHT(T1651,1)=$W$1),"",COUNTIF($T$3:T1651,T1651))</f>
        <v/>
      </c>
      <c r="S1651" s="6">
        <f t="shared" si="258"/>
        <v>0</v>
      </c>
      <c r="T1651" s="36">
        <f t="shared" si="259"/>
        <v>0</v>
      </c>
      <c r="V1651" s="6">
        <f t="shared" si="260"/>
        <v>0</v>
      </c>
      <c r="Y1651" s="8">
        <f t="shared" si="261"/>
        <v>46023</v>
      </c>
    </row>
    <row r="1652" spans="2:25" ht="18.75" x14ac:dyDescent="0.3">
      <c r="B1652" s="6">
        <f t="shared" si="253"/>
        <v>0</v>
      </c>
      <c r="C1652" s="6">
        <f t="shared" si="254"/>
        <v>0</v>
      </c>
      <c r="D1652" s="6" t="str">
        <f t="shared" si="255"/>
        <v/>
      </c>
      <c r="E1652" s="35" t="str">
        <f t="shared" si="252"/>
        <v/>
      </c>
      <c r="F1652" s="31"/>
      <c r="G1652" s="29"/>
      <c r="H1652" s="78" t="str">
        <f t="shared" si="256"/>
        <v/>
      </c>
      <c r="I1652" s="25"/>
      <c r="J1652" s="25"/>
      <c r="K1652" s="26"/>
      <c r="L1652" s="26"/>
      <c r="M1652" s="37"/>
      <c r="N1652" s="27"/>
      <c r="O1652" s="30"/>
      <c r="P1652" s="39" t="str">
        <f t="shared" si="257"/>
        <v/>
      </c>
      <c r="Q1652" s="40" t="str">
        <f>IF(OR(T1652=0,RIGHT(T1652,1)=$W$1),"",COUNTIF($T$3:T1652,T1652))</f>
        <v/>
      </c>
      <c r="S1652" s="6">
        <f t="shared" si="258"/>
        <v>0</v>
      </c>
      <c r="T1652" s="36">
        <f t="shared" si="259"/>
        <v>0</v>
      </c>
      <c r="V1652" s="6">
        <f t="shared" si="260"/>
        <v>0</v>
      </c>
      <c r="Y1652" s="8">
        <f t="shared" si="261"/>
        <v>46023</v>
      </c>
    </row>
    <row r="1653" spans="2:25" ht="18.75" x14ac:dyDescent="0.3">
      <c r="B1653" s="6">
        <f t="shared" si="253"/>
        <v>0</v>
      </c>
      <c r="C1653" s="6">
        <f t="shared" si="254"/>
        <v>0</v>
      </c>
      <c r="D1653" s="6" t="str">
        <f t="shared" si="255"/>
        <v/>
      </c>
      <c r="E1653" s="35" t="str">
        <f t="shared" si="252"/>
        <v/>
      </c>
      <c r="F1653" s="31"/>
      <c r="G1653" s="29"/>
      <c r="H1653" s="78" t="str">
        <f t="shared" si="256"/>
        <v/>
      </c>
      <c r="I1653" s="25"/>
      <c r="J1653" s="25"/>
      <c r="K1653" s="26"/>
      <c r="L1653" s="26"/>
      <c r="M1653" s="37"/>
      <c r="N1653" s="27"/>
      <c r="O1653" s="30"/>
      <c r="P1653" s="39" t="str">
        <f t="shared" si="257"/>
        <v/>
      </c>
      <c r="Q1653" s="40" t="str">
        <f>IF(OR(T1653=0,RIGHT(T1653,1)=$W$1),"",COUNTIF($T$3:T1653,T1653))</f>
        <v/>
      </c>
      <c r="S1653" s="6">
        <f t="shared" si="258"/>
        <v>0</v>
      </c>
      <c r="T1653" s="36">
        <f t="shared" si="259"/>
        <v>0</v>
      </c>
      <c r="V1653" s="6">
        <f t="shared" si="260"/>
        <v>0</v>
      </c>
      <c r="Y1653" s="8">
        <f t="shared" si="261"/>
        <v>46023</v>
      </c>
    </row>
    <row r="1654" spans="2:25" ht="18.75" x14ac:dyDescent="0.3">
      <c r="B1654" s="6">
        <f t="shared" si="253"/>
        <v>0</v>
      </c>
      <c r="C1654" s="6">
        <f t="shared" si="254"/>
        <v>0</v>
      </c>
      <c r="D1654" s="6" t="str">
        <f t="shared" si="255"/>
        <v/>
      </c>
      <c r="E1654" s="35" t="str">
        <f t="shared" si="252"/>
        <v/>
      </c>
      <c r="F1654" s="31"/>
      <c r="G1654" s="29"/>
      <c r="H1654" s="78" t="str">
        <f t="shared" si="256"/>
        <v/>
      </c>
      <c r="I1654" s="25"/>
      <c r="J1654" s="25"/>
      <c r="K1654" s="26"/>
      <c r="L1654" s="26"/>
      <c r="M1654" s="37"/>
      <c r="N1654" s="27"/>
      <c r="O1654" s="30"/>
      <c r="P1654" s="39" t="str">
        <f t="shared" si="257"/>
        <v/>
      </c>
      <c r="Q1654" s="40" t="str">
        <f>IF(OR(T1654=0,RIGHT(T1654,1)=$W$1),"",COUNTIF($T$3:T1654,T1654))</f>
        <v/>
      </c>
      <c r="S1654" s="6">
        <f t="shared" si="258"/>
        <v>0</v>
      </c>
      <c r="T1654" s="36">
        <f t="shared" si="259"/>
        <v>0</v>
      </c>
      <c r="V1654" s="6">
        <f t="shared" si="260"/>
        <v>0</v>
      </c>
      <c r="Y1654" s="8">
        <f t="shared" si="261"/>
        <v>46023</v>
      </c>
    </row>
    <row r="1655" spans="2:25" ht="18.75" x14ac:dyDescent="0.3">
      <c r="B1655" s="6">
        <f t="shared" si="253"/>
        <v>0</v>
      </c>
      <c r="C1655" s="6">
        <f t="shared" si="254"/>
        <v>0</v>
      </c>
      <c r="D1655" s="6" t="str">
        <f t="shared" si="255"/>
        <v/>
      </c>
      <c r="E1655" s="35" t="str">
        <f t="shared" si="252"/>
        <v/>
      </c>
      <c r="F1655" s="31"/>
      <c r="G1655" s="29"/>
      <c r="H1655" s="78" t="str">
        <f t="shared" si="256"/>
        <v/>
      </c>
      <c r="I1655" s="25"/>
      <c r="J1655" s="25"/>
      <c r="K1655" s="26"/>
      <c r="L1655" s="26"/>
      <c r="M1655" s="37"/>
      <c r="N1655" s="27"/>
      <c r="O1655" s="30"/>
      <c r="P1655" s="39" t="str">
        <f t="shared" si="257"/>
        <v/>
      </c>
      <c r="Q1655" s="40" t="str">
        <f>IF(OR(T1655=0,RIGHT(T1655,1)=$W$1),"",COUNTIF($T$3:T1655,T1655))</f>
        <v/>
      </c>
      <c r="S1655" s="6">
        <f t="shared" si="258"/>
        <v>0</v>
      </c>
      <c r="T1655" s="36">
        <f t="shared" si="259"/>
        <v>0</v>
      </c>
      <c r="V1655" s="6">
        <f t="shared" si="260"/>
        <v>0</v>
      </c>
      <c r="Y1655" s="8">
        <f t="shared" si="261"/>
        <v>46023</v>
      </c>
    </row>
    <row r="1656" spans="2:25" ht="18.75" x14ac:dyDescent="0.3">
      <c r="B1656" s="6">
        <f t="shared" si="253"/>
        <v>0</v>
      </c>
      <c r="C1656" s="6">
        <f t="shared" si="254"/>
        <v>0</v>
      </c>
      <c r="D1656" s="6" t="str">
        <f t="shared" si="255"/>
        <v/>
      </c>
      <c r="E1656" s="35" t="str">
        <f t="shared" si="252"/>
        <v/>
      </c>
      <c r="F1656" s="31"/>
      <c r="G1656" s="29"/>
      <c r="H1656" s="78" t="str">
        <f t="shared" si="256"/>
        <v/>
      </c>
      <c r="I1656" s="25"/>
      <c r="J1656" s="25"/>
      <c r="K1656" s="26"/>
      <c r="L1656" s="26"/>
      <c r="M1656" s="37"/>
      <c r="N1656" s="27"/>
      <c r="O1656" s="30"/>
      <c r="P1656" s="39" t="str">
        <f t="shared" si="257"/>
        <v/>
      </c>
      <c r="Q1656" s="40" t="str">
        <f>IF(OR(T1656=0,RIGHT(T1656,1)=$W$1),"",COUNTIF($T$3:T1656,T1656))</f>
        <v/>
      </c>
      <c r="S1656" s="6">
        <f t="shared" si="258"/>
        <v>0</v>
      </c>
      <c r="T1656" s="36">
        <f t="shared" si="259"/>
        <v>0</v>
      </c>
      <c r="V1656" s="6">
        <f t="shared" si="260"/>
        <v>0</v>
      </c>
      <c r="Y1656" s="8">
        <f t="shared" si="261"/>
        <v>46023</v>
      </c>
    </row>
    <row r="1657" spans="2:25" ht="18.75" x14ac:dyDescent="0.3">
      <c r="B1657" s="6">
        <f t="shared" si="253"/>
        <v>0</v>
      </c>
      <c r="C1657" s="6">
        <f t="shared" si="254"/>
        <v>0</v>
      </c>
      <c r="D1657" s="6" t="str">
        <f t="shared" si="255"/>
        <v/>
      </c>
      <c r="E1657" s="35" t="str">
        <f t="shared" si="252"/>
        <v/>
      </c>
      <c r="F1657" s="31"/>
      <c r="G1657" s="29"/>
      <c r="H1657" s="78" t="str">
        <f t="shared" si="256"/>
        <v/>
      </c>
      <c r="I1657" s="25"/>
      <c r="J1657" s="25"/>
      <c r="K1657" s="26"/>
      <c r="L1657" s="26"/>
      <c r="M1657" s="37"/>
      <c r="N1657" s="27"/>
      <c r="O1657" s="30"/>
      <c r="P1657" s="39" t="str">
        <f t="shared" si="257"/>
        <v/>
      </c>
      <c r="Q1657" s="40" t="str">
        <f>IF(OR(T1657=0,RIGHT(T1657,1)=$W$1),"",COUNTIF($T$3:T1657,T1657))</f>
        <v/>
      </c>
      <c r="S1657" s="6">
        <f t="shared" si="258"/>
        <v>0</v>
      </c>
      <c r="T1657" s="36">
        <f t="shared" si="259"/>
        <v>0</v>
      </c>
      <c r="V1657" s="6">
        <f t="shared" si="260"/>
        <v>0</v>
      </c>
      <c r="Y1657" s="8">
        <f t="shared" si="261"/>
        <v>46023</v>
      </c>
    </row>
    <row r="1658" spans="2:25" ht="18.75" x14ac:dyDescent="0.3">
      <c r="B1658" s="6">
        <f t="shared" si="253"/>
        <v>0</v>
      </c>
      <c r="C1658" s="6">
        <f t="shared" si="254"/>
        <v>0</v>
      </c>
      <c r="D1658" s="6" t="str">
        <f t="shared" si="255"/>
        <v/>
      </c>
      <c r="E1658" s="35" t="str">
        <f t="shared" si="252"/>
        <v/>
      </c>
      <c r="F1658" s="31"/>
      <c r="G1658" s="29"/>
      <c r="H1658" s="78" t="str">
        <f t="shared" si="256"/>
        <v/>
      </c>
      <c r="I1658" s="25"/>
      <c r="J1658" s="25"/>
      <c r="K1658" s="26"/>
      <c r="L1658" s="26"/>
      <c r="M1658" s="37"/>
      <c r="N1658" s="27"/>
      <c r="O1658" s="30"/>
      <c r="P1658" s="39" t="str">
        <f t="shared" si="257"/>
        <v/>
      </c>
      <c r="Q1658" s="40" t="str">
        <f>IF(OR(T1658=0,RIGHT(T1658,1)=$W$1),"",COUNTIF($T$3:T1658,T1658))</f>
        <v/>
      </c>
      <c r="S1658" s="6">
        <f t="shared" si="258"/>
        <v>0</v>
      </c>
      <c r="T1658" s="36">
        <f t="shared" si="259"/>
        <v>0</v>
      </c>
      <c r="V1658" s="6">
        <f t="shared" si="260"/>
        <v>0</v>
      </c>
      <c r="Y1658" s="8">
        <f t="shared" si="261"/>
        <v>46023</v>
      </c>
    </row>
    <row r="1659" spans="2:25" ht="18.75" x14ac:dyDescent="0.3">
      <c r="B1659" s="6">
        <f t="shared" si="253"/>
        <v>0</v>
      </c>
      <c r="C1659" s="6">
        <f t="shared" si="254"/>
        <v>0</v>
      </c>
      <c r="D1659" s="6" t="str">
        <f t="shared" si="255"/>
        <v/>
      </c>
      <c r="E1659" s="35" t="str">
        <f t="shared" si="252"/>
        <v/>
      </c>
      <c r="F1659" s="31"/>
      <c r="G1659" s="29"/>
      <c r="H1659" s="78" t="str">
        <f t="shared" si="256"/>
        <v/>
      </c>
      <c r="I1659" s="25"/>
      <c r="J1659" s="25"/>
      <c r="K1659" s="26"/>
      <c r="L1659" s="26"/>
      <c r="M1659" s="37"/>
      <c r="N1659" s="27"/>
      <c r="O1659" s="30"/>
      <c r="P1659" s="39" t="str">
        <f t="shared" si="257"/>
        <v/>
      </c>
      <c r="Q1659" s="40" t="str">
        <f>IF(OR(T1659=0,RIGHT(T1659,1)=$W$1),"",COUNTIF($T$3:T1659,T1659))</f>
        <v/>
      </c>
      <c r="S1659" s="6">
        <f t="shared" si="258"/>
        <v>0</v>
      </c>
      <c r="T1659" s="36">
        <f t="shared" si="259"/>
        <v>0</v>
      </c>
      <c r="V1659" s="6">
        <f t="shared" si="260"/>
        <v>0</v>
      </c>
      <c r="Y1659" s="8">
        <f t="shared" si="261"/>
        <v>46023</v>
      </c>
    </row>
    <row r="1660" spans="2:25" ht="18.75" x14ac:dyDescent="0.3">
      <c r="B1660" s="6">
        <f t="shared" si="253"/>
        <v>0</v>
      </c>
      <c r="C1660" s="6">
        <f t="shared" si="254"/>
        <v>0</v>
      </c>
      <c r="D1660" s="6" t="str">
        <f t="shared" si="255"/>
        <v/>
      </c>
      <c r="E1660" s="35" t="str">
        <f t="shared" si="252"/>
        <v/>
      </c>
      <c r="F1660" s="31"/>
      <c r="G1660" s="29"/>
      <c r="H1660" s="78" t="str">
        <f t="shared" si="256"/>
        <v/>
      </c>
      <c r="I1660" s="25"/>
      <c r="J1660" s="25"/>
      <c r="K1660" s="26"/>
      <c r="L1660" s="26"/>
      <c r="M1660" s="37"/>
      <c r="N1660" s="27"/>
      <c r="O1660" s="30"/>
      <c r="P1660" s="39" t="str">
        <f t="shared" si="257"/>
        <v/>
      </c>
      <c r="Q1660" s="40" t="str">
        <f>IF(OR(T1660=0,RIGHT(T1660,1)=$W$1),"",COUNTIF($T$3:T1660,T1660))</f>
        <v/>
      </c>
      <c r="S1660" s="6">
        <f t="shared" si="258"/>
        <v>0</v>
      </c>
      <c r="T1660" s="36">
        <f t="shared" si="259"/>
        <v>0</v>
      </c>
      <c r="V1660" s="6">
        <f t="shared" si="260"/>
        <v>0</v>
      </c>
      <c r="Y1660" s="8">
        <f t="shared" si="261"/>
        <v>46023</v>
      </c>
    </row>
    <row r="1661" spans="2:25" ht="18.75" x14ac:dyDescent="0.3">
      <c r="B1661" s="6">
        <f t="shared" si="253"/>
        <v>0</v>
      </c>
      <c r="C1661" s="6">
        <f t="shared" si="254"/>
        <v>0</v>
      </c>
      <c r="D1661" s="6" t="str">
        <f t="shared" si="255"/>
        <v/>
      </c>
      <c r="E1661" s="35" t="str">
        <f t="shared" si="252"/>
        <v/>
      </c>
      <c r="F1661" s="31"/>
      <c r="G1661" s="29"/>
      <c r="H1661" s="78" t="str">
        <f t="shared" si="256"/>
        <v/>
      </c>
      <c r="I1661" s="25"/>
      <c r="J1661" s="25"/>
      <c r="K1661" s="26"/>
      <c r="L1661" s="26"/>
      <c r="M1661" s="37"/>
      <c r="N1661" s="27"/>
      <c r="O1661" s="30"/>
      <c r="P1661" s="39" t="str">
        <f t="shared" si="257"/>
        <v/>
      </c>
      <c r="Q1661" s="40" t="str">
        <f>IF(OR(T1661=0,RIGHT(T1661,1)=$W$1),"",COUNTIF($T$3:T1661,T1661))</f>
        <v/>
      </c>
      <c r="S1661" s="6">
        <f t="shared" si="258"/>
        <v>0</v>
      </c>
      <c r="T1661" s="36">
        <f t="shared" si="259"/>
        <v>0</v>
      </c>
      <c r="V1661" s="6">
        <f t="shared" si="260"/>
        <v>0</v>
      </c>
      <c r="Y1661" s="8">
        <f t="shared" si="261"/>
        <v>46023</v>
      </c>
    </row>
    <row r="1662" spans="2:25" ht="18.75" x14ac:dyDescent="0.3">
      <c r="B1662" s="6">
        <f t="shared" si="253"/>
        <v>0</v>
      </c>
      <c r="C1662" s="6">
        <f t="shared" si="254"/>
        <v>0</v>
      </c>
      <c r="D1662" s="6" t="str">
        <f t="shared" si="255"/>
        <v/>
      </c>
      <c r="E1662" s="35" t="str">
        <f t="shared" si="252"/>
        <v/>
      </c>
      <c r="F1662" s="31"/>
      <c r="G1662" s="29"/>
      <c r="H1662" s="78" t="str">
        <f t="shared" si="256"/>
        <v/>
      </c>
      <c r="I1662" s="25"/>
      <c r="J1662" s="25"/>
      <c r="K1662" s="26"/>
      <c r="L1662" s="26"/>
      <c r="M1662" s="37"/>
      <c r="N1662" s="27"/>
      <c r="O1662" s="30"/>
      <c r="P1662" s="39" t="str">
        <f t="shared" si="257"/>
        <v/>
      </c>
      <c r="Q1662" s="40" t="str">
        <f>IF(OR(T1662=0,RIGHT(T1662,1)=$W$1),"",COUNTIF($T$3:T1662,T1662))</f>
        <v/>
      </c>
      <c r="S1662" s="6">
        <f t="shared" si="258"/>
        <v>0</v>
      </c>
      <c r="T1662" s="36">
        <f t="shared" si="259"/>
        <v>0</v>
      </c>
      <c r="V1662" s="6">
        <f t="shared" si="260"/>
        <v>0</v>
      </c>
      <c r="Y1662" s="8">
        <f t="shared" si="261"/>
        <v>46023</v>
      </c>
    </row>
    <row r="1663" spans="2:25" ht="18.75" x14ac:dyDescent="0.3">
      <c r="B1663" s="6">
        <f t="shared" si="253"/>
        <v>0</v>
      </c>
      <c r="C1663" s="6">
        <f t="shared" si="254"/>
        <v>0</v>
      </c>
      <c r="D1663" s="6" t="str">
        <f t="shared" si="255"/>
        <v/>
      </c>
      <c r="E1663" s="35" t="str">
        <f t="shared" si="252"/>
        <v/>
      </c>
      <c r="F1663" s="31"/>
      <c r="G1663" s="29"/>
      <c r="H1663" s="78" t="str">
        <f t="shared" si="256"/>
        <v/>
      </c>
      <c r="I1663" s="25"/>
      <c r="J1663" s="25"/>
      <c r="K1663" s="26"/>
      <c r="L1663" s="26"/>
      <c r="M1663" s="37"/>
      <c r="N1663" s="27"/>
      <c r="O1663" s="30"/>
      <c r="P1663" s="39" t="str">
        <f t="shared" si="257"/>
        <v/>
      </c>
      <c r="Q1663" s="40" t="str">
        <f>IF(OR(T1663=0,RIGHT(T1663,1)=$W$1),"",COUNTIF($T$3:T1663,T1663))</f>
        <v/>
      </c>
      <c r="S1663" s="6">
        <f t="shared" si="258"/>
        <v>0</v>
      </c>
      <c r="T1663" s="36">
        <f t="shared" si="259"/>
        <v>0</v>
      </c>
      <c r="V1663" s="6">
        <f t="shared" si="260"/>
        <v>0</v>
      </c>
      <c r="Y1663" s="8">
        <f t="shared" si="261"/>
        <v>46023</v>
      </c>
    </row>
    <row r="1664" spans="2:25" ht="18.75" x14ac:dyDescent="0.3">
      <c r="B1664" s="6">
        <f t="shared" si="253"/>
        <v>0</v>
      </c>
      <c r="C1664" s="6">
        <f t="shared" si="254"/>
        <v>0</v>
      </c>
      <c r="D1664" s="6" t="str">
        <f t="shared" si="255"/>
        <v/>
      </c>
      <c r="E1664" s="35" t="str">
        <f t="shared" si="252"/>
        <v/>
      </c>
      <c r="F1664" s="31"/>
      <c r="G1664" s="29"/>
      <c r="H1664" s="78" t="str">
        <f t="shared" si="256"/>
        <v/>
      </c>
      <c r="I1664" s="25"/>
      <c r="J1664" s="25"/>
      <c r="K1664" s="26"/>
      <c r="L1664" s="26"/>
      <c r="M1664" s="37"/>
      <c r="N1664" s="27"/>
      <c r="O1664" s="30"/>
      <c r="P1664" s="39" t="str">
        <f t="shared" si="257"/>
        <v/>
      </c>
      <c r="Q1664" s="40" t="str">
        <f>IF(OR(T1664=0,RIGHT(T1664,1)=$W$1),"",COUNTIF($T$3:T1664,T1664))</f>
        <v/>
      </c>
      <c r="S1664" s="6">
        <f t="shared" si="258"/>
        <v>0</v>
      </c>
      <c r="T1664" s="36">
        <f t="shared" si="259"/>
        <v>0</v>
      </c>
      <c r="V1664" s="6">
        <f t="shared" si="260"/>
        <v>0</v>
      </c>
      <c r="Y1664" s="8">
        <f t="shared" si="261"/>
        <v>46023</v>
      </c>
    </row>
    <row r="1665" spans="2:25" ht="18.75" x14ac:dyDescent="0.3">
      <c r="B1665" s="6">
        <f t="shared" si="253"/>
        <v>0</v>
      </c>
      <c r="C1665" s="6">
        <f t="shared" si="254"/>
        <v>0</v>
      </c>
      <c r="D1665" s="6" t="str">
        <f t="shared" si="255"/>
        <v/>
      </c>
      <c r="E1665" s="35" t="str">
        <f t="shared" si="252"/>
        <v/>
      </c>
      <c r="F1665" s="31"/>
      <c r="G1665" s="29"/>
      <c r="H1665" s="78" t="str">
        <f t="shared" si="256"/>
        <v/>
      </c>
      <c r="I1665" s="25"/>
      <c r="J1665" s="25"/>
      <c r="K1665" s="26"/>
      <c r="L1665" s="26"/>
      <c r="M1665" s="37"/>
      <c r="N1665" s="27"/>
      <c r="O1665" s="30"/>
      <c r="P1665" s="39" t="str">
        <f t="shared" si="257"/>
        <v/>
      </c>
      <c r="Q1665" s="40" t="str">
        <f>IF(OR(T1665=0,RIGHT(T1665,1)=$W$1),"",COUNTIF($T$3:T1665,T1665))</f>
        <v/>
      </c>
      <c r="S1665" s="6">
        <f t="shared" si="258"/>
        <v>0</v>
      </c>
      <c r="T1665" s="36">
        <f t="shared" si="259"/>
        <v>0</v>
      </c>
      <c r="V1665" s="6">
        <f t="shared" si="260"/>
        <v>0</v>
      </c>
      <c r="Y1665" s="8">
        <f t="shared" si="261"/>
        <v>46023</v>
      </c>
    </row>
    <row r="1666" spans="2:25" ht="18.75" x14ac:dyDescent="0.3">
      <c r="B1666" s="6">
        <f t="shared" si="253"/>
        <v>0</v>
      </c>
      <c r="C1666" s="6">
        <f t="shared" si="254"/>
        <v>0</v>
      </c>
      <c r="D1666" s="6" t="str">
        <f t="shared" si="255"/>
        <v/>
      </c>
      <c r="E1666" s="35" t="str">
        <f t="shared" si="252"/>
        <v/>
      </c>
      <c r="F1666" s="31"/>
      <c r="G1666" s="29"/>
      <c r="H1666" s="78" t="str">
        <f t="shared" si="256"/>
        <v/>
      </c>
      <c r="I1666" s="25"/>
      <c r="J1666" s="25"/>
      <c r="K1666" s="26"/>
      <c r="L1666" s="26"/>
      <c r="M1666" s="37"/>
      <c r="N1666" s="27"/>
      <c r="O1666" s="30"/>
      <c r="P1666" s="39" t="str">
        <f t="shared" si="257"/>
        <v/>
      </c>
      <c r="Q1666" s="40" t="str">
        <f>IF(OR(T1666=0,RIGHT(T1666,1)=$W$1),"",COUNTIF($T$3:T1666,T1666))</f>
        <v/>
      </c>
      <c r="S1666" s="6">
        <f t="shared" si="258"/>
        <v>0</v>
      </c>
      <c r="T1666" s="36">
        <f t="shared" si="259"/>
        <v>0</v>
      </c>
      <c r="V1666" s="6">
        <f t="shared" si="260"/>
        <v>0</v>
      </c>
      <c r="Y1666" s="8">
        <f t="shared" si="261"/>
        <v>46023</v>
      </c>
    </row>
    <row r="1667" spans="2:25" ht="18.75" x14ac:dyDescent="0.3">
      <c r="B1667" s="6">
        <f t="shared" si="253"/>
        <v>0</v>
      </c>
      <c r="C1667" s="6">
        <f t="shared" si="254"/>
        <v>0</v>
      </c>
      <c r="D1667" s="6" t="str">
        <f t="shared" si="255"/>
        <v/>
      </c>
      <c r="E1667" s="35" t="str">
        <f t="shared" ref="E1667:E1730" si="262">IF(D1667&lt;&gt;"",D1667&amp;" - "&amp;YEAR(F1667),"")</f>
        <v/>
      </c>
      <c r="F1667" s="31"/>
      <c r="G1667" s="29"/>
      <c r="H1667" s="78" t="str">
        <f t="shared" si="256"/>
        <v/>
      </c>
      <c r="I1667" s="25"/>
      <c r="J1667" s="25"/>
      <c r="K1667" s="26"/>
      <c r="L1667" s="26"/>
      <c r="M1667" s="37"/>
      <c r="N1667" s="27"/>
      <c r="O1667" s="30"/>
      <c r="P1667" s="39" t="str">
        <f t="shared" si="257"/>
        <v/>
      </c>
      <c r="Q1667" s="40" t="str">
        <f>IF(OR(T1667=0,RIGHT(T1667,1)=$W$1),"",COUNTIF($T$3:T1667,T1667))</f>
        <v/>
      </c>
      <c r="S1667" s="6">
        <f t="shared" si="258"/>
        <v>0</v>
      </c>
      <c r="T1667" s="36">
        <f t="shared" si="259"/>
        <v>0</v>
      </c>
      <c r="V1667" s="6">
        <f t="shared" si="260"/>
        <v>0</v>
      </c>
      <c r="Y1667" s="8">
        <f t="shared" si="261"/>
        <v>46023</v>
      </c>
    </row>
    <row r="1668" spans="2:25" ht="18.75" x14ac:dyDescent="0.3">
      <c r="B1668" s="6">
        <f t="shared" ref="B1668:B1731" si="263">IF($B$1=YEAR(F1668),B1667+1,B1667)</f>
        <v>0</v>
      </c>
      <c r="C1668" s="6">
        <f t="shared" ref="C1668:C1731" si="264">IF(AND($C$1=K1668,$Y$1=YEAR(F1668)),C1667+1,C1667)</f>
        <v>0</v>
      </c>
      <c r="D1668" s="6" t="str">
        <f t="shared" ref="D1668:D1731" si="265">IF(F1668&lt;&gt;0,IF(YEAR(F1668)&lt;&gt;YEAR(F1667),1,IF(M1668=$AI$1,D1667,D1667+1)),"")</f>
        <v/>
      </c>
      <c r="E1668" s="35" t="str">
        <f t="shared" si="262"/>
        <v/>
      </c>
      <c r="F1668" s="31"/>
      <c r="G1668" s="29"/>
      <c r="H1668" s="78" t="str">
        <f t="shared" ref="H1668:H1731" si="266">IF(G1668&lt;&gt;"",F1668,"")</f>
        <v/>
      </c>
      <c r="I1668" s="25"/>
      <c r="J1668" s="25"/>
      <c r="K1668" s="26"/>
      <c r="L1668" s="26"/>
      <c r="M1668" s="37"/>
      <c r="N1668" s="27"/>
      <c r="O1668" s="30"/>
      <c r="P1668" s="39" t="str">
        <f t="shared" ref="P1668:P1731" si="267">IF(OR(T1668=0,RIGHT(T1668,1)=$W$1),"",VLOOKUP(K1668,$AD$1:$AK$15,5,FALSE))</f>
        <v/>
      </c>
      <c r="Q1668" s="40" t="str">
        <f>IF(OR(T1668=0,RIGHT(T1668,1)=$W$1),"",COUNTIF($T$3:T1668,T1668))</f>
        <v/>
      </c>
      <c r="S1668" s="6">
        <f t="shared" ref="S1668:S1731" si="268">IF(AND($C$1=K1668,$Y$1=YEAR(F1668)),C1668,0)</f>
        <v>0</v>
      </c>
      <c r="T1668" s="36">
        <f t="shared" ref="T1668:T1731" si="269">IF(F1668=0,0,YEAR(F1668)&amp;VLOOKUP(K1668,$AD$1:$AE$15,2,FALSE))</f>
        <v>0</v>
      </c>
      <c r="V1668" s="6">
        <f t="shared" ref="V1668:V1731" si="270">IF(AND(YEAR(F1668)=$Y$1,K1668=$C$1,L1668&amp;$V$1&lt;&gt;$V$1),L1668,IF(AND(YEAR(F1668)=$Y$1,K1668=$C$1),1,0))</f>
        <v>0</v>
      </c>
      <c r="Y1668" s="8">
        <f t="shared" ref="Y1668:Y1731" si="271">IF(M1668&lt;&gt;$AI$1,$Y$2,F1667)</f>
        <v>46023</v>
      </c>
    </row>
    <row r="1669" spans="2:25" ht="18.75" x14ac:dyDescent="0.3">
      <c r="B1669" s="6">
        <f t="shared" si="263"/>
        <v>0</v>
      </c>
      <c r="C1669" s="6">
        <f t="shared" si="264"/>
        <v>0</v>
      </c>
      <c r="D1669" s="6" t="str">
        <f t="shared" si="265"/>
        <v/>
      </c>
      <c r="E1669" s="35" t="str">
        <f t="shared" si="262"/>
        <v/>
      </c>
      <c r="F1669" s="31"/>
      <c r="G1669" s="29"/>
      <c r="H1669" s="78" t="str">
        <f t="shared" si="266"/>
        <v/>
      </c>
      <c r="I1669" s="25"/>
      <c r="J1669" s="25"/>
      <c r="K1669" s="26"/>
      <c r="L1669" s="26"/>
      <c r="M1669" s="37"/>
      <c r="N1669" s="27"/>
      <c r="O1669" s="30"/>
      <c r="P1669" s="39" t="str">
        <f t="shared" si="267"/>
        <v/>
      </c>
      <c r="Q1669" s="40" t="str">
        <f>IF(OR(T1669=0,RIGHT(T1669,1)=$W$1),"",COUNTIF($T$3:T1669,T1669))</f>
        <v/>
      </c>
      <c r="S1669" s="6">
        <f t="shared" si="268"/>
        <v>0</v>
      </c>
      <c r="T1669" s="36">
        <f t="shared" si="269"/>
        <v>0</v>
      </c>
      <c r="V1669" s="6">
        <f t="shared" si="270"/>
        <v>0</v>
      </c>
      <c r="Y1669" s="8">
        <f t="shared" si="271"/>
        <v>46023</v>
      </c>
    </row>
    <row r="1670" spans="2:25" ht="18.75" x14ac:dyDescent="0.3">
      <c r="B1670" s="6">
        <f t="shared" si="263"/>
        <v>0</v>
      </c>
      <c r="C1670" s="6">
        <f t="shared" si="264"/>
        <v>0</v>
      </c>
      <c r="D1670" s="6" t="str">
        <f t="shared" si="265"/>
        <v/>
      </c>
      <c r="E1670" s="35" t="str">
        <f t="shared" si="262"/>
        <v/>
      </c>
      <c r="F1670" s="31"/>
      <c r="G1670" s="29"/>
      <c r="H1670" s="78" t="str">
        <f t="shared" si="266"/>
        <v/>
      </c>
      <c r="I1670" s="25"/>
      <c r="J1670" s="25"/>
      <c r="K1670" s="26"/>
      <c r="L1670" s="26"/>
      <c r="M1670" s="37"/>
      <c r="N1670" s="27"/>
      <c r="O1670" s="30"/>
      <c r="P1670" s="39" t="str">
        <f t="shared" si="267"/>
        <v/>
      </c>
      <c r="Q1670" s="40" t="str">
        <f>IF(OR(T1670=0,RIGHT(T1670,1)=$W$1),"",COUNTIF($T$3:T1670,T1670))</f>
        <v/>
      </c>
      <c r="S1670" s="6">
        <f t="shared" si="268"/>
        <v>0</v>
      </c>
      <c r="T1670" s="36">
        <f t="shared" si="269"/>
        <v>0</v>
      </c>
      <c r="V1670" s="6">
        <f t="shared" si="270"/>
        <v>0</v>
      </c>
      <c r="Y1670" s="8">
        <f t="shared" si="271"/>
        <v>46023</v>
      </c>
    </row>
    <row r="1671" spans="2:25" ht="18.75" x14ac:dyDescent="0.3">
      <c r="B1671" s="6">
        <f t="shared" si="263"/>
        <v>0</v>
      </c>
      <c r="C1671" s="6">
        <f t="shared" si="264"/>
        <v>0</v>
      </c>
      <c r="D1671" s="6" t="str">
        <f t="shared" si="265"/>
        <v/>
      </c>
      <c r="E1671" s="35" t="str">
        <f t="shared" si="262"/>
        <v/>
      </c>
      <c r="F1671" s="31"/>
      <c r="G1671" s="29"/>
      <c r="H1671" s="78" t="str">
        <f t="shared" si="266"/>
        <v/>
      </c>
      <c r="I1671" s="25"/>
      <c r="J1671" s="25"/>
      <c r="K1671" s="26"/>
      <c r="L1671" s="26"/>
      <c r="M1671" s="37"/>
      <c r="N1671" s="27"/>
      <c r="O1671" s="30"/>
      <c r="P1671" s="39" t="str">
        <f t="shared" si="267"/>
        <v/>
      </c>
      <c r="Q1671" s="40" t="str">
        <f>IF(OR(T1671=0,RIGHT(T1671,1)=$W$1),"",COUNTIF($T$3:T1671,T1671))</f>
        <v/>
      </c>
      <c r="S1671" s="6">
        <f t="shared" si="268"/>
        <v>0</v>
      </c>
      <c r="T1671" s="36">
        <f t="shared" si="269"/>
        <v>0</v>
      </c>
      <c r="V1671" s="6">
        <f t="shared" si="270"/>
        <v>0</v>
      </c>
      <c r="Y1671" s="8">
        <f t="shared" si="271"/>
        <v>46023</v>
      </c>
    </row>
    <row r="1672" spans="2:25" ht="18.75" x14ac:dyDescent="0.3">
      <c r="B1672" s="6">
        <f t="shared" si="263"/>
        <v>0</v>
      </c>
      <c r="C1672" s="6">
        <f t="shared" si="264"/>
        <v>0</v>
      </c>
      <c r="D1672" s="6" t="str">
        <f t="shared" si="265"/>
        <v/>
      </c>
      <c r="E1672" s="35" t="str">
        <f t="shared" si="262"/>
        <v/>
      </c>
      <c r="F1672" s="31"/>
      <c r="G1672" s="29"/>
      <c r="H1672" s="78" t="str">
        <f t="shared" si="266"/>
        <v/>
      </c>
      <c r="I1672" s="25"/>
      <c r="J1672" s="25"/>
      <c r="K1672" s="26"/>
      <c r="L1672" s="26"/>
      <c r="M1672" s="37"/>
      <c r="N1672" s="27"/>
      <c r="O1672" s="30"/>
      <c r="P1672" s="39" t="str">
        <f t="shared" si="267"/>
        <v/>
      </c>
      <c r="Q1672" s="40" t="str">
        <f>IF(OR(T1672=0,RIGHT(T1672,1)=$W$1),"",COUNTIF($T$3:T1672,T1672))</f>
        <v/>
      </c>
      <c r="S1672" s="6">
        <f t="shared" si="268"/>
        <v>0</v>
      </c>
      <c r="T1672" s="36">
        <f t="shared" si="269"/>
        <v>0</v>
      </c>
      <c r="V1672" s="6">
        <f t="shared" si="270"/>
        <v>0</v>
      </c>
      <c r="Y1672" s="8">
        <f t="shared" si="271"/>
        <v>46023</v>
      </c>
    </row>
    <row r="1673" spans="2:25" ht="18.75" x14ac:dyDescent="0.3">
      <c r="B1673" s="6">
        <f t="shared" si="263"/>
        <v>0</v>
      </c>
      <c r="C1673" s="6">
        <f t="shared" si="264"/>
        <v>0</v>
      </c>
      <c r="D1673" s="6" t="str">
        <f t="shared" si="265"/>
        <v/>
      </c>
      <c r="E1673" s="35" t="str">
        <f t="shared" si="262"/>
        <v/>
      </c>
      <c r="F1673" s="31"/>
      <c r="G1673" s="29"/>
      <c r="H1673" s="78" t="str">
        <f t="shared" si="266"/>
        <v/>
      </c>
      <c r="I1673" s="25"/>
      <c r="J1673" s="25"/>
      <c r="K1673" s="26"/>
      <c r="L1673" s="26"/>
      <c r="M1673" s="37"/>
      <c r="N1673" s="27"/>
      <c r="O1673" s="30"/>
      <c r="P1673" s="39" t="str">
        <f t="shared" si="267"/>
        <v/>
      </c>
      <c r="Q1673" s="40" t="str">
        <f>IF(OR(T1673=0,RIGHT(T1673,1)=$W$1),"",COUNTIF($T$3:T1673,T1673))</f>
        <v/>
      </c>
      <c r="S1673" s="6">
        <f t="shared" si="268"/>
        <v>0</v>
      </c>
      <c r="T1673" s="36">
        <f t="shared" si="269"/>
        <v>0</v>
      </c>
      <c r="V1673" s="6">
        <f t="shared" si="270"/>
        <v>0</v>
      </c>
      <c r="Y1673" s="8">
        <f t="shared" si="271"/>
        <v>46023</v>
      </c>
    </row>
    <row r="1674" spans="2:25" ht="18.75" x14ac:dyDescent="0.3">
      <c r="B1674" s="6">
        <f t="shared" si="263"/>
        <v>0</v>
      </c>
      <c r="C1674" s="6">
        <f t="shared" si="264"/>
        <v>0</v>
      </c>
      <c r="D1674" s="6" t="str">
        <f t="shared" si="265"/>
        <v/>
      </c>
      <c r="E1674" s="35" t="str">
        <f t="shared" si="262"/>
        <v/>
      </c>
      <c r="F1674" s="31"/>
      <c r="G1674" s="29"/>
      <c r="H1674" s="78" t="str">
        <f t="shared" si="266"/>
        <v/>
      </c>
      <c r="I1674" s="25"/>
      <c r="J1674" s="25"/>
      <c r="K1674" s="26"/>
      <c r="L1674" s="26"/>
      <c r="M1674" s="37"/>
      <c r="N1674" s="27"/>
      <c r="O1674" s="30"/>
      <c r="P1674" s="39" t="str">
        <f t="shared" si="267"/>
        <v/>
      </c>
      <c r="Q1674" s="40" t="str">
        <f>IF(OR(T1674=0,RIGHT(T1674,1)=$W$1),"",COUNTIF($T$3:T1674,T1674))</f>
        <v/>
      </c>
      <c r="S1674" s="6">
        <f t="shared" si="268"/>
        <v>0</v>
      </c>
      <c r="T1674" s="36">
        <f t="shared" si="269"/>
        <v>0</v>
      </c>
      <c r="V1674" s="6">
        <f t="shared" si="270"/>
        <v>0</v>
      </c>
      <c r="Y1674" s="8">
        <f t="shared" si="271"/>
        <v>46023</v>
      </c>
    </row>
    <row r="1675" spans="2:25" ht="18.75" x14ac:dyDescent="0.3">
      <c r="B1675" s="6">
        <f t="shared" si="263"/>
        <v>0</v>
      </c>
      <c r="C1675" s="6">
        <f t="shared" si="264"/>
        <v>0</v>
      </c>
      <c r="D1675" s="6" t="str">
        <f t="shared" si="265"/>
        <v/>
      </c>
      <c r="E1675" s="35" t="str">
        <f t="shared" si="262"/>
        <v/>
      </c>
      <c r="F1675" s="31"/>
      <c r="G1675" s="29"/>
      <c r="H1675" s="78" t="str">
        <f t="shared" si="266"/>
        <v/>
      </c>
      <c r="I1675" s="25"/>
      <c r="J1675" s="25"/>
      <c r="K1675" s="26"/>
      <c r="L1675" s="26"/>
      <c r="M1675" s="37"/>
      <c r="N1675" s="27"/>
      <c r="O1675" s="30"/>
      <c r="P1675" s="39" t="str">
        <f t="shared" si="267"/>
        <v/>
      </c>
      <c r="Q1675" s="40" t="str">
        <f>IF(OR(T1675=0,RIGHT(T1675,1)=$W$1),"",COUNTIF($T$3:T1675,T1675))</f>
        <v/>
      </c>
      <c r="S1675" s="6">
        <f t="shared" si="268"/>
        <v>0</v>
      </c>
      <c r="T1675" s="36">
        <f t="shared" si="269"/>
        <v>0</v>
      </c>
      <c r="V1675" s="6">
        <f t="shared" si="270"/>
        <v>0</v>
      </c>
      <c r="Y1675" s="8">
        <f t="shared" si="271"/>
        <v>46023</v>
      </c>
    </row>
    <row r="1676" spans="2:25" ht="18.75" x14ac:dyDescent="0.3">
      <c r="B1676" s="6">
        <f t="shared" si="263"/>
        <v>0</v>
      </c>
      <c r="C1676" s="6">
        <f t="shared" si="264"/>
        <v>0</v>
      </c>
      <c r="D1676" s="6" t="str">
        <f t="shared" si="265"/>
        <v/>
      </c>
      <c r="E1676" s="35" t="str">
        <f t="shared" si="262"/>
        <v/>
      </c>
      <c r="F1676" s="31"/>
      <c r="G1676" s="29"/>
      <c r="H1676" s="78" t="str">
        <f t="shared" si="266"/>
        <v/>
      </c>
      <c r="I1676" s="25"/>
      <c r="J1676" s="25"/>
      <c r="K1676" s="26"/>
      <c r="L1676" s="26"/>
      <c r="M1676" s="37"/>
      <c r="N1676" s="27"/>
      <c r="O1676" s="30"/>
      <c r="P1676" s="39" t="str">
        <f t="shared" si="267"/>
        <v/>
      </c>
      <c r="Q1676" s="40" t="str">
        <f>IF(OR(T1676=0,RIGHT(T1676,1)=$W$1),"",COUNTIF($T$3:T1676,T1676))</f>
        <v/>
      </c>
      <c r="S1676" s="6">
        <f t="shared" si="268"/>
        <v>0</v>
      </c>
      <c r="T1676" s="36">
        <f t="shared" si="269"/>
        <v>0</v>
      </c>
      <c r="V1676" s="6">
        <f t="shared" si="270"/>
        <v>0</v>
      </c>
      <c r="Y1676" s="8">
        <f t="shared" si="271"/>
        <v>46023</v>
      </c>
    </row>
    <row r="1677" spans="2:25" ht="18.75" x14ac:dyDescent="0.3">
      <c r="B1677" s="6">
        <f t="shared" si="263"/>
        <v>0</v>
      </c>
      <c r="C1677" s="6">
        <f t="shared" si="264"/>
        <v>0</v>
      </c>
      <c r="D1677" s="6" t="str">
        <f t="shared" si="265"/>
        <v/>
      </c>
      <c r="E1677" s="35" t="str">
        <f t="shared" si="262"/>
        <v/>
      </c>
      <c r="F1677" s="31"/>
      <c r="G1677" s="29"/>
      <c r="H1677" s="78" t="str">
        <f t="shared" si="266"/>
        <v/>
      </c>
      <c r="I1677" s="25"/>
      <c r="J1677" s="25"/>
      <c r="K1677" s="26"/>
      <c r="L1677" s="26"/>
      <c r="M1677" s="37"/>
      <c r="N1677" s="27"/>
      <c r="O1677" s="30"/>
      <c r="P1677" s="39" t="str">
        <f t="shared" si="267"/>
        <v/>
      </c>
      <c r="Q1677" s="40" t="str">
        <f>IF(OR(T1677=0,RIGHT(T1677,1)=$W$1),"",COUNTIF($T$3:T1677,T1677))</f>
        <v/>
      </c>
      <c r="S1677" s="6">
        <f t="shared" si="268"/>
        <v>0</v>
      </c>
      <c r="T1677" s="36">
        <f t="shared" si="269"/>
        <v>0</v>
      </c>
      <c r="V1677" s="6">
        <f t="shared" si="270"/>
        <v>0</v>
      </c>
      <c r="Y1677" s="8">
        <f t="shared" si="271"/>
        <v>46023</v>
      </c>
    </row>
    <row r="1678" spans="2:25" ht="18.75" x14ac:dyDescent="0.3">
      <c r="B1678" s="6">
        <f t="shared" si="263"/>
        <v>0</v>
      </c>
      <c r="C1678" s="6">
        <f t="shared" si="264"/>
        <v>0</v>
      </c>
      <c r="D1678" s="6" t="str">
        <f t="shared" si="265"/>
        <v/>
      </c>
      <c r="E1678" s="35" t="str">
        <f t="shared" si="262"/>
        <v/>
      </c>
      <c r="F1678" s="31"/>
      <c r="G1678" s="29"/>
      <c r="H1678" s="78" t="str">
        <f t="shared" si="266"/>
        <v/>
      </c>
      <c r="I1678" s="25"/>
      <c r="J1678" s="25"/>
      <c r="K1678" s="26"/>
      <c r="L1678" s="26"/>
      <c r="M1678" s="37"/>
      <c r="N1678" s="27"/>
      <c r="O1678" s="30"/>
      <c r="P1678" s="39" t="str">
        <f t="shared" si="267"/>
        <v/>
      </c>
      <c r="Q1678" s="40" t="str">
        <f>IF(OR(T1678=0,RIGHT(T1678,1)=$W$1),"",COUNTIF($T$3:T1678,T1678))</f>
        <v/>
      </c>
      <c r="S1678" s="6">
        <f t="shared" si="268"/>
        <v>0</v>
      </c>
      <c r="T1678" s="36">
        <f t="shared" si="269"/>
        <v>0</v>
      </c>
      <c r="V1678" s="6">
        <f t="shared" si="270"/>
        <v>0</v>
      </c>
      <c r="Y1678" s="8">
        <f t="shared" si="271"/>
        <v>46023</v>
      </c>
    </row>
    <row r="1679" spans="2:25" ht="18.75" x14ac:dyDescent="0.3">
      <c r="B1679" s="6">
        <f t="shared" si="263"/>
        <v>0</v>
      </c>
      <c r="C1679" s="6">
        <f t="shared" si="264"/>
        <v>0</v>
      </c>
      <c r="D1679" s="6" t="str">
        <f t="shared" si="265"/>
        <v/>
      </c>
      <c r="E1679" s="35" t="str">
        <f t="shared" si="262"/>
        <v/>
      </c>
      <c r="F1679" s="31"/>
      <c r="G1679" s="29"/>
      <c r="H1679" s="78" t="str">
        <f t="shared" si="266"/>
        <v/>
      </c>
      <c r="I1679" s="25"/>
      <c r="J1679" s="25"/>
      <c r="K1679" s="26"/>
      <c r="L1679" s="26"/>
      <c r="M1679" s="37"/>
      <c r="N1679" s="27"/>
      <c r="O1679" s="30"/>
      <c r="P1679" s="39" t="str">
        <f t="shared" si="267"/>
        <v/>
      </c>
      <c r="Q1679" s="40" t="str">
        <f>IF(OR(T1679=0,RIGHT(T1679,1)=$W$1),"",COUNTIF($T$3:T1679,T1679))</f>
        <v/>
      </c>
      <c r="S1679" s="6">
        <f t="shared" si="268"/>
        <v>0</v>
      </c>
      <c r="T1679" s="36">
        <f t="shared" si="269"/>
        <v>0</v>
      </c>
      <c r="V1679" s="6">
        <f t="shared" si="270"/>
        <v>0</v>
      </c>
      <c r="Y1679" s="8">
        <f t="shared" si="271"/>
        <v>46023</v>
      </c>
    </row>
    <row r="1680" spans="2:25" ht="18.75" x14ac:dyDescent="0.3">
      <c r="B1680" s="6">
        <f t="shared" si="263"/>
        <v>0</v>
      </c>
      <c r="C1680" s="6">
        <f t="shared" si="264"/>
        <v>0</v>
      </c>
      <c r="D1680" s="6" t="str">
        <f t="shared" si="265"/>
        <v/>
      </c>
      <c r="E1680" s="35" t="str">
        <f t="shared" si="262"/>
        <v/>
      </c>
      <c r="F1680" s="31"/>
      <c r="G1680" s="29"/>
      <c r="H1680" s="78" t="str">
        <f t="shared" si="266"/>
        <v/>
      </c>
      <c r="I1680" s="25"/>
      <c r="J1680" s="25"/>
      <c r="K1680" s="26"/>
      <c r="L1680" s="26"/>
      <c r="M1680" s="37"/>
      <c r="N1680" s="27"/>
      <c r="O1680" s="30"/>
      <c r="P1680" s="39" t="str">
        <f t="shared" si="267"/>
        <v/>
      </c>
      <c r="Q1680" s="40" t="str">
        <f>IF(OR(T1680=0,RIGHT(T1680,1)=$W$1),"",COUNTIF($T$3:T1680,T1680))</f>
        <v/>
      </c>
      <c r="S1680" s="6">
        <f t="shared" si="268"/>
        <v>0</v>
      </c>
      <c r="T1680" s="36">
        <f t="shared" si="269"/>
        <v>0</v>
      </c>
      <c r="V1680" s="6">
        <f t="shared" si="270"/>
        <v>0</v>
      </c>
      <c r="Y1680" s="8">
        <f t="shared" si="271"/>
        <v>46023</v>
      </c>
    </row>
    <row r="1681" spans="2:25" ht="18.75" x14ac:dyDescent="0.3">
      <c r="B1681" s="6">
        <f t="shared" si="263"/>
        <v>0</v>
      </c>
      <c r="C1681" s="6">
        <f t="shared" si="264"/>
        <v>0</v>
      </c>
      <c r="D1681" s="6" t="str">
        <f t="shared" si="265"/>
        <v/>
      </c>
      <c r="E1681" s="35" t="str">
        <f t="shared" si="262"/>
        <v/>
      </c>
      <c r="F1681" s="31"/>
      <c r="G1681" s="29"/>
      <c r="H1681" s="78" t="str">
        <f t="shared" si="266"/>
        <v/>
      </c>
      <c r="I1681" s="25"/>
      <c r="J1681" s="25"/>
      <c r="K1681" s="26"/>
      <c r="L1681" s="26"/>
      <c r="M1681" s="37"/>
      <c r="N1681" s="27"/>
      <c r="O1681" s="30"/>
      <c r="P1681" s="39" t="str">
        <f t="shared" si="267"/>
        <v/>
      </c>
      <c r="Q1681" s="40" t="str">
        <f>IF(OR(T1681=0,RIGHT(T1681,1)=$W$1),"",COUNTIF($T$3:T1681,T1681))</f>
        <v/>
      </c>
      <c r="S1681" s="6">
        <f t="shared" si="268"/>
        <v>0</v>
      </c>
      <c r="T1681" s="36">
        <f t="shared" si="269"/>
        <v>0</v>
      </c>
      <c r="V1681" s="6">
        <f t="shared" si="270"/>
        <v>0</v>
      </c>
      <c r="Y1681" s="8">
        <f t="shared" si="271"/>
        <v>46023</v>
      </c>
    </row>
    <row r="1682" spans="2:25" ht="18.75" x14ac:dyDescent="0.3">
      <c r="B1682" s="6">
        <f t="shared" si="263"/>
        <v>0</v>
      </c>
      <c r="C1682" s="6">
        <f t="shared" si="264"/>
        <v>0</v>
      </c>
      <c r="D1682" s="6" t="str">
        <f t="shared" si="265"/>
        <v/>
      </c>
      <c r="E1682" s="35" t="str">
        <f t="shared" si="262"/>
        <v/>
      </c>
      <c r="F1682" s="31"/>
      <c r="G1682" s="29"/>
      <c r="H1682" s="78" t="str">
        <f t="shared" si="266"/>
        <v/>
      </c>
      <c r="I1682" s="25"/>
      <c r="J1682" s="25"/>
      <c r="K1682" s="26"/>
      <c r="L1682" s="26"/>
      <c r="M1682" s="37"/>
      <c r="N1682" s="27"/>
      <c r="O1682" s="30"/>
      <c r="P1682" s="39" t="str">
        <f t="shared" si="267"/>
        <v/>
      </c>
      <c r="Q1682" s="40" t="str">
        <f>IF(OR(T1682=0,RIGHT(T1682,1)=$W$1),"",COUNTIF($T$3:T1682,T1682))</f>
        <v/>
      </c>
      <c r="S1682" s="6">
        <f t="shared" si="268"/>
        <v>0</v>
      </c>
      <c r="T1682" s="36">
        <f t="shared" si="269"/>
        <v>0</v>
      </c>
      <c r="V1682" s="6">
        <f t="shared" si="270"/>
        <v>0</v>
      </c>
      <c r="Y1682" s="8">
        <f t="shared" si="271"/>
        <v>46023</v>
      </c>
    </row>
    <row r="1683" spans="2:25" ht="18.75" x14ac:dyDescent="0.3">
      <c r="B1683" s="6">
        <f t="shared" si="263"/>
        <v>0</v>
      </c>
      <c r="C1683" s="6">
        <f t="shared" si="264"/>
        <v>0</v>
      </c>
      <c r="D1683" s="6" t="str">
        <f t="shared" si="265"/>
        <v/>
      </c>
      <c r="E1683" s="35" t="str">
        <f t="shared" si="262"/>
        <v/>
      </c>
      <c r="F1683" s="31"/>
      <c r="G1683" s="29"/>
      <c r="H1683" s="78" t="str">
        <f t="shared" si="266"/>
        <v/>
      </c>
      <c r="I1683" s="25"/>
      <c r="J1683" s="25"/>
      <c r="K1683" s="26"/>
      <c r="L1683" s="26"/>
      <c r="M1683" s="37"/>
      <c r="N1683" s="27"/>
      <c r="O1683" s="30"/>
      <c r="P1683" s="39" t="str">
        <f t="shared" si="267"/>
        <v/>
      </c>
      <c r="Q1683" s="40" t="str">
        <f>IF(OR(T1683=0,RIGHT(T1683,1)=$W$1),"",COUNTIF($T$3:T1683,T1683))</f>
        <v/>
      </c>
      <c r="S1683" s="6">
        <f t="shared" si="268"/>
        <v>0</v>
      </c>
      <c r="T1683" s="36">
        <f t="shared" si="269"/>
        <v>0</v>
      </c>
      <c r="V1683" s="6">
        <f t="shared" si="270"/>
        <v>0</v>
      </c>
      <c r="Y1683" s="8">
        <f t="shared" si="271"/>
        <v>46023</v>
      </c>
    </row>
    <row r="1684" spans="2:25" ht="18.75" x14ac:dyDescent="0.3">
      <c r="B1684" s="6">
        <f t="shared" si="263"/>
        <v>0</v>
      </c>
      <c r="C1684" s="6">
        <f t="shared" si="264"/>
        <v>0</v>
      </c>
      <c r="D1684" s="6" t="str">
        <f t="shared" si="265"/>
        <v/>
      </c>
      <c r="E1684" s="35" t="str">
        <f t="shared" si="262"/>
        <v/>
      </c>
      <c r="F1684" s="31"/>
      <c r="G1684" s="29"/>
      <c r="H1684" s="78" t="str">
        <f t="shared" si="266"/>
        <v/>
      </c>
      <c r="I1684" s="25"/>
      <c r="J1684" s="25"/>
      <c r="K1684" s="26"/>
      <c r="L1684" s="26"/>
      <c r="M1684" s="37"/>
      <c r="N1684" s="27"/>
      <c r="O1684" s="30"/>
      <c r="P1684" s="39" t="str">
        <f t="shared" si="267"/>
        <v/>
      </c>
      <c r="Q1684" s="40" t="str">
        <f>IF(OR(T1684=0,RIGHT(T1684,1)=$W$1),"",COUNTIF($T$3:T1684,T1684))</f>
        <v/>
      </c>
      <c r="S1684" s="6">
        <f t="shared" si="268"/>
        <v>0</v>
      </c>
      <c r="T1684" s="36">
        <f t="shared" si="269"/>
        <v>0</v>
      </c>
      <c r="V1684" s="6">
        <f t="shared" si="270"/>
        <v>0</v>
      </c>
      <c r="Y1684" s="8">
        <f t="shared" si="271"/>
        <v>46023</v>
      </c>
    </row>
    <row r="1685" spans="2:25" ht="18.75" x14ac:dyDescent="0.3">
      <c r="B1685" s="6">
        <f t="shared" si="263"/>
        <v>0</v>
      </c>
      <c r="C1685" s="6">
        <f t="shared" si="264"/>
        <v>0</v>
      </c>
      <c r="D1685" s="6" t="str">
        <f t="shared" si="265"/>
        <v/>
      </c>
      <c r="E1685" s="35" t="str">
        <f t="shared" si="262"/>
        <v/>
      </c>
      <c r="F1685" s="31"/>
      <c r="G1685" s="29"/>
      <c r="H1685" s="78" t="str">
        <f t="shared" si="266"/>
        <v/>
      </c>
      <c r="I1685" s="25"/>
      <c r="J1685" s="25"/>
      <c r="K1685" s="26"/>
      <c r="L1685" s="26"/>
      <c r="M1685" s="37"/>
      <c r="N1685" s="27"/>
      <c r="O1685" s="30"/>
      <c r="P1685" s="39" t="str">
        <f t="shared" si="267"/>
        <v/>
      </c>
      <c r="Q1685" s="40" t="str">
        <f>IF(OR(T1685=0,RIGHT(T1685,1)=$W$1),"",COUNTIF($T$3:T1685,T1685))</f>
        <v/>
      </c>
      <c r="S1685" s="6">
        <f t="shared" si="268"/>
        <v>0</v>
      </c>
      <c r="T1685" s="36">
        <f t="shared" si="269"/>
        <v>0</v>
      </c>
      <c r="V1685" s="6">
        <f t="shared" si="270"/>
        <v>0</v>
      </c>
      <c r="Y1685" s="8">
        <f t="shared" si="271"/>
        <v>46023</v>
      </c>
    </row>
    <row r="1686" spans="2:25" ht="18.75" x14ac:dyDescent="0.3">
      <c r="B1686" s="6">
        <f t="shared" si="263"/>
        <v>0</v>
      </c>
      <c r="C1686" s="6">
        <f t="shared" si="264"/>
        <v>0</v>
      </c>
      <c r="D1686" s="6" t="str">
        <f t="shared" si="265"/>
        <v/>
      </c>
      <c r="E1686" s="35" t="str">
        <f t="shared" si="262"/>
        <v/>
      </c>
      <c r="F1686" s="31"/>
      <c r="G1686" s="29"/>
      <c r="H1686" s="78" t="str">
        <f t="shared" si="266"/>
        <v/>
      </c>
      <c r="I1686" s="25"/>
      <c r="J1686" s="25"/>
      <c r="K1686" s="26"/>
      <c r="L1686" s="26"/>
      <c r="M1686" s="37"/>
      <c r="N1686" s="27"/>
      <c r="O1686" s="30"/>
      <c r="P1686" s="39" t="str">
        <f t="shared" si="267"/>
        <v/>
      </c>
      <c r="Q1686" s="40" t="str">
        <f>IF(OR(T1686=0,RIGHT(T1686,1)=$W$1),"",COUNTIF($T$3:T1686,T1686))</f>
        <v/>
      </c>
      <c r="S1686" s="6">
        <f t="shared" si="268"/>
        <v>0</v>
      </c>
      <c r="T1686" s="36">
        <f t="shared" si="269"/>
        <v>0</v>
      </c>
      <c r="V1686" s="6">
        <f t="shared" si="270"/>
        <v>0</v>
      </c>
      <c r="Y1686" s="8">
        <f t="shared" si="271"/>
        <v>46023</v>
      </c>
    </row>
    <row r="1687" spans="2:25" ht="18.75" x14ac:dyDescent="0.3">
      <c r="B1687" s="6">
        <f t="shared" si="263"/>
        <v>0</v>
      </c>
      <c r="C1687" s="6">
        <f t="shared" si="264"/>
        <v>0</v>
      </c>
      <c r="D1687" s="6" t="str">
        <f t="shared" si="265"/>
        <v/>
      </c>
      <c r="E1687" s="35" t="str">
        <f t="shared" si="262"/>
        <v/>
      </c>
      <c r="F1687" s="31"/>
      <c r="G1687" s="29"/>
      <c r="H1687" s="78" t="str">
        <f t="shared" si="266"/>
        <v/>
      </c>
      <c r="I1687" s="25"/>
      <c r="J1687" s="25"/>
      <c r="K1687" s="26"/>
      <c r="L1687" s="26"/>
      <c r="M1687" s="37"/>
      <c r="N1687" s="27"/>
      <c r="O1687" s="30"/>
      <c r="P1687" s="39" t="str">
        <f t="shared" si="267"/>
        <v/>
      </c>
      <c r="Q1687" s="40" t="str">
        <f>IF(OR(T1687=0,RIGHT(T1687,1)=$W$1),"",COUNTIF($T$3:T1687,T1687))</f>
        <v/>
      </c>
      <c r="S1687" s="6">
        <f t="shared" si="268"/>
        <v>0</v>
      </c>
      <c r="T1687" s="36">
        <f t="shared" si="269"/>
        <v>0</v>
      </c>
      <c r="V1687" s="6">
        <f t="shared" si="270"/>
        <v>0</v>
      </c>
      <c r="Y1687" s="8">
        <f t="shared" si="271"/>
        <v>46023</v>
      </c>
    </row>
    <row r="1688" spans="2:25" ht="18.75" x14ac:dyDescent="0.3">
      <c r="B1688" s="6">
        <f t="shared" si="263"/>
        <v>0</v>
      </c>
      <c r="C1688" s="6">
        <f t="shared" si="264"/>
        <v>0</v>
      </c>
      <c r="D1688" s="6" t="str">
        <f t="shared" si="265"/>
        <v/>
      </c>
      <c r="E1688" s="35" t="str">
        <f t="shared" si="262"/>
        <v/>
      </c>
      <c r="F1688" s="31"/>
      <c r="G1688" s="29"/>
      <c r="H1688" s="78" t="str">
        <f t="shared" si="266"/>
        <v/>
      </c>
      <c r="I1688" s="25"/>
      <c r="J1688" s="25"/>
      <c r="K1688" s="26"/>
      <c r="L1688" s="26"/>
      <c r="M1688" s="37"/>
      <c r="N1688" s="27"/>
      <c r="O1688" s="30"/>
      <c r="P1688" s="39" t="str">
        <f t="shared" si="267"/>
        <v/>
      </c>
      <c r="Q1688" s="40" t="str">
        <f>IF(OR(T1688=0,RIGHT(T1688,1)=$W$1),"",COUNTIF($T$3:T1688,T1688))</f>
        <v/>
      </c>
      <c r="S1688" s="6">
        <f t="shared" si="268"/>
        <v>0</v>
      </c>
      <c r="T1688" s="36">
        <f t="shared" si="269"/>
        <v>0</v>
      </c>
      <c r="V1688" s="6">
        <f t="shared" si="270"/>
        <v>0</v>
      </c>
      <c r="Y1688" s="8">
        <f t="shared" si="271"/>
        <v>46023</v>
      </c>
    </row>
    <row r="1689" spans="2:25" ht="18.75" x14ac:dyDescent="0.3">
      <c r="B1689" s="6">
        <f t="shared" si="263"/>
        <v>0</v>
      </c>
      <c r="C1689" s="6">
        <f t="shared" si="264"/>
        <v>0</v>
      </c>
      <c r="D1689" s="6" t="str">
        <f t="shared" si="265"/>
        <v/>
      </c>
      <c r="E1689" s="35" t="str">
        <f t="shared" si="262"/>
        <v/>
      </c>
      <c r="F1689" s="31"/>
      <c r="G1689" s="29"/>
      <c r="H1689" s="78" t="str">
        <f t="shared" si="266"/>
        <v/>
      </c>
      <c r="I1689" s="25"/>
      <c r="J1689" s="25"/>
      <c r="K1689" s="26"/>
      <c r="L1689" s="26"/>
      <c r="M1689" s="37"/>
      <c r="N1689" s="27"/>
      <c r="O1689" s="30"/>
      <c r="P1689" s="39" t="str">
        <f t="shared" si="267"/>
        <v/>
      </c>
      <c r="Q1689" s="40" t="str">
        <f>IF(OR(T1689=0,RIGHT(T1689,1)=$W$1),"",COUNTIF($T$3:T1689,T1689))</f>
        <v/>
      </c>
      <c r="S1689" s="6">
        <f t="shared" si="268"/>
        <v>0</v>
      </c>
      <c r="T1689" s="36">
        <f t="shared" si="269"/>
        <v>0</v>
      </c>
      <c r="V1689" s="6">
        <f t="shared" si="270"/>
        <v>0</v>
      </c>
      <c r="Y1689" s="8">
        <f t="shared" si="271"/>
        <v>46023</v>
      </c>
    </row>
    <row r="1690" spans="2:25" ht="18.75" x14ac:dyDescent="0.3">
      <c r="B1690" s="6">
        <f t="shared" si="263"/>
        <v>0</v>
      </c>
      <c r="C1690" s="6">
        <f t="shared" si="264"/>
        <v>0</v>
      </c>
      <c r="D1690" s="6" t="str">
        <f t="shared" si="265"/>
        <v/>
      </c>
      <c r="E1690" s="35" t="str">
        <f t="shared" si="262"/>
        <v/>
      </c>
      <c r="F1690" s="31"/>
      <c r="G1690" s="29"/>
      <c r="H1690" s="78" t="str">
        <f t="shared" si="266"/>
        <v/>
      </c>
      <c r="I1690" s="25"/>
      <c r="J1690" s="25"/>
      <c r="K1690" s="26"/>
      <c r="L1690" s="26"/>
      <c r="M1690" s="37"/>
      <c r="N1690" s="27"/>
      <c r="O1690" s="30"/>
      <c r="P1690" s="39" t="str">
        <f t="shared" si="267"/>
        <v/>
      </c>
      <c r="Q1690" s="40" t="str">
        <f>IF(OR(T1690=0,RIGHT(T1690,1)=$W$1),"",COUNTIF($T$3:T1690,T1690))</f>
        <v/>
      </c>
      <c r="S1690" s="6">
        <f t="shared" si="268"/>
        <v>0</v>
      </c>
      <c r="T1690" s="36">
        <f t="shared" si="269"/>
        <v>0</v>
      </c>
      <c r="V1690" s="6">
        <f t="shared" si="270"/>
        <v>0</v>
      </c>
      <c r="Y1690" s="8">
        <f t="shared" si="271"/>
        <v>46023</v>
      </c>
    </row>
    <row r="1691" spans="2:25" ht="18.75" x14ac:dyDescent="0.3">
      <c r="B1691" s="6">
        <f t="shared" si="263"/>
        <v>0</v>
      </c>
      <c r="C1691" s="6">
        <f t="shared" si="264"/>
        <v>0</v>
      </c>
      <c r="D1691" s="6" t="str">
        <f t="shared" si="265"/>
        <v/>
      </c>
      <c r="E1691" s="35" t="str">
        <f t="shared" si="262"/>
        <v/>
      </c>
      <c r="F1691" s="31"/>
      <c r="G1691" s="29"/>
      <c r="H1691" s="78" t="str">
        <f t="shared" si="266"/>
        <v/>
      </c>
      <c r="I1691" s="25"/>
      <c r="J1691" s="25"/>
      <c r="K1691" s="26"/>
      <c r="L1691" s="26"/>
      <c r="M1691" s="37"/>
      <c r="N1691" s="27"/>
      <c r="O1691" s="30"/>
      <c r="P1691" s="39" t="str">
        <f t="shared" si="267"/>
        <v/>
      </c>
      <c r="Q1691" s="40" t="str">
        <f>IF(OR(T1691=0,RIGHT(T1691,1)=$W$1),"",COUNTIF($T$3:T1691,T1691))</f>
        <v/>
      </c>
      <c r="S1691" s="6">
        <f t="shared" si="268"/>
        <v>0</v>
      </c>
      <c r="T1691" s="36">
        <f t="shared" si="269"/>
        <v>0</v>
      </c>
      <c r="V1691" s="6">
        <f t="shared" si="270"/>
        <v>0</v>
      </c>
      <c r="Y1691" s="8">
        <f t="shared" si="271"/>
        <v>46023</v>
      </c>
    </row>
    <row r="1692" spans="2:25" ht="18.75" x14ac:dyDescent="0.3">
      <c r="B1692" s="6">
        <f t="shared" si="263"/>
        <v>0</v>
      </c>
      <c r="C1692" s="6">
        <f t="shared" si="264"/>
        <v>0</v>
      </c>
      <c r="D1692" s="6" t="str">
        <f t="shared" si="265"/>
        <v/>
      </c>
      <c r="E1692" s="35" t="str">
        <f t="shared" si="262"/>
        <v/>
      </c>
      <c r="F1692" s="31"/>
      <c r="G1692" s="29"/>
      <c r="H1692" s="78" t="str">
        <f t="shared" si="266"/>
        <v/>
      </c>
      <c r="I1692" s="25"/>
      <c r="J1692" s="25"/>
      <c r="K1692" s="26"/>
      <c r="L1692" s="26"/>
      <c r="M1692" s="37"/>
      <c r="N1692" s="27"/>
      <c r="O1692" s="30"/>
      <c r="P1692" s="39" t="str">
        <f t="shared" si="267"/>
        <v/>
      </c>
      <c r="Q1692" s="40" t="str">
        <f>IF(OR(T1692=0,RIGHT(T1692,1)=$W$1),"",COUNTIF($T$3:T1692,T1692))</f>
        <v/>
      </c>
      <c r="S1692" s="6">
        <f t="shared" si="268"/>
        <v>0</v>
      </c>
      <c r="T1692" s="36">
        <f t="shared" si="269"/>
        <v>0</v>
      </c>
      <c r="V1692" s="6">
        <f t="shared" si="270"/>
        <v>0</v>
      </c>
      <c r="Y1692" s="8">
        <f t="shared" si="271"/>
        <v>46023</v>
      </c>
    </row>
    <row r="1693" spans="2:25" ht="18.75" x14ac:dyDescent="0.3">
      <c r="B1693" s="6">
        <f t="shared" si="263"/>
        <v>0</v>
      </c>
      <c r="C1693" s="6">
        <f t="shared" si="264"/>
        <v>0</v>
      </c>
      <c r="D1693" s="6" t="str">
        <f t="shared" si="265"/>
        <v/>
      </c>
      <c r="E1693" s="35" t="str">
        <f t="shared" si="262"/>
        <v/>
      </c>
      <c r="F1693" s="31"/>
      <c r="G1693" s="29"/>
      <c r="H1693" s="78" t="str">
        <f t="shared" si="266"/>
        <v/>
      </c>
      <c r="I1693" s="25"/>
      <c r="J1693" s="25"/>
      <c r="K1693" s="26"/>
      <c r="L1693" s="26"/>
      <c r="M1693" s="37"/>
      <c r="N1693" s="27"/>
      <c r="O1693" s="30"/>
      <c r="P1693" s="39" t="str">
        <f t="shared" si="267"/>
        <v/>
      </c>
      <c r="Q1693" s="40" t="str">
        <f>IF(OR(T1693=0,RIGHT(T1693,1)=$W$1),"",COUNTIF($T$3:T1693,T1693))</f>
        <v/>
      </c>
      <c r="S1693" s="6">
        <f t="shared" si="268"/>
        <v>0</v>
      </c>
      <c r="T1693" s="36">
        <f t="shared" si="269"/>
        <v>0</v>
      </c>
      <c r="V1693" s="6">
        <f t="shared" si="270"/>
        <v>0</v>
      </c>
      <c r="Y1693" s="8">
        <f t="shared" si="271"/>
        <v>46023</v>
      </c>
    </row>
    <row r="1694" spans="2:25" ht="18.75" x14ac:dyDescent="0.3">
      <c r="B1694" s="6">
        <f t="shared" si="263"/>
        <v>0</v>
      </c>
      <c r="C1694" s="6">
        <f t="shared" si="264"/>
        <v>0</v>
      </c>
      <c r="D1694" s="6" t="str">
        <f t="shared" si="265"/>
        <v/>
      </c>
      <c r="E1694" s="35" t="str">
        <f t="shared" si="262"/>
        <v/>
      </c>
      <c r="F1694" s="31"/>
      <c r="G1694" s="29"/>
      <c r="H1694" s="78" t="str">
        <f t="shared" si="266"/>
        <v/>
      </c>
      <c r="I1694" s="25"/>
      <c r="J1694" s="25"/>
      <c r="K1694" s="26"/>
      <c r="L1694" s="26"/>
      <c r="M1694" s="37"/>
      <c r="N1694" s="27"/>
      <c r="O1694" s="30"/>
      <c r="P1694" s="39" t="str">
        <f t="shared" si="267"/>
        <v/>
      </c>
      <c r="Q1694" s="40" t="str">
        <f>IF(OR(T1694=0,RIGHT(T1694,1)=$W$1),"",COUNTIF($T$3:T1694,T1694))</f>
        <v/>
      </c>
      <c r="S1694" s="6">
        <f t="shared" si="268"/>
        <v>0</v>
      </c>
      <c r="T1694" s="36">
        <f t="shared" si="269"/>
        <v>0</v>
      </c>
      <c r="V1694" s="6">
        <f t="shared" si="270"/>
        <v>0</v>
      </c>
      <c r="Y1694" s="8">
        <f t="shared" si="271"/>
        <v>46023</v>
      </c>
    </row>
    <row r="1695" spans="2:25" ht="18.75" x14ac:dyDescent="0.3">
      <c r="B1695" s="6">
        <f t="shared" si="263"/>
        <v>0</v>
      </c>
      <c r="C1695" s="6">
        <f t="shared" si="264"/>
        <v>0</v>
      </c>
      <c r="D1695" s="6" t="str">
        <f t="shared" si="265"/>
        <v/>
      </c>
      <c r="E1695" s="35" t="str">
        <f t="shared" si="262"/>
        <v/>
      </c>
      <c r="F1695" s="31"/>
      <c r="G1695" s="29"/>
      <c r="H1695" s="78" t="str">
        <f t="shared" si="266"/>
        <v/>
      </c>
      <c r="I1695" s="25"/>
      <c r="J1695" s="25"/>
      <c r="K1695" s="26"/>
      <c r="L1695" s="26"/>
      <c r="M1695" s="37"/>
      <c r="N1695" s="27"/>
      <c r="O1695" s="30"/>
      <c r="P1695" s="39" t="str">
        <f t="shared" si="267"/>
        <v/>
      </c>
      <c r="Q1695" s="40" t="str">
        <f>IF(OR(T1695=0,RIGHT(T1695,1)=$W$1),"",COUNTIF($T$3:T1695,T1695))</f>
        <v/>
      </c>
      <c r="S1695" s="6">
        <f t="shared" si="268"/>
        <v>0</v>
      </c>
      <c r="T1695" s="36">
        <f t="shared" si="269"/>
        <v>0</v>
      </c>
      <c r="V1695" s="6">
        <f t="shared" si="270"/>
        <v>0</v>
      </c>
      <c r="Y1695" s="8">
        <f t="shared" si="271"/>
        <v>46023</v>
      </c>
    </row>
    <row r="1696" spans="2:25" ht="18.75" x14ac:dyDescent="0.3">
      <c r="B1696" s="6">
        <f t="shared" si="263"/>
        <v>0</v>
      </c>
      <c r="C1696" s="6">
        <f t="shared" si="264"/>
        <v>0</v>
      </c>
      <c r="D1696" s="6" t="str">
        <f t="shared" si="265"/>
        <v/>
      </c>
      <c r="E1696" s="35" t="str">
        <f t="shared" si="262"/>
        <v/>
      </c>
      <c r="F1696" s="31"/>
      <c r="G1696" s="29"/>
      <c r="H1696" s="78" t="str">
        <f t="shared" si="266"/>
        <v/>
      </c>
      <c r="I1696" s="25"/>
      <c r="J1696" s="25"/>
      <c r="K1696" s="26"/>
      <c r="L1696" s="26"/>
      <c r="M1696" s="37"/>
      <c r="N1696" s="27"/>
      <c r="O1696" s="30"/>
      <c r="P1696" s="39" t="str">
        <f t="shared" si="267"/>
        <v/>
      </c>
      <c r="Q1696" s="40" t="str">
        <f>IF(OR(T1696=0,RIGHT(T1696,1)=$W$1),"",COUNTIF($T$3:T1696,T1696))</f>
        <v/>
      </c>
      <c r="S1696" s="6">
        <f t="shared" si="268"/>
        <v>0</v>
      </c>
      <c r="T1696" s="36">
        <f t="shared" si="269"/>
        <v>0</v>
      </c>
      <c r="V1696" s="6">
        <f t="shared" si="270"/>
        <v>0</v>
      </c>
      <c r="Y1696" s="8">
        <f t="shared" si="271"/>
        <v>46023</v>
      </c>
    </row>
    <row r="1697" spans="2:25" ht="18.75" x14ac:dyDescent="0.3">
      <c r="B1697" s="6">
        <f t="shared" si="263"/>
        <v>0</v>
      </c>
      <c r="C1697" s="6">
        <f t="shared" si="264"/>
        <v>0</v>
      </c>
      <c r="D1697" s="6" t="str">
        <f t="shared" si="265"/>
        <v/>
      </c>
      <c r="E1697" s="35" t="str">
        <f t="shared" si="262"/>
        <v/>
      </c>
      <c r="F1697" s="31"/>
      <c r="G1697" s="29"/>
      <c r="H1697" s="78" t="str">
        <f t="shared" si="266"/>
        <v/>
      </c>
      <c r="I1697" s="25"/>
      <c r="J1697" s="25"/>
      <c r="K1697" s="26"/>
      <c r="L1697" s="26"/>
      <c r="M1697" s="37"/>
      <c r="N1697" s="27"/>
      <c r="O1697" s="30"/>
      <c r="P1697" s="39" t="str">
        <f t="shared" si="267"/>
        <v/>
      </c>
      <c r="Q1697" s="40" t="str">
        <f>IF(OR(T1697=0,RIGHT(T1697,1)=$W$1),"",COUNTIF($T$3:T1697,T1697))</f>
        <v/>
      </c>
      <c r="S1697" s="6">
        <f t="shared" si="268"/>
        <v>0</v>
      </c>
      <c r="T1697" s="36">
        <f t="shared" si="269"/>
        <v>0</v>
      </c>
      <c r="V1697" s="6">
        <f t="shared" si="270"/>
        <v>0</v>
      </c>
      <c r="Y1697" s="8">
        <f t="shared" si="271"/>
        <v>46023</v>
      </c>
    </row>
    <row r="1698" spans="2:25" ht="18.75" x14ac:dyDescent="0.3">
      <c r="B1698" s="6">
        <f t="shared" si="263"/>
        <v>0</v>
      </c>
      <c r="C1698" s="6">
        <f t="shared" si="264"/>
        <v>0</v>
      </c>
      <c r="D1698" s="6" t="str">
        <f t="shared" si="265"/>
        <v/>
      </c>
      <c r="E1698" s="35" t="str">
        <f t="shared" si="262"/>
        <v/>
      </c>
      <c r="F1698" s="31"/>
      <c r="G1698" s="29"/>
      <c r="H1698" s="78" t="str">
        <f t="shared" si="266"/>
        <v/>
      </c>
      <c r="I1698" s="25"/>
      <c r="J1698" s="25"/>
      <c r="K1698" s="26"/>
      <c r="L1698" s="26"/>
      <c r="M1698" s="37"/>
      <c r="N1698" s="27"/>
      <c r="O1698" s="30"/>
      <c r="P1698" s="39" t="str">
        <f t="shared" si="267"/>
        <v/>
      </c>
      <c r="Q1698" s="40" t="str">
        <f>IF(OR(T1698=0,RIGHT(T1698,1)=$W$1),"",COUNTIF($T$3:T1698,T1698))</f>
        <v/>
      </c>
      <c r="S1698" s="6">
        <f t="shared" si="268"/>
        <v>0</v>
      </c>
      <c r="T1698" s="36">
        <f t="shared" si="269"/>
        <v>0</v>
      </c>
      <c r="V1698" s="6">
        <f t="shared" si="270"/>
        <v>0</v>
      </c>
      <c r="Y1698" s="8">
        <f t="shared" si="271"/>
        <v>46023</v>
      </c>
    </row>
    <row r="1699" spans="2:25" ht="18.75" x14ac:dyDescent="0.3">
      <c r="B1699" s="6">
        <f t="shared" si="263"/>
        <v>0</v>
      </c>
      <c r="C1699" s="6">
        <f t="shared" si="264"/>
        <v>0</v>
      </c>
      <c r="D1699" s="6" t="str">
        <f t="shared" si="265"/>
        <v/>
      </c>
      <c r="E1699" s="35" t="str">
        <f t="shared" si="262"/>
        <v/>
      </c>
      <c r="F1699" s="31"/>
      <c r="G1699" s="29"/>
      <c r="H1699" s="78" t="str">
        <f t="shared" si="266"/>
        <v/>
      </c>
      <c r="I1699" s="25"/>
      <c r="J1699" s="25"/>
      <c r="K1699" s="26"/>
      <c r="L1699" s="26"/>
      <c r="M1699" s="37"/>
      <c r="N1699" s="27"/>
      <c r="O1699" s="30"/>
      <c r="P1699" s="39" t="str">
        <f t="shared" si="267"/>
        <v/>
      </c>
      <c r="Q1699" s="40" t="str">
        <f>IF(OR(T1699=0,RIGHT(T1699,1)=$W$1),"",COUNTIF($T$3:T1699,T1699))</f>
        <v/>
      </c>
      <c r="S1699" s="6">
        <f t="shared" si="268"/>
        <v>0</v>
      </c>
      <c r="T1699" s="36">
        <f t="shared" si="269"/>
        <v>0</v>
      </c>
      <c r="V1699" s="6">
        <f t="shared" si="270"/>
        <v>0</v>
      </c>
      <c r="Y1699" s="8">
        <f t="shared" si="271"/>
        <v>46023</v>
      </c>
    </row>
    <row r="1700" spans="2:25" ht="18.75" x14ac:dyDescent="0.3">
      <c r="B1700" s="6">
        <f t="shared" si="263"/>
        <v>0</v>
      </c>
      <c r="C1700" s="6">
        <f t="shared" si="264"/>
        <v>0</v>
      </c>
      <c r="D1700" s="6" t="str">
        <f t="shared" si="265"/>
        <v/>
      </c>
      <c r="E1700" s="35" t="str">
        <f t="shared" si="262"/>
        <v/>
      </c>
      <c r="F1700" s="31"/>
      <c r="G1700" s="29"/>
      <c r="H1700" s="78" t="str">
        <f t="shared" si="266"/>
        <v/>
      </c>
      <c r="I1700" s="25"/>
      <c r="J1700" s="25"/>
      <c r="K1700" s="26"/>
      <c r="L1700" s="26"/>
      <c r="M1700" s="37"/>
      <c r="N1700" s="27"/>
      <c r="O1700" s="30"/>
      <c r="P1700" s="39" t="str">
        <f t="shared" si="267"/>
        <v/>
      </c>
      <c r="Q1700" s="40" t="str">
        <f>IF(OR(T1700=0,RIGHT(T1700,1)=$W$1),"",COUNTIF($T$3:T1700,T1700))</f>
        <v/>
      </c>
      <c r="S1700" s="6">
        <f t="shared" si="268"/>
        <v>0</v>
      </c>
      <c r="T1700" s="36">
        <f t="shared" si="269"/>
        <v>0</v>
      </c>
      <c r="V1700" s="6">
        <f t="shared" si="270"/>
        <v>0</v>
      </c>
      <c r="Y1700" s="8">
        <f t="shared" si="271"/>
        <v>46023</v>
      </c>
    </row>
    <row r="1701" spans="2:25" ht="18.75" x14ac:dyDescent="0.3">
      <c r="B1701" s="6">
        <f t="shared" si="263"/>
        <v>0</v>
      </c>
      <c r="C1701" s="6">
        <f t="shared" si="264"/>
        <v>0</v>
      </c>
      <c r="D1701" s="6" t="str">
        <f t="shared" si="265"/>
        <v/>
      </c>
      <c r="E1701" s="35" t="str">
        <f t="shared" si="262"/>
        <v/>
      </c>
      <c r="F1701" s="31"/>
      <c r="G1701" s="29"/>
      <c r="H1701" s="78" t="str">
        <f t="shared" si="266"/>
        <v/>
      </c>
      <c r="I1701" s="25"/>
      <c r="J1701" s="25"/>
      <c r="K1701" s="26"/>
      <c r="L1701" s="26"/>
      <c r="M1701" s="37"/>
      <c r="N1701" s="27"/>
      <c r="O1701" s="30"/>
      <c r="P1701" s="39" t="str">
        <f t="shared" si="267"/>
        <v/>
      </c>
      <c r="Q1701" s="40" t="str">
        <f>IF(OR(T1701=0,RIGHT(T1701,1)=$W$1),"",COUNTIF($T$3:T1701,T1701))</f>
        <v/>
      </c>
      <c r="S1701" s="6">
        <f t="shared" si="268"/>
        <v>0</v>
      </c>
      <c r="T1701" s="36">
        <f t="shared" si="269"/>
        <v>0</v>
      </c>
      <c r="V1701" s="6">
        <f t="shared" si="270"/>
        <v>0</v>
      </c>
      <c r="Y1701" s="8">
        <f t="shared" si="271"/>
        <v>46023</v>
      </c>
    </row>
    <row r="1702" spans="2:25" ht="18.75" x14ac:dyDescent="0.3">
      <c r="B1702" s="6">
        <f t="shared" si="263"/>
        <v>0</v>
      </c>
      <c r="C1702" s="6">
        <f t="shared" si="264"/>
        <v>0</v>
      </c>
      <c r="D1702" s="6" t="str">
        <f t="shared" si="265"/>
        <v/>
      </c>
      <c r="E1702" s="35" t="str">
        <f t="shared" si="262"/>
        <v/>
      </c>
      <c r="F1702" s="31"/>
      <c r="G1702" s="29"/>
      <c r="H1702" s="78" t="str">
        <f t="shared" si="266"/>
        <v/>
      </c>
      <c r="I1702" s="25"/>
      <c r="J1702" s="25"/>
      <c r="K1702" s="26"/>
      <c r="L1702" s="26"/>
      <c r="M1702" s="37"/>
      <c r="N1702" s="27"/>
      <c r="O1702" s="30"/>
      <c r="P1702" s="39" t="str">
        <f t="shared" si="267"/>
        <v/>
      </c>
      <c r="Q1702" s="40" t="str">
        <f>IF(OR(T1702=0,RIGHT(T1702,1)=$W$1),"",COUNTIF($T$3:T1702,T1702))</f>
        <v/>
      </c>
      <c r="S1702" s="6">
        <f t="shared" si="268"/>
        <v>0</v>
      </c>
      <c r="T1702" s="36">
        <f t="shared" si="269"/>
        <v>0</v>
      </c>
      <c r="V1702" s="6">
        <f t="shared" si="270"/>
        <v>0</v>
      </c>
      <c r="Y1702" s="8">
        <f t="shared" si="271"/>
        <v>46023</v>
      </c>
    </row>
    <row r="1703" spans="2:25" ht="18.75" x14ac:dyDescent="0.3">
      <c r="B1703" s="6">
        <f t="shared" si="263"/>
        <v>0</v>
      </c>
      <c r="C1703" s="6">
        <f t="shared" si="264"/>
        <v>0</v>
      </c>
      <c r="D1703" s="6" t="str">
        <f t="shared" si="265"/>
        <v/>
      </c>
      <c r="E1703" s="35" t="str">
        <f t="shared" si="262"/>
        <v/>
      </c>
      <c r="F1703" s="31"/>
      <c r="G1703" s="29"/>
      <c r="H1703" s="78" t="str">
        <f t="shared" si="266"/>
        <v/>
      </c>
      <c r="I1703" s="25"/>
      <c r="J1703" s="25"/>
      <c r="K1703" s="26"/>
      <c r="L1703" s="26"/>
      <c r="M1703" s="37"/>
      <c r="N1703" s="27"/>
      <c r="O1703" s="30"/>
      <c r="P1703" s="39" t="str">
        <f t="shared" si="267"/>
        <v/>
      </c>
      <c r="Q1703" s="40" t="str">
        <f>IF(OR(T1703=0,RIGHT(T1703,1)=$W$1),"",COUNTIF($T$3:T1703,T1703))</f>
        <v/>
      </c>
      <c r="S1703" s="6">
        <f t="shared" si="268"/>
        <v>0</v>
      </c>
      <c r="T1703" s="36">
        <f t="shared" si="269"/>
        <v>0</v>
      </c>
      <c r="V1703" s="6">
        <f t="shared" si="270"/>
        <v>0</v>
      </c>
      <c r="Y1703" s="8">
        <f t="shared" si="271"/>
        <v>46023</v>
      </c>
    </row>
    <row r="1704" spans="2:25" ht="18.75" x14ac:dyDescent="0.3">
      <c r="B1704" s="6">
        <f t="shared" si="263"/>
        <v>0</v>
      </c>
      <c r="C1704" s="6">
        <f t="shared" si="264"/>
        <v>0</v>
      </c>
      <c r="D1704" s="6" t="str">
        <f t="shared" si="265"/>
        <v/>
      </c>
      <c r="E1704" s="35" t="str">
        <f t="shared" si="262"/>
        <v/>
      </c>
      <c r="F1704" s="31"/>
      <c r="G1704" s="29"/>
      <c r="H1704" s="78" t="str">
        <f t="shared" si="266"/>
        <v/>
      </c>
      <c r="I1704" s="25"/>
      <c r="J1704" s="25"/>
      <c r="K1704" s="26"/>
      <c r="L1704" s="26"/>
      <c r="M1704" s="37"/>
      <c r="N1704" s="27"/>
      <c r="O1704" s="30"/>
      <c r="P1704" s="39" t="str">
        <f t="shared" si="267"/>
        <v/>
      </c>
      <c r="Q1704" s="40" t="str">
        <f>IF(OR(T1704=0,RIGHT(T1704,1)=$W$1),"",COUNTIF($T$3:T1704,T1704))</f>
        <v/>
      </c>
      <c r="S1704" s="6">
        <f t="shared" si="268"/>
        <v>0</v>
      </c>
      <c r="T1704" s="36">
        <f t="shared" si="269"/>
        <v>0</v>
      </c>
      <c r="V1704" s="6">
        <f t="shared" si="270"/>
        <v>0</v>
      </c>
      <c r="Y1704" s="8">
        <f t="shared" si="271"/>
        <v>46023</v>
      </c>
    </row>
    <row r="1705" spans="2:25" ht="18.75" x14ac:dyDescent="0.3">
      <c r="B1705" s="6">
        <f t="shared" si="263"/>
        <v>0</v>
      </c>
      <c r="C1705" s="6">
        <f t="shared" si="264"/>
        <v>0</v>
      </c>
      <c r="D1705" s="6" t="str">
        <f t="shared" si="265"/>
        <v/>
      </c>
      <c r="E1705" s="35" t="str">
        <f t="shared" si="262"/>
        <v/>
      </c>
      <c r="F1705" s="31"/>
      <c r="G1705" s="29"/>
      <c r="H1705" s="78" t="str">
        <f t="shared" si="266"/>
        <v/>
      </c>
      <c r="I1705" s="25"/>
      <c r="J1705" s="25"/>
      <c r="K1705" s="26"/>
      <c r="L1705" s="26"/>
      <c r="M1705" s="37"/>
      <c r="N1705" s="27"/>
      <c r="O1705" s="30"/>
      <c r="P1705" s="39" t="str">
        <f t="shared" si="267"/>
        <v/>
      </c>
      <c r="Q1705" s="40" t="str">
        <f>IF(OR(T1705=0,RIGHT(T1705,1)=$W$1),"",COUNTIF($T$3:T1705,T1705))</f>
        <v/>
      </c>
      <c r="S1705" s="6">
        <f t="shared" si="268"/>
        <v>0</v>
      </c>
      <c r="T1705" s="36">
        <f t="shared" si="269"/>
        <v>0</v>
      </c>
      <c r="V1705" s="6">
        <f t="shared" si="270"/>
        <v>0</v>
      </c>
      <c r="Y1705" s="8">
        <f t="shared" si="271"/>
        <v>46023</v>
      </c>
    </row>
    <row r="1706" spans="2:25" ht="18.75" x14ac:dyDescent="0.3">
      <c r="B1706" s="6">
        <f t="shared" si="263"/>
        <v>0</v>
      </c>
      <c r="C1706" s="6">
        <f t="shared" si="264"/>
        <v>0</v>
      </c>
      <c r="D1706" s="6" t="str">
        <f t="shared" si="265"/>
        <v/>
      </c>
      <c r="E1706" s="35" t="str">
        <f t="shared" si="262"/>
        <v/>
      </c>
      <c r="F1706" s="31"/>
      <c r="G1706" s="29"/>
      <c r="H1706" s="78" t="str">
        <f t="shared" si="266"/>
        <v/>
      </c>
      <c r="I1706" s="25"/>
      <c r="J1706" s="25"/>
      <c r="K1706" s="26"/>
      <c r="L1706" s="26"/>
      <c r="M1706" s="37"/>
      <c r="N1706" s="27"/>
      <c r="O1706" s="30"/>
      <c r="P1706" s="39" t="str">
        <f t="shared" si="267"/>
        <v/>
      </c>
      <c r="Q1706" s="40" t="str">
        <f>IF(OR(T1706=0,RIGHT(T1706,1)=$W$1),"",COUNTIF($T$3:T1706,T1706))</f>
        <v/>
      </c>
      <c r="S1706" s="6">
        <f t="shared" si="268"/>
        <v>0</v>
      </c>
      <c r="T1706" s="36">
        <f t="shared" si="269"/>
        <v>0</v>
      </c>
      <c r="V1706" s="6">
        <f t="shared" si="270"/>
        <v>0</v>
      </c>
      <c r="Y1706" s="8">
        <f t="shared" si="271"/>
        <v>46023</v>
      </c>
    </row>
    <row r="1707" spans="2:25" ht="18.75" x14ac:dyDescent="0.3">
      <c r="B1707" s="6">
        <f t="shared" si="263"/>
        <v>0</v>
      </c>
      <c r="C1707" s="6">
        <f t="shared" si="264"/>
        <v>0</v>
      </c>
      <c r="D1707" s="6" t="str">
        <f t="shared" si="265"/>
        <v/>
      </c>
      <c r="E1707" s="35" t="str">
        <f t="shared" si="262"/>
        <v/>
      </c>
      <c r="F1707" s="31"/>
      <c r="G1707" s="29"/>
      <c r="H1707" s="78" t="str">
        <f t="shared" si="266"/>
        <v/>
      </c>
      <c r="I1707" s="25"/>
      <c r="J1707" s="25"/>
      <c r="K1707" s="26"/>
      <c r="L1707" s="26"/>
      <c r="M1707" s="37"/>
      <c r="N1707" s="27"/>
      <c r="O1707" s="30"/>
      <c r="P1707" s="39" t="str">
        <f t="shared" si="267"/>
        <v/>
      </c>
      <c r="Q1707" s="40" t="str">
        <f>IF(OR(T1707=0,RIGHT(T1707,1)=$W$1),"",COUNTIF($T$3:T1707,T1707))</f>
        <v/>
      </c>
      <c r="S1707" s="6">
        <f t="shared" si="268"/>
        <v>0</v>
      </c>
      <c r="T1707" s="36">
        <f t="shared" si="269"/>
        <v>0</v>
      </c>
      <c r="V1707" s="6">
        <f t="shared" si="270"/>
        <v>0</v>
      </c>
      <c r="Y1707" s="8">
        <f t="shared" si="271"/>
        <v>46023</v>
      </c>
    </row>
    <row r="1708" spans="2:25" ht="18.75" x14ac:dyDescent="0.3">
      <c r="B1708" s="6">
        <f t="shared" si="263"/>
        <v>0</v>
      </c>
      <c r="C1708" s="6">
        <f t="shared" si="264"/>
        <v>0</v>
      </c>
      <c r="D1708" s="6" t="str">
        <f t="shared" si="265"/>
        <v/>
      </c>
      <c r="E1708" s="35" t="str">
        <f t="shared" si="262"/>
        <v/>
      </c>
      <c r="F1708" s="31"/>
      <c r="G1708" s="29"/>
      <c r="H1708" s="78" t="str">
        <f t="shared" si="266"/>
        <v/>
      </c>
      <c r="I1708" s="25"/>
      <c r="J1708" s="25"/>
      <c r="K1708" s="26"/>
      <c r="L1708" s="26"/>
      <c r="M1708" s="37"/>
      <c r="N1708" s="27"/>
      <c r="O1708" s="30"/>
      <c r="P1708" s="39" t="str">
        <f t="shared" si="267"/>
        <v/>
      </c>
      <c r="Q1708" s="40" t="str">
        <f>IF(OR(T1708=0,RIGHT(T1708,1)=$W$1),"",COUNTIF($T$3:T1708,T1708))</f>
        <v/>
      </c>
      <c r="S1708" s="6">
        <f t="shared" si="268"/>
        <v>0</v>
      </c>
      <c r="T1708" s="36">
        <f t="shared" si="269"/>
        <v>0</v>
      </c>
      <c r="V1708" s="6">
        <f t="shared" si="270"/>
        <v>0</v>
      </c>
      <c r="Y1708" s="8">
        <f t="shared" si="271"/>
        <v>46023</v>
      </c>
    </row>
    <row r="1709" spans="2:25" ht="18.75" x14ac:dyDescent="0.3">
      <c r="B1709" s="6">
        <f t="shared" si="263"/>
        <v>0</v>
      </c>
      <c r="C1709" s="6">
        <f t="shared" si="264"/>
        <v>0</v>
      </c>
      <c r="D1709" s="6" t="str">
        <f t="shared" si="265"/>
        <v/>
      </c>
      <c r="E1709" s="35" t="str">
        <f t="shared" si="262"/>
        <v/>
      </c>
      <c r="F1709" s="31"/>
      <c r="G1709" s="29"/>
      <c r="H1709" s="78" t="str">
        <f t="shared" si="266"/>
        <v/>
      </c>
      <c r="I1709" s="25"/>
      <c r="J1709" s="25"/>
      <c r="K1709" s="26"/>
      <c r="L1709" s="26"/>
      <c r="M1709" s="37"/>
      <c r="N1709" s="27"/>
      <c r="O1709" s="30"/>
      <c r="P1709" s="39" t="str">
        <f t="shared" si="267"/>
        <v/>
      </c>
      <c r="Q1709" s="40" t="str">
        <f>IF(OR(T1709=0,RIGHT(T1709,1)=$W$1),"",COUNTIF($T$3:T1709,T1709))</f>
        <v/>
      </c>
      <c r="S1709" s="6">
        <f t="shared" si="268"/>
        <v>0</v>
      </c>
      <c r="T1709" s="36">
        <f t="shared" si="269"/>
        <v>0</v>
      </c>
      <c r="V1709" s="6">
        <f t="shared" si="270"/>
        <v>0</v>
      </c>
      <c r="Y1709" s="8">
        <f t="shared" si="271"/>
        <v>46023</v>
      </c>
    </row>
    <row r="1710" spans="2:25" ht="18.75" x14ac:dyDescent="0.3">
      <c r="B1710" s="6">
        <f t="shared" si="263"/>
        <v>0</v>
      </c>
      <c r="C1710" s="6">
        <f t="shared" si="264"/>
        <v>0</v>
      </c>
      <c r="D1710" s="6" t="str">
        <f t="shared" si="265"/>
        <v/>
      </c>
      <c r="E1710" s="35" t="str">
        <f t="shared" si="262"/>
        <v/>
      </c>
      <c r="F1710" s="31"/>
      <c r="G1710" s="29"/>
      <c r="H1710" s="78" t="str">
        <f t="shared" si="266"/>
        <v/>
      </c>
      <c r="I1710" s="25"/>
      <c r="J1710" s="25"/>
      <c r="K1710" s="26"/>
      <c r="L1710" s="26"/>
      <c r="M1710" s="37"/>
      <c r="N1710" s="27"/>
      <c r="O1710" s="30"/>
      <c r="P1710" s="39" t="str">
        <f t="shared" si="267"/>
        <v/>
      </c>
      <c r="Q1710" s="40" t="str">
        <f>IF(OR(T1710=0,RIGHT(T1710,1)=$W$1),"",COUNTIF($T$3:T1710,T1710))</f>
        <v/>
      </c>
      <c r="S1710" s="6">
        <f t="shared" si="268"/>
        <v>0</v>
      </c>
      <c r="T1710" s="36">
        <f t="shared" si="269"/>
        <v>0</v>
      </c>
      <c r="V1710" s="6">
        <f t="shared" si="270"/>
        <v>0</v>
      </c>
      <c r="Y1710" s="8">
        <f t="shared" si="271"/>
        <v>46023</v>
      </c>
    </row>
    <row r="1711" spans="2:25" ht="18.75" x14ac:dyDescent="0.3">
      <c r="B1711" s="6">
        <f t="shared" si="263"/>
        <v>0</v>
      </c>
      <c r="C1711" s="6">
        <f t="shared" si="264"/>
        <v>0</v>
      </c>
      <c r="D1711" s="6" t="str">
        <f t="shared" si="265"/>
        <v/>
      </c>
      <c r="E1711" s="35" t="str">
        <f t="shared" si="262"/>
        <v/>
      </c>
      <c r="F1711" s="31"/>
      <c r="G1711" s="29"/>
      <c r="H1711" s="78" t="str">
        <f t="shared" si="266"/>
        <v/>
      </c>
      <c r="I1711" s="25"/>
      <c r="J1711" s="25"/>
      <c r="K1711" s="26"/>
      <c r="L1711" s="26"/>
      <c r="M1711" s="37"/>
      <c r="N1711" s="27"/>
      <c r="O1711" s="30"/>
      <c r="P1711" s="39" t="str">
        <f t="shared" si="267"/>
        <v/>
      </c>
      <c r="Q1711" s="40" t="str">
        <f>IF(OR(T1711=0,RIGHT(T1711,1)=$W$1),"",COUNTIF($T$3:T1711,T1711))</f>
        <v/>
      </c>
      <c r="S1711" s="6">
        <f t="shared" si="268"/>
        <v>0</v>
      </c>
      <c r="T1711" s="36">
        <f t="shared" si="269"/>
        <v>0</v>
      </c>
      <c r="V1711" s="6">
        <f t="shared" si="270"/>
        <v>0</v>
      </c>
      <c r="Y1711" s="8">
        <f t="shared" si="271"/>
        <v>46023</v>
      </c>
    </row>
    <row r="1712" spans="2:25" ht="18.75" x14ac:dyDescent="0.3">
      <c r="B1712" s="6">
        <f t="shared" si="263"/>
        <v>0</v>
      </c>
      <c r="C1712" s="6">
        <f t="shared" si="264"/>
        <v>0</v>
      </c>
      <c r="D1712" s="6" t="str">
        <f t="shared" si="265"/>
        <v/>
      </c>
      <c r="E1712" s="35" t="str">
        <f t="shared" si="262"/>
        <v/>
      </c>
      <c r="F1712" s="31"/>
      <c r="G1712" s="29"/>
      <c r="H1712" s="78" t="str">
        <f t="shared" si="266"/>
        <v/>
      </c>
      <c r="I1712" s="25"/>
      <c r="J1712" s="25"/>
      <c r="K1712" s="26"/>
      <c r="L1712" s="26"/>
      <c r="M1712" s="37"/>
      <c r="N1712" s="27"/>
      <c r="O1712" s="30"/>
      <c r="P1712" s="39" t="str">
        <f t="shared" si="267"/>
        <v/>
      </c>
      <c r="Q1712" s="40" t="str">
        <f>IF(OR(T1712=0,RIGHT(T1712,1)=$W$1),"",COUNTIF($T$3:T1712,T1712))</f>
        <v/>
      </c>
      <c r="S1712" s="6">
        <f t="shared" si="268"/>
        <v>0</v>
      </c>
      <c r="T1712" s="36">
        <f t="shared" si="269"/>
        <v>0</v>
      </c>
      <c r="V1712" s="6">
        <f t="shared" si="270"/>
        <v>0</v>
      </c>
      <c r="Y1712" s="8">
        <f t="shared" si="271"/>
        <v>46023</v>
      </c>
    </row>
    <row r="1713" spans="2:25" ht="18.75" x14ac:dyDescent="0.3">
      <c r="B1713" s="6">
        <f t="shared" si="263"/>
        <v>0</v>
      </c>
      <c r="C1713" s="6">
        <f t="shared" si="264"/>
        <v>0</v>
      </c>
      <c r="D1713" s="6" t="str">
        <f t="shared" si="265"/>
        <v/>
      </c>
      <c r="E1713" s="35" t="str">
        <f t="shared" si="262"/>
        <v/>
      </c>
      <c r="F1713" s="31"/>
      <c r="G1713" s="29"/>
      <c r="H1713" s="78" t="str">
        <f t="shared" si="266"/>
        <v/>
      </c>
      <c r="I1713" s="25"/>
      <c r="J1713" s="25"/>
      <c r="K1713" s="26"/>
      <c r="L1713" s="26"/>
      <c r="M1713" s="37"/>
      <c r="N1713" s="27"/>
      <c r="O1713" s="30"/>
      <c r="P1713" s="39" t="str">
        <f t="shared" si="267"/>
        <v/>
      </c>
      <c r="Q1713" s="40" t="str">
        <f>IF(OR(T1713=0,RIGHT(T1713,1)=$W$1),"",COUNTIF($T$3:T1713,T1713))</f>
        <v/>
      </c>
      <c r="S1713" s="6">
        <f t="shared" si="268"/>
        <v>0</v>
      </c>
      <c r="T1713" s="36">
        <f t="shared" si="269"/>
        <v>0</v>
      </c>
      <c r="V1713" s="6">
        <f t="shared" si="270"/>
        <v>0</v>
      </c>
      <c r="Y1713" s="8">
        <f t="shared" si="271"/>
        <v>46023</v>
      </c>
    </row>
    <row r="1714" spans="2:25" ht="18.75" x14ac:dyDescent="0.3">
      <c r="B1714" s="6">
        <f t="shared" si="263"/>
        <v>0</v>
      </c>
      <c r="C1714" s="6">
        <f t="shared" si="264"/>
        <v>0</v>
      </c>
      <c r="D1714" s="6" t="str">
        <f t="shared" si="265"/>
        <v/>
      </c>
      <c r="E1714" s="35" t="str">
        <f t="shared" si="262"/>
        <v/>
      </c>
      <c r="F1714" s="31"/>
      <c r="G1714" s="29"/>
      <c r="H1714" s="78" t="str">
        <f t="shared" si="266"/>
        <v/>
      </c>
      <c r="I1714" s="25"/>
      <c r="J1714" s="25"/>
      <c r="K1714" s="26"/>
      <c r="L1714" s="26"/>
      <c r="M1714" s="37"/>
      <c r="N1714" s="27"/>
      <c r="O1714" s="30"/>
      <c r="P1714" s="39" t="str">
        <f t="shared" si="267"/>
        <v/>
      </c>
      <c r="Q1714" s="40" t="str">
        <f>IF(OR(T1714=0,RIGHT(T1714,1)=$W$1),"",COUNTIF($T$3:T1714,T1714))</f>
        <v/>
      </c>
      <c r="S1714" s="6">
        <f t="shared" si="268"/>
        <v>0</v>
      </c>
      <c r="T1714" s="36">
        <f t="shared" si="269"/>
        <v>0</v>
      </c>
      <c r="V1714" s="6">
        <f t="shared" si="270"/>
        <v>0</v>
      </c>
      <c r="Y1714" s="8">
        <f t="shared" si="271"/>
        <v>46023</v>
      </c>
    </row>
    <row r="1715" spans="2:25" ht="18.75" x14ac:dyDescent="0.3">
      <c r="B1715" s="6">
        <f t="shared" si="263"/>
        <v>0</v>
      </c>
      <c r="C1715" s="6">
        <f t="shared" si="264"/>
        <v>0</v>
      </c>
      <c r="D1715" s="6" t="str">
        <f t="shared" si="265"/>
        <v/>
      </c>
      <c r="E1715" s="35" t="str">
        <f t="shared" si="262"/>
        <v/>
      </c>
      <c r="F1715" s="31"/>
      <c r="G1715" s="29"/>
      <c r="H1715" s="78" t="str">
        <f t="shared" si="266"/>
        <v/>
      </c>
      <c r="I1715" s="25"/>
      <c r="J1715" s="25"/>
      <c r="K1715" s="26"/>
      <c r="L1715" s="26"/>
      <c r="M1715" s="37"/>
      <c r="N1715" s="27"/>
      <c r="O1715" s="30"/>
      <c r="P1715" s="39" t="str">
        <f t="shared" si="267"/>
        <v/>
      </c>
      <c r="Q1715" s="40" t="str">
        <f>IF(OR(T1715=0,RIGHT(T1715,1)=$W$1),"",COUNTIF($T$3:T1715,T1715))</f>
        <v/>
      </c>
      <c r="S1715" s="6">
        <f t="shared" si="268"/>
        <v>0</v>
      </c>
      <c r="T1715" s="36">
        <f t="shared" si="269"/>
        <v>0</v>
      </c>
      <c r="V1715" s="6">
        <f t="shared" si="270"/>
        <v>0</v>
      </c>
      <c r="Y1715" s="8">
        <f t="shared" si="271"/>
        <v>46023</v>
      </c>
    </row>
    <row r="1716" spans="2:25" ht="18.75" x14ac:dyDescent="0.3">
      <c r="B1716" s="6">
        <f t="shared" si="263"/>
        <v>0</v>
      </c>
      <c r="C1716" s="6">
        <f t="shared" si="264"/>
        <v>0</v>
      </c>
      <c r="D1716" s="6" t="str">
        <f t="shared" si="265"/>
        <v/>
      </c>
      <c r="E1716" s="35" t="str">
        <f t="shared" si="262"/>
        <v/>
      </c>
      <c r="F1716" s="31"/>
      <c r="G1716" s="29"/>
      <c r="H1716" s="78" t="str">
        <f t="shared" si="266"/>
        <v/>
      </c>
      <c r="I1716" s="25"/>
      <c r="J1716" s="25"/>
      <c r="K1716" s="26"/>
      <c r="L1716" s="26"/>
      <c r="M1716" s="37"/>
      <c r="N1716" s="27"/>
      <c r="O1716" s="30"/>
      <c r="P1716" s="39" t="str">
        <f t="shared" si="267"/>
        <v/>
      </c>
      <c r="Q1716" s="40" t="str">
        <f>IF(OR(T1716=0,RIGHT(T1716,1)=$W$1),"",COUNTIF($T$3:T1716,T1716))</f>
        <v/>
      </c>
      <c r="S1716" s="6">
        <f t="shared" si="268"/>
        <v>0</v>
      </c>
      <c r="T1716" s="36">
        <f t="shared" si="269"/>
        <v>0</v>
      </c>
      <c r="V1716" s="6">
        <f t="shared" si="270"/>
        <v>0</v>
      </c>
      <c r="Y1716" s="8">
        <f t="shared" si="271"/>
        <v>46023</v>
      </c>
    </row>
    <row r="1717" spans="2:25" ht="18.75" x14ac:dyDescent="0.3">
      <c r="B1717" s="6">
        <f t="shared" si="263"/>
        <v>0</v>
      </c>
      <c r="C1717" s="6">
        <f t="shared" si="264"/>
        <v>0</v>
      </c>
      <c r="D1717" s="6" t="str">
        <f t="shared" si="265"/>
        <v/>
      </c>
      <c r="E1717" s="35" t="str">
        <f t="shared" si="262"/>
        <v/>
      </c>
      <c r="F1717" s="31"/>
      <c r="G1717" s="29"/>
      <c r="H1717" s="78" t="str">
        <f t="shared" si="266"/>
        <v/>
      </c>
      <c r="I1717" s="25"/>
      <c r="J1717" s="25"/>
      <c r="K1717" s="26"/>
      <c r="L1717" s="26"/>
      <c r="M1717" s="37"/>
      <c r="N1717" s="27"/>
      <c r="O1717" s="30"/>
      <c r="P1717" s="39" t="str">
        <f t="shared" si="267"/>
        <v/>
      </c>
      <c r="Q1717" s="40" t="str">
        <f>IF(OR(T1717=0,RIGHT(T1717,1)=$W$1),"",COUNTIF($T$3:T1717,T1717))</f>
        <v/>
      </c>
      <c r="S1717" s="6">
        <f t="shared" si="268"/>
        <v>0</v>
      </c>
      <c r="T1717" s="36">
        <f t="shared" si="269"/>
        <v>0</v>
      </c>
      <c r="V1717" s="6">
        <f t="shared" si="270"/>
        <v>0</v>
      </c>
      <c r="Y1717" s="8">
        <f t="shared" si="271"/>
        <v>46023</v>
      </c>
    </row>
    <row r="1718" spans="2:25" ht="18.75" x14ac:dyDescent="0.3">
      <c r="B1718" s="6">
        <f t="shared" si="263"/>
        <v>0</v>
      </c>
      <c r="C1718" s="6">
        <f t="shared" si="264"/>
        <v>0</v>
      </c>
      <c r="D1718" s="6" t="str">
        <f t="shared" si="265"/>
        <v/>
      </c>
      <c r="E1718" s="35" t="str">
        <f t="shared" si="262"/>
        <v/>
      </c>
      <c r="F1718" s="31"/>
      <c r="G1718" s="29"/>
      <c r="H1718" s="78" t="str">
        <f t="shared" si="266"/>
        <v/>
      </c>
      <c r="I1718" s="25"/>
      <c r="J1718" s="25"/>
      <c r="K1718" s="26"/>
      <c r="L1718" s="26"/>
      <c r="M1718" s="37"/>
      <c r="N1718" s="27"/>
      <c r="O1718" s="30"/>
      <c r="P1718" s="39" t="str">
        <f t="shared" si="267"/>
        <v/>
      </c>
      <c r="Q1718" s="40" t="str">
        <f>IF(OR(T1718=0,RIGHT(T1718,1)=$W$1),"",COUNTIF($T$3:T1718,T1718))</f>
        <v/>
      </c>
      <c r="S1718" s="6">
        <f t="shared" si="268"/>
        <v>0</v>
      </c>
      <c r="T1718" s="36">
        <f t="shared" si="269"/>
        <v>0</v>
      </c>
      <c r="V1718" s="6">
        <f t="shared" si="270"/>
        <v>0</v>
      </c>
      <c r="Y1718" s="8">
        <f t="shared" si="271"/>
        <v>46023</v>
      </c>
    </row>
    <row r="1719" spans="2:25" ht="18.75" x14ac:dyDescent="0.3">
      <c r="B1719" s="6">
        <f t="shared" si="263"/>
        <v>0</v>
      </c>
      <c r="C1719" s="6">
        <f t="shared" si="264"/>
        <v>0</v>
      </c>
      <c r="D1719" s="6" t="str">
        <f t="shared" si="265"/>
        <v/>
      </c>
      <c r="E1719" s="35" t="str">
        <f t="shared" si="262"/>
        <v/>
      </c>
      <c r="F1719" s="31"/>
      <c r="G1719" s="29"/>
      <c r="H1719" s="78" t="str">
        <f t="shared" si="266"/>
        <v/>
      </c>
      <c r="I1719" s="25"/>
      <c r="J1719" s="25"/>
      <c r="K1719" s="26"/>
      <c r="L1719" s="26"/>
      <c r="M1719" s="37"/>
      <c r="N1719" s="27"/>
      <c r="O1719" s="30"/>
      <c r="P1719" s="39" t="str">
        <f t="shared" si="267"/>
        <v/>
      </c>
      <c r="Q1719" s="40" t="str">
        <f>IF(OR(T1719=0,RIGHT(T1719,1)=$W$1),"",COUNTIF($T$3:T1719,T1719))</f>
        <v/>
      </c>
      <c r="S1719" s="6">
        <f t="shared" si="268"/>
        <v>0</v>
      </c>
      <c r="T1719" s="36">
        <f t="shared" si="269"/>
        <v>0</v>
      </c>
      <c r="V1719" s="6">
        <f t="shared" si="270"/>
        <v>0</v>
      </c>
      <c r="Y1719" s="8">
        <f t="shared" si="271"/>
        <v>46023</v>
      </c>
    </row>
    <row r="1720" spans="2:25" ht="18.75" x14ac:dyDescent="0.3">
      <c r="B1720" s="6">
        <f t="shared" si="263"/>
        <v>0</v>
      </c>
      <c r="C1720" s="6">
        <f t="shared" si="264"/>
        <v>0</v>
      </c>
      <c r="D1720" s="6" t="str">
        <f t="shared" si="265"/>
        <v/>
      </c>
      <c r="E1720" s="35" t="str">
        <f t="shared" si="262"/>
        <v/>
      </c>
      <c r="F1720" s="31"/>
      <c r="G1720" s="29"/>
      <c r="H1720" s="78" t="str">
        <f t="shared" si="266"/>
        <v/>
      </c>
      <c r="I1720" s="25"/>
      <c r="J1720" s="25"/>
      <c r="K1720" s="26"/>
      <c r="L1720" s="26"/>
      <c r="M1720" s="37"/>
      <c r="N1720" s="27"/>
      <c r="O1720" s="30"/>
      <c r="P1720" s="39" t="str">
        <f t="shared" si="267"/>
        <v/>
      </c>
      <c r="Q1720" s="40" t="str">
        <f>IF(OR(T1720=0,RIGHT(T1720,1)=$W$1),"",COUNTIF($T$3:T1720,T1720))</f>
        <v/>
      </c>
      <c r="S1720" s="6">
        <f t="shared" si="268"/>
        <v>0</v>
      </c>
      <c r="T1720" s="36">
        <f t="shared" si="269"/>
        <v>0</v>
      </c>
      <c r="V1720" s="6">
        <f t="shared" si="270"/>
        <v>0</v>
      </c>
      <c r="Y1720" s="8">
        <f t="shared" si="271"/>
        <v>46023</v>
      </c>
    </row>
    <row r="1721" spans="2:25" ht="18.75" x14ac:dyDescent="0.3">
      <c r="B1721" s="6">
        <f t="shared" si="263"/>
        <v>0</v>
      </c>
      <c r="C1721" s="6">
        <f t="shared" si="264"/>
        <v>0</v>
      </c>
      <c r="D1721" s="6" t="str">
        <f t="shared" si="265"/>
        <v/>
      </c>
      <c r="E1721" s="35" t="str">
        <f t="shared" si="262"/>
        <v/>
      </c>
      <c r="F1721" s="31"/>
      <c r="G1721" s="29"/>
      <c r="H1721" s="78" t="str">
        <f t="shared" si="266"/>
        <v/>
      </c>
      <c r="I1721" s="25"/>
      <c r="J1721" s="25"/>
      <c r="K1721" s="26"/>
      <c r="L1721" s="26"/>
      <c r="M1721" s="37"/>
      <c r="N1721" s="27"/>
      <c r="O1721" s="30"/>
      <c r="P1721" s="39" t="str">
        <f t="shared" si="267"/>
        <v/>
      </c>
      <c r="Q1721" s="40" t="str">
        <f>IF(OR(T1721=0,RIGHT(T1721,1)=$W$1),"",COUNTIF($T$3:T1721,T1721))</f>
        <v/>
      </c>
      <c r="S1721" s="6">
        <f t="shared" si="268"/>
        <v>0</v>
      </c>
      <c r="T1721" s="36">
        <f t="shared" si="269"/>
        <v>0</v>
      </c>
      <c r="V1721" s="6">
        <f t="shared" si="270"/>
        <v>0</v>
      </c>
      <c r="Y1721" s="8">
        <f t="shared" si="271"/>
        <v>46023</v>
      </c>
    </row>
    <row r="1722" spans="2:25" ht="18.75" x14ac:dyDescent="0.3">
      <c r="B1722" s="6">
        <f t="shared" si="263"/>
        <v>0</v>
      </c>
      <c r="C1722" s="6">
        <f t="shared" si="264"/>
        <v>0</v>
      </c>
      <c r="D1722" s="6" t="str">
        <f t="shared" si="265"/>
        <v/>
      </c>
      <c r="E1722" s="35" t="str">
        <f t="shared" si="262"/>
        <v/>
      </c>
      <c r="F1722" s="31"/>
      <c r="G1722" s="29"/>
      <c r="H1722" s="78" t="str">
        <f t="shared" si="266"/>
        <v/>
      </c>
      <c r="I1722" s="25"/>
      <c r="J1722" s="25"/>
      <c r="K1722" s="26"/>
      <c r="L1722" s="26"/>
      <c r="M1722" s="37"/>
      <c r="N1722" s="27"/>
      <c r="O1722" s="30"/>
      <c r="P1722" s="39" t="str">
        <f t="shared" si="267"/>
        <v/>
      </c>
      <c r="Q1722" s="40" t="str">
        <f>IF(OR(T1722=0,RIGHT(T1722,1)=$W$1),"",COUNTIF($T$3:T1722,T1722))</f>
        <v/>
      </c>
      <c r="S1722" s="6">
        <f t="shared" si="268"/>
        <v>0</v>
      </c>
      <c r="T1722" s="36">
        <f t="shared" si="269"/>
        <v>0</v>
      </c>
      <c r="V1722" s="6">
        <f t="shared" si="270"/>
        <v>0</v>
      </c>
      <c r="Y1722" s="8">
        <f t="shared" si="271"/>
        <v>46023</v>
      </c>
    </row>
    <row r="1723" spans="2:25" ht="18.75" x14ac:dyDescent="0.3">
      <c r="B1723" s="6">
        <f t="shared" si="263"/>
        <v>0</v>
      </c>
      <c r="C1723" s="6">
        <f t="shared" si="264"/>
        <v>0</v>
      </c>
      <c r="D1723" s="6" t="str">
        <f t="shared" si="265"/>
        <v/>
      </c>
      <c r="E1723" s="35" t="str">
        <f t="shared" si="262"/>
        <v/>
      </c>
      <c r="F1723" s="31"/>
      <c r="G1723" s="29"/>
      <c r="H1723" s="78" t="str">
        <f t="shared" si="266"/>
        <v/>
      </c>
      <c r="I1723" s="25"/>
      <c r="J1723" s="25"/>
      <c r="K1723" s="26"/>
      <c r="L1723" s="26"/>
      <c r="M1723" s="37"/>
      <c r="N1723" s="27"/>
      <c r="O1723" s="30"/>
      <c r="P1723" s="39" t="str">
        <f t="shared" si="267"/>
        <v/>
      </c>
      <c r="Q1723" s="40" t="str">
        <f>IF(OR(T1723=0,RIGHT(T1723,1)=$W$1),"",COUNTIF($T$3:T1723,T1723))</f>
        <v/>
      </c>
      <c r="S1723" s="6">
        <f t="shared" si="268"/>
        <v>0</v>
      </c>
      <c r="T1723" s="36">
        <f t="shared" si="269"/>
        <v>0</v>
      </c>
      <c r="V1723" s="6">
        <f t="shared" si="270"/>
        <v>0</v>
      </c>
      <c r="Y1723" s="8">
        <f t="shared" si="271"/>
        <v>46023</v>
      </c>
    </row>
    <row r="1724" spans="2:25" ht="18.75" x14ac:dyDescent="0.3">
      <c r="B1724" s="6">
        <f t="shared" si="263"/>
        <v>0</v>
      </c>
      <c r="C1724" s="6">
        <f t="shared" si="264"/>
        <v>0</v>
      </c>
      <c r="D1724" s="6" t="str">
        <f t="shared" si="265"/>
        <v/>
      </c>
      <c r="E1724" s="35" t="str">
        <f t="shared" si="262"/>
        <v/>
      </c>
      <c r="F1724" s="31"/>
      <c r="G1724" s="29"/>
      <c r="H1724" s="78" t="str">
        <f t="shared" si="266"/>
        <v/>
      </c>
      <c r="I1724" s="25"/>
      <c r="J1724" s="25"/>
      <c r="K1724" s="26"/>
      <c r="L1724" s="26"/>
      <c r="M1724" s="37"/>
      <c r="N1724" s="27"/>
      <c r="O1724" s="30"/>
      <c r="P1724" s="39" t="str">
        <f t="shared" si="267"/>
        <v/>
      </c>
      <c r="Q1724" s="40" t="str">
        <f>IF(OR(T1724=0,RIGHT(T1724,1)=$W$1),"",COUNTIF($T$3:T1724,T1724))</f>
        <v/>
      </c>
      <c r="S1724" s="6">
        <f t="shared" si="268"/>
        <v>0</v>
      </c>
      <c r="T1724" s="36">
        <f t="shared" si="269"/>
        <v>0</v>
      </c>
      <c r="V1724" s="6">
        <f t="shared" si="270"/>
        <v>0</v>
      </c>
      <c r="Y1724" s="8">
        <f t="shared" si="271"/>
        <v>46023</v>
      </c>
    </row>
    <row r="1725" spans="2:25" ht="18.75" x14ac:dyDescent="0.3">
      <c r="B1725" s="6">
        <f t="shared" si="263"/>
        <v>0</v>
      </c>
      <c r="C1725" s="6">
        <f t="shared" si="264"/>
        <v>0</v>
      </c>
      <c r="D1725" s="6" t="str">
        <f t="shared" si="265"/>
        <v/>
      </c>
      <c r="E1725" s="35" t="str">
        <f t="shared" si="262"/>
        <v/>
      </c>
      <c r="F1725" s="31"/>
      <c r="G1725" s="29"/>
      <c r="H1725" s="78" t="str">
        <f t="shared" si="266"/>
        <v/>
      </c>
      <c r="I1725" s="25"/>
      <c r="J1725" s="25"/>
      <c r="K1725" s="26"/>
      <c r="L1725" s="26"/>
      <c r="M1725" s="37"/>
      <c r="N1725" s="27"/>
      <c r="O1725" s="30"/>
      <c r="P1725" s="39" t="str">
        <f t="shared" si="267"/>
        <v/>
      </c>
      <c r="Q1725" s="40" t="str">
        <f>IF(OR(T1725=0,RIGHT(T1725,1)=$W$1),"",COUNTIF($T$3:T1725,T1725))</f>
        <v/>
      </c>
      <c r="S1725" s="6">
        <f t="shared" si="268"/>
        <v>0</v>
      </c>
      <c r="T1725" s="36">
        <f t="shared" si="269"/>
        <v>0</v>
      </c>
      <c r="V1725" s="6">
        <f t="shared" si="270"/>
        <v>0</v>
      </c>
      <c r="Y1725" s="8">
        <f t="shared" si="271"/>
        <v>46023</v>
      </c>
    </row>
    <row r="1726" spans="2:25" ht="18.75" x14ac:dyDescent="0.3">
      <c r="B1726" s="6">
        <f t="shared" si="263"/>
        <v>0</v>
      </c>
      <c r="C1726" s="6">
        <f t="shared" si="264"/>
        <v>0</v>
      </c>
      <c r="D1726" s="6" t="str">
        <f t="shared" si="265"/>
        <v/>
      </c>
      <c r="E1726" s="35" t="str">
        <f t="shared" si="262"/>
        <v/>
      </c>
      <c r="F1726" s="31"/>
      <c r="G1726" s="29"/>
      <c r="H1726" s="78" t="str">
        <f t="shared" si="266"/>
        <v/>
      </c>
      <c r="I1726" s="25"/>
      <c r="J1726" s="25"/>
      <c r="K1726" s="26"/>
      <c r="L1726" s="26"/>
      <c r="M1726" s="37"/>
      <c r="N1726" s="27"/>
      <c r="O1726" s="30"/>
      <c r="P1726" s="39" t="str">
        <f t="shared" si="267"/>
        <v/>
      </c>
      <c r="Q1726" s="40" t="str">
        <f>IF(OR(T1726=0,RIGHT(T1726,1)=$W$1),"",COUNTIF($T$3:T1726,T1726))</f>
        <v/>
      </c>
      <c r="S1726" s="6">
        <f t="shared" si="268"/>
        <v>0</v>
      </c>
      <c r="T1726" s="36">
        <f t="shared" si="269"/>
        <v>0</v>
      </c>
      <c r="V1726" s="6">
        <f t="shared" si="270"/>
        <v>0</v>
      </c>
      <c r="Y1726" s="8">
        <f t="shared" si="271"/>
        <v>46023</v>
      </c>
    </row>
    <row r="1727" spans="2:25" ht="18.75" x14ac:dyDescent="0.3">
      <c r="B1727" s="6">
        <f t="shared" si="263"/>
        <v>0</v>
      </c>
      <c r="C1727" s="6">
        <f t="shared" si="264"/>
        <v>0</v>
      </c>
      <c r="D1727" s="6" t="str">
        <f t="shared" si="265"/>
        <v/>
      </c>
      <c r="E1727" s="35" t="str">
        <f t="shared" si="262"/>
        <v/>
      </c>
      <c r="F1727" s="31"/>
      <c r="G1727" s="29"/>
      <c r="H1727" s="78" t="str">
        <f t="shared" si="266"/>
        <v/>
      </c>
      <c r="I1727" s="25"/>
      <c r="J1727" s="25"/>
      <c r="K1727" s="26"/>
      <c r="L1727" s="26"/>
      <c r="M1727" s="37"/>
      <c r="N1727" s="27"/>
      <c r="O1727" s="30"/>
      <c r="P1727" s="39" t="str">
        <f t="shared" si="267"/>
        <v/>
      </c>
      <c r="Q1727" s="40" t="str">
        <f>IF(OR(T1727=0,RIGHT(T1727,1)=$W$1),"",COUNTIF($T$3:T1727,T1727))</f>
        <v/>
      </c>
      <c r="S1727" s="6">
        <f t="shared" si="268"/>
        <v>0</v>
      </c>
      <c r="T1727" s="36">
        <f t="shared" si="269"/>
        <v>0</v>
      </c>
      <c r="V1727" s="6">
        <f t="shared" si="270"/>
        <v>0</v>
      </c>
      <c r="Y1727" s="8">
        <f t="shared" si="271"/>
        <v>46023</v>
      </c>
    </row>
    <row r="1728" spans="2:25" ht="18.75" x14ac:dyDescent="0.3">
      <c r="B1728" s="6">
        <f t="shared" si="263"/>
        <v>0</v>
      </c>
      <c r="C1728" s="6">
        <f t="shared" si="264"/>
        <v>0</v>
      </c>
      <c r="D1728" s="6" t="str">
        <f t="shared" si="265"/>
        <v/>
      </c>
      <c r="E1728" s="35" t="str">
        <f t="shared" si="262"/>
        <v/>
      </c>
      <c r="F1728" s="31"/>
      <c r="G1728" s="29"/>
      <c r="H1728" s="78" t="str">
        <f t="shared" si="266"/>
        <v/>
      </c>
      <c r="I1728" s="25"/>
      <c r="J1728" s="25"/>
      <c r="K1728" s="26"/>
      <c r="L1728" s="26"/>
      <c r="M1728" s="37"/>
      <c r="N1728" s="27"/>
      <c r="O1728" s="30"/>
      <c r="P1728" s="39" t="str">
        <f t="shared" si="267"/>
        <v/>
      </c>
      <c r="Q1728" s="40" t="str">
        <f>IF(OR(T1728=0,RIGHT(T1728,1)=$W$1),"",COUNTIF($T$3:T1728,T1728))</f>
        <v/>
      </c>
      <c r="S1728" s="6">
        <f t="shared" si="268"/>
        <v>0</v>
      </c>
      <c r="T1728" s="36">
        <f t="shared" si="269"/>
        <v>0</v>
      </c>
      <c r="V1728" s="6">
        <f t="shared" si="270"/>
        <v>0</v>
      </c>
      <c r="Y1728" s="8">
        <f t="shared" si="271"/>
        <v>46023</v>
      </c>
    </row>
    <row r="1729" spans="2:25" ht="18.75" x14ac:dyDescent="0.3">
      <c r="B1729" s="6">
        <f t="shared" si="263"/>
        <v>0</v>
      </c>
      <c r="C1729" s="6">
        <f t="shared" si="264"/>
        <v>0</v>
      </c>
      <c r="D1729" s="6" t="str">
        <f t="shared" si="265"/>
        <v/>
      </c>
      <c r="E1729" s="35" t="str">
        <f t="shared" si="262"/>
        <v/>
      </c>
      <c r="F1729" s="31"/>
      <c r="G1729" s="29"/>
      <c r="H1729" s="78" t="str">
        <f t="shared" si="266"/>
        <v/>
      </c>
      <c r="I1729" s="25"/>
      <c r="J1729" s="25"/>
      <c r="K1729" s="26"/>
      <c r="L1729" s="26"/>
      <c r="M1729" s="37"/>
      <c r="N1729" s="27"/>
      <c r="O1729" s="30"/>
      <c r="P1729" s="39" t="str">
        <f t="shared" si="267"/>
        <v/>
      </c>
      <c r="Q1729" s="40" t="str">
        <f>IF(OR(T1729=0,RIGHT(T1729,1)=$W$1),"",COUNTIF($T$3:T1729,T1729))</f>
        <v/>
      </c>
      <c r="S1729" s="6">
        <f t="shared" si="268"/>
        <v>0</v>
      </c>
      <c r="T1729" s="36">
        <f t="shared" si="269"/>
        <v>0</v>
      </c>
      <c r="V1729" s="6">
        <f t="shared" si="270"/>
        <v>0</v>
      </c>
      <c r="Y1729" s="8">
        <f t="shared" si="271"/>
        <v>46023</v>
      </c>
    </row>
    <row r="1730" spans="2:25" ht="18.75" x14ac:dyDescent="0.3">
      <c r="B1730" s="6">
        <f t="shared" si="263"/>
        <v>0</v>
      </c>
      <c r="C1730" s="6">
        <f t="shared" si="264"/>
        <v>0</v>
      </c>
      <c r="D1730" s="6" t="str">
        <f t="shared" si="265"/>
        <v/>
      </c>
      <c r="E1730" s="35" t="str">
        <f t="shared" si="262"/>
        <v/>
      </c>
      <c r="F1730" s="31"/>
      <c r="G1730" s="29"/>
      <c r="H1730" s="78" t="str">
        <f t="shared" si="266"/>
        <v/>
      </c>
      <c r="I1730" s="25"/>
      <c r="J1730" s="25"/>
      <c r="K1730" s="26"/>
      <c r="L1730" s="26"/>
      <c r="M1730" s="37"/>
      <c r="N1730" s="27"/>
      <c r="O1730" s="30"/>
      <c r="P1730" s="39" t="str">
        <f t="shared" si="267"/>
        <v/>
      </c>
      <c r="Q1730" s="40" t="str">
        <f>IF(OR(T1730=0,RIGHT(T1730,1)=$W$1),"",COUNTIF($T$3:T1730,T1730))</f>
        <v/>
      </c>
      <c r="S1730" s="6">
        <f t="shared" si="268"/>
        <v>0</v>
      </c>
      <c r="T1730" s="36">
        <f t="shared" si="269"/>
        <v>0</v>
      </c>
      <c r="V1730" s="6">
        <f t="shared" si="270"/>
        <v>0</v>
      </c>
      <c r="Y1730" s="8">
        <f t="shared" si="271"/>
        <v>46023</v>
      </c>
    </row>
    <row r="1731" spans="2:25" ht="18.75" x14ac:dyDescent="0.3">
      <c r="B1731" s="6">
        <f t="shared" si="263"/>
        <v>0</v>
      </c>
      <c r="C1731" s="6">
        <f t="shared" si="264"/>
        <v>0</v>
      </c>
      <c r="D1731" s="6" t="str">
        <f t="shared" si="265"/>
        <v/>
      </c>
      <c r="E1731" s="35" t="str">
        <f t="shared" ref="E1731:E1794" si="272">IF(D1731&lt;&gt;"",D1731&amp;" - "&amp;YEAR(F1731),"")</f>
        <v/>
      </c>
      <c r="F1731" s="31"/>
      <c r="G1731" s="29"/>
      <c r="H1731" s="78" t="str">
        <f t="shared" si="266"/>
        <v/>
      </c>
      <c r="I1731" s="25"/>
      <c r="J1731" s="25"/>
      <c r="K1731" s="26"/>
      <c r="L1731" s="26"/>
      <c r="M1731" s="37"/>
      <c r="N1731" s="27"/>
      <c r="O1731" s="30"/>
      <c r="P1731" s="39" t="str">
        <f t="shared" si="267"/>
        <v/>
      </c>
      <c r="Q1731" s="40" t="str">
        <f>IF(OR(T1731=0,RIGHT(T1731,1)=$W$1),"",COUNTIF($T$3:T1731,T1731))</f>
        <v/>
      </c>
      <c r="S1731" s="6">
        <f t="shared" si="268"/>
        <v>0</v>
      </c>
      <c r="T1731" s="36">
        <f t="shared" si="269"/>
        <v>0</v>
      </c>
      <c r="V1731" s="6">
        <f t="shared" si="270"/>
        <v>0</v>
      </c>
      <c r="Y1731" s="8">
        <f t="shared" si="271"/>
        <v>46023</v>
      </c>
    </row>
    <row r="1732" spans="2:25" ht="18.75" x14ac:dyDescent="0.3">
      <c r="B1732" s="6">
        <f t="shared" ref="B1732:B1795" si="273">IF($B$1=YEAR(F1732),B1731+1,B1731)</f>
        <v>0</v>
      </c>
      <c r="C1732" s="6">
        <f t="shared" ref="C1732:C1795" si="274">IF(AND($C$1=K1732,$Y$1=YEAR(F1732)),C1731+1,C1731)</f>
        <v>0</v>
      </c>
      <c r="D1732" s="6" t="str">
        <f t="shared" ref="D1732:D1795" si="275">IF(F1732&lt;&gt;0,IF(YEAR(F1732)&lt;&gt;YEAR(F1731),1,IF(M1732=$AI$1,D1731,D1731+1)),"")</f>
        <v/>
      </c>
      <c r="E1732" s="35" t="str">
        <f t="shared" si="272"/>
        <v/>
      </c>
      <c r="F1732" s="31"/>
      <c r="G1732" s="29"/>
      <c r="H1732" s="78" t="str">
        <f t="shared" ref="H1732:H1795" si="276">IF(G1732&lt;&gt;"",F1732,"")</f>
        <v/>
      </c>
      <c r="I1732" s="25"/>
      <c r="J1732" s="25"/>
      <c r="K1732" s="26"/>
      <c r="L1732" s="26"/>
      <c r="M1732" s="37"/>
      <c r="N1732" s="27"/>
      <c r="O1732" s="30"/>
      <c r="P1732" s="39" t="str">
        <f t="shared" ref="P1732:P1795" si="277">IF(OR(T1732=0,RIGHT(T1732,1)=$W$1),"",VLOOKUP(K1732,$AD$1:$AK$15,5,FALSE))</f>
        <v/>
      </c>
      <c r="Q1732" s="40" t="str">
        <f>IF(OR(T1732=0,RIGHT(T1732,1)=$W$1),"",COUNTIF($T$3:T1732,T1732))</f>
        <v/>
      </c>
      <c r="S1732" s="6">
        <f t="shared" ref="S1732:S1795" si="278">IF(AND($C$1=K1732,$Y$1=YEAR(F1732)),C1732,0)</f>
        <v>0</v>
      </c>
      <c r="T1732" s="36">
        <f t="shared" ref="T1732:T1795" si="279">IF(F1732=0,0,YEAR(F1732)&amp;VLOOKUP(K1732,$AD$1:$AE$15,2,FALSE))</f>
        <v>0</v>
      </c>
      <c r="V1732" s="6">
        <f t="shared" ref="V1732:V1795" si="280">IF(AND(YEAR(F1732)=$Y$1,K1732=$C$1,L1732&amp;$V$1&lt;&gt;$V$1),L1732,IF(AND(YEAR(F1732)=$Y$1,K1732=$C$1),1,0))</f>
        <v>0</v>
      </c>
      <c r="Y1732" s="8">
        <f t="shared" ref="Y1732:Y1795" si="281">IF(M1732&lt;&gt;$AI$1,$Y$2,F1731)</f>
        <v>46023</v>
      </c>
    </row>
    <row r="1733" spans="2:25" ht="18.75" x14ac:dyDescent="0.3">
      <c r="B1733" s="6">
        <f t="shared" si="273"/>
        <v>0</v>
      </c>
      <c r="C1733" s="6">
        <f t="shared" si="274"/>
        <v>0</v>
      </c>
      <c r="D1733" s="6" t="str">
        <f t="shared" si="275"/>
        <v/>
      </c>
      <c r="E1733" s="35" t="str">
        <f t="shared" si="272"/>
        <v/>
      </c>
      <c r="F1733" s="31"/>
      <c r="G1733" s="29"/>
      <c r="H1733" s="78" t="str">
        <f t="shared" si="276"/>
        <v/>
      </c>
      <c r="I1733" s="25"/>
      <c r="J1733" s="25"/>
      <c r="K1733" s="26"/>
      <c r="L1733" s="26"/>
      <c r="M1733" s="37"/>
      <c r="N1733" s="27"/>
      <c r="O1733" s="30"/>
      <c r="P1733" s="39" t="str">
        <f t="shared" si="277"/>
        <v/>
      </c>
      <c r="Q1733" s="40" t="str">
        <f>IF(OR(T1733=0,RIGHT(T1733,1)=$W$1),"",COUNTIF($T$3:T1733,T1733))</f>
        <v/>
      </c>
      <c r="S1733" s="6">
        <f t="shared" si="278"/>
        <v>0</v>
      </c>
      <c r="T1733" s="36">
        <f t="shared" si="279"/>
        <v>0</v>
      </c>
      <c r="V1733" s="6">
        <f t="shared" si="280"/>
        <v>0</v>
      </c>
      <c r="Y1733" s="8">
        <f t="shared" si="281"/>
        <v>46023</v>
      </c>
    </row>
    <row r="1734" spans="2:25" ht="18.75" x14ac:dyDescent="0.3">
      <c r="B1734" s="6">
        <f t="shared" si="273"/>
        <v>0</v>
      </c>
      <c r="C1734" s="6">
        <f t="shared" si="274"/>
        <v>0</v>
      </c>
      <c r="D1734" s="6" t="str">
        <f t="shared" si="275"/>
        <v/>
      </c>
      <c r="E1734" s="35" t="str">
        <f t="shared" si="272"/>
        <v/>
      </c>
      <c r="F1734" s="31"/>
      <c r="G1734" s="29"/>
      <c r="H1734" s="78" t="str">
        <f t="shared" si="276"/>
        <v/>
      </c>
      <c r="I1734" s="25"/>
      <c r="J1734" s="25"/>
      <c r="K1734" s="26"/>
      <c r="L1734" s="26"/>
      <c r="M1734" s="37"/>
      <c r="N1734" s="27"/>
      <c r="O1734" s="30"/>
      <c r="P1734" s="39" t="str">
        <f t="shared" si="277"/>
        <v/>
      </c>
      <c r="Q1734" s="40" t="str">
        <f>IF(OR(T1734=0,RIGHT(T1734,1)=$W$1),"",COUNTIF($T$3:T1734,T1734))</f>
        <v/>
      </c>
      <c r="S1734" s="6">
        <f t="shared" si="278"/>
        <v>0</v>
      </c>
      <c r="T1734" s="36">
        <f t="shared" si="279"/>
        <v>0</v>
      </c>
      <c r="V1734" s="6">
        <f t="shared" si="280"/>
        <v>0</v>
      </c>
      <c r="Y1734" s="8">
        <f t="shared" si="281"/>
        <v>46023</v>
      </c>
    </row>
    <row r="1735" spans="2:25" ht="18.75" x14ac:dyDescent="0.3">
      <c r="B1735" s="6">
        <f t="shared" si="273"/>
        <v>0</v>
      </c>
      <c r="C1735" s="6">
        <f t="shared" si="274"/>
        <v>0</v>
      </c>
      <c r="D1735" s="6" t="str">
        <f t="shared" si="275"/>
        <v/>
      </c>
      <c r="E1735" s="35" t="str">
        <f t="shared" si="272"/>
        <v/>
      </c>
      <c r="F1735" s="31"/>
      <c r="G1735" s="29"/>
      <c r="H1735" s="78" t="str">
        <f t="shared" si="276"/>
        <v/>
      </c>
      <c r="I1735" s="25"/>
      <c r="J1735" s="25"/>
      <c r="K1735" s="26"/>
      <c r="L1735" s="26"/>
      <c r="M1735" s="37"/>
      <c r="N1735" s="27"/>
      <c r="O1735" s="30"/>
      <c r="P1735" s="39" t="str">
        <f t="shared" si="277"/>
        <v/>
      </c>
      <c r="Q1735" s="40" t="str">
        <f>IF(OR(T1735=0,RIGHT(T1735,1)=$W$1),"",COUNTIF($T$3:T1735,T1735))</f>
        <v/>
      </c>
      <c r="S1735" s="6">
        <f t="shared" si="278"/>
        <v>0</v>
      </c>
      <c r="T1735" s="36">
        <f t="shared" si="279"/>
        <v>0</v>
      </c>
      <c r="V1735" s="6">
        <f t="shared" si="280"/>
        <v>0</v>
      </c>
      <c r="Y1735" s="8">
        <f t="shared" si="281"/>
        <v>46023</v>
      </c>
    </row>
    <row r="1736" spans="2:25" ht="18.75" x14ac:dyDescent="0.3">
      <c r="B1736" s="6">
        <f t="shared" si="273"/>
        <v>0</v>
      </c>
      <c r="C1736" s="6">
        <f t="shared" si="274"/>
        <v>0</v>
      </c>
      <c r="D1736" s="6" t="str">
        <f t="shared" si="275"/>
        <v/>
      </c>
      <c r="E1736" s="35" t="str">
        <f t="shared" si="272"/>
        <v/>
      </c>
      <c r="F1736" s="31"/>
      <c r="G1736" s="29"/>
      <c r="H1736" s="78" t="str">
        <f t="shared" si="276"/>
        <v/>
      </c>
      <c r="I1736" s="25"/>
      <c r="J1736" s="25"/>
      <c r="K1736" s="26"/>
      <c r="L1736" s="26"/>
      <c r="M1736" s="37"/>
      <c r="N1736" s="27"/>
      <c r="O1736" s="30"/>
      <c r="P1736" s="39" t="str">
        <f t="shared" si="277"/>
        <v/>
      </c>
      <c r="Q1736" s="40" t="str">
        <f>IF(OR(T1736=0,RIGHT(T1736,1)=$W$1),"",COUNTIF($T$3:T1736,T1736))</f>
        <v/>
      </c>
      <c r="S1736" s="6">
        <f t="shared" si="278"/>
        <v>0</v>
      </c>
      <c r="T1736" s="36">
        <f t="shared" si="279"/>
        <v>0</v>
      </c>
      <c r="V1736" s="6">
        <f t="shared" si="280"/>
        <v>0</v>
      </c>
      <c r="Y1736" s="8">
        <f t="shared" si="281"/>
        <v>46023</v>
      </c>
    </row>
    <row r="1737" spans="2:25" ht="18.75" x14ac:dyDescent="0.3">
      <c r="B1737" s="6">
        <f t="shared" si="273"/>
        <v>0</v>
      </c>
      <c r="C1737" s="6">
        <f t="shared" si="274"/>
        <v>0</v>
      </c>
      <c r="D1737" s="6" t="str">
        <f t="shared" si="275"/>
        <v/>
      </c>
      <c r="E1737" s="35" t="str">
        <f t="shared" si="272"/>
        <v/>
      </c>
      <c r="F1737" s="31"/>
      <c r="G1737" s="29"/>
      <c r="H1737" s="78" t="str">
        <f t="shared" si="276"/>
        <v/>
      </c>
      <c r="I1737" s="25"/>
      <c r="J1737" s="25"/>
      <c r="K1737" s="26"/>
      <c r="L1737" s="26"/>
      <c r="M1737" s="37"/>
      <c r="N1737" s="27"/>
      <c r="O1737" s="30"/>
      <c r="P1737" s="39" t="str">
        <f t="shared" si="277"/>
        <v/>
      </c>
      <c r="Q1737" s="40" t="str">
        <f>IF(OR(T1737=0,RIGHT(T1737,1)=$W$1),"",COUNTIF($T$3:T1737,T1737))</f>
        <v/>
      </c>
      <c r="S1737" s="6">
        <f t="shared" si="278"/>
        <v>0</v>
      </c>
      <c r="T1737" s="36">
        <f t="shared" si="279"/>
        <v>0</v>
      </c>
      <c r="V1737" s="6">
        <f t="shared" si="280"/>
        <v>0</v>
      </c>
      <c r="Y1737" s="8">
        <f t="shared" si="281"/>
        <v>46023</v>
      </c>
    </row>
    <row r="1738" spans="2:25" ht="18.75" x14ac:dyDescent="0.3">
      <c r="B1738" s="6">
        <f t="shared" si="273"/>
        <v>0</v>
      </c>
      <c r="C1738" s="6">
        <f t="shared" si="274"/>
        <v>0</v>
      </c>
      <c r="D1738" s="6" t="str">
        <f t="shared" si="275"/>
        <v/>
      </c>
      <c r="E1738" s="35" t="str">
        <f t="shared" si="272"/>
        <v/>
      </c>
      <c r="F1738" s="31"/>
      <c r="G1738" s="29"/>
      <c r="H1738" s="78" t="str">
        <f t="shared" si="276"/>
        <v/>
      </c>
      <c r="I1738" s="25"/>
      <c r="J1738" s="25"/>
      <c r="K1738" s="26"/>
      <c r="L1738" s="26"/>
      <c r="M1738" s="37"/>
      <c r="N1738" s="27"/>
      <c r="O1738" s="30"/>
      <c r="P1738" s="39" t="str">
        <f t="shared" si="277"/>
        <v/>
      </c>
      <c r="Q1738" s="40" t="str">
        <f>IF(OR(T1738=0,RIGHT(T1738,1)=$W$1),"",COUNTIF($T$3:T1738,T1738))</f>
        <v/>
      </c>
      <c r="S1738" s="6">
        <f t="shared" si="278"/>
        <v>0</v>
      </c>
      <c r="T1738" s="36">
        <f t="shared" si="279"/>
        <v>0</v>
      </c>
      <c r="V1738" s="6">
        <f t="shared" si="280"/>
        <v>0</v>
      </c>
      <c r="Y1738" s="8">
        <f t="shared" si="281"/>
        <v>46023</v>
      </c>
    </row>
    <row r="1739" spans="2:25" ht="18.75" x14ac:dyDescent="0.3">
      <c r="B1739" s="6">
        <f t="shared" si="273"/>
        <v>0</v>
      </c>
      <c r="C1739" s="6">
        <f t="shared" si="274"/>
        <v>0</v>
      </c>
      <c r="D1739" s="6" t="str">
        <f t="shared" si="275"/>
        <v/>
      </c>
      <c r="E1739" s="35" t="str">
        <f t="shared" si="272"/>
        <v/>
      </c>
      <c r="F1739" s="31"/>
      <c r="G1739" s="29"/>
      <c r="H1739" s="78" t="str">
        <f t="shared" si="276"/>
        <v/>
      </c>
      <c r="I1739" s="25"/>
      <c r="J1739" s="25"/>
      <c r="K1739" s="26"/>
      <c r="L1739" s="26"/>
      <c r="M1739" s="37"/>
      <c r="N1739" s="27"/>
      <c r="O1739" s="30"/>
      <c r="P1739" s="39" t="str">
        <f t="shared" si="277"/>
        <v/>
      </c>
      <c r="Q1739" s="40" t="str">
        <f>IF(OR(T1739=0,RIGHT(T1739,1)=$W$1),"",COUNTIF($T$3:T1739,T1739))</f>
        <v/>
      </c>
      <c r="S1739" s="6">
        <f t="shared" si="278"/>
        <v>0</v>
      </c>
      <c r="T1739" s="36">
        <f t="shared" si="279"/>
        <v>0</v>
      </c>
      <c r="V1739" s="6">
        <f t="shared" si="280"/>
        <v>0</v>
      </c>
      <c r="Y1739" s="8">
        <f t="shared" si="281"/>
        <v>46023</v>
      </c>
    </row>
    <row r="1740" spans="2:25" ht="18.75" x14ac:dyDescent="0.3">
      <c r="B1740" s="6">
        <f t="shared" si="273"/>
        <v>0</v>
      </c>
      <c r="C1740" s="6">
        <f t="shared" si="274"/>
        <v>0</v>
      </c>
      <c r="D1740" s="6" t="str">
        <f t="shared" si="275"/>
        <v/>
      </c>
      <c r="E1740" s="35" t="str">
        <f t="shared" si="272"/>
        <v/>
      </c>
      <c r="F1740" s="31"/>
      <c r="G1740" s="29"/>
      <c r="H1740" s="78" t="str">
        <f t="shared" si="276"/>
        <v/>
      </c>
      <c r="I1740" s="25"/>
      <c r="J1740" s="25"/>
      <c r="K1740" s="26"/>
      <c r="L1740" s="26"/>
      <c r="M1740" s="37"/>
      <c r="N1740" s="27"/>
      <c r="O1740" s="30"/>
      <c r="P1740" s="39" t="str">
        <f t="shared" si="277"/>
        <v/>
      </c>
      <c r="Q1740" s="40" t="str">
        <f>IF(OR(T1740=0,RIGHT(T1740,1)=$W$1),"",COUNTIF($T$3:T1740,T1740))</f>
        <v/>
      </c>
      <c r="S1740" s="6">
        <f t="shared" si="278"/>
        <v>0</v>
      </c>
      <c r="T1740" s="36">
        <f t="shared" si="279"/>
        <v>0</v>
      </c>
      <c r="V1740" s="6">
        <f t="shared" si="280"/>
        <v>0</v>
      </c>
      <c r="Y1740" s="8">
        <f t="shared" si="281"/>
        <v>46023</v>
      </c>
    </row>
    <row r="1741" spans="2:25" ht="18.75" x14ac:dyDescent="0.3">
      <c r="B1741" s="6">
        <f t="shared" si="273"/>
        <v>0</v>
      </c>
      <c r="C1741" s="6">
        <f t="shared" si="274"/>
        <v>0</v>
      </c>
      <c r="D1741" s="6" t="str">
        <f t="shared" si="275"/>
        <v/>
      </c>
      <c r="E1741" s="35" t="str">
        <f t="shared" si="272"/>
        <v/>
      </c>
      <c r="F1741" s="31"/>
      <c r="G1741" s="29"/>
      <c r="H1741" s="78" t="str">
        <f t="shared" si="276"/>
        <v/>
      </c>
      <c r="I1741" s="25"/>
      <c r="J1741" s="25"/>
      <c r="K1741" s="26"/>
      <c r="L1741" s="26"/>
      <c r="M1741" s="37"/>
      <c r="N1741" s="27"/>
      <c r="O1741" s="30"/>
      <c r="P1741" s="39" t="str">
        <f t="shared" si="277"/>
        <v/>
      </c>
      <c r="Q1741" s="40" t="str">
        <f>IF(OR(T1741=0,RIGHT(T1741,1)=$W$1),"",COUNTIF($T$3:T1741,T1741))</f>
        <v/>
      </c>
      <c r="S1741" s="6">
        <f t="shared" si="278"/>
        <v>0</v>
      </c>
      <c r="T1741" s="36">
        <f t="shared" si="279"/>
        <v>0</v>
      </c>
      <c r="V1741" s="6">
        <f t="shared" si="280"/>
        <v>0</v>
      </c>
      <c r="Y1741" s="8">
        <f t="shared" si="281"/>
        <v>46023</v>
      </c>
    </row>
    <row r="1742" spans="2:25" ht="18.75" x14ac:dyDescent="0.3">
      <c r="B1742" s="6">
        <f t="shared" si="273"/>
        <v>0</v>
      </c>
      <c r="C1742" s="6">
        <f t="shared" si="274"/>
        <v>0</v>
      </c>
      <c r="D1742" s="6" t="str">
        <f t="shared" si="275"/>
        <v/>
      </c>
      <c r="E1742" s="35" t="str">
        <f t="shared" si="272"/>
        <v/>
      </c>
      <c r="F1742" s="31"/>
      <c r="G1742" s="29"/>
      <c r="H1742" s="78" t="str">
        <f t="shared" si="276"/>
        <v/>
      </c>
      <c r="I1742" s="25"/>
      <c r="J1742" s="25"/>
      <c r="K1742" s="26"/>
      <c r="L1742" s="26"/>
      <c r="M1742" s="37"/>
      <c r="N1742" s="27"/>
      <c r="O1742" s="30"/>
      <c r="P1742" s="39" t="str">
        <f t="shared" si="277"/>
        <v/>
      </c>
      <c r="Q1742" s="40" t="str">
        <f>IF(OR(T1742=0,RIGHT(T1742,1)=$W$1),"",COUNTIF($T$3:T1742,T1742))</f>
        <v/>
      </c>
      <c r="S1742" s="6">
        <f t="shared" si="278"/>
        <v>0</v>
      </c>
      <c r="T1742" s="36">
        <f t="shared" si="279"/>
        <v>0</v>
      </c>
      <c r="V1742" s="6">
        <f t="shared" si="280"/>
        <v>0</v>
      </c>
      <c r="Y1742" s="8">
        <f t="shared" si="281"/>
        <v>46023</v>
      </c>
    </row>
    <row r="1743" spans="2:25" ht="18.75" x14ac:dyDescent="0.3">
      <c r="B1743" s="6">
        <f t="shared" si="273"/>
        <v>0</v>
      </c>
      <c r="C1743" s="6">
        <f t="shared" si="274"/>
        <v>0</v>
      </c>
      <c r="D1743" s="6" t="str">
        <f t="shared" si="275"/>
        <v/>
      </c>
      <c r="E1743" s="35" t="str">
        <f t="shared" si="272"/>
        <v/>
      </c>
      <c r="F1743" s="31"/>
      <c r="G1743" s="29"/>
      <c r="H1743" s="78" t="str">
        <f t="shared" si="276"/>
        <v/>
      </c>
      <c r="I1743" s="25"/>
      <c r="J1743" s="25"/>
      <c r="K1743" s="26"/>
      <c r="L1743" s="26"/>
      <c r="M1743" s="37"/>
      <c r="N1743" s="27"/>
      <c r="O1743" s="30"/>
      <c r="P1743" s="39" t="str">
        <f t="shared" si="277"/>
        <v/>
      </c>
      <c r="Q1743" s="40" t="str">
        <f>IF(OR(T1743=0,RIGHT(T1743,1)=$W$1),"",COUNTIF($T$3:T1743,T1743))</f>
        <v/>
      </c>
      <c r="S1743" s="6">
        <f t="shared" si="278"/>
        <v>0</v>
      </c>
      <c r="T1743" s="36">
        <f t="shared" si="279"/>
        <v>0</v>
      </c>
      <c r="V1743" s="6">
        <f t="shared" si="280"/>
        <v>0</v>
      </c>
      <c r="Y1743" s="8">
        <f t="shared" si="281"/>
        <v>46023</v>
      </c>
    </row>
    <row r="1744" spans="2:25" ht="18.75" x14ac:dyDescent="0.3">
      <c r="B1744" s="6">
        <f t="shared" si="273"/>
        <v>0</v>
      </c>
      <c r="C1744" s="6">
        <f t="shared" si="274"/>
        <v>0</v>
      </c>
      <c r="D1744" s="6" t="str">
        <f t="shared" si="275"/>
        <v/>
      </c>
      <c r="E1744" s="35" t="str">
        <f t="shared" si="272"/>
        <v/>
      </c>
      <c r="F1744" s="31"/>
      <c r="G1744" s="29"/>
      <c r="H1744" s="78" t="str">
        <f t="shared" si="276"/>
        <v/>
      </c>
      <c r="I1744" s="25"/>
      <c r="J1744" s="25"/>
      <c r="K1744" s="26"/>
      <c r="L1744" s="26"/>
      <c r="M1744" s="37"/>
      <c r="N1744" s="27"/>
      <c r="O1744" s="30"/>
      <c r="P1744" s="39" t="str">
        <f t="shared" si="277"/>
        <v/>
      </c>
      <c r="Q1744" s="40" t="str">
        <f>IF(OR(T1744=0,RIGHT(T1744,1)=$W$1),"",COUNTIF($T$3:T1744,T1744))</f>
        <v/>
      </c>
      <c r="S1744" s="6">
        <f t="shared" si="278"/>
        <v>0</v>
      </c>
      <c r="T1744" s="36">
        <f t="shared" si="279"/>
        <v>0</v>
      </c>
      <c r="V1744" s="6">
        <f t="shared" si="280"/>
        <v>0</v>
      </c>
      <c r="Y1744" s="8">
        <f t="shared" si="281"/>
        <v>46023</v>
      </c>
    </row>
    <row r="1745" spans="2:25" ht="18.75" x14ac:dyDescent="0.3">
      <c r="B1745" s="6">
        <f t="shared" si="273"/>
        <v>0</v>
      </c>
      <c r="C1745" s="6">
        <f t="shared" si="274"/>
        <v>0</v>
      </c>
      <c r="D1745" s="6" t="str">
        <f t="shared" si="275"/>
        <v/>
      </c>
      <c r="E1745" s="35" t="str">
        <f t="shared" si="272"/>
        <v/>
      </c>
      <c r="F1745" s="31"/>
      <c r="G1745" s="29"/>
      <c r="H1745" s="78" t="str">
        <f t="shared" si="276"/>
        <v/>
      </c>
      <c r="I1745" s="25"/>
      <c r="J1745" s="25"/>
      <c r="K1745" s="26"/>
      <c r="L1745" s="26"/>
      <c r="M1745" s="37"/>
      <c r="N1745" s="27"/>
      <c r="O1745" s="30"/>
      <c r="P1745" s="39" t="str">
        <f t="shared" si="277"/>
        <v/>
      </c>
      <c r="Q1745" s="40" t="str">
        <f>IF(OR(T1745=0,RIGHT(T1745,1)=$W$1),"",COUNTIF($T$3:T1745,T1745))</f>
        <v/>
      </c>
      <c r="S1745" s="6">
        <f t="shared" si="278"/>
        <v>0</v>
      </c>
      <c r="T1745" s="36">
        <f t="shared" si="279"/>
        <v>0</v>
      </c>
      <c r="V1745" s="6">
        <f t="shared" si="280"/>
        <v>0</v>
      </c>
      <c r="Y1745" s="8">
        <f t="shared" si="281"/>
        <v>46023</v>
      </c>
    </row>
    <row r="1746" spans="2:25" ht="18.75" x14ac:dyDescent="0.3">
      <c r="B1746" s="6">
        <f t="shared" si="273"/>
        <v>0</v>
      </c>
      <c r="C1746" s="6">
        <f t="shared" si="274"/>
        <v>0</v>
      </c>
      <c r="D1746" s="6" t="str">
        <f t="shared" si="275"/>
        <v/>
      </c>
      <c r="E1746" s="35" t="str">
        <f t="shared" si="272"/>
        <v/>
      </c>
      <c r="F1746" s="31"/>
      <c r="G1746" s="29"/>
      <c r="H1746" s="78" t="str">
        <f t="shared" si="276"/>
        <v/>
      </c>
      <c r="I1746" s="25"/>
      <c r="J1746" s="25"/>
      <c r="K1746" s="26"/>
      <c r="L1746" s="26"/>
      <c r="M1746" s="37"/>
      <c r="N1746" s="27"/>
      <c r="O1746" s="30"/>
      <c r="P1746" s="39" t="str">
        <f t="shared" si="277"/>
        <v/>
      </c>
      <c r="Q1746" s="40" t="str">
        <f>IF(OR(T1746=0,RIGHT(T1746,1)=$W$1),"",COUNTIF($T$3:T1746,T1746))</f>
        <v/>
      </c>
      <c r="S1746" s="6">
        <f t="shared" si="278"/>
        <v>0</v>
      </c>
      <c r="T1746" s="36">
        <f t="shared" si="279"/>
        <v>0</v>
      </c>
      <c r="V1746" s="6">
        <f t="shared" si="280"/>
        <v>0</v>
      </c>
      <c r="Y1746" s="8">
        <f t="shared" si="281"/>
        <v>46023</v>
      </c>
    </row>
    <row r="1747" spans="2:25" ht="18.75" x14ac:dyDescent="0.3">
      <c r="B1747" s="6">
        <f t="shared" si="273"/>
        <v>0</v>
      </c>
      <c r="C1747" s="6">
        <f t="shared" si="274"/>
        <v>0</v>
      </c>
      <c r="D1747" s="6" t="str">
        <f t="shared" si="275"/>
        <v/>
      </c>
      <c r="E1747" s="35" t="str">
        <f t="shared" si="272"/>
        <v/>
      </c>
      <c r="F1747" s="31"/>
      <c r="G1747" s="29"/>
      <c r="H1747" s="78" t="str">
        <f t="shared" si="276"/>
        <v/>
      </c>
      <c r="I1747" s="25"/>
      <c r="J1747" s="25"/>
      <c r="K1747" s="26"/>
      <c r="L1747" s="26"/>
      <c r="M1747" s="37"/>
      <c r="N1747" s="27"/>
      <c r="O1747" s="30"/>
      <c r="P1747" s="39" t="str">
        <f t="shared" si="277"/>
        <v/>
      </c>
      <c r="Q1747" s="40" t="str">
        <f>IF(OR(T1747=0,RIGHT(T1747,1)=$W$1),"",COUNTIF($T$3:T1747,T1747))</f>
        <v/>
      </c>
      <c r="S1747" s="6">
        <f t="shared" si="278"/>
        <v>0</v>
      </c>
      <c r="T1747" s="36">
        <f t="shared" si="279"/>
        <v>0</v>
      </c>
      <c r="V1747" s="6">
        <f t="shared" si="280"/>
        <v>0</v>
      </c>
      <c r="Y1747" s="8">
        <f t="shared" si="281"/>
        <v>46023</v>
      </c>
    </row>
    <row r="1748" spans="2:25" ht="18.75" x14ac:dyDescent="0.3">
      <c r="B1748" s="6">
        <f t="shared" si="273"/>
        <v>0</v>
      </c>
      <c r="C1748" s="6">
        <f t="shared" si="274"/>
        <v>0</v>
      </c>
      <c r="D1748" s="6" t="str">
        <f t="shared" si="275"/>
        <v/>
      </c>
      <c r="E1748" s="35" t="str">
        <f t="shared" si="272"/>
        <v/>
      </c>
      <c r="F1748" s="31"/>
      <c r="G1748" s="29"/>
      <c r="H1748" s="78" t="str">
        <f t="shared" si="276"/>
        <v/>
      </c>
      <c r="I1748" s="25"/>
      <c r="J1748" s="25"/>
      <c r="K1748" s="26"/>
      <c r="L1748" s="26"/>
      <c r="M1748" s="37"/>
      <c r="N1748" s="27"/>
      <c r="O1748" s="30"/>
      <c r="P1748" s="39" t="str">
        <f t="shared" si="277"/>
        <v/>
      </c>
      <c r="Q1748" s="40" t="str">
        <f>IF(OR(T1748=0,RIGHT(T1748,1)=$W$1),"",COUNTIF($T$3:T1748,T1748))</f>
        <v/>
      </c>
      <c r="S1748" s="6">
        <f t="shared" si="278"/>
        <v>0</v>
      </c>
      <c r="T1748" s="36">
        <f t="shared" si="279"/>
        <v>0</v>
      </c>
      <c r="V1748" s="6">
        <f t="shared" si="280"/>
        <v>0</v>
      </c>
      <c r="Y1748" s="8">
        <f t="shared" si="281"/>
        <v>46023</v>
      </c>
    </row>
    <row r="1749" spans="2:25" ht="18.75" x14ac:dyDescent="0.3">
      <c r="B1749" s="6">
        <f t="shared" si="273"/>
        <v>0</v>
      </c>
      <c r="C1749" s="6">
        <f t="shared" si="274"/>
        <v>0</v>
      </c>
      <c r="D1749" s="6" t="str">
        <f t="shared" si="275"/>
        <v/>
      </c>
      <c r="E1749" s="35" t="str">
        <f t="shared" si="272"/>
        <v/>
      </c>
      <c r="F1749" s="31"/>
      <c r="G1749" s="29"/>
      <c r="H1749" s="78" t="str">
        <f t="shared" si="276"/>
        <v/>
      </c>
      <c r="I1749" s="25"/>
      <c r="J1749" s="25"/>
      <c r="K1749" s="26"/>
      <c r="L1749" s="26"/>
      <c r="M1749" s="37"/>
      <c r="N1749" s="27"/>
      <c r="O1749" s="30"/>
      <c r="P1749" s="39" t="str">
        <f t="shared" si="277"/>
        <v/>
      </c>
      <c r="Q1749" s="40" t="str">
        <f>IF(OR(T1749=0,RIGHT(T1749,1)=$W$1),"",COUNTIF($T$3:T1749,T1749))</f>
        <v/>
      </c>
      <c r="S1749" s="6">
        <f t="shared" si="278"/>
        <v>0</v>
      </c>
      <c r="T1749" s="36">
        <f t="shared" si="279"/>
        <v>0</v>
      </c>
      <c r="V1749" s="6">
        <f t="shared" si="280"/>
        <v>0</v>
      </c>
      <c r="Y1749" s="8">
        <f t="shared" si="281"/>
        <v>46023</v>
      </c>
    </row>
    <row r="1750" spans="2:25" ht="18.75" x14ac:dyDescent="0.3">
      <c r="B1750" s="6">
        <f t="shared" si="273"/>
        <v>0</v>
      </c>
      <c r="C1750" s="6">
        <f t="shared" si="274"/>
        <v>0</v>
      </c>
      <c r="D1750" s="6" t="str">
        <f t="shared" si="275"/>
        <v/>
      </c>
      <c r="E1750" s="35" t="str">
        <f t="shared" si="272"/>
        <v/>
      </c>
      <c r="F1750" s="31"/>
      <c r="G1750" s="29"/>
      <c r="H1750" s="78" t="str">
        <f t="shared" si="276"/>
        <v/>
      </c>
      <c r="I1750" s="25"/>
      <c r="J1750" s="25"/>
      <c r="K1750" s="26"/>
      <c r="L1750" s="26"/>
      <c r="M1750" s="37"/>
      <c r="N1750" s="27"/>
      <c r="O1750" s="30"/>
      <c r="P1750" s="39" t="str">
        <f t="shared" si="277"/>
        <v/>
      </c>
      <c r="Q1750" s="40" t="str">
        <f>IF(OR(T1750=0,RIGHT(T1750,1)=$W$1),"",COUNTIF($T$3:T1750,T1750))</f>
        <v/>
      </c>
      <c r="S1750" s="6">
        <f t="shared" si="278"/>
        <v>0</v>
      </c>
      <c r="T1750" s="36">
        <f t="shared" si="279"/>
        <v>0</v>
      </c>
      <c r="V1750" s="6">
        <f t="shared" si="280"/>
        <v>0</v>
      </c>
      <c r="Y1750" s="8">
        <f t="shared" si="281"/>
        <v>46023</v>
      </c>
    </row>
    <row r="1751" spans="2:25" ht="18.75" x14ac:dyDescent="0.3">
      <c r="B1751" s="6">
        <f t="shared" si="273"/>
        <v>0</v>
      </c>
      <c r="C1751" s="6">
        <f t="shared" si="274"/>
        <v>0</v>
      </c>
      <c r="D1751" s="6" t="str">
        <f t="shared" si="275"/>
        <v/>
      </c>
      <c r="E1751" s="35" t="str">
        <f t="shared" si="272"/>
        <v/>
      </c>
      <c r="F1751" s="31"/>
      <c r="G1751" s="29"/>
      <c r="H1751" s="78" t="str">
        <f t="shared" si="276"/>
        <v/>
      </c>
      <c r="I1751" s="25"/>
      <c r="J1751" s="25"/>
      <c r="K1751" s="26"/>
      <c r="L1751" s="26"/>
      <c r="M1751" s="37"/>
      <c r="N1751" s="27"/>
      <c r="O1751" s="30"/>
      <c r="P1751" s="39" t="str">
        <f t="shared" si="277"/>
        <v/>
      </c>
      <c r="Q1751" s="40" t="str">
        <f>IF(OR(T1751=0,RIGHT(T1751,1)=$W$1),"",COUNTIF($T$3:T1751,T1751))</f>
        <v/>
      </c>
      <c r="S1751" s="6">
        <f t="shared" si="278"/>
        <v>0</v>
      </c>
      <c r="T1751" s="36">
        <f t="shared" si="279"/>
        <v>0</v>
      </c>
      <c r="V1751" s="6">
        <f t="shared" si="280"/>
        <v>0</v>
      </c>
      <c r="Y1751" s="8">
        <f t="shared" si="281"/>
        <v>46023</v>
      </c>
    </row>
    <row r="1752" spans="2:25" ht="18.75" x14ac:dyDescent="0.3">
      <c r="B1752" s="6">
        <f t="shared" si="273"/>
        <v>0</v>
      </c>
      <c r="C1752" s="6">
        <f t="shared" si="274"/>
        <v>0</v>
      </c>
      <c r="D1752" s="6" t="str">
        <f t="shared" si="275"/>
        <v/>
      </c>
      <c r="E1752" s="35" t="str">
        <f t="shared" si="272"/>
        <v/>
      </c>
      <c r="F1752" s="31"/>
      <c r="G1752" s="29"/>
      <c r="H1752" s="78" t="str">
        <f t="shared" si="276"/>
        <v/>
      </c>
      <c r="I1752" s="25"/>
      <c r="J1752" s="25"/>
      <c r="K1752" s="26"/>
      <c r="L1752" s="26"/>
      <c r="M1752" s="37"/>
      <c r="N1752" s="27"/>
      <c r="O1752" s="30"/>
      <c r="P1752" s="39" t="str">
        <f t="shared" si="277"/>
        <v/>
      </c>
      <c r="Q1752" s="40" t="str">
        <f>IF(OR(T1752=0,RIGHT(T1752,1)=$W$1),"",COUNTIF($T$3:T1752,T1752))</f>
        <v/>
      </c>
      <c r="S1752" s="6">
        <f t="shared" si="278"/>
        <v>0</v>
      </c>
      <c r="T1752" s="36">
        <f t="shared" si="279"/>
        <v>0</v>
      </c>
      <c r="V1752" s="6">
        <f t="shared" si="280"/>
        <v>0</v>
      </c>
      <c r="Y1752" s="8">
        <f t="shared" si="281"/>
        <v>46023</v>
      </c>
    </row>
    <row r="1753" spans="2:25" ht="18.75" x14ac:dyDescent="0.3">
      <c r="B1753" s="6">
        <f t="shared" si="273"/>
        <v>0</v>
      </c>
      <c r="C1753" s="6">
        <f t="shared" si="274"/>
        <v>0</v>
      </c>
      <c r="D1753" s="6" t="str">
        <f t="shared" si="275"/>
        <v/>
      </c>
      <c r="E1753" s="35" t="str">
        <f t="shared" si="272"/>
        <v/>
      </c>
      <c r="F1753" s="31"/>
      <c r="G1753" s="29"/>
      <c r="H1753" s="78" t="str">
        <f t="shared" si="276"/>
        <v/>
      </c>
      <c r="I1753" s="25"/>
      <c r="J1753" s="25"/>
      <c r="K1753" s="26"/>
      <c r="L1753" s="26"/>
      <c r="M1753" s="37"/>
      <c r="N1753" s="27"/>
      <c r="O1753" s="30"/>
      <c r="P1753" s="39" t="str">
        <f t="shared" si="277"/>
        <v/>
      </c>
      <c r="Q1753" s="40" t="str">
        <f>IF(OR(T1753=0,RIGHT(T1753,1)=$W$1),"",COUNTIF($T$3:T1753,T1753))</f>
        <v/>
      </c>
      <c r="S1753" s="6">
        <f t="shared" si="278"/>
        <v>0</v>
      </c>
      <c r="T1753" s="36">
        <f t="shared" si="279"/>
        <v>0</v>
      </c>
      <c r="V1753" s="6">
        <f t="shared" si="280"/>
        <v>0</v>
      </c>
      <c r="Y1753" s="8">
        <f t="shared" si="281"/>
        <v>46023</v>
      </c>
    </row>
    <row r="1754" spans="2:25" ht="18.75" x14ac:dyDescent="0.3">
      <c r="B1754" s="6">
        <f t="shared" si="273"/>
        <v>0</v>
      </c>
      <c r="C1754" s="6">
        <f t="shared" si="274"/>
        <v>0</v>
      </c>
      <c r="D1754" s="6" t="str">
        <f t="shared" si="275"/>
        <v/>
      </c>
      <c r="E1754" s="35" t="str">
        <f t="shared" si="272"/>
        <v/>
      </c>
      <c r="F1754" s="31"/>
      <c r="G1754" s="29"/>
      <c r="H1754" s="78" t="str">
        <f t="shared" si="276"/>
        <v/>
      </c>
      <c r="I1754" s="25"/>
      <c r="J1754" s="25"/>
      <c r="K1754" s="26"/>
      <c r="L1754" s="26"/>
      <c r="M1754" s="37"/>
      <c r="N1754" s="27"/>
      <c r="O1754" s="30"/>
      <c r="P1754" s="39" t="str">
        <f t="shared" si="277"/>
        <v/>
      </c>
      <c r="Q1754" s="40" t="str">
        <f>IF(OR(T1754=0,RIGHT(T1754,1)=$W$1),"",COUNTIF($T$3:T1754,T1754))</f>
        <v/>
      </c>
      <c r="S1754" s="6">
        <f t="shared" si="278"/>
        <v>0</v>
      </c>
      <c r="T1754" s="36">
        <f t="shared" si="279"/>
        <v>0</v>
      </c>
      <c r="V1754" s="6">
        <f t="shared" si="280"/>
        <v>0</v>
      </c>
      <c r="Y1754" s="8">
        <f t="shared" si="281"/>
        <v>46023</v>
      </c>
    </row>
    <row r="1755" spans="2:25" ht="18.75" x14ac:dyDescent="0.3">
      <c r="B1755" s="6">
        <f t="shared" si="273"/>
        <v>0</v>
      </c>
      <c r="C1755" s="6">
        <f t="shared" si="274"/>
        <v>0</v>
      </c>
      <c r="D1755" s="6" t="str">
        <f t="shared" si="275"/>
        <v/>
      </c>
      <c r="E1755" s="35" t="str">
        <f t="shared" si="272"/>
        <v/>
      </c>
      <c r="F1755" s="31"/>
      <c r="G1755" s="29"/>
      <c r="H1755" s="78" t="str">
        <f t="shared" si="276"/>
        <v/>
      </c>
      <c r="I1755" s="25"/>
      <c r="J1755" s="25"/>
      <c r="K1755" s="26"/>
      <c r="L1755" s="26"/>
      <c r="M1755" s="37"/>
      <c r="N1755" s="27"/>
      <c r="O1755" s="30"/>
      <c r="P1755" s="39" t="str">
        <f t="shared" si="277"/>
        <v/>
      </c>
      <c r="Q1755" s="40" t="str">
        <f>IF(OR(T1755=0,RIGHT(T1755,1)=$W$1),"",COUNTIF($T$3:T1755,T1755))</f>
        <v/>
      </c>
      <c r="S1755" s="6">
        <f t="shared" si="278"/>
        <v>0</v>
      </c>
      <c r="T1755" s="36">
        <f t="shared" si="279"/>
        <v>0</v>
      </c>
      <c r="V1755" s="6">
        <f t="shared" si="280"/>
        <v>0</v>
      </c>
      <c r="Y1755" s="8">
        <f t="shared" si="281"/>
        <v>46023</v>
      </c>
    </row>
    <row r="1756" spans="2:25" ht="18.75" x14ac:dyDescent="0.3">
      <c r="B1756" s="6">
        <f t="shared" si="273"/>
        <v>0</v>
      </c>
      <c r="C1756" s="6">
        <f t="shared" si="274"/>
        <v>0</v>
      </c>
      <c r="D1756" s="6" t="str">
        <f t="shared" si="275"/>
        <v/>
      </c>
      <c r="E1756" s="35" t="str">
        <f t="shared" si="272"/>
        <v/>
      </c>
      <c r="F1756" s="31"/>
      <c r="G1756" s="29"/>
      <c r="H1756" s="78" t="str">
        <f t="shared" si="276"/>
        <v/>
      </c>
      <c r="I1756" s="25"/>
      <c r="J1756" s="25"/>
      <c r="K1756" s="26"/>
      <c r="L1756" s="26"/>
      <c r="M1756" s="37"/>
      <c r="N1756" s="27"/>
      <c r="O1756" s="30"/>
      <c r="P1756" s="39" t="str">
        <f t="shared" si="277"/>
        <v/>
      </c>
      <c r="Q1756" s="40" t="str">
        <f>IF(OR(T1756=0,RIGHT(T1756,1)=$W$1),"",COUNTIF($T$3:T1756,T1756))</f>
        <v/>
      </c>
      <c r="S1756" s="6">
        <f t="shared" si="278"/>
        <v>0</v>
      </c>
      <c r="T1756" s="36">
        <f t="shared" si="279"/>
        <v>0</v>
      </c>
      <c r="V1756" s="6">
        <f t="shared" si="280"/>
        <v>0</v>
      </c>
      <c r="Y1756" s="8">
        <f t="shared" si="281"/>
        <v>46023</v>
      </c>
    </row>
    <row r="1757" spans="2:25" ht="18.75" x14ac:dyDescent="0.3">
      <c r="B1757" s="6">
        <f t="shared" si="273"/>
        <v>0</v>
      </c>
      <c r="C1757" s="6">
        <f t="shared" si="274"/>
        <v>0</v>
      </c>
      <c r="D1757" s="6" t="str">
        <f t="shared" si="275"/>
        <v/>
      </c>
      <c r="E1757" s="35" t="str">
        <f t="shared" si="272"/>
        <v/>
      </c>
      <c r="F1757" s="31"/>
      <c r="G1757" s="29"/>
      <c r="H1757" s="78" t="str">
        <f t="shared" si="276"/>
        <v/>
      </c>
      <c r="I1757" s="25"/>
      <c r="J1757" s="25"/>
      <c r="K1757" s="26"/>
      <c r="L1757" s="26"/>
      <c r="M1757" s="37"/>
      <c r="N1757" s="27"/>
      <c r="O1757" s="30"/>
      <c r="P1757" s="39" t="str">
        <f t="shared" si="277"/>
        <v/>
      </c>
      <c r="Q1757" s="40" t="str">
        <f>IF(OR(T1757=0,RIGHT(T1757,1)=$W$1),"",COUNTIF($T$3:T1757,T1757))</f>
        <v/>
      </c>
      <c r="S1757" s="6">
        <f t="shared" si="278"/>
        <v>0</v>
      </c>
      <c r="T1757" s="36">
        <f t="shared" si="279"/>
        <v>0</v>
      </c>
      <c r="V1757" s="6">
        <f t="shared" si="280"/>
        <v>0</v>
      </c>
      <c r="Y1757" s="8">
        <f t="shared" si="281"/>
        <v>46023</v>
      </c>
    </row>
    <row r="1758" spans="2:25" ht="18.75" x14ac:dyDescent="0.3">
      <c r="B1758" s="6">
        <f t="shared" si="273"/>
        <v>0</v>
      </c>
      <c r="C1758" s="6">
        <f t="shared" si="274"/>
        <v>0</v>
      </c>
      <c r="D1758" s="6" t="str">
        <f t="shared" si="275"/>
        <v/>
      </c>
      <c r="E1758" s="35" t="str">
        <f t="shared" si="272"/>
        <v/>
      </c>
      <c r="F1758" s="31"/>
      <c r="G1758" s="29"/>
      <c r="H1758" s="78" t="str">
        <f t="shared" si="276"/>
        <v/>
      </c>
      <c r="I1758" s="25"/>
      <c r="J1758" s="25"/>
      <c r="K1758" s="26"/>
      <c r="L1758" s="26"/>
      <c r="M1758" s="37"/>
      <c r="N1758" s="27"/>
      <c r="O1758" s="30"/>
      <c r="P1758" s="39" t="str">
        <f t="shared" si="277"/>
        <v/>
      </c>
      <c r="Q1758" s="40" t="str">
        <f>IF(OR(T1758=0,RIGHT(T1758,1)=$W$1),"",COUNTIF($T$3:T1758,T1758))</f>
        <v/>
      </c>
      <c r="S1758" s="6">
        <f t="shared" si="278"/>
        <v>0</v>
      </c>
      <c r="T1758" s="36">
        <f t="shared" si="279"/>
        <v>0</v>
      </c>
      <c r="V1758" s="6">
        <f t="shared" si="280"/>
        <v>0</v>
      </c>
      <c r="Y1758" s="8">
        <f t="shared" si="281"/>
        <v>46023</v>
      </c>
    </row>
    <row r="1759" spans="2:25" ht="18.75" x14ac:dyDescent="0.3">
      <c r="B1759" s="6">
        <f t="shared" si="273"/>
        <v>0</v>
      </c>
      <c r="C1759" s="6">
        <f t="shared" si="274"/>
        <v>0</v>
      </c>
      <c r="D1759" s="6" t="str">
        <f t="shared" si="275"/>
        <v/>
      </c>
      <c r="E1759" s="35" t="str">
        <f t="shared" si="272"/>
        <v/>
      </c>
      <c r="F1759" s="31"/>
      <c r="G1759" s="29"/>
      <c r="H1759" s="78" t="str">
        <f t="shared" si="276"/>
        <v/>
      </c>
      <c r="I1759" s="25"/>
      <c r="J1759" s="25"/>
      <c r="K1759" s="26"/>
      <c r="L1759" s="26"/>
      <c r="M1759" s="37"/>
      <c r="N1759" s="27"/>
      <c r="O1759" s="30"/>
      <c r="P1759" s="39" t="str">
        <f t="shared" si="277"/>
        <v/>
      </c>
      <c r="Q1759" s="40" t="str">
        <f>IF(OR(T1759=0,RIGHT(T1759,1)=$W$1),"",COUNTIF($T$3:T1759,T1759))</f>
        <v/>
      </c>
      <c r="S1759" s="6">
        <f t="shared" si="278"/>
        <v>0</v>
      </c>
      <c r="T1759" s="36">
        <f t="shared" si="279"/>
        <v>0</v>
      </c>
      <c r="V1759" s="6">
        <f t="shared" si="280"/>
        <v>0</v>
      </c>
      <c r="Y1759" s="8">
        <f t="shared" si="281"/>
        <v>46023</v>
      </c>
    </row>
    <row r="1760" spans="2:25" ht="18.75" x14ac:dyDescent="0.3">
      <c r="B1760" s="6">
        <f t="shared" si="273"/>
        <v>0</v>
      </c>
      <c r="C1760" s="6">
        <f t="shared" si="274"/>
        <v>0</v>
      </c>
      <c r="D1760" s="6" t="str">
        <f t="shared" si="275"/>
        <v/>
      </c>
      <c r="E1760" s="35" t="str">
        <f t="shared" si="272"/>
        <v/>
      </c>
      <c r="F1760" s="31"/>
      <c r="G1760" s="29"/>
      <c r="H1760" s="78" t="str">
        <f t="shared" si="276"/>
        <v/>
      </c>
      <c r="I1760" s="25"/>
      <c r="J1760" s="25"/>
      <c r="K1760" s="26"/>
      <c r="L1760" s="26"/>
      <c r="M1760" s="37"/>
      <c r="N1760" s="27"/>
      <c r="O1760" s="30"/>
      <c r="P1760" s="39" t="str">
        <f t="shared" si="277"/>
        <v/>
      </c>
      <c r="Q1760" s="40" t="str">
        <f>IF(OR(T1760=0,RIGHT(T1760,1)=$W$1),"",COUNTIF($T$3:T1760,T1760))</f>
        <v/>
      </c>
      <c r="S1760" s="6">
        <f t="shared" si="278"/>
        <v>0</v>
      </c>
      <c r="T1760" s="36">
        <f t="shared" si="279"/>
        <v>0</v>
      </c>
      <c r="V1760" s="6">
        <f t="shared" si="280"/>
        <v>0</v>
      </c>
      <c r="Y1760" s="8">
        <f t="shared" si="281"/>
        <v>46023</v>
      </c>
    </row>
    <row r="1761" spans="2:25" ht="18.75" x14ac:dyDescent="0.3">
      <c r="B1761" s="6">
        <f t="shared" si="273"/>
        <v>0</v>
      </c>
      <c r="C1761" s="6">
        <f t="shared" si="274"/>
        <v>0</v>
      </c>
      <c r="D1761" s="6" t="str">
        <f t="shared" si="275"/>
        <v/>
      </c>
      <c r="E1761" s="35" t="str">
        <f t="shared" si="272"/>
        <v/>
      </c>
      <c r="F1761" s="31"/>
      <c r="G1761" s="29"/>
      <c r="H1761" s="78" t="str">
        <f t="shared" si="276"/>
        <v/>
      </c>
      <c r="I1761" s="25"/>
      <c r="J1761" s="25"/>
      <c r="K1761" s="26"/>
      <c r="L1761" s="26"/>
      <c r="M1761" s="37"/>
      <c r="N1761" s="27"/>
      <c r="O1761" s="30"/>
      <c r="P1761" s="39" t="str">
        <f t="shared" si="277"/>
        <v/>
      </c>
      <c r="Q1761" s="40" t="str">
        <f>IF(OR(T1761=0,RIGHT(T1761,1)=$W$1),"",COUNTIF($T$3:T1761,T1761))</f>
        <v/>
      </c>
      <c r="S1761" s="6">
        <f t="shared" si="278"/>
        <v>0</v>
      </c>
      <c r="T1761" s="36">
        <f t="shared" si="279"/>
        <v>0</v>
      </c>
      <c r="V1761" s="6">
        <f t="shared" si="280"/>
        <v>0</v>
      </c>
      <c r="Y1761" s="8">
        <f t="shared" si="281"/>
        <v>46023</v>
      </c>
    </row>
    <row r="1762" spans="2:25" ht="18.75" x14ac:dyDescent="0.3">
      <c r="B1762" s="6">
        <f t="shared" si="273"/>
        <v>0</v>
      </c>
      <c r="C1762" s="6">
        <f t="shared" si="274"/>
        <v>0</v>
      </c>
      <c r="D1762" s="6" t="str">
        <f t="shared" si="275"/>
        <v/>
      </c>
      <c r="E1762" s="35" t="str">
        <f t="shared" si="272"/>
        <v/>
      </c>
      <c r="F1762" s="31"/>
      <c r="G1762" s="29"/>
      <c r="H1762" s="78" t="str">
        <f t="shared" si="276"/>
        <v/>
      </c>
      <c r="I1762" s="25"/>
      <c r="J1762" s="25"/>
      <c r="K1762" s="26"/>
      <c r="L1762" s="26"/>
      <c r="M1762" s="37"/>
      <c r="N1762" s="27"/>
      <c r="O1762" s="30"/>
      <c r="P1762" s="39" t="str">
        <f t="shared" si="277"/>
        <v/>
      </c>
      <c r="Q1762" s="40" t="str">
        <f>IF(OR(T1762=0,RIGHT(T1762,1)=$W$1),"",COUNTIF($T$3:T1762,T1762))</f>
        <v/>
      </c>
      <c r="S1762" s="6">
        <f t="shared" si="278"/>
        <v>0</v>
      </c>
      <c r="T1762" s="36">
        <f t="shared" si="279"/>
        <v>0</v>
      </c>
      <c r="V1762" s="6">
        <f t="shared" si="280"/>
        <v>0</v>
      </c>
      <c r="Y1762" s="8">
        <f t="shared" si="281"/>
        <v>46023</v>
      </c>
    </row>
    <row r="1763" spans="2:25" ht="18.75" x14ac:dyDescent="0.3">
      <c r="B1763" s="6">
        <f t="shared" si="273"/>
        <v>0</v>
      </c>
      <c r="C1763" s="6">
        <f t="shared" si="274"/>
        <v>0</v>
      </c>
      <c r="D1763" s="6" t="str">
        <f t="shared" si="275"/>
        <v/>
      </c>
      <c r="E1763" s="35" t="str">
        <f t="shared" si="272"/>
        <v/>
      </c>
      <c r="F1763" s="31"/>
      <c r="G1763" s="29"/>
      <c r="H1763" s="78" t="str">
        <f t="shared" si="276"/>
        <v/>
      </c>
      <c r="I1763" s="25"/>
      <c r="J1763" s="25"/>
      <c r="K1763" s="26"/>
      <c r="L1763" s="26"/>
      <c r="M1763" s="37"/>
      <c r="N1763" s="27"/>
      <c r="O1763" s="30"/>
      <c r="P1763" s="39" t="str">
        <f t="shared" si="277"/>
        <v/>
      </c>
      <c r="Q1763" s="40" t="str">
        <f>IF(OR(T1763=0,RIGHT(T1763,1)=$W$1),"",COUNTIF($T$3:T1763,T1763))</f>
        <v/>
      </c>
      <c r="S1763" s="6">
        <f t="shared" si="278"/>
        <v>0</v>
      </c>
      <c r="T1763" s="36">
        <f t="shared" si="279"/>
        <v>0</v>
      </c>
      <c r="V1763" s="6">
        <f t="shared" si="280"/>
        <v>0</v>
      </c>
      <c r="Y1763" s="8">
        <f t="shared" si="281"/>
        <v>46023</v>
      </c>
    </row>
    <row r="1764" spans="2:25" ht="18.75" x14ac:dyDescent="0.3">
      <c r="B1764" s="6">
        <f t="shared" si="273"/>
        <v>0</v>
      </c>
      <c r="C1764" s="6">
        <f t="shared" si="274"/>
        <v>0</v>
      </c>
      <c r="D1764" s="6" t="str">
        <f t="shared" si="275"/>
        <v/>
      </c>
      <c r="E1764" s="35" t="str">
        <f t="shared" si="272"/>
        <v/>
      </c>
      <c r="F1764" s="31"/>
      <c r="G1764" s="29"/>
      <c r="H1764" s="78" t="str">
        <f t="shared" si="276"/>
        <v/>
      </c>
      <c r="I1764" s="25"/>
      <c r="J1764" s="25"/>
      <c r="K1764" s="26"/>
      <c r="L1764" s="26"/>
      <c r="M1764" s="37"/>
      <c r="N1764" s="27"/>
      <c r="O1764" s="30"/>
      <c r="P1764" s="39" t="str">
        <f t="shared" si="277"/>
        <v/>
      </c>
      <c r="Q1764" s="40" t="str">
        <f>IF(OR(T1764=0,RIGHT(T1764,1)=$W$1),"",COUNTIF($T$3:T1764,T1764))</f>
        <v/>
      </c>
      <c r="S1764" s="6">
        <f t="shared" si="278"/>
        <v>0</v>
      </c>
      <c r="T1764" s="36">
        <f t="shared" si="279"/>
        <v>0</v>
      </c>
      <c r="V1764" s="6">
        <f t="shared" si="280"/>
        <v>0</v>
      </c>
      <c r="Y1764" s="8">
        <f t="shared" si="281"/>
        <v>46023</v>
      </c>
    </row>
    <row r="1765" spans="2:25" ht="18.75" x14ac:dyDescent="0.3">
      <c r="B1765" s="6">
        <f t="shared" si="273"/>
        <v>0</v>
      </c>
      <c r="C1765" s="6">
        <f t="shared" si="274"/>
        <v>0</v>
      </c>
      <c r="D1765" s="6" t="str">
        <f t="shared" si="275"/>
        <v/>
      </c>
      <c r="E1765" s="35" t="str">
        <f t="shared" si="272"/>
        <v/>
      </c>
      <c r="F1765" s="31"/>
      <c r="G1765" s="29"/>
      <c r="H1765" s="78" t="str">
        <f t="shared" si="276"/>
        <v/>
      </c>
      <c r="I1765" s="25"/>
      <c r="J1765" s="25"/>
      <c r="K1765" s="26"/>
      <c r="L1765" s="26"/>
      <c r="M1765" s="37"/>
      <c r="N1765" s="27"/>
      <c r="O1765" s="30"/>
      <c r="P1765" s="39" t="str">
        <f t="shared" si="277"/>
        <v/>
      </c>
      <c r="Q1765" s="40" t="str">
        <f>IF(OR(T1765=0,RIGHT(T1765,1)=$W$1),"",COUNTIF($T$3:T1765,T1765))</f>
        <v/>
      </c>
      <c r="S1765" s="6">
        <f t="shared" si="278"/>
        <v>0</v>
      </c>
      <c r="T1765" s="36">
        <f t="shared" si="279"/>
        <v>0</v>
      </c>
      <c r="V1765" s="6">
        <f t="shared" si="280"/>
        <v>0</v>
      </c>
      <c r="Y1765" s="8">
        <f t="shared" si="281"/>
        <v>46023</v>
      </c>
    </row>
    <row r="1766" spans="2:25" ht="18.75" x14ac:dyDescent="0.3">
      <c r="B1766" s="6">
        <f t="shared" si="273"/>
        <v>0</v>
      </c>
      <c r="C1766" s="6">
        <f t="shared" si="274"/>
        <v>0</v>
      </c>
      <c r="D1766" s="6" t="str">
        <f t="shared" si="275"/>
        <v/>
      </c>
      <c r="E1766" s="35" t="str">
        <f t="shared" si="272"/>
        <v/>
      </c>
      <c r="F1766" s="31"/>
      <c r="G1766" s="29"/>
      <c r="H1766" s="78" t="str">
        <f t="shared" si="276"/>
        <v/>
      </c>
      <c r="I1766" s="25"/>
      <c r="J1766" s="25"/>
      <c r="K1766" s="26"/>
      <c r="L1766" s="26"/>
      <c r="M1766" s="37"/>
      <c r="N1766" s="27"/>
      <c r="O1766" s="30"/>
      <c r="P1766" s="39" t="str">
        <f t="shared" si="277"/>
        <v/>
      </c>
      <c r="Q1766" s="40" t="str">
        <f>IF(OR(T1766=0,RIGHT(T1766,1)=$W$1),"",COUNTIF($T$3:T1766,T1766))</f>
        <v/>
      </c>
      <c r="S1766" s="6">
        <f t="shared" si="278"/>
        <v>0</v>
      </c>
      <c r="T1766" s="36">
        <f t="shared" si="279"/>
        <v>0</v>
      </c>
      <c r="V1766" s="6">
        <f t="shared" si="280"/>
        <v>0</v>
      </c>
      <c r="Y1766" s="8">
        <f t="shared" si="281"/>
        <v>46023</v>
      </c>
    </row>
    <row r="1767" spans="2:25" ht="18.75" x14ac:dyDescent="0.3">
      <c r="B1767" s="6">
        <f t="shared" si="273"/>
        <v>0</v>
      </c>
      <c r="C1767" s="6">
        <f t="shared" si="274"/>
        <v>0</v>
      </c>
      <c r="D1767" s="6" t="str">
        <f t="shared" si="275"/>
        <v/>
      </c>
      <c r="E1767" s="35" t="str">
        <f t="shared" si="272"/>
        <v/>
      </c>
      <c r="F1767" s="31"/>
      <c r="G1767" s="29"/>
      <c r="H1767" s="78" t="str">
        <f t="shared" si="276"/>
        <v/>
      </c>
      <c r="I1767" s="25"/>
      <c r="J1767" s="25"/>
      <c r="K1767" s="26"/>
      <c r="L1767" s="26"/>
      <c r="M1767" s="37"/>
      <c r="N1767" s="27"/>
      <c r="O1767" s="30"/>
      <c r="P1767" s="39" t="str">
        <f t="shared" si="277"/>
        <v/>
      </c>
      <c r="Q1767" s="40" t="str">
        <f>IF(OR(T1767=0,RIGHT(T1767,1)=$W$1),"",COUNTIF($T$3:T1767,T1767))</f>
        <v/>
      </c>
      <c r="S1767" s="6">
        <f t="shared" si="278"/>
        <v>0</v>
      </c>
      <c r="T1767" s="36">
        <f t="shared" si="279"/>
        <v>0</v>
      </c>
      <c r="V1767" s="6">
        <f t="shared" si="280"/>
        <v>0</v>
      </c>
      <c r="Y1767" s="8">
        <f t="shared" si="281"/>
        <v>46023</v>
      </c>
    </row>
    <row r="1768" spans="2:25" ht="18.75" x14ac:dyDescent="0.3">
      <c r="B1768" s="6">
        <f t="shared" si="273"/>
        <v>0</v>
      </c>
      <c r="C1768" s="6">
        <f t="shared" si="274"/>
        <v>0</v>
      </c>
      <c r="D1768" s="6" t="str">
        <f t="shared" si="275"/>
        <v/>
      </c>
      <c r="E1768" s="35" t="str">
        <f t="shared" si="272"/>
        <v/>
      </c>
      <c r="F1768" s="31"/>
      <c r="G1768" s="29"/>
      <c r="H1768" s="78" t="str">
        <f t="shared" si="276"/>
        <v/>
      </c>
      <c r="I1768" s="25"/>
      <c r="J1768" s="25"/>
      <c r="K1768" s="26"/>
      <c r="L1768" s="26"/>
      <c r="M1768" s="37"/>
      <c r="N1768" s="27"/>
      <c r="O1768" s="30"/>
      <c r="P1768" s="39" t="str">
        <f t="shared" si="277"/>
        <v/>
      </c>
      <c r="Q1768" s="40" t="str">
        <f>IF(OR(T1768=0,RIGHT(T1768,1)=$W$1),"",COUNTIF($T$3:T1768,T1768))</f>
        <v/>
      </c>
      <c r="S1768" s="6">
        <f t="shared" si="278"/>
        <v>0</v>
      </c>
      <c r="T1768" s="36">
        <f t="shared" si="279"/>
        <v>0</v>
      </c>
      <c r="V1768" s="6">
        <f t="shared" si="280"/>
        <v>0</v>
      </c>
      <c r="Y1768" s="8">
        <f t="shared" si="281"/>
        <v>46023</v>
      </c>
    </row>
    <row r="1769" spans="2:25" ht="18.75" x14ac:dyDescent="0.3">
      <c r="B1769" s="6">
        <f t="shared" si="273"/>
        <v>0</v>
      </c>
      <c r="C1769" s="6">
        <f t="shared" si="274"/>
        <v>0</v>
      </c>
      <c r="D1769" s="6" t="str">
        <f t="shared" si="275"/>
        <v/>
      </c>
      <c r="E1769" s="35" t="str">
        <f t="shared" si="272"/>
        <v/>
      </c>
      <c r="F1769" s="31"/>
      <c r="G1769" s="29"/>
      <c r="H1769" s="78" t="str">
        <f t="shared" si="276"/>
        <v/>
      </c>
      <c r="I1769" s="25"/>
      <c r="J1769" s="25"/>
      <c r="K1769" s="26"/>
      <c r="L1769" s="26"/>
      <c r="M1769" s="37"/>
      <c r="N1769" s="27"/>
      <c r="O1769" s="30"/>
      <c r="P1769" s="39" t="str">
        <f t="shared" si="277"/>
        <v/>
      </c>
      <c r="Q1769" s="40" t="str">
        <f>IF(OR(T1769=0,RIGHT(T1769,1)=$W$1),"",COUNTIF($T$3:T1769,T1769))</f>
        <v/>
      </c>
      <c r="S1769" s="6">
        <f t="shared" si="278"/>
        <v>0</v>
      </c>
      <c r="T1769" s="36">
        <f t="shared" si="279"/>
        <v>0</v>
      </c>
      <c r="V1769" s="6">
        <f t="shared" si="280"/>
        <v>0</v>
      </c>
      <c r="Y1769" s="8">
        <f t="shared" si="281"/>
        <v>46023</v>
      </c>
    </row>
    <row r="1770" spans="2:25" ht="18.75" x14ac:dyDescent="0.3">
      <c r="B1770" s="6">
        <f t="shared" si="273"/>
        <v>0</v>
      </c>
      <c r="C1770" s="6">
        <f t="shared" si="274"/>
        <v>0</v>
      </c>
      <c r="D1770" s="6" t="str">
        <f t="shared" si="275"/>
        <v/>
      </c>
      <c r="E1770" s="35" t="str">
        <f t="shared" si="272"/>
        <v/>
      </c>
      <c r="F1770" s="31"/>
      <c r="G1770" s="29"/>
      <c r="H1770" s="78" t="str">
        <f t="shared" si="276"/>
        <v/>
      </c>
      <c r="I1770" s="25"/>
      <c r="J1770" s="25"/>
      <c r="K1770" s="26"/>
      <c r="L1770" s="26"/>
      <c r="M1770" s="37"/>
      <c r="N1770" s="27"/>
      <c r="O1770" s="30"/>
      <c r="P1770" s="39" t="str">
        <f t="shared" si="277"/>
        <v/>
      </c>
      <c r="Q1770" s="40" t="str">
        <f>IF(OR(T1770=0,RIGHT(T1770,1)=$W$1),"",COUNTIF($T$3:T1770,T1770))</f>
        <v/>
      </c>
      <c r="S1770" s="6">
        <f t="shared" si="278"/>
        <v>0</v>
      </c>
      <c r="T1770" s="36">
        <f t="shared" si="279"/>
        <v>0</v>
      </c>
      <c r="V1770" s="6">
        <f t="shared" si="280"/>
        <v>0</v>
      </c>
      <c r="Y1770" s="8">
        <f t="shared" si="281"/>
        <v>46023</v>
      </c>
    </row>
    <row r="1771" spans="2:25" ht="18.75" x14ac:dyDescent="0.3">
      <c r="B1771" s="6">
        <f t="shared" si="273"/>
        <v>0</v>
      </c>
      <c r="C1771" s="6">
        <f t="shared" si="274"/>
        <v>0</v>
      </c>
      <c r="D1771" s="6" t="str">
        <f t="shared" si="275"/>
        <v/>
      </c>
      <c r="E1771" s="35" t="str">
        <f t="shared" si="272"/>
        <v/>
      </c>
      <c r="F1771" s="31"/>
      <c r="G1771" s="29"/>
      <c r="H1771" s="78" t="str">
        <f t="shared" si="276"/>
        <v/>
      </c>
      <c r="I1771" s="25"/>
      <c r="J1771" s="25"/>
      <c r="K1771" s="26"/>
      <c r="L1771" s="26"/>
      <c r="M1771" s="37"/>
      <c r="N1771" s="27"/>
      <c r="O1771" s="30"/>
      <c r="P1771" s="39" t="str">
        <f t="shared" si="277"/>
        <v/>
      </c>
      <c r="Q1771" s="40" t="str">
        <f>IF(OR(T1771=0,RIGHT(T1771,1)=$W$1),"",COUNTIF($T$3:T1771,T1771))</f>
        <v/>
      </c>
      <c r="S1771" s="6">
        <f t="shared" si="278"/>
        <v>0</v>
      </c>
      <c r="T1771" s="36">
        <f t="shared" si="279"/>
        <v>0</v>
      </c>
      <c r="V1771" s="6">
        <f t="shared" si="280"/>
        <v>0</v>
      </c>
      <c r="Y1771" s="8">
        <f t="shared" si="281"/>
        <v>46023</v>
      </c>
    </row>
    <row r="1772" spans="2:25" ht="18.75" x14ac:dyDescent="0.3">
      <c r="B1772" s="6">
        <f t="shared" si="273"/>
        <v>0</v>
      </c>
      <c r="C1772" s="6">
        <f t="shared" si="274"/>
        <v>0</v>
      </c>
      <c r="D1772" s="6" t="str">
        <f t="shared" si="275"/>
        <v/>
      </c>
      <c r="E1772" s="35" t="str">
        <f t="shared" si="272"/>
        <v/>
      </c>
      <c r="F1772" s="31"/>
      <c r="G1772" s="29"/>
      <c r="H1772" s="78" t="str">
        <f t="shared" si="276"/>
        <v/>
      </c>
      <c r="I1772" s="25"/>
      <c r="J1772" s="25"/>
      <c r="K1772" s="26"/>
      <c r="L1772" s="26"/>
      <c r="M1772" s="37"/>
      <c r="N1772" s="27"/>
      <c r="O1772" s="30"/>
      <c r="P1772" s="39" t="str">
        <f t="shared" si="277"/>
        <v/>
      </c>
      <c r="Q1772" s="40" t="str">
        <f>IF(OR(T1772=0,RIGHT(T1772,1)=$W$1),"",COUNTIF($T$3:T1772,T1772))</f>
        <v/>
      </c>
      <c r="S1772" s="6">
        <f t="shared" si="278"/>
        <v>0</v>
      </c>
      <c r="T1772" s="36">
        <f t="shared" si="279"/>
        <v>0</v>
      </c>
      <c r="V1772" s="6">
        <f t="shared" si="280"/>
        <v>0</v>
      </c>
      <c r="Y1772" s="8">
        <f t="shared" si="281"/>
        <v>46023</v>
      </c>
    </row>
    <row r="1773" spans="2:25" ht="18.75" x14ac:dyDescent="0.3">
      <c r="B1773" s="6">
        <f t="shared" si="273"/>
        <v>0</v>
      </c>
      <c r="C1773" s="6">
        <f t="shared" si="274"/>
        <v>0</v>
      </c>
      <c r="D1773" s="6" t="str">
        <f t="shared" si="275"/>
        <v/>
      </c>
      <c r="E1773" s="35" t="str">
        <f t="shared" si="272"/>
        <v/>
      </c>
      <c r="F1773" s="31"/>
      <c r="G1773" s="29"/>
      <c r="H1773" s="78" t="str">
        <f t="shared" si="276"/>
        <v/>
      </c>
      <c r="I1773" s="25"/>
      <c r="J1773" s="25"/>
      <c r="K1773" s="26"/>
      <c r="L1773" s="26"/>
      <c r="M1773" s="37"/>
      <c r="N1773" s="27"/>
      <c r="O1773" s="30"/>
      <c r="P1773" s="39" t="str">
        <f t="shared" si="277"/>
        <v/>
      </c>
      <c r="Q1773" s="40" t="str">
        <f>IF(OR(T1773=0,RIGHT(T1773,1)=$W$1),"",COUNTIF($T$3:T1773,T1773))</f>
        <v/>
      </c>
      <c r="S1773" s="6">
        <f t="shared" si="278"/>
        <v>0</v>
      </c>
      <c r="T1773" s="36">
        <f t="shared" si="279"/>
        <v>0</v>
      </c>
      <c r="V1773" s="6">
        <f t="shared" si="280"/>
        <v>0</v>
      </c>
      <c r="Y1773" s="8">
        <f t="shared" si="281"/>
        <v>46023</v>
      </c>
    </row>
    <row r="1774" spans="2:25" ht="18.75" x14ac:dyDescent="0.3">
      <c r="B1774" s="6">
        <f t="shared" si="273"/>
        <v>0</v>
      </c>
      <c r="C1774" s="6">
        <f t="shared" si="274"/>
        <v>0</v>
      </c>
      <c r="D1774" s="6" t="str">
        <f t="shared" si="275"/>
        <v/>
      </c>
      <c r="E1774" s="35" t="str">
        <f t="shared" si="272"/>
        <v/>
      </c>
      <c r="F1774" s="31"/>
      <c r="G1774" s="29"/>
      <c r="H1774" s="78" t="str">
        <f t="shared" si="276"/>
        <v/>
      </c>
      <c r="I1774" s="25"/>
      <c r="J1774" s="25"/>
      <c r="K1774" s="26"/>
      <c r="L1774" s="26"/>
      <c r="M1774" s="37"/>
      <c r="N1774" s="27"/>
      <c r="O1774" s="30"/>
      <c r="P1774" s="39" t="str">
        <f t="shared" si="277"/>
        <v/>
      </c>
      <c r="Q1774" s="40" t="str">
        <f>IF(OR(T1774=0,RIGHT(T1774,1)=$W$1),"",COUNTIF($T$3:T1774,T1774))</f>
        <v/>
      </c>
      <c r="S1774" s="6">
        <f t="shared" si="278"/>
        <v>0</v>
      </c>
      <c r="T1774" s="36">
        <f t="shared" si="279"/>
        <v>0</v>
      </c>
      <c r="V1774" s="6">
        <f t="shared" si="280"/>
        <v>0</v>
      </c>
      <c r="Y1774" s="8">
        <f t="shared" si="281"/>
        <v>46023</v>
      </c>
    </row>
    <row r="1775" spans="2:25" ht="18.75" x14ac:dyDescent="0.3">
      <c r="B1775" s="6">
        <f t="shared" si="273"/>
        <v>0</v>
      </c>
      <c r="C1775" s="6">
        <f t="shared" si="274"/>
        <v>0</v>
      </c>
      <c r="D1775" s="6" t="str">
        <f t="shared" si="275"/>
        <v/>
      </c>
      <c r="E1775" s="35" t="str">
        <f t="shared" si="272"/>
        <v/>
      </c>
      <c r="F1775" s="31"/>
      <c r="G1775" s="29"/>
      <c r="H1775" s="78" t="str">
        <f t="shared" si="276"/>
        <v/>
      </c>
      <c r="I1775" s="25"/>
      <c r="J1775" s="25"/>
      <c r="K1775" s="26"/>
      <c r="L1775" s="26"/>
      <c r="M1775" s="37"/>
      <c r="N1775" s="27"/>
      <c r="O1775" s="30"/>
      <c r="P1775" s="39" t="str">
        <f t="shared" si="277"/>
        <v/>
      </c>
      <c r="Q1775" s="40" t="str">
        <f>IF(OR(T1775=0,RIGHT(T1775,1)=$W$1),"",COUNTIF($T$3:T1775,T1775))</f>
        <v/>
      </c>
      <c r="S1775" s="6">
        <f t="shared" si="278"/>
        <v>0</v>
      </c>
      <c r="T1775" s="36">
        <f t="shared" si="279"/>
        <v>0</v>
      </c>
      <c r="V1775" s="6">
        <f t="shared" si="280"/>
        <v>0</v>
      </c>
      <c r="Y1775" s="8">
        <f t="shared" si="281"/>
        <v>46023</v>
      </c>
    </row>
    <row r="1776" spans="2:25" ht="18.75" x14ac:dyDescent="0.3">
      <c r="B1776" s="6">
        <f t="shared" si="273"/>
        <v>0</v>
      </c>
      <c r="C1776" s="6">
        <f t="shared" si="274"/>
        <v>0</v>
      </c>
      <c r="D1776" s="6" t="str">
        <f t="shared" si="275"/>
        <v/>
      </c>
      <c r="E1776" s="35" t="str">
        <f t="shared" si="272"/>
        <v/>
      </c>
      <c r="F1776" s="31"/>
      <c r="G1776" s="29"/>
      <c r="H1776" s="78" t="str">
        <f t="shared" si="276"/>
        <v/>
      </c>
      <c r="I1776" s="25"/>
      <c r="J1776" s="25"/>
      <c r="K1776" s="26"/>
      <c r="L1776" s="26"/>
      <c r="M1776" s="37"/>
      <c r="N1776" s="27"/>
      <c r="O1776" s="30"/>
      <c r="P1776" s="39" t="str">
        <f t="shared" si="277"/>
        <v/>
      </c>
      <c r="Q1776" s="40" t="str">
        <f>IF(OR(T1776=0,RIGHT(T1776,1)=$W$1),"",COUNTIF($T$3:T1776,T1776))</f>
        <v/>
      </c>
      <c r="S1776" s="6">
        <f t="shared" si="278"/>
        <v>0</v>
      </c>
      <c r="T1776" s="36">
        <f t="shared" si="279"/>
        <v>0</v>
      </c>
      <c r="V1776" s="6">
        <f t="shared" si="280"/>
        <v>0</v>
      </c>
      <c r="Y1776" s="8">
        <f t="shared" si="281"/>
        <v>46023</v>
      </c>
    </row>
    <row r="1777" spans="2:25" ht="18.75" x14ac:dyDescent="0.3">
      <c r="B1777" s="6">
        <f t="shared" si="273"/>
        <v>0</v>
      </c>
      <c r="C1777" s="6">
        <f t="shared" si="274"/>
        <v>0</v>
      </c>
      <c r="D1777" s="6" t="str">
        <f t="shared" si="275"/>
        <v/>
      </c>
      <c r="E1777" s="35" t="str">
        <f t="shared" si="272"/>
        <v/>
      </c>
      <c r="F1777" s="31"/>
      <c r="G1777" s="29"/>
      <c r="H1777" s="78" t="str">
        <f t="shared" si="276"/>
        <v/>
      </c>
      <c r="I1777" s="25"/>
      <c r="J1777" s="25"/>
      <c r="K1777" s="26"/>
      <c r="L1777" s="26"/>
      <c r="M1777" s="37"/>
      <c r="N1777" s="27"/>
      <c r="O1777" s="30"/>
      <c r="P1777" s="39" t="str">
        <f t="shared" si="277"/>
        <v/>
      </c>
      <c r="Q1777" s="40" t="str">
        <f>IF(OR(T1777=0,RIGHT(T1777,1)=$W$1),"",COUNTIF($T$3:T1777,T1777))</f>
        <v/>
      </c>
      <c r="S1777" s="6">
        <f t="shared" si="278"/>
        <v>0</v>
      </c>
      <c r="T1777" s="36">
        <f t="shared" si="279"/>
        <v>0</v>
      </c>
      <c r="V1777" s="6">
        <f t="shared" si="280"/>
        <v>0</v>
      </c>
      <c r="Y1777" s="8">
        <f t="shared" si="281"/>
        <v>46023</v>
      </c>
    </row>
    <row r="1778" spans="2:25" ht="18.75" x14ac:dyDescent="0.3">
      <c r="B1778" s="6">
        <f t="shared" si="273"/>
        <v>0</v>
      </c>
      <c r="C1778" s="6">
        <f t="shared" si="274"/>
        <v>0</v>
      </c>
      <c r="D1778" s="6" t="str">
        <f t="shared" si="275"/>
        <v/>
      </c>
      <c r="E1778" s="35" t="str">
        <f t="shared" si="272"/>
        <v/>
      </c>
      <c r="F1778" s="31"/>
      <c r="G1778" s="29"/>
      <c r="H1778" s="78" t="str">
        <f t="shared" si="276"/>
        <v/>
      </c>
      <c r="I1778" s="25"/>
      <c r="J1778" s="25"/>
      <c r="K1778" s="26"/>
      <c r="L1778" s="26"/>
      <c r="M1778" s="37"/>
      <c r="N1778" s="27"/>
      <c r="O1778" s="30"/>
      <c r="P1778" s="39" t="str">
        <f t="shared" si="277"/>
        <v/>
      </c>
      <c r="Q1778" s="40" t="str">
        <f>IF(OR(T1778=0,RIGHT(T1778,1)=$W$1),"",COUNTIF($T$3:T1778,T1778))</f>
        <v/>
      </c>
      <c r="S1778" s="6">
        <f t="shared" si="278"/>
        <v>0</v>
      </c>
      <c r="T1778" s="36">
        <f t="shared" si="279"/>
        <v>0</v>
      </c>
      <c r="V1778" s="6">
        <f t="shared" si="280"/>
        <v>0</v>
      </c>
      <c r="Y1778" s="8">
        <f t="shared" si="281"/>
        <v>46023</v>
      </c>
    </row>
    <row r="1779" spans="2:25" ht="18.75" x14ac:dyDescent="0.3">
      <c r="B1779" s="6">
        <f t="shared" si="273"/>
        <v>0</v>
      </c>
      <c r="C1779" s="6">
        <f t="shared" si="274"/>
        <v>0</v>
      </c>
      <c r="D1779" s="6" t="str">
        <f t="shared" si="275"/>
        <v/>
      </c>
      <c r="E1779" s="35" t="str">
        <f t="shared" si="272"/>
        <v/>
      </c>
      <c r="F1779" s="31"/>
      <c r="G1779" s="29"/>
      <c r="H1779" s="78" t="str">
        <f t="shared" si="276"/>
        <v/>
      </c>
      <c r="I1779" s="25"/>
      <c r="J1779" s="25"/>
      <c r="K1779" s="26"/>
      <c r="L1779" s="26"/>
      <c r="M1779" s="37"/>
      <c r="N1779" s="27"/>
      <c r="O1779" s="30"/>
      <c r="P1779" s="39" t="str">
        <f t="shared" si="277"/>
        <v/>
      </c>
      <c r="Q1779" s="40" t="str">
        <f>IF(OR(T1779=0,RIGHT(T1779,1)=$W$1),"",COUNTIF($T$3:T1779,T1779))</f>
        <v/>
      </c>
      <c r="S1779" s="6">
        <f t="shared" si="278"/>
        <v>0</v>
      </c>
      <c r="T1779" s="36">
        <f t="shared" si="279"/>
        <v>0</v>
      </c>
      <c r="V1779" s="6">
        <f t="shared" si="280"/>
        <v>0</v>
      </c>
      <c r="Y1779" s="8">
        <f t="shared" si="281"/>
        <v>46023</v>
      </c>
    </row>
    <row r="1780" spans="2:25" ht="18.75" x14ac:dyDescent="0.3">
      <c r="B1780" s="6">
        <f t="shared" si="273"/>
        <v>0</v>
      </c>
      <c r="C1780" s="6">
        <f t="shared" si="274"/>
        <v>0</v>
      </c>
      <c r="D1780" s="6" t="str">
        <f t="shared" si="275"/>
        <v/>
      </c>
      <c r="E1780" s="35" t="str">
        <f t="shared" si="272"/>
        <v/>
      </c>
      <c r="F1780" s="31"/>
      <c r="G1780" s="29"/>
      <c r="H1780" s="78" t="str">
        <f t="shared" si="276"/>
        <v/>
      </c>
      <c r="I1780" s="25"/>
      <c r="J1780" s="25"/>
      <c r="K1780" s="26"/>
      <c r="L1780" s="26"/>
      <c r="M1780" s="37"/>
      <c r="N1780" s="27"/>
      <c r="O1780" s="30"/>
      <c r="P1780" s="39" t="str">
        <f t="shared" si="277"/>
        <v/>
      </c>
      <c r="Q1780" s="40" t="str">
        <f>IF(OR(T1780=0,RIGHT(T1780,1)=$W$1),"",COUNTIF($T$3:T1780,T1780))</f>
        <v/>
      </c>
      <c r="S1780" s="6">
        <f t="shared" si="278"/>
        <v>0</v>
      </c>
      <c r="T1780" s="36">
        <f t="shared" si="279"/>
        <v>0</v>
      </c>
      <c r="V1780" s="6">
        <f t="shared" si="280"/>
        <v>0</v>
      </c>
      <c r="Y1780" s="8">
        <f t="shared" si="281"/>
        <v>46023</v>
      </c>
    </row>
    <row r="1781" spans="2:25" ht="18.75" x14ac:dyDescent="0.3">
      <c r="B1781" s="6">
        <f t="shared" si="273"/>
        <v>0</v>
      </c>
      <c r="C1781" s="6">
        <f t="shared" si="274"/>
        <v>0</v>
      </c>
      <c r="D1781" s="6" t="str">
        <f t="shared" si="275"/>
        <v/>
      </c>
      <c r="E1781" s="35" t="str">
        <f t="shared" si="272"/>
        <v/>
      </c>
      <c r="F1781" s="31"/>
      <c r="G1781" s="29"/>
      <c r="H1781" s="78" t="str">
        <f t="shared" si="276"/>
        <v/>
      </c>
      <c r="I1781" s="25"/>
      <c r="J1781" s="25"/>
      <c r="K1781" s="26"/>
      <c r="L1781" s="26"/>
      <c r="M1781" s="37"/>
      <c r="N1781" s="27"/>
      <c r="O1781" s="30"/>
      <c r="P1781" s="39" t="str">
        <f t="shared" si="277"/>
        <v/>
      </c>
      <c r="Q1781" s="40" t="str">
        <f>IF(OR(T1781=0,RIGHT(T1781,1)=$W$1),"",COUNTIF($T$3:T1781,T1781))</f>
        <v/>
      </c>
      <c r="S1781" s="6">
        <f t="shared" si="278"/>
        <v>0</v>
      </c>
      <c r="T1781" s="36">
        <f t="shared" si="279"/>
        <v>0</v>
      </c>
      <c r="V1781" s="6">
        <f t="shared" si="280"/>
        <v>0</v>
      </c>
      <c r="Y1781" s="8">
        <f t="shared" si="281"/>
        <v>46023</v>
      </c>
    </row>
    <row r="1782" spans="2:25" ht="18.75" x14ac:dyDescent="0.3">
      <c r="B1782" s="6">
        <f t="shared" si="273"/>
        <v>0</v>
      </c>
      <c r="C1782" s="6">
        <f t="shared" si="274"/>
        <v>0</v>
      </c>
      <c r="D1782" s="6" t="str">
        <f t="shared" si="275"/>
        <v/>
      </c>
      <c r="E1782" s="35" t="str">
        <f t="shared" si="272"/>
        <v/>
      </c>
      <c r="F1782" s="31"/>
      <c r="G1782" s="29"/>
      <c r="H1782" s="78" t="str">
        <f t="shared" si="276"/>
        <v/>
      </c>
      <c r="I1782" s="25"/>
      <c r="J1782" s="25"/>
      <c r="K1782" s="26"/>
      <c r="L1782" s="26"/>
      <c r="M1782" s="37"/>
      <c r="N1782" s="27"/>
      <c r="O1782" s="30"/>
      <c r="P1782" s="39" t="str">
        <f t="shared" si="277"/>
        <v/>
      </c>
      <c r="Q1782" s="40" t="str">
        <f>IF(OR(T1782=0,RIGHT(T1782,1)=$W$1),"",COUNTIF($T$3:T1782,T1782))</f>
        <v/>
      </c>
      <c r="S1782" s="6">
        <f t="shared" si="278"/>
        <v>0</v>
      </c>
      <c r="T1782" s="36">
        <f t="shared" si="279"/>
        <v>0</v>
      </c>
      <c r="V1782" s="6">
        <f t="shared" si="280"/>
        <v>0</v>
      </c>
      <c r="Y1782" s="8">
        <f t="shared" si="281"/>
        <v>46023</v>
      </c>
    </row>
    <row r="1783" spans="2:25" ht="18.75" x14ac:dyDescent="0.3">
      <c r="B1783" s="6">
        <f t="shared" si="273"/>
        <v>0</v>
      </c>
      <c r="C1783" s="6">
        <f t="shared" si="274"/>
        <v>0</v>
      </c>
      <c r="D1783" s="6" t="str">
        <f t="shared" si="275"/>
        <v/>
      </c>
      <c r="E1783" s="35" t="str">
        <f t="shared" si="272"/>
        <v/>
      </c>
      <c r="F1783" s="31"/>
      <c r="G1783" s="29"/>
      <c r="H1783" s="78" t="str">
        <f t="shared" si="276"/>
        <v/>
      </c>
      <c r="I1783" s="25"/>
      <c r="J1783" s="25"/>
      <c r="K1783" s="26"/>
      <c r="L1783" s="26"/>
      <c r="M1783" s="37"/>
      <c r="N1783" s="27"/>
      <c r="O1783" s="30"/>
      <c r="P1783" s="39" t="str">
        <f t="shared" si="277"/>
        <v/>
      </c>
      <c r="Q1783" s="40" t="str">
        <f>IF(OR(T1783=0,RIGHT(T1783,1)=$W$1),"",COUNTIF($T$3:T1783,T1783))</f>
        <v/>
      </c>
      <c r="S1783" s="6">
        <f t="shared" si="278"/>
        <v>0</v>
      </c>
      <c r="T1783" s="36">
        <f t="shared" si="279"/>
        <v>0</v>
      </c>
      <c r="V1783" s="6">
        <f t="shared" si="280"/>
        <v>0</v>
      </c>
      <c r="Y1783" s="8">
        <f t="shared" si="281"/>
        <v>46023</v>
      </c>
    </row>
    <row r="1784" spans="2:25" ht="18.75" x14ac:dyDescent="0.3">
      <c r="B1784" s="6">
        <f t="shared" si="273"/>
        <v>0</v>
      </c>
      <c r="C1784" s="6">
        <f t="shared" si="274"/>
        <v>0</v>
      </c>
      <c r="D1784" s="6" t="str">
        <f t="shared" si="275"/>
        <v/>
      </c>
      <c r="E1784" s="35" t="str">
        <f t="shared" si="272"/>
        <v/>
      </c>
      <c r="F1784" s="31"/>
      <c r="G1784" s="29"/>
      <c r="H1784" s="78" t="str">
        <f t="shared" si="276"/>
        <v/>
      </c>
      <c r="I1784" s="25"/>
      <c r="J1784" s="25"/>
      <c r="K1784" s="26"/>
      <c r="L1784" s="26"/>
      <c r="M1784" s="37"/>
      <c r="N1784" s="27"/>
      <c r="O1784" s="30"/>
      <c r="P1784" s="39" t="str">
        <f t="shared" si="277"/>
        <v/>
      </c>
      <c r="Q1784" s="40" t="str">
        <f>IF(OR(T1784=0,RIGHT(T1784,1)=$W$1),"",COUNTIF($T$3:T1784,T1784))</f>
        <v/>
      </c>
      <c r="S1784" s="6">
        <f t="shared" si="278"/>
        <v>0</v>
      </c>
      <c r="T1784" s="36">
        <f t="shared" si="279"/>
        <v>0</v>
      </c>
      <c r="V1784" s="6">
        <f t="shared" si="280"/>
        <v>0</v>
      </c>
      <c r="Y1784" s="8">
        <f t="shared" si="281"/>
        <v>46023</v>
      </c>
    </row>
    <row r="1785" spans="2:25" ht="18.75" x14ac:dyDescent="0.3">
      <c r="B1785" s="6">
        <f t="shared" si="273"/>
        <v>0</v>
      </c>
      <c r="C1785" s="6">
        <f t="shared" si="274"/>
        <v>0</v>
      </c>
      <c r="D1785" s="6" t="str">
        <f t="shared" si="275"/>
        <v/>
      </c>
      <c r="E1785" s="35" t="str">
        <f t="shared" si="272"/>
        <v/>
      </c>
      <c r="F1785" s="31"/>
      <c r="G1785" s="29"/>
      <c r="H1785" s="78" t="str">
        <f t="shared" si="276"/>
        <v/>
      </c>
      <c r="I1785" s="25"/>
      <c r="J1785" s="25"/>
      <c r="K1785" s="26"/>
      <c r="L1785" s="26"/>
      <c r="M1785" s="37"/>
      <c r="N1785" s="27"/>
      <c r="O1785" s="30"/>
      <c r="P1785" s="39" t="str">
        <f t="shared" si="277"/>
        <v/>
      </c>
      <c r="Q1785" s="40" t="str">
        <f>IF(OR(T1785=0,RIGHT(T1785,1)=$W$1),"",COUNTIF($T$3:T1785,T1785))</f>
        <v/>
      </c>
      <c r="S1785" s="6">
        <f t="shared" si="278"/>
        <v>0</v>
      </c>
      <c r="T1785" s="36">
        <f t="shared" si="279"/>
        <v>0</v>
      </c>
      <c r="V1785" s="6">
        <f t="shared" si="280"/>
        <v>0</v>
      </c>
      <c r="Y1785" s="8">
        <f t="shared" si="281"/>
        <v>46023</v>
      </c>
    </row>
    <row r="1786" spans="2:25" ht="18.75" x14ac:dyDescent="0.3">
      <c r="B1786" s="6">
        <f t="shared" si="273"/>
        <v>0</v>
      </c>
      <c r="C1786" s="6">
        <f t="shared" si="274"/>
        <v>0</v>
      </c>
      <c r="D1786" s="6" t="str">
        <f t="shared" si="275"/>
        <v/>
      </c>
      <c r="E1786" s="35" t="str">
        <f t="shared" si="272"/>
        <v/>
      </c>
      <c r="F1786" s="31"/>
      <c r="G1786" s="29"/>
      <c r="H1786" s="78" t="str">
        <f t="shared" si="276"/>
        <v/>
      </c>
      <c r="I1786" s="25"/>
      <c r="J1786" s="25"/>
      <c r="K1786" s="26"/>
      <c r="L1786" s="26"/>
      <c r="M1786" s="37"/>
      <c r="N1786" s="27"/>
      <c r="O1786" s="30"/>
      <c r="P1786" s="39" t="str">
        <f t="shared" si="277"/>
        <v/>
      </c>
      <c r="Q1786" s="40" t="str">
        <f>IF(OR(T1786=0,RIGHT(T1786,1)=$W$1),"",COUNTIF($T$3:T1786,T1786))</f>
        <v/>
      </c>
      <c r="S1786" s="6">
        <f t="shared" si="278"/>
        <v>0</v>
      </c>
      <c r="T1786" s="36">
        <f t="shared" si="279"/>
        <v>0</v>
      </c>
      <c r="V1786" s="6">
        <f t="shared" si="280"/>
        <v>0</v>
      </c>
      <c r="Y1786" s="8">
        <f t="shared" si="281"/>
        <v>46023</v>
      </c>
    </row>
    <row r="1787" spans="2:25" ht="18.75" x14ac:dyDescent="0.3">
      <c r="B1787" s="6">
        <f t="shared" si="273"/>
        <v>0</v>
      </c>
      <c r="C1787" s="6">
        <f t="shared" si="274"/>
        <v>0</v>
      </c>
      <c r="D1787" s="6" t="str">
        <f t="shared" si="275"/>
        <v/>
      </c>
      <c r="E1787" s="35" t="str">
        <f t="shared" si="272"/>
        <v/>
      </c>
      <c r="F1787" s="31"/>
      <c r="G1787" s="29"/>
      <c r="H1787" s="78" t="str">
        <f t="shared" si="276"/>
        <v/>
      </c>
      <c r="I1787" s="25"/>
      <c r="J1787" s="25"/>
      <c r="K1787" s="26"/>
      <c r="L1787" s="26"/>
      <c r="M1787" s="37"/>
      <c r="N1787" s="27"/>
      <c r="O1787" s="30"/>
      <c r="P1787" s="39" t="str">
        <f t="shared" si="277"/>
        <v/>
      </c>
      <c r="Q1787" s="40" t="str">
        <f>IF(OR(T1787=0,RIGHT(T1787,1)=$W$1),"",COUNTIF($T$3:T1787,T1787))</f>
        <v/>
      </c>
      <c r="S1787" s="6">
        <f t="shared" si="278"/>
        <v>0</v>
      </c>
      <c r="T1787" s="36">
        <f t="shared" si="279"/>
        <v>0</v>
      </c>
      <c r="V1787" s="6">
        <f t="shared" si="280"/>
        <v>0</v>
      </c>
      <c r="Y1787" s="8">
        <f t="shared" si="281"/>
        <v>46023</v>
      </c>
    </row>
    <row r="1788" spans="2:25" ht="18.75" x14ac:dyDescent="0.3">
      <c r="B1788" s="6">
        <f t="shared" si="273"/>
        <v>0</v>
      </c>
      <c r="C1788" s="6">
        <f t="shared" si="274"/>
        <v>0</v>
      </c>
      <c r="D1788" s="6" t="str">
        <f t="shared" si="275"/>
        <v/>
      </c>
      <c r="E1788" s="35" t="str">
        <f t="shared" si="272"/>
        <v/>
      </c>
      <c r="F1788" s="31"/>
      <c r="G1788" s="29"/>
      <c r="H1788" s="78" t="str">
        <f t="shared" si="276"/>
        <v/>
      </c>
      <c r="I1788" s="25"/>
      <c r="J1788" s="25"/>
      <c r="K1788" s="26"/>
      <c r="L1788" s="26"/>
      <c r="M1788" s="37"/>
      <c r="N1788" s="27"/>
      <c r="O1788" s="30"/>
      <c r="P1788" s="39" t="str">
        <f t="shared" si="277"/>
        <v/>
      </c>
      <c r="Q1788" s="40" t="str">
        <f>IF(OR(T1788=0,RIGHT(T1788,1)=$W$1),"",COUNTIF($T$3:T1788,T1788))</f>
        <v/>
      </c>
      <c r="S1788" s="6">
        <f t="shared" si="278"/>
        <v>0</v>
      </c>
      <c r="T1788" s="36">
        <f t="shared" si="279"/>
        <v>0</v>
      </c>
      <c r="V1788" s="6">
        <f t="shared" si="280"/>
        <v>0</v>
      </c>
      <c r="Y1788" s="8">
        <f t="shared" si="281"/>
        <v>46023</v>
      </c>
    </row>
    <row r="1789" spans="2:25" ht="18.75" x14ac:dyDescent="0.3">
      <c r="B1789" s="6">
        <f t="shared" si="273"/>
        <v>0</v>
      </c>
      <c r="C1789" s="6">
        <f t="shared" si="274"/>
        <v>0</v>
      </c>
      <c r="D1789" s="6" t="str">
        <f t="shared" si="275"/>
        <v/>
      </c>
      <c r="E1789" s="35" t="str">
        <f t="shared" si="272"/>
        <v/>
      </c>
      <c r="F1789" s="31"/>
      <c r="G1789" s="29"/>
      <c r="H1789" s="78" t="str">
        <f t="shared" si="276"/>
        <v/>
      </c>
      <c r="I1789" s="25"/>
      <c r="J1789" s="25"/>
      <c r="K1789" s="26"/>
      <c r="L1789" s="26"/>
      <c r="M1789" s="37"/>
      <c r="N1789" s="27"/>
      <c r="O1789" s="30"/>
      <c r="P1789" s="39" t="str">
        <f t="shared" si="277"/>
        <v/>
      </c>
      <c r="Q1789" s="40" t="str">
        <f>IF(OR(T1789=0,RIGHT(T1789,1)=$W$1),"",COUNTIF($T$3:T1789,T1789))</f>
        <v/>
      </c>
      <c r="S1789" s="6">
        <f t="shared" si="278"/>
        <v>0</v>
      </c>
      <c r="T1789" s="36">
        <f t="shared" si="279"/>
        <v>0</v>
      </c>
      <c r="V1789" s="6">
        <f t="shared" si="280"/>
        <v>0</v>
      </c>
      <c r="Y1789" s="8">
        <f t="shared" si="281"/>
        <v>46023</v>
      </c>
    </row>
    <row r="1790" spans="2:25" ht="18.75" x14ac:dyDescent="0.3">
      <c r="B1790" s="6">
        <f t="shared" si="273"/>
        <v>0</v>
      </c>
      <c r="C1790" s="6">
        <f t="shared" si="274"/>
        <v>0</v>
      </c>
      <c r="D1790" s="6" t="str">
        <f t="shared" si="275"/>
        <v/>
      </c>
      <c r="E1790" s="35" t="str">
        <f t="shared" si="272"/>
        <v/>
      </c>
      <c r="F1790" s="31"/>
      <c r="G1790" s="29"/>
      <c r="H1790" s="78" t="str">
        <f t="shared" si="276"/>
        <v/>
      </c>
      <c r="I1790" s="25"/>
      <c r="J1790" s="25"/>
      <c r="K1790" s="26"/>
      <c r="L1790" s="26"/>
      <c r="M1790" s="37"/>
      <c r="N1790" s="27"/>
      <c r="O1790" s="30"/>
      <c r="P1790" s="39" t="str">
        <f t="shared" si="277"/>
        <v/>
      </c>
      <c r="Q1790" s="40" t="str">
        <f>IF(OR(T1790=0,RIGHT(T1790,1)=$W$1),"",COUNTIF($T$3:T1790,T1790))</f>
        <v/>
      </c>
      <c r="S1790" s="6">
        <f t="shared" si="278"/>
        <v>0</v>
      </c>
      <c r="T1790" s="36">
        <f t="shared" si="279"/>
        <v>0</v>
      </c>
      <c r="V1790" s="6">
        <f t="shared" si="280"/>
        <v>0</v>
      </c>
      <c r="Y1790" s="8">
        <f t="shared" si="281"/>
        <v>46023</v>
      </c>
    </row>
    <row r="1791" spans="2:25" ht="18.75" x14ac:dyDescent="0.3">
      <c r="B1791" s="6">
        <f t="shared" si="273"/>
        <v>0</v>
      </c>
      <c r="C1791" s="6">
        <f t="shared" si="274"/>
        <v>0</v>
      </c>
      <c r="D1791" s="6" t="str">
        <f t="shared" si="275"/>
        <v/>
      </c>
      <c r="E1791" s="35" t="str">
        <f t="shared" si="272"/>
        <v/>
      </c>
      <c r="F1791" s="31"/>
      <c r="G1791" s="29"/>
      <c r="H1791" s="78" t="str">
        <f t="shared" si="276"/>
        <v/>
      </c>
      <c r="I1791" s="25"/>
      <c r="J1791" s="25"/>
      <c r="K1791" s="26"/>
      <c r="L1791" s="26"/>
      <c r="M1791" s="37"/>
      <c r="N1791" s="27"/>
      <c r="O1791" s="30"/>
      <c r="P1791" s="39" t="str">
        <f t="shared" si="277"/>
        <v/>
      </c>
      <c r="Q1791" s="40" t="str">
        <f>IF(OR(T1791=0,RIGHT(T1791,1)=$W$1),"",COUNTIF($T$3:T1791,T1791))</f>
        <v/>
      </c>
      <c r="S1791" s="6">
        <f t="shared" si="278"/>
        <v>0</v>
      </c>
      <c r="T1791" s="36">
        <f t="shared" si="279"/>
        <v>0</v>
      </c>
      <c r="V1791" s="6">
        <f t="shared" si="280"/>
        <v>0</v>
      </c>
      <c r="Y1791" s="8">
        <f t="shared" si="281"/>
        <v>46023</v>
      </c>
    </row>
    <row r="1792" spans="2:25" ht="18.75" x14ac:dyDescent="0.3">
      <c r="B1792" s="6">
        <f t="shared" si="273"/>
        <v>0</v>
      </c>
      <c r="C1792" s="6">
        <f t="shared" si="274"/>
        <v>0</v>
      </c>
      <c r="D1792" s="6" t="str">
        <f t="shared" si="275"/>
        <v/>
      </c>
      <c r="E1792" s="35" t="str">
        <f t="shared" si="272"/>
        <v/>
      </c>
      <c r="F1792" s="31"/>
      <c r="G1792" s="29"/>
      <c r="H1792" s="78" t="str">
        <f t="shared" si="276"/>
        <v/>
      </c>
      <c r="I1792" s="25"/>
      <c r="J1792" s="25"/>
      <c r="K1792" s="26"/>
      <c r="L1792" s="26"/>
      <c r="M1792" s="37"/>
      <c r="N1792" s="27"/>
      <c r="O1792" s="30"/>
      <c r="P1792" s="39" t="str">
        <f t="shared" si="277"/>
        <v/>
      </c>
      <c r="Q1792" s="40" t="str">
        <f>IF(OR(T1792=0,RIGHT(T1792,1)=$W$1),"",COUNTIF($T$3:T1792,T1792))</f>
        <v/>
      </c>
      <c r="S1792" s="6">
        <f t="shared" si="278"/>
        <v>0</v>
      </c>
      <c r="T1792" s="36">
        <f t="shared" si="279"/>
        <v>0</v>
      </c>
      <c r="V1792" s="6">
        <f t="shared" si="280"/>
        <v>0</v>
      </c>
      <c r="Y1792" s="8">
        <f t="shared" si="281"/>
        <v>46023</v>
      </c>
    </row>
    <row r="1793" spans="2:25" ht="18.75" x14ac:dyDescent="0.3">
      <c r="B1793" s="6">
        <f t="shared" si="273"/>
        <v>0</v>
      </c>
      <c r="C1793" s="6">
        <f t="shared" si="274"/>
        <v>0</v>
      </c>
      <c r="D1793" s="6" t="str">
        <f t="shared" si="275"/>
        <v/>
      </c>
      <c r="E1793" s="35" t="str">
        <f t="shared" si="272"/>
        <v/>
      </c>
      <c r="F1793" s="31"/>
      <c r="G1793" s="29"/>
      <c r="H1793" s="78" t="str">
        <f t="shared" si="276"/>
        <v/>
      </c>
      <c r="I1793" s="25"/>
      <c r="J1793" s="25"/>
      <c r="K1793" s="26"/>
      <c r="L1793" s="26"/>
      <c r="M1793" s="37"/>
      <c r="N1793" s="27"/>
      <c r="O1793" s="30"/>
      <c r="P1793" s="39" t="str">
        <f t="shared" si="277"/>
        <v/>
      </c>
      <c r="Q1793" s="40" t="str">
        <f>IF(OR(T1793=0,RIGHT(T1793,1)=$W$1),"",COUNTIF($T$3:T1793,T1793))</f>
        <v/>
      </c>
      <c r="S1793" s="6">
        <f t="shared" si="278"/>
        <v>0</v>
      </c>
      <c r="T1793" s="36">
        <f t="shared" si="279"/>
        <v>0</v>
      </c>
      <c r="V1793" s="6">
        <f t="shared" si="280"/>
        <v>0</v>
      </c>
      <c r="Y1793" s="8">
        <f t="shared" si="281"/>
        <v>46023</v>
      </c>
    </row>
    <row r="1794" spans="2:25" ht="18.75" x14ac:dyDescent="0.3">
      <c r="B1794" s="6">
        <f t="shared" si="273"/>
        <v>0</v>
      </c>
      <c r="C1794" s="6">
        <f t="shared" si="274"/>
        <v>0</v>
      </c>
      <c r="D1794" s="6" t="str">
        <f t="shared" si="275"/>
        <v/>
      </c>
      <c r="E1794" s="35" t="str">
        <f t="shared" si="272"/>
        <v/>
      </c>
      <c r="F1794" s="31"/>
      <c r="G1794" s="29"/>
      <c r="H1794" s="78" t="str">
        <f t="shared" si="276"/>
        <v/>
      </c>
      <c r="I1794" s="25"/>
      <c r="J1794" s="25"/>
      <c r="K1794" s="26"/>
      <c r="L1794" s="26"/>
      <c r="M1794" s="37"/>
      <c r="N1794" s="27"/>
      <c r="O1794" s="30"/>
      <c r="P1794" s="39" t="str">
        <f t="shared" si="277"/>
        <v/>
      </c>
      <c r="Q1794" s="40" t="str">
        <f>IF(OR(T1794=0,RIGHT(T1794,1)=$W$1),"",COUNTIF($T$3:T1794,T1794))</f>
        <v/>
      </c>
      <c r="S1794" s="6">
        <f t="shared" si="278"/>
        <v>0</v>
      </c>
      <c r="T1794" s="36">
        <f t="shared" si="279"/>
        <v>0</v>
      </c>
      <c r="V1794" s="6">
        <f t="shared" si="280"/>
        <v>0</v>
      </c>
      <c r="Y1794" s="8">
        <f t="shared" si="281"/>
        <v>46023</v>
      </c>
    </row>
    <row r="1795" spans="2:25" ht="18.75" x14ac:dyDescent="0.3">
      <c r="B1795" s="6">
        <f t="shared" si="273"/>
        <v>0</v>
      </c>
      <c r="C1795" s="6">
        <f t="shared" si="274"/>
        <v>0</v>
      </c>
      <c r="D1795" s="6" t="str">
        <f t="shared" si="275"/>
        <v/>
      </c>
      <c r="E1795" s="35" t="str">
        <f t="shared" ref="E1795:E1858" si="282">IF(D1795&lt;&gt;"",D1795&amp;" - "&amp;YEAR(F1795),"")</f>
        <v/>
      </c>
      <c r="F1795" s="31"/>
      <c r="G1795" s="29"/>
      <c r="H1795" s="78" t="str">
        <f t="shared" si="276"/>
        <v/>
      </c>
      <c r="I1795" s="25"/>
      <c r="J1795" s="25"/>
      <c r="K1795" s="26"/>
      <c r="L1795" s="26"/>
      <c r="M1795" s="37"/>
      <c r="N1795" s="27"/>
      <c r="O1795" s="30"/>
      <c r="P1795" s="39" t="str">
        <f t="shared" si="277"/>
        <v/>
      </c>
      <c r="Q1795" s="40" t="str">
        <f>IF(OR(T1795=0,RIGHT(T1795,1)=$W$1),"",COUNTIF($T$3:T1795,T1795))</f>
        <v/>
      </c>
      <c r="S1795" s="6">
        <f t="shared" si="278"/>
        <v>0</v>
      </c>
      <c r="T1795" s="36">
        <f t="shared" si="279"/>
        <v>0</v>
      </c>
      <c r="V1795" s="6">
        <f t="shared" si="280"/>
        <v>0</v>
      </c>
      <c r="Y1795" s="8">
        <f t="shared" si="281"/>
        <v>46023</v>
      </c>
    </row>
    <row r="1796" spans="2:25" ht="18.75" x14ac:dyDescent="0.3">
      <c r="B1796" s="6">
        <f t="shared" ref="B1796:B1859" si="283">IF($B$1=YEAR(F1796),B1795+1,B1795)</f>
        <v>0</v>
      </c>
      <c r="C1796" s="6">
        <f t="shared" ref="C1796:C1859" si="284">IF(AND($C$1=K1796,$Y$1=YEAR(F1796)),C1795+1,C1795)</f>
        <v>0</v>
      </c>
      <c r="D1796" s="6" t="str">
        <f t="shared" ref="D1796:D1859" si="285">IF(F1796&lt;&gt;0,IF(YEAR(F1796)&lt;&gt;YEAR(F1795),1,IF(M1796=$AI$1,D1795,D1795+1)),"")</f>
        <v/>
      </c>
      <c r="E1796" s="35" t="str">
        <f t="shared" si="282"/>
        <v/>
      </c>
      <c r="F1796" s="31"/>
      <c r="G1796" s="29"/>
      <c r="H1796" s="78" t="str">
        <f t="shared" ref="H1796:H1859" si="286">IF(G1796&lt;&gt;"",F1796,"")</f>
        <v/>
      </c>
      <c r="I1796" s="25"/>
      <c r="J1796" s="25"/>
      <c r="K1796" s="26"/>
      <c r="L1796" s="26"/>
      <c r="M1796" s="37"/>
      <c r="N1796" s="27"/>
      <c r="O1796" s="30"/>
      <c r="P1796" s="39" t="str">
        <f t="shared" ref="P1796:P1859" si="287">IF(OR(T1796=0,RIGHT(T1796,1)=$W$1),"",VLOOKUP(K1796,$AD$1:$AK$15,5,FALSE))</f>
        <v/>
      </c>
      <c r="Q1796" s="40" t="str">
        <f>IF(OR(T1796=0,RIGHT(T1796,1)=$W$1),"",COUNTIF($T$3:T1796,T1796))</f>
        <v/>
      </c>
      <c r="S1796" s="6">
        <f t="shared" ref="S1796:S1859" si="288">IF(AND($C$1=K1796,$Y$1=YEAR(F1796)),C1796,0)</f>
        <v>0</v>
      </c>
      <c r="T1796" s="36">
        <f t="shared" ref="T1796:T1859" si="289">IF(F1796=0,0,YEAR(F1796)&amp;VLOOKUP(K1796,$AD$1:$AE$15,2,FALSE))</f>
        <v>0</v>
      </c>
      <c r="V1796" s="6">
        <f t="shared" ref="V1796:V1859" si="290">IF(AND(YEAR(F1796)=$Y$1,K1796=$C$1,L1796&amp;$V$1&lt;&gt;$V$1),L1796,IF(AND(YEAR(F1796)=$Y$1,K1796=$C$1),1,0))</f>
        <v>0</v>
      </c>
      <c r="Y1796" s="8">
        <f t="shared" ref="Y1796:Y1859" si="291">IF(M1796&lt;&gt;$AI$1,$Y$2,F1795)</f>
        <v>46023</v>
      </c>
    </row>
    <row r="1797" spans="2:25" ht="18.75" x14ac:dyDescent="0.3">
      <c r="B1797" s="6">
        <f t="shared" si="283"/>
        <v>0</v>
      </c>
      <c r="C1797" s="6">
        <f t="shared" si="284"/>
        <v>0</v>
      </c>
      <c r="D1797" s="6" t="str">
        <f t="shared" si="285"/>
        <v/>
      </c>
      <c r="E1797" s="35" t="str">
        <f t="shared" si="282"/>
        <v/>
      </c>
      <c r="F1797" s="31"/>
      <c r="G1797" s="29"/>
      <c r="H1797" s="78" t="str">
        <f t="shared" si="286"/>
        <v/>
      </c>
      <c r="I1797" s="25"/>
      <c r="J1797" s="25"/>
      <c r="K1797" s="26"/>
      <c r="L1797" s="26"/>
      <c r="M1797" s="37"/>
      <c r="N1797" s="27"/>
      <c r="O1797" s="30"/>
      <c r="P1797" s="39" t="str">
        <f t="shared" si="287"/>
        <v/>
      </c>
      <c r="Q1797" s="40" t="str">
        <f>IF(OR(T1797=0,RIGHT(T1797,1)=$W$1),"",COUNTIF($T$3:T1797,T1797))</f>
        <v/>
      </c>
      <c r="S1797" s="6">
        <f t="shared" si="288"/>
        <v>0</v>
      </c>
      <c r="T1797" s="36">
        <f t="shared" si="289"/>
        <v>0</v>
      </c>
      <c r="V1797" s="6">
        <f t="shared" si="290"/>
        <v>0</v>
      </c>
      <c r="Y1797" s="8">
        <f t="shared" si="291"/>
        <v>46023</v>
      </c>
    </row>
    <row r="1798" spans="2:25" ht="18.75" x14ac:dyDescent="0.3">
      <c r="B1798" s="6">
        <f t="shared" si="283"/>
        <v>0</v>
      </c>
      <c r="C1798" s="6">
        <f t="shared" si="284"/>
        <v>0</v>
      </c>
      <c r="D1798" s="6" t="str">
        <f t="shared" si="285"/>
        <v/>
      </c>
      <c r="E1798" s="35" t="str">
        <f t="shared" si="282"/>
        <v/>
      </c>
      <c r="F1798" s="31"/>
      <c r="G1798" s="29"/>
      <c r="H1798" s="78" t="str">
        <f t="shared" si="286"/>
        <v/>
      </c>
      <c r="I1798" s="25"/>
      <c r="J1798" s="25"/>
      <c r="K1798" s="26"/>
      <c r="L1798" s="26"/>
      <c r="M1798" s="37"/>
      <c r="N1798" s="27"/>
      <c r="O1798" s="30"/>
      <c r="P1798" s="39" t="str">
        <f t="shared" si="287"/>
        <v/>
      </c>
      <c r="Q1798" s="40" t="str">
        <f>IF(OR(T1798=0,RIGHT(T1798,1)=$W$1),"",COUNTIF($T$3:T1798,T1798))</f>
        <v/>
      </c>
      <c r="S1798" s="6">
        <f t="shared" si="288"/>
        <v>0</v>
      </c>
      <c r="T1798" s="36">
        <f t="shared" si="289"/>
        <v>0</v>
      </c>
      <c r="V1798" s="6">
        <f t="shared" si="290"/>
        <v>0</v>
      </c>
      <c r="Y1798" s="8">
        <f t="shared" si="291"/>
        <v>46023</v>
      </c>
    </row>
    <row r="1799" spans="2:25" ht="18.75" x14ac:dyDescent="0.3">
      <c r="B1799" s="6">
        <f t="shared" si="283"/>
        <v>0</v>
      </c>
      <c r="C1799" s="6">
        <f t="shared" si="284"/>
        <v>0</v>
      </c>
      <c r="D1799" s="6" t="str">
        <f t="shared" si="285"/>
        <v/>
      </c>
      <c r="E1799" s="35" t="str">
        <f t="shared" si="282"/>
        <v/>
      </c>
      <c r="F1799" s="31"/>
      <c r="G1799" s="29"/>
      <c r="H1799" s="78" t="str">
        <f t="shared" si="286"/>
        <v/>
      </c>
      <c r="I1799" s="25"/>
      <c r="J1799" s="25"/>
      <c r="K1799" s="26"/>
      <c r="L1799" s="26"/>
      <c r="M1799" s="37"/>
      <c r="N1799" s="27"/>
      <c r="O1799" s="30"/>
      <c r="P1799" s="39" t="str">
        <f t="shared" si="287"/>
        <v/>
      </c>
      <c r="Q1799" s="40" t="str">
        <f>IF(OR(T1799=0,RIGHT(T1799,1)=$W$1),"",COUNTIF($T$3:T1799,T1799))</f>
        <v/>
      </c>
      <c r="S1799" s="6">
        <f t="shared" si="288"/>
        <v>0</v>
      </c>
      <c r="T1799" s="36">
        <f t="shared" si="289"/>
        <v>0</v>
      </c>
      <c r="V1799" s="6">
        <f t="shared" si="290"/>
        <v>0</v>
      </c>
      <c r="Y1799" s="8">
        <f t="shared" si="291"/>
        <v>46023</v>
      </c>
    </row>
    <row r="1800" spans="2:25" ht="18.75" x14ac:dyDescent="0.3">
      <c r="B1800" s="6">
        <f t="shared" si="283"/>
        <v>0</v>
      </c>
      <c r="C1800" s="6">
        <f t="shared" si="284"/>
        <v>0</v>
      </c>
      <c r="D1800" s="6" t="str">
        <f t="shared" si="285"/>
        <v/>
      </c>
      <c r="E1800" s="35" t="str">
        <f t="shared" si="282"/>
        <v/>
      </c>
      <c r="F1800" s="31"/>
      <c r="G1800" s="29"/>
      <c r="H1800" s="78" t="str">
        <f t="shared" si="286"/>
        <v/>
      </c>
      <c r="I1800" s="25"/>
      <c r="J1800" s="25"/>
      <c r="K1800" s="26"/>
      <c r="L1800" s="26"/>
      <c r="M1800" s="37"/>
      <c r="N1800" s="27"/>
      <c r="O1800" s="30"/>
      <c r="P1800" s="39" t="str">
        <f t="shared" si="287"/>
        <v/>
      </c>
      <c r="Q1800" s="40" t="str">
        <f>IF(OR(T1800=0,RIGHT(T1800,1)=$W$1),"",COUNTIF($T$3:T1800,T1800))</f>
        <v/>
      </c>
      <c r="S1800" s="6">
        <f t="shared" si="288"/>
        <v>0</v>
      </c>
      <c r="T1800" s="36">
        <f t="shared" si="289"/>
        <v>0</v>
      </c>
      <c r="V1800" s="6">
        <f t="shared" si="290"/>
        <v>0</v>
      </c>
      <c r="Y1800" s="8">
        <f t="shared" si="291"/>
        <v>46023</v>
      </c>
    </row>
    <row r="1801" spans="2:25" ht="18.75" x14ac:dyDescent="0.3">
      <c r="B1801" s="6">
        <f t="shared" si="283"/>
        <v>0</v>
      </c>
      <c r="C1801" s="6">
        <f t="shared" si="284"/>
        <v>0</v>
      </c>
      <c r="D1801" s="6" t="str">
        <f t="shared" si="285"/>
        <v/>
      </c>
      <c r="E1801" s="35" t="str">
        <f t="shared" si="282"/>
        <v/>
      </c>
      <c r="F1801" s="31"/>
      <c r="G1801" s="29"/>
      <c r="H1801" s="78" t="str">
        <f t="shared" si="286"/>
        <v/>
      </c>
      <c r="I1801" s="25"/>
      <c r="J1801" s="25"/>
      <c r="K1801" s="26"/>
      <c r="L1801" s="26"/>
      <c r="M1801" s="37"/>
      <c r="N1801" s="27"/>
      <c r="O1801" s="30"/>
      <c r="P1801" s="39" t="str">
        <f t="shared" si="287"/>
        <v/>
      </c>
      <c r="Q1801" s="40" t="str">
        <f>IF(OR(T1801=0,RIGHT(T1801,1)=$W$1),"",COUNTIF($T$3:T1801,T1801))</f>
        <v/>
      </c>
      <c r="S1801" s="6">
        <f t="shared" si="288"/>
        <v>0</v>
      </c>
      <c r="T1801" s="36">
        <f t="shared" si="289"/>
        <v>0</v>
      </c>
      <c r="V1801" s="6">
        <f t="shared" si="290"/>
        <v>0</v>
      </c>
      <c r="Y1801" s="8">
        <f t="shared" si="291"/>
        <v>46023</v>
      </c>
    </row>
    <row r="1802" spans="2:25" ht="18.75" x14ac:dyDescent="0.3">
      <c r="B1802" s="6">
        <f t="shared" si="283"/>
        <v>0</v>
      </c>
      <c r="C1802" s="6">
        <f t="shared" si="284"/>
        <v>0</v>
      </c>
      <c r="D1802" s="6" t="str">
        <f t="shared" si="285"/>
        <v/>
      </c>
      <c r="E1802" s="35" t="str">
        <f t="shared" si="282"/>
        <v/>
      </c>
      <c r="F1802" s="31"/>
      <c r="G1802" s="29"/>
      <c r="H1802" s="78" t="str">
        <f t="shared" si="286"/>
        <v/>
      </c>
      <c r="I1802" s="25"/>
      <c r="J1802" s="25"/>
      <c r="K1802" s="26"/>
      <c r="L1802" s="26"/>
      <c r="M1802" s="37"/>
      <c r="N1802" s="27"/>
      <c r="O1802" s="30"/>
      <c r="P1802" s="39" t="str">
        <f t="shared" si="287"/>
        <v/>
      </c>
      <c r="Q1802" s="40" t="str">
        <f>IF(OR(T1802=0,RIGHT(T1802,1)=$W$1),"",COUNTIF($T$3:T1802,T1802))</f>
        <v/>
      </c>
      <c r="S1802" s="6">
        <f t="shared" si="288"/>
        <v>0</v>
      </c>
      <c r="T1802" s="36">
        <f t="shared" si="289"/>
        <v>0</v>
      </c>
      <c r="V1802" s="6">
        <f t="shared" si="290"/>
        <v>0</v>
      </c>
      <c r="Y1802" s="8">
        <f t="shared" si="291"/>
        <v>46023</v>
      </c>
    </row>
    <row r="1803" spans="2:25" ht="18.75" x14ac:dyDescent="0.3">
      <c r="B1803" s="6">
        <f t="shared" si="283"/>
        <v>0</v>
      </c>
      <c r="C1803" s="6">
        <f t="shared" si="284"/>
        <v>0</v>
      </c>
      <c r="D1803" s="6" t="str">
        <f t="shared" si="285"/>
        <v/>
      </c>
      <c r="E1803" s="35" t="str">
        <f t="shared" si="282"/>
        <v/>
      </c>
      <c r="F1803" s="31"/>
      <c r="G1803" s="29"/>
      <c r="H1803" s="78" t="str">
        <f t="shared" si="286"/>
        <v/>
      </c>
      <c r="I1803" s="25"/>
      <c r="J1803" s="25"/>
      <c r="K1803" s="26"/>
      <c r="L1803" s="26"/>
      <c r="M1803" s="37"/>
      <c r="N1803" s="27"/>
      <c r="O1803" s="30"/>
      <c r="P1803" s="39" t="str">
        <f t="shared" si="287"/>
        <v/>
      </c>
      <c r="Q1803" s="40" t="str">
        <f>IF(OR(T1803=0,RIGHT(T1803,1)=$W$1),"",COUNTIF($T$3:T1803,T1803))</f>
        <v/>
      </c>
      <c r="S1803" s="6">
        <f t="shared" si="288"/>
        <v>0</v>
      </c>
      <c r="T1803" s="36">
        <f t="shared" si="289"/>
        <v>0</v>
      </c>
      <c r="V1803" s="6">
        <f t="shared" si="290"/>
        <v>0</v>
      </c>
      <c r="Y1803" s="8">
        <f t="shared" si="291"/>
        <v>46023</v>
      </c>
    </row>
    <row r="1804" spans="2:25" ht="18.75" x14ac:dyDescent="0.3">
      <c r="B1804" s="6">
        <f t="shared" si="283"/>
        <v>0</v>
      </c>
      <c r="C1804" s="6">
        <f t="shared" si="284"/>
        <v>0</v>
      </c>
      <c r="D1804" s="6" t="str">
        <f t="shared" si="285"/>
        <v/>
      </c>
      <c r="E1804" s="35" t="str">
        <f t="shared" si="282"/>
        <v/>
      </c>
      <c r="F1804" s="31"/>
      <c r="G1804" s="29"/>
      <c r="H1804" s="78" t="str">
        <f t="shared" si="286"/>
        <v/>
      </c>
      <c r="I1804" s="25"/>
      <c r="J1804" s="25"/>
      <c r="K1804" s="26"/>
      <c r="L1804" s="26"/>
      <c r="M1804" s="37"/>
      <c r="N1804" s="27"/>
      <c r="O1804" s="30"/>
      <c r="P1804" s="39" t="str">
        <f t="shared" si="287"/>
        <v/>
      </c>
      <c r="Q1804" s="40" t="str">
        <f>IF(OR(T1804=0,RIGHT(T1804,1)=$W$1),"",COUNTIF($T$3:T1804,T1804))</f>
        <v/>
      </c>
      <c r="S1804" s="6">
        <f t="shared" si="288"/>
        <v>0</v>
      </c>
      <c r="T1804" s="36">
        <f t="shared" si="289"/>
        <v>0</v>
      </c>
      <c r="V1804" s="6">
        <f t="shared" si="290"/>
        <v>0</v>
      </c>
      <c r="Y1804" s="8">
        <f t="shared" si="291"/>
        <v>46023</v>
      </c>
    </row>
    <row r="1805" spans="2:25" ht="18.75" x14ac:dyDescent="0.3">
      <c r="B1805" s="6">
        <f t="shared" si="283"/>
        <v>0</v>
      </c>
      <c r="C1805" s="6">
        <f t="shared" si="284"/>
        <v>0</v>
      </c>
      <c r="D1805" s="6" t="str">
        <f t="shared" si="285"/>
        <v/>
      </c>
      <c r="E1805" s="35" t="str">
        <f t="shared" si="282"/>
        <v/>
      </c>
      <c r="F1805" s="31"/>
      <c r="G1805" s="29"/>
      <c r="H1805" s="78" t="str">
        <f t="shared" si="286"/>
        <v/>
      </c>
      <c r="I1805" s="25"/>
      <c r="J1805" s="25"/>
      <c r="K1805" s="26"/>
      <c r="L1805" s="26"/>
      <c r="M1805" s="37"/>
      <c r="N1805" s="27"/>
      <c r="O1805" s="30"/>
      <c r="P1805" s="39" t="str">
        <f t="shared" si="287"/>
        <v/>
      </c>
      <c r="Q1805" s="40" t="str">
        <f>IF(OR(T1805=0,RIGHT(T1805,1)=$W$1),"",COUNTIF($T$3:T1805,T1805))</f>
        <v/>
      </c>
      <c r="S1805" s="6">
        <f t="shared" si="288"/>
        <v>0</v>
      </c>
      <c r="T1805" s="36">
        <f t="shared" si="289"/>
        <v>0</v>
      </c>
      <c r="V1805" s="6">
        <f t="shared" si="290"/>
        <v>0</v>
      </c>
      <c r="Y1805" s="8">
        <f t="shared" si="291"/>
        <v>46023</v>
      </c>
    </row>
    <row r="1806" spans="2:25" ht="18.75" x14ac:dyDescent="0.3">
      <c r="B1806" s="6">
        <f t="shared" si="283"/>
        <v>0</v>
      </c>
      <c r="C1806" s="6">
        <f t="shared" si="284"/>
        <v>0</v>
      </c>
      <c r="D1806" s="6" t="str">
        <f t="shared" si="285"/>
        <v/>
      </c>
      <c r="E1806" s="35" t="str">
        <f t="shared" si="282"/>
        <v/>
      </c>
      <c r="F1806" s="31"/>
      <c r="G1806" s="29"/>
      <c r="H1806" s="78" t="str">
        <f t="shared" si="286"/>
        <v/>
      </c>
      <c r="I1806" s="25"/>
      <c r="J1806" s="25"/>
      <c r="K1806" s="26"/>
      <c r="L1806" s="26"/>
      <c r="M1806" s="37"/>
      <c r="N1806" s="27"/>
      <c r="O1806" s="30"/>
      <c r="P1806" s="39" t="str">
        <f t="shared" si="287"/>
        <v/>
      </c>
      <c r="Q1806" s="40" t="str">
        <f>IF(OR(T1806=0,RIGHT(T1806,1)=$W$1),"",COUNTIF($T$3:T1806,T1806))</f>
        <v/>
      </c>
      <c r="S1806" s="6">
        <f t="shared" si="288"/>
        <v>0</v>
      </c>
      <c r="T1806" s="36">
        <f t="shared" si="289"/>
        <v>0</v>
      </c>
      <c r="V1806" s="6">
        <f t="shared" si="290"/>
        <v>0</v>
      </c>
      <c r="Y1806" s="8">
        <f t="shared" si="291"/>
        <v>46023</v>
      </c>
    </row>
    <row r="1807" spans="2:25" ht="18.75" x14ac:dyDescent="0.3">
      <c r="B1807" s="6">
        <f t="shared" si="283"/>
        <v>0</v>
      </c>
      <c r="C1807" s="6">
        <f t="shared" si="284"/>
        <v>0</v>
      </c>
      <c r="D1807" s="6" t="str">
        <f t="shared" si="285"/>
        <v/>
      </c>
      <c r="E1807" s="35" t="str">
        <f t="shared" si="282"/>
        <v/>
      </c>
      <c r="F1807" s="31"/>
      <c r="G1807" s="29"/>
      <c r="H1807" s="78" t="str">
        <f t="shared" si="286"/>
        <v/>
      </c>
      <c r="I1807" s="25"/>
      <c r="J1807" s="25"/>
      <c r="K1807" s="26"/>
      <c r="L1807" s="26"/>
      <c r="M1807" s="37"/>
      <c r="N1807" s="27"/>
      <c r="O1807" s="30"/>
      <c r="P1807" s="39" t="str">
        <f t="shared" si="287"/>
        <v/>
      </c>
      <c r="Q1807" s="40" t="str">
        <f>IF(OR(T1807=0,RIGHT(T1807,1)=$W$1),"",COUNTIF($T$3:T1807,T1807))</f>
        <v/>
      </c>
      <c r="S1807" s="6">
        <f t="shared" si="288"/>
        <v>0</v>
      </c>
      <c r="T1807" s="36">
        <f t="shared" si="289"/>
        <v>0</v>
      </c>
      <c r="V1807" s="6">
        <f t="shared" si="290"/>
        <v>0</v>
      </c>
      <c r="Y1807" s="8">
        <f t="shared" si="291"/>
        <v>46023</v>
      </c>
    </row>
    <row r="1808" spans="2:25" ht="18.75" x14ac:dyDescent="0.3">
      <c r="B1808" s="6">
        <f t="shared" si="283"/>
        <v>0</v>
      </c>
      <c r="C1808" s="6">
        <f t="shared" si="284"/>
        <v>0</v>
      </c>
      <c r="D1808" s="6" t="str">
        <f t="shared" si="285"/>
        <v/>
      </c>
      <c r="E1808" s="35" t="str">
        <f t="shared" si="282"/>
        <v/>
      </c>
      <c r="F1808" s="31"/>
      <c r="G1808" s="29"/>
      <c r="H1808" s="78" t="str">
        <f t="shared" si="286"/>
        <v/>
      </c>
      <c r="I1808" s="25"/>
      <c r="J1808" s="25"/>
      <c r="K1808" s="26"/>
      <c r="L1808" s="26"/>
      <c r="M1808" s="37"/>
      <c r="N1808" s="27"/>
      <c r="O1808" s="30"/>
      <c r="P1808" s="39" t="str">
        <f t="shared" si="287"/>
        <v/>
      </c>
      <c r="Q1808" s="40" t="str">
        <f>IF(OR(T1808=0,RIGHT(T1808,1)=$W$1),"",COUNTIF($T$3:T1808,T1808))</f>
        <v/>
      </c>
      <c r="S1808" s="6">
        <f t="shared" si="288"/>
        <v>0</v>
      </c>
      <c r="T1808" s="36">
        <f t="shared" si="289"/>
        <v>0</v>
      </c>
      <c r="V1808" s="6">
        <f t="shared" si="290"/>
        <v>0</v>
      </c>
      <c r="Y1808" s="8">
        <f t="shared" si="291"/>
        <v>46023</v>
      </c>
    </row>
    <row r="1809" spans="2:25" ht="18.75" x14ac:dyDescent="0.3">
      <c r="B1809" s="6">
        <f t="shared" si="283"/>
        <v>0</v>
      </c>
      <c r="C1809" s="6">
        <f t="shared" si="284"/>
        <v>0</v>
      </c>
      <c r="D1809" s="6" t="str">
        <f t="shared" si="285"/>
        <v/>
      </c>
      <c r="E1809" s="35" t="str">
        <f t="shared" si="282"/>
        <v/>
      </c>
      <c r="F1809" s="31"/>
      <c r="G1809" s="29"/>
      <c r="H1809" s="78" t="str">
        <f t="shared" si="286"/>
        <v/>
      </c>
      <c r="I1809" s="25"/>
      <c r="J1809" s="25"/>
      <c r="K1809" s="26"/>
      <c r="L1809" s="26"/>
      <c r="M1809" s="37"/>
      <c r="N1809" s="27"/>
      <c r="O1809" s="30"/>
      <c r="P1809" s="39" t="str">
        <f t="shared" si="287"/>
        <v/>
      </c>
      <c r="Q1809" s="40" t="str">
        <f>IF(OR(T1809=0,RIGHT(T1809,1)=$W$1),"",COUNTIF($T$3:T1809,T1809))</f>
        <v/>
      </c>
      <c r="S1809" s="6">
        <f t="shared" si="288"/>
        <v>0</v>
      </c>
      <c r="T1809" s="36">
        <f t="shared" si="289"/>
        <v>0</v>
      </c>
      <c r="V1809" s="6">
        <f t="shared" si="290"/>
        <v>0</v>
      </c>
      <c r="Y1809" s="8">
        <f t="shared" si="291"/>
        <v>46023</v>
      </c>
    </row>
    <row r="1810" spans="2:25" ht="18.75" x14ac:dyDescent="0.3">
      <c r="B1810" s="6">
        <f t="shared" si="283"/>
        <v>0</v>
      </c>
      <c r="C1810" s="6">
        <f t="shared" si="284"/>
        <v>0</v>
      </c>
      <c r="D1810" s="6" t="str">
        <f t="shared" si="285"/>
        <v/>
      </c>
      <c r="E1810" s="35" t="str">
        <f t="shared" si="282"/>
        <v/>
      </c>
      <c r="F1810" s="31"/>
      <c r="G1810" s="29"/>
      <c r="H1810" s="78" t="str">
        <f t="shared" si="286"/>
        <v/>
      </c>
      <c r="I1810" s="25"/>
      <c r="J1810" s="25"/>
      <c r="K1810" s="26"/>
      <c r="L1810" s="26"/>
      <c r="M1810" s="37"/>
      <c r="N1810" s="27"/>
      <c r="O1810" s="30"/>
      <c r="P1810" s="39" t="str">
        <f t="shared" si="287"/>
        <v/>
      </c>
      <c r="Q1810" s="40" t="str">
        <f>IF(OR(T1810=0,RIGHT(T1810,1)=$W$1),"",COUNTIF($T$3:T1810,T1810))</f>
        <v/>
      </c>
      <c r="S1810" s="6">
        <f t="shared" si="288"/>
        <v>0</v>
      </c>
      <c r="T1810" s="36">
        <f t="shared" si="289"/>
        <v>0</v>
      </c>
      <c r="V1810" s="6">
        <f t="shared" si="290"/>
        <v>0</v>
      </c>
      <c r="Y1810" s="8">
        <f t="shared" si="291"/>
        <v>46023</v>
      </c>
    </row>
    <row r="1811" spans="2:25" ht="18.75" x14ac:dyDescent="0.3">
      <c r="B1811" s="6">
        <f t="shared" si="283"/>
        <v>0</v>
      </c>
      <c r="C1811" s="6">
        <f t="shared" si="284"/>
        <v>0</v>
      </c>
      <c r="D1811" s="6" t="str">
        <f t="shared" si="285"/>
        <v/>
      </c>
      <c r="E1811" s="35" t="str">
        <f t="shared" si="282"/>
        <v/>
      </c>
      <c r="F1811" s="31"/>
      <c r="G1811" s="29"/>
      <c r="H1811" s="78" t="str">
        <f t="shared" si="286"/>
        <v/>
      </c>
      <c r="I1811" s="25"/>
      <c r="J1811" s="25"/>
      <c r="K1811" s="26"/>
      <c r="L1811" s="26"/>
      <c r="M1811" s="37"/>
      <c r="N1811" s="27"/>
      <c r="O1811" s="30"/>
      <c r="P1811" s="39" t="str">
        <f t="shared" si="287"/>
        <v/>
      </c>
      <c r="Q1811" s="40" t="str">
        <f>IF(OR(T1811=0,RIGHT(T1811,1)=$W$1),"",COUNTIF($T$3:T1811,T1811))</f>
        <v/>
      </c>
      <c r="S1811" s="6">
        <f t="shared" si="288"/>
        <v>0</v>
      </c>
      <c r="T1811" s="36">
        <f t="shared" si="289"/>
        <v>0</v>
      </c>
      <c r="V1811" s="6">
        <f t="shared" si="290"/>
        <v>0</v>
      </c>
      <c r="Y1811" s="8">
        <f t="shared" si="291"/>
        <v>46023</v>
      </c>
    </row>
    <row r="1812" spans="2:25" ht="18.75" x14ac:dyDescent="0.3">
      <c r="B1812" s="6">
        <f t="shared" si="283"/>
        <v>0</v>
      </c>
      <c r="C1812" s="6">
        <f t="shared" si="284"/>
        <v>0</v>
      </c>
      <c r="D1812" s="6" t="str">
        <f t="shared" si="285"/>
        <v/>
      </c>
      <c r="E1812" s="35" t="str">
        <f t="shared" si="282"/>
        <v/>
      </c>
      <c r="F1812" s="31"/>
      <c r="G1812" s="29"/>
      <c r="H1812" s="78" t="str">
        <f t="shared" si="286"/>
        <v/>
      </c>
      <c r="I1812" s="25"/>
      <c r="J1812" s="25"/>
      <c r="K1812" s="26"/>
      <c r="L1812" s="26"/>
      <c r="M1812" s="37"/>
      <c r="N1812" s="27"/>
      <c r="O1812" s="30"/>
      <c r="P1812" s="39" t="str">
        <f t="shared" si="287"/>
        <v/>
      </c>
      <c r="Q1812" s="40" t="str">
        <f>IF(OR(T1812=0,RIGHT(T1812,1)=$W$1),"",COUNTIF($T$3:T1812,T1812))</f>
        <v/>
      </c>
      <c r="S1812" s="6">
        <f t="shared" si="288"/>
        <v>0</v>
      </c>
      <c r="T1812" s="36">
        <f t="shared" si="289"/>
        <v>0</v>
      </c>
      <c r="V1812" s="6">
        <f t="shared" si="290"/>
        <v>0</v>
      </c>
      <c r="Y1812" s="8">
        <f t="shared" si="291"/>
        <v>46023</v>
      </c>
    </row>
    <row r="1813" spans="2:25" ht="18.75" x14ac:dyDescent="0.3">
      <c r="B1813" s="6">
        <f t="shared" si="283"/>
        <v>0</v>
      </c>
      <c r="C1813" s="6">
        <f t="shared" si="284"/>
        <v>0</v>
      </c>
      <c r="D1813" s="6" t="str">
        <f t="shared" si="285"/>
        <v/>
      </c>
      <c r="E1813" s="35" t="str">
        <f t="shared" si="282"/>
        <v/>
      </c>
      <c r="F1813" s="31"/>
      <c r="G1813" s="29"/>
      <c r="H1813" s="78" t="str">
        <f t="shared" si="286"/>
        <v/>
      </c>
      <c r="I1813" s="25"/>
      <c r="J1813" s="25"/>
      <c r="K1813" s="26"/>
      <c r="L1813" s="26"/>
      <c r="M1813" s="37"/>
      <c r="N1813" s="27"/>
      <c r="O1813" s="30"/>
      <c r="P1813" s="39" t="str">
        <f t="shared" si="287"/>
        <v/>
      </c>
      <c r="Q1813" s="40" t="str">
        <f>IF(OR(T1813=0,RIGHT(T1813,1)=$W$1),"",COUNTIF($T$3:T1813,T1813))</f>
        <v/>
      </c>
      <c r="S1813" s="6">
        <f t="shared" si="288"/>
        <v>0</v>
      </c>
      <c r="T1813" s="36">
        <f t="shared" si="289"/>
        <v>0</v>
      </c>
      <c r="V1813" s="6">
        <f t="shared" si="290"/>
        <v>0</v>
      </c>
      <c r="Y1813" s="8">
        <f t="shared" si="291"/>
        <v>46023</v>
      </c>
    </row>
    <row r="1814" spans="2:25" ht="18.75" x14ac:dyDescent="0.3">
      <c r="B1814" s="6">
        <f t="shared" si="283"/>
        <v>0</v>
      </c>
      <c r="C1814" s="6">
        <f t="shared" si="284"/>
        <v>0</v>
      </c>
      <c r="D1814" s="6" t="str">
        <f t="shared" si="285"/>
        <v/>
      </c>
      <c r="E1814" s="35" t="str">
        <f t="shared" si="282"/>
        <v/>
      </c>
      <c r="F1814" s="31"/>
      <c r="G1814" s="29"/>
      <c r="H1814" s="78" t="str">
        <f t="shared" si="286"/>
        <v/>
      </c>
      <c r="I1814" s="25"/>
      <c r="J1814" s="25"/>
      <c r="K1814" s="26"/>
      <c r="L1814" s="26"/>
      <c r="M1814" s="37"/>
      <c r="N1814" s="27"/>
      <c r="O1814" s="30"/>
      <c r="P1814" s="39" t="str">
        <f t="shared" si="287"/>
        <v/>
      </c>
      <c r="Q1814" s="40" t="str">
        <f>IF(OR(T1814=0,RIGHT(T1814,1)=$W$1),"",COUNTIF($T$3:T1814,T1814))</f>
        <v/>
      </c>
      <c r="S1814" s="6">
        <f t="shared" si="288"/>
        <v>0</v>
      </c>
      <c r="T1814" s="36">
        <f t="shared" si="289"/>
        <v>0</v>
      </c>
      <c r="V1814" s="6">
        <f t="shared" si="290"/>
        <v>0</v>
      </c>
      <c r="Y1814" s="8">
        <f t="shared" si="291"/>
        <v>46023</v>
      </c>
    </row>
    <row r="1815" spans="2:25" ht="18.75" x14ac:dyDescent="0.3">
      <c r="B1815" s="6">
        <f t="shared" si="283"/>
        <v>0</v>
      </c>
      <c r="C1815" s="6">
        <f t="shared" si="284"/>
        <v>0</v>
      </c>
      <c r="D1815" s="6" t="str">
        <f t="shared" si="285"/>
        <v/>
      </c>
      <c r="E1815" s="35" t="str">
        <f t="shared" si="282"/>
        <v/>
      </c>
      <c r="F1815" s="31"/>
      <c r="G1815" s="29"/>
      <c r="H1815" s="78" t="str">
        <f t="shared" si="286"/>
        <v/>
      </c>
      <c r="I1815" s="25"/>
      <c r="J1815" s="25"/>
      <c r="K1815" s="26"/>
      <c r="L1815" s="26"/>
      <c r="M1815" s="37"/>
      <c r="N1815" s="27"/>
      <c r="O1815" s="30"/>
      <c r="P1815" s="39" t="str">
        <f t="shared" si="287"/>
        <v/>
      </c>
      <c r="Q1815" s="40" t="str">
        <f>IF(OR(T1815=0,RIGHT(T1815,1)=$W$1),"",COUNTIF($T$3:T1815,T1815))</f>
        <v/>
      </c>
      <c r="S1815" s="6">
        <f t="shared" si="288"/>
        <v>0</v>
      </c>
      <c r="T1815" s="36">
        <f t="shared" si="289"/>
        <v>0</v>
      </c>
      <c r="V1815" s="6">
        <f t="shared" si="290"/>
        <v>0</v>
      </c>
      <c r="Y1815" s="8">
        <f t="shared" si="291"/>
        <v>46023</v>
      </c>
    </row>
    <row r="1816" spans="2:25" ht="18.75" x14ac:dyDescent="0.3">
      <c r="B1816" s="6">
        <f t="shared" si="283"/>
        <v>0</v>
      </c>
      <c r="C1816" s="6">
        <f t="shared" si="284"/>
        <v>0</v>
      </c>
      <c r="D1816" s="6" t="str">
        <f t="shared" si="285"/>
        <v/>
      </c>
      <c r="E1816" s="35" t="str">
        <f t="shared" si="282"/>
        <v/>
      </c>
      <c r="F1816" s="31"/>
      <c r="G1816" s="29"/>
      <c r="H1816" s="78" t="str">
        <f t="shared" si="286"/>
        <v/>
      </c>
      <c r="I1816" s="25"/>
      <c r="J1816" s="25"/>
      <c r="K1816" s="26"/>
      <c r="L1816" s="26"/>
      <c r="M1816" s="37"/>
      <c r="N1816" s="27"/>
      <c r="O1816" s="30"/>
      <c r="P1816" s="39" t="str">
        <f t="shared" si="287"/>
        <v/>
      </c>
      <c r="Q1816" s="40" t="str">
        <f>IF(OR(T1816=0,RIGHT(T1816,1)=$W$1),"",COUNTIF($T$3:T1816,T1816))</f>
        <v/>
      </c>
      <c r="S1816" s="6">
        <f t="shared" si="288"/>
        <v>0</v>
      </c>
      <c r="T1816" s="36">
        <f t="shared" si="289"/>
        <v>0</v>
      </c>
      <c r="V1816" s="6">
        <f t="shared" si="290"/>
        <v>0</v>
      </c>
      <c r="Y1816" s="8">
        <f t="shared" si="291"/>
        <v>46023</v>
      </c>
    </row>
    <row r="1817" spans="2:25" ht="18.75" x14ac:dyDescent="0.3">
      <c r="B1817" s="6">
        <f t="shared" si="283"/>
        <v>0</v>
      </c>
      <c r="C1817" s="6">
        <f t="shared" si="284"/>
        <v>0</v>
      </c>
      <c r="D1817" s="6" t="str">
        <f t="shared" si="285"/>
        <v/>
      </c>
      <c r="E1817" s="35" t="str">
        <f t="shared" si="282"/>
        <v/>
      </c>
      <c r="F1817" s="31"/>
      <c r="G1817" s="29"/>
      <c r="H1817" s="78" t="str">
        <f t="shared" si="286"/>
        <v/>
      </c>
      <c r="I1817" s="25"/>
      <c r="J1817" s="25"/>
      <c r="K1817" s="26"/>
      <c r="L1817" s="26"/>
      <c r="M1817" s="37"/>
      <c r="N1817" s="27"/>
      <c r="O1817" s="30"/>
      <c r="P1817" s="39" t="str">
        <f t="shared" si="287"/>
        <v/>
      </c>
      <c r="Q1817" s="40" t="str">
        <f>IF(OR(T1817=0,RIGHT(T1817,1)=$W$1),"",COUNTIF($T$3:T1817,T1817))</f>
        <v/>
      </c>
      <c r="S1817" s="6">
        <f t="shared" si="288"/>
        <v>0</v>
      </c>
      <c r="T1817" s="36">
        <f t="shared" si="289"/>
        <v>0</v>
      </c>
      <c r="V1817" s="6">
        <f t="shared" si="290"/>
        <v>0</v>
      </c>
      <c r="Y1817" s="8">
        <f t="shared" si="291"/>
        <v>46023</v>
      </c>
    </row>
    <row r="1818" spans="2:25" ht="18.75" x14ac:dyDescent="0.3">
      <c r="B1818" s="6">
        <f t="shared" si="283"/>
        <v>0</v>
      </c>
      <c r="C1818" s="6">
        <f t="shared" si="284"/>
        <v>0</v>
      </c>
      <c r="D1818" s="6" t="str">
        <f t="shared" si="285"/>
        <v/>
      </c>
      <c r="E1818" s="35" t="str">
        <f t="shared" si="282"/>
        <v/>
      </c>
      <c r="F1818" s="31"/>
      <c r="G1818" s="29"/>
      <c r="H1818" s="78" t="str">
        <f t="shared" si="286"/>
        <v/>
      </c>
      <c r="I1818" s="25"/>
      <c r="J1818" s="25"/>
      <c r="K1818" s="26"/>
      <c r="L1818" s="26"/>
      <c r="M1818" s="37"/>
      <c r="N1818" s="27"/>
      <c r="O1818" s="30"/>
      <c r="P1818" s="39" t="str">
        <f t="shared" si="287"/>
        <v/>
      </c>
      <c r="Q1818" s="40" t="str">
        <f>IF(OR(T1818=0,RIGHT(T1818,1)=$W$1),"",COUNTIF($T$3:T1818,T1818))</f>
        <v/>
      </c>
      <c r="S1818" s="6">
        <f t="shared" si="288"/>
        <v>0</v>
      </c>
      <c r="T1818" s="36">
        <f t="shared" si="289"/>
        <v>0</v>
      </c>
      <c r="V1818" s="6">
        <f t="shared" si="290"/>
        <v>0</v>
      </c>
      <c r="Y1818" s="8">
        <f t="shared" si="291"/>
        <v>46023</v>
      </c>
    </row>
    <row r="1819" spans="2:25" ht="18.75" x14ac:dyDescent="0.3">
      <c r="B1819" s="6">
        <f t="shared" si="283"/>
        <v>0</v>
      </c>
      <c r="C1819" s="6">
        <f t="shared" si="284"/>
        <v>0</v>
      </c>
      <c r="D1819" s="6" t="str">
        <f t="shared" si="285"/>
        <v/>
      </c>
      <c r="E1819" s="35" t="str">
        <f t="shared" si="282"/>
        <v/>
      </c>
      <c r="F1819" s="31"/>
      <c r="G1819" s="29"/>
      <c r="H1819" s="78" t="str">
        <f t="shared" si="286"/>
        <v/>
      </c>
      <c r="I1819" s="25"/>
      <c r="J1819" s="25"/>
      <c r="K1819" s="26"/>
      <c r="L1819" s="26"/>
      <c r="M1819" s="37"/>
      <c r="N1819" s="27"/>
      <c r="O1819" s="30"/>
      <c r="P1819" s="39" t="str">
        <f t="shared" si="287"/>
        <v/>
      </c>
      <c r="Q1819" s="40" t="str">
        <f>IF(OR(T1819=0,RIGHT(T1819,1)=$W$1),"",COUNTIF($T$3:T1819,T1819))</f>
        <v/>
      </c>
      <c r="S1819" s="6">
        <f t="shared" si="288"/>
        <v>0</v>
      </c>
      <c r="T1819" s="36">
        <f t="shared" si="289"/>
        <v>0</v>
      </c>
      <c r="V1819" s="6">
        <f t="shared" si="290"/>
        <v>0</v>
      </c>
      <c r="Y1819" s="8">
        <f t="shared" si="291"/>
        <v>46023</v>
      </c>
    </row>
    <row r="1820" spans="2:25" ht="18.75" x14ac:dyDescent="0.3">
      <c r="B1820" s="6">
        <f t="shared" si="283"/>
        <v>0</v>
      </c>
      <c r="C1820" s="6">
        <f t="shared" si="284"/>
        <v>0</v>
      </c>
      <c r="D1820" s="6" t="str">
        <f t="shared" si="285"/>
        <v/>
      </c>
      <c r="E1820" s="35" t="str">
        <f t="shared" si="282"/>
        <v/>
      </c>
      <c r="F1820" s="31"/>
      <c r="G1820" s="29"/>
      <c r="H1820" s="78" t="str">
        <f t="shared" si="286"/>
        <v/>
      </c>
      <c r="I1820" s="25"/>
      <c r="J1820" s="25"/>
      <c r="K1820" s="26"/>
      <c r="L1820" s="26"/>
      <c r="M1820" s="37"/>
      <c r="N1820" s="27"/>
      <c r="O1820" s="30"/>
      <c r="P1820" s="39" t="str">
        <f t="shared" si="287"/>
        <v/>
      </c>
      <c r="Q1820" s="40" t="str">
        <f>IF(OR(T1820=0,RIGHT(T1820,1)=$W$1),"",COUNTIF($T$3:T1820,T1820))</f>
        <v/>
      </c>
      <c r="S1820" s="6">
        <f t="shared" si="288"/>
        <v>0</v>
      </c>
      <c r="T1820" s="36">
        <f t="shared" si="289"/>
        <v>0</v>
      </c>
      <c r="V1820" s="6">
        <f t="shared" si="290"/>
        <v>0</v>
      </c>
      <c r="Y1820" s="8">
        <f t="shared" si="291"/>
        <v>46023</v>
      </c>
    </row>
    <row r="1821" spans="2:25" ht="18.75" x14ac:dyDescent="0.3">
      <c r="B1821" s="6">
        <f t="shared" si="283"/>
        <v>0</v>
      </c>
      <c r="C1821" s="6">
        <f t="shared" si="284"/>
        <v>0</v>
      </c>
      <c r="D1821" s="6" t="str">
        <f t="shared" si="285"/>
        <v/>
      </c>
      <c r="E1821" s="35" t="str">
        <f t="shared" si="282"/>
        <v/>
      </c>
      <c r="F1821" s="31"/>
      <c r="G1821" s="29"/>
      <c r="H1821" s="78" t="str">
        <f t="shared" si="286"/>
        <v/>
      </c>
      <c r="I1821" s="25"/>
      <c r="J1821" s="25"/>
      <c r="K1821" s="26"/>
      <c r="L1821" s="26"/>
      <c r="M1821" s="37"/>
      <c r="N1821" s="27"/>
      <c r="O1821" s="30"/>
      <c r="P1821" s="39" t="str">
        <f t="shared" si="287"/>
        <v/>
      </c>
      <c r="Q1821" s="40" t="str">
        <f>IF(OR(T1821=0,RIGHT(T1821,1)=$W$1),"",COUNTIF($T$3:T1821,T1821))</f>
        <v/>
      </c>
      <c r="S1821" s="6">
        <f t="shared" si="288"/>
        <v>0</v>
      </c>
      <c r="T1821" s="36">
        <f t="shared" si="289"/>
        <v>0</v>
      </c>
      <c r="V1821" s="6">
        <f t="shared" si="290"/>
        <v>0</v>
      </c>
      <c r="Y1821" s="8">
        <f t="shared" si="291"/>
        <v>46023</v>
      </c>
    </row>
    <row r="1822" spans="2:25" ht="18.75" x14ac:dyDescent="0.3">
      <c r="B1822" s="6">
        <f t="shared" si="283"/>
        <v>0</v>
      </c>
      <c r="C1822" s="6">
        <f t="shared" si="284"/>
        <v>0</v>
      </c>
      <c r="D1822" s="6" t="str">
        <f t="shared" si="285"/>
        <v/>
      </c>
      <c r="E1822" s="35" t="str">
        <f t="shared" si="282"/>
        <v/>
      </c>
      <c r="F1822" s="31"/>
      <c r="G1822" s="29"/>
      <c r="H1822" s="78" t="str">
        <f t="shared" si="286"/>
        <v/>
      </c>
      <c r="I1822" s="25"/>
      <c r="J1822" s="25"/>
      <c r="K1822" s="26"/>
      <c r="L1822" s="26"/>
      <c r="M1822" s="37"/>
      <c r="N1822" s="27"/>
      <c r="O1822" s="30"/>
      <c r="P1822" s="39" t="str">
        <f t="shared" si="287"/>
        <v/>
      </c>
      <c r="Q1822" s="40" t="str">
        <f>IF(OR(T1822=0,RIGHT(T1822,1)=$W$1),"",COUNTIF($T$3:T1822,T1822))</f>
        <v/>
      </c>
      <c r="S1822" s="6">
        <f t="shared" si="288"/>
        <v>0</v>
      </c>
      <c r="T1822" s="36">
        <f t="shared" si="289"/>
        <v>0</v>
      </c>
      <c r="V1822" s="6">
        <f t="shared" si="290"/>
        <v>0</v>
      </c>
      <c r="Y1822" s="8">
        <f t="shared" si="291"/>
        <v>46023</v>
      </c>
    </row>
    <row r="1823" spans="2:25" ht="18.75" x14ac:dyDescent="0.3">
      <c r="B1823" s="6">
        <f t="shared" si="283"/>
        <v>0</v>
      </c>
      <c r="C1823" s="6">
        <f t="shared" si="284"/>
        <v>0</v>
      </c>
      <c r="D1823" s="6" t="str">
        <f t="shared" si="285"/>
        <v/>
      </c>
      <c r="E1823" s="35" t="str">
        <f t="shared" si="282"/>
        <v/>
      </c>
      <c r="F1823" s="31"/>
      <c r="G1823" s="29"/>
      <c r="H1823" s="78" t="str">
        <f t="shared" si="286"/>
        <v/>
      </c>
      <c r="I1823" s="25"/>
      <c r="J1823" s="25"/>
      <c r="K1823" s="26"/>
      <c r="L1823" s="26"/>
      <c r="M1823" s="37"/>
      <c r="N1823" s="27"/>
      <c r="O1823" s="30"/>
      <c r="P1823" s="39" t="str">
        <f t="shared" si="287"/>
        <v/>
      </c>
      <c r="Q1823" s="40" t="str">
        <f>IF(OR(T1823=0,RIGHT(T1823,1)=$W$1),"",COUNTIF($T$3:T1823,T1823))</f>
        <v/>
      </c>
      <c r="S1823" s="6">
        <f t="shared" si="288"/>
        <v>0</v>
      </c>
      <c r="T1823" s="36">
        <f t="shared" si="289"/>
        <v>0</v>
      </c>
      <c r="V1823" s="6">
        <f t="shared" si="290"/>
        <v>0</v>
      </c>
      <c r="Y1823" s="8">
        <f t="shared" si="291"/>
        <v>46023</v>
      </c>
    </row>
    <row r="1824" spans="2:25" ht="18.75" x14ac:dyDescent="0.3">
      <c r="B1824" s="6">
        <f t="shared" si="283"/>
        <v>0</v>
      </c>
      <c r="C1824" s="6">
        <f t="shared" si="284"/>
        <v>0</v>
      </c>
      <c r="D1824" s="6" t="str">
        <f t="shared" si="285"/>
        <v/>
      </c>
      <c r="E1824" s="35" t="str">
        <f t="shared" si="282"/>
        <v/>
      </c>
      <c r="F1824" s="31"/>
      <c r="G1824" s="29"/>
      <c r="H1824" s="78" t="str">
        <f t="shared" si="286"/>
        <v/>
      </c>
      <c r="I1824" s="25"/>
      <c r="J1824" s="25"/>
      <c r="K1824" s="26"/>
      <c r="L1824" s="26"/>
      <c r="M1824" s="37"/>
      <c r="N1824" s="27"/>
      <c r="O1824" s="30"/>
      <c r="P1824" s="39" t="str">
        <f t="shared" si="287"/>
        <v/>
      </c>
      <c r="Q1824" s="40" t="str">
        <f>IF(OR(T1824=0,RIGHT(T1824,1)=$W$1),"",COUNTIF($T$3:T1824,T1824))</f>
        <v/>
      </c>
      <c r="S1824" s="6">
        <f t="shared" si="288"/>
        <v>0</v>
      </c>
      <c r="T1824" s="36">
        <f t="shared" si="289"/>
        <v>0</v>
      </c>
      <c r="V1824" s="6">
        <f t="shared" si="290"/>
        <v>0</v>
      </c>
      <c r="Y1824" s="8">
        <f t="shared" si="291"/>
        <v>46023</v>
      </c>
    </row>
    <row r="1825" spans="2:25" ht="18.75" x14ac:dyDescent="0.3">
      <c r="B1825" s="6">
        <f t="shared" si="283"/>
        <v>0</v>
      </c>
      <c r="C1825" s="6">
        <f t="shared" si="284"/>
        <v>0</v>
      </c>
      <c r="D1825" s="6" t="str">
        <f t="shared" si="285"/>
        <v/>
      </c>
      <c r="E1825" s="35" t="str">
        <f t="shared" si="282"/>
        <v/>
      </c>
      <c r="F1825" s="31"/>
      <c r="G1825" s="29"/>
      <c r="H1825" s="78" t="str">
        <f t="shared" si="286"/>
        <v/>
      </c>
      <c r="I1825" s="25"/>
      <c r="J1825" s="25"/>
      <c r="K1825" s="26"/>
      <c r="L1825" s="26"/>
      <c r="M1825" s="37"/>
      <c r="N1825" s="27"/>
      <c r="O1825" s="30"/>
      <c r="P1825" s="39" t="str">
        <f t="shared" si="287"/>
        <v/>
      </c>
      <c r="Q1825" s="40" t="str">
        <f>IF(OR(T1825=0,RIGHT(T1825,1)=$W$1),"",COUNTIF($T$3:T1825,T1825))</f>
        <v/>
      </c>
      <c r="S1825" s="6">
        <f t="shared" si="288"/>
        <v>0</v>
      </c>
      <c r="T1825" s="36">
        <f t="shared" si="289"/>
        <v>0</v>
      </c>
      <c r="V1825" s="6">
        <f t="shared" si="290"/>
        <v>0</v>
      </c>
      <c r="Y1825" s="8">
        <f t="shared" si="291"/>
        <v>46023</v>
      </c>
    </row>
    <row r="1826" spans="2:25" ht="18.75" x14ac:dyDescent="0.3">
      <c r="B1826" s="6">
        <f t="shared" si="283"/>
        <v>0</v>
      </c>
      <c r="C1826" s="6">
        <f t="shared" si="284"/>
        <v>0</v>
      </c>
      <c r="D1826" s="6" t="str">
        <f t="shared" si="285"/>
        <v/>
      </c>
      <c r="E1826" s="35" t="str">
        <f t="shared" si="282"/>
        <v/>
      </c>
      <c r="F1826" s="31"/>
      <c r="G1826" s="29"/>
      <c r="H1826" s="78" t="str">
        <f t="shared" si="286"/>
        <v/>
      </c>
      <c r="I1826" s="25"/>
      <c r="J1826" s="25"/>
      <c r="K1826" s="26"/>
      <c r="L1826" s="26"/>
      <c r="M1826" s="37"/>
      <c r="N1826" s="27"/>
      <c r="O1826" s="30"/>
      <c r="P1826" s="39" t="str">
        <f t="shared" si="287"/>
        <v/>
      </c>
      <c r="Q1826" s="40" t="str">
        <f>IF(OR(T1826=0,RIGHT(T1826,1)=$W$1),"",COUNTIF($T$3:T1826,T1826))</f>
        <v/>
      </c>
      <c r="S1826" s="6">
        <f t="shared" si="288"/>
        <v>0</v>
      </c>
      <c r="T1826" s="36">
        <f t="shared" si="289"/>
        <v>0</v>
      </c>
      <c r="V1826" s="6">
        <f t="shared" si="290"/>
        <v>0</v>
      </c>
      <c r="Y1826" s="8">
        <f t="shared" si="291"/>
        <v>46023</v>
      </c>
    </row>
    <row r="1827" spans="2:25" ht="18.75" x14ac:dyDescent="0.3">
      <c r="B1827" s="6">
        <f t="shared" si="283"/>
        <v>0</v>
      </c>
      <c r="C1827" s="6">
        <f t="shared" si="284"/>
        <v>0</v>
      </c>
      <c r="D1827" s="6" t="str">
        <f t="shared" si="285"/>
        <v/>
      </c>
      <c r="E1827" s="35" t="str">
        <f t="shared" si="282"/>
        <v/>
      </c>
      <c r="F1827" s="31"/>
      <c r="G1827" s="29"/>
      <c r="H1827" s="78" t="str">
        <f t="shared" si="286"/>
        <v/>
      </c>
      <c r="I1827" s="25"/>
      <c r="J1827" s="25"/>
      <c r="K1827" s="26"/>
      <c r="L1827" s="26"/>
      <c r="M1827" s="37"/>
      <c r="N1827" s="27"/>
      <c r="O1827" s="30"/>
      <c r="P1827" s="39" t="str">
        <f t="shared" si="287"/>
        <v/>
      </c>
      <c r="Q1827" s="40" t="str">
        <f>IF(OR(T1827=0,RIGHT(T1827,1)=$W$1),"",COUNTIF($T$3:T1827,T1827))</f>
        <v/>
      </c>
      <c r="S1827" s="6">
        <f t="shared" si="288"/>
        <v>0</v>
      </c>
      <c r="T1827" s="36">
        <f t="shared" si="289"/>
        <v>0</v>
      </c>
      <c r="V1827" s="6">
        <f t="shared" si="290"/>
        <v>0</v>
      </c>
      <c r="Y1827" s="8">
        <f t="shared" si="291"/>
        <v>46023</v>
      </c>
    </row>
    <row r="1828" spans="2:25" ht="18.75" x14ac:dyDescent="0.3">
      <c r="B1828" s="6">
        <f t="shared" si="283"/>
        <v>0</v>
      </c>
      <c r="C1828" s="6">
        <f t="shared" si="284"/>
        <v>0</v>
      </c>
      <c r="D1828" s="6" t="str">
        <f t="shared" si="285"/>
        <v/>
      </c>
      <c r="E1828" s="35" t="str">
        <f t="shared" si="282"/>
        <v/>
      </c>
      <c r="F1828" s="31"/>
      <c r="G1828" s="29"/>
      <c r="H1828" s="78" t="str">
        <f t="shared" si="286"/>
        <v/>
      </c>
      <c r="I1828" s="25"/>
      <c r="J1828" s="25"/>
      <c r="K1828" s="26"/>
      <c r="L1828" s="26"/>
      <c r="M1828" s="37"/>
      <c r="N1828" s="27"/>
      <c r="O1828" s="30"/>
      <c r="P1828" s="39" t="str">
        <f t="shared" si="287"/>
        <v/>
      </c>
      <c r="Q1828" s="40" t="str">
        <f>IF(OR(T1828=0,RIGHT(T1828,1)=$W$1),"",COUNTIF($T$3:T1828,T1828))</f>
        <v/>
      </c>
      <c r="S1828" s="6">
        <f t="shared" si="288"/>
        <v>0</v>
      </c>
      <c r="T1828" s="36">
        <f t="shared" si="289"/>
        <v>0</v>
      </c>
      <c r="V1828" s="6">
        <f t="shared" si="290"/>
        <v>0</v>
      </c>
      <c r="Y1828" s="8">
        <f t="shared" si="291"/>
        <v>46023</v>
      </c>
    </row>
    <row r="1829" spans="2:25" ht="18.75" x14ac:dyDescent="0.3">
      <c r="B1829" s="6">
        <f t="shared" si="283"/>
        <v>0</v>
      </c>
      <c r="C1829" s="6">
        <f t="shared" si="284"/>
        <v>0</v>
      </c>
      <c r="D1829" s="6" t="str">
        <f t="shared" si="285"/>
        <v/>
      </c>
      <c r="E1829" s="35" t="str">
        <f t="shared" si="282"/>
        <v/>
      </c>
      <c r="F1829" s="31"/>
      <c r="G1829" s="29"/>
      <c r="H1829" s="78" t="str">
        <f t="shared" si="286"/>
        <v/>
      </c>
      <c r="I1829" s="25"/>
      <c r="J1829" s="25"/>
      <c r="K1829" s="26"/>
      <c r="L1829" s="26"/>
      <c r="M1829" s="37"/>
      <c r="N1829" s="27"/>
      <c r="O1829" s="30"/>
      <c r="P1829" s="39" t="str">
        <f t="shared" si="287"/>
        <v/>
      </c>
      <c r="Q1829" s="40" t="str">
        <f>IF(OR(T1829=0,RIGHT(T1829,1)=$W$1),"",COUNTIF($T$3:T1829,T1829))</f>
        <v/>
      </c>
      <c r="S1829" s="6">
        <f t="shared" si="288"/>
        <v>0</v>
      </c>
      <c r="T1829" s="36">
        <f t="shared" si="289"/>
        <v>0</v>
      </c>
      <c r="V1829" s="6">
        <f t="shared" si="290"/>
        <v>0</v>
      </c>
      <c r="Y1829" s="8">
        <f t="shared" si="291"/>
        <v>46023</v>
      </c>
    </row>
    <row r="1830" spans="2:25" ht="18.75" x14ac:dyDescent="0.3">
      <c r="B1830" s="6">
        <f t="shared" si="283"/>
        <v>0</v>
      </c>
      <c r="C1830" s="6">
        <f t="shared" si="284"/>
        <v>0</v>
      </c>
      <c r="D1830" s="6" t="str">
        <f t="shared" si="285"/>
        <v/>
      </c>
      <c r="E1830" s="35" t="str">
        <f t="shared" si="282"/>
        <v/>
      </c>
      <c r="F1830" s="31"/>
      <c r="G1830" s="29"/>
      <c r="H1830" s="78" t="str">
        <f t="shared" si="286"/>
        <v/>
      </c>
      <c r="I1830" s="25"/>
      <c r="J1830" s="25"/>
      <c r="K1830" s="26"/>
      <c r="L1830" s="26"/>
      <c r="M1830" s="37"/>
      <c r="N1830" s="27"/>
      <c r="O1830" s="30"/>
      <c r="P1830" s="39" t="str">
        <f t="shared" si="287"/>
        <v/>
      </c>
      <c r="Q1830" s="40" t="str">
        <f>IF(OR(T1830=0,RIGHT(T1830,1)=$W$1),"",COUNTIF($T$3:T1830,T1830))</f>
        <v/>
      </c>
      <c r="S1830" s="6">
        <f t="shared" si="288"/>
        <v>0</v>
      </c>
      <c r="T1830" s="36">
        <f t="shared" si="289"/>
        <v>0</v>
      </c>
      <c r="V1830" s="6">
        <f t="shared" si="290"/>
        <v>0</v>
      </c>
      <c r="Y1830" s="8">
        <f t="shared" si="291"/>
        <v>46023</v>
      </c>
    </row>
    <row r="1831" spans="2:25" ht="18.75" x14ac:dyDescent="0.3">
      <c r="B1831" s="6">
        <f t="shared" si="283"/>
        <v>0</v>
      </c>
      <c r="C1831" s="6">
        <f t="shared" si="284"/>
        <v>0</v>
      </c>
      <c r="D1831" s="6" t="str">
        <f t="shared" si="285"/>
        <v/>
      </c>
      <c r="E1831" s="35" t="str">
        <f t="shared" si="282"/>
        <v/>
      </c>
      <c r="F1831" s="31"/>
      <c r="G1831" s="29"/>
      <c r="H1831" s="78" t="str">
        <f t="shared" si="286"/>
        <v/>
      </c>
      <c r="I1831" s="25"/>
      <c r="J1831" s="25"/>
      <c r="K1831" s="26"/>
      <c r="L1831" s="26"/>
      <c r="M1831" s="37"/>
      <c r="N1831" s="27"/>
      <c r="O1831" s="30"/>
      <c r="P1831" s="39" t="str">
        <f t="shared" si="287"/>
        <v/>
      </c>
      <c r="Q1831" s="40" t="str">
        <f>IF(OR(T1831=0,RIGHT(T1831,1)=$W$1),"",COUNTIF($T$3:T1831,T1831))</f>
        <v/>
      </c>
      <c r="S1831" s="6">
        <f t="shared" si="288"/>
        <v>0</v>
      </c>
      <c r="T1831" s="36">
        <f t="shared" si="289"/>
        <v>0</v>
      </c>
      <c r="V1831" s="6">
        <f t="shared" si="290"/>
        <v>0</v>
      </c>
      <c r="Y1831" s="8">
        <f t="shared" si="291"/>
        <v>46023</v>
      </c>
    </row>
    <row r="1832" spans="2:25" ht="18.75" x14ac:dyDescent="0.3">
      <c r="B1832" s="6">
        <f t="shared" si="283"/>
        <v>0</v>
      </c>
      <c r="C1832" s="6">
        <f t="shared" si="284"/>
        <v>0</v>
      </c>
      <c r="D1832" s="6" t="str">
        <f t="shared" si="285"/>
        <v/>
      </c>
      <c r="E1832" s="35" t="str">
        <f t="shared" si="282"/>
        <v/>
      </c>
      <c r="F1832" s="31"/>
      <c r="G1832" s="29"/>
      <c r="H1832" s="78" t="str">
        <f t="shared" si="286"/>
        <v/>
      </c>
      <c r="I1832" s="25"/>
      <c r="J1832" s="25"/>
      <c r="K1832" s="26"/>
      <c r="L1832" s="26"/>
      <c r="M1832" s="37"/>
      <c r="N1832" s="27"/>
      <c r="O1832" s="30"/>
      <c r="P1832" s="39" t="str">
        <f t="shared" si="287"/>
        <v/>
      </c>
      <c r="Q1832" s="40" t="str">
        <f>IF(OR(T1832=0,RIGHT(T1832,1)=$W$1),"",COUNTIF($T$3:T1832,T1832))</f>
        <v/>
      </c>
      <c r="S1832" s="6">
        <f t="shared" si="288"/>
        <v>0</v>
      </c>
      <c r="T1832" s="36">
        <f t="shared" si="289"/>
        <v>0</v>
      </c>
      <c r="V1832" s="6">
        <f t="shared" si="290"/>
        <v>0</v>
      </c>
      <c r="Y1832" s="8">
        <f t="shared" si="291"/>
        <v>46023</v>
      </c>
    </row>
    <row r="1833" spans="2:25" ht="18.75" x14ac:dyDescent="0.3">
      <c r="B1833" s="6">
        <f t="shared" si="283"/>
        <v>0</v>
      </c>
      <c r="C1833" s="6">
        <f t="shared" si="284"/>
        <v>0</v>
      </c>
      <c r="D1833" s="6" t="str">
        <f t="shared" si="285"/>
        <v/>
      </c>
      <c r="E1833" s="35" t="str">
        <f t="shared" si="282"/>
        <v/>
      </c>
      <c r="F1833" s="31"/>
      <c r="G1833" s="29"/>
      <c r="H1833" s="78" t="str">
        <f t="shared" si="286"/>
        <v/>
      </c>
      <c r="I1833" s="25"/>
      <c r="J1833" s="25"/>
      <c r="K1833" s="26"/>
      <c r="L1833" s="26"/>
      <c r="M1833" s="37"/>
      <c r="N1833" s="27"/>
      <c r="O1833" s="30"/>
      <c r="P1833" s="39" t="str">
        <f t="shared" si="287"/>
        <v/>
      </c>
      <c r="Q1833" s="40" t="str">
        <f>IF(OR(T1833=0,RIGHT(T1833,1)=$W$1),"",COUNTIF($T$3:T1833,T1833))</f>
        <v/>
      </c>
      <c r="S1833" s="6">
        <f t="shared" si="288"/>
        <v>0</v>
      </c>
      <c r="T1833" s="36">
        <f t="shared" si="289"/>
        <v>0</v>
      </c>
      <c r="V1833" s="6">
        <f t="shared" si="290"/>
        <v>0</v>
      </c>
      <c r="Y1833" s="8">
        <f t="shared" si="291"/>
        <v>46023</v>
      </c>
    </row>
    <row r="1834" spans="2:25" ht="18.75" x14ac:dyDescent="0.3">
      <c r="B1834" s="6">
        <f t="shared" si="283"/>
        <v>0</v>
      </c>
      <c r="C1834" s="6">
        <f t="shared" si="284"/>
        <v>0</v>
      </c>
      <c r="D1834" s="6" t="str">
        <f t="shared" si="285"/>
        <v/>
      </c>
      <c r="E1834" s="35" t="str">
        <f t="shared" si="282"/>
        <v/>
      </c>
      <c r="F1834" s="31"/>
      <c r="G1834" s="29"/>
      <c r="H1834" s="78" t="str">
        <f t="shared" si="286"/>
        <v/>
      </c>
      <c r="I1834" s="25"/>
      <c r="J1834" s="25"/>
      <c r="K1834" s="26"/>
      <c r="L1834" s="26"/>
      <c r="M1834" s="37"/>
      <c r="N1834" s="27"/>
      <c r="O1834" s="30"/>
      <c r="P1834" s="39" t="str">
        <f t="shared" si="287"/>
        <v/>
      </c>
      <c r="Q1834" s="40" t="str">
        <f>IF(OR(T1834=0,RIGHT(T1834,1)=$W$1),"",COUNTIF($T$3:T1834,T1834))</f>
        <v/>
      </c>
      <c r="S1834" s="6">
        <f t="shared" si="288"/>
        <v>0</v>
      </c>
      <c r="T1834" s="36">
        <f t="shared" si="289"/>
        <v>0</v>
      </c>
      <c r="V1834" s="6">
        <f t="shared" si="290"/>
        <v>0</v>
      </c>
      <c r="Y1834" s="8">
        <f t="shared" si="291"/>
        <v>46023</v>
      </c>
    </row>
    <row r="1835" spans="2:25" ht="18.75" x14ac:dyDescent="0.3">
      <c r="B1835" s="6">
        <f t="shared" si="283"/>
        <v>0</v>
      </c>
      <c r="C1835" s="6">
        <f t="shared" si="284"/>
        <v>0</v>
      </c>
      <c r="D1835" s="6" t="str">
        <f t="shared" si="285"/>
        <v/>
      </c>
      <c r="E1835" s="35" t="str">
        <f t="shared" si="282"/>
        <v/>
      </c>
      <c r="F1835" s="31"/>
      <c r="G1835" s="29"/>
      <c r="H1835" s="78" t="str">
        <f t="shared" si="286"/>
        <v/>
      </c>
      <c r="I1835" s="25"/>
      <c r="J1835" s="25"/>
      <c r="K1835" s="26"/>
      <c r="L1835" s="26"/>
      <c r="M1835" s="37"/>
      <c r="N1835" s="27"/>
      <c r="O1835" s="30"/>
      <c r="P1835" s="39" t="str">
        <f t="shared" si="287"/>
        <v/>
      </c>
      <c r="Q1835" s="40" t="str">
        <f>IF(OR(T1835=0,RIGHT(T1835,1)=$W$1),"",COUNTIF($T$3:T1835,T1835))</f>
        <v/>
      </c>
      <c r="S1835" s="6">
        <f t="shared" si="288"/>
        <v>0</v>
      </c>
      <c r="T1835" s="36">
        <f t="shared" si="289"/>
        <v>0</v>
      </c>
      <c r="V1835" s="6">
        <f t="shared" si="290"/>
        <v>0</v>
      </c>
      <c r="Y1835" s="8">
        <f t="shared" si="291"/>
        <v>46023</v>
      </c>
    </row>
    <row r="1836" spans="2:25" ht="18.75" x14ac:dyDescent="0.3">
      <c r="B1836" s="6">
        <f t="shared" si="283"/>
        <v>0</v>
      </c>
      <c r="C1836" s="6">
        <f t="shared" si="284"/>
        <v>0</v>
      </c>
      <c r="D1836" s="6" t="str">
        <f t="shared" si="285"/>
        <v/>
      </c>
      <c r="E1836" s="35" t="str">
        <f t="shared" si="282"/>
        <v/>
      </c>
      <c r="F1836" s="31"/>
      <c r="G1836" s="29"/>
      <c r="H1836" s="78" t="str">
        <f t="shared" si="286"/>
        <v/>
      </c>
      <c r="I1836" s="25"/>
      <c r="J1836" s="25"/>
      <c r="K1836" s="26"/>
      <c r="L1836" s="26"/>
      <c r="M1836" s="37"/>
      <c r="N1836" s="27"/>
      <c r="O1836" s="30"/>
      <c r="P1836" s="39" t="str">
        <f t="shared" si="287"/>
        <v/>
      </c>
      <c r="Q1836" s="40" t="str">
        <f>IF(OR(T1836=0,RIGHT(T1836,1)=$W$1),"",COUNTIF($T$3:T1836,T1836))</f>
        <v/>
      </c>
      <c r="S1836" s="6">
        <f t="shared" si="288"/>
        <v>0</v>
      </c>
      <c r="T1836" s="36">
        <f t="shared" si="289"/>
        <v>0</v>
      </c>
      <c r="V1836" s="6">
        <f t="shared" si="290"/>
        <v>0</v>
      </c>
      <c r="Y1836" s="8">
        <f t="shared" si="291"/>
        <v>46023</v>
      </c>
    </row>
    <row r="1837" spans="2:25" ht="18.75" x14ac:dyDescent="0.3">
      <c r="B1837" s="6">
        <f t="shared" si="283"/>
        <v>0</v>
      </c>
      <c r="C1837" s="6">
        <f t="shared" si="284"/>
        <v>0</v>
      </c>
      <c r="D1837" s="6" t="str">
        <f t="shared" si="285"/>
        <v/>
      </c>
      <c r="E1837" s="35" t="str">
        <f t="shared" si="282"/>
        <v/>
      </c>
      <c r="F1837" s="31"/>
      <c r="G1837" s="29"/>
      <c r="H1837" s="78" t="str">
        <f t="shared" si="286"/>
        <v/>
      </c>
      <c r="I1837" s="25"/>
      <c r="J1837" s="25"/>
      <c r="K1837" s="26"/>
      <c r="L1837" s="26"/>
      <c r="M1837" s="37"/>
      <c r="N1837" s="27"/>
      <c r="O1837" s="30"/>
      <c r="P1837" s="39" t="str">
        <f t="shared" si="287"/>
        <v/>
      </c>
      <c r="Q1837" s="40" t="str">
        <f>IF(OR(T1837=0,RIGHT(T1837,1)=$W$1),"",COUNTIF($T$3:T1837,T1837))</f>
        <v/>
      </c>
      <c r="S1837" s="6">
        <f t="shared" si="288"/>
        <v>0</v>
      </c>
      <c r="T1837" s="36">
        <f t="shared" si="289"/>
        <v>0</v>
      </c>
      <c r="V1837" s="6">
        <f t="shared" si="290"/>
        <v>0</v>
      </c>
      <c r="Y1837" s="8">
        <f t="shared" si="291"/>
        <v>46023</v>
      </c>
    </row>
    <row r="1838" spans="2:25" ht="18.75" x14ac:dyDescent="0.3">
      <c r="B1838" s="6">
        <f t="shared" si="283"/>
        <v>0</v>
      </c>
      <c r="C1838" s="6">
        <f t="shared" si="284"/>
        <v>0</v>
      </c>
      <c r="D1838" s="6" t="str">
        <f t="shared" si="285"/>
        <v/>
      </c>
      <c r="E1838" s="35" t="str">
        <f t="shared" si="282"/>
        <v/>
      </c>
      <c r="F1838" s="31"/>
      <c r="G1838" s="29"/>
      <c r="H1838" s="78" t="str">
        <f t="shared" si="286"/>
        <v/>
      </c>
      <c r="I1838" s="25"/>
      <c r="J1838" s="25"/>
      <c r="K1838" s="26"/>
      <c r="L1838" s="26"/>
      <c r="M1838" s="37"/>
      <c r="N1838" s="27"/>
      <c r="O1838" s="30"/>
      <c r="P1838" s="39" t="str">
        <f t="shared" si="287"/>
        <v/>
      </c>
      <c r="Q1838" s="40" t="str">
        <f>IF(OR(T1838=0,RIGHT(T1838,1)=$W$1),"",COUNTIF($T$3:T1838,T1838))</f>
        <v/>
      </c>
      <c r="S1838" s="6">
        <f t="shared" si="288"/>
        <v>0</v>
      </c>
      <c r="T1838" s="36">
        <f t="shared" si="289"/>
        <v>0</v>
      </c>
      <c r="V1838" s="6">
        <f t="shared" si="290"/>
        <v>0</v>
      </c>
      <c r="Y1838" s="8">
        <f t="shared" si="291"/>
        <v>46023</v>
      </c>
    </row>
    <row r="1839" spans="2:25" ht="18.75" x14ac:dyDescent="0.3">
      <c r="B1839" s="6">
        <f t="shared" si="283"/>
        <v>0</v>
      </c>
      <c r="C1839" s="6">
        <f t="shared" si="284"/>
        <v>0</v>
      </c>
      <c r="D1839" s="6" t="str">
        <f t="shared" si="285"/>
        <v/>
      </c>
      <c r="E1839" s="35" t="str">
        <f t="shared" si="282"/>
        <v/>
      </c>
      <c r="F1839" s="31"/>
      <c r="G1839" s="29"/>
      <c r="H1839" s="78" t="str">
        <f t="shared" si="286"/>
        <v/>
      </c>
      <c r="I1839" s="25"/>
      <c r="J1839" s="25"/>
      <c r="K1839" s="26"/>
      <c r="L1839" s="26"/>
      <c r="M1839" s="37"/>
      <c r="N1839" s="27"/>
      <c r="O1839" s="30"/>
      <c r="P1839" s="39" t="str">
        <f t="shared" si="287"/>
        <v/>
      </c>
      <c r="Q1839" s="40" t="str">
        <f>IF(OR(T1839=0,RIGHT(T1839,1)=$W$1),"",COUNTIF($T$3:T1839,T1839))</f>
        <v/>
      </c>
      <c r="S1839" s="6">
        <f t="shared" si="288"/>
        <v>0</v>
      </c>
      <c r="T1839" s="36">
        <f t="shared" si="289"/>
        <v>0</v>
      </c>
      <c r="V1839" s="6">
        <f t="shared" si="290"/>
        <v>0</v>
      </c>
      <c r="Y1839" s="8">
        <f t="shared" si="291"/>
        <v>46023</v>
      </c>
    </row>
    <row r="1840" spans="2:25" ht="18.75" x14ac:dyDescent="0.3">
      <c r="B1840" s="6">
        <f t="shared" si="283"/>
        <v>0</v>
      </c>
      <c r="C1840" s="6">
        <f t="shared" si="284"/>
        <v>0</v>
      </c>
      <c r="D1840" s="6" t="str">
        <f t="shared" si="285"/>
        <v/>
      </c>
      <c r="E1840" s="35" t="str">
        <f t="shared" si="282"/>
        <v/>
      </c>
      <c r="F1840" s="31"/>
      <c r="G1840" s="29"/>
      <c r="H1840" s="78" t="str">
        <f t="shared" si="286"/>
        <v/>
      </c>
      <c r="I1840" s="25"/>
      <c r="J1840" s="25"/>
      <c r="K1840" s="26"/>
      <c r="L1840" s="26"/>
      <c r="M1840" s="37"/>
      <c r="N1840" s="27"/>
      <c r="O1840" s="30"/>
      <c r="P1840" s="39" t="str">
        <f t="shared" si="287"/>
        <v/>
      </c>
      <c r="Q1840" s="40" t="str">
        <f>IF(OR(T1840=0,RIGHT(T1840,1)=$W$1),"",COUNTIF($T$3:T1840,T1840))</f>
        <v/>
      </c>
      <c r="S1840" s="6">
        <f t="shared" si="288"/>
        <v>0</v>
      </c>
      <c r="T1840" s="36">
        <f t="shared" si="289"/>
        <v>0</v>
      </c>
      <c r="V1840" s="6">
        <f t="shared" si="290"/>
        <v>0</v>
      </c>
      <c r="Y1840" s="8">
        <f t="shared" si="291"/>
        <v>46023</v>
      </c>
    </row>
    <row r="1841" spans="2:25" ht="18.75" x14ac:dyDescent="0.3">
      <c r="B1841" s="6">
        <f t="shared" si="283"/>
        <v>0</v>
      </c>
      <c r="C1841" s="6">
        <f t="shared" si="284"/>
        <v>0</v>
      </c>
      <c r="D1841" s="6" t="str">
        <f t="shared" si="285"/>
        <v/>
      </c>
      <c r="E1841" s="35" t="str">
        <f t="shared" si="282"/>
        <v/>
      </c>
      <c r="F1841" s="31"/>
      <c r="G1841" s="29"/>
      <c r="H1841" s="78" t="str">
        <f t="shared" si="286"/>
        <v/>
      </c>
      <c r="I1841" s="25"/>
      <c r="J1841" s="25"/>
      <c r="K1841" s="26"/>
      <c r="L1841" s="26"/>
      <c r="M1841" s="37"/>
      <c r="N1841" s="27"/>
      <c r="O1841" s="30"/>
      <c r="P1841" s="39" t="str">
        <f t="shared" si="287"/>
        <v/>
      </c>
      <c r="Q1841" s="40" t="str">
        <f>IF(OR(T1841=0,RIGHT(T1841,1)=$W$1),"",COUNTIF($T$3:T1841,T1841))</f>
        <v/>
      </c>
      <c r="S1841" s="6">
        <f t="shared" si="288"/>
        <v>0</v>
      </c>
      <c r="T1841" s="36">
        <f t="shared" si="289"/>
        <v>0</v>
      </c>
      <c r="V1841" s="6">
        <f t="shared" si="290"/>
        <v>0</v>
      </c>
      <c r="Y1841" s="8">
        <f t="shared" si="291"/>
        <v>46023</v>
      </c>
    </row>
    <row r="1842" spans="2:25" ht="18.75" x14ac:dyDescent="0.3">
      <c r="B1842" s="6">
        <f t="shared" si="283"/>
        <v>0</v>
      </c>
      <c r="C1842" s="6">
        <f t="shared" si="284"/>
        <v>0</v>
      </c>
      <c r="D1842" s="6" t="str">
        <f t="shared" si="285"/>
        <v/>
      </c>
      <c r="E1842" s="35" t="str">
        <f t="shared" si="282"/>
        <v/>
      </c>
      <c r="F1842" s="31"/>
      <c r="G1842" s="29"/>
      <c r="H1842" s="78" t="str">
        <f t="shared" si="286"/>
        <v/>
      </c>
      <c r="I1842" s="25"/>
      <c r="J1842" s="25"/>
      <c r="K1842" s="26"/>
      <c r="L1842" s="26"/>
      <c r="M1842" s="37"/>
      <c r="N1842" s="27"/>
      <c r="O1842" s="30"/>
      <c r="P1842" s="39" t="str">
        <f t="shared" si="287"/>
        <v/>
      </c>
      <c r="Q1842" s="40" t="str">
        <f>IF(OR(T1842=0,RIGHT(T1842,1)=$W$1),"",COUNTIF($T$3:T1842,T1842))</f>
        <v/>
      </c>
      <c r="S1842" s="6">
        <f t="shared" si="288"/>
        <v>0</v>
      </c>
      <c r="T1842" s="36">
        <f t="shared" si="289"/>
        <v>0</v>
      </c>
      <c r="V1842" s="6">
        <f t="shared" si="290"/>
        <v>0</v>
      </c>
      <c r="Y1842" s="8">
        <f t="shared" si="291"/>
        <v>46023</v>
      </c>
    </row>
    <row r="1843" spans="2:25" ht="18.75" x14ac:dyDescent="0.3">
      <c r="B1843" s="6">
        <f t="shared" si="283"/>
        <v>0</v>
      </c>
      <c r="C1843" s="6">
        <f t="shared" si="284"/>
        <v>0</v>
      </c>
      <c r="D1843" s="6" t="str">
        <f t="shared" si="285"/>
        <v/>
      </c>
      <c r="E1843" s="35" t="str">
        <f t="shared" si="282"/>
        <v/>
      </c>
      <c r="F1843" s="31"/>
      <c r="G1843" s="29"/>
      <c r="H1843" s="78" t="str">
        <f t="shared" si="286"/>
        <v/>
      </c>
      <c r="I1843" s="25"/>
      <c r="J1843" s="25"/>
      <c r="K1843" s="26"/>
      <c r="L1843" s="26"/>
      <c r="M1843" s="37"/>
      <c r="N1843" s="27"/>
      <c r="O1843" s="30"/>
      <c r="P1843" s="39" t="str">
        <f t="shared" si="287"/>
        <v/>
      </c>
      <c r="Q1843" s="40" t="str">
        <f>IF(OR(T1843=0,RIGHT(T1843,1)=$W$1),"",COUNTIF($T$3:T1843,T1843))</f>
        <v/>
      </c>
      <c r="S1843" s="6">
        <f t="shared" si="288"/>
        <v>0</v>
      </c>
      <c r="T1843" s="36">
        <f t="shared" si="289"/>
        <v>0</v>
      </c>
      <c r="V1843" s="6">
        <f t="shared" si="290"/>
        <v>0</v>
      </c>
      <c r="Y1843" s="8">
        <f t="shared" si="291"/>
        <v>46023</v>
      </c>
    </row>
    <row r="1844" spans="2:25" ht="18.75" x14ac:dyDescent="0.3">
      <c r="B1844" s="6">
        <f t="shared" si="283"/>
        <v>0</v>
      </c>
      <c r="C1844" s="6">
        <f t="shared" si="284"/>
        <v>0</v>
      </c>
      <c r="D1844" s="6" t="str">
        <f t="shared" si="285"/>
        <v/>
      </c>
      <c r="E1844" s="35" t="str">
        <f t="shared" si="282"/>
        <v/>
      </c>
      <c r="F1844" s="31"/>
      <c r="G1844" s="29"/>
      <c r="H1844" s="78" t="str">
        <f t="shared" si="286"/>
        <v/>
      </c>
      <c r="I1844" s="25"/>
      <c r="J1844" s="25"/>
      <c r="K1844" s="26"/>
      <c r="L1844" s="26"/>
      <c r="M1844" s="37"/>
      <c r="N1844" s="27"/>
      <c r="O1844" s="30"/>
      <c r="P1844" s="39" t="str">
        <f t="shared" si="287"/>
        <v/>
      </c>
      <c r="Q1844" s="40" t="str">
        <f>IF(OR(T1844=0,RIGHT(T1844,1)=$W$1),"",COUNTIF($T$3:T1844,T1844))</f>
        <v/>
      </c>
      <c r="S1844" s="6">
        <f t="shared" si="288"/>
        <v>0</v>
      </c>
      <c r="T1844" s="36">
        <f t="shared" si="289"/>
        <v>0</v>
      </c>
      <c r="V1844" s="6">
        <f t="shared" si="290"/>
        <v>0</v>
      </c>
      <c r="Y1844" s="8">
        <f t="shared" si="291"/>
        <v>46023</v>
      </c>
    </row>
    <row r="1845" spans="2:25" ht="18.75" x14ac:dyDescent="0.3">
      <c r="B1845" s="6">
        <f t="shared" si="283"/>
        <v>0</v>
      </c>
      <c r="C1845" s="6">
        <f t="shared" si="284"/>
        <v>0</v>
      </c>
      <c r="D1845" s="6" t="str">
        <f t="shared" si="285"/>
        <v/>
      </c>
      <c r="E1845" s="35" t="str">
        <f t="shared" si="282"/>
        <v/>
      </c>
      <c r="F1845" s="31"/>
      <c r="G1845" s="29"/>
      <c r="H1845" s="78" t="str">
        <f t="shared" si="286"/>
        <v/>
      </c>
      <c r="I1845" s="25"/>
      <c r="J1845" s="25"/>
      <c r="K1845" s="26"/>
      <c r="L1845" s="26"/>
      <c r="M1845" s="37"/>
      <c r="N1845" s="27"/>
      <c r="O1845" s="30"/>
      <c r="P1845" s="39" t="str">
        <f t="shared" si="287"/>
        <v/>
      </c>
      <c r="Q1845" s="40" t="str">
        <f>IF(OR(T1845=0,RIGHT(T1845,1)=$W$1),"",COUNTIF($T$3:T1845,T1845))</f>
        <v/>
      </c>
      <c r="S1845" s="6">
        <f t="shared" si="288"/>
        <v>0</v>
      </c>
      <c r="T1845" s="36">
        <f t="shared" si="289"/>
        <v>0</v>
      </c>
      <c r="V1845" s="6">
        <f t="shared" si="290"/>
        <v>0</v>
      </c>
      <c r="Y1845" s="8">
        <f t="shared" si="291"/>
        <v>46023</v>
      </c>
    </row>
    <row r="1846" spans="2:25" ht="18.75" x14ac:dyDescent="0.3">
      <c r="B1846" s="6">
        <f t="shared" si="283"/>
        <v>0</v>
      </c>
      <c r="C1846" s="6">
        <f t="shared" si="284"/>
        <v>0</v>
      </c>
      <c r="D1846" s="6" t="str">
        <f t="shared" si="285"/>
        <v/>
      </c>
      <c r="E1846" s="35" t="str">
        <f t="shared" si="282"/>
        <v/>
      </c>
      <c r="F1846" s="31"/>
      <c r="G1846" s="29"/>
      <c r="H1846" s="78" t="str">
        <f t="shared" si="286"/>
        <v/>
      </c>
      <c r="I1846" s="25"/>
      <c r="J1846" s="25"/>
      <c r="K1846" s="26"/>
      <c r="L1846" s="26"/>
      <c r="M1846" s="37"/>
      <c r="N1846" s="27"/>
      <c r="O1846" s="30"/>
      <c r="P1846" s="39" t="str">
        <f t="shared" si="287"/>
        <v/>
      </c>
      <c r="Q1846" s="40" t="str">
        <f>IF(OR(T1846=0,RIGHT(T1846,1)=$W$1),"",COUNTIF($T$3:T1846,T1846))</f>
        <v/>
      </c>
      <c r="S1846" s="6">
        <f t="shared" si="288"/>
        <v>0</v>
      </c>
      <c r="T1846" s="36">
        <f t="shared" si="289"/>
        <v>0</v>
      </c>
      <c r="V1846" s="6">
        <f t="shared" si="290"/>
        <v>0</v>
      </c>
      <c r="Y1846" s="8">
        <f t="shared" si="291"/>
        <v>46023</v>
      </c>
    </row>
    <row r="1847" spans="2:25" ht="18.75" x14ac:dyDescent="0.3">
      <c r="B1847" s="6">
        <f t="shared" si="283"/>
        <v>0</v>
      </c>
      <c r="C1847" s="6">
        <f t="shared" si="284"/>
        <v>0</v>
      </c>
      <c r="D1847" s="6" t="str">
        <f t="shared" si="285"/>
        <v/>
      </c>
      <c r="E1847" s="35" t="str">
        <f t="shared" si="282"/>
        <v/>
      </c>
      <c r="F1847" s="31"/>
      <c r="G1847" s="29"/>
      <c r="H1847" s="78" t="str">
        <f t="shared" si="286"/>
        <v/>
      </c>
      <c r="I1847" s="25"/>
      <c r="J1847" s="25"/>
      <c r="K1847" s="26"/>
      <c r="L1847" s="26"/>
      <c r="M1847" s="37"/>
      <c r="N1847" s="27"/>
      <c r="O1847" s="30"/>
      <c r="P1847" s="39" t="str">
        <f t="shared" si="287"/>
        <v/>
      </c>
      <c r="Q1847" s="40" t="str">
        <f>IF(OR(T1847=0,RIGHT(T1847,1)=$W$1),"",COUNTIF($T$3:T1847,T1847))</f>
        <v/>
      </c>
      <c r="S1847" s="6">
        <f t="shared" si="288"/>
        <v>0</v>
      </c>
      <c r="T1847" s="36">
        <f t="shared" si="289"/>
        <v>0</v>
      </c>
      <c r="V1847" s="6">
        <f t="shared" si="290"/>
        <v>0</v>
      </c>
      <c r="Y1847" s="8">
        <f t="shared" si="291"/>
        <v>46023</v>
      </c>
    </row>
    <row r="1848" spans="2:25" ht="18.75" x14ac:dyDescent="0.3">
      <c r="B1848" s="6">
        <f t="shared" si="283"/>
        <v>0</v>
      </c>
      <c r="C1848" s="6">
        <f t="shared" si="284"/>
        <v>0</v>
      </c>
      <c r="D1848" s="6" t="str">
        <f t="shared" si="285"/>
        <v/>
      </c>
      <c r="E1848" s="35" t="str">
        <f t="shared" si="282"/>
        <v/>
      </c>
      <c r="F1848" s="31"/>
      <c r="G1848" s="29"/>
      <c r="H1848" s="78" t="str">
        <f t="shared" si="286"/>
        <v/>
      </c>
      <c r="I1848" s="25"/>
      <c r="J1848" s="25"/>
      <c r="K1848" s="26"/>
      <c r="L1848" s="26"/>
      <c r="M1848" s="37"/>
      <c r="N1848" s="27"/>
      <c r="O1848" s="30"/>
      <c r="P1848" s="39" t="str">
        <f t="shared" si="287"/>
        <v/>
      </c>
      <c r="Q1848" s="40" t="str">
        <f>IF(OR(T1848=0,RIGHT(T1848,1)=$W$1),"",COUNTIF($T$3:T1848,T1848))</f>
        <v/>
      </c>
      <c r="S1848" s="6">
        <f t="shared" si="288"/>
        <v>0</v>
      </c>
      <c r="T1848" s="36">
        <f t="shared" si="289"/>
        <v>0</v>
      </c>
      <c r="V1848" s="6">
        <f t="shared" si="290"/>
        <v>0</v>
      </c>
      <c r="Y1848" s="8">
        <f t="shared" si="291"/>
        <v>46023</v>
      </c>
    </row>
    <row r="1849" spans="2:25" ht="18.75" x14ac:dyDescent="0.3">
      <c r="B1849" s="6">
        <f t="shared" si="283"/>
        <v>0</v>
      </c>
      <c r="C1849" s="6">
        <f t="shared" si="284"/>
        <v>0</v>
      </c>
      <c r="D1849" s="6" t="str">
        <f t="shared" si="285"/>
        <v/>
      </c>
      <c r="E1849" s="35" t="str">
        <f t="shared" si="282"/>
        <v/>
      </c>
      <c r="F1849" s="31"/>
      <c r="G1849" s="29"/>
      <c r="H1849" s="78" t="str">
        <f t="shared" si="286"/>
        <v/>
      </c>
      <c r="I1849" s="25"/>
      <c r="J1849" s="25"/>
      <c r="K1849" s="26"/>
      <c r="L1849" s="26"/>
      <c r="M1849" s="37"/>
      <c r="N1849" s="27"/>
      <c r="O1849" s="30"/>
      <c r="P1849" s="39" t="str">
        <f t="shared" si="287"/>
        <v/>
      </c>
      <c r="Q1849" s="40" t="str">
        <f>IF(OR(T1849=0,RIGHT(T1849,1)=$W$1),"",COUNTIF($T$3:T1849,T1849))</f>
        <v/>
      </c>
      <c r="S1849" s="6">
        <f t="shared" si="288"/>
        <v>0</v>
      </c>
      <c r="T1849" s="36">
        <f t="shared" si="289"/>
        <v>0</v>
      </c>
      <c r="V1849" s="6">
        <f t="shared" si="290"/>
        <v>0</v>
      </c>
      <c r="Y1849" s="8">
        <f t="shared" si="291"/>
        <v>46023</v>
      </c>
    </row>
    <row r="1850" spans="2:25" ht="18.75" x14ac:dyDescent="0.3">
      <c r="B1850" s="6">
        <f t="shared" si="283"/>
        <v>0</v>
      </c>
      <c r="C1850" s="6">
        <f t="shared" si="284"/>
        <v>0</v>
      </c>
      <c r="D1850" s="6" t="str">
        <f t="shared" si="285"/>
        <v/>
      </c>
      <c r="E1850" s="35" t="str">
        <f t="shared" si="282"/>
        <v/>
      </c>
      <c r="F1850" s="31"/>
      <c r="G1850" s="29"/>
      <c r="H1850" s="78" t="str">
        <f t="shared" si="286"/>
        <v/>
      </c>
      <c r="I1850" s="25"/>
      <c r="J1850" s="25"/>
      <c r="K1850" s="26"/>
      <c r="L1850" s="26"/>
      <c r="M1850" s="37"/>
      <c r="N1850" s="27"/>
      <c r="O1850" s="30"/>
      <c r="P1850" s="39" t="str">
        <f t="shared" si="287"/>
        <v/>
      </c>
      <c r="Q1850" s="40" t="str">
        <f>IF(OR(T1850=0,RIGHT(T1850,1)=$W$1),"",COUNTIF($T$3:T1850,T1850))</f>
        <v/>
      </c>
      <c r="S1850" s="6">
        <f t="shared" si="288"/>
        <v>0</v>
      </c>
      <c r="T1850" s="36">
        <f t="shared" si="289"/>
        <v>0</v>
      </c>
      <c r="V1850" s="6">
        <f t="shared" si="290"/>
        <v>0</v>
      </c>
      <c r="Y1850" s="8">
        <f t="shared" si="291"/>
        <v>46023</v>
      </c>
    </row>
    <row r="1851" spans="2:25" ht="18.75" x14ac:dyDescent="0.3">
      <c r="B1851" s="6">
        <f t="shared" si="283"/>
        <v>0</v>
      </c>
      <c r="C1851" s="6">
        <f t="shared" si="284"/>
        <v>0</v>
      </c>
      <c r="D1851" s="6" t="str">
        <f t="shared" si="285"/>
        <v/>
      </c>
      <c r="E1851" s="35" t="str">
        <f t="shared" si="282"/>
        <v/>
      </c>
      <c r="F1851" s="31"/>
      <c r="G1851" s="29"/>
      <c r="H1851" s="78" t="str">
        <f t="shared" si="286"/>
        <v/>
      </c>
      <c r="I1851" s="25"/>
      <c r="J1851" s="25"/>
      <c r="K1851" s="26"/>
      <c r="L1851" s="26"/>
      <c r="M1851" s="37"/>
      <c r="N1851" s="27"/>
      <c r="O1851" s="30"/>
      <c r="P1851" s="39" t="str">
        <f t="shared" si="287"/>
        <v/>
      </c>
      <c r="Q1851" s="40" t="str">
        <f>IF(OR(T1851=0,RIGHT(T1851,1)=$W$1),"",COUNTIF($T$3:T1851,T1851))</f>
        <v/>
      </c>
      <c r="S1851" s="6">
        <f t="shared" si="288"/>
        <v>0</v>
      </c>
      <c r="T1851" s="36">
        <f t="shared" si="289"/>
        <v>0</v>
      </c>
      <c r="V1851" s="6">
        <f t="shared" si="290"/>
        <v>0</v>
      </c>
      <c r="Y1851" s="8">
        <f t="shared" si="291"/>
        <v>46023</v>
      </c>
    </row>
    <row r="1852" spans="2:25" ht="18.75" x14ac:dyDescent="0.3">
      <c r="B1852" s="6">
        <f t="shared" si="283"/>
        <v>0</v>
      </c>
      <c r="C1852" s="6">
        <f t="shared" si="284"/>
        <v>0</v>
      </c>
      <c r="D1852" s="6" t="str">
        <f t="shared" si="285"/>
        <v/>
      </c>
      <c r="E1852" s="35" t="str">
        <f t="shared" si="282"/>
        <v/>
      </c>
      <c r="F1852" s="31"/>
      <c r="G1852" s="29"/>
      <c r="H1852" s="78" t="str">
        <f t="shared" si="286"/>
        <v/>
      </c>
      <c r="I1852" s="25"/>
      <c r="J1852" s="25"/>
      <c r="K1852" s="26"/>
      <c r="L1852" s="26"/>
      <c r="M1852" s="37"/>
      <c r="N1852" s="27"/>
      <c r="O1852" s="30"/>
      <c r="P1852" s="39" t="str">
        <f t="shared" si="287"/>
        <v/>
      </c>
      <c r="Q1852" s="40" t="str">
        <f>IF(OR(T1852=0,RIGHT(T1852,1)=$W$1),"",COUNTIF($T$3:T1852,T1852))</f>
        <v/>
      </c>
      <c r="S1852" s="6">
        <f t="shared" si="288"/>
        <v>0</v>
      </c>
      <c r="T1852" s="36">
        <f t="shared" si="289"/>
        <v>0</v>
      </c>
      <c r="V1852" s="6">
        <f t="shared" si="290"/>
        <v>0</v>
      </c>
      <c r="Y1852" s="8">
        <f t="shared" si="291"/>
        <v>46023</v>
      </c>
    </row>
    <row r="1853" spans="2:25" ht="18.75" x14ac:dyDescent="0.3">
      <c r="B1853" s="6">
        <f t="shared" si="283"/>
        <v>0</v>
      </c>
      <c r="C1853" s="6">
        <f t="shared" si="284"/>
        <v>0</v>
      </c>
      <c r="D1853" s="6" t="str">
        <f t="shared" si="285"/>
        <v/>
      </c>
      <c r="E1853" s="35" t="str">
        <f t="shared" si="282"/>
        <v/>
      </c>
      <c r="F1853" s="31"/>
      <c r="G1853" s="29"/>
      <c r="H1853" s="78" t="str">
        <f t="shared" si="286"/>
        <v/>
      </c>
      <c r="I1853" s="25"/>
      <c r="J1853" s="25"/>
      <c r="K1853" s="26"/>
      <c r="L1853" s="26"/>
      <c r="M1853" s="37"/>
      <c r="N1853" s="27"/>
      <c r="O1853" s="30"/>
      <c r="P1853" s="39" t="str">
        <f t="shared" si="287"/>
        <v/>
      </c>
      <c r="Q1853" s="40" t="str">
        <f>IF(OR(T1853=0,RIGHT(T1853,1)=$W$1),"",COUNTIF($T$3:T1853,T1853))</f>
        <v/>
      </c>
      <c r="S1853" s="6">
        <f t="shared" si="288"/>
        <v>0</v>
      </c>
      <c r="T1853" s="36">
        <f t="shared" si="289"/>
        <v>0</v>
      </c>
      <c r="V1853" s="6">
        <f t="shared" si="290"/>
        <v>0</v>
      </c>
      <c r="Y1853" s="8">
        <f t="shared" si="291"/>
        <v>46023</v>
      </c>
    </row>
    <row r="1854" spans="2:25" ht="18.75" x14ac:dyDescent="0.3">
      <c r="B1854" s="6">
        <f t="shared" si="283"/>
        <v>0</v>
      </c>
      <c r="C1854" s="6">
        <f t="shared" si="284"/>
        <v>0</v>
      </c>
      <c r="D1854" s="6" t="str">
        <f t="shared" si="285"/>
        <v/>
      </c>
      <c r="E1854" s="35" t="str">
        <f t="shared" si="282"/>
        <v/>
      </c>
      <c r="F1854" s="31"/>
      <c r="G1854" s="29"/>
      <c r="H1854" s="78" t="str">
        <f t="shared" si="286"/>
        <v/>
      </c>
      <c r="I1854" s="25"/>
      <c r="J1854" s="25"/>
      <c r="K1854" s="26"/>
      <c r="L1854" s="26"/>
      <c r="M1854" s="37"/>
      <c r="N1854" s="27"/>
      <c r="O1854" s="30"/>
      <c r="P1854" s="39" t="str">
        <f t="shared" si="287"/>
        <v/>
      </c>
      <c r="Q1854" s="40" t="str">
        <f>IF(OR(T1854=0,RIGHT(T1854,1)=$W$1),"",COUNTIF($T$3:T1854,T1854))</f>
        <v/>
      </c>
      <c r="S1854" s="6">
        <f t="shared" si="288"/>
        <v>0</v>
      </c>
      <c r="T1854" s="36">
        <f t="shared" si="289"/>
        <v>0</v>
      </c>
      <c r="V1854" s="6">
        <f t="shared" si="290"/>
        <v>0</v>
      </c>
      <c r="Y1854" s="8">
        <f t="shared" si="291"/>
        <v>46023</v>
      </c>
    </row>
    <row r="1855" spans="2:25" ht="18.75" x14ac:dyDescent="0.3">
      <c r="B1855" s="6">
        <f t="shared" si="283"/>
        <v>0</v>
      </c>
      <c r="C1855" s="6">
        <f t="shared" si="284"/>
        <v>0</v>
      </c>
      <c r="D1855" s="6" t="str">
        <f t="shared" si="285"/>
        <v/>
      </c>
      <c r="E1855" s="35" t="str">
        <f t="shared" si="282"/>
        <v/>
      </c>
      <c r="F1855" s="31"/>
      <c r="G1855" s="29"/>
      <c r="H1855" s="78" t="str">
        <f t="shared" si="286"/>
        <v/>
      </c>
      <c r="I1855" s="25"/>
      <c r="J1855" s="25"/>
      <c r="K1855" s="26"/>
      <c r="L1855" s="26"/>
      <c r="M1855" s="37"/>
      <c r="N1855" s="27"/>
      <c r="O1855" s="30"/>
      <c r="P1855" s="39" t="str">
        <f t="shared" si="287"/>
        <v/>
      </c>
      <c r="Q1855" s="40" t="str">
        <f>IF(OR(T1855=0,RIGHT(T1855,1)=$W$1),"",COUNTIF($T$3:T1855,T1855))</f>
        <v/>
      </c>
      <c r="S1855" s="6">
        <f t="shared" si="288"/>
        <v>0</v>
      </c>
      <c r="T1855" s="36">
        <f t="shared" si="289"/>
        <v>0</v>
      </c>
      <c r="V1855" s="6">
        <f t="shared" si="290"/>
        <v>0</v>
      </c>
      <c r="Y1855" s="8">
        <f t="shared" si="291"/>
        <v>46023</v>
      </c>
    </row>
    <row r="1856" spans="2:25" ht="18.75" x14ac:dyDescent="0.3">
      <c r="B1856" s="6">
        <f t="shared" si="283"/>
        <v>0</v>
      </c>
      <c r="C1856" s="6">
        <f t="shared" si="284"/>
        <v>0</v>
      </c>
      <c r="D1856" s="6" t="str">
        <f t="shared" si="285"/>
        <v/>
      </c>
      <c r="E1856" s="35" t="str">
        <f t="shared" si="282"/>
        <v/>
      </c>
      <c r="F1856" s="31"/>
      <c r="G1856" s="29"/>
      <c r="H1856" s="78" t="str">
        <f t="shared" si="286"/>
        <v/>
      </c>
      <c r="I1856" s="25"/>
      <c r="J1856" s="25"/>
      <c r="K1856" s="26"/>
      <c r="L1856" s="26"/>
      <c r="M1856" s="37"/>
      <c r="N1856" s="27"/>
      <c r="O1856" s="30"/>
      <c r="P1856" s="39" t="str">
        <f t="shared" si="287"/>
        <v/>
      </c>
      <c r="Q1856" s="40" t="str">
        <f>IF(OR(T1856=0,RIGHT(T1856,1)=$W$1),"",COUNTIF($T$3:T1856,T1856))</f>
        <v/>
      </c>
      <c r="S1856" s="6">
        <f t="shared" si="288"/>
        <v>0</v>
      </c>
      <c r="T1856" s="36">
        <f t="shared" si="289"/>
        <v>0</v>
      </c>
      <c r="V1856" s="6">
        <f t="shared" si="290"/>
        <v>0</v>
      </c>
      <c r="Y1856" s="8">
        <f t="shared" si="291"/>
        <v>46023</v>
      </c>
    </row>
    <row r="1857" spans="2:25" ht="18.75" x14ac:dyDescent="0.3">
      <c r="B1857" s="6">
        <f t="shared" si="283"/>
        <v>0</v>
      </c>
      <c r="C1857" s="6">
        <f t="shared" si="284"/>
        <v>0</v>
      </c>
      <c r="D1857" s="6" t="str">
        <f t="shared" si="285"/>
        <v/>
      </c>
      <c r="E1857" s="35" t="str">
        <f t="shared" si="282"/>
        <v/>
      </c>
      <c r="F1857" s="31"/>
      <c r="G1857" s="29"/>
      <c r="H1857" s="78" t="str">
        <f t="shared" si="286"/>
        <v/>
      </c>
      <c r="I1857" s="25"/>
      <c r="J1857" s="25"/>
      <c r="K1857" s="26"/>
      <c r="L1857" s="26"/>
      <c r="M1857" s="37"/>
      <c r="N1857" s="27"/>
      <c r="O1857" s="30"/>
      <c r="P1857" s="39" t="str">
        <f t="shared" si="287"/>
        <v/>
      </c>
      <c r="Q1857" s="40" t="str">
        <f>IF(OR(T1857=0,RIGHT(T1857,1)=$W$1),"",COUNTIF($T$3:T1857,T1857))</f>
        <v/>
      </c>
      <c r="S1857" s="6">
        <f t="shared" si="288"/>
        <v>0</v>
      </c>
      <c r="T1857" s="36">
        <f t="shared" si="289"/>
        <v>0</v>
      </c>
      <c r="V1857" s="6">
        <f t="shared" si="290"/>
        <v>0</v>
      </c>
      <c r="Y1857" s="8">
        <f t="shared" si="291"/>
        <v>46023</v>
      </c>
    </row>
    <row r="1858" spans="2:25" ht="18.75" x14ac:dyDescent="0.3">
      <c r="B1858" s="6">
        <f t="shared" si="283"/>
        <v>0</v>
      </c>
      <c r="C1858" s="6">
        <f t="shared" si="284"/>
        <v>0</v>
      </c>
      <c r="D1858" s="6" t="str">
        <f t="shared" si="285"/>
        <v/>
      </c>
      <c r="E1858" s="35" t="str">
        <f t="shared" si="282"/>
        <v/>
      </c>
      <c r="F1858" s="31"/>
      <c r="G1858" s="29"/>
      <c r="H1858" s="78" t="str">
        <f t="shared" si="286"/>
        <v/>
      </c>
      <c r="I1858" s="25"/>
      <c r="J1858" s="25"/>
      <c r="K1858" s="26"/>
      <c r="L1858" s="26"/>
      <c r="M1858" s="37"/>
      <c r="N1858" s="27"/>
      <c r="O1858" s="30"/>
      <c r="P1858" s="39" t="str">
        <f t="shared" si="287"/>
        <v/>
      </c>
      <c r="Q1858" s="40" t="str">
        <f>IF(OR(T1858=0,RIGHT(T1858,1)=$W$1),"",COUNTIF($T$3:T1858,T1858))</f>
        <v/>
      </c>
      <c r="S1858" s="6">
        <f t="shared" si="288"/>
        <v>0</v>
      </c>
      <c r="T1858" s="36">
        <f t="shared" si="289"/>
        <v>0</v>
      </c>
      <c r="V1858" s="6">
        <f t="shared" si="290"/>
        <v>0</v>
      </c>
      <c r="Y1858" s="8">
        <f t="shared" si="291"/>
        <v>46023</v>
      </c>
    </row>
    <row r="1859" spans="2:25" ht="18.75" x14ac:dyDescent="0.3">
      <c r="B1859" s="6">
        <f t="shared" si="283"/>
        <v>0</v>
      </c>
      <c r="C1859" s="6">
        <f t="shared" si="284"/>
        <v>0</v>
      </c>
      <c r="D1859" s="6" t="str">
        <f t="shared" si="285"/>
        <v/>
      </c>
      <c r="E1859" s="35" t="str">
        <f t="shared" ref="E1859:E1922" si="292">IF(D1859&lt;&gt;"",D1859&amp;" - "&amp;YEAR(F1859),"")</f>
        <v/>
      </c>
      <c r="F1859" s="31"/>
      <c r="G1859" s="29"/>
      <c r="H1859" s="78" t="str">
        <f t="shared" si="286"/>
        <v/>
      </c>
      <c r="I1859" s="25"/>
      <c r="J1859" s="25"/>
      <c r="K1859" s="26"/>
      <c r="L1859" s="26"/>
      <c r="M1859" s="37"/>
      <c r="N1859" s="27"/>
      <c r="O1859" s="30"/>
      <c r="P1859" s="39" t="str">
        <f t="shared" si="287"/>
        <v/>
      </c>
      <c r="Q1859" s="40" t="str">
        <f>IF(OR(T1859=0,RIGHT(T1859,1)=$W$1),"",COUNTIF($T$3:T1859,T1859))</f>
        <v/>
      </c>
      <c r="S1859" s="6">
        <f t="shared" si="288"/>
        <v>0</v>
      </c>
      <c r="T1859" s="36">
        <f t="shared" si="289"/>
        <v>0</v>
      </c>
      <c r="V1859" s="6">
        <f t="shared" si="290"/>
        <v>0</v>
      </c>
      <c r="Y1859" s="8">
        <f t="shared" si="291"/>
        <v>46023</v>
      </c>
    </row>
    <row r="1860" spans="2:25" ht="18.75" x14ac:dyDescent="0.3">
      <c r="B1860" s="6">
        <f t="shared" ref="B1860:B1923" si="293">IF($B$1=YEAR(F1860),B1859+1,B1859)</f>
        <v>0</v>
      </c>
      <c r="C1860" s="6">
        <f t="shared" ref="C1860:C1923" si="294">IF(AND($C$1=K1860,$Y$1=YEAR(F1860)),C1859+1,C1859)</f>
        <v>0</v>
      </c>
      <c r="D1860" s="6" t="str">
        <f t="shared" ref="D1860:D1923" si="295">IF(F1860&lt;&gt;0,IF(YEAR(F1860)&lt;&gt;YEAR(F1859),1,IF(M1860=$AI$1,D1859,D1859+1)),"")</f>
        <v/>
      </c>
      <c r="E1860" s="35" t="str">
        <f t="shared" si="292"/>
        <v/>
      </c>
      <c r="F1860" s="31"/>
      <c r="G1860" s="29"/>
      <c r="H1860" s="78" t="str">
        <f t="shared" ref="H1860:H1923" si="296">IF(G1860&lt;&gt;"",F1860,"")</f>
        <v/>
      </c>
      <c r="I1860" s="25"/>
      <c r="J1860" s="25"/>
      <c r="K1860" s="26"/>
      <c r="L1860" s="26"/>
      <c r="M1860" s="37"/>
      <c r="N1860" s="27"/>
      <c r="O1860" s="30"/>
      <c r="P1860" s="39" t="str">
        <f t="shared" ref="P1860:P1923" si="297">IF(OR(T1860=0,RIGHT(T1860,1)=$W$1),"",VLOOKUP(K1860,$AD$1:$AK$15,5,FALSE))</f>
        <v/>
      </c>
      <c r="Q1860" s="40" t="str">
        <f>IF(OR(T1860=0,RIGHT(T1860,1)=$W$1),"",COUNTIF($T$3:T1860,T1860))</f>
        <v/>
      </c>
      <c r="S1860" s="6">
        <f t="shared" ref="S1860:S1923" si="298">IF(AND($C$1=K1860,$Y$1=YEAR(F1860)),C1860,0)</f>
        <v>0</v>
      </c>
      <c r="T1860" s="36">
        <f t="shared" ref="T1860:T1923" si="299">IF(F1860=0,0,YEAR(F1860)&amp;VLOOKUP(K1860,$AD$1:$AE$15,2,FALSE))</f>
        <v>0</v>
      </c>
      <c r="V1860" s="6">
        <f t="shared" ref="V1860:V1923" si="300">IF(AND(YEAR(F1860)=$Y$1,K1860=$C$1,L1860&amp;$V$1&lt;&gt;$V$1),L1860,IF(AND(YEAR(F1860)=$Y$1,K1860=$C$1),1,0))</f>
        <v>0</v>
      </c>
      <c r="Y1860" s="8">
        <f t="shared" ref="Y1860:Y1923" si="301">IF(M1860&lt;&gt;$AI$1,$Y$2,F1859)</f>
        <v>46023</v>
      </c>
    </row>
    <row r="1861" spans="2:25" ht="18.75" x14ac:dyDescent="0.3">
      <c r="B1861" s="6">
        <f t="shared" si="293"/>
        <v>0</v>
      </c>
      <c r="C1861" s="6">
        <f t="shared" si="294"/>
        <v>0</v>
      </c>
      <c r="D1861" s="6" t="str">
        <f t="shared" si="295"/>
        <v/>
      </c>
      <c r="E1861" s="35" t="str">
        <f t="shared" si="292"/>
        <v/>
      </c>
      <c r="F1861" s="31"/>
      <c r="G1861" s="29"/>
      <c r="H1861" s="78" t="str">
        <f t="shared" si="296"/>
        <v/>
      </c>
      <c r="I1861" s="25"/>
      <c r="J1861" s="25"/>
      <c r="K1861" s="26"/>
      <c r="L1861" s="26"/>
      <c r="M1861" s="37"/>
      <c r="N1861" s="27"/>
      <c r="O1861" s="30"/>
      <c r="P1861" s="39" t="str">
        <f t="shared" si="297"/>
        <v/>
      </c>
      <c r="Q1861" s="40" t="str">
        <f>IF(OR(T1861=0,RIGHT(T1861,1)=$W$1),"",COUNTIF($T$3:T1861,T1861))</f>
        <v/>
      </c>
      <c r="S1861" s="6">
        <f t="shared" si="298"/>
        <v>0</v>
      </c>
      <c r="T1861" s="36">
        <f t="shared" si="299"/>
        <v>0</v>
      </c>
      <c r="V1861" s="6">
        <f t="shared" si="300"/>
        <v>0</v>
      </c>
      <c r="Y1861" s="8">
        <f t="shared" si="301"/>
        <v>46023</v>
      </c>
    </row>
    <row r="1862" spans="2:25" ht="18.75" x14ac:dyDescent="0.3">
      <c r="B1862" s="6">
        <f t="shared" si="293"/>
        <v>0</v>
      </c>
      <c r="C1862" s="6">
        <f t="shared" si="294"/>
        <v>0</v>
      </c>
      <c r="D1862" s="6" t="str">
        <f t="shared" si="295"/>
        <v/>
      </c>
      <c r="E1862" s="35" t="str">
        <f t="shared" si="292"/>
        <v/>
      </c>
      <c r="F1862" s="31"/>
      <c r="G1862" s="29"/>
      <c r="H1862" s="78" t="str">
        <f t="shared" si="296"/>
        <v/>
      </c>
      <c r="I1862" s="25"/>
      <c r="J1862" s="25"/>
      <c r="K1862" s="26"/>
      <c r="L1862" s="26"/>
      <c r="M1862" s="37"/>
      <c r="N1862" s="27"/>
      <c r="O1862" s="30"/>
      <c r="P1862" s="39" t="str">
        <f t="shared" si="297"/>
        <v/>
      </c>
      <c r="Q1862" s="40" t="str">
        <f>IF(OR(T1862=0,RIGHT(T1862,1)=$W$1),"",COUNTIF($T$3:T1862,T1862))</f>
        <v/>
      </c>
      <c r="S1862" s="6">
        <f t="shared" si="298"/>
        <v>0</v>
      </c>
      <c r="T1862" s="36">
        <f t="shared" si="299"/>
        <v>0</v>
      </c>
      <c r="V1862" s="6">
        <f t="shared" si="300"/>
        <v>0</v>
      </c>
      <c r="Y1862" s="8">
        <f t="shared" si="301"/>
        <v>46023</v>
      </c>
    </row>
    <row r="1863" spans="2:25" ht="18.75" x14ac:dyDescent="0.3">
      <c r="B1863" s="6">
        <f t="shared" si="293"/>
        <v>0</v>
      </c>
      <c r="C1863" s="6">
        <f t="shared" si="294"/>
        <v>0</v>
      </c>
      <c r="D1863" s="6" t="str">
        <f t="shared" si="295"/>
        <v/>
      </c>
      <c r="E1863" s="35" t="str">
        <f t="shared" si="292"/>
        <v/>
      </c>
      <c r="F1863" s="31"/>
      <c r="G1863" s="29"/>
      <c r="H1863" s="78" t="str">
        <f t="shared" si="296"/>
        <v/>
      </c>
      <c r="I1863" s="25"/>
      <c r="J1863" s="25"/>
      <c r="K1863" s="26"/>
      <c r="L1863" s="26"/>
      <c r="M1863" s="37"/>
      <c r="N1863" s="27"/>
      <c r="O1863" s="30"/>
      <c r="P1863" s="39" t="str">
        <f t="shared" si="297"/>
        <v/>
      </c>
      <c r="Q1863" s="40" t="str">
        <f>IF(OR(T1863=0,RIGHT(T1863,1)=$W$1),"",COUNTIF($T$3:T1863,T1863))</f>
        <v/>
      </c>
      <c r="S1863" s="6">
        <f t="shared" si="298"/>
        <v>0</v>
      </c>
      <c r="T1863" s="36">
        <f t="shared" si="299"/>
        <v>0</v>
      </c>
      <c r="V1863" s="6">
        <f t="shared" si="300"/>
        <v>0</v>
      </c>
      <c r="Y1863" s="8">
        <f t="shared" si="301"/>
        <v>46023</v>
      </c>
    </row>
    <row r="1864" spans="2:25" ht="18.75" x14ac:dyDescent="0.3">
      <c r="B1864" s="6">
        <f t="shared" si="293"/>
        <v>0</v>
      </c>
      <c r="C1864" s="6">
        <f t="shared" si="294"/>
        <v>0</v>
      </c>
      <c r="D1864" s="6" t="str">
        <f t="shared" si="295"/>
        <v/>
      </c>
      <c r="E1864" s="35" t="str">
        <f t="shared" si="292"/>
        <v/>
      </c>
      <c r="F1864" s="31"/>
      <c r="G1864" s="29"/>
      <c r="H1864" s="78" t="str">
        <f t="shared" si="296"/>
        <v/>
      </c>
      <c r="I1864" s="25"/>
      <c r="J1864" s="25"/>
      <c r="K1864" s="26"/>
      <c r="L1864" s="26"/>
      <c r="M1864" s="37"/>
      <c r="N1864" s="27"/>
      <c r="O1864" s="30"/>
      <c r="P1864" s="39" t="str">
        <f t="shared" si="297"/>
        <v/>
      </c>
      <c r="Q1864" s="40" t="str">
        <f>IF(OR(T1864=0,RIGHT(T1864,1)=$W$1),"",COUNTIF($T$3:T1864,T1864))</f>
        <v/>
      </c>
      <c r="S1864" s="6">
        <f t="shared" si="298"/>
        <v>0</v>
      </c>
      <c r="T1864" s="36">
        <f t="shared" si="299"/>
        <v>0</v>
      </c>
      <c r="V1864" s="6">
        <f t="shared" si="300"/>
        <v>0</v>
      </c>
      <c r="Y1864" s="8">
        <f t="shared" si="301"/>
        <v>46023</v>
      </c>
    </row>
    <row r="1865" spans="2:25" ht="18.75" x14ac:dyDescent="0.3">
      <c r="B1865" s="6">
        <f t="shared" si="293"/>
        <v>0</v>
      </c>
      <c r="C1865" s="6">
        <f t="shared" si="294"/>
        <v>0</v>
      </c>
      <c r="D1865" s="6" t="str">
        <f t="shared" si="295"/>
        <v/>
      </c>
      <c r="E1865" s="35" t="str">
        <f t="shared" si="292"/>
        <v/>
      </c>
      <c r="F1865" s="31"/>
      <c r="G1865" s="29"/>
      <c r="H1865" s="78" t="str">
        <f t="shared" si="296"/>
        <v/>
      </c>
      <c r="I1865" s="25"/>
      <c r="J1865" s="25"/>
      <c r="K1865" s="26"/>
      <c r="L1865" s="26"/>
      <c r="M1865" s="37"/>
      <c r="N1865" s="27"/>
      <c r="O1865" s="30"/>
      <c r="P1865" s="39" t="str">
        <f t="shared" si="297"/>
        <v/>
      </c>
      <c r="Q1865" s="40" t="str">
        <f>IF(OR(T1865=0,RIGHT(T1865,1)=$W$1),"",COUNTIF($T$3:T1865,T1865))</f>
        <v/>
      </c>
      <c r="S1865" s="6">
        <f t="shared" si="298"/>
        <v>0</v>
      </c>
      <c r="T1865" s="36">
        <f t="shared" si="299"/>
        <v>0</v>
      </c>
      <c r="V1865" s="6">
        <f t="shared" si="300"/>
        <v>0</v>
      </c>
      <c r="Y1865" s="8">
        <f t="shared" si="301"/>
        <v>46023</v>
      </c>
    </row>
    <row r="1866" spans="2:25" ht="18.75" x14ac:dyDescent="0.3">
      <c r="B1866" s="6">
        <f t="shared" si="293"/>
        <v>0</v>
      </c>
      <c r="C1866" s="6">
        <f t="shared" si="294"/>
        <v>0</v>
      </c>
      <c r="D1866" s="6" t="str">
        <f t="shared" si="295"/>
        <v/>
      </c>
      <c r="E1866" s="35" t="str">
        <f t="shared" si="292"/>
        <v/>
      </c>
      <c r="F1866" s="31"/>
      <c r="G1866" s="29"/>
      <c r="H1866" s="78" t="str">
        <f t="shared" si="296"/>
        <v/>
      </c>
      <c r="I1866" s="25"/>
      <c r="J1866" s="25"/>
      <c r="K1866" s="26"/>
      <c r="L1866" s="26"/>
      <c r="M1866" s="37"/>
      <c r="N1866" s="27"/>
      <c r="O1866" s="30"/>
      <c r="P1866" s="39" t="str">
        <f t="shared" si="297"/>
        <v/>
      </c>
      <c r="Q1866" s="40" t="str">
        <f>IF(OR(T1866=0,RIGHT(T1866,1)=$W$1),"",COUNTIF($T$3:T1866,T1866))</f>
        <v/>
      </c>
      <c r="S1866" s="6">
        <f t="shared" si="298"/>
        <v>0</v>
      </c>
      <c r="T1866" s="36">
        <f t="shared" si="299"/>
        <v>0</v>
      </c>
      <c r="V1866" s="6">
        <f t="shared" si="300"/>
        <v>0</v>
      </c>
      <c r="Y1866" s="8">
        <f t="shared" si="301"/>
        <v>46023</v>
      </c>
    </row>
    <row r="1867" spans="2:25" ht="18.75" x14ac:dyDescent="0.3">
      <c r="B1867" s="6">
        <f t="shared" si="293"/>
        <v>0</v>
      </c>
      <c r="C1867" s="6">
        <f t="shared" si="294"/>
        <v>0</v>
      </c>
      <c r="D1867" s="6" t="str">
        <f t="shared" si="295"/>
        <v/>
      </c>
      <c r="E1867" s="35" t="str">
        <f t="shared" si="292"/>
        <v/>
      </c>
      <c r="F1867" s="31"/>
      <c r="G1867" s="29"/>
      <c r="H1867" s="78" t="str">
        <f t="shared" si="296"/>
        <v/>
      </c>
      <c r="I1867" s="25"/>
      <c r="J1867" s="25"/>
      <c r="K1867" s="26"/>
      <c r="L1867" s="26"/>
      <c r="M1867" s="37"/>
      <c r="N1867" s="27"/>
      <c r="O1867" s="30"/>
      <c r="P1867" s="39" t="str">
        <f t="shared" si="297"/>
        <v/>
      </c>
      <c r="Q1867" s="40" t="str">
        <f>IF(OR(T1867=0,RIGHT(T1867,1)=$W$1),"",COUNTIF($T$3:T1867,T1867))</f>
        <v/>
      </c>
      <c r="S1867" s="6">
        <f t="shared" si="298"/>
        <v>0</v>
      </c>
      <c r="T1867" s="36">
        <f t="shared" si="299"/>
        <v>0</v>
      </c>
      <c r="V1867" s="6">
        <f t="shared" si="300"/>
        <v>0</v>
      </c>
      <c r="Y1867" s="8">
        <f t="shared" si="301"/>
        <v>46023</v>
      </c>
    </row>
    <row r="1868" spans="2:25" ht="18.75" x14ac:dyDescent="0.3">
      <c r="B1868" s="6">
        <f t="shared" si="293"/>
        <v>0</v>
      </c>
      <c r="C1868" s="6">
        <f t="shared" si="294"/>
        <v>0</v>
      </c>
      <c r="D1868" s="6" t="str">
        <f t="shared" si="295"/>
        <v/>
      </c>
      <c r="E1868" s="35" t="str">
        <f t="shared" si="292"/>
        <v/>
      </c>
      <c r="F1868" s="31"/>
      <c r="G1868" s="29"/>
      <c r="H1868" s="78" t="str">
        <f t="shared" si="296"/>
        <v/>
      </c>
      <c r="I1868" s="25"/>
      <c r="J1868" s="25"/>
      <c r="K1868" s="26"/>
      <c r="L1868" s="26"/>
      <c r="M1868" s="37"/>
      <c r="N1868" s="27"/>
      <c r="O1868" s="30"/>
      <c r="P1868" s="39" t="str">
        <f t="shared" si="297"/>
        <v/>
      </c>
      <c r="Q1868" s="40" t="str">
        <f>IF(OR(T1868=0,RIGHT(T1868,1)=$W$1),"",COUNTIF($T$3:T1868,T1868))</f>
        <v/>
      </c>
      <c r="S1868" s="6">
        <f t="shared" si="298"/>
        <v>0</v>
      </c>
      <c r="T1868" s="36">
        <f t="shared" si="299"/>
        <v>0</v>
      </c>
      <c r="V1868" s="6">
        <f t="shared" si="300"/>
        <v>0</v>
      </c>
      <c r="Y1868" s="8">
        <f t="shared" si="301"/>
        <v>46023</v>
      </c>
    </row>
    <row r="1869" spans="2:25" ht="18.75" x14ac:dyDescent="0.3">
      <c r="B1869" s="6">
        <f t="shared" si="293"/>
        <v>0</v>
      </c>
      <c r="C1869" s="6">
        <f t="shared" si="294"/>
        <v>0</v>
      </c>
      <c r="D1869" s="6" t="str">
        <f t="shared" si="295"/>
        <v/>
      </c>
      <c r="E1869" s="35" t="str">
        <f t="shared" si="292"/>
        <v/>
      </c>
      <c r="F1869" s="31"/>
      <c r="G1869" s="29"/>
      <c r="H1869" s="78" t="str">
        <f t="shared" si="296"/>
        <v/>
      </c>
      <c r="I1869" s="25"/>
      <c r="J1869" s="25"/>
      <c r="K1869" s="26"/>
      <c r="L1869" s="26"/>
      <c r="M1869" s="37"/>
      <c r="N1869" s="27"/>
      <c r="O1869" s="30"/>
      <c r="P1869" s="39" t="str">
        <f t="shared" si="297"/>
        <v/>
      </c>
      <c r="Q1869" s="40" t="str">
        <f>IF(OR(T1869=0,RIGHT(T1869,1)=$W$1),"",COUNTIF($T$3:T1869,T1869))</f>
        <v/>
      </c>
      <c r="S1869" s="6">
        <f t="shared" si="298"/>
        <v>0</v>
      </c>
      <c r="T1869" s="36">
        <f t="shared" si="299"/>
        <v>0</v>
      </c>
      <c r="V1869" s="6">
        <f t="shared" si="300"/>
        <v>0</v>
      </c>
      <c r="Y1869" s="8">
        <f t="shared" si="301"/>
        <v>46023</v>
      </c>
    </row>
    <row r="1870" spans="2:25" ht="18.75" x14ac:dyDescent="0.3">
      <c r="B1870" s="6">
        <f t="shared" si="293"/>
        <v>0</v>
      </c>
      <c r="C1870" s="6">
        <f t="shared" si="294"/>
        <v>0</v>
      </c>
      <c r="D1870" s="6" t="str">
        <f t="shared" si="295"/>
        <v/>
      </c>
      <c r="E1870" s="35" t="str">
        <f t="shared" si="292"/>
        <v/>
      </c>
      <c r="F1870" s="31"/>
      <c r="G1870" s="29"/>
      <c r="H1870" s="78" t="str">
        <f t="shared" si="296"/>
        <v/>
      </c>
      <c r="I1870" s="25"/>
      <c r="J1870" s="25"/>
      <c r="K1870" s="26"/>
      <c r="L1870" s="26"/>
      <c r="M1870" s="37"/>
      <c r="N1870" s="27"/>
      <c r="O1870" s="30"/>
      <c r="P1870" s="39" t="str">
        <f t="shared" si="297"/>
        <v/>
      </c>
      <c r="Q1870" s="40" t="str">
        <f>IF(OR(T1870=0,RIGHT(T1870,1)=$W$1),"",COUNTIF($T$3:T1870,T1870))</f>
        <v/>
      </c>
      <c r="S1870" s="6">
        <f t="shared" si="298"/>
        <v>0</v>
      </c>
      <c r="T1870" s="36">
        <f t="shared" si="299"/>
        <v>0</v>
      </c>
      <c r="V1870" s="6">
        <f t="shared" si="300"/>
        <v>0</v>
      </c>
      <c r="Y1870" s="8">
        <f t="shared" si="301"/>
        <v>46023</v>
      </c>
    </row>
    <row r="1871" spans="2:25" ht="18.75" x14ac:dyDescent="0.3">
      <c r="B1871" s="6">
        <f t="shared" si="293"/>
        <v>0</v>
      </c>
      <c r="C1871" s="6">
        <f t="shared" si="294"/>
        <v>0</v>
      </c>
      <c r="D1871" s="6" t="str">
        <f t="shared" si="295"/>
        <v/>
      </c>
      <c r="E1871" s="35" t="str">
        <f t="shared" si="292"/>
        <v/>
      </c>
      <c r="F1871" s="31"/>
      <c r="G1871" s="29"/>
      <c r="H1871" s="78" t="str">
        <f t="shared" si="296"/>
        <v/>
      </c>
      <c r="I1871" s="25"/>
      <c r="J1871" s="25"/>
      <c r="K1871" s="26"/>
      <c r="L1871" s="26"/>
      <c r="M1871" s="37"/>
      <c r="N1871" s="27"/>
      <c r="O1871" s="30"/>
      <c r="P1871" s="39" t="str">
        <f t="shared" si="297"/>
        <v/>
      </c>
      <c r="Q1871" s="40" t="str">
        <f>IF(OR(T1871=0,RIGHT(T1871,1)=$W$1),"",COUNTIF($T$3:T1871,T1871))</f>
        <v/>
      </c>
      <c r="S1871" s="6">
        <f t="shared" si="298"/>
        <v>0</v>
      </c>
      <c r="T1871" s="36">
        <f t="shared" si="299"/>
        <v>0</v>
      </c>
      <c r="V1871" s="6">
        <f t="shared" si="300"/>
        <v>0</v>
      </c>
      <c r="Y1871" s="8">
        <f t="shared" si="301"/>
        <v>46023</v>
      </c>
    </row>
    <row r="1872" spans="2:25" ht="18.75" x14ac:dyDescent="0.3">
      <c r="B1872" s="6">
        <f t="shared" si="293"/>
        <v>0</v>
      </c>
      <c r="C1872" s="6">
        <f t="shared" si="294"/>
        <v>0</v>
      </c>
      <c r="D1872" s="6" t="str">
        <f t="shared" si="295"/>
        <v/>
      </c>
      <c r="E1872" s="35" t="str">
        <f t="shared" si="292"/>
        <v/>
      </c>
      <c r="F1872" s="31"/>
      <c r="G1872" s="29"/>
      <c r="H1872" s="78" t="str">
        <f t="shared" si="296"/>
        <v/>
      </c>
      <c r="I1872" s="25"/>
      <c r="J1872" s="25"/>
      <c r="K1872" s="26"/>
      <c r="L1872" s="26"/>
      <c r="M1872" s="37"/>
      <c r="N1872" s="27"/>
      <c r="O1872" s="30"/>
      <c r="P1872" s="39" t="str">
        <f t="shared" si="297"/>
        <v/>
      </c>
      <c r="Q1872" s="40" t="str">
        <f>IF(OR(T1872=0,RIGHT(T1872,1)=$W$1),"",COUNTIF($T$3:T1872,T1872))</f>
        <v/>
      </c>
      <c r="S1872" s="6">
        <f t="shared" si="298"/>
        <v>0</v>
      </c>
      <c r="T1872" s="36">
        <f t="shared" si="299"/>
        <v>0</v>
      </c>
      <c r="V1872" s="6">
        <f t="shared" si="300"/>
        <v>0</v>
      </c>
      <c r="Y1872" s="8">
        <f t="shared" si="301"/>
        <v>46023</v>
      </c>
    </row>
    <row r="1873" spans="2:25" ht="18.75" x14ac:dyDescent="0.3">
      <c r="B1873" s="6">
        <f t="shared" si="293"/>
        <v>0</v>
      </c>
      <c r="C1873" s="6">
        <f t="shared" si="294"/>
        <v>0</v>
      </c>
      <c r="D1873" s="6" t="str">
        <f t="shared" si="295"/>
        <v/>
      </c>
      <c r="E1873" s="35" t="str">
        <f t="shared" si="292"/>
        <v/>
      </c>
      <c r="F1873" s="31"/>
      <c r="G1873" s="29"/>
      <c r="H1873" s="78" t="str">
        <f t="shared" si="296"/>
        <v/>
      </c>
      <c r="I1873" s="25"/>
      <c r="J1873" s="25"/>
      <c r="K1873" s="26"/>
      <c r="L1873" s="26"/>
      <c r="M1873" s="37"/>
      <c r="N1873" s="27"/>
      <c r="O1873" s="30"/>
      <c r="P1873" s="39" t="str">
        <f t="shared" si="297"/>
        <v/>
      </c>
      <c r="Q1873" s="40" t="str">
        <f>IF(OR(T1873=0,RIGHT(T1873,1)=$W$1),"",COUNTIF($T$3:T1873,T1873))</f>
        <v/>
      </c>
      <c r="S1873" s="6">
        <f t="shared" si="298"/>
        <v>0</v>
      </c>
      <c r="T1873" s="36">
        <f t="shared" si="299"/>
        <v>0</v>
      </c>
      <c r="V1873" s="6">
        <f t="shared" si="300"/>
        <v>0</v>
      </c>
      <c r="Y1873" s="8">
        <f t="shared" si="301"/>
        <v>46023</v>
      </c>
    </row>
    <row r="1874" spans="2:25" ht="18.75" x14ac:dyDescent="0.3">
      <c r="B1874" s="6">
        <f t="shared" si="293"/>
        <v>0</v>
      </c>
      <c r="C1874" s="6">
        <f t="shared" si="294"/>
        <v>0</v>
      </c>
      <c r="D1874" s="6" t="str">
        <f t="shared" si="295"/>
        <v/>
      </c>
      <c r="E1874" s="35" t="str">
        <f t="shared" si="292"/>
        <v/>
      </c>
      <c r="F1874" s="31"/>
      <c r="G1874" s="29"/>
      <c r="H1874" s="78" t="str">
        <f t="shared" si="296"/>
        <v/>
      </c>
      <c r="I1874" s="25"/>
      <c r="J1874" s="25"/>
      <c r="K1874" s="26"/>
      <c r="L1874" s="26"/>
      <c r="M1874" s="37"/>
      <c r="N1874" s="27"/>
      <c r="O1874" s="30"/>
      <c r="P1874" s="39" t="str">
        <f t="shared" si="297"/>
        <v/>
      </c>
      <c r="Q1874" s="40" t="str">
        <f>IF(OR(T1874=0,RIGHT(T1874,1)=$W$1),"",COUNTIF($T$3:T1874,T1874))</f>
        <v/>
      </c>
      <c r="S1874" s="6">
        <f t="shared" si="298"/>
        <v>0</v>
      </c>
      <c r="T1874" s="36">
        <f t="shared" si="299"/>
        <v>0</v>
      </c>
      <c r="V1874" s="6">
        <f t="shared" si="300"/>
        <v>0</v>
      </c>
      <c r="Y1874" s="8">
        <f t="shared" si="301"/>
        <v>46023</v>
      </c>
    </row>
    <row r="1875" spans="2:25" ht="18.75" x14ac:dyDescent="0.3">
      <c r="B1875" s="6">
        <f t="shared" si="293"/>
        <v>0</v>
      </c>
      <c r="C1875" s="6">
        <f t="shared" si="294"/>
        <v>0</v>
      </c>
      <c r="D1875" s="6" t="str">
        <f t="shared" si="295"/>
        <v/>
      </c>
      <c r="E1875" s="35" t="str">
        <f t="shared" si="292"/>
        <v/>
      </c>
      <c r="F1875" s="31"/>
      <c r="G1875" s="29"/>
      <c r="H1875" s="78" t="str">
        <f t="shared" si="296"/>
        <v/>
      </c>
      <c r="I1875" s="25"/>
      <c r="J1875" s="25"/>
      <c r="K1875" s="26"/>
      <c r="L1875" s="26"/>
      <c r="M1875" s="37"/>
      <c r="N1875" s="27"/>
      <c r="O1875" s="30"/>
      <c r="P1875" s="39" t="str">
        <f t="shared" si="297"/>
        <v/>
      </c>
      <c r="Q1875" s="40" t="str">
        <f>IF(OR(T1875=0,RIGHT(T1875,1)=$W$1),"",COUNTIF($T$3:T1875,T1875))</f>
        <v/>
      </c>
      <c r="S1875" s="6">
        <f t="shared" si="298"/>
        <v>0</v>
      </c>
      <c r="T1875" s="36">
        <f t="shared" si="299"/>
        <v>0</v>
      </c>
      <c r="V1875" s="6">
        <f t="shared" si="300"/>
        <v>0</v>
      </c>
      <c r="Y1875" s="8">
        <f t="shared" si="301"/>
        <v>46023</v>
      </c>
    </row>
    <row r="1876" spans="2:25" ht="18.75" x14ac:dyDescent="0.3">
      <c r="B1876" s="6">
        <f t="shared" si="293"/>
        <v>0</v>
      </c>
      <c r="C1876" s="6">
        <f t="shared" si="294"/>
        <v>0</v>
      </c>
      <c r="D1876" s="6" t="str">
        <f t="shared" si="295"/>
        <v/>
      </c>
      <c r="E1876" s="35" t="str">
        <f t="shared" si="292"/>
        <v/>
      </c>
      <c r="F1876" s="31"/>
      <c r="G1876" s="29"/>
      <c r="H1876" s="78" t="str">
        <f t="shared" si="296"/>
        <v/>
      </c>
      <c r="I1876" s="25"/>
      <c r="J1876" s="25"/>
      <c r="K1876" s="26"/>
      <c r="L1876" s="26"/>
      <c r="M1876" s="37"/>
      <c r="N1876" s="27"/>
      <c r="O1876" s="30"/>
      <c r="P1876" s="39" t="str">
        <f t="shared" si="297"/>
        <v/>
      </c>
      <c r="Q1876" s="40" t="str">
        <f>IF(OR(T1876=0,RIGHT(T1876,1)=$W$1),"",COUNTIF($T$3:T1876,T1876))</f>
        <v/>
      </c>
      <c r="S1876" s="6">
        <f t="shared" si="298"/>
        <v>0</v>
      </c>
      <c r="T1876" s="36">
        <f t="shared" si="299"/>
        <v>0</v>
      </c>
      <c r="V1876" s="6">
        <f t="shared" si="300"/>
        <v>0</v>
      </c>
      <c r="Y1876" s="8">
        <f t="shared" si="301"/>
        <v>46023</v>
      </c>
    </row>
    <row r="1877" spans="2:25" ht="18.75" x14ac:dyDescent="0.3">
      <c r="B1877" s="6">
        <f t="shared" si="293"/>
        <v>0</v>
      </c>
      <c r="C1877" s="6">
        <f t="shared" si="294"/>
        <v>0</v>
      </c>
      <c r="D1877" s="6" t="str">
        <f t="shared" si="295"/>
        <v/>
      </c>
      <c r="E1877" s="35" t="str">
        <f t="shared" si="292"/>
        <v/>
      </c>
      <c r="F1877" s="31"/>
      <c r="G1877" s="29"/>
      <c r="H1877" s="78" t="str">
        <f t="shared" si="296"/>
        <v/>
      </c>
      <c r="I1877" s="25"/>
      <c r="J1877" s="25"/>
      <c r="K1877" s="26"/>
      <c r="L1877" s="26"/>
      <c r="M1877" s="37"/>
      <c r="N1877" s="27"/>
      <c r="O1877" s="30"/>
      <c r="P1877" s="39" t="str">
        <f t="shared" si="297"/>
        <v/>
      </c>
      <c r="Q1877" s="40" t="str">
        <f>IF(OR(T1877=0,RIGHT(T1877,1)=$W$1),"",COUNTIF($T$3:T1877,T1877))</f>
        <v/>
      </c>
      <c r="S1877" s="6">
        <f t="shared" si="298"/>
        <v>0</v>
      </c>
      <c r="T1877" s="36">
        <f t="shared" si="299"/>
        <v>0</v>
      </c>
      <c r="V1877" s="6">
        <f t="shared" si="300"/>
        <v>0</v>
      </c>
      <c r="Y1877" s="8">
        <f t="shared" si="301"/>
        <v>46023</v>
      </c>
    </row>
    <row r="1878" spans="2:25" ht="18.75" x14ac:dyDescent="0.3">
      <c r="B1878" s="6">
        <f t="shared" si="293"/>
        <v>0</v>
      </c>
      <c r="C1878" s="6">
        <f t="shared" si="294"/>
        <v>0</v>
      </c>
      <c r="D1878" s="6" t="str">
        <f t="shared" si="295"/>
        <v/>
      </c>
      <c r="E1878" s="35" t="str">
        <f t="shared" si="292"/>
        <v/>
      </c>
      <c r="F1878" s="31"/>
      <c r="G1878" s="29"/>
      <c r="H1878" s="78" t="str">
        <f t="shared" si="296"/>
        <v/>
      </c>
      <c r="I1878" s="25"/>
      <c r="J1878" s="25"/>
      <c r="K1878" s="26"/>
      <c r="L1878" s="26"/>
      <c r="M1878" s="37"/>
      <c r="N1878" s="27"/>
      <c r="O1878" s="30"/>
      <c r="P1878" s="39" t="str">
        <f t="shared" si="297"/>
        <v/>
      </c>
      <c r="Q1878" s="40" t="str">
        <f>IF(OR(T1878=0,RIGHT(T1878,1)=$W$1),"",COUNTIF($T$3:T1878,T1878))</f>
        <v/>
      </c>
      <c r="S1878" s="6">
        <f t="shared" si="298"/>
        <v>0</v>
      </c>
      <c r="T1878" s="36">
        <f t="shared" si="299"/>
        <v>0</v>
      </c>
      <c r="V1878" s="6">
        <f t="shared" si="300"/>
        <v>0</v>
      </c>
      <c r="Y1878" s="8">
        <f t="shared" si="301"/>
        <v>46023</v>
      </c>
    </row>
    <row r="1879" spans="2:25" ht="18.75" x14ac:dyDescent="0.3">
      <c r="B1879" s="6">
        <f t="shared" si="293"/>
        <v>0</v>
      </c>
      <c r="C1879" s="6">
        <f t="shared" si="294"/>
        <v>0</v>
      </c>
      <c r="D1879" s="6" t="str">
        <f t="shared" si="295"/>
        <v/>
      </c>
      <c r="E1879" s="35" t="str">
        <f t="shared" si="292"/>
        <v/>
      </c>
      <c r="F1879" s="31"/>
      <c r="G1879" s="29"/>
      <c r="H1879" s="78" t="str">
        <f t="shared" si="296"/>
        <v/>
      </c>
      <c r="I1879" s="25"/>
      <c r="J1879" s="25"/>
      <c r="K1879" s="26"/>
      <c r="L1879" s="26"/>
      <c r="M1879" s="37"/>
      <c r="N1879" s="27"/>
      <c r="O1879" s="30"/>
      <c r="P1879" s="39" t="str">
        <f t="shared" si="297"/>
        <v/>
      </c>
      <c r="Q1879" s="40" t="str">
        <f>IF(OR(T1879=0,RIGHT(T1879,1)=$W$1),"",COUNTIF($T$3:T1879,T1879))</f>
        <v/>
      </c>
      <c r="S1879" s="6">
        <f t="shared" si="298"/>
        <v>0</v>
      </c>
      <c r="T1879" s="36">
        <f t="shared" si="299"/>
        <v>0</v>
      </c>
      <c r="V1879" s="6">
        <f t="shared" si="300"/>
        <v>0</v>
      </c>
      <c r="Y1879" s="8">
        <f t="shared" si="301"/>
        <v>46023</v>
      </c>
    </row>
    <row r="1880" spans="2:25" ht="18.75" x14ac:dyDescent="0.3">
      <c r="B1880" s="6">
        <f t="shared" si="293"/>
        <v>0</v>
      </c>
      <c r="C1880" s="6">
        <f t="shared" si="294"/>
        <v>0</v>
      </c>
      <c r="D1880" s="6" t="str">
        <f t="shared" si="295"/>
        <v/>
      </c>
      <c r="E1880" s="35" t="str">
        <f t="shared" si="292"/>
        <v/>
      </c>
      <c r="F1880" s="31"/>
      <c r="G1880" s="29"/>
      <c r="H1880" s="78" t="str">
        <f t="shared" si="296"/>
        <v/>
      </c>
      <c r="I1880" s="25"/>
      <c r="J1880" s="25"/>
      <c r="K1880" s="26"/>
      <c r="L1880" s="26"/>
      <c r="M1880" s="37"/>
      <c r="N1880" s="27"/>
      <c r="O1880" s="30"/>
      <c r="P1880" s="39" t="str">
        <f t="shared" si="297"/>
        <v/>
      </c>
      <c r="Q1880" s="40" t="str">
        <f>IF(OR(T1880=0,RIGHT(T1880,1)=$W$1),"",COUNTIF($T$3:T1880,T1880))</f>
        <v/>
      </c>
      <c r="S1880" s="6">
        <f t="shared" si="298"/>
        <v>0</v>
      </c>
      <c r="T1880" s="36">
        <f t="shared" si="299"/>
        <v>0</v>
      </c>
      <c r="V1880" s="6">
        <f t="shared" si="300"/>
        <v>0</v>
      </c>
      <c r="Y1880" s="8">
        <f t="shared" si="301"/>
        <v>46023</v>
      </c>
    </row>
    <row r="1881" spans="2:25" ht="18.75" x14ac:dyDescent="0.3">
      <c r="B1881" s="6">
        <f t="shared" si="293"/>
        <v>0</v>
      </c>
      <c r="C1881" s="6">
        <f t="shared" si="294"/>
        <v>0</v>
      </c>
      <c r="D1881" s="6" t="str">
        <f t="shared" si="295"/>
        <v/>
      </c>
      <c r="E1881" s="35" t="str">
        <f t="shared" si="292"/>
        <v/>
      </c>
      <c r="F1881" s="31"/>
      <c r="G1881" s="29"/>
      <c r="H1881" s="78" t="str">
        <f t="shared" si="296"/>
        <v/>
      </c>
      <c r="I1881" s="25"/>
      <c r="J1881" s="25"/>
      <c r="K1881" s="26"/>
      <c r="L1881" s="26"/>
      <c r="M1881" s="37"/>
      <c r="N1881" s="27"/>
      <c r="O1881" s="30"/>
      <c r="P1881" s="39" t="str">
        <f t="shared" si="297"/>
        <v/>
      </c>
      <c r="Q1881" s="40" t="str">
        <f>IF(OR(T1881=0,RIGHT(T1881,1)=$W$1),"",COUNTIF($T$3:T1881,T1881))</f>
        <v/>
      </c>
      <c r="S1881" s="6">
        <f t="shared" si="298"/>
        <v>0</v>
      </c>
      <c r="T1881" s="36">
        <f t="shared" si="299"/>
        <v>0</v>
      </c>
      <c r="V1881" s="6">
        <f t="shared" si="300"/>
        <v>0</v>
      </c>
      <c r="Y1881" s="8">
        <f t="shared" si="301"/>
        <v>46023</v>
      </c>
    </row>
    <row r="1882" spans="2:25" ht="18.75" x14ac:dyDescent="0.3">
      <c r="B1882" s="6">
        <f t="shared" si="293"/>
        <v>0</v>
      </c>
      <c r="C1882" s="6">
        <f t="shared" si="294"/>
        <v>0</v>
      </c>
      <c r="D1882" s="6" t="str">
        <f t="shared" si="295"/>
        <v/>
      </c>
      <c r="E1882" s="35" t="str">
        <f t="shared" si="292"/>
        <v/>
      </c>
      <c r="F1882" s="31"/>
      <c r="G1882" s="29"/>
      <c r="H1882" s="78" t="str">
        <f t="shared" si="296"/>
        <v/>
      </c>
      <c r="I1882" s="25"/>
      <c r="J1882" s="25"/>
      <c r="K1882" s="26"/>
      <c r="L1882" s="26"/>
      <c r="M1882" s="37"/>
      <c r="N1882" s="27"/>
      <c r="O1882" s="30"/>
      <c r="P1882" s="39" t="str">
        <f t="shared" si="297"/>
        <v/>
      </c>
      <c r="Q1882" s="40" t="str">
        <f>IF(OR(T1882=0,RIGHT(T1882,1)=$W$1),"",COUNTIF($T$3:T1882,T1882))</f>
        <v/>
      </c>
      <c r="S1882" s="6">
        <f t="shared" si="298"/>
        <v>0</v>
      </c>
      <c r="T1882" s="36">
        <f t="shared" si="299"/>
        <v>0</v>
      </c>
      <c r="V1882" s="6">
        <f t="shared" si="300"/>
        <v>0</v>
      </c>
      <c r="Y1882" s="8">
        <f t="shared" si="301"/>
        <v>46023</v>
      </c>
    </row>
    <row r="1883" spans="2:25" ht="18.75" x14ac:dyDescent="0.3">
      <c r="B1883" s="6">
        <f t="shared" si="293"/>
        <v>0</v>
      </c>
      <c r="C1883" s="6">
        <f t="shared" si="294"/>
        <v>0</v>
      </c>
      <c r="D1883" s="6" t="str">
        <f t="shared" si="295"/>
        <v/>
      </c>
      <c r="E1883" s="35" t="str">
        <f t="shared" si="292"/>
        <v/>
      </c>
      <c r="F1883" s="31"/>
      <c r="G1883" s="29"/>
      <c r="H1883" s="78" t="str">
        <f t="shared" si="296"/>
        <v/>
      </c>
      <c r="I1883" s="25"/>
      <c r="J1883" s="25"/>
      <c r="K1883" s="26"/>
      <c r="L1883" s="26"/>
      <c r="M1883" s="37"/>
      <c r="N1883" s="27"/>
      <c r="O1883" s="30"/>
      <c r="P1883" s="39" t="str">
        <f t="shared" si="297"/>
        <v/>
      </c>
      <c r="Q1883" s="40" t="str">
        <f>IF(OR(T1883=0,RIGHT(T1883,1)=$W$1),"",COUNTIF($T$3:T1883,T1883))</f>
        <v/>
      </c>
      <c r="S1883" s="6">
        <f t="shared" si="298"/>
        <v>0</v>
      </c>
      <c r="T1883" s="36">
        <f t="shared" si="299"/>
        <v>0</v>
      </c>
      <c r="V1883" s="6">
        <f t="shared" si="300"/>
        <v>0</v>
      </c>
      <c r="Y1883" s="8">
        <f t="shared" si="301"/>
        <v>46023</v>
      </c>
    </row>
    <row r="1884" spans="2:25" ht="18.75" x14ac:dyDescent="0.3">
      <c r="B1884" s="6">
        <f t="shared" si="293"/>
        <v>0</v>
      </c>
      <c r="C1884" s="6">
        <f t="shared" si="294"/>
        <v>0</v>
      </c>
      <c r="D1884" s="6" t="str">
        <f t="shared" si="295"/>
        <v/>
      </c>
      <c r="E1884" s="35" t="str">
        <f t="shared" si="292"/>
        <v/>
      </c>
      <c r="F1884" s="31"/>
      <c r="G1884" s="29"/>
      <c r="H1884" s="78" t="str">
        <f t="shared" si="296"/>
        <v/>
      </c>
      <c r="I1884" s="25"/>
      <c r="J1884" s="25"/>
      <c r="K1884" s="26"/>
      <c r="L1884" s="26"/>
      <c r="M1884" s="37"/>
      <c r="N1884" s="27"/>
      <c r="O1884" s="30"/>
      <c r="P1884" s="39" t="str">
        <f t="shared" si="297"/>
        <v/>
      </c>
      <c r="Q1884" s="40" t="str">
        <f>IF(OR(T1884=0,RIGHT(T1884,1)=$W$1),"",COUNTIF($T$3:T1884,T1884))</f>
        <v/>
      </c>
      <c r="S1884" s="6">
        <f t="shared" si="298"/>
        <v>0</v>
      </c>
      <c r="T1884" s="36">
        <f t="shared" si="299"/>
        <v>0</v>
      </c>
      <c r="V1884" s="6">
        <f t="shared" si="300"/>
        <v>0</v>
      </c>
      <c r="Y1884" s="8">
        <f t="shared" si="301"/>
        <v>46023</v>
      </c>
    </row>
    <row r="1885" spans="2:25" ht="18.75" x14ac:dyDescent="0.3">
      <c r="B1885" s="6">
        <f t="shared" si="293"/>
        <v>0</v>
      </c>
      <c r="C1885" s="6">
        <f t="shared" si="294"/>
        <v>0</v>
      </c>
      <c r="D1885" s="6" t="str">
        <f t="shared" si="295"/>
        <v/>
      </c>
      <c r="E1885" s="35" t="str">
        <f t="shared" si="292"/>
        <v/>
      </c>
      <c r="F1885" s="31"/>
      <c r="G1885" s="29"/>
      <c r="H1885" s="78" t="str">
        <f t="shared" si="296"/>
        <v/>
      </c>
      <c r="I1885" s="25"/>
      <c r="J1885" s="25"/>
      <c r="K1885" s="26"/>
      <c r="L1885" s="26"/>
      <c r="M1885" s="37"/>
      <c r="N1885" s="27"/>
      <c r="O1885" s="30"/>
      <c r="P1885" s="39" t="str">
        <f t="shared" si="297"/>
        <v/>
      </c>
      <c r="Q1885" s="40" t="str">
        <f>IF(OR(T1885=0,RIGHT(T1885,1)=$W$1),"",COUNTIF($T$3:T1885,T1885))</f>
        <v/>
      </c>
      <c r="S1885" s="6">
        <f t="shared" si="298"/>
        <v>0</v>
      </c>
      <c r="T1885" s="36">
        <f t="shared" si="299"/>
        <v>0</v>
      </c>
      <c r="V1885" s="6">
        <f t="shared" si="300"/>
        <v>0</v>
      </c>
      <c r="Y1885" s="8">
        <f t="shared" si="301"/>
        <v>46023</v>
      </c>
    </row>
    <row r="1886" spans="2:25" ht="18.75" x14ac:dyDescent="0.3">
      <c r="B1886" s="6">
        <f t="shared" si="293"/>
        <v>0</v>
      </c>
      <c r="C1886" s="6">
        <f t="shared" si="294"/>
        <v>0</v>
      </c>
      <c r="D1886" s="6" t="str">
        <f t="shared" si="295"/>
        <v/>
      </c>
      <c r="E1886" s="35" t="str">
        <f t="shared" si="292"/>
        <v/>
      </c>
      <c r="F1886" s="31"/>
      <c r="G1886" s="29"/>
      <c r="H1886" s="78" t="str">
        <f t="shared" si="296"/>
        <v/>
      </c>
      <c r="I1886" s="25"/>
      <c r="J1886" s="25"/>
      <c r="K1886" s="26"/>
      <c r="L1886" s="26"/>
      <c r="M1886" s="37"/>
      <c r="N1886" s="27"/>
      <c r="O1886" s="30"/>
      <c r="P1886" s="39" t="str">
        <f t="shared" si="297"/>
        <v/>
      </c>
      <c r="Q1886" s="40" t="str">
        <f>IF(OR(T1886=0,RIGHT(T1886,1)=$W$1),"",COUNTIF($T$3:T1886,T1886))</f>
        <v/>
      </c>
      <c r="S1886" s="6">
        <f t="shared" si="298"/>
        <v>0</v>
      </c>
      <c r="T1886" s="36">
        <f t="shared" si="299"/>
        <v>0</v>
      </c>
      <c r="V1886" s="6">
        <f t="shared" si="300"/>
        <v>0</v>
      </c>
      <c r="Y1886" s="8">
        <f t="shared" si="301"/>
        <v>46023</v>
      </c>
    </row>
    <row r="1887" spans="2:25" ht="18.75" x14ac:dyDescent="0.3">
      <c r="B1887" s="6">
        <f t="shared" si="293"/>
        <v>0</v>
      </c>
      <c r="C1887" s="6">
        <f t="shared" si="294"/>
        <v>0</v>
      </c>
      <c r="D1887" s="6" t="str">
        <f t="shared" si="295"/>
        <v/>
      </c>
      <c r="E1887" s="35" t="str">
        <f t="shared" si="292"/>
        <v/>
      </c>
      <c r="F1887" s="31"/>
      <c r="G1887" s="29"/>
      <c r="H1887" s="78" t="str">
        <f t="shared" si="296"/>
        <v/>
      </c>
      <c r="I1887" s="25"/>
      <c r="J1887" s="25"/>
      <c r="K1887" s="26"/>
      <c r="L1887" s="26"/>
      <c r="M1887" s="37"/>
      <c r="N1887" s="27"/>
      <c r="O1887" s="30"/>
      <c r="P1887" s="39" t="str">
        <f t="shared" si="297"/>
        <v/>
      </c>
      <c r="Q1887" s="40" t="str">
        <f>IF(OR(T1887=0,RIGHT(T1887,1)=$W$1),"",COUNTIF($T$3:T1887,T1887))</f>
        <v/>
      </c>
      <c r="S1887" s="6">
        <f t="shared" si="298"/>
        <v>0</v>
      </c>
      <c r="T1887" s="36">
        <f t="shared" si="299"/>
        <v>0</v>
      </c>
      <c r="V1887" s="6">
        <f t="shared" si="300"/>
        <v>0</v>
      </c>
      <c r="Y1887" s="8">
        <f t="shared" si="301"/>
        <v>46023</v>
      </c>
    </row>
    <row r="1888" spans="2:25" ht="18.75" x14ac:dyDescent="0.3">
      <c r="B1888" s="6">
        <f t="shared" si="293"/>
        <v>0</v>
      </c>
      <c r="C1888" s="6">
        <f t="shared" si="294"/>
        <v>0</v>
      </c>
      <c r="D1888" s="6" t="str">
        <f t="shared" si="295"/>
        <v/>
      </c>
      <c r="E1888" s="35" t="str">
        <f t="shared" si="292"/>
        <v/>
      </c>
      <c r="F1888" s="31"/>
      <c r="G1888" s="29"/>
      <c r="H1888" s="78" t="str">
        <f t="shared" si="296"/>
        <v/>
      </c>
      <c r="I1888" s="25"/>
      <c r="J1888" s="25"/>
      <c r="K1888" s="26"/>
      <c r="L1888" s="26"/>
      <c r="M1888" s="37"/>
      <c r="N1888" s="27"/>
      <c r="O1888" s="30"/>
      <c r="P1888" s="39" t="str">
        <f t="shared" si="297"/>
        <v/>
      </c>
      <c r="Q1888" s="40" t="str">
        <f>IF(OR(T1888=0,RIGHT(T1888,1)=$W$1),"",COUNTIF($T$3:T1888,T1888))</f>
        <v/>
      </c>
      <c r="S1888" s="6">
        <f t="shared" si="298"/>
        <v>0</v>
      </c>
      <c r="T1888" s="36">
        <f t="shared" si="299"/>
        <v>0</v>
      </c>
      <c r="V1888" s="6">
        <f t="shared" si="300"/>
        <v>0</v>
      </c>
      <c r="Y1888" s="8">
        <f t="shared" si="301"/>
        <v>46023</v>
      </c>
    </row>
    <row r="1889" spans="2:25" ht="18.75" x14ac:dyDescent="0.3">
      <c r="B1889" s="6">
        <f t="shared" si="293"/>
        <v>0</v>
      </c>
      <c r="C1889" s="6">
        <f t="shared" si="294"/>
        <v>0</v>
      </c>
      <c r="D1889" s="6" t="str">
        <f t="shared" si="295"/>
        <v/>
      </c>
      <c r="E1889" s="35" t="str">
        <f t="shared" si="292"/>
        <v/>
      </c>
      <c r="F1889" s="31"/>
      <c r="G1889" s="29"/>
      <c r="H1889" s="78" t="str">
        <f t="shared" si="296"/>
        <v/>
      </c>
      <c r="I1889" s="25"/>
      <c r="J1889" s="25"/>
      <c r="K1889" s="26"/>
      <c r="L1889" s="26"/>
      <c r="M1889" s="37"/>
      <c r="N1889" s="27"/>
      <c r="O1889" s="30"/>
      <c r="P1889" s="39" t="str">
        <f t="shared" si="297"/>
        <v/>
      </c>
      <c r="Q1889" s="40" t="str">
        <f>IF(OR(T1889=0,RIGHT(T1889,1)=$W$1),"",COUNTIF($T$3:T1889,T1889))</f>
        <v/>
      </c>
      <c r="S1889" s="6">
        <f t="shared" si="298"/>
        <v>0</v>
      </c>
      <c r="T1889" s="36">
        <f t="shared" si="299"/>
        <v>0</v>
      </c>
      <c r="V1889" s="6">
        <f t="shared" si="300"/>
        <v>0</v>
      </c>
      <c r="Y1889" s="8">
        <f t="shared" si="301"/>
        <v>46023</v>
      </c>
    </row>
    <row r="1890" spans="2:25" ht="18.75" x14ac:dyDescent="0.3">
      <c r="B1890" s="6">
        <f t="shared" si="293"/>
        <v>0</v>
      </c>
      <c r="C1890" s="6">
        <f t="shared" si="294"/>
        <v>0</v>
      </c>
      <c r="D1890" s="6" t="str">
        <f t="shared" si="295"/>
        <v/>
      </c>
      <c r="E1890" s="35" t="str">
        <f t="shared" si="292"/>
        <v/>
      </c>
      <c r="F1890" s="31"/>
      <c r="G1890" s="29"/>
      <c r="H1890" s="78" t="str">
        <f t="shared" si="296"/>
        <v/>
      </c>
      <c r="I1890" s="25"/>
      <c r="J1890" s="25"/>
      <c r="K1890" s="26"/>
      <c r="L1890" s="26"/>
      <c r="M1890" s="37"/>
      <c r="N1890" s="27"/>
      <c r="O1890" s="30"/>
      <c r="P1890" s="39" t="str">
        <f t="shared" si="297"/>
        <v/>
      </c>
      <c r="Q1890" s="40" t="str">
        <f>IF(OR(T1890=0,RIGHT(T1890,1)=$W$1),"",COUNTIF($T$3:T1890,T1890))</f>
        <v/>
      </c>
      <c r="S1890" s="6">
        <f t="shared" si="298"/>
        <v>0</v>
      </c>
      <c r="T1890" s="36">
        <f t="shared" si="299"/>
        <v>0</v>
      </c>
      <c r="V1890" s="6">
        <f t="shared" si="300"/>
        <v>0</v>
      </c>
      <c r="Y1890" s="8">
        <f t="shared" si="301"/>
        <v>46023</v>
      </c>
    </row>
    <row r="1891" spans="2:25" ht="18.75" x14ac:dyDescent="0.3">
      <c r="B1891" s="6">
        <f t="shared" si="293"/>
        <v>0</v>
      </c>
      <c r="C1891" s="6">
        <f t="shared" si="294"/>
        <v>0</v>
      </c>
      <c r="D1891" s="6" t="str">
        <f t="shared" si="295"/>
        <v/>
      </c>
      <c r="E1891" s="35" t="str">
        <f t="shared" si="292"/>
        <v/>
      </c>
      <c r="F1891" s="31"/>
      <c r="G1891" s="29"/>
      <c r="H1891" s="78" t="str">
        <f t="shared" si="296"/>
        <v/>
      </c>
      <c r="I1891" s="25"/>
      <c r="J1891" s="25"/>
      <c r="K1891" s="26"/>
      <c r="L1891" s="26"/>
      <c r="M1891" s="37"/>
      <c r="N1891" s="27"/>
      <c r="O1891" s="30"/>
      <c r="P1891" s="39" t="str">
        <f t="shared" si="297"/>
        <v/>
      </c>
      <c r="Q1891" s="40" t="str">
        <f>IF(OR(T1891=0,RIGHT(T1891,1)=$W$1),"",COUNTIF($T$3:T1891,T1891))</f>
        <v/>
      </c>
      <c r="S1891" s="6">
        <f t="shared" si="298"/>
        <v>0</v>
      </c>
      <c r="T1891" s="36">
        <f t="shared" si="299"/>
        <v>0</v>
      </c>
      <c r="V1891" s="6">
        <f t="shared" si="300"/>
        <v>0</v>
      </c>
      <c r="Y1891" s="8">
        <f t="shared" si="301"/>
        <v>46023</v>
      </c>
    </row>
    <row r="1892" spans="2:25" ht="18.75" x14ac:dyDescent="0.3">
      <c r="B1892" s="6">
        <f t="shared" si="293"/>
        <v>0</v>
      </c>
      <c r="C1892" s="6">
        <f t="shared" si="294"/>
        <v>0</v>
      </c>
      <c r="D1892" s="6" t="str">
        <f t="shared" si="295"/>
        <v/>
      </c>
      <c r="E1892" s="35" t="str">
        <f t="shared" si="292"/>
        <v/>
      </c>
      <c r="F1892" s="31"/>
      <c r="G1892" s="29"/>
      <c r="H1892" s="78" t="str">
        <f t="shared" si="296"/>
        <v/>
      </c>
      <c r="I1892" s="25"/>
      <c r="J1892" s="25"/>
      <c r="K1892" s="26"/>
      <c r="L1892" s="26"/>
      <c r="M1892" s="37"/>
      <c r="N1892" s="27"/>
      <c r="O1892" s="30"/>
      <c r="P1892" s="39" t="str">
        <f t="shared" si="297"/>
        <v/>
      </c>
      <c r="Q1892" s="40" t="str">
        <f>IF(OR(T1892=0,RIGHT(T1892,1)=$W$1),"",COUNTIF($T$3:T1892,T1892))</f>
        <v/>
      </c>
      <c r="S1892" s="6">
        <f t="shared" si="298"/>
        <v>0</v>
      </c>
      <c r="T1892" s="36">
        <f t="shared" si="299"/>
        <v>0</v>
      </c>
      <c r="V1892" s="6">
        <f t="shared" si="300"/>
        <v>0</v>
      </c>
      <c r="Y1892" s="8">
        <f t="shared" si="301"/>
        <v>46023</v>
      </c>
    </row>
    <row r="1893" spans="2:25" ht="18.75" x14ac:dyDescent="0.3">
      <c r="B1893" s="6">
        <f t="shared" si="293"/>
        <v>0</v>
      </c>
      <c r="C1893" s="6">
        <f t="shared" si="294"/>
        <v>0</v>
      </c>
      <c r="D1893" s="6" t="str">
        <f t="shared" si="295"/>
        <v/>
      </c>
      <c r="E1893" s="35" t="str">
        <f t="shared" si="292"/>
        <v/>
      </c>
      <c r="F1893" s="31"/>
      <c r="G1893" s="29"/>
      <c r="H1893" s="78" t="str">
        <f t="shared" si="296"/>
        <v/>
      </c>
      <c r="I1893" s="25"/>
      <c r="J1893" s="25"/>
      <c r="K1893" s="26"/>
      <c r="L1893" s="26"/>
      <c r="M1893" s="37"/>
      <c r="N1893" s="27"/>
      <c r="O1893" s="30"/>
      <c r="P1893" s="39" t="str">
        <f t="shared" si="297"/>
        <v/>
      </c>
      <c r="Q1893" s="40" t="str">
        <f>IF(OR(T1893=0,RIGHT(T1893,1)=$W$1),"",COUNTIF($T$3:T1893,T1893))</f>
        <v/>
      </c>
      <c r="S1893" s="6">
        <f t="shared" si="298"/>
        <v>0</v>
      </c>
      <c r="T1893" s="36">
        <f t="shared" si="299"/>
        <v>0</v>
      </c>
      <c r="V1893" s="6">
        <f t="shared" si="300"/>
        <v>0</v>
      </c>
      <c r="Y1893" s="8">
        <f t="shared" si="301"/>
        <v>46023</v>
      </c>
    </row>
    <row r="1894" spans="2:25" ht="18.75" x14ac:dyDescent="0.3">
      <c r="B1894" s="6">
        <f t="shared" si="293"/>
        <v>0</v>
      </c>
      <c r="C1894" s="6">
        <f t="shared" si="294"/>
        <v>0</v>
      </c>
      <c r="D1894" s="6" t="str">
        <f t="shared" si="295"/>
        <v/>
      </c>
      <c r="E1894" s="35" t="str">
        <f t="shared" si="292"/>
        <v/>
      </c>
      <c r="F1894" s="31"/>
      <c r="G1894" s="29"/>
      <c r="H1894" s="78" t="str">
        <f t="shared" si="296"/>
        <v/>
      </c>
      <c r="I1894" s="25"/>
      <c r="J1894" s="25"/>
      <c r="K1894" s="26"/>
      <c r="L1894" s="26"/>
      <c r="M1894" s="37"/>
      <c r="N1894" s="27"/>
      <c r="O1894" s="30"/>
      <c r="P1894" s="39" t="str">
        <f t="shared" si="297"/>
        <v/>
      </c>
      <c r="Q1894" s="40" t="str">
        <f>IF(OR(T1894=0,RIGHT(T1894,1)=$W$1),"",COUNTIF($T$3:T1894,T1894))</f>
        <v/>
      </c>
      <c r="S1894" s="6">
        <f t="shared" si="298"/>
        <v>0</v>
      </c>
      <c r="T1894" s="36">
        <f t="shared" si="299"/>
        <v>0</v>
      </c>
      <c r="V1894" s="6">
        <f t="shared" si="300"/>
        <v>0</v>
      </c>
      <c r="Y1894" s="8">
        <f t="shared" si="301"/>
        <v>46023</v>
      </c>
    </row>
    <row r="1895" spans="2:25" ht="18.75" x14ac:dyDescent="0.3">
      <c r="B1895" s="6">
        <f t="shared" si="293"/>
        <v>0</v>
      </c>
      <c r="C1895" s="6">
        <f t="shared" si="294"/>
        <v>0</v>
      </c>
      <c r="D1895" s="6" t="str">
        <f t="shared" si="295"/>
        <v/>
      </c>
      <c r="E1895" s="35" t="str">
        <f t="shared" si="292"/>
        <v/>
      </c>
      <c r="F1895" s="31"/>
      <c r="G1895" s="29"/>
      <c r="H1895" s="78" t="str">
        <f t="shared" si="296"/>
        <v/>
      </c>
      <c r="I1895" s="25"/>
      <c r="J1895" s="25"/>
      <c r="K1895" s="26"/>
      <c r="L1895" s="26"/>
      <c r="M1895" s="37"/>
      <c r="N1895" s="27"/>
      <c r="O1895" s="30"/>
      <c r="P1895" s="39" t="str">
        <f t="shared" si="297"/>
        <v/>
      </c>
      <c r="Q1895" s="40" t="str">
        <f>IF(OR(T1895=0,RIGHT(T1895,1)=$W$1),"",COUNTIF($T$3:T1895,T1895))</f>
        <v/>
      </c>
      <c r="S1895" s="6">
        <f t="shared" si="298"/>
        <v>0</v>
      </c>
      <c r="T1895" s="36">
        <f t="shared" si="299"/>
        <v>0</v>
      </c>
      <c r="V1895" s="6">
        <f t="shared" si="300"/>
        <v>0</v>
      </c>
      <c r="Y1895" s="8">
        <f t="shared" si="301"/>
        <v>46023</v>
      </c>
    </row>
    <row r="1896" spans="2:25" ht="18.75" x14ac:dyDescent="0.3">
      <c r="B1896" s="6">
        <f t="shared" si="293"/>
        <v>0</v>
      </c>
      <c r="C1896" s="6">
        <f t="shared" si="294"/>
        <v>0</v>
      </c>
      <c r="D1896" s="6" t="str">
        <f t="shared" si="295"/>
        <v/>
      </c>
      <c r="E1896" s="35" t="str">
        <f t="shared" si="292"/>
        <v/>
      </c>
      <c r="F1896" s="31"/>
      <c r="G1896" s="29"/>
      <c r="H1896" s="78" t="str">
        <f t="shared" si="296"/>
        <v/>
      </c>
      <c r="I1896" s="25"/>
      <c r="J1896" s="25"/>
      <c r="K1896" s="26"/>
      <c r="L1896" s="26"/>
      <c r="M1896" s="37"/>
      <c r="N1896" s="27"/>
      <c r="O1896" s="30"/>
      <c r="P1896" s="39" t="str">
        <f t="shared" si="297"/>
        <v/>
      </c>
      <c r="Q1896" s="40" t="str">
        <f>IF(OR(T1896=0,RIGHT(T1896,1)=$W$1),"",COUNTIF($T$3:T1896,T1896))</f>
        <v/>
      </c>
      <c r="S1896" s="6">
        <f t="shared" si="298"/>
        <v>0</v>
      </c>
      <c r="T1896" s="36">
        <f t="shared" si="299"/>
        <v>0</v>
      </c>
      <c r="V1896" s="6">
        <f t="shared" si="300"/>
        <v>0</v>
      </c>
      <c r="Y1896" s="8">
        <f t="shared" si="301"/>
        <v>46023</v>
      </c>
    </row>
    <row r="1897" spans="2:25" ht="18.75" x14ac:dyDescent="0.3">
      <c r="B1897" s="6">
        <f t="shared" si="293"/>
        <v>0</v>
      </c>
      <c r="C1897" s="6">
        <f t="shared" si="294"/>
        <v>0</v>
      </c>
      <c r="D1897" s="6" t="str">
        <f t="shared" si="295"/>
        <v/>
      </c>
      <c r="E1897" s="35" t="str">
        <f t="shared" si="292"/>
        <v/>
      </c>
      <c r="F1897" s="31"/>
      <c r="G1897" s="29"/>
      <c r="H1897" s="78" t="str">
        <f t="shared" si="296"/>
        <v/>
      </c>
      <c r="I1897" s="25"/>
      <c r="J1897" s="25"/>
      <c r="K1897" s="26"/>
      <c r="L1897" s="26"/>
      <c r="M1897" s="37"/>
      <c r="N1897" s="27"/>
      <c r="O1897" s="30"/>
      <c r="P1897" s="39" t="str">
        <f t="shared" si="297"/>
        <v/>
      </c>
      <c r="Q1897" s="40" t="str">
        <f>IF(OR(T1897=0,RIGHT(T1897,1)=$W$1),"",COUNTIF($T$3:T1897,T1897))</f>
        <v/>
      </c>
      <c r="S1897" s="6">
        <f t="shared" si="298"/>
        <v>0</v>
      </c>
      <c r="T1897" s="36">
        <f t="shared" si="299"/>
        <v>0</v>
      </c>
      <c r="V1897" s="6">
        <f t="shared" si="300"/>
        <v>0</v>
      </c>
      <c r="Y1897" s="8">
        <f t="shared" si="301"/>
        <v>46023</v>
      </c>
    </row>
    <row r="1898" spans="2:25" ht="18.75" x14ac:dyDescent="0.3">
      <c r="B1898" s="6">
        <f t="shared" si="293"/>
        <v>0</v>
      </c>
      <c r="C1898" s="6">
        <f t="shared" si="294"/>
        <v>0</v>
      </c>
      <c r="D1898" s="6" t="str">
        <f t="shared" si="295"/>
        <v/>
      </c>
      <c r="E1898" s="35" t="str">
        <f t="shared" si="292"/>
        <v/>
      </c>
      <c r="F1898" s="31"/>
      <c r="G1898" s="29"/>
      <c r="H1898" s="78" t="str">
        <f t="shared" si="296"/>
        <v/>
      </c>
      <c r="I1898" s="25"/>
      <c r="J1898" s="25"/>
      <c r="K1898" s="26"/>
      <c r="L1898" s="26"/>
      <c r="M1898" s="37"/>
      <c r="N1898" s="27"/>
      <c r="O1898" s="30"/>
      <c r="P1898" s="39" t="str">
        <f t="shared" si="297"/>
        <v/>
      </c>
      <c r="Q1898" s="40" t="str">
        <f>IF(OR(T1898=0,RIGHT(T1898,1)=$W$1),"",COUNTIF($T$3:T1898,T1898))</f>
        <v/>
      </c>
      <c r="S1898" s="6">
        <f t="shared" si="298"/>
        <v>0</v>
      </c>
      <c r="T1898" s="36">
        <f t="shared" si="299"/>
        <v>0</v>
      </c>
      <c r="V1898" s="6">
        <f t="shared" si="300"/>
        <v>0</v>
      </c>
      <c r="Y1898" s="8">
        <f t="shared" si="301"/>
        <v>46023</v>
      </c>
    </row>
    <row r="1899" spans="2:25" ht="18.75" x14ac:dyDescent="0.3">
      <c r="B1899" s="6">
        <f t="shared" si="293"/>
        <v>0</v>
      </c>
      <c r="C1899" s="6">
        <f t="shared" si="294"/>
        <v>0</v>
      </c>
      <c r="D1899" s="6" t="str">
        <f t="shared" si="295"/>
        <v/>
      </c>
      <c r="E1899" s="35" t="str">
        <f t="shared" si="292"/>
        <v/>
      </c>
      <c r="F1899" s="31"/>
      <c r="G1899" s="29"/>
      <c r="H1899" s="78" t="str">
        <f t="shared" si="296"/>
        <v/>
      </c>
      <c r="I1899" s="25"/>
      <c r="J1899" s="25"/>
      <c r="K1899" s="26"/>
      <c r="L1899" s="26"/>
      <c r="M1899" s="37"/>
      <c r="N1899" s="27"/>
      <c r="O1899" s="30"/>
      <c r="P1899" s="39" t="str">
        <f t="shared" si="297"/>
        <v/>
      </c>
      <c r="Q1899" s="40" t="str">
        <f>IF(OR(T1899=0,RIGHT(T1899,1)=$W$1),"",COUNTIF($T$3:T1899,T1899))</f>
        <v/>
      </c>
      <c r="S1899" s="6">
        <f t="shared" si="298"/>
        <v>0</v>
      </c>
      <c r="T1899" s="36">
        <f t="shared" si="299"/>
        <v>0</v>
      </c>
      <c r="V1899" s="6">
        <f t="shared" si="300"/>
        <v>0</v>
      </c>
      <c r="Y1899" s="8">
        <f t="shared" si="301"/>
        <v>46023</v>
      </c>
    </row>
    <row r="1900" spans="2:25" ht="18.75" x14ac:dyDescent="0.3">
      <c r="B1900" s="6">
        <f t="shared" si="293"/>
        <v>0</v>
      </c>
      <c r="C1900" s="6">
        <f t="shared" si="294"/>
        <v>0</v>
      </c>
      <c r="D1900" s="6" t="str">
        <f t="shared" si="295"/>
        <v/>
      </c>
      <c r="E1900" s="35" t="str">
        <f t="shared" si="292"/>
        <v/>
      </c>
      <c r="F1900" s="31"/>
      <c r="G1900" s="29"/>
      <c r="H1900" s="78" t="str">
        <f t="shared" si="296"/>
        <v/>
      </c>
      <c r="I1900" s="25"/>
      <c r="J1900" s="25"/>
      <c r="K1900" s="26"/>
      <c r="L1900" s="26"/>
      <c r="M1900" s="37"/>
      <c r="N1900" s="27"/>
      <c r="O1900" s="30"/>
      <c r="P1900" s="39" t="str">
        <f t="shared" si="297"/>
        <v/>
      </c>
      <c r="Q1900" s="40" t="str">
        <f>IF(OR(T1900=0,RIGHT(T1900,1)=$W$1),"",COUNTIF($T$3:T1900,T1900))</f>
        <v/>
      </c>
      <c r="S1900" s="6">
        <f t="shared" si="298"/>
        <v>0</v>
      </c>
      <c r="T1900" s="36">
        <f t="shared" si="299"/>
        <v>0</v>
      </c>
      <c r="V1900" s="6">
        <f t="shared" si="300"/>
        <v>0</v>
      </c>
      <c r="Y1900" s="8">
        <f t="shared" si="301"/>
        <v>46023</v>
      </c>
    </row>
    <row r="1901" spans="2:25" ht="18.75" x14ac:dyDescent="0.3">
      <c r="B1901" s="6">
        <f t="shared" si="293"/>
        <v>0</v>
      </c>
      <c r="C1901" s="6">
        <f t="shared" si="294"/>
        <v>0</v>
      </c>
      <c r="D1901" s="6" t="str">
        <f t="shared" si="295"/>
        <v/>
      </c>
      <c r="E1901" s="35" t="str">
        <f t="shared" si="292"/>
        <v/>
      </c>
      <c r="F1901" s="31"/>
      <c r="G1901" s="29"/>
      <c r="H1901" s="78" t="str">
        <f t="shared" si="296"/>
        <v/>
      </c>
      <c r="I1901" s="25"/>
      <c r="J1901" s="25"/>
      <c r="K1901" s="26"/>
      <c r="L1901" s="26"/>
      <c r="M1901" s="37"/>
      <c r="N1901" s="27"/>
      <c r="O1901" s="30"/>
      <c r="P1901" s="39" t="str">
        <f t="shared" si="297"/>
        <v/>
      </c>
      <c r="Q1901" s="40" t="str">
        <f>IF(OR(T1901=0,RIGHT(T1901,1)=$W$1),"",COUNTIF($T$3:T1901,T1901))</f>
        <v/>
      </c>
      <c r="S1901" s="6">
        <f t="shared" si="298"/>
        <v>0</v>
      </c>
      <c r="T1901" s="36">
        <f t="shared" si="299"/>
        <v>0</v>
      </c>
      <c r="V1901" s="6">
        <f t="shared" si="300"/>
        <v>0</v>
      </c>
      <c r="Y1901" s="8">
        <f t="shared" si="301"/>
        <v>46023</v>
      </c>
    </row>
    <row r="1902" spans="2:25" ht="18.75" x14ac:dyDescent="0.3">
      <c r="B1902" s="6">
        <f t="shared" si="293"/>
        <v>0</v>
      </c>
      <c r="C1902" s="6">
        <f t="shared" si="294"/>
        <v>0</v>
      </c>
      <c r="D1902" s="6" t="str">
        <f t="shared" si="295"/>
        <v/>
      </c>
      <c r="E1902" s="35" t="str">
        <f t="shared" si="292"/>
        <v/>
      </c>
      <c r="F1902" s="31"/>
      <c r="G1902" s="29"/>
      <c r="H1902" s="78" t="str">
        <f t="shared" si="296"/>
        <v/>
      </c>
      <c r="I1902" s="25"/>
      <c r="J1902" s="25"/>
      <c r="K1902" s="26"/>
      <c r="L1902" s="26"/>
      <c r="M1902" s="37"/>
      <c r="N1902" s="27"/>
      <c r="O1902" s="30"/>
      <c r="P1902" s="39" t="str">
        <f t="shared" si="297"/>
        <v/>
      </c>
      <c r="Q1902" s="40" t="str">
        <f>IF(OR(T1902=0,RIGHT(T1902,1)=$W$1),"",COUNTIF($T$3:T1902,T1902))</f>
        <v/>
      </c>
      <c r="S1902" s="6">
        <f t="shared" si="298"/>
        <v>0</v>
      </c>
      <c r="T1902" s="36">
        <f t="shared" si="299"/>
        <v>0</v>
      </c>
      <c r="V1902" s="6">
        <f t="shared" si="300"/>
        <v>0</v>
      </c>
      <c r="Y1902" s="8">
        <f t="shared" si="301"/>
        <v>46023</v>
      </c>
    </row>
    <row r="1903" spans="2:25" ht="18.75" x14ac:dyDescent="0.3">
      <c r="B1903" s="6">
        <f t="shared" si="293"/>
        <v>0</v>
      </c>
      <c r="C1903" s="6">
        <f t="shared" si="294"/>
        <v>0</v>
      </c>
      <c r="D1903" s="6" t="str">
        <f t="shared" si="295"/>
        <v/>
      </c>
      <c r="E1903" s="35" t="str">
        <f t="shared" si="292"/>
        <v/>
      </c>
      <c r="F1903" s="31"/>
      <c r="G1903" s="29"/>
      <c r="H1903" s="78" t="str">
        <f t="shared" si="296"/>
        <v/>
      </c>
      <c r="I1903" s="25"/>
      <c r="J1903" s="25"/>
      <c r="K1903" s="26"/>
      <c r="L1903" s="26"/>
      <c r="M1903" s="37"/>
      <c r="N1903" s="27"/>
      <c r="O1903" s="30"/>
      <c r="P1903" s="39" t="str">
        <f t="shared" si="297"/>
        <v/>
      </c>
      <c r="Q1903" s="40" t="str">
        <f>IF(OR(T1903=0,RIGHT(T1903,1)=$W$1),"",COUNTIF($T$3:T1903,T1903))</f>
        <v/>
      </c>
      <c r="S1903" s="6">
        <f t="shared" si="298"/>
        <v>0</v>
      </c>
      <c r="T1903" s="36">
        <f t="shared" si="299"/>
        <v>0</v>
      </c>
      <c r="V1903" s="6">
        <f t="shared" si="300"/>
        <v>0</v>
      </c>
      <c r="Y1903" s="8">
        <f t="shared" si="301"/>
        <v>46023</v>
      </c>
    </row>
    <row r="1904" spans="2:25" ht="18.75" x14ac:dyDescent="0.3">
      <c r="B1904" s="6">
        <f t="shared" si="293"/>
        <v>0</v>
      </c>
      <c r="C1904" s="6">
        <f t="shared" si="294"/>
        <v>0</v>
      </c>
      <c r="D1904" s="6" t="str">
        <f t="shared" si="295"/>
        <v/>
      </c>
      <c r="E1904" s="35" t="str">
        <f t="shared" si="292"/>
        <v/>
      </c>
      <c r="F1904" s="31"/>
      <c r="G1904" s="29"/>
      <c r="H1904" s="78" t="str">
        <f t="shared" si="296"/>
        <v/>
      </c>
      <c r="I1904" s="25"/>
      <c r="J1904" s="25"/>
      <c r="K1904" s="26"/>
      <c r="L1904" s="26"/>
      <c r="M1904" s="37"/>
      <c r="N1904" s="27"/>
      <c r="O1904" s="30"/>
      <c r="P1904" s="39" t="str">
        <f t="shared" si="297"/>
        <v/>
      </c>
      <c r="Q1904" s="40" t="str">
        <f>IF(OR(T1904=0,RIGHT(T1904,1)=$W$1),"",COUNTIF($T$3:T1904,T1904))</f>
        <v/>
      </c>
      <c r="S1904" s="6">
        <f t="shared" si="298"/>
        <v>0</v>
      </c>
      <c r="T1904" s="36">
        <f t="shared" si="299"/>
        <v>0</v>
      </c>
      <c r="V1904" s="6">
        <f t="shared" si="300"/>
        <v>0</v>
      </c>
      <c r="Y1904" s="8">
        <f t="shared" si="301"/>
        <v>46023</v>
      </c>
    </row>
    <row r="1905" spans="2:25" ht="18.75" x14ac:dyDescent="0.3">
      <c r="B1905" s="6">
        <f t="shared" si="293"/>
        <v>0</v>
      </c>
      <c r="C1905" s="6">
        <f t="shared" si="294"/>
        <v>0</v>
      </c>
      <c r="D1905" s="6" t="str">
        <f t="shared" si="295"/>
        <v/>
      </c>
      <c r="E1905" s="35" t="str">
        <f t="shared" si="292"/>
        <v/>
      </c>
      <c r="F1905" s="31"/>
      <c r="G1905" s="29"/>
      <c r="H1905" s="78" t="str">
        <f t="shared" si="296"/>
        <v/>
      </c>
      <c r="I1905" s="25"/>
      <c r="J1905" s="25"/>
      <c r="K1905" s="26"/>
      <c r="L1905" s="26"/>
      <c r="M1905" s="37"/>
      <c r="N1905" s="27"/>
      <c r="O1905" s="30"/>
      <c r="P1905" s="39" t="str">
        <f t="shared" si="297"/>
        <v/>
      </c>
      <c r="Q1905" s="40" t="str">
        <f>IF(OR(T1905=0,RIGHT(T1905,1)=$W$1),"",COUNTIF($T$3:T1905,T1905))</f>
        <v/>
      </c>
      <c r="S1905" s="6">
        <f t="shared" si="298"/>
        <v>0</v>
      </c>
      <c r="T1905" s="36">
        <f t="shared" si="299"/>
        <v>0</v>
      </c>
      <c r="V1905" s="6">
        <f t="shared" si="300"/>
        <v>0</v>
      </c>
      <c r="Y1905" s="8">
        <f t="shared" si="301"/>
        <v>46023</v>
      </c>
    </row>
    <row r="1906" spans="2:25" ht="18.75" x14ac:dyDescent="0.3">
      <c r="B1906" s="6">
        <f t="shared" si="293"/>
        <v>0</v>
      </c>
      <c r="C1906" s="6">
        <f t="shared" si="294"/>
        <v>0</v>
      </c>
      <c r="D1906" s="6" t="str">
        <f t="shared" si="295"/>
        <v/>
      </c>
      <c r="E1906" s="35" t="str">
        <f t="shared" si="292"/>
        <v/>
      </c>
      <c r="F1906" s="31"/>
      <c r="G1906" s="29"/>
      <c r="H1906" s="78" t="str">
        <f t="shared" si="296"/>
        <v/>
      </c>
      <c r="I1906" s="25"/>
      <c r="J1906" s="25"/>
      <c r="K1906" s="26"/>
      <c r="L1906" s="26"/>
      <c r="M1906" s="37"/>
      <c r="N1906" s="27"/>
      <c r="O1906" s="30"/>
      <c r="P1906" s="39" t="str">
        <f t="shared" si="297"/>
        <v/>
      </c>
      <c r="Q1906" s="40" t="str">
        <f>IF(OR(T1906=0,RIGHT(T1906,1)=$W$1),"",COUNTIF($T$3:T1906,T1906))</f>
        <v/>
      </c>
      <c r="S1906" s="6">
        <f t="shared" si="298"/>
        <v>0</v>
      </c>
      <c r="T1906" s="36">
        <f t="shared" si="299"/>
        <v>0</v>
      </c>
      <c r="V1906" s="6">
        <f t="shared" si="300"/>
        <v>0</v>
      </c>
      <c r="Y1906" s="8">
        <f t="shared" si="301"/>
        <v>46023</v>
      </c>
    </row>
    <row r="1907" spans="2:25" ht="18.75" x14ac:dyDescent="0.3">
      <c r="B1907" s="6">
        <f t="shared" si="293"/>
        <v>0</v>
      </c>
      <c r="C1907" s="6">
        <f t="shared" si="294"/>
        <v>0</v>
      </c>
      <c r="D1907" s="6" t="str">
        <f t="shared" si="295"/>
        <v/>
      </c>
      <c r="E1907" s="35" t="str">
        <f t="shared" si="292"/>
        <v/>
      </c>
      <c r="F1907" s="31"/>
      <c r="G1907" s="29"/>
      <c r="H1907" s="78" t="str">
        <f t="shared" si="296"/>
        <v/>
      </c>
      <c r="I1907" s="25"/>
      <c r="J1907" s="25"/>
      <c r="K1907" s="26"/>
      <c r="L1907" s="26"/>
      <c r="M1907" s="37"/>
      <c r="N1907" s="27"/>
      <c r="O1907" s="30"/>
      <c r="P1907" s="39" t="str">
        <f t="shared" si="297"/>
        <v/>
      </c>
      <c r="Q1907" s="40" t="str">
        <f>IF(OR(T1907=0,RIGHT(T1907,1)=$W$1),"",COUNTIF($T$3:T1907,T1907))</f>
        <v/>
      </c>
      <c r="S1907" s="6">
        <f t="shared" si="298"/>
        <v>0</v>
      </c>
      <c r="T1907" s="36">
        <f t="shared" si="299"/>
        <v>0</v>
      </c>
      <c r="V1907" s="6">
        <f t="shared" si="300"/>
        <v>0</v>
      </c>
      <c r="Y1907" s="8">
        <f t="shared" si="301"/>
        <v>46023</v>
      </c>
    </row>
    <row r="1908" spans="2:25" ht="18.75" x14ac:dyDescent="0.3">
      <c r="B1908" s="6">
        <f t="shared" si="293"/>
        <v>0</v>
      </c>
      <c r="C1908" s="6">
        <f t="shared" si="294"/>
        <v>0</v>
      </c>
      <c r="D1908" s="6" t="str">
        <f t="shared" si="295"/>
        <v/>
      </c>
      <c r="E1908" s="35" t="str">
        <f t="shared" si="292"/>
        <v/>
      </c>
      <c r="F1908" s="31"/>
      <c r="G1908" s="29"/>
      <c r="H1908" s="78" t="str">
        <f t="shared" si="296"/>
        <v/>
      </c>
      <c r="I1908" s="25"/>
      <c r="J1908" s="25"/>
      <c r="K1908" s="26"/>
      <c r="L1908" s="26"/>
      <c r="M1908" s="37"/>
      <c r="N1908" s="27"/>
      <c r="O1908" s="30"/>
      <c r="P1908" s="39" t="str">
        <f t="shared" si="297"/>
        <v/>
      </c>
      <c r="Q1908" s="40" t="str">
        <f>IF(OR(T1908=0,RIGHT(T1908,1)=$W$1),"",COUNTIF($T$3:T1908,T1908))</f>
        <v/>
      </c>
      <c r="S1908" s="6">
        <f t="shared" si="298"/>
        <v>0</v>
      </c>
      <c r="T1908" s="36">
        <f t="shared" si="299"/>
        <v>0</v>
      </c>
      <c r="V1908" s="6">
        <f t="shared" si="300"/>
        <v>0</v>
      </c>
      <c r="Y1908" s="8">
        <f t="shared" si="301"/>
        <v>46023</v>
      </c>
    </row>
    <row r="1909" spans="2:25" ht="18.75" x14ac:dyDescent="0.3">
      <c r="B1909" s="6">
        <f t="shared" si="293"/>
        <v>0</v>
      </c>
      <c r="C1909" s="6">
        <f t="shared" si="294"/>
        <v>0</v>
      </c>
      <c r="D1909" s="6" t="str">
        <f t="shared" si="295"/>
        <v/>
      </c>
      <c r="E1909" s="35" t="str">
        <f t="shared" si="292"/>
        <v/>
      </c>
      <c r="F1909" s="31"/>
      <c r="G1909" s="29"/>
      <c r="H1909" s="78" t="str">
        <f t="shared" si="296"/>
        <v/>
      </c>
      <c r="I1909" s="25"/>
      <c r="J1909" s="25"/>
      <c r="K1909" s="26"/>
      <c r="L1909" s="26"/>
      <c r="M1909" s="37"/>
      <c r="N1909" s="27"/>
      <c r="O1909" s="30"/>
      <c r="P1909" s="39" t="str">
        <f t="shared" si="297"/>
        <v/>
      </c>
      <c r="Q1909" s="40" t="str">
        <f>IF(OR(T1909=0,RIGHT(T1909,1)=$W$1),"",COUNTIF($T$3:T1909,T1909))</f>
        <v/>
      </c>
      <c r="S1909" s="6">
        <f t="shared" si="298"/>
        <v>0</v>
      </c>
      <c r="T1909" s="36">
        <f t="shared" si="299"/>
        <v>0</v>
      </c>
      <c r="V1909" s="6">
        <f t="shared" si="300"/>
        <v>0</v>
      </c>
      <c r="Y1909" s="8">
        <f t="shared" si="301"/>
        <v>46023</v>
      </c>
    </row>
    <row r="1910" spans="2:25" ht="18.75" x14ac:dyDescent="0.3">
      <c r="B1910" s="6">
        <f t="shared" si="293"/>
        <v>0</v>
      </c>
      <c r="C1910" s="6">
        <f t="shared" si="294"/>
        <v>0</v>
      </c>
      <c r="D1910" s="6" t="str">
        <f t="shared" si="295"/>
        <v/>
      </c>
      <c r="E1910" s="35" t="str">
        <f t="shared" si="292"/>
        <v/>
      </c>
      <c r="F1910" s="31"/>
      <c r="G1910" s="29"/>
      <c r="H1910" s="78" t="str">
        <f t="shared" si="296"/>
        <v/>
      </c>
      <c r="I1910" s="25"/>
      <c r="J1910" s="25"/>
      <c r="K1910" s="26"/>
      <c r="L1910" s="26"/>
      <c r="M1910" s="37"/>
      <c r="N1910" s="27"/>
      <c r="O1910" s="30"/>
      <c r="P1910" s="39" t="str">
        <f t="shared" si="297"/>
        <v/>
      </c>
      <c r="Q1910" s="40" t="str">
        <f>IF(OR(T1910=0,RIGHT(T1910,1)=$W$1),"",COUNTIF($T$3:T1910,T1910))</f>
        <v/>
      </c>
      <c r="S1910" s="6">
        <f t="shared" si="298"/>
        <v>0</v>
      </c>
      <c r="T1910" s="36">
        <f t="shared" si="299"/>
        <v>0</v>
      </c>
      <c r="V1910" s="6">
        <f t="shared" si="300"/>
        <v>0</v>
      </c>
      <c r="Y1910" s="8">
        <f t="shared" si="301"/>
        <v>46023</v>
      </c>
    </row>
    <row r="1911" spans="2:25" ht="18.75" x14ac:dyDescent="0.3">
      <c r="B1911" s="6">
        <f t="shared" si="293"/>
        <v>0</v>
      </c>
      <c r="C1911" s="6">
        <f t="shared" si="294"/>
        <v>0</v>
      </c>
      <c r="D1911" s="6" t="str">
        <f t="shared" si="295"/>
        <v/>
      </c>
      <c r="E1911" s="35" t="str">
        <f t="shared" si="292"/>
        <v/>
      </c>
      <c r="F1911" s="31"/>
      <c r="G1911" s="29"/>
      <c r="H1911" s="78" t="str">
        <f t="shared" si="296"/>
        <v/>
      </c>
      <c r="I1911" s="25"/>
      <c r="J1911" s="25"/>
      <c r="K1911" s="26"/>
      <c r="L1911" s="26"/>
      <c r="M1911" s="37"/>
      <c r="N1911" s="27"/>
      <c r="O1911" s="30"/>
      <c r="P1911" s="39" t="str">
        <f t="shared" si="297"/>
        <v/>
      </c>
      <c r="Q1911" s="40" t="str">
        <f>IF(OR(T1911=0,RIGHT(T1911,1)=$W$1),"",COUNTIF($T$3:T1911,T1911))</f>
        <v/>
      </c>
      <c r="S1911" s="6">
        <f t="shared" si="298"/>
        <v>0</v>
      </c>
      <c r="T1911" s="36">
        <f t="shared" si="299"/>
        <v>0</v>
      </c>
      <c r="V1911" s="6">
        <f t="shared" si="300"/>
        <v>0</v>
      </c>
      <c r="Y1911" s="8">
        <f t="shared" si="301"/>
        <v>46023</v>
      </c>
    </row>
    <row r="1912" spans="2:25" ht="18.75" x14ac:dyDescent="0.3">
      <c r="B1912" s="6">
        <f t="shared" si="293"/>
        <v>0</v>
      </c>
      <c r="C1912" s="6">
        <f t="shared" si="294"/>
        <v>0</v>
      </c>
      <c r="D1912" s="6" t="str">
        <f t="shared" si="295"/>
        <v/>
      </c>
      <c r="E1912" s="35" t="str">
        <f t="shared" si="292"/>
        <v/>
      </c>
      <c r="F1912" s="31"/>
      <c r="G1912" s="29"/>
      <c r="H1912" s="78" t="str">
        <f t="shared" si="296"/>
        <v/>
      </c>
      <c r="I1912" s="25"/>
      <c r="J1912" s="25"/>
      <c r="K1912" s="26"/>
      <c r="L1912" s="26"/>
      <c r="M1912" s="37"/>
      <c r="N1912" s="27"/>
      <c r="O1912" s="30"/>
      <c r="P1912" s="39" t="str">
        <f t="shared" si="297"/>
        <v/>
      </c>
      <c r="Q1912" s="40" t="str">
        <f>IF(OR(T1912=0,RIGHT(T1912,1)=$W$1),"",COUNTIF($T$3:T1912,T1912))</f>
        <v/>
      </c>
      <c r="S1912" s="6">
        <f t="shared" si="298"/>
        <v>0</v>
      </c>
      <c r="T1912" s="36">
        <f t="shared" si="299"/>
        <v>0</v>
      </c>
      <c r="V1912" s="6">
        <f t="shared" si="300"/>
        <v>0</v>
      </c>
      <c r="Y1912" s="8">
        <f t="shared" si="301"/>
        <v>46023</v>
      </c>
    </row>
    <row r="1913" spans="2:25" ht="18.75" x14ac:dyDescent="0.3">
      <c r="B1913" s="6">
        <f t="shared" si="293"/>
        <v>0</v>
      </c>
      <c r="C1913" s="6">
        <f t="shared" si="294"/>
        <v>0</v>
      </c>
      <c r="D1913" s="6" t="str">
        <f t="shared" si="295"/>
        <v/>
      </c>
      <c r="E1913" s="35" t="str">
        <f t="shared" si="292"/>
        <v/>
      </c>
      <c r="F1913" s="31"/>
      <c r="G1913" s="29"/>
      <c r="H1913" s="78" t="str">
        <f t="shared" si="296"/>
        <v/>
      </c>
      <c r="I1913" s="25"/>
      <c r="J1913" s="25"/>
      <c r="K1913" s="26"/>
      <c r="L1913" s="26"/>
      <c r="M1913" s="37"/>
      <c r="N1913" s="27"/>
      <c r="O1913" s="30"/>
      <c r="P1913" s="39" t="str">
        <f t="shared" si="297"/>
        <v/>
      </c>
      <c r="Q1913" s="40" t="str">
        <f>IF(OR(T1913=0,RIGHT(T1913,1)=$W$1),"",COUNTIF($T$3:T1913,T1913))</f>
        <v/>
      </c>
      <c r="S1913" s="6">
        <f t="shared" si="298"/>
        <v>0</v>
      </c>
      <c r="T1913" s="36">
        <f t="shared" si="299"/>
        <v>0</v>
      </c>
      <c r="V1913" s="6">
        <f t="shared" si="300"/>
        <v>0</v>
      </c>
      <c r="Y1913" s="8">
        <f t="shared" si="301"/>
        <v>46023</v>
      </c>
    </row>
    <row r="1914" spans="2:25" ht="18.75" x14ac:dyDescent="0.3">
      <c r="B1914" s="6">
        <f t="shared" si="293"/>
        <v>0</v>
      </c>
      <c r="C1914" s="6">
        <f t="shared" si="294"/>
        <v>0</v>
      </c>
      <c r="D1914" s="6" t="str">
        <f t="shared" si="295"/>
        <v/>
      </c>
      <c r="E1914" s="35" t="str">
        <f t="shared" si="292"/>
        <v/>
      </c>
      <c r="F1914" s="31"/>
      <c r="G1914" s="29"/>
      <c r="H1914" s="78" t="str">
        <f t="shared" si="296"/>
        <v/>
      </c>
      <c r="I1914" s="25"/>
      <c r="J1914" s="25"/>
      <c r="K1914" s="26"/>
      <c r="L1914" s="26"/>
      <c r="M1914" s="37"/>
      <c r="N1914" s="27"/>
      <c r="O1914" s="30"/>
      <c r="P1914" s="39" t="str">
        <f t="shared" si="297"/>
        <v/>
      </c>
      <c r="Q1914" s="40" t="str">
        <f>IF(OR(T1914=0,RIGHT(T1914,1)=$W$1),"",COUNTIF($T$3:T1914,T1914))</f>
        <v/>
      </c>
      <c r="S1914" s="6">
        <f t="shared" si="298"/>
        <v>0</v>
      </c>
      <c r="T1914" s="36">
        <f t="shared" si="299"/>
        <v>0</v>
      </c>
      <c r="V1914" s="6">
        <f t="shared" si="300"/>
        <v>0</v>
      </c>
      <c r="Y1914" s="8">
        <f t="shared" si="301"/>
        <v>46023</v>
      </c>
    </row>
    <row r="1915" spans="2:25" ht="18.75" x14ac:dyDescent="0.3">
      <c r="B1915" s="6">
        <f t="shared" si="293"/>
        <v>0</v>
      </c>
      <c r="C1915" s="6">
        <f t="shared" si="294"/>
        <v>0</v>
      </c>
      <c r="D1915" s="6" t="str">
        <f t="shared" si="295"/>
        <v/>
      </c>
      <c r="E1915" s="35" t="str">
        <f t="shared" si="292"/>
        <v/>
      </c>
      <c r="F1915" s="31"/>
      <c r="G1915" s="29"/>
      <c r="H1915" s="78" t="str">
        <f t="shared" si="296"/>
        <v/>
      </c>
      <c r="I1915" s="25"/>
      <c r="J1915" s="25"/>
      <c r="K1915" s="26"/>
      <c r="L1915" s="26"/>
      <c r="M1915" s="37"/>
      <c r="N1915" s="27"/>
      <c r="O1915" s="30"/>
      <c r="P1915" s="39" t="str">
        <f t="shared" si="297"/>
        <v/>
      </c>
      <c r="Q1915" s="40" t="str">
        <f>IF(OR(T1915=0,RIGHT(T1915,1)=$W$1),"",COUNTIF($T$3:T1915,T1915))</f>
        <v/>
      </c>
      <c r="S1915" s="6">
        <f t="shared" si="298"/>
        <v>0</v>
      </c>
      <c r="T1915" s="36">
        <f t="shared" si="299"/>
        <v>0</v>
      </c>
      <c r="V1915" s="6">
        <f t="shared" si="300"/>
        <v>0</v>
      </c>
      <c r="Y1915" s="8">
        <f t="shared" si="301"/>
        <v>46023</v>
      </c>
    </row>
    <row r="1916" spans="2:25" ht="18.75" x14ac:dyDescent="0.3">
      <c r="B1916" s="6">
        <f t="shared" si="293"/>
        <v>0</v>
      </c>
      <c r="C1916" s="6">
        <f t="shared" si="294"/>
        <v>0</v>
      </c>
      <c r="D1916" s="6" t="str">
        <f t="shared" si="295"/>
        <v/>
      </c>
      <c r="E1916" s="35" t="str">
        <f t="shared" si="292"/>
        <v/>
      </c>
      <c r="F1916" s="31"/>
      <c r="G1916" s="29"/>
      <c r="H1916" s="78" t="str">
        <f t="shared" si="296"/>
        <v/>
      </c>
      <c r="I1916" s="25"/>
      <c r="J1916" s="25"/>
      <c r="K1916" s="26"/>
      <c r="L1916" s="26"/>
      <c r="M1916" s="37"/>
      <c r="N1916" s="27"/>
      <c r="O1916" s="30"/>
      <c r="P1916" s="39" t="str">
        <f t="shared" si="297"/>
        <v/>
      </c>
      <c r="Q1916" s="40" t="str">
        <f>IF(OR(T1916=0,RIGHT(T1916,1)=$W$1),"",COUNTIF($T$3:T1916,T1916))</f>
        <v/>
      </c>
      <c r="S1916" s="6">
        <f t="shared" si="298"/>
        <v>0</v>
      </c>
      <c r="T1916" s="36">
        <f t="shared" si="299"/>
        <v>0</v>
      </c>
      <c r="V1916" s="6">
        <f t="shared" si="300"/>
        <v>0</v>
      </c>
      <c r="Y1916" s="8">
        <f t="shared" si="301"/>
        <v>46023</v>
      </c>
    </row>
    <row r="1917" spans="2:25" ht="18.75" x14ac:dyDescent="0.3">
      <c r="B1917" s="6">
        <f t="shared" si="293"/>
        <v>0</v>
      </c>
      <c r="C1917" s="6">
        <f t="shared" si="294"/>
        <v>0</v>
      </c>
      <c r="D1917" s="6" t="str">
        <f t="shared" si="295"/>
        <v/>
      </c>
      <c r="E1917" s="35" t="str">
        <f t="shared" si="292"/>
        <v/>
      </c>
      <c r="F1917" s="31"/>
      <c r="G1917" s="29"/>
      <c r="H1917" s="78" t="str">
        <f t="shared" si="296"/>
        <v/>
      </c>
      <c r="I1917" s="25"/>
      <c r="J1917" s="25"/>
      <c r="K1917" s="26"/>
      <c r="L1917" s="26"/>
      <c r="M1917" s="37"/>
      <c r="N1917" s="27"/>
      <c r="O1917" s="30"/>
      <c r="P1917" s="39" t="str">
        <f t="shared" si="297"/>
        <v/>
      </c>
      <c r="Q1917" s="40" t="str">
        <f>IF(OR(T1917=0,RIGHT(T1917,1)=$W$1),"",COUNTIF($T$3:T1917,T1917))</f>
        <v/>
      </c>
      <c r="S1917" s="6">
        <f t="shared" si="298"/>
        <v>0</v>
      </c>
      <c r="T1917" s="36">
        <f t="shared" si="299"/>
        <v>0</v>
      </c>
      <c r="V1917" s="6">
        <f t="shared" si="300"/>
        <v>0</v>
      </c>
      <c r="Y1917" s="8">
        <f t="shared" si="301"/>
        <v>46023</v>
      </c>
    </row>
    <row r="1918" spans="2:25" ht="18.75" x14ac:dyDescent="0.3">
      <c r="B1918" s="6">
        <f t="shared" si="293"/>
        <v>0</v>
      </c>
      <c r="C1918" s="6">
        <f t="shared" si="294"/>
        <v>0</v>
      </c>
      <c r="D1918" s="6" t="str">
        <f t="shared" si="295"/>
        <v/>
      </c>
      <c r="E1918" s="35" t="str">
        <f t="shared" si="292"/>
        <v/>
      </c>
      <c r="F1918" s="31"/>
      <c r="G1918" s="29"/>
      <c r="H1918" s="78" t="str">
        <f t="shared" si="296"/>
        <v/>
      </c>
      <c r="I1918" s="25"/>
      <c r="J1918" s="25"/>
      <c r="K1918" s="26"/>
      <c r="L1918" s="26"/>
      <c r="M1918" s="37"/>
      <c r="N1918" s="27"/>
      <c r="O1918" s="30"/>
      <c r="P1918" s="39" t="str">
        <f t="shared" si="297"/>
        <v/>
      </c>
      <c r="Q1918" s="40" t="str">
        <f>IF(OR(T1918=0,RIGHT(T1918,1)=$W$1),"",COUNTIF($T$3:T1918,T1918))</f>
        <v/>
      </c>
      <c r="S1918" s="6">
        <f t="shared" si="298"/>
        <v>0</v>
      </c>
      <c r="T1918" s="36">
        <f t="shared" si="299"/>
        <v>0</v>
      </c>
      <c r="V1918" s="6">
        <f t="shared" si="300"/>
        <v>0</v>
      </c>
      <c r="Y1918" s="8">
        <f t="shared" si="301"/>
        <v>46023</v>
      </c>
    </row>
    <row r="1919" spans="2:25" ht="18.75" x14ac:dyDescent="0.3">
      <c r="B1919" s="6">
        <f t="shared" si="293"/>
        <v>0</v>
      </c>
      <c r="C1919" s="6">
        <f t="shared" si="294"/>
        <v>0</v>
      </c>
      <c r="D1919" s="6" t="str">
        <f t="shared" si="295"/>
        <v/>
      </c>
      <c r="E1919" s="35" t="str">
        <f t="shared" si="292"/>
        <v/>
      </c>
      <c r="F1919" s="31"/>
      <c r="G1919" s="29"/>
      <c r="H1919" s="78" t="str">
        <f t="shared" si="296"/>
        <v/>
      </c>
      <c r="I1919" s="25"/>
      <c r="J1919" s="25"/>
      <c r="K1919" s="26"/>
      <c r="L1919" s="26"/>
      <c r="M1919" s="37"/>
      <c r="N1919" s="27"/>
      <c r="O1919" s="30"/>
      <c r="P1919" s="39" t="str">
        <f t="shared" si="297"/>
        <v/>
      </c>
      <c r="Q1919" s="40" t="str">
        <f>IF(OR(T1919=0,RIGHT(T1919,1)=$W$1),"",COUNTIF($T$3:T1919,T1919))</f>
        <v/>
      </c>
      <c r="S1919" s="6">
        <f t="shared" si="298"/>
        <v>0</v>
      </c>
      <c r="T1919" s="36">
        <f t="shared" si="299"/>
        <v>0</v>
      </c>
      <c r="V1919" s="6">
        <f t="shared" si="300"/>
        <v>0</v>
      </c>
      <c r="Y1919" s="8">
        <f t="shared" si="301"/>
        <v>46023</v>
      </c>
    </row>
    <row r="1920" spans="2:25" ht="18.75" x14ac:dyDescent="0.3">
      <c r="B1920" s="6">
        <f t="shared" si="293"/>
        <v>0</v>
      </c>
      <c r="C1920" s="6">
        <f t="shared" si="294"/>
        <v>0</v>
      </c>
      <c r="D1920" s="6" t="str">
        <f t="shared" si="295"/>
        <v/>
      </c>
      <c r="E1920" s="35" t="str">
        <f t="shared" si="292"/>
        <v/>
      </c>
      <c r="F1920" s="31"/>
      <c r="G1920" s="29"/>
      <c r="H1920" s="78" t="str">
        <f t="shared" si="296"/>
        <v/>
      </c>
      <c r="I1920" s="25"/>
      <c r="J1920" s="25"/>
      <c r="K1920" s="26"/>
      <c r="L1920" s="26"/>
      <c r="M1920" s="37"/>
      <c r="N1920" s="27"/>
      <c r="O1920" s="30"/>
      <c r="P1920" s="39" t="str">
        <f t="shared" si="297"/>
        <v/>
      </c>
      <c r="Q1920" s="40" t="str">
        <f>IF(OR(T1920=0,RIGHT(T1920,1)=$W$1),"",COUNTIF($T$3:T1920,T1920))</f>
        <v/>
      </c>
      <c r="S1920" s="6">
        <f t="shared" si="298"/>
        <v>0</v>
      </c>
      <c r="T1920" s="36">
        <f t="shared" si="299"/>
        <v>0</v>
      </c>
      <c r="V1920" s="6">
        <f t="shared" si="300"/>
        <v>0</v>
      </c>
      <c r="Y1920" s="8">
        <f t="shared" si="301"/>
        <v>46023</v>
      </c>
    </row>
    <row r="1921" spans="2:25" ht="18.75" x14ac:dyDescent="0.3">
      <c r="B1921" s="6">
        <f t="shared" si="293"/>
        <v>0</v>
      </c>
      <c r="C1921" s="6">
        <f t="shared" si="294"/>
        <v>0</v>
      </c>
      <c r="D1921" s="6" t="str">
        <f t="shared" si="295"/>
        <v/>
      </c>
      <c r="E1921" s="35" t="str">
        <f t="shared" si="292"/>
        <v/>
      </c>
      <c r="F1921" s="31"/>
      <c r="G1921" s="29"/>
      <c r="H1921" s="78" t="str">
        <f t="shared" si="296"/>
        <v/>
      </c>
      <c r="I1921" s="25"/>
      <c r="J1921" s="25"/>
      <c r="K1921" s="26"/>
      <c r="L1921" s="26"/>
      <c r="M1921" s="37"/>
      <c r="N1921" s="27"/>
      <c r="O1921" s="30"/>
      <c r="P1921" s="39" t="str">
        <f t="shared" si="297"/>
        <v/>
      </c>
      <c r="Q1921" s="40" t="str">
        <f>IF(OR(T1921=0,RIGHT(T1921,1)=$W$1),"",COUNTIF($T$3:T1921,T1921))</f>
        <v/>
      </c>
      <c r="S1921" s="6">
        <f t="shared" si="298"/>
        <v>0</v>
      </c>
      <c r="T1921" s="36">
        <f t="shared" si="299"/>
        <v>0</v>
      </c>
      <c r="V1921" s="6">
        <f t="shared" si="300"/>
        <v>0</v>
      </c>
      <c r="Y1921" s="8">
        <f t="shared" si="301"/>
        <v>46023</v>
      </c>
    </row>
    <row r="1922" spans="2:25" ht="18.75" x14ac:dyDescent="0.3">
      <c r="B1922" s="6">
        <f t="shared" si="293"/>
        <v>0</v>
      </c>
      <c r="C1922" s="6">
        <f t="shared" si="294"/>
        <v>0</v>
      </c>
      <c r="D1922" s="6" t="str">
        <f t="shared" si="295"/>
        <v/>
      </c>
      <c r="E1922" s="35" t="str">
        <f t="shared" si="292"/>
        <v/>
      </c>
      <c r="F1922" s="31"/>
      <c r="G1922" s="29"/>
      <c r="H1922" s="78" t="str">
        <f t="shared" si="296"/>
        <v/>
      </c>
      <c r="I1922" s="25"/>
      <c r="J1922" s="25"/>
      <c r="K1922" s="26"/>
      <c r="L1922" s="26"/>
      <c r="M1922" s="37"/>
      <c r="N1922" s="27"/>
      <c r="O1922" s="30"/>
      <c r="P1922" s="39" t="str">
        <f t="shared" si="297"/>
        <v/>
      </c>
      <c r="Q1922" s="40" t="str">
        <f>IF(OR(T1922=0,RIGHT(T1922,1)=$W$1),"",COUNTIF($T$3:T1922,T1922))</f>
        <v/>
      </c>
      <c r="S1922" s="6">
        <f t="shared" si="298"/>
        <v>0</v>
      </c>
      <c r="T1922" s="36">
        <f t="shared" si="299"/>
        <v>0</v>
      </c>
      <c r="V1922" s="6">
        <f t="shared" si="300"/>
        <v>0</v>
      </c>
      <c r="Y1922" s="8">
        <f t="shared" si="301"/>
        <v>46023</v>
      </c>
    </row>
    <row r="1923" spans="2:25" ht="18.75" x14ac:dyDescent="0.3">
      <c r="B1923" s="6">
        <f t="shared" si="293"/>
        <v>0</v>
      </c>
      <c r="C1923" s="6">
        <f t="shared" si="294"/>
        <v>0</v>
      </c>
      <c r="D1923" s="6" t="str">
        <f t="shared" si="295"/>
        <v/>
      </c>
      <c r="E1923" s="35" t="str">
        <f t="shared" ref="E1923:E1986" si="302">IF(D1923&lt;&gt;"",D1923&amp;" - "&amp;YEAR(F1923),"")</f>
        <v/>
      </c>
      <c r="F1923" s="31"/>
      <c r="G1923" s="29"/>
      <c r="H1923" s="78" t="str">
        <f t="shared" si="296"/>
        <v/>
      </c>
      <c r="I1923" s="25"/>
      <c r="J1923" s="25"/>
      <c r="K1923" s="26"/>
      <c r="L1923" s="26"/>
      <c r="M1923" s="37"/>
      <c r="N1923" s="27"/>
      <c r="O1923" s="30"/>
      <c r="P1923" s="39" t="str">
        <f t="shared" si="297"/>
        <v/>
      </c>
      <c r="Q1923" s="40" t="str">
        <f>IF(OR(T1923=0,RIGHT(T1923,1)=$W$1),"",COUNTIF($T$3:T1923,T1923))</f>
        <v/>
      </c>
      <c r="S1923" s="6">
        <f t="shared" si="298"/>
        <v>0</v>
      </c>
      <c r="T1923" s="36">
        <f t="shared" si="299"/>
        <v>0</v>
      </c>
      <c r="V1923" s="6">
        <f t="shared" si="300"/>
        <v>0</v>
      </c>
      <c r="Y1923" s="8">
        <f t="shared" si="301"/>
        <v>46023</v>
      </c>
    </row>
    <row r="1924" spans="2:25" ht="18.75" x14ac:dyDescent="0.3">
      <c r="B1924" s="6">
        <f t="shared" ref="B1924:B1987" si="303">IF($B$1=YEAR(F1924),B1923+1,B1923)</f>
        <v>0</v>
      </c>
      <c r="C1924" s="6">
        <f t="shared" ref="C1924:C1987" si="304">IF(AND($C$1=K1924,$Y$1=YEAR(F1924)),C1923+1,C1923)</f>
        <v>0</v>
      </c>
      <c r="D1924" s="6" t="str">
        <f t="shared" ref="D1924:D1987" si="305">IF(F1924&lt;&gt;0,IF(YEAR(F1924)&lt;&gt;YEAR(F1923),1,IF(M1924=$AI$1,D1923,D1923+1)),"")</f>
        <v/>
      </c>
      <c r="E1924" s="35" t="str">
        <f t="shared" si="302"/>
        <v/>
      </c>
      <c r="F1924" s="31"/>
      <c r="G1924" s="29"/>
      <c r="H1924" s="78" t="str">
        <f t="shared" ref="H1924:H1987" si="306">IF(G1924&lt;&gt;"",F1924,"")</f>
        <v/>
      </c>
      <c r="I1924" s="25"/>
      <c r="J1924" s="25"/>
      <c r="K1924" s="26"/>
      <c r="L1924" s="26"/>
      <c r="M1924" s="37"/>
      <c r="N1924" s="27"/>
      <c r="O1924" s="30"/>
      <c r="P1924" s="39" t="str">
        <f t="shared" ref="P1924:P1987" si="307">IF(OR(T1924=0,RIGHT(T1924,1)=$W$1),"",VLOOKUP(K1924,$AD$1:$AK$15,5,FALSE))</f>
        <v/>
      </c>
      <c r="Q1924" s="40" t="str">
        <f>IF(OR(T1924=0,RIGHT(T1924,1)=$W$1),"",COUNTIF($T$3:T1924,T1924))</f>
        <v/>
      </c>
      <c r="S1924" s="6">
        <f t="shared" ref="S1924:S1987" si="308">IF(AND($C$1=K1924,$Y$1=YEAR(F1924)),C1924,0)</f>
        <v>0</v>
      </c>
      <c r="T1924" s="36">
        <f t="shared" ref="T1924:T1987" si="309">IF(F1924=0,0,YEAR(F1924)&amp;VLOOKUP(K1924,$AD$1:$AE$15,2,FALSE))</f>
        <v>0</v>
      </c>
      <c r="V1924" s="6">
        <f t="shared" ref="V1924:V1987" si="310">IF(AND(YEAR(F1924)=$Y$1,K1924=$C$1,L1924&amp;$V$1&lt;&gt;$V$1),L1924,IF(AND(YEAR(F1924)=$Y$1,K1924=$C$1),1,0))</f>
        <v>0</v>
      </c>
      <c r="Y1924" s="8">
        <f t="shared" ref="Y1924:Y1987" si="311">IF(M1924&lt;&gt;$AI$1,$Y$2,F1923)</f>
        <v>46023</v>
      </c>
    </row>
    <row r="1925" spans="2:25" ht="18.75" x14ac:dyDescent="0.3">
      <c r="B1925" s="6">
        <f t="shared" si="303"/>
        <v>0</v>
      </c>
      <c r="C1925" s="6">
        <f t="shared" si="304"/>
        <v>0</v>
      </c>
      <c r="D1925" s="6" t="str">
        <f t="shared" si="305"/>
        <v/>
      </c>
      <c r="E1925" s="35" t="str">
        <f t="shared" si="302"/>
        <v/>
      </c>
      <c r="F1925" s="31"/>
      <c r="G1925" s="29"/>
      <c r="H1925" s="78" t="str">
        <f t="shared" si="306"/>
        <v/>
      </c>
      <c r="I1925" s="25"/>
      <c r="J1925" s="25"/>
      <c r="K1925" s="26"/>
      <c r="L1925" s="26"/>
      <c r="M1925" s="37"/>
      <c r="N1925" s="27"/>
      <c r="O1925" s="30"/>
      <c r="P1925" s="39" t="str">
        <f t="shared" si="307"/>
        <v/>
      </c>
      <c r="Q1925" s="40" t="str">
        <f>IF(OR(T1925=0,RIGHT(T1925,1)=$W$1),"",COUNTIF($T$3:T1925,T1925))</f>
        <v/>
      </c>
      <c r="S1925" s="6">
        <f t="shared" si="308"/>
        <v>0</v>
      </c>
      <c r="T1925" s="36">
        <f t="shared" si="309"/>
        <v>0</v>
      </c>
      <c r="V1925" s="6">
        <f t="shared" si="310"/>
        <v>0</v>
      </c>
      <c r="Y1925" s="8">
        <f t="shared" si="311"/>
        <v>46023</v>
      </c>
    </row>
    <row r="1926" spans="2:25" ht="18.75" x14ac:dyDescent="0.3">
      <c r="B1926" s="6">
        <f t="shared" si="303"/>
        <v>0</v>
      </c>
      <c r="C1926" s="6">
        <f t="shared" si="304"/>
        <v>0</v>
      </c>
      <c r="D1926" s="6" t="str">
        <f t="shared" si="305"/>
        <v/>
      </c>
      <c r="E1926" s="35" t="str">
        <f t="shared" si="302"/>
        <v/>
      </c>
      <c r="F1926" s="31"/>
      <c r="G1926" s="29"/>
      <c r="H1926" s="78" t="str">
        <f t="shared" si="306"/>
        <v/>
      </c>
      <c r="I1926" s="25"/>
      <c r="J1926" s="25"/>
      <c r="K1926" s="26"/>
      <c r="L1926" s="26"/>
      <c r="M1926" s="37"/>
      <c r="N1926" s="27"/>
      <c r="O1926" s="30"/>
      <c r="P1926" s="39" t="str">
        <f t="shared" si="307"/>
        <v/>
      </c>
      <c r="Q1926" s="40" t="str">
        <f>IF(OR(T1926=0,RIGHT(T1926,1)=$W$1),"",COUNTIF($T$3:T1926,T1926))</f>
        <v/>
      </c>
      <c r="S1926" s="6">
        <f t="shared" si="308"/>
        <v>0</v>
      </c>
      <c r="T1926" s="36">
        <f t="shared" si="309"/>
        <v>0</v>
      </c>
      <c r="V1926" s="6">
        <f t="shared" si="310"/>
        <v>0</v>
      </c>
      <c r="Y1926" s="8">
        <f t="shared" si="311"/>
        <v>46023</v>
      </c>
    </row>
    <row r="1927" spans="2:25" ht="18.75" x14ac:dyDescent="0.3">
      <c r="B1927" s="6">
        <f t="shared" si="303"/>
        <v>0</v>
      </c>
      <c r="C1927" s="6">
        <f t="shared" si="304"/>
        <v>0</v>
      </c>
      <c r="D1927" s="6" t="str">
        <f t="shared" si="305"/>
        <v/>
      </c>
      <c r="E1927" s="35" t="str">
        <f t="shared" si="302"/>
        <v/>
      </c>
      <c r="F1927" s="31"/>
      <c r="G1927" s="29"/>
      <c r="H1927" s="78" t="str">
        <f t="shared" si="306"/>
        <v/>
      </c>
      <c r="I1927" s="25"/>
      <c r="J1927" s="25"/>
      <c r="K1927" s="26"/>
      <c r="L1927" s="26"/>
      <c r="M1927" s="37"/>
      <c r="N1927" s="27"/>
      <c r="O1927" s="30"/>
      <c r="P1927" s="39" t="str">
        <f t="shared" si="307"/>
        <v/>
      </c>
      <c r="Q1927" s="40" t="str">
        <f>IF(OR(T1927=0,RIGHT(T1927,1)=$W$1),"",COUNTIF($T$3:T1927,T1927))</f>
        <v/>
      </c>
      <c r="S1927" s="6">
        <f t="shared" si="308"/>
        <v>0</v>
      </c>
      <c r="T1927" s="36">
        <f t="shared" si="309"/>
        <v>0</v>
      </c>
      <c r="V1927" s="6">
        <f t="shared" si="310"/>
        <v>0</v>
      </c>
      <c r="Y1927" s="8">
        <f t="shared" si="311"/>
        <v>46023</v>
      </c>
    </row>
    <row r="1928" spans="2:25" ht="18.75" x14ac:dyDescent="0.3">
      <c r="B1928" s="6">
        <f t="shared" si="303"/>
        <v>0</v>
      </c>
      <c r="C1928" s="6">
        <f t="shared" si="304"/>
        <v>0</v>
      </c>
      <c r="D1928" s="6" t="str">
        <f t="shared" si="305"/>
        <v/>
      </c>
      <c r="E1928" s="35" t="str">
        <f t="shared" si="302"/>
        <v/>
      </c>
      <c r="F1928" s="31"/>
      <c r="G1928" s="29"/>
      <c r="H1928" s="78" t="str">
        <f t="shared" si="306"/>
        <v/>
      </c>
      <c r="I1928" s="25"/>
      <c r="J1928" s="25"/>
      <c r="K1928" s="26"/>
      <c r="L1928" s="26"/>
      <c r="M1928" s="37"/>
      <c r="N1928" s="27"/>
      <c r="O1928" s="30"/>
      <c r="P1928" s="39" t="str">
        <f t="shared" si="307"/>
        <v/>
      </c>
      <c r="Q1928" s="40" t="str">
        <f>IF(OR(T1928=0,RIGHT(T1928,1)=$W$1),"",COUNTIF($T$3:T1928,T1928))</f>
        <v/>
      </c>
      <c r="S1928" s="6">
        <f t="shared" si="308"/>
        <v>0</v>
      </c>
      <c r="T1928" s="36">
        <f t="shared" si="309"/>
        <v>0</v>
      </c>
      <c r="V1928" s="6">
        <f t="shared" si="310"/>
        <v>0</v>
      </c>
      <c r="Y1928" s="8">
        <f t="shared" si="311"/>
        <v>46023</v>
      </c>
    </row>
    <row r="1929" spans="2:25" ht="18.75" x14ac:dyDescent="0.3">
      <c r="B1929" s="6">
        <f t="shared" si="303"/>
        <v>0</v>
      </c>
      <c r="C1929" s="6">
        <f t="shared" si="304"/>
        <v>0</v>
      </c>
      <c r="D1929" s="6" t="str">
        <f t="shared" si="305"/>
        <v/>
      </c>
      <c r="E1929" s="35" t="str">
        <f t="shared" si="302"/>
        <v/>
      </c>
      <c r="F1929" s="31"/>
      <c r="G1929" s="29"/>
      <c r="H1929" s="78" t="str">
        <f t="shared" si="306"/>
        <v/>
      </c>
      <c r="I1929" s="25"/>
      <c r="J1929" s="25"/>
      <c r="K1929" s="26"/>
      <c r="L1929" s="26"/>
      <c r="M1929" s="37"/>
      <c r="N1929" s="27"/>
      <c r="O1929" s="30"/>
      <c r="P1929" s="39" t="str">
        <f t="shared" si="307"/>
        <v/>
      </c>
      <c r="Q1929" s="40" t="str">
        <f>IF(OR(T1929=0,RIGHT(T1929,1)=$W$1),"",COUNTIF($T$3:T1929,T1929))</f>
        <v/>
      </c>
      <c r="S1929" s="6">
        <f t="shared" si="308"/>
        <v>0</v>
      </c>
      <c r="T1929" s="36">
        <f t="shared" si="309"/>
        <v>0</v>
      </c>
      <c r="V1929" s="6">
        <f t="shared" si="310"/>
        <v>0</v>
      </c>
      <c r="Y1929" s="8">
        <f t="shared" si="311"/>
        <v>46023</v>
      </c>
    </row>
    <row r="1930" spans="2:25" ht="18.75" x14ac:dyDescent="0.3">
      <c r="B1930" s="6">
        <f t="shared" si="303"/>
        <v>0</v>
      </c>
      <c r="C1930" s="6">
        <f t="shared" si="304"/>
        <v>0</v>
      </c>
      <c r="D1930" s="6" t="str">
        <f t="shared" si="305"/>
        <v/>
      </c>
      <c r="E1930" s="35" t="str">
        <f t="shared" si="302"/>
        <v/>
      </c>
      <c r="F1930" s="31"/>
      <c r="G1930" s="29"/>
      <c r="H1930" s="78" t="str">
        <f t="shared" si="306"/>
        <v/>
      </c>
      <c r="I1930" s="25"/>
      <c r="J1930" s="25"/>
      <c r="K1930" s="26"/>
      <c r="L1930" s="26"/>
      <c r="M1930" s="37"/>
      <c r="N1930" s="27"/>
      <c r="O1930" s="30"/>
      <c r="P1930" s="39" t="str">
        <f t="shared" si="307"/>
        <v/>
      </c>
      <c r="Q1930" s="40" t="str">
        <f>IF(OR(T1930=0,RIGHT(T1930,1)=$W$1),"",COUNTIF($T$3:T1930,T1930))</f>
        <v/>
      </c>
      <c r="S1930" s="6">
        <f t="shared" si="308"/>
        <v>0</v>
      </c>
      <c r="T1930" s="36">
        <f t="shared" si="309"/>
        <v>0</v>
      </c>
      <c r="V1930" s="6">
        <f t="shared" si="310"/>
        <v>0</v>
      </c>
      <c r="Y1930" s="8">
        <f t="shared" si="311"/>
        <v>46023</v>
      </c>
    </row>
    <row r="1931" spans="2:25" ht="18.75" x14ac:dyDescent="0.3">
      <c r="B1931" s="6">
        <f t="shared" si="303"/>
        <v>0</v>
      </c>
      <c r="C1931" s="6">
        <f t="shared" si="304"/>
        <v>0</v>
      </c>
      <c r="D1931" s="6" t="str">
        <f t="shared" si="305"/>
        <v/>
      </c>
      <c r="E1931" s="35" t="str">
        <f t="shared" si="302"/>
        <v/>
      </c>
      <c r="F1931" s="31"/>
      <c r="G1931" s="29"/>
      <c r="H1931" s="78" t="str">
        <f t="shared" si="306"/>
        <v/>
      </c>
      <c r="I1931" s="25"/>
      <c r="J1931" s="25"/>
      <c r="K1931" s="26"/>
      <c r="L1931" s="26"/>
      <c r="M1931" s="37"/>
      <c r="N1931" s="27"/>
      <c r="O1931" s="30"/>
      <c r="P1931" s="39" t="str">
        <f t="shared" si="307"/>
        <v/>
      </c>
      <c r="Q1931" s="40" t="str">
        <f>IF(OR(T1931=0,RIGHT(T1931,1)=$W$1),"",COUNTIF($T$3:T1931,T1931))</f>
        <v/>
      </c>
      <c r="S1931" s="6">
        <f t="shared" si="308"/>
        <v>0</v>
      </c>
      <c r="T1931" s="36">
        <f t="shared" si="309"/>
        <v>0</v>
      </c>
      <c r="V1931" s="6">
        <f t="shared" si="310"/>
        <v>0</v>
      </c>
      <c r="Y1931" s="8">
        <f t="shared" si="311"/>
        <v>46023</v>
      </c>
    </row>
    <row r="1932" spans="2:25" ht="18.75" x14ac:dyDescent="0.3">
      <c r="B1932" s="6">
        <f t="shared" si="303"/>
        <v>0</v>
      </c>
      <c r="C1932" s="6">
        <f t="shared" si="304"/>
        <v>0</v>
      </c>
      <c r="D1932" s="6" t="str">
        <f t="shared" si="305"/>
        <v/>
      </c>
      <c r="E1932" s="35" t="str">
        <f t="shared" si="302"/>
        <v/>
      </c>
      <c r="F1932" s="31"/>
      <c r="G1932" s="29"/>
      <c r="H1932" s="78" t="str">
        <f t="shared" si="306"/>
        <v/>
      </c>
      <c r="I1932" s="25"/>
      <c r="J1932" s="25"/>
      <c r="K1932" s="26"/>
      <c r="L1932" s="26"/>
      <c r="M1932" s="37"/>
      <c r="N1932" s="27"/>
      <c r="O1932" s="30"/>
      <c r="P1932" s="39" t="str">
        <f t="shared" si="307"/>
        <v/>
      </c>
      <c r="Q1932" s="40" t="str">
        <f>IF(OR(T1932=0,RIGHT(T1932,1)=$W$1),"",COUNTIF($T$3:T1932,T1932))</f>
        <v/>
      </c>
      <c r="S1932" s="6">
        <f t="shared" si="308"/>
        <v>0</v>
      </c>
      <c r="T1932" s="36">
        <f t="shared" si="309"/>
        <v>0</v>
      </c>
      <c r="V1932" s="6">
        <f t="shared" si="310"/>
        <v>0</v>
      </c>
      <c r="Y1932" s="8">
        <f t="shared" si="311"/>
        <v>46023</v>
      </c>
    </row>
    <row r="1933" spans="2:25" ht="18.75" x14ac:dyDescent="0.3">
      <c r="B1933" s="6">
        <f t="shared" si="303"/>
        <v>0</v>
      </c>
      <c r="C1933" s="6">
        <f t="shared" si="304"/>
        <v>0</v>
      </c>
      <c r="D1933" s="6" t="str">
        <f t="shared" si="305"/>
        <v/>
      </c>
      <c r="E1933" s="35" t="str">
        <f t="shared" si="302"/>
        <v/>
      </c>
      <c r="F1933" s="31"/>
      <c r="G1933" s="29"/>
      <c r="H1933" s="78" t="str">
        <f t="shared" si="306"/>
        <v/>
      </c>
      <c r="I1933" s="25"/>
      <c r="J1933" s="25"/>
      <c r="K1933" s="26"/>
      <c r="L1933" s="26"/>
      <c r="M1933" s="37"/>
      <c r="N1933" s="27"/>
      <c r="O1933" s="30"/>
      <c r="P1933" s="39" t="str">
        <f t="shared" si="307"/>
        <v/>
      </c>
      <c r="Q1933" s="40" t="str">
        <f>IF(OR(T1933=0,RIGHT(T1933,1)=$W$1),"",COUNTIF($T$3:T1933,T1933))</f>
        <v/>
      </c>
      <c r="S1933" s="6">
        <f t="shared" si="308"/>
        <v>0</v>
      </c>
      <c r="T1933" s="36">
        <f t="shared" si="309"/>
        <v>0</v>
      </c>
      <c r="V1933" s="6">
        <f t="shared" si="310"/>
        <v>0</v>
      </c>
      <c r="Y1933" s="8">
        <f t="shared" si="311"/>
        <v>46023</v>
      </c>
    </row>
    <row r="1934" spans="2:25" ht="18.75" x14ac:dyDescent="0.3">
      <c r="B1934" s="6">
        <f t="shared" si="303"/>
        <v>0</v>
      </c>
      <c r="C1934" s="6">
        <f t="shared" si="304"/>
        <v>0</v>
      </c>
      <c r="D1934" s="6" t="str">
        <f t="shared" si="305"/>
        <v/>
      </c>
      <c r="E1934" s="35" t="str">
        <f t="shared" si="302"/>
        <v/>
      </c>
      <c r="F1934" s="31"/>
      <c r="G1934" s="29"/>
      <c r="H1934" s="78" t="str">
        <f t="shared" si="306"/>
        <v/>
      </c>
      <c r="I1934" s="25"/>
      <c r="J1934" s="25"/>
      <c r="K1934" s="26"/>
      <c r="L1934" s="26"/>
      <c r="M1934" s="37"/>
      <c r="N1934" s="27"/>
      <c r="O1934" s="30"/>
      <c r="P1934" s="39" t="str">
        <f t="shared" si="307"/>
        <v/>
      </c>
      <c r="Q1934" s="40" t="str">
        <f>IF(OR(T1934=0,RIGHT(T1934,1)=$W$1),"",COUNTIF($T$3:T1934,T1934))</f>
        <v/>
      </c>
      <c r="S1934" s="6">
        <f t="shared" si="308"/>
        <v>0</v>
      </c>
      <c r="T1934" s="36">
        <f t="shared" si="309"/>
        <v>0</v>
      </c>
      <c r="V1934" s="6">
        <f t="shared" si="310"/>
        <v>0</v>
      </c>
      <c r="Y1934" s="8">
        <f t="shared" si="311"/>
        <v>46023</v>
      </c>
    </row>
    <row r="1935" spans="2:25" ht="18.75" x14ac:dyDescent="0.3">
      <c r="B1935" s="6">
        <f t="shared" si="303"/>
        <v>0</v>
      </c>
      <c r="C1935" s="6">
        <f t="shared" si="304"/>
        <v>0</v>
      </c>
      <c r="D1935" s="6" t="str">
        <f t="shared" si="305"/>
        <v/>
      </c>
      <c r="E1935" s="35" t="str">
        <f t="shared" si="302"/>
        <v/>
      </c>
      <c r="F1935" s="31"/>
      <c r="G1935" s="29"/>
      <c r="H1935" s="78" t="str">
        <f t="shared" si="306"/>
        <v/>
      </c>
      <c r="I1935" s="25"/>
      <c r="J1935" s="25"/>
      <c r="K1935" s="26"/>
      <c r="L1935" s="26"/>
      <c r="M1935" s="37"/>
      <c r="N1935" s="27"/>
      <c r="O1935" s="30"/>
      <c r="P1935" s="39" t="str">
        <f t="shared" si="307"/>
        <v/>
      </c>
      <c r="Q1935" s="40" t="str">
        <f>IF(OR(T1935=0,RIGHT(T1935,1)=$W$1),"",COUNTIF($T$3:T1935,T1935))</f>
        <v/>
      </c>
      <c r="S1935" s="6">
        <f t="shared" si="308"/>
        <v>0</v>
      </c>
      <c r="T1935" s="36">
        <f t="shared" si="309"/>
        <v>0</v>
      </c>
      <c r="V1935" s="6">
        <f t="shared" si="310"/>
        <v>0</v>
      </c>
      <c r="Y1935" s="8">
        <f t="shared" si="311"/>
        <v>46023</v>
      </c>
    </row>
    <row r="1936" spans="2:25" ht="18.75" x14ac:dyDescent="0.3">
      <c r="B1936" s="6">
        <f t="shared" si="303"/>
        <v>0</v>
      </c>
      <c r="C1936" s="6">
        <f t="shared" si="304"/>
        <v>0</v>
      </c>
      <c r="D1936" s="6" t="str">
        <f t="shared" si="305"/>
        <v/>
      </c>
      <c r="E1936" s="35" t="str">
        <f t="shared" si="302"/>
        <v/>
      </c>
      <c r="F1936" s="31"/>
      <c r="G1936" s="29"/>
      <c r="H1936" s="78" t="str">
        <f t="shared" si="306"/>
        <v/>
      </c>
      <c r="I1936" s="25"/>
      <c r="J1936" s="25"/>
      <c r="K1936" s="26"/>
      <c r="L1936" s="26"/>
      <c r="M1936" s="37"/>
      <c r="N1936" s="27"/>
      <c r="O1936" s="30"/>
      <c r="P1936" s="39" t="str">
        <f t="shared" si="307"/>
        <v/>
      </c>
      <c r="Q1936" s="40" t="str">
        <f>IF(OR(T1936=0,RIGHT(T1936,1)=$W$1),"",COUNTIF($T$3:T1936,T1936))</f>
        <v/>
      </c>
      <c r="S1936" s="6">
        <f t="shared" si="308"/>
        <v>0</v>
      </c>
      <c r="T1936" s="36">
        <f t="shared" si="309"/>
        <v>0</v>
      </c>
      <c r="V1936" s="6">
        <f t="shared" si="310"/>
        <v>0</v>
      </c>
      <c r="Y1936" s="8">
        <f t="shared" si="311"/>
        <v>46023</v>
      </c>
    </row>
    <row r="1937" spans="2:25" ht="18.75" x14ac:dyDescent="0.3">
      <c r="B1937" s="6">
        <f t="shared" si="303"/>
        <v>0</v>
      </c>
      <c r="C1937" s="6">
        <f t="shared" si="304"/>
        <v>0</v>
      </c>
      <c r="D1937" s="6" t="str">
        <f t="shared" si="305"/>
        <v/>
      </c>
      <c r="E1937" s="35" t="str">
        <f t="shared" si="302"/>
        <v/>
      </c>
      <c r="F1937" s="31"/>
      <c r="G1937" s="29"/>
      <c r="H1937" s="78" t="str">
        <f t="shared" si="306"/>
        <v/>
      </c>
      <c r="I1937" s="25"/>
      <c r="J1937" s="25"/>
      <c r="K1937" s="26"/>
      <c r="L1937" s="26"/>
      <c r="M1937" s="37"/>
      <c r="N1937" s="27"/>
      <c r="O1937" s="30"/>
      <c r="P1937" s="39" t="str">
        <f t="shared" si="307"/>
        <v/>
      </c>
      <c r="Q1937" s="40" t="str">
        <f>IF(OR(T1937=0,RIGHT(T1937,1)=$W$1),"",COUNTIF($T$3:T1937,T1937))</f>
        <v/>
      </c>
      <c r="S1937" s="6">
        <f t="shared" si="308"/>
        <v>0</v>
      </c>
      <c r="T1937" s="36">
        <f t="shared" si="309"/>
        <v>0</v>
      </c>
      <c r="V1937" s="6">
        <f t="shared" si="310"/>
        <v>0</v>
      </c>
      <c r="Y1937" s="8">
        <f t="shared" si="311"/>
        <v>46023</v>
      </c>
    </row>
    <row r="1938" spans="2:25" ht="18.75" x14ac:dyDescent="0.3">
      <c r="B1938" s="6">
        <f t="shared" si="303"/>
        <v>0</v>
      </c>
      <c r="C1938" s="6">
        <f t="shared" si="304"/>
        <v>0</v>
      </c>
      <c r="D1938" s="6" t="str">
        <f t="shared" si="305"/>
        <v/>
      </c>
      <c r="E1938" s="35" t="str">
        <f t="shared" si="302"/>
        <v/>
      </c>
      <c r="F1938" s="31"/>
      <c r="G1938" s="29"/>
      <c r="H1938" s="78" t="str">
        <f t="shared" si="306"/>
        <v/>
      </c>
      <c r="I1938" s="25"/>
      <c r="J1938" s="25"/>
      <c r="K1938" s="26"/>
      <c r="L1938" s="26"/>
      <c r="M1938" s="37"/>
      <c r="N1938" s="27"/>
      <c r="O1938" s="30"/>
      <c r="P1938" s="39" t="str">
        <f t="shared" si="307"/>
        <v/>
      </c>
      <c r="Q1938" s="40" t="str">
        <f>IF(OR(T1938=0,RIGHT(T1938,1)=$W$1),"",COUNTIF($T$3:T1938,T1938))</f>
        <v/>
      </c>
      <c r="S1938" s="6">
        <f t="shared" si="308"/>
        <v>0</v>
      </c>
      <c r="T1938" s="36">
        <f t="shared" si="309"/>
        <v>0</v>
      </c>
      <c r="V1938" s="6">
        <f t="shared" si="310"/>
        <v>0</v>
      </c>
      <c r="Y1938" s="8">
        <f t="shared" si="311"/>
        <v>46023</v>
      </c>
    </row>
    <row r="1939" spans="2:25" ht="18.75" x14ac:dyDescent="0.3">
      <c r="B1939" s="6">
        <f t="shared" si="303"/>
        <v>0</v>
      </c>
      <c r="C1939" s="6">
        <f t="shared" si="304"/>
        <v>0</v>
      </c>
      <c r="D1939" s="6" t="str">
        <f t="shared" si="305"/>
        <v/>
      </c>
      <c r="E1939" s="35" t="str">
        <f t="shared" si="302"/>
        <v/>
      </c>
      <c r="F1939" s="31"/>
      <c r="G1939" s="29"/>
      <c r="H1939" s="78" t="str">
        <f t="shared" si="306"/>
        <v/>
      </c>
      <c r="I1939" s="25"/>
      <c r="J1939" s="25"/>
      <c r="K1939" s="26"/>
      <c r="L1939" s="26"/>
      <c r="M1939" s="37"/>
      <c r="N1939" s="27"/>
      <c r="O1939" s="30"/>
      <c r="P1939" s="39" t="str">
        <f t="shared" si="307"/>
        <v/>
      </c>
      <c r="Q1939" s="40" t="str">
        <f>IF(OR(T1939=0,RIGHT(T1939,1)=$W$1),"",COUNTIF($T$3:T1939,T1939))</f>
        <v/>
      </c>
      <c r="S1939" s="6">
        <f t="shared" si="308"/>
        <v>0</v>
      </c>
      <c r="T1939" s="36">
        <f t="shared" si="309"/>
        <v>0</v>
      </c>
      <c r="V1939" s="6">
        <f t="shared" si="310"/>
        <v>0</v>
      </c>
      <c r="Y1939" s="8">
        <f t="shared" si="311"/>
        <v>46023</v>
      </c>
    </row>
    <row r="1940" spans="2:25" ht="18.75" x14ac:dyDescent="0.3">
      <c r="B1940" s="6">
        <f t="shared" si="303"/>
        <v>0</v>
      </c>
      <c r="C1940" s="6">
        <f t="shared" si="304"/>
        <v>0</v>
      </c>
      <c r="D1940" s="6" t="str">
        <f t="shared" si="305"/>
        <v/>
      </c>
      <c r="E1940" s="35" t="str">
        <f t="shared" si="302"/>
        <v/>
      </c>
      <c r="F1940" s="31"/>
      <c r="G1940" s="29"/>
      <c r="H1940" s="78" t="str">
        <f t="shared" si="306"/>
        <v/>
      </c>
      <c r="I1940" s="25"/>
      <c r="J1940" s="25"/>
      <c r="K1940" s="26"/>
      <c r="L1940" s="26"/>
      <c r="M1940" s="37"/>
      <c r="N1940" s="27"/>
      <c r="O1940" s="30"/>
      <c r="P1940" s="39" t="str">
        <f t="shared" si="307"/>
        <v/>
      </c>
      <c r="Q1940" s="40" t="str">
        <f>IF(OR(T1940=0,RIGHT(T1940,1)=$W$1),"",COUNTIF($T$3:T1940,T1940))</f>
        <v/>
      </c>
      <c r="S1940" s="6">
        <f t="shared" si="308"/>
        <v>0</v>
      </c>
      <c r="T1940" s="36">
        <f t="shared" si="309"/>
        <v>0</v>
      </c>
      <c r="V1940" s="6">
        <f t="shared" si="310"/>
        <v>0</v>
      </c>
      <c r="Y1940" s="8">
        <f t="shared" si="311"/>
        <v>46023</v>
      </c>
    </row>
    <row r="1941" spans="2:25" ht="18.75" x14ac:dyDescent="0.3">
      <c r="B1941" s="6">
        <f t="shared" si="303"/>
        <v>0</v>
      </c>
      <c r="C1941" s="6">
        <f t="shared" si="304"/>
        <v>0</v>
      </c>
      <c r="D1941" s="6" t="str">
        <f t="shared" si="305"/>
        <v/>
      </c>
      <c r="E1941" s="35" t="str">
        <f t="shared" si="302"/>
        <v/>
      </c>
      <c r="F1941" s="31"/>
      <c r="G1941" s="29"/>
      <c r="H1941" s="78" t="str">
        <f t="shared" si="306"/>
        <v/>
      </c>
      <c r="I1941" s="25"/>
      <c r="J1941" s="25"/>
      <c r="K1941" s="26"/>
      <c r="L1941" s="26"/>
      <c r="M1941" s="37"/>
      <c r="N1941" s="27"/>
      <c r="O1941" s="30"/>
      <c r="P1941" s="39" t="str">
        <f t="shared" si="307"/>
        <v/>
      </c>
      <c r="Q1941" s="40" t="str">
        <f>IF(OR(T1941=0,RIGHT(T1941,1)=$W$1),"",COUNTIF($T$3:T1941,T1941))</f>
        <v/>
      </c>
      <c r="S1941" s="6">
        <f t="shared" si="308"/>
        <v>0</v>
      </c>
      <c r="T1941" s="36">
        <f t="shared" si="309"/>
        <v>0</v>
      </c>
      <c r="V1941" s="6">
        <f t="shared" si="310"/>
        <v>0</v>
      </c>
      <c r="Y1941" s="8">
        <f t="shared" si="311"/>
        <v>46023</v>
      </c>
    </row>
    <row r="1942" spans="2:25" ht="18.75" x14ac:dyDescent="0.3">
      <c r="B1942" s="6">
        <f t="shared" si="303"/>
        <v>0</v>
      </c>
      <c r="C1942" s="6">
        <f t="shared" si="304"/>
        <v>0</v>
      </c>
      <c r="D1942" s="6" t="str">
        <f t="shared" si="305"/>
        <v/>
      </c>
      <c r="E1942" s="35" t="str">
        <f t="shared" si="302"/>
        <v/>
      </c>
      <c r="F1942" s="31"/>
      <c r="G1942" s="29"/>
      <c r="H1942" s="78" t="str">
        <f t="shared" si="306"/>
        <v/>
      </c>
      <c r="I1942" s="25"/>
      <c r="J1942" s="25"/>
      <c r="K1942" s="26"/>
      <c r="L1942" s="26"/>
      <c r="M1942" s="37"/>
      <c r="N1942" s="27"/>
      <c r="O1942" s="30"/>
      <c r="P1942" s="39" t="str">
        <f t="shared" si="307"/>
        <v/>
      </c>
      <c r="Q1942" s="40" t="str">
        <f>IF(OR(T1942=0,RIGHT(T1942,1)=$W$1),"",COUNTIF($T$3:T1942,T1942))</f>
        <v/>
      </c>
      <c r="S1942" s="6">
        <f t="shared" si="308"/>
        <v>0</v>
      </c>
      <c r="T1942" s="36">
        <f t="shared" si="309"/>
        <v>0</v>
      </c>
      <c r="V1942" s="6">
        <f t="shared" si="310"/>
        <v>0</v>
      </c>
      <c r="Y1942" s="8">
        <f t="shared" si="311"/>
        <v>46023</v>
      </c>
    </row>
    <row r="1943" spans="2:25" ht="18.75" x14ac:dyDescent="0.3">
      <c r="B1943" s="6">
        <f t="shared" si="303"/>
        <v>0</v>
      </c>
      <c r="C1943" s="6">
        <f t="shared" si="304"/>
        <v>0</v>
      </c>
      <c r="D1943" s="6" t="str">
        <f t="shared" si="305"/>
        <v/>
      </c>
      <c r="E1943" s="35" t="str">
        <f t="shared" si="302"/>
        <v/>
      </c>
      <c r="F1943" s="31"/>
      <c r="G1943" s="29"/>
      <c r="H1943" s="78" t="str">
        <f t="shared" si="306"/>
        <v/>
      </c>
      <c r="I1943" s="25"/>
      <c r="J1943" s="25"/>
      <c r="K1943" s="26"/>
      <c r="L1943" s="26"/>
      <c r="M1943" s="37"/>
      <c r="N1943" s="27"/>
      <c r="O1943" s="30"/>
      <c r="P1943" s="39" t="str">
        <f t="shared" si="307"/>
        <v/>
      </c>
      <c r="Q1943" s="40" t="str">
        <f>IF(OR(T1943=0,RIGHT(T1943,1)=$W$1),"",COUNTIF($T$3:T1943,T1943))</f>
        <v/>
      </c>
      <c r="S1943" s="6">
        <f t="shared" si="308"/>
        <v>0</v>
      </c>
      <c r="T1943" s="36">
        <f t="shared" si="309"/>
        <v>0</v>
      </c>
      <c r="V1943" s="6">
        <f t="shared" si="310"/>
        <v>0</v>
      </c>
      <c r="Y1943" s="8">
        <f t="shared" si="311"/>
        <v>46023</v>
      </c>
    </row>
    <row r="1944" spans="2:25" ht="18.75" x14ac:dyDescent="0.3">
      <c r="B1944" s="6">
        <f t="shared" si="303"/>
        <v>0</v>
      </c>
      <c r="C1944" s="6">
        <f t="shared" si="304"/>
        <v>0</v>
      </c>
      <c r="D1944" s="6" t="str">
        <f t="shared" si="305"/>
        <v/>
      </c>
      <c r="E1944" s="35" t="str">
        <f t="shared" si="302"/>
        <v/>
      </c>
      <c r="F1944" s="31"/>
      <c r="G1944" s="29"/>
      <c r="H1944" s="78" t="str">
        <f t="shared" si="306"/>
        <v/>
      </c>
      <c r="I1944" s="25"/>
      <c r="J1944" s="25"/>
      <c r="K1944" s="26"/>
      <c r="L1944" s="26"/>
      <c r="M1944" s="37"/>
      <c r="N1944" s="27"/>
      <c r="O1944" s="30"/>
      <c r="P1944" s="39" t="str">
        <f t="shared" si="307"/>
        <v/>
      </c>
      <c r="Q1944" s="40" t="str">
        <f>IF(OR(T1944=0,RIGHT(T1944,1)=$W$1),"",COUNTIF($T$3:T1944,T1944))</f>
        <v/>
      </c>
      <c r="S1944" s="6">
        <f t="shared" si="308"/>
        <v>0</v>
      </c>
      <c r="T1944" s="36">
        <f t="shared" si="309"/>
        <v>0</v>
      </c>
      <c r="V1944" s="6">
        <f t="shared" si="310"/>
        <v>0</v>
      </c>
      <c r="Y1944" s="8">
        <f t="shared" si="311"/>
        <v>46023</v>
      </c>
    </row>
    <row r="1945" spans="2:25" ht="18.75" x14ac:dyDescent="0.3">
      <c r="B1945" s="6">
        <f t="shared" si="303"/>
        <v>0</v>
      </c>
      <c r="C1945" s="6">
        <f t="shared" si="304"/>
        <v>0</v>
      </c>
      <c r="D1945" s="6" t="str">
        <f t="shared" si="305"/>
        <v/>
      </c>
      <c r="E1945" s="35" t="str">
        <f t="shared" si="302"/>
        <v/>
      </c>
      <c r="F1945" s="31"/>
      <c r="G1945" s="29"/>
      <c r="H1945" s="78" t="str">
        <f t="shared" si="306"/>
        <v/>
      </c>
      <c r="I1945" s="25"/>
      <c r="J1945" s="25"/>
      <c r="K1945" s="26"/>
      <c r="L1945" s="26"/>
      <c r="M1945" s="37"/>
      <c r="N1945" s="27"/>
      <c r="O1945" s="30"/>
      <c r="P1945" s="39" t="str">
        <f t="shared" si="307"/>
        <v/>
      </c>
      <c r="Q1945" s="40" t="str">
        <f>IF(OR(T1945=0,RIGHT(T1945,1)=$W$1),"",COUNTIF($T$3:T1945,T1945))</f>
        <v/>
      </c>
      <c r="S1945" s="6">
        <f t="shared" si="308"/>
        <v>0</v>
      </c>
      <c r="T1945" s="36">
        <f t="shared" si="309"/>
        <v>0</v>
      </c>
      <c r="V1945" s="6">
        <f t="shared" si="310"/>
        <v>0</v>
      </c>
      <c r="Y1945" s="8">
        <f t="shared" si="311"/>
        <v>46023</v>
      </c>
    </row>
    <row r="1946" spans="2:25" ht="18.75" x14ac:dyDescent="0.3">
      <c r="B1946" s="6">
        <f t="shared" si="303"/>
        <v>0</v>
      </c>
      <c r="C1946" s="6">
        <f t="shared" si="304"/>
        <v>0</v>
      </c>
      <c r="D1946" s="6" t="str">
        <f t="shared" si="305"/>
        <v/>
      </c>
      <c r="E1946" s="35" t="str">
        <f t="shared" si="302"/>
        <v/>
      </c>
      <c r="F1946" s="31"/>
      <c r="G1946" s="29"/>
      <c r="H1946" s="78" t="str">
        <f t="shared" si="306"/>
        <v/>
      </c>
      <c r="I1946" s="25"/>
      <c r="J1946" s="25"/>
      <c r="K1946" s="26"/>
      <c r="L1946" s="26"/>
      <c r="M1946" s="37"/>
      <c r="N1946" s="27"/>
      <c r="O1946" s="30"/>
      <c r="P1946" s="39" t="str">
        <f t="shared" si="307"/>
        <v/>
      </c>
      <c r="Q1946" s="40" t="str">
        <f>IF(OR(T1946=0,RIGHT(T1946,1)=$W$1),"",COUNTIF($T$3:T1946,T1946))</f>
        <v/>
      </c>
      <c r="S1946" s="6">
        <f t="shared" si="308"/>
        <v>0</v>
      </c>
      <c r="T1946" s="36">
        <f t="shared" si="309"/>
        <v>0</v>
      </c>
      <c r="V1946" s="6">
        <f t="shared" si="310"/>
        <v>0</v>
      </c>
      <c r="Y1946" s="8">
        <f t="shared" si="311"/>
        <v>46023</v>
      </c>
    </row>
    <row r="1947" spans="2:25" ht="18.75" x14ac:dyDescent="0.3">
      <c r="B1947" s="6">
        <f t="shared" si="303"/>
        <v>0</v>
      </c>
      <c r="C1947" s="6">
        <f t="shared" si="304"/>
        <v>0</v>
      </c>
      <c r="D1947" s="6" t="str">
        <f t="shared" si="305"/>
        <v/>
      </c>
      <c r="E1947" s="35" t="str">
        <f t="shared" si="302"/>
        <v/>
      </c>
      <c r="F1947" s="31"/>
      <c r="G1947" s="29"/>
      <c r="H1947" s="78" t="str">
        <f t="shared" si="306"/>
        <v/>
      </c>
      <c r="I1947" s="25"/>
      <c r="J1947" s="25"/>
      <c r="K1947" s="26"/>
      <c r="L1947" s="26"/>
      <c r="M1947" s="37"/>
      <c r="N1947" s="27"/>
      <c r="O1947" s="30"/>
      <c r="P1947" s="39" t="str">
        <f t="shared" si="307"/>
        <v/>
      </c>
      <c r="Q1947" s="40" t="str">
        <f>IF(OR(T1947=0,RIGHT(T1947,1)=$W$1),"",COUNTIF($T$3:T1947,T1947))</f>
        <v/>
      </c>
      <c r="S1947" s="6">
        <f t="shared" si="308"/>
        <v>0</v>
      </c>
      <c r="T1947" s="36">
        <f t="shared" si="309"/>
        <v>0</v>
      </c>
      <c r="V1947" s="6">
        <f t="shared" si="310"/>
        <v>0</v>
      </c>
      <c r="Y1947" s="8">
        <f t="shared" si="311"/>
        <v>46023</v>
      </c>
    </row>
    <row r="1948" spans="2:25" ht="18.75" x14ac:dyDescent="0.3">
      <c r="B1948" s="6">
        <f t="shared" si="303"/>
        <v>0</v>
      </c>
      <c r="C1948" s="6">
        <f t="shared" si="304"/>
        <v>0</v>
      </c>
      <c r="D1948" s="6" t="str">
        <f t="shared" si="305"/>
        <v/>
      </c>
      <c r="E1948" s="35" t="str">
        <f t="shared" si="302"/>
        <v/>
      </c>
      <c r="F1948" s="31"/>
      <c r="G1948" s="29"/>
      <c r="H1948" s="78" t="str">
        <f t="shared" si="306"/>
        <v/>
      </c>
      <c r="I1948" s="25"/>
      <c r="J1948" s="25"/>
      <c r="K1948" s="26"/>
      <c r="L1948" s="26"/>
      <c r="M1948" s="37"/>
      <c r="N1948" s="27"/>
      <c r="O1948" s="30"/>
      <c r="P1948" s="39" t="str">
        <f t="shared" si="307"/>
        <v/>
      </c>
      <c r="Q1948" s="40" t="str">
        <f>IF(OR(T1948=0,RIGHT(T1948,1)=$W$1),"",COUNTIF($T$3:T1948,T1948))</f>
        <v/>
      </c>
      <c r="S1948" s="6">
        <f t="shared" si="308"/>
        <v>0</v>
      </c>
      <c r="T1948" s="36">
        <f t="shared" si="309"/>
        <v>0</v>
      </c>
      <c r="V1948" s="6">
        <f t="shared" si="310"/>
        <v>0</v>
      </c>
      <c r="Y1948" s="8">
        <f t="shared" si="311"/>
        <v>46023</v>
      </c>
    </row>
    <row r="1949" spans="2:25" ht="18.75" x14ac:dyDescent="0.3">
      <c r="B1949" s="6">
        <f t="shared" si="303"/>
        <v>0</v>
      </c>
      <c r="C1949" s="6">
        <f t="shared" si="304"/>
        <v>0</v>
      </c>
      <c r="D1949" s="6" t="str">
        <f t="shared" si="305"/>
        <v/>
      </c>
      <c r="E1949" s="35" t="str">
        <f t="shared" si="302"/>
        <v/>
      </c>
      <c r="F1949" s="31"/>
      <c r="G1949" s="29"/>
      <c r="H1949" s="78" t="str">
        <f t="shared" si="306"/>
        <v/>
      </c>
      <c r="I1949" s="25"/>
      <c r="J1949" s="25"/>
      <c r="K1949" s="26"/>
      <c r="L1949" s="26"/>
      <c r="M1949" s="37"/>
      <c r="N1949" s="27"/>
      <c r="O1949" s="30"/>
      <c r="P1949" s="39" t="str">
        <f t="shared" si="307"/>
        <v/>
      </c>
      <c r="Q1949" s="40" t="str">
        <f>IF(OR(T1949=0,RIGHT(T1949,1)=$W$1),"",COUNTIF($T$3:T1949,T1949))</f>
        <v/>
      </c>
      <c r="S1949" s="6">
        <f t="shared" si="308"/>
        <v>0</v>
      </c>
      <c r="T1949" s="36">
        <f t="shared" si="309"/>
        <v>0</v>
      </c>
      <c r="V1949" s="6">
        <f t="shared" si="310"/>
        <v>0</v>
      </c>
      <c r="Y1949" s="8">
        <f t="shared" si="311"/>
        <v>46023</v>
      </c>
    </row>
    <row r="1950" spans="2:25" ht="18.75" x14ac:dyDescent="0.3">
      <c r="B1950" s="6">
        <f t="shared" si="303"/>
        <v>0</v>
      </c>
      <c r="C1950" s="6">
        <f t="shared" si="304"/>
        <v>0</v>
      </c>
      <c r="D1950" s="6" t="str">
        <f t="shared" si="305"/>
        <v/>
      </c>
      <c r="E1950" s="35" t="str">
        <f t="shared" si="302"/>
        <v/>
      </c>
      <c r="F1950" s="31"/>
      <c r="G1950" s="29"/>
      <c r="H1950" s="78" t="str">
        <f t="shared" si="306"/>
        <v/>
      </c>
      <c r="I1950" s="25"/>
      <c r="J1950" s="25"/>
      <c r="K1950" s="26"/>
      <c r="L1950" s="26"/>
      <c r="M1950" s="37"/>
      <c r="N1950" s="27"/>
      <c r="O1950" s="30"/>
      <c r="P1950" s="39" t="str">
        <f t="shared" si="307"/>
        <v/>
      </c>
      <c r="Q1950" s="40" t="str">
        <f>IF(OR(T1950=0,RIGHT(T1950,1)=$W$1),"",COUNTIF($T$3:T1950,T1950))</f>
        <v/>
      </c>
      <c r="S1950" s="6">
        <f t="shared" si="308"/>
        <v>0</v>
      </c>
      <c r="T1950" s="36">
        <f t="shared" si="309"/>
        <v>0</v>
      </c>
      <c r="V1950" s="6">
        <f t="shared" si="310"/>
        <v>0</v>
      </c>
      <c r="Y1950" s="8">
        <f t="shared" si="311"/>
        <v>46023</v>
      </c>
    </row>
    <row r="1951" spans="2:25" ht="18.75" x14ac:dyDescent="0.3">
      <c r="B1951" s="6">
        <f t="shared" si="303"/>
        <v>0</v>
      </c>
      <c r="C1951" s="6">
        <f t="shared" si="304"/>
        <v>0</v>
      </c>
      <c r="D1951" s="6" t="str">
        <f t="shared" si="305"/>
        <v/>
      </c>
      <c r="E1951" s="35" t="str">
        <f t="shared" si="302"/>
        <v/>
      </c>
      <c r="F1951" s="31"/>
      <c r="G1951" s="29"/>
      <c r="H1951" s="78" t="str">
        <f t="shared" si="306"/>
        <v/>
      </c>
      <c r="I1951" s="25"/>
      <c r="J1951" s="25"/>
      <c r="K1951" s="26"/>
      <c r="L1951" s="26"/>
      <c r="M1951" s="37"/>
      <c r="N1951" s="27"/>
      <c r="O1951" s="30"/>
      <c r="P1951" s="39" t="str">
        <f t="shared" si="307"/>
        <v/>
      </c>
      <c r="Q1951" s="40" t="str">
        <f>IF(OR(T1951=0,RIGHT(T1951,1)=$W$1),"",COUNTIF($T$3:T1951,T1951))</f>
        <v/>
      </c>
      <c r="S1951" s="6">
        <f t="shared" si="308"/>
        <v>0</v>
      </c>
      <c r="T1951" s="36">
        <f t="shared" si="309"/>
        <v>0</v>
      </c>
      <c r="V1951" s="6">
        <f t="shared" si="310"/>
        <v>0</v>
      </c>
      <c r="Y1951" s="8">
        <f t="shared" si="311"/>
        <v>46023</v>
      </c>
    </row>
    <row r="1952" spans="2:25" ht="18.75" x14ac:dyDescent="0.3">
      <c r="B1952" s="6">
        <f t="shared" si="303"/>
        <v>0</v>
      </c>
      <c r="C1952" s="6">
        <f t="shared" si="304"/>
        <v>0</v>
      </c>
      <c r="D1952" s="6" t="str">
        <f t="shared" si="305"/>
        <v/>
      </c>
      <c r="E1952" s="35" t="str">
        <f t="shared" si="302"/>
        <v/>
      </c>
      <c r="F1952" s="31"/>
      <c r="G1952" s="29"/>
      <c r="H1952" s="78" t="str">
        <f t="shared" si="306"/>
        <v/>
      </c>
      <c r="I1952" s="25"/>
      <c r="J1952" s="25"/>
      <c r="K1952" s="26"/>
      <c r="L1952" s="26"/>
      <c r="M1952" s="37"/>
      <c r="N1952" s="27"/>
      <c r="O1952" s="30"/>
      <c r="P1952" s="39" t="str">
        <f t="shared" si="307"/>
        <v/>
      </c>
      <c r="Q1952" s="40" t="str">
        <f>IF(OR(T1952=0,RIGHT(T1952,1)=$W$1),"",COUNTIF($T$3:T1952,T1952))</f>
        <v/>
      </c>
      <c r="S1952" s="6">
        <f t="shared" si="308"/>
        <v>0</v>
      </c>
      <c r="T1952" s="36">
        <f t="shared" si="309"/>
        <v>0</v>
      </c>
      <c r="V1952" s="6">
        <f t="shared" si="310"/>
        <v>0</v>
      </c>
      <c r="Y1952" s="8">
        <f t="shared" si="311"/>
        <v>46023</v>
      </c>
    </row>
    <row r="1953" spans="2:25" ht="18.75" x14ac:dyDescent="0.3">
      <c r="B1953" s="6">
        <f t="shared" si="303"/>
        <v>0</v>
      </c>
      <c r="C1953" s="6">
        <f t="shared" si="304"/>
        <v>0</v>
      </c>
      <c r="D1953" s="6" t="str">
        <f t="shared" si="305"/>
        <v/>
      </c>
      <c r="E1953" s="35" t="str">
        <f t="shared" si="302"/>
        <v/>
      </c>
      <c r="F1953" s="31"/>
      <c r="G1953" s="29"/>
      <c r="H1953" s="78" t="str">
        <f t="shared" si="306"/>
        <v/>
      </c>
      <c r="I1953" s="25"/>
      <c r="J1953" s="25"/>
      <c r="K1953" s="26"/>
      <c r="L1953" s="26"/>
      <c r="M1953" s="37"/>
      <c r="N1953" s="27"/>
      <c r="O1953" s="30"/>
      <c r="P1953" s="39" t="str">
        <f t="shared" si="307"/>
        <v/>
      </c>
      <c r="Q1953" s="40" t="str">
        <f>IF(OR(T1953=0,RIGHT(T1953,1)=$W$1),"",COUNTIF($T$3:T1953,T1953))</f>
        <v/>
      </c>
      <c r="S1953" s="6">
        <f t="shared" si="308"/>
        <v>0</v>
      </c>
      <c r="T1953" s="36">
        <f t="shared" si="309"/>
        <v>0</v>
      </c>
      <c r="V1953" s="6">
        <f t="shared" si="310"/>
        <v>0</v>
      </c>
      <c r="Y1953" s="8">
        <f t="shared" si="311"/>
        <v>46023</v>
      </c>
    </row>
    <row r="1954" spans="2:25" ht="18.75" x14ac:dyDescent="0.3">
      <c r="B1954" s="6">
        <f t="shared" si="303"/>
        <v>0</v>
      </c>
      <c r="C1954" s="6">
        <f t="shared" si="304"/>
        <v>0</v>
      </c>
      <c r="D1954" s="6" t="str">
        <f t="shared" si="305"/>
        <v/>
      </c>
      <c r="E1954" s="35" t="str">
        <f t="shared" si="302"/>
        <v/>
      </c>
      <c r="F1954" s="31"/>
      <c r="G1954" s="29"/>
      <c r="H1954" s="78" t="str">
        <f t="shared" si="306"/>
        <v/>
      </c>
      <c r="I1954" s="25"/>
      <c r="J1954" s="25"/>
      <c r="K1954" s="26"/>
      <c r="L1954" s="26"/>
      <c r="M1954" s="37"/>
      <c r="N1954" s="27"/>
      <c r="O1954" s="30"/>
      <c r="P1954" s="39" t="str">
        <f t="shared" si="307"/>
        <v/>
      </c>
      <c r="Q1954" s="40" t="str">
        <f>IF(OR(T1954=0,RIGHT(T1954,1)=$W$1),"",COUNTIF($T$3:T1954,T1954))</f>
        <v/>
      </c>
      <c r="S1954" s="6">
        <f t="shared" si="308"/>
        <v>0</v>
      </c>
      <c r="T1954" s="36">
        <f t="shared" si="309"/>
        <v>0</v>
      </c>
      <c r="V1954" s="6">
        <f t="shared" si="310"/>
        <v>0</v>
      </c>
      <c r="Y1954" s="8">
        <f t="shared" si="311"/>
        <v>46023</v>
      </c>
    </row>
    <row r="1955" spans="2:25" ht="18.75" x14ac:dyDescent="0.3">
      <c r="B1955" s="6">
        <f t="shared" si="303"/>
        <v>0</v>
      </c>
      <c r="C1955" s="6">
        <f t="shared" si="304"/>
        <v>0</v>
      </c>
      <c r="D1955" s="6" t="str">
        <f t="shared" si="305"/>
        <v/>
      </c>
      <c r="E1955" s="35" t="str">
        <f t="shared" si="302"/>
        <v/>
      </c>
      <c r="F1955" s="31"/>
      <c r="G1955" s="29"/>
      <c r="H1955" s="78" t="str">
        <f t="shared" si="306"/>
        <v/>
      </c>
      <c r="I1955" s="25"/>
      <c r="J1955" s="25"/>
      <c r="K1955" s="26"/>
      <c r="L1955" s="26"/>
      <c r="M1955" s="37"/>
      <c r="N1955" s="27"/>
      <c r="O1955" s="30"/>
      <c r="P1955" s="39" t="str">
        <f t="shared" si="307"/>
        <v/>
      </c>
      <c r="Q1955" s="40" t="str">
        <f>IF(OR(T1955=0,RIGHT(T1955,1)=$W$1),"",COUNTIF($T$3:T1955,T1955))</f>
        <v/>
      </c>
      <c r="S1955" s="6">
        <f t="shared" si="308"/>
        <v>0</v>
      </c>
      <c r="T1955" s="36">
        <f t="shared" si="309"/>
        <v>0</v>
      </c>
      <c r="V1955" s="6">
        <f t="shared" si="310"/>
        <v>0</v>
      </c>
      <c r="Y1955" s="8">
        <f t="shared" si="311"/>
        <v>46023</v>
      </c>
    </row>
    <row r="1956" spans="2:25" ht="18.75" x14ac:dyDescent="0.3">
      <c r="B1956" s="6">
        <f t="shared" si="303"/>
        <v>0</v>
      </c>
      <c r="C1956" s="6">
        <f t="shared" si="304"/>
        <v>0</v>
      </c>
      <c r="D1956" s="6" t="str">
        <f t="shared" si="305"/>
        <v/>
      </c>
      <c r="E1956" s="35" t="str">
        <f t="shared" si="302"/>
        <v/>
      </c>
      <c r="F1956" s="31"/>
      <c r="G1956" s="29"/>
      <c r="H1956" s="78" t="str">
        <f t="shared" si="306"/>
        <v/>
      </c>
      <c r="I1956" s="25"/>
      <c r="J1956" s="25"/>
      <c r="K1956" s="26"/>
      <c r="L1956" s="26"/>
      <c r="M1956" s="37"/>
      <c r="N1956" s="27"/>
      <c r="O1956" s="30"/>
      <c r="P1956" s="39" t="str">
        <f t="shared" si="307"/>
        <v/>
      </c>
      <c r="Q1956" s="40" t="str">
        <f>IF(OR(T1956=0,RIGHT(T1956,1)=$W$1),"",COUNTIF($T$3:T1956,T1956))</f>
        <v/>
      </c>
      <c r="S1956" s="6">
        <f t="shared" si="308"/>
        <v>0</v>
      </c>
      <c r="T1956" s="36">
        <f t="shared" si="309"/>
        <v>0</v>
      </c>
      <c r="V1956" s="6">
        <f t="shared" si="310"/>
        <v>0</v>
      </c>
      <c r="Y1956" s="8">
        <f t="shared" si="311"/>
        <v>46023</v>
      </c>
    </row>
    <row r="1957" spans="2:25" ht="18.75" x14ac:dyDescent="0.3">
      <c r="B1957" s="6">
        <f t="shared" si="303"/>
        <v>0</v>
      </c>
      <c r="C1957" s="6">
        <f t="shared" si="304"/>
        <v>0</v>
      </c>
      <c r="D1957" s="6" t="str">
        <f t="shared" si="305"/>
        <v/>
      </c>
      <c r="E1957" s="35" t="str">
        <f t="shared" si="302"/>
        <v/>
      </c>
      <c r="F1957" s="31"/>
      <c r="G1957" s="29"/>
      <c r="H1957" s="78" t="str">
        <f t="shared" si="306"/>
        <v/>
      </c>
      <c r="I1957" s="25"/>
      <c r="J1957" s="25"/>
      <c r="K1957" s="26"/>
      <c r="L1957" s="26"/>
      <c r="M1957" s="37"/>
      <c r="N1957" s="27"/>
      <c r="O1957" s="30"/>
      <c r="P1957" s="39" t="str">
        <f t="shared" si="307"/>
        <v/>
      </c>
      <c r="Q1957" s="40" t="str">
        <f>IF(OR(T1957=0,RIGHT(T1957,1)=$W$1),"",COUNTIF($T$3:T1957,T1957))</f>
        <v/>
      </c>
      <c r="S1957" s="6">
        <f t="shared" si="308"/>
        <v>0</v>
      </c>
      <c r="T1957" s="36">
        <f t="shared" si="309"/>
        <v>0</v>
      </c>
      <c r="V1957" s="6">
        <f t="shared" si="310"/>
        <v>0</v>
      </c>
      <c r="Y1957" s="8">
        <f t="shared" si="311"/>
        <v>46023</v>
      </c>
    </row>
    <row r="1958" spans="2:25" ht="18.75" x14ac:dyDescent="0.3">
      <c r="B1958" s="6">
        <f t="shared" si="303"/>
        <v>0</v>
      </c>
      <c r="C1958" s="6">
        <f t="shared" si="304"/>
        <v>0</v>
      </c>
      <c r="D1958" s="6" t="str">
        <f t="shared" si="305"/>
        <v/>
      </c>
      <c r="E1958" s="35" t="str">
        <f t="shared" si="302"/>
        <v/>
      </c>
      <c r="F1958" s="31"/>
      <c r="G1958" s="29"/>
      <c r="H1958" s="78" t="str">
        <f t="shared" si="306"/>
        <v/>
      </c>
      <c r="I1958" s="25"/>
      <c r="J1958" s="25"/>
      <c r="K1958" s="26"/>
      <c r="L1958" s="26"/>
      <c r="M1958" s="37"/>
      <c r="N1958" s="27"/>
      <c r="O1958" s="30"/>
      <c r="P1958" s="39" t="str">
        <f t="shared" si="307"/>
        <v/>
      </c>
      <c r="Q1958" s="40" t="str">
        <f>IF(OR(T1958=0,RIGHT(T1958,1)=$W$1),"",COUNTIF($T$3:T1958,T1958))</f>
        <v/>
      </c>
      <c r="S1958" s="6">
        <f t="shared" si="308"/>
        <v>0</v>
      </c>
      <c r="T1958" s="36">
        <f t="shared" si="309"/>
        <v>0</v>
      </c>
      <c r="V1958" s="6">
        <f t="shared" si="310"/>
        <v>0</v>
      </c>
      <c r="Y1958" s="8">
        <f t="shared" si="311"/>
        <v>46023</v>
      </c>
    </row>
    <row r="1959" spans="2:25" ht="18.75" x14ac:dyDescent="0.3">
      <c r="B1959" s="6">
        <f t="shared" si="303"/>
        <v>0</v>
      </c>
      <c r="C1959" s="6">
        <f t="shared" si="304"/>
        <v>0</v>
      </c>
      <c r="D1959" s="6" t="str">
        <f t="shared" si="305"/>
        <v/>
      </c>
      <c r="E1959" s="35" t="str">
        <f t="shared" si="302"/>
        <v/>
      </c>
      <c r="F1959" s="31"/>
      <c r="G1959" s="29"/>
      <c r="H1959" s="78" t="str">
        <f t="shared" si="306"/>
        <v/>
      </c>
      <c r="I1959" s="25"/>
      <c r="J1959" s="25"/>
      <c r="K1959" s="26"/>
      <c r="L1959" s="26"/>
      <c r="M1959" s="37"/>
      <c r="N1959" s="27"/>
      <c r="O1959" s="30"/>
      <c r="P1959" s="39" t="str">
        <f t="shared" si="307"/>
        <v/>
      </c>
      <c r="Q1959" s="40" t="str">
        <f>IF(OR(T1959=0,RIGHT(T1959,1)=$W$1),"",COUNTIF($T$3:T1959,T1959))</f>
        <v/>
      </c>
      <c r="S1959" s="6">
        <f t="shared" si="308"/>
        <v>0</v>
      </c>
      <c r="T1959" s="36">
        <f t="shared" si="309"/>
        <v>0</v>
      </c>
      <c r="V1959" s="6">
        <f t="shared" si="310"/>
        <v>0</v>
      </c>
      <c r="Y1959" s="8">
        <f t="shared" si="311"/>
        <v>46023</v>
      </c>
    </row>
    <row r="1960" spans="2:25" ht="18.75" x14ac:dyDescent="0.3">
      <c r="B1960" s="6">
        <f t="shared" si="303"/>
        <v>0</v>
      </c>
      <c r="C1960" s="6">
        <f t="shared" si="304"/>
        <v>0</v>
      </c>
      <c r="D1960" s="6" t="str">
        <f t="shared" si="305"/>
        <v/>
      </c>
      <c r="E1960" s="35" t="str">
        <f t="shared" si="302"/>
        <v/>
      </c>
      <c r="F1960" s="31"/>
      <c r="G1960" s="29"/>
      <c r="H1960" s="78" t="str">
        <f t="shared" si="306"/>
        <v/>
      </c>
      <c r="I1960" s="25"/>
      <c r="J1960" s="25"/>
      <c r="K1960" s="26"/>
      <c r="L1960" s="26"/>
      <c r="M1960" s="37"/>
      <c r="N1960" s="27"/>
      <c r="O1960" s="30"/>
      <c r="P1960" s="39" t="str">
        <f t="shared" si="307"/>
        <v/>
      </c>
      <c r="Q1960" s="40" t="str">
        <f>IF(OR(T1960=0,RIGHT(T1960,1)=$W$1),"",COUNTIF($T$3:T1960,T1960))</f>
        <v/>
      </c>
      <c r="S1960" s="6">
        <f t="shared" si="308"/>
        <v>0</v>
      </c>
      <c r="T1960" s="36">
        <f t="shared" si="309"/>
        <v>0</v>
      </c>
      <c r="V1960" s="6">
        <f t="shared" si="310"/>
        <v>0</v>
      </c>
      <c r="Y1960" s="8">
        <f t="shared" si="311"/>
        <v>46023</v>
      </c>
    </row>
    <row r="1961" spans="2:25" ht="18.75" x14ac:dyDescent="0.3">
      <c r="B1961" s="6">
        <f t="shared" si="303"/>
        <v>0</v>
      </c>
      <c r="C1961" s="6">
        <f t="shared" si="304"/>
        <v>0</v>
      </c>
      <c r="D1961" s="6" t="str">
        <f t="shared" si="305"/>
        <v/>
      </c>
      <c r="E1961" s="35" t="str">
        <f t="shared" si="302"/>
        <v/>
      </c>
      <c r="F1961" s="31"/>
      <c r="G1961" s="29"/>
      <c r="H1961" s="78" t="str">
        <f t="shared" si="306"/>
        <v/>
      </c>
      <c r="I1961" s="25"/>
      <c r="J1961" s="25"/>
      <c r="K1961" s="26"/>
      <c r="L1961" s="26"/>
      <c r="M1961" s="37"/>
      <c r="N1961" s="27"/>
      <c r="O1961" s="30"/>
      <c r="P1961" s="39" t="str">
        <f t="shared" si="307"/>
        <v/>
      </c>
      <c r="Q1961" s="40" t="str">
        <f>IF(OR(T1961=0,RIGHT(T1961,1)=$W$1),"",COUNTIF($T$3:T1961,T1961))</f>
        <v/>
      </c>
      <c r="S1961" s="6">
        <f t="shared" si="308"/>
        <v>0</v>
      </c>
      <c r="T1961" s="36">
        <f t="shared" si="309"/>
        <v>0</v>
      </c>
      <c r="V1961" s="6">
        <f t="shared" si="310"/>
        <v>0</v>
      </c>
      <c r="Y1961" s="8">
        <f t="shared" si="311"/>
        <v>46023</v>
      </c>
    </row>
    <row r="1962" spans="2:25" ht="18.75" x14ac:dyDescent="0.3">
      <c r="B1962" s="6">
        <f t="shared" si="303"/>
        <v>0</v>
      </c>
      <c r="C1962" s="6">
        <f t="shared" si="304"/>
        <v>0</v>
      </c>
      <c r="D1962" s="6" t="str">
        <f t="shared" si="305"/>
        <v/>
      </c>
      <c r="E1962" s="35" t="str">
        <f t="shared" si="302"/>
        <v/>
      </c>
      <c r="F1962" s="31"/>
      <c r="G1962" s="29"/>
      <c r="H1962" s="78" t="str">
        <f t="shared" si="306"/>
        <v/>
      </c>
      <c r="I1962" s="25"/>
      <c r="J1962" s="25"/>
      <c r="K1962" s="26"/>
      <c r="L1962" s="26"/>
      <c r="M1962" s="37"/>
      <c r="N1962" s="27"/>
      <c r="O1962" s="30"/>
      <c r="P1962" s="39" t="str">
        <f t="shared" si="307"/>
        <v/>
      </c>
      <c r="Q1962" s="40" t="str">
        <f>IF(OR(T1962=0,RIGHT(T1962,1)=$W$1),"",COUNTIF($T$3:T1962,T1962))</f>
        <v/>
      </c>
      <c r="S1962" s="6">
        <f t="shared" si="308"/>
        <v>0</v>
      </c>
      <c r="T1962" s="36">
        <f t="shared" si="309"/>
        <v>0</v>
      </c>
      <c r="V1962" s="6">
        <f t="shared" si="310"/>
        <v>0</v>
      </c>
      <c r="Y1962" s="8">
        <f t="shared" si="311"/>
        <v>46023</v>
      </c>
    </row>
    <row r="1963" spans="2:25" ht="18.75" x14ac:dyDescent="0.3">
      <c r="B1963" s="6">
        <f t="shared" si="303"/>
        <v>0</v>
      </c>
      <c r="C1963" s="6">
        <f t="shared" si="304"/>
        <v>0</v>
      </c>
      <c r="D1963" s="6" t="str">
        <f t="shared" si="305"/>
        <v/>
      </c>
      <c r="E1963" s="35" t="str">
        <f t="shared" si="302"/>
        <v/>
      </c>
      <c r="F1963" s="31"/>
      <c r="G1963" s="29"/>
      <c r="H1963" s="78" t="str">
        <f t="shared" si="306"/>
        <v/>
      </c>
      <c r="I1963" s="25"/>
      <c r="J1963" s="25"/>
      <c r="K1963" s="26"/>
      <c r="L1963" s="26"/>
      <c r="M1963" s="37"/>
      <c r="N1963" s="27"/>
      <c r="O1963" s="30"/>
      <c r="P1963" s="39" t="str">
        <f t="shared" si="307"/>
        <v/>
      </c>
      <c r="Q1963" s="40" t="str">
        <f>IF(OR(T1963=0,RIGHT(T1963,1)=$W$1),"",COUNTIF($T$3:T1963,T1963))</f>
        <v/>
      </c>
      <c r="S1963" s="6">
        <f t="shared" si="308"/>
        <v>0</v>
      </c>
      <c r="T1963" s="36">
        <f t="shared" si="309"/>
        <v>0</v>
      </c>
      <c r="V1963" s="6">
        <f t="shared" si="310"/>
        <v>0</v>
      </c>
      <c r="Y1963" s="8">
        <f t="shared" si="311"/>
        <v>46023</v>
      </c>
    </row>
    <row r="1964" spans="2:25" ht="18.75" x14ac:dyDescent="0.3">
      <c r="B1964" s="6">
        <f t="shared" si="303"/>
        <v>0</v>
      </c>
      <c r="C1964" s="6">
        <f t="shared" si="304"/>
        <v>0</v>
      </c>
      <c r="D1964" s="6" t="str">
        <f t="shared" si="305"/>
        <v/>
      </c>
      <c r="E1964" s="35" t="str">
        <f t="shared" si="302"/>
        <v/>
      </c>
      <c r="F1964" s="31"/>
      <c r="G1964" s="29"/>
      <c r="H1964" s="78" t="str">
        <f t="shared" si="306"/>
        <v/>
      </c>
      <c r="I1964" s="25"/>
      <c r="J1964" s="25"/>
      <c r="K1964" s="26"/>
      <c r="L1964" s="26"/>
      <c r="M1964" s="37"/>
      <c r="N1964" s="27"/>
      <c r="O1964" s="30"/>
      <c r="P1964" s="39" t="str">
        <f t="shared" si="307"/>
        <v/>
      </c>
      <c r="Q1964" s="40" t="str">
        <f>IF(OR(T1964=0,RIGHT(T1964,1)=$W$1),"",COUNTIF($T$3:T1964,T1964))</f>
        <v/>
      </c>
      <c r="S1964" s="6">
        <f t="shared" si="308"/>
        <v>0</v>
      </c>
      <c r="T1964" s="36">
        <f t="shared" si="309"/>
        <v>0</v>
      </c>
      <c r="V1964" s="6">
        <f t="shared" si="310"/>
        <v>0</v>
      </c>
      <c r="Y1964" s="8">
        <f t="shared" si="311"/>
        <v>46023</v>
      </c>
    </row>
    <row r="1965" spans="2:25" ht="18.75" x14ac:dyDescent="0.3">
      <c r="B1965" s="6">
        <f t="shared" si="303"/>
        <v>0</v>
      </c>
      <c r="C1965" s="6">
        <f t="shared" si="304"/>
        <v>0</v>
      </c>
      <c r="D1965" s="6" t="str">
        <f t="shared" si="305"/>
        <v/>
      </c>
      <c r="E1965" s="35" t="str">
        <f t="shared" si="302"/>
        <v/>
      </c>
      <c r="F1965" s="31"/>
      <c r="G1965" s="29"/>
      <c r="H1965" s="78" t="str">
        <f t="shared" si="306"/>
        <v/>
      </c>
      <c r="I1965" s="25"/>
      <c r="J1965" s="25"/>
      <c r="K1965" s="26"/>
      <c r="L1965" s="26"/>
      <c r="M1965" s="37"/>
      <c r="N1965" s="27"/>
      <c r="O1965" s="30"/>
      <c r="P1965" s="39" t="str">
        <f t="shared" si="307"/>
        <v/>
      </c>
      <c r="Q1965" s="40" t="str">
        <f>IF(OR(T1965=0,RIGHT(T1965,1)=$W$1),"",COUNTIF($T$3:T1965,T1965))</f>
        <v/>
      </c>
      <c r="S1965" s="6">
        <f t="shared" si="308"/>
        <v>0</v>
      </c>
      <c r="T1965" s="36">
        <f t="shared" si="309"/>
        <v>0</v>
      </c>
      <c r="V1965" s="6">
        <f t="shared" si="310"/>
        <v>0</v>
      </c>
      <c r="Y1965" s="8">
        <f t="shared" si="311"/>
        <v>46023</v>
      </c>
    </row>
    <row r="1966" spans="2:25" ht="18.75" x14ac:dyDescent="0.3">
      <c r="B1966" s="6">
        <f t="shared" si="303"/>
        <v>0</v>
      </c>
      <c r="C1966" s="6">
        <f t="shared" si="304"/>
        <v>0</v>
      </c>
      <c r="D1966" s="6" t="str">
        <f t="shared" si="305"/>
        <v/>
      </c>
      <c r="E1966" s="35" t="str">
        <f t="shared" si="302"/>
        <v/>
      </c>
      <c r="F1966" s="31"/>
      <c r="G1966" s="29"/>
      <c r="H1966" s="78" t="str">
        <f t="shared" si="306"/>
        <v/>
      </c>
      <c r="I1966" s="25"/>
      <c r="J1966" s="25"/>
      <c r="K1966" s="26"/>
      <c r="L1966" s="26"/>
      <c r="M1966" s="37"/>
      <c r="N1966" s="27"/>
      <c r="O1966" s="30"/>
      <c r="P1966" s="39" t="str">
        <f t="shared" si="307"/>
        <v/>
      </c>
      <c r="Q1966" s="40" t="str">
        <f>IF(OR(T1966=0,RIGHT(T1966,1)=$W$1),"",COUNTIF($T$3:T1966,T1966))</f>
        <v/>
      </c>
      <c r="S1966" s="6">
        <f t="shared" si="308"/>
        <v>0</v>
      </c>
      <c r="T1966" s="36">
        <f t="shared" si="309"/>
        <v>0</v>
      </c>
      <c r="V1966" s="6">
        <f t="shared" si="310"/>
        <v>0</v>
      </c>
      <c r="Y1966" s="8">
        <f t="shared" si="311"/>
        <v>46023</v>
      </c>
    </row>
    <row r="1967" spans="2:25" ht="18.75" x14ac:dyDescent="0.3">
      <c r="B1967" s="6">
        <f t="shared" si="303"/>
        <v>0</v>
      </c>
      <c r="C1967" s="6">
        <f t="shared" si="304"/>
        <v>0</v>
      </c>
      <c r="D1967" s="6" t="str">
        <f t="shared" si="305"/>
        <v/>
      </c>
      <c r="E1967" s="35" t="str">
        <f t="shared" si="302"/>
        <v/>
      </c>
      <c r="F1967" s="31"/>
      <c r="G1967" s="29"/>
      <c r="H1967" s="78" t="str">
        <f t="shared" si="306"/>
        <v/>
      </c>
      <c r="I1967" s="25"/>
      <c r="J1967" s="25"/>
      <c r="K1967" s="26"/>
      <c r="L1967" s="26"/>
      <c r="M1967" s="37"/>
      <c r="N1967" s="27"/>
      <c r="O1967" s="30"/>
      <c r="P1967" s="39" t="str">
        <f t="shared" si="307"/>
        <v/>
      </c>
      <c r="Q1967" s="40" t="str">
        <f>IF(OR(T1967=0,RIGHT(T1967,1)=$W$1),"",COUNTIF($T$3:T1967,T1967))</f>
        <v/>
      </c>
      <c r="S1967" s="6">
        <f t="shared" si="308"/>
        <v>0</v>
      </c>
      <c r="T1967" s="36">
        <f t="shared" si="309"/>
        <v>0</v>
      </c>
      <c r="V1967" s="6">
        <f t="shared" si="310"/>
        <v>0</v>
      </c>
      <c r="Y1967" s="8">
        <f t="shared" si="311"/>
        <v>46023</v>
      </c>
    </row>
    <row r="1968" spans="2:25" ht="18.75" x14ac:dyDescent="0.3">
      <c r="B1968" s="6">
        <f t="shared" si="303"/>
        <v>0</v>
      </c>
      <c r="C1968" s="6">
        <f t="shared" si="304"/>
        <v>0</v>
      </c>
      <c r="D1968" s="6" t="str">
        <f t="shared" si="305"/>
        <v/>
      </c>
      <c r="E1968" s="35" t="str">
        <f t="shared" si="302"/>
        <v/>
      </c>
      <c r="F1968" s="31"/>
      <c r="G1968" s="29"/>
      <c r="H1968" s="78" t="str">
        <f t="shared" si="306"/>
        <v/>
      </c>
      <c r="I1968" s="25"/>
      <c r="J1968" s="25"/>
      <c r="K1968" s="26"/>
      <c r="L1968" s="26"/>
      <c r="M1968" s="37"/>
      <c r="N1968" s="27"/>
      <c r="O1968" s="30"/>
      <c r="P1968" s="39" t="str">
        <f t="shared" si="307"/>
        <v/>
      </c>
      <c r="Q1968" s="40" t="str">
        <f>IF(OR(T1968=0,RIGHT(T1968,1)=$W$1),"",COUNTIF($T$3:T1968,T1968))</f>
        <v/>
      </c>
      <c r="S1968" s="6">
        <f t="shared" si="308"/>
        <v>0</v>
      </c>
      <c r="T1968" s="36">
        <f t="shared" si="309"/>
        <v>0</v>
      </c>
      <c r="V1968" s="6">
        <f t="shared" si="310"/>
        <v>0</v>
      </c>
      <c r="Y1968" s="8">
        <f t="shared" si="311"/>
        <v>46023</v>
      </c>
    </row>
    <row r="1969" spans="2:25" ht="18.75" x14ac:dyDescent="0.3">
      <c r="B1969" s="6">
        <f t="shared" si="303"/>
        <v>0</v>
      </c>
      <c r="C1969" s="6">
        <f t="shared" si="304"/>
        <v>0</v>
      </c>
      <c r="D1969" s="6" t="str">
        <f t="shared" si="305"/>
        <v/>
      </c>
      <c r="E1969" s="35" t="str">
        <f t="shared" si="302"/>
        <v/>
      </c>
      <c r="F1969" s="31"/>
      <c r="G1969" s="29"/>
      <c r="H1969" s="78" t="str">
        <f t="shared" si="306"/>
        <v/>
      </c>
      <c r="I1969" s="25"/>
      <c r="J1969" s="25"/>
      <c r="K1969" s="26"/>
      <c r="L1969" s="26"/>
      <c r="M1969" s="37"/>
      <c r="N1969" s="27"/>
      <c r="O1969" s="30"/>
      <c r="P1969" s="39" t="str">
        <f t="shared" si="307"/>
        <v/>
      </c>
      <c r="Q1969" s="40" t="str">
        <f>IF(OR(T1969=0,RIGHT(T1969,1)=$W$1),"",COUNTIF($T$3:T1969,T1969))</f>
        <v/>
      </c>
      <c r="S1969" s="6">
        <f t="shared" si="308"/>
        <v>0</v>
      </c>
      <c r="T1969" s="36">
        <f t="shared" si="309"/>
        <v>0</v>
      </c>
      <c r="V1969" s="6">
        <f t="shared" si="310"/>
        <v>0</v>
      </c>
      <c r="Y1969" s="8">
        <f t="shared" si="311"/>
        <v>46023</v>
      </c>
    </row>
    <row r="1970" spans="2:25" ht="18.75" x14ac:dyDescent="0.3">
      <c r="B1970" s="6">
        <f t="shared" si="303"/>
        <v>0</v>
      </c>
      <c r="C1970" s="6">
        <f t="shared" si="304"/>
        <v>0</v>
      </c>
      <c r="D1970" s="6" t="str">
        <f t="shared" si="305"/>
        <v/>
      </c>
      <c r="E1970" s="35" t="str">
        <f t="shared" si="302"/>
        <v/>
      </c>
      <c r="F1970" s="31"/>
      <c r="G1970" s="29"/>
      <c r="H1970" s="78" t="str">
        <f t="shared" si="306"/>
        <v/>
      </c>
      <c r="I1970" s="25"/>
      <c r="J1970" s="25"/>
      <c r="K1970" s="26"/>
      <c r="L1970" s="26"/>
      <c r="M1970" s="37"/>
      <c r="N1970" s="27"/>
      <c r="O1970" s="30"/>
      <c r="P1970" s="39" t="str">
        <f t="shared" si="307"/>
        <v/>
      </c>
      <c r="Q1970" s="40" t="str">
        <f>IF(OR(T1970=0,RIGHT(T1970,1)=$W$1),"",COUNTIF($T$3:T1970,T1970))</f>
        <v/>
      </c>
      <c r="S1970" s="6">
        <f t="shared" si="308"/>
        <v>0</v>
      </c>
      <c r="T1970" s="36">
        <f t="shared" si="309"/>
        <v>0</v>
      </c>
      <c r="V1970" s="6">
        <f t="shared" si="310"/>
        <v>0</v>
      </c>
      <c r="Y1970" s="8">
        <f t="shared" si="311"/>
        <v>46023</v>
      </c>
    </row>
    <row r="1971" spans="2:25" ht="18.75" x14ac:dyDescent="0.3">
      <c r="B1971" s="6">
        <f t="shared" si="303"/>
        <v>0</v>
      </c>
      <c r="C1971" s="6">
        <f t="shared" si="304"/>
        <v>0</v>
      </c>
      <c r="D1971" s="6" t="str">
        <f t="shared" si="305"/>
        <v/>
      </c>
      <c r="E1971" s="35" t="str">
        <f t="shared" si="302"/>
        <v/>
      </c>
      <c r="F1971" s="31"/>
      <c r="G1971" s="29"/>
      <c r="H1971" s="78" t="str">
        <f t="shared" si="306"/>
        <v/>
      </c>
      <c r="I1971" s="25"/>
      <c r="J1971" s="25"/>
      <c r="K1971" s="26"/>
      <c r="L1971" s="26"/>
      <c r="M1971" s="37"/>
      <c r="N1971" s="27"/>
      <c r="O1971" s="30"/>
      <c r="P1971" s="39" t="str">
        <f t="shared" si="307"/>
        <v/>
      </c>
      <c r="Q1971" s="40" t="str">
        <f>IF(OR(T1971=0,RIGHT(T1971,1)=$W$1),"",COUNTIF($T$3:T1971,T1971))</f>
        <v/>
      </c>
      <c r="S1971" s="6">
        <f t="shared" si="308"/>
        <v>0</v>
      </c>
      <c r="T1971" s="36">
        <f t="shared" si="309"/>
        <v>0</v>
      </c>
      <c r="V1971" s="6">
        <f t="shared" si="310"/>
        <v>0</v>
      </c>
      <c r="Y1971" s="8">
        <f t="shared" si="311"/>
        <v>46023</v>
      </c>
    </row>
    <row r="1972" spans="2:25" ht="18.75" x14ac:dyDescent="0.3">
      <c r="B1972" s="6">
        <f t="shared" si="303"/>
        <v>0</v>
      </c>
      <c r="C1972" s="6">
        <f t="shared" si="304"/>
        <v>0</v>
      </c>
      <c r="D1972" s="6" t="str">
        <f t="shared" si="305"/>
        <v/>
      </c>
      <c r="E1972" s="35" t="str">
        <f t="shared" si="302"/>
        <v/>
      </c>
      <c r="F1972" s="31"/>
      <c r="G1972" s="29"/>
      <c r="H1972" s="78" t="str">
        <f t="shared" si="306"/>
        <v/>
      </c>
      <c r="I1972" s="25"/>
      <c r="J1972" s="25"/>
      <c r="K1972" s="26"/>
      <c r="L1972" s="26"/>
      <c r="M1972" s="37"/>
      <c r="N1972" s="27"/>
      <c r="O1972" s="30"/>
      <c r="P1972" s="39" t="str">
        <f t="shared" si="307"/>
        <v/>
      </c>
      <c r="Q1972" s="40" t="str">
        <f>IF(OR(T1972=0,RIGHT(T1972,1)=$W$1),"",COUNTIF($T$3:T1972,T1972))</f>
        <v/>
      </c>
      <c r="S1972" s="6">
        <f t="shared" si="308"/>
        <v>0</v>
      </c>
      <c r="T1972" s="36">
        <f t="shared" si="309"/>
        <v>0</v>
      </c>
      <c r="V1972" s="6">
        <f t="shared" si="310"/>
        <v>0</v>
      </c>
      <c r="Y1972" s="8">
        <f t="shared" si="311"/>
        <v>46023</v>
      </c>
    </row>
    <row r="1973" spans="2:25" ht="18.75" x14ac:dyDescent="0.3">
      <c r="B1973" s="6">
        <f t="shared" si="303"/>
        <v>0</v>
      </c>
      <c r="C1973" s="6">
        <f t="shared" si="304"/>
        <v>0</v>
      </c>
      <c r="D1973" s="6" t="str">
        <f t="shared" si="305"/>
        <v/>
      </c>
      <c r="E1973" s="35" t="str">
        <f t="shared" si="302"/>
        <v/>
      </c>
      <c r="F1973" s="31"/>
      <c r="G1973" s="29"/>
      <c r="H1973" s="78" t="str">
        <f t="shared" si="306"/>
        <v/>
      </c>
      <c r="I1973" s="25"/>
      <c r="J1973" s="25"/>
      <c r="K1973" s="26"/>
      <c r="L1973" s="26"/>
      <c r="M1973" s="37"/>
      <c r="N1973" s="27"/>
      <c r="O1973" s="30"/>
      <c r="P1973" s="39" t="str">
        <f t="shared" si="307"/>
        <v/>
      </c>
      <c r="Q1973" s="40" t="str">
        <f>IF(OR(T1973=0,RIGHT(T1973,1)=$W$1),"",COUNTIF($T$3:T1973,T1973))</f>
        <v/>
      </c>
      <c r="S1973" s="6">
        <f t="shared" si="308"/>
        <v>0</v>
      </c>
      <c r="T1973" s="36">
        <f t="shared" si="309"/>
        <v>0</v>
      </c>
      <c r="V1973" s="6">
        <f t="shared" si="310"/>
        <v>0</v>
      </c>
      <c r="Y1973" s="8">
        <f t="shared" si="311"/>
        <v>46023</v>
      </c>
    </row>
    <row r="1974" spans="2:25" ht="18.75" x14ac:dyDescent="0.3">
      <c r="B1974" s="6">
        <f t="shared" si="303"/>
        <v>0</v>
      </c>
      <c r="C1974" s="6">
        <f t="shared" si="304"/>
        <v>0</v>
      </c>
      <c r="D1974" s="6" t="str">
        <f t="shared" si="305"/>
        <v/>
      </c>
      <c r="E1974" s="35" t="str">
        <f t="shared" si="302"/>
        <v/>
      </c>
      <c r="F1974" s="31"/>
      <c r="G1974" s="29"/>
      <c r="H1974" s="78" t="str">
        <f t="shared" si="306"/>
        <v/>
      </c>
      <c r="I1974" s="25"/>
      <c r="J1974" s="25"/>
      <c r="K1974" s="26"/>
      <c r="L1974" s="26"/>
      <c r="M1974" s="37"/>
      <c r="N1974" s="27"/>
      <c r="O1974" s="30"/>
      <c r="P1974" s="39" t="str">
        <f t="shared" si="307"/>
        <v/>
      </c>
      <c r="Q1974" s="40" t="str">
        <f>IF(OR(T1974=0,RIGHT(T1974,1)=$W$1),"",COUNTIF($T$3:T1974,T1974))</f>
        <v/>
      </c>
      <c r="S1974" s="6">
        <f t="shared" si="308"/>
        <v>0</v>
      </c>
      <c r="T1974" s="36">
        <f t="shared" si="309"/>
        <v>0</v>
      </c>
      <c r="V1974" s="6">
        <f t="shared" si="310"/>
        <v>0</v>
      </c>
      <c r="Y1974" s="8">
        <f t="shared" si="311"/>
        <v>46023</v>
      </c>
    </row>
    <row r="1975" spans="2:25" ht="18.75" x14ac:dyDescent="0.3">
      <c r="B1975" s="6">
        <f t="shared" si="303"/>
        <v>0</v>
      </c>
      <c r="C1975" s="6">
        <f t="shared" si="304"/>
        <v>0</v>
      </c>
      <c r="D1975" s="6" t="str">
        <f t="shared" si="305"/>
        <v/>
      </c>
      <c r="E1975" s="35" t="str">
        <f t="shared" si="302"/>
        <v/>
      </c>
      <c r="F1975" s="31"/>
      <c r="G1975" s="29"/>
      <c r="H1975" s="78" t="str">
        <f t="shared" si="306"/>
        <v/>
      </c>
      <c r="I1975" s="25"/>
      <c r="J1975" s="25"/>
      <c r="K1975" s="26"/>
      <c r="L1975" s="26"/>
      <c r="M1975" s="37"/>
      <c r="N1975" s="27"/>
      <c r="O1975" s="30"/>
      <c r="P1975" s="39" t="str">
        <f t="shared" si="307"/>
        <v/>
      </c>
      <c r="Q1975" s="40" t="str">
        <f>IF(OR(T1975=0,RIGHT(T1975,1)=$W$1),"",COUNTIF($T$3:T1975,T1975))</f>
        <v/>
      </c>
      <c r="S1975" s="6">
        <f t="shared" si="308"/>
        <v>0</v>
      </c>
      <c r="T1975" s="36">
        <f t="shared" si="309"/>
        <v>0</v>
      </c>
      <c r="V1975" s="6">
        <f t="shared" si="310"/>
        <v>0</v>
      </c>
      <c r="Y1975" s="8">
        <f t="shared" si="311"/>
        <v>46023</v>
      </c>
    </row>
    <row r="1976" spans="2:25" ht="18.75" x14ac:dyDescent="0.3">
      <c r="B1976" s="6">
        <f t="shared" si="303"/>
        <v>0</v>
      </c>
      <c r="C1976" s="6">
        <f t="shared" si="304"/>
        <v>0</v>
      </c>
      <c r="D1976" s="6" t="str">
        <f t="shared" si="305"/>
        <v/>
      </c>
      <c r="E1976" s="35" t="str">
        <f t="shared" si="302"/>
        <v/>
      </c>
      <c r="F1976" s="31"/>
      <c r="G1976" s="29"/>
      <c r="H1976" s="78" t="str">
        <f t="shared" si="306"/>
        <v/>
      </c>
      <c r="I1976" s="25"/>
      <c r="J1976" s="25"/>
      <c r="K1976" s="26"/>
      <c r="L1976" s="26"/>
      <c r="M1976" s="37"/>
      <c r="N1976" s="27"/>
      <c r="O1976" s="30"/>
      <c r="P1976" s="39" t="str">
        <f t="shared" si="307"/>
        <v/>
      </c>
      <c r="Q1976" s="40" t="str">
        <f>IF(OR(T1976=0,RIGHT(T1976,1)=$W$1),"",COUNTIF($T$3:T1976,T1976))</f>
        <v/>
      </c>
      <c r="S1976" s="6">
        <f t="shared" si="308"/>
        <v>0</v>
      </c>
      <c r="T1976" s="36">
        <f t="shared" si="309"/>
        <v>0</v>
      </c>
      <c r="V1976" s="6">
        <f t="shared" si="310"/>
        <v>0</v>
      </c>
      <c r="Y1976" s="8">
        <f t="shared" si="311"/>
        <v>46023</v>
      </c>
    </row>
    <row r="1977" spans="2:25" ht="18.75" x14ac:dyDescent="0.3">
      <c r="B1977" s="6">
        <f t="shared" si="303"/>
        <v>0</v>
      </c>
      <c r="C1977" s="6">
        <f t="shared" si="304"/>
        <v>0</v>
      </c>
      <c r="D1977" s="6" t="str">
        <f t="shared" si="305"/>
        <v/>
      </c>
      <c r="E1977" s="35" t="str">
        <f t="shared" si="302"/>
        <v/>
      </c>
      <c r="F1977" s="31"/>
      <c r="G1977" s="29"/>
      <c r="H1977" s="78" t="str">
        <f t="shared" si="306"/>
        <v/>
      </c>
      <c r="I1977" s="25"/>
      <c r="J1977" s="25"/>
      <c r="K1977" s="26"/>
      <c r="L1977" s="26"/>
      <c r="M1977" s="37"/>
      <c r="N1977" s="27"/>
      <c r="O1977" s="30"/>
      <c r="P1977" s="39" t="str">
        <f t="shared" si="307"/>
        <v/>
      </c>
      <c r="Q1977" s="40" t="str">
        <f>IF(OR(T1977=0,RIGHT(T1977,1)=$W$1),"",COUNTIF($T$3:T1977,T1977))</f>
        <v/>
      </c>
      <c r="S1977" s="6">
        <f t="shared" si="308"/>
        <v>0</v>
      </c>
      <c r="T1977" s="36">
        <f t="shared" si="309"/>
        <v>0</v>
      </c>
      <c r="V1977" s="6">
        <f t="shared" si="310"/>
        <v>0</v>
      </c>
      <c r="Y1977" s="8">
        <f t="shared" si="311"/>
        <v>46023</v>
      </c>
    </row>
    <row r="1978" spans="2:25" ht="18.75" x14ac:dyDescent="0.3">
      <c r="B1978" s="6">
        <f t="shared" si="303"/>
        <v>0</v>
      </c>
      <c r="C1978" s="6">
        <f t="shared" si="304"/>
        <v>0</v>
      </c>
      <c r="D1978" s="6" t="str">
        <f t="shared" si="305"/>
        <v/>
      </c>
      <c r="E1978" s="35" t="str">
        <f t="shared" si="302"/>
        <v/>
      </c>
      <c r="F1978" s="31"/>
      <c r="G1978" s="29"/>
      <c r="H1978" s="78" t="str">
        <f t="shared" si="306"/>
        <v/>
      </c>
      <c r="I1978" s="25"/>
      <c r="J1978" s="25"/>
      <c r="K1978" s="26"/>
      <c r="L1978" s="26"/>
      <c r="M1978" s="37"/>
      <c r="N1978" s="27"/>
      <c r="O1978" s="30"/>
      <c r="P1978" s="39" t="str">
        <f t="shared" si="307"/>
        <v/>
      </c>
      <c r="Q1978" s="40" t="str">
        <f>IF(OR(T1978=0,RIGHT(T1978,1)=$W$1),"",COUNTIF($T$3:T1978,T1978))</f>
        <v/>
      </c>
      <c r="S1978" s="6">
        <f t="shared" si="308"/>
        <v>0</v>
      </c>
      <c r="T1978" s="36">
        <f t="shared" si="309"/>
        <v>0</v>
      </c>
      <c r="V1978" s="6">
        <f t="shared" si="310"/>
        <v>0</v>
      </c>
      <c r="Y1978" s="8">
        <f t="shared" si="311"/>
        <v>46023</v>
      </c>
    </row>
    <row r="1979" spans="2:25" ht="18.75" x14ac:dyDescent="0.3">
      <c r="B1979" s="6">
        <f t="shared" si="303"/>
        <v>0</v>
      </c>
      <c r="C1979" s="6">
        <f t="shared" si="304"/>
        <v>0</v>
      </c>
      <c r="D1979" s="6" t="str">
        <f t="shared" si="305"/>
        <v/>
      </c>
      <c r="E1979" s="35" t="str">
        <f t="shared" si="302"/>
        <v/>
      </c>
      <c r="F1979" s="31"/>
      <c r="G1979" s="29"/>
      <c r="H1979" s="78" t="str">
        <f t="shared" si="306"/>
        <v/>
      </c>
      <c r="I1979" s="25"/>
      <c r="J1979" s="25"/>
      <c r="K1979" s="26"/>
      <c r="L1979" s="26"/>
      <c r="M1979" s="37"/>
      <c r="N1979" s="27"/>
      <c r="O1979" s="30"/>
      <c r="P1979" s="39" t="str">
        <f t="shared" si="307"/>
        <v/>
      </c>
      <c r="Q1979" s="40" t="str">
        <f>IF(OR(T1979=0,RIGHT(T1979,1)=$W$1),"",COUNTIF($T$3:T1979,T1979))</f>
        <v/>
      </c>
      <c r="S1979" s="6">
        <f t="shared" si="308"/>
        <v>0</v>
      </c>
      <c r="T1979" s="36">
        <f t="shared" si="309"/>
        <v>0</v>
      </c>
      <c r="V1979" s="6">
        <f t="shared" si="310"/>
        <v>0</v>
      </c>
      <c r="Y1979" s="8">
        <f t="shared" si="311"/>
        <v>46023</v>
      </c>
    </row>
    <row r="1980" spans="2:25" ht="18.75" x14ac:dyDescent="0.3">
      <c r="B1980" s="6">
        <f t="shared" si="303"/>
        <v>0</v>
      </c>
      <c r="C1980" s="6">
        <f t="shared" si="304"/>
        <v>0</v>
      </c>
      <c r="D1980" s="6" t="str">
        <f t="shared" si="305"/>
        <v/>
      </c>
      <c r="E1980" s="35" t="str">
        <f t="shared" si="302"/>
        <v/>
      </c>
      <c r="F1980" s="31"/>
      <c r="G1980" s="29"/>
      <c r="H1980" s="78" t="str">
        <f t="shared" si="306"/>
        <v/>
      </c>
      <c r="I1980" s="25"/>
      <c r="J1980" s="25"/>
      <c r="K1980" s="26"/>
      <c r="L1980" s="26"/>
      <c r="M1980" s="37"/>
      <c r="N1980" s="27"/>
      <c r="O1980" s="30"/>
      <c r="P1980" s="39" t="str">
        <f t="shared" si="307"/>
        <v/>
      </c>
      <c r="Q1980" s="40" t="str">
        <f>IF(OR(T1980=0,RIGHT(T1980,1)=$W$1),"",COUNTIF($T$3:T1980,T1980))</f>
        <v/>
      </c>
      <c r="S1980" s="6">
        <f t="shared" si="308"/>
        <v>0</v>
      </c>
      <c r="T1980" s="36">
        <f t="shared" si="309"/>
        <v>0</v>
      </c>
      <c r="V1980" s="6">
        <f t="shared" si="310"/>
        <v>0</v>
      </c>
      <c r="Y1980" s="8">
        <f t="shared" si="311"/>
        <v>46023</v>
      </c>
    </row>
    <row r="1981" spans="2:25" ht="18.75" x14ac:dyDescent="0.3">
      <c r="B1981" s="6">
        <f t="shared" si="303"/>
        <v>0</v>
      </c>
      <c r="C1981" s="6">
        <f t="shared" si="304"/>
        <v>0</v>
      </c>
      <c r="D1981" s="6" t="str">
        <f t="shared" si="305"/>
        <v/>
      </c>
      <c r="E1981" s="35" t="str">
        <f t="shared" si="302"/>
        <v/>
      </c>
      <c r="F1981" s="31"/>
      <c r="G1981" s="29"/>
      <c r="H1981" s="78" t="str">
        <f t="shared" si="306"/>
        <v/>
      </c>
      <c r="I1981" s="25"/>
      <c r="J1981" s="25"/>
      <c r="K1981" s="26"/>
      <c r="L1981" s="26"/>
      <c r="M1981" s="37"/>
      <c r="N1981" s="27"/>
      <c r="O1981" s="30"/>
      <c r="P1981" s="39" t="str">
        <f t="shared" si="307"/>
        <v/>
      </c>
      <c r="Q1981" s="40" t="str">
        <f>IF(OR(T1981=0,RIGHT(T1981,1)=$W$1),"",COUNTIF($T$3:T1981,T1981))</f>
        <v/>
      </c>
      <c r="S1981" s="6">
        <f t="shared" si="308"/>
        <v>0</v>
      </c>
      <c r="T1981" s="36">
        <f t="shared" si="309"/>
        <v>0</v>
      </c>
      <c r="V1981" s="6">
        <f t="shared" si="310"/>
        <v>0</v>
      </c>
      <c r="Y1981" s="8">
        <f t="shared" si="311"/>
        <v>46023</v>
      </c>
    </row>
    <row r="1982" spans="2:25" ht="18.75" x14ac:dyDescent="0.3">
      <c r="B1982" s="6">
        <f t="shared" si="303"/>
        <v>0</v>
      </c>
      <c r="C1982" s="6">
        <f t="shared" si="304"/>
        <v>0</v>
      </c>
      <c r="D1982" s="6" t="str">
        <f t="shared" si="305"/>
        <v/>
      </c>
      <c r="E1982" s="35" t="str">
        <f t="shared" si="302"/>
        <v/>
      </c>
      <c r="F1982" s="31"/>
      <c r="G1982" s="29"/>
      <c r="H1982" s="78" t="str">
        <f t="shared" si="306"/>
        <v/>
      </c>
      <c r="I1982" s="25"/>
      <c r="J1982" s="25"/>
      <c r="K1982" s="26"/>
      <c r="L1982" s="26"/>
      <c r="M1982" s="37"/>
      <c r="N1982" s="27"/>
      <c r="O1982" s="30"/>
      <c r="P1982" s="39" t="str">
        <f t="shared" si="307"/>
        <v/>
      </c>
      <c r="Q1982" s="40" t="str">
        <f>IF(OR(T1982=0,RIGHT(T1982,1)=$W$1),"",COUNTIF($T$3:T1982,T1982))</f>
        <v/>
      </c>
      <c r="S1982" s="6">
        <f t="shared" si="308"/>
        <v>0</v>
      </c>
      <c r="T1982" s="36">
        <f t="shared" si="309"/>
        <v>0</v>
      </c>
      <c r="V1982" s="6">
        <f t="shared" si="310"/>
        <v>0</v>
      </c>
      <c r="Y1982" s="8">
        <f t="shared" si="311"/>
        <v>46023</v>
      </c>
    </row>
    <row r="1983" spans="2:25" ht="18.75" x14ac:dyDescent="0.3">
      <c r="B1983" s="6">
        <f t="shared" si="303"/>
        <v>0</v>
      </c>
      <c r="C1983" s="6">
        <f t="shared" si="304"/>
        <v>0</v>
      </c>
      <c r="D1983" s="6" t="str">
        <f t="shared" si="305"/>
        <v/>
      </c>
      <c r="E1983" s="35" t="str">
        <f t="shared" si="302"/>
        <v/>
      </c>
      <c r="F1983" s="31"/>
      <c r="G1983" s="29"/>
      <c r="H1983" s="78" t="str">
        <f t="shared" si="306"/>
        <v/>
      </c>
      <c r="I1983" s="25"/>
      <c r="J1983" s="25"/>
      <c r="K1983" s="26"/>
      <c r="L1983" s="26"/>
      <c r="M1983" s="37"/>
      <c r="N1983" s="27"/>
      <c r="O1983" s="30"/>
      <c r="P1983" s="39" t="str">
        <f t="shared" si="307"/>
        <v/>
      </c>
      <c r="Q1983" s="40" t="str">
        <f>IF(OR(T1983=0,RIGHT(T1983,1)=$W$1),"",COUNTIF($T$3:T1983,T1983))</f>
        <v/>
      </c>
      <c r="S1983" s="6">
        <f t="shared" si="308"/>
        <v>0</v>
      </c>
      <c r="T1983" s="36">
        <f t="shared" si="309"/>
        <v>0</v>
      </c>
      <c r="V1983" s="6">
        <f t="shared" si="310"/>
        <v>0</v>
      </c>
      <c r="Y1983" s="8">
        <f t="shared" si="311"/>
        <v>46023</v>
      </c>
    </row>
    <row r="1984" spans="2:25" ht="18.75" x14ac:dyDescent="0.3">
      <c r="B1984" s="6">
        <f t="shared" si="303"/>
        <v>0</v>
      </c>
      <c r="C1984" s="6">
        <f t="shared" si="304"/>
        <v>0</v>
      </c>
      <c r="D1984" s="6" t="str">
        <f t="shared" si="305"/>
        <v/>
      </c>
      <c r="E1984" s="35" t="str">
        <f t="shared" si="302"/>
        <v/>
      </c>
      <c r="F1984" s="31"/>
      <c r="G1984" s="29"/>
      <c r="H1984" s="78" t="str">
        <f t="shared" si="306"/>
        <v/>
      </c>
      <c r="I1984" s="25"/>
      <c r="J1984" s="25"/>
      <c r="K1984" s="26"/>
      <c r="L1984" s="26"/>
      <c r="M1984" s="37"/>
      <c r="N1984" s="27"/>
      <c r="O1984" s="30"/>
      <c r="P1984" s="39" t="str">
        <f t="shared" si="307"/>
        <v/>
      </c>
      <c r="Q1984" s="40" t="str">
        <f>IF(OR(T1984=0,RIGHT(T1984,1)=$W$1),"",COUNTIF($T$3:T1984,T1984))</f>
        <v/>
      </c>
      <c r="S1984" s="6">
        <f t="shared" si="308"/>
        <v>0</v>
      </c>
      <c r="T1984" s="36">
        <f t="shared" si="309"/>
        <v>0</v>
      </c>
      <c r="V1984" s="6">
        <f t="shared" si="310"/>
        <v>0</v>
      </c>
      <c r="Y1984" s="8">
        <f t="shared" si="311"/>
        <v>46023</v>
      </c>
    </row>
    <row r="1985" spans="2:25" ht="18.75" x14ac:dyDescent="0.3">
      <c r="B1985" s="6">
        <f t="shared" si="303"/>
        <v>0</v>
      </c>
      <c r="C1985" s="6">
        <f t="shared" si="304"/>
        <v>0</v>
      </c>
      <c r="D1985" s="6" t="str">
        <f t="shared" si="305"/>
        <v/>
      </c>
      <c r="E1985" s="35" t="str">
        <f t="shared" si="302"/>
        <v/>
      </c>
      <c r="F1985" s="31"/>
      <c r="G1985" s="29"/>
      <c r="H1985" s="78" t="str">
        <f t="shared" si="306"/>
        <v/>
      </c>
      <c r="I1985" s="25"/>
      <c r="J1985" s="25"/>
      <c r="K1985" s="26"/>
      <c r="L1985" s="26"/>
      <c r="M1985" s="37"/>
      <c r="N1985" s="27"/>
      <c r="O1985" s="30"/>
      <c r="P1985" s="39" t="str">
        <f t="shared" si="307"/>
        <v/>
      </c>
      <c r="Q1985" s="40" t="str">
        <f>IF(OR(T1985=0,RIGHT(T1985,1)=$W$1),"",COUNTIF($T$3:T1985,T1985))</f>
        <v/>
      </c>
      <c r="S1985" s="6">
        <f t="shared" si="308"/>
        <v>0</v>
      </c>
      <c r="T1985" s="36">
        <f t="shared" si="309"/>
        <v>0</v>
      </c>
      <c r="V1985" s="6">
        <f t="shared" si="310"/>
        <v>0</v>
      </c>
      <c r="Y1985" s="8">
        <f t="shared" si="311"/>
        <v>46023</v>
      </c>
    </row>
    <row r="1986" spans="2:25" ht="18.75" x14ac:dyDescent="0.3">
      <c r="B1986" s="6">
        <f t="shared" si="303"/>
        <v>0</v>
      </c>
      <c r="C1986" s="6">
        <f t="shared" si="304"/>
        <v>0</v>
      </c>
      <c r="D1986" s="6" t="str">
        <f t="shared" si="305"/>
        <v/>
      </c>
      <c r="E1986" s="35" t="str">
        <f t="shared" si="302"/>
        <v/>
      </c>
      <c r="F1986" s="31"/>
      <c r="G1986" s="29"/>
      <c r="H1986" s="78" t="str">
        <f t="shared" si="306"/>
        <v/>
      </c>
      <c r="I1986" s="25"/>
      <c r="J1986" s="25"/>
      <c r="K1986" s="26"/>
      <c r="L1986" s="26"/>
      <c r="M1986" s="37"/>
      <c r="N1986" s="27"/>
      <c r="O1986" s="30"/>
      <c r="P1986" s="39" t="str">
        <f t="shared" si="307"/>
        <v/>
      </c>
      <c r="Q1986" s="40" t="str">
        <f>IF(OR(T1986=0,RIGHT(T1986,1)=$W$1),"",COUNTIF($T$3:T1986,T1986))</f>
        <v/>
      </c>
      <c r="S1986" s="6">
        <f t="shared" si="308"/>
        <v>0</v>
      </c>
      <c r="T1986" s="36">
        <f t="shared" si="309"/>
        <v>0</v>
      </c>
      <c r="V1986" s="6">
        <f t="shared" si="310"/>
        <v>0</v>
      </c>
      <c r="Y1986" s="8">
        <f t="shared" si="311"/>
        <v>46023</v>
      </c>
    </row>
    <row r="1987" spans="2:25" ht="18.75" x14ac:dyDescent="0.3">
      <c r="B1987" s="6">
        <f t="shared" si="303"/>
        <v>0</v>
      </c>
      <c r="C1987" s="6">
        <f t="shared" si="304"/>
        <v>0</v>
      </c>
      <c r="D1987" s="6" t="str">
        <f t="shared" si="305"/>
        <v/>
      </c>
      <c r="E1987" s="35" t="str">
        <f t="shared" ref="E1987:E2050" si="312">IF(D1987&lt;&gt;"",D1987&amp;" - "&amp;YEAR(F1987),"")</f>
        <v/>
      </c>
      <c r="F1987" s="31"/>
      <c r="G1987" s="29"/>
      <c r="H1987" s="78" t="str">
        <f t="shared" si="306"/>
        <v/>
      </c>
      <c r="I1987" s="25"/>
      <c r="J1987" s="25"/>
      <c r="K1987" s="26"/>
      <c r="L1987" s="26"/>
      <c r="M1987" s="37"/>
      <c r="N1987" s="27"/>
      <c r="O1987" s="30"/>
      <c r="P1987" s="39" t="str">
        <f t="shared" si="307"/>
        <v/>
      </c>
      <c r="Q1987" s="40" t="str">
        <f>IF(OR(T1987=0,RIGHT(T1987,1)=$W$1),"",COUNTIF($T$3:T1987,T1987))</f>
        <v/>
      </c>
      <c r="S1987" s="6">
        <f t="shared" si="308"/>
        <v>0</v>
      </c>
      <c r="T1987" s="36">
        <f t="shared" si="309"/>
        <v>0</v>
      </c>
      <c r="V1987" s="6">
        <f t="shared" si="310"/>
        <v>0</v>
      </c>
      <c r="Y1987" s="8">
        <f t="shared" si="311"/>
        <v>46023</v>
      </c>
    </row>
    <row r="1988" spans="2:25" ht="18.75" x14ac:dyDescent="0.3">
      <c r="B1988" s="6">
        <f t="shared" ref="B1988:B2051" si="313">IF($B$1=YEAR(F1988),B1987+1,B1987)</f>
        <v>0</v>
      </c>
      <c r="C1988" s="6">
        <f t="shared" ref="C1988:C2051" si="314">IF(AND($C$1=K1988,$Y$1=YEAR(F1988)),C1987+1,C1987)</f>
        <v>0</v>
      </c>
      <c r="D1988" s="6" t="str">
        <f t="shared" ref="D1988:D2051" si="315">IF(F1988&lt;&gt;0,IF(YEAR(F1988)&lt;&gt;YEAR(F1987),1,IF(M1988=$AI$1,D1987,D1987+1)),"")</f>
        <v/>
      </c>
      <c r="E1988" s="35" t="str">
        <f t="shared" si="312"/>
        <v/>
      </c>
      <c r="F1988" s="31"/>
      <c r="G1988" s="29"/>
      <c r="H1988" s="78" t="str">
        <f t="shared" ref="H1988:H2051" si="316">IF(G1988&lt;&gt;"",F1988,"")</f>
        <v/>
      </c>
      <c r="I1988" s="25"/>
      <c r="J1988" s="25"/>
      <c r="K1988" s="26"/>
      <c r="L1988" s="26"/>
      <c r="M1988" s="37"/>
      <c r="N1988" s="27"/>
      <c r="O1988" s="30"/>
      <c r="P1988" s="39" t="str">
        <f t="shared" ref="P1988:P2051" si="317">IF(OR(T1988=0,RIGHT(T1988,1)=$W$1),"",VLOOKUP(K1988,$AD$1:$AK$15,5,FALSE))</f>
        <v/>
      </c>
      <c r="Q1988" s="40" t="str">
        <f>IF(OR(T1988=0,RIGHT(T1988,1)=$W$1),"",COUNTIF($T$3:T1988,T1988))</f>
        <v/>
      </c>
      <c r="S1988" s="6">
        <f t="shared" ref="S1988:S2051" si="318">IF(AND($C$1=K1988,$Y$1=YEAR(F1988)),C1988,0)</f>
        <v>0</v>
      </c>
      <c r="T1988" s="36">
        <f t="shared" ref="T1988:T2051" si="319">IF(F1988=0,0,YEAR(F1988)&amp;VLOOKUP(K1988,$AD$1:$AE$15,2,FALSE))</f>
        <v>0</v>
      </c>
      <c r="V1988" s="6">
        <f t="shared" ref="V1988:V2051" si="320">IF(AND(YEAR(F1988)=$Y$1,K1988=$C$1,L1988&amp;$V$1&lt;&gt;$V$1),L1988,IF(AND(YEAR(F1988)=$Y$1,K1988=$C$1),1,0))</f>
        <v>0</v>
      </c>
      <c r="Y1988" s="8">
        <f t="shared" ref="Y1988:Y2051" si="321">IF(M1988&lt;&gt;$AI$1,$Y$2,F1987)</f>
        <v>46023</v>
      </c>
    </row>
    <row r="1989" spans="2:25" ht="18.75" x14ac:dyDescent="0.3">
      <c r="B1989" s="6">
        <f t="shared" si="313"/>
        <v>0</v>
      </c>
      <c r="C1989" s="6">
        <f t="shared" si="314"/>
        <v>0</v>
      </c>
      <c r="D1989" s="6" t="str">
        <f t="shared" si="315"/>
        <v/>
      </c>
      <c r="E1989" s="35" t="str">
        <f t="shared" si="312"/>
        <v/>
      </c>
      <c r="F1989" s="31"/>
      <c r="G1989" s="29"/>
      <c r="H1989" s="78" t="str">
        <f t="shared" si="316"/>
        <v/>
      </c>
      <c r="I1989" s="25"/>
      <c r="J1989" s="25"/>
      <c r="K1989" s="26"/>
      <c r="L1989" s="26"/>
      <c r="M1989" s="37"/>
      <c r="N1989" s="27"/>
      <c r="O1989" s="30"/>
      <c r="P1989" s="39" t="str">
        <f t="shared" si="317"/>
        <v/>
      </c>
      <c r="Q1989" s="40" t="str">
        <f>IF(OR(T1989=0,RIGHT(T1989,1)=$W$1),"",COUNTIF($T$3:T1989,T1989))</f>
        <v/>
      </c>
      <c r="S1989" s="6">
        <f t="shared" si="318"/>
        <v>0</v>
      </c>
      <c r="T1989" s="36">
        <f t="shared" si="319"/>
        <v>0</v>
      </c>
      <c r="V1989" s="6">
        <f t="shared" si="320"/>
        <v>0</v>
      </c>
      <c r="Y1989" s="8">
        <f t="shared" si="321"/>
        <v>46023</v>
      </c>
    </row>
    <row r="1990" spans="2:25" ht="18.75" x14ac:dyDescent="0.3">
      <c r="B1990" s="6">
        <f t="shared" si="313"/>
        <v>0</v>
      </c>
      <c r="C1990" s="6">
        <f t="shared" si="314"/>
        <v>0</v>
      </c>
      <c r="D1990" s="6" t="str">
        <f t="shared" si="315"/>
        <v/>
      </c>
      <c r="E1990" s="35" t="str">
        <f t="shared" si="312"/>
        <v/>
      </c>
      <c r="F1990" s="31"/>
      <c r="G1990" s="29"/>
      <c r="H1990" s="78" t="str">
        <f t="shared" si="316"/>
        <v/>
      </c>
      <c r="I1990" s="25"/>
      <c r="J1990" s="25"/>
      <c r="K1990" s="26"/>
      <c r="L1990" s="26"/>
      <c r="M1990" s="37"/>
      <c r="N1990" s="27"/>
      <c r="O1990" s="30"/>
      <c r="P1990" s="39" t="str">
        <f t="shared" si="317"/>
        <v/>
      </c>
      <c r="Q1990" s="40" t="str">
        <f>IF(OR(T1990=0,RIGHT(T1990,1)=$W$1),"",COUNTIF($T$3:T1990,T1990))</f>
        <v/>
      </c>
      <c r="S1990" s="6">
        <f t="shared" si="318"/>
        <v>0</v>
      </c>
      <c r="T1990" s="36">
        <f t="shared" si="319"/>
        <v>0</v>
      </c>
      <c r="V1990" s="6">
        <f t="shared" si="320"/>
        <v>0</v>
      </c>
      <c r="Y1990" s="8">
        <f t="shared" si="321"/>
        <v>46023</v>
      </c>
    </row>
    <row r="1991" spans="2:25" ht="18.75" x14ac:dyDescent="0.3">
      <c r="B1991" s="6">
        <f t="shared" si="313"/>
        <v>0</v>
      </c>
      <c r="C1991" s="6">
        <f t="shared" si="314"/>
        <v>0</v>
      </c>
      <c r="D1991" s="6" t="str">
        <f t="shared" si="315"/>
        <v/>
      </c>
      <c r="E1991" s="35" t="str">
        <f t="shared" si="312"/>
        <v/>
      </c>
      <c r="F1991" s="31"/>
      <c r="G1991" s="29"/>
      <c r="H1991" s="78" t="str">
        <f t="shared" si="316"/>
        <v/>
      </c>
      <c r="I1991" s="25"/>
      <c r="J1991" s="25"/>
      <c r="K1991" s="26"/>
      <c r="L1991" s="26"/>
      <c r="M1991" s="37"/>
      <c r="N1991" s="27"/>
      <c r="O1991" s="30"/>
      <c r="P1991" s="39" t="str">
        <f t="shared" si="317"/>
        <v/>
      </c>
      <c r="Q1991" s="40" t="str">
        <f>IF(OR(T1991=0,RIGHT(T1991,1)=$W$1),"",COUNTIF($T$3:T1991,T1991))</f>
        <v/>
      </c>
      <c r="S1991" s="6">
        <f t="shared" si="318"/>
        <v>0</v>
      </c>
      <c r="T1991" s="36">
        <f t="shared" si="319"/>
        <v>0</v>
      </c>
      <c r="V1991" s="6">
        <f t="shared" si="320"/>
        <v>0</v>
      </c>
      <c r="Y1991" s="8">
        <f t="shared" si="321"/>
        <v>46023</v>
      </c>
    </row>
    <row r="1992" spans="2:25" ht="18.75" x14ac:dyDescent="0.3">
      <c r="B1992" s="6">
        <f t="shared" si="313"/>
        <v>0</v>
      </c>
      <c r="C1992" s="6">
        <f t="shared" si="314"/>
        <v>0</v>
      </c>
      <c r="D1992" s="6" t="str">
        <f t="shared" si="315"/>
        <v/>
      </c>
      <c r="E1992" s="35" t="str">
        <f t="shared" si="312"/>
        <v/>
      </c>
      <c r="F1992" s="31"/>
      <c r="G1992" s="29"/>
      <c r="H1992" s="78" t="str">
        <f t="shared" si="316"/>
        <v/>
      </c>
      <c r="I1992" s="25"/>
      <c r="J1992" s="25"/>
      <c r="K1992" s="26"/>
      <c r="L1992" s="26"/>
      <c r="M1992" s="37"/>
      <c r="N1992" s="27"/>
      <c r="O1992" s="30"/>
      <c r="P1992" s="39" t="str">
        <f t="shared" si="317"/>
        <v/>
      </c>
      <c r="Q1992" s="40" t="str">
        <f>IF(OR(T1992=0,RIGHT(T1992,1)=$W$1),"",COUNTIF($T$3:T1992,T1992))</f>
        <v/>
      </c>
      <c r="S1992" s="6">
        <f t="shared" si="318"/>
        <v>0</v>
      </c>
      <c r="T1992" s="36">
        <f t="shared" si="319"/>
        <v>0</v>
      </c>
      <c r="V1992" s="6">
        <f t="shared" si="320"/>
        <v>0</v>
      </c>
      <c r="Y1992" s="8">
        <f t="shared" si="321"/>
        <v>46023</v>
      </c>
    </row>
    <row r="1993" spans="2:25" ht="18.75" x14ac:dyDescent="0.3">
      <c r="B1993" s="6">
        <f t="shared" si="313"/>
        <v>0</v>
      </c>
      <c r="C1993" s="6">
        <f t="shared" si="314"/>
        <v>0</v>
      </c>
      <c r="D1993" s="6" t="str">
        <f t="shared" si="315"/>
        <v/>
      </c>
      <c r="E1993" s="35" t="str">
        <f t="shared" si="312"/>
        <v/>
      </c>
      <c r="F1993" s="31"/>
      <c r="G1993" s="29"/>
      <c r="H1993" s="78" t="str">
        <f t="shared" si="316"/>
        <v/>
      </c>
      <c r="I1993" s="25"/>
      <c r="J1993" s="25"/>
      <c r="K1993" s="26"/>
      <c r="L1993" s="26"/>
      <c r="M1993" s="37"/>
      <c r="N1993" s="27"/>
      <c r="O1993" s="30"/>
      <c r="P1993" s="39" t="str">
        <f t="shared" si="317"/>
        <v/>
      </c>
      <c r="Q1993" s="40" t="str">
        <f>IF(OR(T1993=0,RIGHT(T1993,1)=$W$1),"",COUNTIF($T$3:T1993,T1993))</f>
        <v/>
      </c>
      <c r="S1993" s="6">
        <f t="shared" si="318"/>
        <v>0</v>
      </c>
      <c r="T1993" s="36">
        <f t="shared" si="319"/>
        <v>0</v>
      </c>
      <c r="V1993" s="6">
        <f t="shared" si="320"/>
        <v>0</v>
      </c>
      <c r="Y1993" s="8">
        <f t="shared" si="321"/>
        <v>46023</v>
      </c>
    </row>
    <row r="1994" spans="2:25" ht="18.75" x14ac:dyDescent="0.3">
      <c r="B1994" s="6">
        <f t="shared" si="313"/>
        <v>0</v>
      </c>
      <c r="C1994" s="6">
        <f t="shared" si="314"/>
        <v>0</v>
      </c>
      <c r="D1994" s="6" t="str">
        <f t="shared" si="315"/>
        <v/>
      </c>
      <c r="E1994" s="35" t="str">
        <f t="shared" si="312"/>
        <v/>
      </c>
      <c r="F1994" s="31"/>
      <c r="G1994" s="29"/>
      <c r="H1994" s="78" t="str">
        <f t="shared" si="316"/>
        <v/>
      </c>
      <c r="I1994" s="25"/>
      <c r="J1994" s="25"/>
      <c r="K1994" s="26"/>
      <c r="L1994" s="26"/>
      <c r="M1994" s="37"/>
      <c r="N1994" s="27"/>
      <c r="O1994" s="30"/>
      <c r="P1994" s="39" t="str">
        <f t="shared" si="317"/>
        <v/>
      </c>
      <c r="Q1994" s="40" t="str">
        <f>IF(OR(T1994=0,RIGHT(T1994,1)=$W$1),"",COUNTIF($T$3:T1994,T1994))</f>
        <v/>
      </c>
      <c r="S1994" s="6">
        <f t="shared" si="318"/>
        <v>0</v>
      </c>
      <c r="T1994" s="36">
        <f t="shared" si="319"/>
        <v>0</v>
      </c>
      <c r="V1994" s="6">
        <f t="shared" si="320"/>
        <v>0</v>
      </c>
      <c r="Y1994" s="8">
        <f t="shared" si="321"/>
        <v>46023</v>
      </c>
    </row>
    <row r="1995" spans="2:25" ht="18.75" x14ac:dyDescent="0.3">
      <c r="B1995" s="6">
        <f t="shared" si="313"/>
        <v>0</v>
      </c>
      <c r="C1995" s="6">
        <f t="shared" si="314"/>
        <v>0</v>
      </c>
      <c r="D1995" s="6" t="str">
        <f t="shared" si="315"/>
        <v/>
      </c>
      <c r="E1995" s="35" t="str">
        <f t="shared" si="312"/>
        <v/>
      </c>
      <c r="F1995" s="31"/>
      <c r="G1995" s="29"/>
      <c r="H1995" s="78" t="str">
        <f t="shared" si="316"/>
        <v/>
      </c>
      <c r="I1995" s="25"/>
      <c r="J1995" s="25"/>
      <c r="K1995" s="26"/>
      <c r="L1995" s="26"/>
      <c r="M1995" s="37"/>
      <c r="N1995" s="27"/>
      <c r="O1995" s="30"/>
      <c r="P1995" s="39" t="str">
        <f t="shared" si="317"/>
        <v/>
      </c>
      <c r="Q1995" s="40" t="str">
        <f>IF(OR(T1995=0,RIGHT(T1995,1)=$W$1),"",COUNTIF($T$3:T1995,T1995))</f>
        <v/>
      </c>
      <c r="S1995" s="6">
        <f t="shared" si="318"/>
        <v>0</v>
      </c>
      <c r="T1995" s="36">
        <f t="shared" si="319"/>
        <v>0</v>
      </c>
      <c r="V1995" s="6">
        <f t="shared" si="320"/>
        <v>0</v>
      </c>
      <c r="Y1995" s="8">
        <f t="shared" si="321"/>
        <v>46023</v>
      </c>
    </row>
    <row r="1996" spans="2:25" ht="18.75" x14ac:dyDescent="0.3">
      <c r="B1996" s="6">
        <f t="shared" si="313"/>
        <v>0</v>
      </c>
      <c r="C1996" s="6">
        <f t="shared" si="314"/>
        <v>0</v>
      </c>
      <c r="D1996" s="6" t="str">
        <f t="shared" si="315"/>
        <v/>
      </c>
      <c r="E1996" s="35" t="str">
        <f t="shared" si="312"/>
        <v/>
      </c>
      <c r="F1996" s="31"/>
      <c r="G1996" s="29"/>
      <c r="H1996" s="78" t="str">
        <f t="shared" si="316"/>
        <v/>
      </c>
      <c r="I1996" s="25"/>
      <c r="J1996" s="25"/>
      <c r="K1996" s="26"/>
      <c r="L1996" s="26"/>
      <c r="M1996" s="37"/>
      <c r="N1996" s="27"/>
      <c r="O1996" s="30"/>
      <c r="P1996" s="39" t="str">
        <f t="shared" si="317"/>
        <v/>
      </c>
      <c r="Q1996" s="40" t="str">
        <f>IF(OR(T1996=0,RIGHT(T1996,1)=$W$1),"",COUNTIF($T$3:T1996,T1996))</f>
        <v/>
      </c>
      <c r="S1996" s="6">
        <f t="shared" si="318"/>
        <v>0</v>
      </c>
      <c r="T1996" s="36">
        <f t="shared" si="319"/>
        <v>0</v>
      </c>
      <c r="V1996" s="6">
        <f t="shared" si="320"/>
        <v>0</v>
      </c>
      <c r="Y1996" s="8">
        <f t="shared" si="321"/>
        <v>46023</v>
      </c>
    </row>
    <row r="1997" spans="2:25" ht="18.75" x14ac:dyDescent="0.3">
      <c r="B1997" s="6">
        <f t="shared" si="313"/>
        <v>0</v>
      </c>
      <c r="C1997" s="6">
        <f t="shared" si="314"/>
        <v>0</v>
      </c>
      <c r="D1997" s="6" t="str">
        <f t="shared" si="315"/>
        <v/>
      </c>
      <c r="E1997" s="35" t="str">
        <f t="shared" si="312"/>
        <v/>
      </c>
      <c r="F1997" s="31"/>
      <c r="G1997" s="29"/>
      <c r="H1997" s="78" t="str">
        <f t="shared" si="316"/>
        <v/>
      </c>
      <c r="I1997" s="25"/>
      <c r="J1997" s="25"/>
      <c r="K1997" s="26"/>
      <c r="L1997" s="26"/>
      <c r="M1997" s="37"/>
      <c r="N1997" s="27"/>
      <c r="O1997" s="30"/>
      <c r="P1997" s="39" t="str">
        <f t="shared" si="317"/>
        <v/>
      </c>
      <c r="Q1997" s="40" t="str">
        <f>IF(OR(T1997=0,RIGHT(T1997,1)=$W$1),"",COUNTIF($T$3:T1997,T1997))</f>
        <v/>
      </c>
      <c r="S1997" s="6">
        <f t="shared" si="318"/>
        <v>0</v>
      </c>
      <c r="T1997" s="36">
        <f t="shared" si="319"/>
        <v>0</v>
      </c>
      <c r="V1997" s="6">
        <f t="shared" si="320"/>
        <v>0</v>
      </c>
      <c r="Y1997" s="8">
        <f t="shared" si="321"/>
        <v>46023</v>
      </c>
    </row>
    <row r="1998" spans="2:25" ht="18.75" x14ac:dyDescent="0.3">
      <c r="B1998" s="6">
        <f t="shared" si="313"/>
        <v>0</v>
      </c>
      <c r="C1998" s="6">
        <f t="shared" si="314"/>
        <v>0</v>
      </c>
      <c r="D1998" s="6" t="str">
        <f t="shared" si="315"/>
        <v/>
      </c>
      <c r="E1998" s="35" t="str">
        <f t="shared" si="312"/>
        <v/>
      </c>
      <c r="F1998" s="31"/>
      <c r="G1998" s="29"/>
      <c r="H1998" s="78" t="str">
        <f t="shared" si="316"/>
        <v/>
      </c>
      <c r="I1998" s="25"/>
      <c r="J1998" s="25"/>
      <c r="K1998" s="26"/>
      <c r="L1998" s="26"/>
      <c r="M1998" s="37"/>
      <c r="N1998" s="27"/>
      <c r="O1998" s="30"/>
      <c r="P1998" s="39" t="str">
        <f t="shared" si="317"/>
        <v/>
      </c>
      <c r="Q1998" s="40" t="str">
        <f>IF(OR(T1998=0,RIGHT(T1998,1)=$W$1),"",COUNTIF($T$3:T1998,T1998))</f>
        <v/>
      </c>
      <c r="S1998" s="6">
        <f t="shared" si="318"/>
        <v>0</v>
      </c>
      <c r="T1998" s="36">
        <f t="shared" si="319"/>
        <v>0</v>
      </c>
      <c r="V1998" s="6">
        <f t="shared" si="320"/>
        <v>0</v>
      </c>
      <c r="Y1998" s="8">
        <f t="shared" si="321"/>
        <v>46023</v>
      </c>
    </row>
    <row r="1999" spans="2:25" ht="18.75" x14ac:dyDescent="0.3">
      <c r="B1999" s="6">
        <f t="shared" si="313"/>
        <v>0</v>
      </c>
      <c r="C1999" s="6">
        <f t="shared" si="314"/>
        <v>0</v>
      </c>
      <c r="D1999" s="6" t="str">
        <f t="shared" si="315"/>
        <v/>
      </c>
      <c r="E1999" s="35" t="str">
        <f t="shared" si="312"/>
        <v/>
      </c>
      <c r="F1999" s="31"/>
      <c r="G1999" s="29"/>
      <c r="H1999" s="78" t="str">
        <f t="shared" si="316"/>
        <v/>
      </c>
      <c r="I1999" s="25"/>
      <c r="J1999" s="25"/>
      <c r="K1999" s="26"/>
      <c r="L1999" s="26"/>
      <c r="M1999" s="37"/>
      <c r="N1999" s="27"/>
      <c r="O1999" s="30"/>
      <c r="P1999" s="39" t="str">
        <f t="shared" si="317"/>
        <v/>
      </c>
      <c r="Q1999" s="40" t="str">
        <f>IF(OR(T1999=0,RIGHT(T1999,1)=$W$1),"",COUNTIF($T$3:T1999,T1999))</f>
        <v/>
      </c>
      <c r="S1999" s="6">
        <f t="shared" si="318"/>
        <v>0</v>
      </c>
      <c r="T1999" s="36">
        <f t="shared" si="319"/>
        <v>0</v>
      </c>
      <c r="V1999" s="6">
        <f t="shared" si="320"/>
        <v>0</v>
      </c>
      <c r="Y1999" s="8">
        <f t="shared" si="321"/>
        <v>46023</v>
      </c>
    </row>
    <row r="2000" spans="2:25" ht="18.75" x14ac:dyDescent="0.3">
      <c r="B2000" s="6">
        <f t="shared" si="313"/>
        <v>0</v>
      </c>
      <c r="C2000" s="6">
        <f t="shared" si="314"/>
        <v>0</v>
      </c>
      <c r="D2000" s="6" t="str">
        <f t="shared" si="315"/>
        <v/>
      </c>
      <c r="E2000" s="35" t="str">
        <f t="shared" si="312"/>
        <v/>
      </c>
      <c r="F2000" s="31"/>
      <c r="G2000" s="29"/>
      <c r="H2000" s="78" t="str">
        <f t="shared" si="316"/>
        <v/>
      </c>
      <c r="I2000" s="25"/>
      <c r="J2000" s="25"/>
      <c r="K2000" s="26"/>
      <c r="L2000" s="26"/>
      <c r="M2000" s="37"/>
      <c r="N2000" s="27"/>
      <c r="O2000" s="30"/>
      <c r="P2000" s="39" t="str">
        <f t="shared" si="317"/>
        <v/>
      </c>
      <c r="Q2000" s="40" t="str">
        <f>IF(OR(T2000=0,RIGHT(T2000,1)=$W$1),"",COUNTIF($T$3:T2000,T2000))</f>
        <v/>
      </c>
      <c r="S2000" s="6">
        <f t="shared" si="318"/>
        <v>0</v>
      </c>
      <c r="T2000" s="36">
        <f t="shared" si="319"/>
        <v>0</v>
      </c>
      <c r="V2000" s="6">
        <f t="shared" si="320"/>
        <v>0</v>
      </c>
      <c r="Y2000" s="8">
        <f t="shared" si="321"/>
        <v>46023</v>
      </c>
    </row>
    <row r="2001" spans="2:25" ht="18.75" x14ac:dyDescent="0.3">
      <c r="B2001" s="6">
        <f t="shared" si="313"/>
        <v>0</v>
      </c>
      <c r="C2001" s="6">
        <f t="shared" si="314"/>
        <v>0</v>
      </c>
      <c r="D2001" s="6" t="str">
        <f t="shared" si="315"/>
        <v/>
      </c>
      <c r="E2001" s="35" t="str">
        <f t="shared" si="312"/>
        <v/>
      </c>
      <c r="F2001" s="31"/>
      <c r="G2001" s="29"/>
      <c r="H2001" s="78" t="str">
        <f t="shared" si="316"/>
        <v/>
      </c>
      <c r="I2001" s="25"/>
      <c r="J2001" s="25"/>
      <c r="K2001" s="26"/>
      <c r="L2001" s="26"/>
      <c r="M2001" s="37"/>
      <c r="N2001" s="27"/>
      <c r="O2001" s="30"/>
      <c r="P2001" s="39" t="str">
        <f t="shared" si="317"/>
        <v/>
      </c>
      <c r="Q2001" s="40" t="str">
        <f>IF(OR(T2001=0,RIGHT(T2001,1)=$W$1),"",COUNTIF($T$3:T2001,T2001))</f>
        <v/>
      </c>
      <c r="S2001" s="6">
        <f t="shared" si="318"/>
        <v>0</v>
      </c>
      <c r="T2001" s="36">
        <f t="shared" si="319"/>
        <v>0</v>
      </c>
      <c r="V2001" s="6">
        <f t="shared" si="320"/>
        <v>0</v>
      </c>
      <c r="Y2001" s="8">
        <f t="shared" si="321"/>
        <v>46023</v>
      </c>
    </row>
    <row r="2002" spans="2:25" ht="18.75" x14ac:dyDescent="0.3">
      <c r="B2002" s="6">
        <f t="shared" si="313"/>
        <v>0</v>
      </c>
      <c r="C2002" s="6">
        <f t="shared" si="314"/>
        <v>0</v>
      </c>
      <c r="D2002" s="6" t="str">
        <f t="shared" si="315"/>
        <v/>
      </c>
      <c r="E2002" s="35" t="str">
        <f t="shared" si="312"/>
        <v/>
      </c>
      <c r="F2002" s="31"/>
      <c r="G2002" s="29"/>
      <c r="H2002" s="78" t="str">
        <f t="shared" si="316"/>
        <v/>
      </c>
      <c r="I2002" s="25"/>
      <c r="J2002" s="25"/>
      <c r="K2002" s="26"/>
      <c r="L2002" s="26"/>
      <c r="M2002" s="37"/>
      <c r="N2002" s="27"/>
      <c r="O2002" s="30"/>
      <c r="P2002" s="39" t="str">
        <f t="shared" si="317"/>
        <v/>
      </c>
      <c r="Q2002" s="40" t="str">
        <f>IF(OR(T2002=0,RIGHT(T2002,1)=$W$1),"",COUNTIF($T$3:T2002,T2002))</f>
        <v/>
      </c>
      <c r="S2002" s="6">
        <f t="shared" si="318"/>
        <v>0</v>
      </c>
      <c r="T2002" s="36">
        <f t="shared" si="319"/>
        <v>0</v>
      </c>
      <c r="V2002" s="6">
        <f t="shared" si="320"/>
        <v>0</v>
      </c>
      <c r="Y2002" s="8">
        <f t="shared" si="321"/>
        <v>46023</v>
      </c>
    </row>
    <row r="2003" spans="2:25" ht="18.75" x14ac:dyDescent="0.3">
      <c r="B2003" s="6">
        <f t="shared" si="313"/>
        <v>0</v>
      </c>
      <c r="C2003" s="6">
        <f t="shared" si="314"/>
        <v>0</v>
      </c>
      <c r="D2003" s="6" t="str">
        <f t="shared" si="315"/>
        <v/>
      </c>
      <c r="E2003" s="35" t="str">
        <f t="shared" si="312"/>
        <v/>
      </c>
      <c r="F2003" s="31"/>
      <c r="G2003" s="29"/>
      <c r="H2003" s="78" t="str">
        <f t="shared" si="316"/>
        <v/>
      </c>
      <c r="I2003" s="25"/>
      <c r="J2003" s="25"/>
      <c r="K2003" s="26"/>
      <c r="L2003" s="26"/>
      <c r="M2003" s="37"/>
      <c r="N2003" s="27"/>
      <c r="O2003" s="30"/>
      <c r="P2003" s="39" t="str">
        <f t="shared" si="317"/>
        <v/>
      </c>
      <c r="Q2003" s="40" t="str">
        <f>IF(OR(T2003=0,RIGHT(T2003,1)=$W$1),"",COUNTIF($T$3:T2003,T2003))</f>
        <v/>
      </c>
      <c r="S2003" s="6">
        <f t="shared" si="318"/>
        <v>0</v>
      </c>
      <c r="T2003" s="36">
        <f t="shared" si="319"/>
        <v>0</v>
      </c>
      <c r="V2003" s="6">
        <f t="shared" si="320"/>
        <v>0</v>
      </c>
      <c r="Y2003" s="8">
        <f t="shared" si="321"/>
        <v>46023</v>
      </c>
    </row>
    <row r="2004" spans="2:25" ht="18.75" x14ac:dyDescent="0.3">
      <c r="B2004" s="6">
        <f t="shared" si="313"/>
        <v>0</v>
      </c>
      <c r="C2004" s="6">
        <f t="shared" si="314"/>
        <v>0</v>
      </c>
      <c r="D2004" s="6" t="str">
        <f t="shared" si="315"/>
        <v/>
      </c>
      <c r="E2004" s="35" t="str">
        <f t="shared" si="312"/>
        <v/>
      </c>
      <c r="F2004" s="31"/>
      <c r="G2004" s="29"/>
      <c r="H2004" s="78" t="str">
        <f t="shared" si="316"/>
        <v/>
      </c>
      <c r="I2004" s="25"/>
      <c r="J2004" s="25"/>
      <c r="K2004" s="26"/>
      <c r="L2004" s="26"/>
      <c r="M2004" s="37"/>
      <c r="N2004" s="27"/>
      <c r="O2004" s="30"/>
      <c r="P2004" s="39" t="str">
        <f t="shared" si="317"/>
        <v/>
      </c>
      <c r="Q2004" s="40" t="str">
        <f>IF(OR(T2004=0,RIGHT(T2004,1)=$W$1),"",COUNTIF($T$3:T2004,T2004))</f>
        <v/>
      </c>
      <c r="S2004" s="6">
        <f t="shared" si="318"/>
        <v>0</v>
      </c>
      <c r="T2004" s="36">
        <f t="shared" si="319"/>
        <v>0</v>
      </c>
      <c r="V2004" s="6">
        <f t="shared" si="320"/>
        <v>0</v>
      </c>
      <c r="Y2004" s="8">
        <f t="shared" si="321"/>
        <v>46023</v>
      </c>
    </row>
    <row r="2005" spans="2:25" ht="18.75" x14ac:dyDescent="0.3">
      <c r="B2005" s="6">
        <f t="shared" si="313"/>
        <v>0</v>
      </c>
      <c r="C2005" s="6">
        <f t="shared" si="314"/>
        <v>0</v>
      </c>
      <c r="D2005" s="6" t="str">
        <f t="shared" si="315"/>
        <v/>
      </c>
      <c r="E2005" s="35" t="str">
        <f t="shared" si="312"/>
        <v/>
      </c>
      <c r="F2005" s="31"/>
      <c r="G2005" s="29"/>
      <c r="H2005" s="78" t="str">
        <f t="shared" si="316"/>
        <v/>
      </c>
      <c r="I2005" s="25"/>
      <c r="J2005" s="25"/>
      <c r="K2005" s="26"/>
      <c r="L2005" s="26"/>
      <c r="M2005" s="37"/>
      <c r="N2005" s="27"/>
      <c r="O2005" s="30"/>
      <c r="P2005" s="39" t="str">
        <f t="shared" si="317"/>
        <v/>
      </c>
      <c r="Q2005" s="40" t="str">
        <f>IF(OR(T2005=0,RIGHT(T2005,1)=$W$1),"",COUNTIF($T$3:T2005,T2005))</f>
        <v/>
      </c>
      <c r="S2005" s="6">
        <f t="shared" si="318"/>
        <v>0</v>
      </c>
      <c r="T2005" s="36">
        <f t="shared" si="319"/>
        <v>0</v>
      </c>
      <c r="V2005" s="6">
        <f t="shared" si="320"/>
        <v>0</v>
      </c>
      <c r="Y2005" s="8">
        <f t="shared" si="321"/>
        <v>46023</v>
      </c>
    </row>
    <row r="2006" spans="2:25" ht="18.75" x14ac:dyDescent="0.3">
      <c r="B2006" s="6">
        <f t="shared" si="313"/>
        <v>0</v>
      </c>
      <c r="C2006" s="6">
        <f t="shared" si="314"/>
        <v>0</v>
      </c>
      <c r="D2006" s="6" t="str">
        <f t="shared" si="315"/>
        <v/>
      </c>
      <c r="E2006" s="35" t="str">
        <f t="shared" si="312"/>
        <v/>
      </c>
      <c r="F2006" s="31"/>
      <c r="G2006" s="29"/>
      <c r="H2006" s="78" t="str">
        <f t="shared" si="316"/>
        <v/>
      </c>
      <c r="I2006" s="25"/>
      <c r="J2006" s="25"/>
      <c r="K2006" s="26"/>
      <c r="L2006" s="26"/>
      <c r="M2006" s="37"/>
      <c r="N2006" s="27"/>
      <c r="O2006" s="30"/>
      <c r="P2006" s="39" t="str">
        <f t="shared" si="317"/>
        <v/>
      </c>
      <c r="Q2006" s="40" t="str">
        <f>IF(OR(T2006=0,RIGHT(T2006,1)=$W$1),"",COUNTIF($T$3:T2006,T2006))</f>
        <v/>
      </c>
      <c r="S2006" s="6">
        <f t="shared" si="318"/>
        <v>0</v>
      </c>
      <c r="T2006" s="36">
        <f t="shared" si="319"/>
        <v>0</v>
      </c>
      <c r="V2006" s="6">
        <f t="shared" si="320"/>
        <v>0</v>
      </c>
      <c r="Y2006" s="8">
        <f t="shared" si="321"/>
        <v>46023</v>
      </c>
    </row>
    <row r="2007" spans="2:25" ht="18.75" x14ac:dyDescent="0.3">
      <c r="B2007" s="6">
        <f t="shared" si="313"/>
        <v>0</v>
      </c>
      <c r="C2007" s="6">
        <f t="shared" si="314"/>
        <v>0</v>
      </c>
      <c r="D2007" s="6" t="str">
        <f t="shared" si="315"/>
        <v/>
      </c>
      <c r="E2007" s="35" t="str">
        <f t="shared" si="312"/>
        <v/>
      </c>
      <c r="F2007" s="31"/>
      <c r="G2007" s="29"/>
      <c r="H2007" s="78" t="str">
        <f t="shared" si="316"/>
        <v/>
      </c>
      <c r="I2007" s="25"/>
      <c r="J2007" s="25"/>
      <c r="K2007" s="26"/>
      <c r="L2007" s="26"/>
      <c r="M2007" s="37"/>
      <c r="N2007" s="27"/>
      <c r="O2007" s="30"/>
      <c r="P2007" s="39" t="str">
        <f t="shared" si="317"/>
        <v/>
      </c>
      <c r="Q2007" s="40" t="str">
        <f>IF(OR(T2007=0,RIGHT(T2007,1)=$W$1),"",COUNTIF($T$3:T2007,T2007))</f>
        <v/>
      </c>
      <c r="S2007" s="6">
        <f t="shared" si="318"/>
        <v>0</v>
      </c>
      <c r="T2007" s="36">
        <f t="shared" si="319"/>
        <v>0</v>
      </c>
      <c r="V2007" s="6">
        <f t="shared" si="320"/>
        <v>0</v>
      </c>
      <c r="Y2007" s="8">
        <f t="shared" si="321"/>
        <v>46023</v>
      </c>
    </row>
    <row r="2008" spans="2:25" ht="18.75" x14ac:dyDescent="0.3">
      <c r="B2008" s="6">
        <f t="shared" si="313"/>
        <v>0</v>
      </c>
      <c r="C2008" s="6">
        <f t="shared" si="314"/>
        <v>0</v>
      </c>
      <c r="D2008" s="6" t="str">
        <f t="shared" si="315"/>
        <v/>
      </c>
      <c r="E2008" s="35" t="str">
        <f t="shared" si="312"/>
        <v/>
      </c>
      <c r="F2008" s="31"/>
      <c r="G2008" s="29"/>
      <c r="H2008" s="78" t="str">
        <f t="shared" si="316"/>
        <v/>
      </c>
      <c r="I2008" s="25"/>
      <c r="J2008" s="25"/>
      <c r="K2008" s="26"/>
      <c r="L2008" s="26"/>
      <c r="M2008" s="37"/>
      <c r="N2008" s="27"/>
      <c r="O2008" s="30"/>
      <c r="P2008" s="39" t="str">
        <f t="shared" si="317"/>
        <v/>
      </c>
      <c r="Q2008" s="40" t="str">
        <f>IF(OR(T2008=0,RIGHT(T2008,1)=$W$1),"",COUNTIF($T$3:T2008,T2008))</f>
        <v/>
      </c>
      <c r="S2008" s="6">
        <f t="shared" si="318"/>
        <v>0</v>
      </c>
      <c r="T2008" s="36">
        <f t="shared" si="319"/>
        <v>0</v>
      </c>
      <c r="V2008" s="6">
        <f t="shared" si="320"/>
        <v>0</v>
      </c>
      <c r="Y2008" s="8">
        <f t="shared" si="321"/>
        <v>46023</v>
      </c>
    </row>
    <row r="2009" spans="2:25" ht="18.75" x14ac:dyDescent="0.3">
      <c r="B2009" s="6">
        <f t="shared" si="313"/>
        <v>0</v>
      </c>
      <c r="C2009" s="6">
        <f t="shared" si="314"/>
        <v>0</v>
      </c>
      <c r="D2009" s="6" t="str">
        <f t="shared" si="315"/>
        <v/>
      </c>
      <c r="E2009" s="35" t="str">
        <f t="shared" si="312"/>
        <v/>
      </c>
      <c r="F2009" s="31"/>
      <c r="G2009" s="29"/>
      <c r="H2009" s="78" t="str">
        <f t="shared" si="316"/>
        <v/>
      </c>
      <c r="I2009" s="25"/>
      <c r="J2009" s="25"/>
      <c r="K2009" s="26"/>
      <c r="L2009" s="26"/>
      <c r="M2009" s="37"/>
      <c r="N2009" s="27"/>
      <c r="O2009" s="30"/>
      <c r="P2009" s="39" t="str">
        <f t="shared" si="317"/>
        <v/>
      </c>
      <c r="Q2009" s="40" t="str">
        <f>IF(OR(T2009=0,RIGHT(T2009,1)=$W$1),"",COUNTIF($T$3:T2009,T2009))</f>
        <v/>
      </c>
      <c r="S2009" s="6">
        <f t="shared" si="318"/>
        <v>0</v>
      </c>
      <c r="T2009" s="36">
        <f t="shared" si="319"/>
        <v>0</v>
      </c>
      <c r="V2009" s="6">
        <f t="shared" si="320"/>
        <v>0</v>
      </c>
      <c r="Y2009" s="8">
        <f t="shared" si="321"/>
        <v>46023</v>
      </c>
    </row>
    <row r="2010" spans="2:25" ht="18.75" x14ac:dyDescent="0.3">
      <c r="B2010" s="6">
        <f t="shared" si="313"/>
        <v>0</v>
      </c>
      <c r="C2010" s="6">
        <f t="shared" si="314"/>
        <v>0</v>
      </c>
      <c r="D2010" s="6" t="str">
        <f t="shared" si="315"/>
        <v/>
      </c>
      <c r="E2010" s="35" t="str">
        <f t="shared" si="312"/>
        <v/>
      </c>
      <c r="F2010" s="31"/>
      <c r="G2010" s="29"/>
      <c r="H2010" s="78" t="str">
        <f t="shared" si="316"/>
        <v/>
      </c>
      <c r="I2010" s="25"/>
      <c r="J2010" s="25"/>
      <c r="K2010" s="26"/>
      <c r="L2010" s="26"/>
      <c r="M2010" s="37"/>
      <c r="N2010" s="27"/>
      <c r="O2010" s="30"/>
      <c r="P2010" s="39" t="str">
        <f t="shared" si="317"/>
        <v/>
      </c>
      <c r="Q2010" s="40" t="str">
        <f>IF(OR(T2010=0,RIGHT(T2010,1)=$W$1),"",COUNTIF($T$3:T2010,T2010))</f>
        <v/>
      </c>
      <c r="S2010" s="6">
        <f t="shared" si="318"/>
        <v>0</v>
      </c>
      <c r="T2010" s="36">
        <f t="shared" si="319"/>
        <v>0</v>
      </c>
      <c r="V2010" s="6">
        <f t="shared" si="320"/>
        <v>0</v>
      </c>
      <c r="Y2010" s="8">
        <f t="shared" si="321"/>
        <v>46023</v>
      </c>
    </row>
    <row r="2011" spans="2:25" ht="18.75" x14ac:dyDescent="0.3">
      <c r="B2011" s="6">
        <f t="shared" si="313"/>
        <v>0</v>
      </c>
      <c r="C2011" s="6">
        <f t="shared" si="314"/>
        <v>0</v>
      </c>
      <c r="D2011" s="6" t="str">
        <f t="shared" si="315"/>
        <v/>
      </c>
      <c r="E2011" s="35" t="str">
        <f t="shared" si="312"/>
        <v/>
      </c>
      <c r="F2011" s="31"/>
      <c r="G2011" s="29"/>
      <c r="H2011" s="78" t="str">
        <f t="shared" si="316"/>
        <v/>
      </c>
      <c r="I2011" s="25"/>
      <c r="J2011" s="25"/>
      <c r="K2011" s="26"/>
      <c r="L2011" s="26"/>
      <c r="M2011" s="37"/>
      <c r="N2011" s="27"/>
      <c r="O2011" s="30"/>
      <c r="P2011" s="39" t="str">
        <f t="shared" si="317"/>
        <v/>
      </c>
      <c r="Q2011" s="40" t="str">
        <f>IF(OR(T2011=0,RIGHT(T2011,1)=$W$1),"",COUNTIF($T$3:T2011,T2011))</f>
        <v/>
      </c>
      <c r="S2011" s="6">
        <f t="shared" si="318"/>
        <v>0</v>
      </c>
      <c r="T2011" s="36">
        <f t="shared" si="319"/>
        <v>0</v>
      </c>
      <c r="V2011" s="6">
        <f t="shared" si="320"/>
        <v>0</v>
      </c>
      <c r="Y2011" s="8">
        <f t="shared" si="321"/>
        <v>46023</v>
      </c>
    </row>
    <row r="2012" spans="2:25" ht="18.75" x14ac:dyDescent="0.3">
      <c r="B2012" s="6">
        <f t="shared" si="313"/>
        <v>0</v>
      </c>
      <c r="C2012" s="6">
        <f t="shared" si="314"/>
        <v>0</v>
      </c>
      <c r="D2012" s="6" t="str">
        <f t="shared" si="315"/>
        <v/>
      </c>
      <c r="E2012" s="35" t="str">
        <f t="shared" si="312"/>
        <v/>
      </c>
      <c r="F2012" s="31"/>
      <c r="G2012" s="29"/>
      <c r="H2012" s="78" t="str">
        <f t="shared" si="316"/>
        <v/>
      </c>
      <c r="I2012" s="25"/>
      <c r="J2012" s="25"/>
      <c r="K2012" s="26"/>
      <c r="L2012" s="26"/>
      <c r="M2012" s="37"/>
      <c r="N2012" s="27"/>
      <c r="O2012" s="30"/>
      <c r="P2012" s="39" t="str">
        <f t="shared" si="317"/>
        <v/>
      </c>
      <c r="Q2012" s="40" t="str">
        <f>IF(OR(T2012=0,RIGHT(T2012,1)=$W$1),"",COUNTIF($T$3:T2012,T2012))</f>
        <v/>
      </c>
      <c r="S2012" s="6">
        <f t="shared" si="318"/>
        <v>0</v>
      </c>
      <c r="T2012" s="36">
        <f t="shared" si="319"/>
        <v>0</v>
      </c>
      <c r="V2012" s="6">
        <f t="shared" si="320"/>
        <v>0</v>
      </c>
      <c r="Y2012" s="8">
        <f t="shared" si="321"/>
        <v>46023</v>
      </c>
    </row>
    <row r="2013" spans="2:25" ht="18.75" x14ac:dyDescent="0.3">
      <c r="B2013" s="6">
        <f t="shared" si="313"/>
        <v>0</v>
      </c>
      <c r="C2013" s="6">
        <f t="shared" si="314"/>
        <v>0</v>
      </c>
      <c r="D2013" s="6" t="str">
        <f t="shared" si="315"/>
        <v/>
      </c>
      <c r="E2013" s="35" t="str">
        <f t="shared" si="312"/>
        <v/>
      </c>
      <c r="F2013" s="31"/>
      <c r="G2013" s="29"/>
      <c r="H2013" s="78" t="str">
        <f t="shared" si="316"/>
        <v/>
      </c>
      <c r="I2013" s="25"/>
      <c r="J2013" s="25"/>
      <c r="K2013" s="26"/>
      <c r="L2013" s="26"/>
      <c r="M2013" s="37"/>
      <c r="N2013" s="27"/>
      <c r="O2013" s="30"/>
      <c r="P2013" s="39" t="str">
        <f t="shared" si="317"/>
        <v/>
      </c>
      <c r="Q2013" s="40" t="str">
        <f>IF(OR(T2013=0,RIGHT(T2013,1)=$W$1),"",COUNTIF($T$3:T2013,T2013))</f>
        <v/>
      </c>
      <c r="S2013" s="6">
        <f t="shared" si="318"/>
        <v>0</v>
      </c>
      <c r="T2013" s="36">
        <f t="shared" si="319"/>
        <v>0</v>
      </c>
      <c r="V2013" s="6">
        <f t="shared" si="320"/>
        <v>0</v>
      </c>
      <c r="Y2013" s="8">
        <f t="shared" si="321"/>
        <v>46023</v>
      </c>
    </row>
    <row r="2014" spans="2:25" ht="18.75" x14ac:dyDescent="0.3">
      <c r="B2014" s="6">
        <f t="shared" si="313"/>
        <v>0</v>
      </c>
      <c r="C2014" s="6">
        <f t="shared" si="314"/>
        <v>0</v>
      </c>
      <c r="D2014" s="6" t="str">
        <f t="shared" si="315"/>
        <v/>
      </c>
      <c r="E2014" s="35" t="str">
        <f t="shared" si="312"/>
        <v/>
      </c>
      <c r="F2014" s="31"/>
      <c r="G2014" s="29"/>
      <c r="H2014" s="78" t="str">
        <f t="shared" si="316"/>
        <v/>
      </c>
      <c r="I2014" s="25"/>
      <c r="J2014" s="25"/>
      <c r="K2014" s="26"/>
      <c r="L2014" s="26"/>
      <c r="M2014" s="37"/>
      <c r="N2014" s="27"/>
      <c r="O2014" s="30"/>
      <c r="P2014" s="39" t="str">
        <f t="shared" si="317"/>
        <v/>
      </c>
      <c r="Q2014" s="40" t="str">
        <f>IF(OR(T2014=0,RIGHT(T2014,1)=$W$1),"",COUNTIF($T$3:T2014,T2014))</f>
        <v/>
      </c>
      <c r="S2014" s="6">
        <f t="shared" si="318"/>
        <v>0</v>
      </c>
      <c r="T2014" s="36">
        <f t="shared" si="319"/>
        <v>0</v>
      </c>
      <c r="V2014" s="6">
        <f t="shared" si="320"/>
        <v>0</v>
      </c>
      <c r="Y2014" s="8">
        <f t="shared" si="321"/>
        <v>46023</v>
      </c>
    </row>
    <row r="2015" spans="2:25" ht="18.75" x14ac:dyDescent="0.3">
      <c r="B2015" s="6">
        <f t="shared" si="313"/>
        <v>0</v>
      </c>
      <c r="C2015" s="6">
        <f t="shared" si="314"/>
        <v>0</v>
      </c>
      <c r="D2015" s="6" t="str">
        <f t="shared" si="315"/>
        <v/>
      </c>
      <c r="E2015" s="35" t="str">
        <f t="shared" si="312"/>
        <v/>
      </c>
      <c r="F2015" s="31"/>
      <c r="G2015" s="29"/>
      <c r="H2015" s="78" t="str">
        <f t="shared" si="316"/>
        <v/>
      </c>
      <c r="I2015" s="25"/>
      <c r="J2015" s="25"/>
      <c r="K2015" s="26"/>
      <c r="L2015" s="26"/>
      <c r="M2015" s="37"/>
      <c r="N2015" s="27"/>
      <c r="O2015" s="30"/>
      <c r="P2015" s="39" t="str">
        <f t="shared" si="317"/>
        <v/>
      </c>
      <c r="Q2015" s="40" t="str">
        <f>IF(OR(T2015=0,RIGHT(T2015,1)=$W$1),"",COUNTIF($T$3:T2015,T2015))</f>
        <v/>
      </c>
      <c r="S2015" s="6">
        <f t="shared" si="318"/>
        <v>0</v>
      </c>
      <c r="T2015" s="36">
        <f t="shared" si="319"/>
        <v>0</v>
      </c>
      <c r="V2015" s="6">
        <f t="shared" si="320"/>
        <v>0</v>
      </c>
      <c r="Y2015" s="8">
        <f t="shared" si="321"/>
        <v>46023</v>
      </c>
    </row>
    <row r="2016" spans="2:25" ht="18.75" x14ac:dyDescent="0.3">
      <c r="B2016" s="6">
        <f t="shared" si="313"/>
        <v>0</v>
      </c>
      <c r="C2016" s="6">
        <f t="shared" si="314"/>
        <v>0</v>
      </c>
      <c r="D2016" s="6" t="str">
        <f t="shared" si="315"/>
        <v/>
      </c>
      <c r="E2016" s="35" t="str">
        <f t="shared" si="312"/>
        <v/>
      </c>
      <c r="F2016" s="31"/>
      <c r="G2016" s="29"/>
      <c r="H2016" s="78" t="str">
        <f t="shared" si="316"/>
        <v/>
      </c>
      <c r="I2016" s="25"/>
      <c r="J2016" s="25"/>
      <c r="K2016" s="26"/>
      <c r="L2016" s="26"/>
      <c r="M2016" s="37"/>
      <c r="N2016" s="27"/>
      <c r="O2016" s="30"/>
      <c r="P2016" s="39" t="str">
        <f t="shared" si="317"/>
        <v/>
      </c>
      <c r="Q2016" s="40" t="str">
        <f>IF(OR(T2016=0,RIGHT(T2016,1)=$W$1),"",COUNTIF($T$3:T2016,T2016))</f>
        <v/>
      </c>
      <c r="S2016" s="6">
        <f t="shared" si="318"/>
        <v>0</v>
      </c>
      <c r="T2016" s="36">
        <f t="shared" si="319"/>
        <v>0</v>
      </c>
      <c r="V2016" s="6">
        <f t="shared" si="320"/>
        <v>0</v>
      </c>
      <c r="Y2016" s="8">
        <f t="shared" si="321"/>
        <v>46023</v>
      </c>
    </row>
    <row r="2017" spans="2:25" ht="18.75" x14ac:dyDescent="0.3">
      <c r="B2017" s="6">
        <f t="shared" si="313"/>
        <v>0</v>
      </c>
      <c r="C2017" s="6">
        <f t="shared" si="314"/>
        <v>0</v>
      </c>
      <c r="D2017" s="6" t="str">
        <f t="shared" si="315"/>
        <v/>
      </c>
      <c r="E2017" s="35" t="str">
        <f t="shared" si="312"/>
        <v/>
      </c>
      <c r="F2017" s="31"/>
      <c r="G2017" s="29"/>
      <c r="H2017" s="78" t="str">
        <f t="shared" si="316"/>
        <v/>
      </c>
      <c r="I2017" s="25"/>
      <c r="J2017" s="25"/>
      <c r="K2017" s="26"/>
      <c r="L2017" s="26"/>
      <c r="M2017" s="37"/>
      <c r="N2017" s="27"/>
      <c r="O2017" s="30"/>
      <c r="P2017" s="39" t="str">
        <f t="shared" si="317"/>
        <v/>
      </c>
      <c r="Q2017" s="40" t="str">
        <f>IF(OR(T2017=0,RIGHT(T2017,1)=$W$1),"",COUNTIF($T$3:T2017,T2017))</f>
        <v/>
      </c>
      <c r="S2017" s="6">
        <f t="shared" si="318"/>
        <v>0</v>
      </c>
      <c r="T2017" s="36">
        <f t="shared" si="319"/>
        <v>0</v>
      </c>
      <c r="V2017" s="6">
        <f t="shared" si="320"/>
        <v>0</v>
      </c>
      <c r="Y2017" s="8">
        <f t="shared" si="321"/>
        <v>46023</v>
      </c>
    </row>
    <row r="2018" spans="2:25" ht="18.75" x14ac:dyDescent="0.3">
      <c r="B2018" s="6">
        <f t="shared" si="313"/>
        <v>0</v>
      </c>
      <c r="C2018" s="6">
        <f t="shared" si="314"/>
        <v>0</v>
      </c>
      <c r="D2018" s="6" t="str">
        <f t="shared" si="315"/>
        <v/>
      </c>
      <c r="E2018" s="35" t="str">
        <f t="shared" si="312"/>
        <v/>
      </c>
      <c r="F2018" s="31"/>
      <c r="G2018" s="29"/>
      <c r="H2018" s="78" t="str">
        <f t="shared" si="316"/>
        <v/>
      </c>
      <c r="I2018" s="25"/>
      <c r="J2018" s="25"/>
      <c r="K2018" s="26"/>
      <c r="L2018" s="26"/>
      <c r="M2018" s="37"/>
      <c r="N2018" s="27"/>
      <c r="O2018" s="30"/>
      <c r="P2018" s="39" t="str">
        <f t="shared" si="317"/>
        <v/>
      </c>
      <c r="Q2018" s="40" t="str">
        <f>IF(OR(T2018=0,RIGHT(T2018,1)=$W$1),"",COUNTIF($T$3:T2018,T2018))</f>
        <v/>
      </c>
      <c r="S2018" s="6">
        <f t="shared" si="318"/>
        <v>0</v>
      </c>
      <c r="T2018" s="36">
        <f t="shared" si="319"/>
        <v>0</v>
      </c>
      <c r="V2018" s="6">
        <f t="shared" si="320"/>
        <v>0</v>
      </c>
      <c r="Y2018" s="8">
        <f t="shared" si="321"/>
        <v>46023</v>
      </c>
    </row>
    <row r="2019" spans="2:25" ht="18.75" x14ac:dyDescent="0.3">
      <c r="B2019" s="6">
        <f t="shared" si="313"/>
        <v>0</v>
      </c>
      <c r="C2019" s="6">
        <f t="shared" si="314"/>
        <v>0</v>
      </c>
      <c r="D2019" s="6" t="str">
        <f t="shared" si="315"/>
        <v/>
      </c>
      <c r="E2019" s="35" t="str">
        <f t="shared" si="312"/>
        <v/>
      </c>
      <c r="F2019" s="31"/>
      <c r="G2019" s="29"/>
      <c r="H2019" s="78" t="str">
        <f t="shared" si="316"/>
        <v/>
      </c>
      <c r="I2019" s="25"/>
      <c r="J2019" s="25"/>
      <c r="K2019" s="26"/>
      <c r="L2019" s="26"/>
      <c r="M2019" s="37"/>
      <c r="N2019" s="27"/>
      <c r="O2019" s="30"/>
      <c r="P2019" s="39" t="str">
        <f t="shared" si="317"/>
        <v/>
      </c>
      <c r="Q2019" s="40" t="str">
        <f>IF(OR(T2019=0,RIGHT(T2019,1)=$W$1),"",COUNTIF($T$3:T2019,T2019))</f>
        <v/>
      </c>
      <c r="S2019" s="6">
        <f t="shared" si="318"/>
        <v>0</v>
      </c>
      <c r="T2019" s="36">
        <f t="shared" si="319"/>
        <v>0</v>
      </c>
      <c r="V2019" s="6">
        <f t="shared" si="320"/>
        <v>0</v>
      </c>
      <c r="Y2019" s="8">
        <f t="shared" si="321"/>
        <v>46023</v>
      </c>
    </row>
    <row r="2020" spans="2:25" ht="18.75" x14ac:dyDescent="0.3">
      <c r="B2020" s="6">
        <f t="shared" si="313"/>
        <v>0</v>
      </c>
      <c r="C2020" s="6">
        <f t="shared" si="314"/>
        <v>0</v>
      </c>
      <c r="D2020" s="6" t="str">
        <f t="shared" si="315"/>
        <v/>
      </c>
      <c r="E2020" s="35" t="str">
        <f t="shared" si="312"/>
        <v/>
      </c>
      <c r="F2020" s="31"/>
      <c r="G2020" s="29"/>
      <c r="H2020" s="78" t="str">
        <f t="shared" si="316"/>
        <v/>
      </c>
      <c r="I2020" s="25"/>
      <c r="J2020" s="25"/>
      <c r="K2020" s="26"/>
      <c r="L2020" s="26"/>
      <c r="M2020" s="37"/>
      <c r="N2020" s="27"/>
      <c r="O2020" s="30"/>
      <c r="P2020" s="39" t="str">
        <f t="shared" si="317"/>
        <v/>
      </c>
      <c r="Q2020" s="40" t="str">
        <f>IF(OR(T2020=0,RIGHT(T2020,1)=$W$1),"",COUNTIF($T$3:T2020,T2020))</f>
        <v/>
      </c>
      <c r="S2020" s="6">
        <f t="shared" si="318"/>
        <v>0</v>
      </c>
      <c r="T2020" s="36">
        <f t="shared" si="319"/>
        <v>0</v>
      </c>
      <c r="V2020" s="6">
        <f t="shared" si="320"/>
        <v>0</v>
      </c>
      <c r="Y2020" s="8">
        <f t="shared" si="321"/>
        <v>46023</v>
      </c>
    </row>
    <row r="2021" spans="2:25" ht="18.75" x14ac:dyDescent="0.3">
      <c r="B2021" s="6">
        <f t="shared" si="313"/>
        <v>0</v>
      </c>
      <c r="C2021" s="6">
        <f t="shared" si="314"/>
        <v>0</v>
      </c>
      <c r="D2021" s="6" t="str">
        <f t="shared" si="315"/>
        <v/>
      </c>
      <c r="E2021" s="35" t="str">
        <f t="shared" si="312"/>
        <v/>
      </c>
      <c r="F2021" s="31"/>
      <c r="G2021" s="29"/>
      <c r="H2021" s="78" t="str">
        <f t="shared" si="316"/>
        <v/>
      </c>
      <c r="I2021" s="25"/>
      <c r="J2021" s="25"/>
      <c r="K2021" s="26"/>
      <c r="L2021" s="26"/>
      <c r="M2021" s="37"/>
      <c r="N2021" s="27"/>
      <c r="O2021" s="30"/>
      <c r="P2021" s="39" t="str">
        <f t="shared" si="317"/>
        <v/>
      </c>
      <c r="Q2021" s="40" t="str">
        <f>IF(OR(T2021=0,RIGHT(T2021,1)=$W$1),"",COUNTIF($T$3:T2021,T2021))</f>
        <v/>
      </c>
      <c r="S2021" s="6">
        <f t="shared" si="318"/>
        <v>0</v>
      </c>
      <c r="T2021" s="36">
        <f t="shared" si="319"/>
        <v>0</v>
      </c>
      <c r="V2021" s="6">
        <f t="shared" si="320"/>
        <v>0</v>
      </c>
      <c r="Y2021" s="8">
        <f t="shared" si="321"/>
        <v>46023</v>
      </c>
    </row>
    <row r="2022" spans="2:25" ht="18.75" x14ac:dyDescent="0.3">
      <c r="B2022" s="6">
        <f t="shared" si="313"/>
        <v>0</v>
      </c>
      <c r="C2022" s="6">
        <f t="shared" si="314"/>
        <v>0</v>
      </c>
      <c r="D2022" s="6" t="str">
        <f t="shared" si="315"/>
        <v/>
      </c>
      <c r="E2022" s="35" t="str">
        <f t="shared" si="312"/>
        <v/>
      </c>
      <c r="F2022" s="31"/>
      <c r="G2022" s="29"/>
      <c r="H2022" s="78" t="str">
        <f t="shared" si="316"/>
        <v/>
      </c>
      <c r="I2022" s="25"/>
      <c r="J2022" s="25"/>
      <c r="K2022" s="26"/>
      <c r="L2022" s="26"/>
      <c r="M2022" s="37"/>
      <c r="N2022" s="27"/>
      <c r="O2022" s="30"/>
      <c r="P2022" s="39" t="str">
        <f t="shared" si="317"/>
        <v/>
      </c>
      <c r="Q2022" s="40" t="str">
        <f>IF(OR(T2022=0,RIGHT(T2022,1)=$W$1),"",COUNTIF($T$3:T2022,T2022))</f>
        <v/>
      </c>
      <c r="S2022" s="6">
        <f t="shared" si="318"/>
        <v>0</v>
      </c>
      <c r="T2022" s="36">
        <f t="shared" si="319"/>
        <v>0</v>
      </c>
      <c r="V2022" s="6">
        <f t="shared" si="320"/>
        <v>0</v>
      </c>
      <c r="Y2022" s="8">
        <f t="shared" si="321"/>
        <v>46023</v>
      </c>
    </row>
    <row r="2023" spans="2:25" ht="18.75" x14ac:dyDescent="0.3">
      <c r="B2023" s="6">
        <f t="shared" si="313"/>
        <v>0</v>
      </c>
      <c r="C2023" s="6">
        <f t="shared" si="314"/>
        <v>0</v>
      </c>
      <c r="D2023" s="6" t="str">
        <f t="shared" si="315"/>
        <v/>
      </c>
      <c r="E2023" s="35" t="str">
        <f t="shared" si="312"/>
        <v/>
      </c>
      <c r="F2023" s="31"/>
      <c r="G2023" s="29"/>
      <c r="H2023" s="78" t="str">
        <f t="shared" si="316"/>
        <v/>
      </c>
      <c r="I2023" s="25"/>
      <c r="J2023" s="25"/>
      <c r="K2023" s="26"/>
      <c r="L2023" s="26"/>
      <c r="M2023" s="37"/>
      <c r="N2023" s="27"/>
      <c r="O2023" s="30"/>
      <c r="P2023" s="39" t="str">
        <f t="shared" si="317"/>
        <v/>
      </c>
      <c r="Q2023" s="40" t="str">
        <f>IF(OR(T2023=0,RIGHT(T2023,1)=$W$1),"",COUNTIF($T$3:T2023,T2023))</f>
        <v/>
      </c>
      <c r="S2023" s="6">
        <f t="shared" si="318"/>
        <v>0</v>
      </c>
      <c r="T2023" s="36">
        <f t="shared" si="319"/>
        <v>0</v>
      </c>
      <c r="V2023" s="6">
        <f t="shared" si="320"/>
        <v>0</v>
      </c>
      <c r="Y2023" s="8">
        <f t="shared" si="321"/>
        <v>46023</v>
      </c>
    </row>
    <row r="2024" spans="2:25" ht="18.75" x14ac:dyDescent="0.3">
      <c r="B2024" s="6">
        <f t="shared" si="313"/>
        <v>0</v>
      </c>
      <c r="C2024" s="6">
        <f t="shared" si="314"/>
        <v>0</v>
      </c>
      <c r="D2024" s="6" t="str">
        <f t="shared" si="315"/>
        <v/>
      </c>
      <c r="E2024" s="35" t="str">
        <f t="shared" si="312"/>
        <v/>
      </c>
      <c r="F2024" s="31"/>
      <c r="G2024" s="29"/>
      <c r="H2024" s="78" t="str">
        <f t="shared" si="316"/>
        <v/>
      </c>
      <c r="I2024" s="25"/>
      <c r="J2024" s="25"/>
      <c r="K2024" s="26"/>
      <c r="L2024" s="26"/>
      <c r="M2024" s="37"/>
      <c r="N2024" s="27"/>
      <c r="O2024" s="30"/>
      <c r="P2024" s="39" t="str">
        <f t="shared" si="317"/>
        <v/>
      </c>
      <c r="Q2024" s="40" t="str">
        <f>IF(OR(T2024=0,RIGHT(T2024,1)=$W$1),"",COUNTIF($T$3:T2024,T2024))</f>
        <v/>
      </c>
      <c r="S2024" s="6">
        <f t="shared" si="318"/>
        <v>0</v>
      </c>
      <c r="T2024" s="36">
        <f t="shared" si="319"/>
        <v>0</v>
      </c>
      <c r="V2024" s="6">
        <f t="shared" si="320"/>
        <v>0</v>
      </c>
      <c r="Y2024" s="8">
        <f t="shared" si="321"/>
        <v>46023</v>
      </c>
    </row>
    <row r="2025" spans="2:25" ht="18.75" x14ac:dyDescent="0.3">
      <c r="B2025" s="6">
        <f t="shared" si="313"/>
        <v>0</v>
      </c>
      <c r="C2025" s="6">
        <f t="shared" si="314"/>
        <v>0</v>
      </c>
      <c r="D2025" s="6" t="str">
        <f t="shared" si="315"/>
        <v/>
      </c>
      <c r="E2025" s="35" t="str">
        <f t="shared" si="312"/>
        <v/>
      </c>
      <c r="F2025" s="31"/>
      <c r="G2025" s="29"/>
      <c r="H2025" s="78" t="str">
        <f t="shared" si="316"/>
        <v/>
      </c>
      <c r="I2025" s="25"/>
      <c r="J2025" s="25"/>
      <c r="K2025" s="26"/>
      <c r="L2025" s="26"/>
      <c r="M2025" s="37"/>
      <c r="N2025" s="27"/>
      <c r="O2025" s="30"/>
      <c r="P2025" s="39" t="str">
        <f t="shared" si="317"/>
        <v/>
      </c>
      <c r="Q2025" s="40" t="str">
        <f>IF(OR(T2025=0,RIGHT(T2025,1)=$W$1),"",COUNTIF($T$3:T2025,T2025))</f>
        <v/>
      </c>
      <c r="S2025" s="6">
        <f t="shared" si="318"/>
        <v>0</v>
      </c>
      <c r="T2025" s="36">
        <f t="shared" si="319"/>
        <v>0</v>
      </c>
      <c r="V2025" s="6">
        <f t="shared" si="320"/>
        <v>0</v>
      </c>
      <c r="Y2025" s="8">
        <f t="shared" si="321"/>
        <v>46023</v>
      </c>
    </row>
    <row r="2026" spans="2:25" ht="18.75" x14ac:dyDescent="0.3">
      <c r="B2026" s="6">
        <f t="shared" si="313"/>
        <v>0</v>
      </c>
      <c r="C2026" s="6">
        <f t="shared" si="314"/>
        <v>0</v>
      </c>
      <c r="D2026" s="6" t="str">
        <f t="shared" si="315"/>
        <v/>
      </c>
      <c r="E2026" s="35" t="str">
        <f t="shared" si="312"/>
        <v/>
      </c>
      <c r="F2026" s="31"/>
      <c r="G2026" s="29"/>
      <c r="H2026" s="78" t="str">
        <f t="shared" si="316"/>
        <v/>
      </c>
      <c r="I2026" s="25"/>
      <c r="J2026" s="25"/>
      <c r="K2026" s="26"/>
      <c r="L2026" s="26"/>
      <c r="M2026" s="37"/>
      <c r="N2026" s="27"/>
      <c r="O2026" s="30"/>
      <c r="P2026" s="39" t="str">
        <f t="shared" si="317"/>
        <v/>
      </c>
      <c r="Q2026" s="40" t="str">
        <f>IF(OR(T2026=0,RIGHT(T2026,1)=$W$1),"",COUNTIF($T$3:T2026,T2026))</f>
        <v/>
      </c>
      <c r="S2026" s="6">
        <f t="shared" si="318"/>
        <v>0</v>
      </c>
      <c r="T2026" s="36">
        <f t="shared" si="319"/>
        <v>0</v>
      </c>
      <c r="V2026" s="6">
        <f t="shared" si="320"/>
        <v>0</v>
      </c>
      <c r="Y2026" s="8">
        <f t="shared" si="321"/>
        <v>46023</v>
      </c>
    </row>
    <row r="2027" spans="2:25" ht="18.75" x14ac:dyDescent="0.3">
      <c r="B2027" s="6">
        <f t="shared" si="313"/>
        <v>0</v>
      </c>
      <c r="C2027" s="6">
        <f t="shared" si="314"/>
        <v>0</v>
      </c>
      <c r="D2027" s="6" t="str">
        <f t="shared" si="315"/>
        <v/>
      </c>
      <c r="E2027" s="35" t="str">
        <f t="shared" si="312"/>
        <v/>
      </c>
      <c r="F2027" s="31"/>
      <c r="G2027" s="29"/>
      <c r="H2027" s="78" t="str">
        <f t="shared" si="316"/>
        <v/>
      </c>
      <c r="I2027" s="25"/>
      <c r="J2027" s="25"/>
      <c r="K2027" s="26"/>
      <c r="L2027" s="26"/>
      <c r="M2027" s="37"/>
      <c r="N2027" s="27"/>
      <c r="O2027" s="30"/>
      <c r="P2027" s="39" t="str">
        <f t="shared" si="317"/>
        <v/>
      </c>
      <c r="Q2027" s="40" t="str">
        <f>IF(OR(T2027=0,RIGHT(T2027,1)=$W$1),"",COUNTIF($T$3:T2027,T2027))</f>
        <v/>
      </c>
      <c r="S2027" s="6">
        <f t="shared" si="318"/>
        <v>0</v>
      </c>
      <c r="T2027" s="36">
        <f t="shared" si="319"/>
        <v>0</v>
      </c>
      <c r="V2027" s="6">
        <f t="shared" si="320"/>
        <v>0</v>
      </c>
      <c r="Y2027" s="8">
        <f t="shared" si="321"/>
        <v>46023</v>
      </c>
    </row>
    <row r="2028" spans="2:25" ht="18.75" x14ac:dyDescent="0.3">
      <c r="B2028" s="6">
        <f t="shared" si="313"/>
        <v>0</v>
      </c>
      <c r="C2028" s="6">
        <f t="shared" si="314"/>
        <v>0</v>
      </c>
      <c r="D2028" s="6" t="str">
        <f t="shared" si="315"/>
        <v/>
      </c>
      <c r="E2028" s="35" t="str">
        <f t="shared" si="312"/>
        <v/>
      </c>
      <c r="F2028" s="31"/>
      <c r="G2028" s="29"/>
      <c r="H2028" s="78" t="str">
        <f t="shared" si="316"/>
        <v/>
      </c>
      <c r="I2028" s="25"/>
      <c r="J2028" s="25"/>
      <c r="K2028" s="26"/>
      <c r="L2028" s="26"/>
      <c r="M2028" s="37"/>
      <c r="N2028" s="27"/>
      <c r="O2028" s="30"/>
      <c r="P2028" s="39" t="str">
        <f t="shared" si="317"/>
        <v/>
      </c>
      <c r="Q2028" s="40" t="str">
        <f>IF(OR(T2028=0,RIGHT(T2028,1)=$W$1),"",COUNTIF($T$3:T2028,T2028))</f>
        <v/>
      </c>
      <c r="S2028" s="6">
        <f t="shared" si="318"/>
        <v>0</v>
      </c>
      <c r="T2028" s="36">
        <f t="shared" si="319"/>
        <v>0</v>
      </c>
      <c r="V2028" s="6">
        <f t="shared" si="320"/>
        <v>0</v>
      </c>
      <c r="Y2028" s="8">
        <f t="shared" si="321"/>
        <v>46023</v>
      </c>
    </row>
    <row r="2029" spans="2:25" ht="18.75" x14ac:dyDescent="0.3">
      <c r="B2029" s="6">
        <f t="shared" si="313"/>
        <v>0</v>
      </c>
      <c r="C2029" s="6">
        <f t="shared" si="314"/>
        <v>0</v>
      </c>
      <c r="D2029" s="6" t="str">
        <f t="shared" si="315"/>
        <v/>
      </c>
      <c r="E2029" s="35" t="str">
        <f t="shared" si="312"/>
        <v/>
      </c>
      <c r="F2029" s="31"/>
      <c r="G2029" s="29"/>
      <c r="H2029" s="78" t="str">
        <f t="shared" si="316"/>
        <v/>
      </c>
      <c r="I2029" s="25"/>
      <c r="J2029" s="25"/>
      <c r="K2029" s="26"/>
      <c r="L2029" s="26"/>
      <c r="M2029" s="37"/>
      <c r="N2029" s="27"/>
      <c r="O2029" s="30"/>
      <c r="P2029" s="39" t="str">
        <f t="shared" si="317"/>
        <v/>
      </c>
      <c r="Q2029" s="40" t="str">
        <f>IF(OR(T2029=0,RIGHT(T2029,1)=$W$1),"",COUNTIF($T$3:T2029,T2029))</f>
        <v/>
      </c>
      <c r="S2029" s="6">
        <f t="shared" si="318"/>
        <v>0</v>
      </c>
      <c r="T2029" s="36">
        <f t="shared" si="319"/>
        <v>0</v>
      </c>
      <c r="V2029" s="6">
        <f t="shared" si="320"/>
        <v>0</v>
      </c>
      <c r="Y2029" s="8">
        <f t="shared" si="321"/>
        <v>46023</v>
      </c>
    </row>
    <row r="2030" spans="2:25" ht="18.75" x14ac:dyDescent="0.3">
      <c r="B2030" s="6">
        <f t="shared" si="313"/>
        <v>0</v>
      </c>
      <c r="C2030" s="6">
        <f t="shared" si="314"/>
        <v>0</v>
      </c>
      <c r="D2030" s="6" t="str">
        <f t="shared" si="315"/>
        <v/>
      </c>
      <c r="E2030" s="35" t="str">
        <f t="shared" si="312"/>
        <v/>
      </c>
      <c r="F2030" s="31"/>
      <c r="G2030" s="29"/>
      <c r="H2030" s="78" t="str">
        <f t="shared" si="316"/>
        <v/>
      </c>
      <c r="I2030" s="25"/>
      <c r="J2030" s="25"/>
      <c r="K2030" s="26"/>
      <c r="L2030" s="26"/>
      <c r="M2030" s="37"/>
      <c r="N2030" s="27"/>
      <c r="O2030" s="30"/>
      <c r="P2030" s="39" t="str">
        <f t="shared" si="317"/>
        <v/>
      </c>
      <c r="Q2030" s="40" t="str">
        <f>IF(OR(T2030=0,RIGHT(T2030,1)=$W$1),"",COUNTIF($T$3:T2030,T2030))</f>
        <v/>
      </c>
      <c r="S2030" s="6">
        <f t="shared" si="318"/>
        <v>0</v>
      </c>
      <c r="T2030" s="36">
        <f t="shared" si="319"/>
        <v>0</v>
      </c>
      <c r="V2030" s="6">
        <f t="shared" si="320"/>
        <v>0</v>
      </c>
      <c r="Y2030" s="8">
        <f t="shared" si="321"/>
        <v>46023</v>
      </c>
    </row>
    <row r="2031" spans="2:25" ht="18.75" x14ac:dyDescent="0.3">
      <c r="B2031" s="6">
        <f t="shared" si="313"/>
        <v>0</v>
      </c>
      <c r="C2031" s="6">
        <f t="shared" si="314"/>
        <v>0</v>
      </c>
      <c r="D2031" s="6" t="str">
        <f t="shared" si="315"/>
        <v/>
      </c>
      <c r="E2031" s="35" t="str">
        <f t="shared" si="312"/>
        <v/>
      </c>
      <c r="F2031" s="31"/>
      <c r="G2031" s="29"/>
      <c r="H2031" s="78" t="str">
        <f t="shared" si="316"/>
        <v/>
      </c>
      <c r="I2031" s="25"/>
      <c r="J2031" s="25"/>
      <c r="K2031" s="26"/>
      <c r="L2031" s="26"/>
      <c r="M2031" s="37"/>
      <c r="N2031" s="27"/>
      <c r="O2031" s="30"/>
      <c r="P2031" s="39" t="str">
        <f t="shared" si="317"/>
        <v/>
      </c>
      <c r="Q2031" s="40" t="str">
        <f>IF(OR(T2031=0,RIGHT(T2031,1)=$W$1),"",COUNTIF($T$3:T2031,T2031))</f>
        <v/>
      </c>
      <c r="S2031" s="6">
        <f t="shared" si="318"/>
        <v>0</v>
      </c>
      <c r="T2031" s="36">
        <f t="shared" si="319"/>
        <v>0</v>
      </c>
      <c r="V2031" s="6">
        <f t="shared" si="320"/>
        <v>0</v>
      </c>
      <c r="Y2031" s="8">
        <f t="shared" si="321"/>
        <v>46023</v>
      </c>
    </row>
    <row r="2032" spans="2:25" ht="18.75" x14ac:dyDescent="0.3">
      <c r="B2032" s="6">
        <f t="shared" si="313"/>
        <v>0</v>
      </c>
      <c r="C2032" s="6">
        <f t="shared" si="314"/>
        <v>0</v>
      </c>
      <c r="D2032" s="6" t="str">
        <f t="shared" si="315"/>
        <v/>
      </c>
      <c r="E2032" s="35" t="str">
        <f t="shared" si="312"/>
        <v/>
      </c>
      <c r="F2032" s="31"/>
      <c r="G2032" s="29"/>
      <c r="H2032" s="78" t="str">
        <f t="shared" si="316"/>
        <v/>
      </c>
      <c r="I2032" s="25"/>
      <c r="J2032" s="25"/>
      <c r="K2032" s="26"/>
      <c r="L2032" s="26"/>
      <c r="M2032" s="37"/>
      <c r="N2032" s="27"/>
      <c r="O2032" s="30"/>
      <c r="P2032" s="39" t="str">
        <f t="shared" si="317"/>
        <v/>
      </c>
      <c r="Q2032" s="40" t="str">
        <f>IF(OR(T2032=0,RIGHT(T2032,1)=$W$1),"",COUNTIF($T$3:T2032,T2032))</f>
        <v/>
      </c>
      <c r="S2032" s="6">
        <f t="shared" si="318"/>
        <v>0</v>
      </c>
      <c r="T2032" s="36">
        <f t="shared" si="319"/>
        <v>0</v>
      </c>
      <c r="V2032" s="6">
        <f t="shared" si="320"/>
        <v>0</v>
      </c>
      <c r="Y2032" s="8">
        <f t="shared" si="321"/>
        <v>46023</v>
      </c>
    </row>
    <row r="2033" spans="2:25" ht="18.75" x14ac:dyDescent="0.3">
      <c r="B2033" s="6">
        <f t="shared" si="313"/>
        <v>0</v>
      </c>
      <c r="C2033" s="6">
        <f t="shared" si="314"/>
        <v>0</v>
      </c>
      <c r="D2033" s="6" t="str">
        <f t="shared" si="315"/>
        <v/>
      </c>
      <c r="E2033" s="35" t="str">
        <f t="shared" si="312"/>
        <v/>
      </c>
      <c r="F2033" s="31"/>
      <c r="G2033" s="29"/>
      <c r="H2033" s="78" t="str">
        <f t="shared" si="316"/>
        <v/>
      </c>
      <c r="I2033" s="25"/>
      <c r="J2033" s="25"/>
      <c r="K2033" s="26"/>
      <c r="L2033" s="26"/>
      <c r="M2033" s="37"/>
      <c r="N2033" s="27"/>
      <c r="O2033" s="30"/>
      <c r="P2033" s="39" t="str">
        <f t="shared" si="317"/>
        <v/>
      </c>
      <c r="Q2033" s="40" t="str">
        <f>IF(OR(T2033=0,RIGHT(T2033,1)=$W$1),"",COUNTIF($T$3:T2033,T2033))</f>
        <v/>
      </c>
      <c r="S2033" s="6">
        <f t="shared" si="318"/>
        <v>0</v>
      </c>
      <c r="T2033" s="36">
        <f t="shared" si="319"/>
        <v>0</v>
      </c>
      <c r="V2033" s="6">
        <f t="shared" si="320"/>
        <v>0</v>
      </c>
      <c r="Y2033" s="8">
        <f t="shared" si="321"/>
        <v>46023</v>
      </c>
    </row>
    <row r="2034" spans="2:25" ht="18.75" x14ac:dyDescent="0.3">
      <c r="B2034" s="6">
        <f t="shared" si="313"/>
        <v>0</v>
      </c>
      <c r="C2034" s="6">
        <f t="shared" si="314"/>
        <v>0</v>
      </c>
      <c r="D2034" s="6" t="str">
        <f t="shared" si="315"/>
        <v/>
      </c>
      <c r="E2034" s="35" t="str">
        <f t="shared" si="312"/>
        <v/>
      </c>
      <c r="F2034" s="31"/>
      <c r="G2034" s="29"/>
      <c r="H2034" s="78" t="str">
        <f t="shared" si="316"/>
        <v/>
      </c>
      <c r="I2034" s="25"/>
      <c r="J2034" s="25"/>
      <c r="K2034" s="26"/>
      <c r="L2034" s="26"/>
      <c r="M2034" s="37"/>
      <c r="N2034" s="27"/>
      <c r="O2034" s="30"/>
      <c r="P2034" s="39" t="str">
        <f t="shared" si="317"/>
        <v/>
      </c>
      <c r="Q2034" s="40" t="str">
        <f>IF(OR(T2034=0,RIGHT(T2034,1)=$W$1),"",COUNTIF($T$3:T2034,T2034))</f>
        <v/>
      </c>
      <c r="S2034" s="6">
        <f t="shared" si="318"/>
        <v>0</v>
      </c>
      <c r="T2034" s="36">
        <f t="shared" si="319"/>
        <v>0</v>
      </c>
      <c r="V2034" s="6">
        <f t="shared" si="320"/>
        <v>0</v>
      </c>
      <c r="Y2034" s="8">
        <f t="shared" si="321"/>
        <v>46023</v>
      </c>
    </row>
    <row r="2035" spans="2:25" ht="18.75" x14ac:dyDescent="0.3">
      <c r="B2035" s="6">
        <f t="shared" si="313"/>
        <v>0</v>
      </c>
      <c r="C2035" s="6">
        <f t="shared" si="314"/>
        <v>0</v>
      </c>
      <c r="D2035" s="6" t="str">
        <f t="shared" si="315"/>
        <v/>
      </c>
      <c r="E2035" s="35" t="str">
        <f t="shared" si="312"/>
        <v/>
      </c>
      <c r="F2035" s="31"/>
      <c r="G2035" s="29"/>
      <c r="H2035" s="78" t="str">
        <f t="shared" si="316"/>
        <v/>
      </c>
      <c r="I2035" s="25"/>
      <c r="J2035" s="25"/>
      <c r="K2035" s="26"/>
      <c r="L2035" s="26"/>
      <c r="M2035" s="37"/>
      <c r="N2035" s="27"/>
      <c r="O2035" s="30"/>
      <c r="P2035" s="39" t="str">
        <f t="shared" si="317"/>
        <v/>
      </c>
      <c r="Q2035" s="40" t="str">
        <f>IF(OR(T2035=0,RIGHT(T2035,1)=$W$1),"",COUNTIF($T$3:T2035,T2035))</f>
        <v/>
      </c>
      <c r="S2035" s="6">
        <f t="shared" si="318"/>
        <v>0</v>
      </c>
      <c r="T2035" s="36">
        <f t="shared" si="319"/>
        <v>0</v>
      </c>
      <c r="V2035" s="6">
        <f t="shared" si="320"/>
        <v>0</v>
      </c>
      <c r="Y2035" s="8">
        <f t="shared" si="321"/>
        <v>46023</v>
      </c>
    </row>
    <row r="2036" spans="2:25" ht="18.75" x14ac:dyDescent="0.3">
      <c r="B2036" s="6">
        <f t="shared" si="313"/>
        <v>0</v>
      </c>
      <c r="C2036" s="6">
        <f t="shared" si="314"/>
        <v>0</v>
      </c>
      <c r="D2036" s="6" t="str">
        <f t="shared" si="315"/>
        <v/>
      </c>
      <c r="E2036" s="35" t="str">
        <f t="shared" si="312"/>
        <v/>
      </c>
      <c r="F2036" s="31"/>
      <c r="G2036" s="29"/>
      <c r="H2036" s="78" t="str">
        <f t="shared" si="316"/>
        <v/>
      </c>
      <c r="I2036" s="25"/>
      <c r="J2036" s="25"/>
      <c r="K2036" s="26"/>
      <c r="L2036" s="26"/>
      <c r="M2036" s="37"/>
      <c r="N2036" s="27"/>
      <c r="O2036" s="30"/>
      <c r="P2036" s="39" t="str">
        <f t="shared" si="317"/>
        <v/>
      </c>
      <c r="Q2036" s="40" t="str">
        <f>IF(OR(T2036=0,RIGHT(T2036,1)=$W$1),"",COUNTIF($T$3:T2036,T2036))</f>
        <v/>
      </c>
      <c r="S2036" s="6">
        <f t="shared" si="318"/>
        <v>0</v>
      </c>
      <c r="T2036" s="36">
        <f t="shared" si="319"/>
        <v>0</v>
      </c>
      <c r="V2036" s="6">
        <f t="shared" si="320"/>
        <v>0</v>
      </c>
      <c r="Y2036" s="8">
        <f t="shared" si="321"/>
        <v>46023</v>
      </c>
    </row>
    <row r="2037" spans="2:25" ht="18.75" x14ac:dyDescent="0.3">
      <c r="B2037" s="6">
        <f t="shared" si="313"/>
        <v>0</v>
      </c>
      <c r="C2037" s="6">
        <f t="shared" si="314"/>
        <v>0</v>
      </c>
      <c r="D2037" s="6" t="str">
        <f t="shared" si="315"/>
        <v/>
      </c>
      <c r="E2037" s="35" t="str">
        <f t="shared" si="312"/>
        <v/>
      </c>
      <c r="F2037" s="31"/>
      <c r="G2037" s="29"/>
      <c r="H2037" s="78" t="str">
        <f t="shared" si="316"/>
        <v/>
      </c>
      <c r="I2037" s="25"/>
      <c r="J2037" s="25"/>
      <c r="K2037" s="26"/>
      <c r="L2037" s="26"/>
      <c r="M2037" s="37"/>
      <c r="N2037" s="27"/>
      <c r="O2037" s="30"/>
      <c r="P2037" s="39" t="str">
        <f t="shared" si="317"/>
        <v/>
      </c>
      <c r="Q2037" s="40" t="str">
        <f>IF(OR(T2037=0,RIGHT(T2037,1)=$W$1),"",COUNTIF($T$3:T2037,T2037))</f>
        <v/>
      </c>
      <c r="S2037" s="6">
        <f t="shared" si="318"/>
        <v>0</v>
      </c>
      <c r="T2037" s="36">
        <f t="shared" si="319"/>
        <v>0</v>
      </c>
      <c r="V2037" s="6">
        <f t="shared" si="320"/>
        <v>0</v>
      </c>
      <c r="Y2037" s="8">
        <f t="shared" si="321"/>
        <v>46023</v>
      </c>
    </row>
    <row r="2038" spans="2:25" ht="18.75" x14ac:dyDescent="0.3">
      <c r="B2038" s="6">
        <f t="shared" si="313"/>
        <v>0</v>
      </c>
      <c r="C2038" s="6">
        <f t="shared" si="314"/>
        <v>0</v>
      </c>
      <c r="D2038" s="6" t="str">
        <f t="shared" si="315"/>
        <v/>
      </c>
      <c r="E2038" s="35" t="str">
        <f t="shared" si="312"/>
        <v/>
      </c>
      <c r="F2038" s="31"/>
      <c r="G2038" s="29"/>
      <c r="H2038" s="78" t="str">
        <f t="shared" si="316"/>
        <v/>
      </c>
      <c r="I2038" s="25"/>
      <c r="J2038" s="25"/>
      <c r="K2038" s="26"/>
      <c r="L2038" s="26"/>
      <c r="M2038" s="37"/>
      <c r="N2038" s="27"/>
      <c r="O2038" s="30"/>
      <c r="P2038" s="39" t="str">
        <f t="shared" si="317"/>
        <v/>
      </c>
      <c r="Q2038" s="40" t="str">
        <f>IF(OR(T2038=0,RIGHT(T2038,1)=$W$1),"",COUNTIF($T$3:T2038,T2038))</f>
        <v/>
      </c>
      <c r="S2038" s="6">
        <f t="shared" si="318"/>
        <v>0</v>
      </c>
      <c r="T2038" s="36">
        <f t="shared" si="319"/>
        <v>0</v>
      </c>
      <c r="V2038" s="6">
        <f t="shared" si="320"/>
        <v>0</v>
      </c>
      <c r="Y2038" s="8">
        <f t="shared" si="321"/>
        <v>46023</v>
      </c>
    </row>
    <row r="2039" spans="2:25" ht="18.75" x14ac:dyDescent="0.3">
      <c r="B2039" s="6">
        <f t="shared" si="313"/>
        <v>0</v>
      </c>
      <c r="C2039" s="6">
        <f t="shared" si="314"/>
        <v>0</v>
      </c>
      <c r="D2039" s="6" t="str">
        <f t="shared" si="315"/>
        <v/>
      </c>
      <c r="E2039" s="35" t="str">
        <f t="shared" si="312"/>
        <v/>
      </c>
      <c r="F2039" s="31"/>
      <c r="G2039" s="29"/>
      <c r="H2039" s="78" t="str">
        <f t="shared" si="316"/>
        <v/>
      </c>
      <c r="I2039" s="25"/>
      <c r="J2039" s="25"/>
      <c r="K2039" s="26"/>
      <c r="L2039" s="26"/>
      <c r="M2039" s="37"/>
      <c r="N2039" s="27"/>
      <c r="O2039" s="30"/>
      <c r="P2039" s="39" t="str">
        <f t="shared" si="317"/>
        <v/>
      </c>
      <c r="Q2039" s="40" t="str">
        <f>IF(OR(T2039=0,RIGHT(T2039,1)=$W$1),"",COUNTIF($T$3:T2039,T2039))</f>
        <v/>
      </c>
      <c r="S2039" s="6">
        <f t="shared" si="318"/>
        <v>0</v>
      </c>
      <c r="T2039" s="36">
        <f t="shared" si="319"/>
        <v>0</v>
      </c>
      <c r="V2039" s="6">
        <f t="shared" si="320"/>
        <v>0</v>
      </c>
      <c r="Y2039" s="8">
        <f t="shared" si="321"/>
        <v>46023</v>
      </c>
    </row>
    <row r="2040" spans="2:25" ht="18.75" x14ac:dyDescent="0.3">
      <c r="B2040" s="6">
        <f t="shared" si="313"/>
        <v>0</v>
      </c>
      <c r="C2040" s="6">
        <f t="shared" si="314"/>
        <v>0</v>
      </c>
      <c r="D2040" s="6" t="str">
        <f t="shared" si="315"/>
        <v/>
      </c>
      <c r="E2040" s="35" t="str">
        <f t="shared" si="312"/>
        <v/>
      </c>
      <c r="F2040" s="31"/>
      <c r="G2040" s="29"/>
      <c r="H2040" s="78" t="str">
        <f t="shared" si="316"/>
        <v/>
      </c>
      <c r="I2040" s="25"/>
      <c r="J2040" s="25"/>
      <c r="K2040" s="26"/>
      <c r="L2040" s="26"/>
      <c r="M2040" s="37"/>
      <c r="N2040" s="27"/>
      <c r="O2040" s="30"/>
      <c r="P2040" s="39" t="str">
        <f t="shared" si="317"/>
        <v/>
      </c>
      <c r="Q2040" s="40" t="str">
        <f>IF(OR(T2040=0,RIGHT(T2040,1)=$W$1),"",COUNTIF($T$3:T2040,T2040))</f>
        <v/>
      </c>
      <c r="S2040" s="6">
        <f t="shared" si="318"/>
        <v>0</v>
      </c>
      <c r="T2040" s="36">
        <f t="shared" si="319"/>
        <v>0</v>
      </c>
      <c r="V2040" s="6">
        <f t="shared" si="320"/>
        <v>0</v>
      </c>
      <c r="Y2040" s="8">
        <f t="shared" si="321"/>
        <v>46023</v>
      </c>
    </row>
    <row r="2041" spans="2:25" ht="18.75" x14ac:dyDescent="0.3">
      <c r="B2041" s="6">
        <f t="shared" si="313"/>
        <v>0</v>
      </c>
      <c r="C2041" s="6">
        <f t="shared" si="314"/>
        <v>0</v>
      </c>
      <c r="D2041" s="6" t="str">
        <f t="shared" si="315"/>
        <v/>
      </c>
      <c r="E2041" s="35" t="str">
        <f t="shared" si="312"/>
        <v/>
      </c>
      <c r="F2041" s="31"/>
      <c r="G2041" s="29"/>
      <c r="H2041" s="78" t="str">
        <f t="shared" si="316"/>
        <v/>
      </c>
      <c r="I2041" s="25"/>
      <c r="J2041" s="25"/>
      <c r="K2041" s="26"/>
      <c r="L2041" s="26"/>
      <c r="M2041" s="37"/>
      <c r="N2041" s="27"/>
      <c r="O2041" s="30"/>
      <c r="P2041" s="39" t="str">
        <f t="shared" si="317"/>
        <v/>
      </c>
      <c r="Q2041" s="40" t="str">
        <f>IF(OR(T2041=0,RIGHT(T2041,1)=$W$1),"",COUNTIF($T$3:T2041,T2041))</f>
        <v/>
      </c>
      <c r="S2041" s="6">
        <f t="shared" si="318"/>
        <v>0</v>
      </c>
      <c r="T2041" s="36">
        <f t="shared" si="319"/>
        <v>0</v>
      </c>
      <c r="V2041" s="6">
        <f t="shared" si="320"/>
        <v>0</v>
      </c>
      <c r="Y2041" s="8">
        <f t="shared" si="321"/>
        <v>46023</v>
      </c>
    </row>
    <row r="2042" spans="2:25" ht="18.75" x14ac:dyDescent="0.3">
      <c r="B2042" s="6">
        <f t="shared" si="313"/>
        <v>0</v>
      </c>
      <c r="C2042" s="6">
        <f t="shared" si="314"/>
        <v>0</v>
      </c>
      <c r="D2042" s="6" t="str">
        <f t="shared" si="315"/>
        <v/>
      </c>
      <c r="E2042" s="35" t="str">
        <f t="shared" si="312"/>
        <v/>
      </c>
      <c r="F2042" s="31"/>
      <c r="G2042" s="29"/>
      <c r="H2042" s="78" t="str">
        <f t="shared" si="316"/>
        <v/>
      </c>
      <c r="I2042" s="25"/>
      <c r="J2042" s="25"/>
      <c r="K2042" s="26"/>
      <c r="L2042" s="26"/>
      <c r="M2042" s="37"/>
      <c r="N2042" s="27"/>
      <c r="O2042" s="30"/>
      <c r="P2042" s="39" t="str">
        <f t="shared" si="317"/>
        <v/>
      </c>
      <c r="Q2042" s="40" t="str">
        <f>IF(OR(T2042=0,RIGHT(T2042,1)=$W$1),"",COUNTIF($T$3:T2042,T2042))</f>
        <v/>
      </c>
      <c r="S2042" s="6">
        <f t="shared" si="318"/>
        <v>0</v>
      </c>
      <c r="T2042" s="36">
        <f t="shared" si="319"/>
        <v>0</v>
      </c>
      <c r="V2042" s="6">
        <f t="shared" si="320"/>
        <v>0</v>
      </c>
      <c r="Y2042" s="8">
        <f t="shared" si="321"/>
        <v>46023</v>
      </c>
    </row>
    <row r="2043" spans="2:25" ht="18.75" x14ac:dyDescent="0.3">
      <c r="B2043" s="6">
        <f t="shared" si="313"/>
        <v>0</v>
      </c>
      <c r="C2043" s="6">
        <f t="shared" si="314"/>
        <v>0</v>
      </c>
      <c r="D2043" s="6" t="str">
        <f t="shared" si="315"/>
        <v/>
      </c>
      <c r="E2043" s="35" t="str">
        <f t="shared" si="312"/>
        <v/>
      </c>
      <c r="F2043" s="31"/>
      <c r="G2043" s="29"/>
      <c r="H2043" s="78" t="str">
        <f t="shared" si="316"/>
        <v/>
      </c>
      <c r="I2043" s="25"/>
      <c r="J2043" s="25"/>
      <c r="K2043" s="26"/>
      <c r="L2043" s="26"/>
      <c r="M2043" s="37"/>
      <c r="N2043" s="27"/>
      <c r="O2043" s="30"/>
      <c r="P2043" s="39" t="str">
        <f t="shared" si="317"/>
        <v/>
      </c>
      <c r="Q2043" s="40" t="str">
        <f>IF(OR(T2043=0,RIGHT(T2043,1)=$W$1),"",COUNTIF($T$3:T2043,T2043))</f>
        <v/>
      </c>
      <c r="S2043" s="6">
        <f t="shared" si="318"/>
        <v>0</v>
      </c>
      <c r="T2043" s="36">
        <f t="shared" si="319"/>
        <v>0</v>
      </c>
      <c r="V2043" s="6">
        <f t="shared" si="320"/>
        <v>0</v>
      </c>
      <c r="Y2043" s="8">
        <f t="shared" si="321"/>
        <v>46023</v>
      </c>
    </row>
    <row r="2044" spans="2:25" ht="18.75" x14ac:dyDescent="0.3">
      <c r="B2044" s="6">
        <f t="shared" si="313"/>
        <v>0</v>
      </c>
      <c r="C2044" s="6">
        <f t="shared" si="314"/>
        <v>0</v>
      </c>
      <c r="D2044" s="6" t="str">
        <f t="shared" si="315"/>
        <v/>
      </c>
      <c r="E2044" s="35" t="str">
        <f t="shared" si="312"/>
        <v/>
      </c>
      <c r="F2044" s="31"/>
      <c r="G2044" s="29"/>
      <c r="H2044" s="78" t="str">
        <f t="shared" si="316"/>
        <v/>
      </c>
      <c r="I2044" s="25"/>
      <c r="J2044" s="25"/>
      <c r="K2044" s="26"/>
      <c r="L2044" s="26"/>
      <c r="M2044" s="37"/>
      <c r="N2044" s="27"/>
      <c r="O2044" s="30"/>
      <c r="P2044" s="39" t="str">
        <f t="shared" si="317"/>
        <v/>
      </c>
      <c r="Q2044" s="40" t="str">
        <f>IF(OR(T2044=0,RIGHT(T2044,1)=$W$1),"",COUNTIF($T$3:T2044,T2044))</f>
        <v/>
      </c>
      <c r="S2044" s="6">
        <f t="shared" si="318"/>
        <v>0</v>
      </c>
      <c r="T2044" s="36">
        <f t="shared" si="319"/>
        <v>0</v>
      </c>
      <c r="V2044" s="6">
        <f t="shared" si="320"/>
        <v>0</v>
      </c>
      <c r="Y2044" s="8">
        <f t="shared" si="321"/>
        <v>46023</v>
      </c>
    </row>
    <row r="2045" spans="2:25" ht="18.75" x14ac:dyDescent="0.3">
      <c r="B2045" s="6">
        <f t="shared" si="313"/>
        <v>0</v>
      </c>
      <c r="C2045" s="6">
        <f t="shared" si="314"/>
        <v>0</v>
      </c>
      <c r="D2045" s="6" t="str">
        <f t="shared" si="315"/>
        <v/>
      </c>
      <c r="E2045" s="35" t="str">
        <f t="shared" si="312"/>
        <v/>
      </c>
      <c r="F2045" s="31"/>
      <c r="G2045" s="29"/>
      <c r="H2045" s="78" t="str">
        <f t="shared" si="316"/>
        <v/>
      </c>
      <c r="I2045" s="25"/>
      <c r="J2045" s="25"/>
      <c r="K2045" s="26"/>
      <c r="L2045" s="26"/>
      <c r="M2045" s="37"/>
      <c r="N2045" s="27"/>
      <c r="O2045" s="30"/>
      <c r="P2045" s="39" t="str">
        <f t="shared" si="317"/>
        <v/>
      </c>
      <c r="Q2045" s="40" t="str">
        <f>IF(OR(T2045=0,RIGHT(T2045,1)=$W$1),"",COUNTIF($T$3:T2045,T2045))</f>
        <v/>
      </c>
      <c r="S2045" s="6">
        <f t="shared" si="318"/>
        <v>0</v>
      </c>
      <c r="T2045" s="36">
        <f t="shared" si="319"/>
        <v>0</v>
      </c>
      <c r="V2045" s="6">
        <f t="shared" si="320"/>
        <v>0</v>
      </c>
      <c r="Y2045" s="8">
        <f t="shared" si="321"/>
        <v>46023</v>
      </c>
    </row>
    <row r="2046" spans="2:25" ht="18.75" x14ac:dyDescent="0.3">
      <c r="B2046" s="6">
        <f t="shared" si="313"/>
        <v>0</v>
      </c>
      <c r="C2046" s="6">
        <f t="shared" si="314"/>
        <v>0</v>
      </c>
      <c r="D2046" s="6" t="str">
        <f t="shared" si="315"/>
        <v/>
      </c>
      <c r="E2046" s="35" t="str">
        <f t="shared" si="312"/>
        <v/>
      </c>
      <c r="F2046" s="31"/>
      <c r="G2046" s="29"/>
      <c r="H2046" s="78" t="str">
        <f t="shared" si="316"/>
        <v/>
      </c>
      <c r="I2046" s="25"/>
      <c r="J2046" s="25"/>
      <c r="K2046" s="26"/>
      <c r="L2046" s="26"/>
      <c r="M2046" s="37"/>
      <c r="N2046" s="27"/>
      <c r="O2046" s="30"/>
      <c r="P2046" s="39" t="str">
        <f t="shared" si="317"/>
        <v/>
      </c>
      <c r="Q2046" s="40" t="str">
        <f>IF(OR(T2046=0,RIGHT(T2046,1)=$W$1),"",COUNTIF($T$3:T2046,T2046))</f>
        <v/>
      </c>
      <c r="S2046" s="6">
        <f t="shared" si="318"/>
        <v>0</v>
      </c>
      <c r="T2046" s="36">
        <f t="shared" si="319"/>
        <v>0</v>
      </c>
      <c r="V2046" s="6">
        <f t="shared" si="320"/>
        <v>0</v>
      </c>
      <c r="Y2046" s="8">
        <f t="shared" si="321"/>
        <v>46023</v>
      </c>
    </row>
    <row r="2047" spans="2:25" ht="18.75" x14ac:dyDescent="0.3">
      <c r="B2047" s="6">
        <f t="shared" si="313"/>
        <v>0</v>
      </c>
      <c r="C2047" s="6">
        <f t="shared" si="314"/>
        <v>0</v>
      </c>
      <c r="D2047" s="6" t="str">
        <f t="shared" si="315"/>
        <v/>
      </c>
      <c r="E2047" s="35" t="str">
        <f t="shared" si="312"/>
        <v/>
      </c>
      <c r="F2047" s="31"/>
      <c r="G2047" s="29"/>
      <c r="H2047" s="78" t="str">
        <f t="shared" si="316"/>
        <v/>
      </c>
      <c r="I2047" s="25"/>
      <c r="J2047" s="25"/>
      <c r="K2047" s="26"/>
      <c r="L2047" s="26"/>
      <c r="M2047" s="37"/>
      <c r="N2047" s="27"/>
      <c r="O2047" s="30"/>
      <c r="P2047" s="39" t="str">
        <f t="shared" si="317"/>
        <v/>
      </c>
      <c r="Q2047" s="40" t="str">
        <f>IF(OR(T2047=0,RIGHT(T2047,1)=$W$1),"",COUNTIF($T$3:T2047,T2047))</f>
        <v/>
      </c>
      <c r="S2047" s="6">
        <f t="shared" si="318"/>
        <v>0</v>
      </c>
      <c r="T2047" s="36">
        <f t="shared" si="319"/>
        <v>0</v>
      </c>
      <c r="V2047" s="6">
        <f t="shared" si="320"/>
        <v>0</v>
      </c>
      <c r="Y2047" s="8">
        <f t="shared" si="321"/>
        <v>46023</v>
      </c>
    </row>
    <row r="2048" spans="2:25" ht="18.75" x14ac:dyDescent="0.3">
      <c r="B2048" s="6">
        <f t="shared" si="313"/>
        <v>0</v>
      </c>
      <c r="C2048" s="6">
        <f t="shared" si="314"/>
        <v>0</v>
      </c>
      <c r="D2048" s="6" t="str">
        <f t="shared" si="315"/>
        <v/>
      </c>
      <c r="E2048" s="35" t="str">
        <f t="shared" si="312"/>
        <v/>
      </c>
      <c r="F2048" s="31"/>
      <c r="G2048" s="29"/>
      <c r="H2048" s="78" t="str">
        <f t="shared" si="316"/>
        <v/>
      </c>
      <c r="I2048" s="25"/>
      <c r="J2048" s="25"/>
      <c r="K2048" s="26"/>
      <c r="L2048" s="26"/>
      <c r="M2048" s="37"/>
      <c r="N2048" s="27"/>
      <c r="O2048" s="30"/>
      <c r="P2048" s="39" t="str">
        <f t="shared" si="317"/>
        <v/>
      </c>
      <c r="Q2048" s="40" t="str">
        <f>IF(OR(T2048=0,RIGHT(T2048,1)=$W$1),"",COUNTIF($T$3:T2048,T2048))</f>
        <v/>
      </c>
      <c r="S2048" s="6">
        <f t="shared" si="318"/>
        <v>0</v>
      </c>
      <c r="T2048" s="36">
        <f t="shared" si="319"/>
        <v>0</v>
      </c>
      <c r="V2048" s="6">
        <f t="shared" si="320"/>
        <v>0</v>
      </c>
      <c r="Y2048" s="8">
        <f t="shared" si="321"/>
        <v>46023</v>
      </c>
    </row>
    <row r="2049" spans="2:25" ht="18.75" x14ac:dyDescent="0.3">
      <c r="B2049" s="6">
        <f t="shared" si="313"/>
        <v>0</v>
      </c>
      <c r="C2049" s="6">
        <f t="shared" si="314"/>
        <v>0</v>
      </c>
      <c r="D2049" s="6" t="str">
        <f t="shared" si="315"/>
        <v/>
      </c>
      <c r="E2049" s="35" t="str">
        <f t="shared" si="312"/>
        <v/>
      </c>
      <c r="F2049" s="31"/>
      <c r="G2049" s="29"/>
      <c r="H2049" s="78" t="str">
        <f t="shared" si="316"/>
        <v/>
      </c>
      <c r="I2049" s="25"/>
      <c r="J2049" s="25"/>
      <c r="K2049" s="26"/>
      <c r="L2049" s="26"/>
      <c r="M2049" s="37"/>
      <c r="N2049" s="27"/>
      <c r="O2049" s="30"/>
      <c r="P2049" s="39" t="str">
        <f t="shared" si="317"/>
        <v/>
      </c>
      <c r="Q2049" s="40" t="str">
        <f>IF(OR(T2049=0,RIGHT(T2049,1)=$W$1),"",COUNTIF($T$3:T2049,T2049))</f>
        <v/>
      </c>
      <c r="S2049" s="6">
        <f t="shared" si="318"/>
        <v>0</v>
      </c>
      <c r="T2049" s="36">
        <f t="shared" si="319"/>
        <v>0</v>
      </c>
      <c r="V2049" s="6">
        <f t="shared" si="320"/>
        <v>0</v>
      </c>
      <c r="Y2049" s="8">
        <f t="shared" si="321"/>
        <v>46023</v>
      </c>
    </row>
    <row r="2050" spans="2:25" ht="18.75" x14ac:dyDescent="0.3">
      <c r="B2050" s="6">
        <f t="shared" si="313"/>
        <v>0</v>
      </c>
      <c r="C2050" s="6">
        <f t="shared" si="314"/>
        <v>0</v>
      </c>
      <c r="D2050" s="6" t="str">
        <f t="shared" si="315"/>
        <v/>
      </c>
      <c r="E2050" s="35" t="str">
        <f t="shared" si="312"/>
        <v/>
      </c>
      <c r="F2050" s="31"/>
      <c r="G2050" s="29"/>
      <c r="H2050" s="78" t="str">
        <f t="shared" si="316"/>
        <v/>
      </c>
      <c r="I2050" s="25"/>
      <c r="J2050" s="25"/>
      <c r="K2050" s="26"/>
      <c r="L2050" s="26"/>
      <c r="M2050" s="37"/>
      <c r="N2050" s="27"/>
      <c r="O2050" s="30"/>
      <c r="P2050" s="39" t="str">
        <f t="shared" si="317"/>
        <v/>
      </c>
      <c r="Q2050" s="40" t="str">
        <f>IF(OR(T2050=0,RIGHT(T2050,1)=$W$1),"",COUNTIF($T$3:T2050,T2050))</f>
        <v/>
      </c>
      <c r="S2050" s="6">
        <f t="shared" si="318"/>
        <v>0</v>
      </c>
      <c r="T2050" s="36">
        <f t="shared" si="319"/>
        <v>0</v>
      </c>
      <c r="V2050" s="6">
        <f t="shared" si="320"/>
        <v>0</v>
      </c>
      <c r="Y2050" s="8">
        <f t="shared" si="321"/>
        <v>46023</v>
      </c>
    </row>
    <row r="2051" spans="2:25" ht="18.75" x14ac:dyDescent="0.3">
      <c r="B2051" s="6">
        <f t="shared" si="313"/>
        <v>0</v>
      </c>
      <c r="C2051" s="6">
        <f t="shared" si="314"/>
        <v>0</v>
      </c>
      <c r="D2051" s="6" t="str">
        <f t="shared" si="315"/>
        <v/>
      </c>
      <c r="E2051" s="35" t="str">
        <f t="shared" ref="E2051:E2114" si="322">IF(D2051&lt;&gt;"",D2051&amp;" - "&amp;YEAR(F2051),"")</f>
        <v/>
      </c>
      <c r="F2051" s="31"/>
      <c r="G2051" s="29"/>
      <c r="H2051" s="78" t="str">
        <f t="shared" si="316"/>
        <v/>
      </c>
      <c r="I2051" s="25"/>
      <c r="J2051" s="25"/>
      <c r="K2051" s="26"/>
      <c r="L2051" s="26"/>
      <c r="M2051" s="37"/>
      <c r="N2051" s="27"/>
      <c r="O2051" s="30"/>
      <c r="P2051" s="39" t="str">
        <f t="shared" si="317"/>
        <v/>
      </c>
      <c r="Q2051" s="40" t="str">
        <f>IF(OR(T2051=0,RIGHT(T2051,1)=$W$1),"",COUNTIF($T$3:T2051,T2051))</f>
        <v/>
      </c>
      <c r="S2051" s="6">
        <f t="shared" si="318"/>
        <v>0</v>
      </c>
      <c r="T2051" s="36">
        <f t="shared" si="319"/>
        <v>0</v>
      </c>
      <c r="V2051" s="6">
        <f t="shared" si="320"/>
        <v>0</v>
      </c>
      <c r="Y2051" s="8">
        <f t="shared" si="321"/>
        <v>46023</v>
      </c>
    </row>
    <row r="2052" spans="2:25" ht="18.75" x14ac:dyDescent="0.3">
      <c r="B2052" s="6">
        <f t="shared" ref="B2052:B2115" si="323">IF($B$1=YEAR(F2052),B2051+1,B2051)</f>
        <v>0</v>
      </c>
      <c r="C2052" s="6">
        <f t="shared" ref="C2052:C2115" si="324">IF(AND($C$1=K2052,$Y$1=YEAR(F2052)),C2051+1,C2051)</f>
        <v>0</v>
      </c>
      <c r="D2052" s="6" t="str">
        <f t="shared" ref="D2052:D2115" si="325">IF(F2052&lt;&gt;0,IF(YEAR(F2052)&lt;&gt;YEAR(F2051),1,IF(M2052=$AI$1,D2051,D2051+1)),"")</f>
        <v/>
      </c>
      <c r="E2052" s="35" t="str">
        <f t="shared" si="322"/>
        <v/>
      </c>
      <c r="F2052" s="31"/>
      <c r="G2052" s="29"/>
      <c r="H2052" s="78" t="str">
        <f t="shared" ref="H2052:H2115" si="326">IF(G2052&lt;&gt;"",F2052,"")</f>
        <v/>
      </c>
      <c r="I2052" s="25"/>
      <c r="J2052" s="25"/>
      <c r="K2052" s="26"/>
      <c r="L2052" s="26"/>
      <c r="M2052" s="37"/>
      <c r="N2052" s="27"/>
      <c r="O2052" s="30"/>
      <c r="P2052" s="39" t="str">
        <f t="shared" ref="P2052:P2115" si="327">IF(OR(T2052=0,RIGHT(T2052,1)=$W$1),"",VLOOKUP(K2052,$AD$1:$AK$15,5,FALSE))</f>
        <v/>
      </c>
      <c r="Q2052" s="40" t="str">
        <f>IF(OR(T2052=0,RIGHT(T2052,1)=$W$1),"",COUNTIF($T$3:T2052,T2052))</f>
        <v/>
      </c>
      <c r="S2052" s="6">
        <f t="shared" ref="S2052:S2115" si="328">IF(AND($C$1=K2052,$Y$1=YEAR(F2052)),C2052,0)</f>
        <v>0</v>
      </c>
      <c r="T2052" s="36">
        <f t="shared" ref="T2052:T2115" si="329">IF(F2052=0,0,YEAR(F2052)&amp;VLOOKUP(K2052,$AD$1:$AE$15,2,FALSE))</f>
        <v>0</v>
      </c>
      <c r="V2052" s="6">
        <f t="shared" ref="V2052:V2115" si="330">IF(AND(YEAR(F2052)=$Y$1,K2052=$C$1,L2052&amp;$V$1&lt;&gt;$V$1),L2052,IF(AND(YEAR(F2052)=$Y$1,K2052=$C$1),1,0))</f>
        <v>0</v>
      </c>
      <c r="Y2052" s="8">
        <f t="shared" ref="Y2052:Y2115" si="331">IF(M2052&lt;&gt;$AI$1,$Y$2,F2051)</f>
        <v>46023</v>
      </c>
    </row>
    <row r="2053" spans="2:25" ht="18.75" x14ac:dyDescent="0.3">
      <c r="B2053" s="6">
        <f t="shared" si="323"/>
        <v>0</v>
      </c>
      <c r="C2053" s="6">
        <f t="shared" si="324"/>
        <v>0</v>
      </c>
      <c r="D2053" s="6" t="str">
        <f t="shared" si="325"/>
        <v/>
      </c>
      <c r="E2053" s="35" t="str">
        <f t="shared" si="322"/>
        <v/>
      </c>
      <c r="F2053" s="31"/>
      <c r="G2053" s="29"/>
      <c r="H2053" s="78" t="str">
        <f t="shared" si="326"/>
        <v/>
      </c>
      <c r="I2053" s="25"/>
      <c r="J2053" s="25"/>
      <c r="K2053" s="26"/>
      <c r="L2053" s="26"/>
      <c r="M2053" s="37"/>
      <c r="N2053" s="27"/>
      <c r="O2053" s="30"/>
      <c r="P2053" s="39" t="str">
        <f t="shared" si="327"/>
        <v/>
      </c>
      <c r="Q2053" s="40" t="str">
        <f>IF(OR(T2053=0,RIGHT(T2053,1)=$W$1),"",COUNTIF($T$3:T2053,T2053))</f>
        <v/>
      </c>
      <c r="S2053" s="6">
        <f t="shared" si="328"/>
        <v>0</v>
      </c>
      <c r="T2053" s="36">
        <f t="shared" si="329"/>
        <v>0</v>
      </c>
      <c r="V2053" s="6">
        <f t="shared" si="330"/>
        <v>0</v>
      </c>
      <c r="Y2053" s="8">
        <f t="shared" si="331"/>
        <v>46023</v>
      </c>
    </row>
    <row r="2054" spans="2:25" ht="18.75" x14ac:dyDescent="0.3">
      <c r="B2054" s="6">
        <f t="shared" si="323"/>
        <v>0</v>
      </c>
      <c r="C2054" s="6">
        <f t="shared" si="324"/>
        <v>0</v>
      </c>
      <c r="D2054" s="6" t="str">
        <f t="shared" si="325"/>
        <v/>
      </c>
      <c r="E2054" s="35" t="str">
        <f t="shared" si="322"/>
        <v/>
      </c>
      <c r="F2054" s="31"/>
      <c r="G2054" s="29"/>
      <c r="H2054" s="78" t="str">
        <f t="shared" si="326"/>
        <v/>
      </c>
      <c r="I2054" s="25"/>
      <c r="J2054" s="25"/>
      <c r="K2054" s="26"/>
      <c r="L2054" s="26"/>
      <c r="M2054" s="37"/>
      <c r="N2054" s="27"/>
      <c r="O2054" s="30"/>
      <c r="P2054" s="39" t="str">
        <f t="shared" si="327"/>
        <v/>
      </c>
      <c r="Q2054" s="40" t="str">
        <f>IF(OR(T2054=0,RIGHT(T2054,1)=$W$1),"",COUNTIF($T$3:T2054,T2054))</f>
        <v/>
      </c>
      <c r="S2054" s="6">
        <f t="shared" si="328"/>
        <v>0</v>
      </c>
      <c r="T2054" s="36">
        <f t="shared" si="329"/>
        <v>0</v>
      </c>
      <c r="V2054" s="6">
        <f t="shared" si="330"/>
        <v>0</v>
      </c>
      <c r="Y2054" s="8">
        <f t="shared" si="331"/>
        <v>46023</v>
      </c>
    </row>
    <row r="2055" spans="2:25" ht="18.75" x14ac:dyDescent="0.3">
      <c r="B2055" s="6">
        <f t="shared" si="323"/>
        <v>0</v>
      </c>
      <c r="C2055" s="6">
        <f t="shared" si="324"/>
        <v>0</v>
      </c>
      <c r="D2055" s="6" t="str">
        <f t="shared" si="325"/>
        <v/>
      </c>
      <c r="E2055" s="35" t="str">
        <f t="shared" si="322"/>
        <v/>
      </c>
      <c r="F2055" s="31"/>
      <c r="G2055" s="29"/>
      <c r="H2055" s="78" t="str">
        <f t="shared" si="326"/>
        <v/>
      </c>
      <c r="I2055" s="25"/>
      <c r="J2055" s="25"/>
      <c r="K2055" s="26"/>
      <c r="L2055" s="26"/>
      <c r="M2055" s="37"/>
      <c r="N2055" s="27"/>
      <c r="O2055" s="30"/>
      <c r="P2055" s="39" t="str">
        <f t="shared" si="327"/>
        <v/>
      </c>
      <c r="Q2055" s="40" t="str">
        <f>IF(OR(T2055=0,RIGHT(T2055,1)=$W$1),"",COUNTIF($T$3:T2055,T2055))</f>
        <v/>
      </c>
      <c r="S2055" s="6">
        <f t="shared" si="328"/>
        <v>0</v>
      </c>
      <c r="T2055" s="36">
        <f t="shared" si="329"/>
        <v>0</v>
      </c>
      <c r="V2055" s="6">
        <f t="shared" si="330"/>
        <v>0</v>
      </c>
      <c r="Y2055" s="8">
        <f t="shared" si="331"/>
        <v>46023</v>
      </c>
    </row>
    <row r="2056" spans="2:25" ht="18.75" x14ac:dyDescent="0.3">
      <c r="B2056" s="6">
        <f t="shared" si="323"/>
        <v>0</v>
      </c>
      <c r="C2056" s="6">
        <f t="shared" si="324"/>
        <v>0</v>
      </c>
      <c r="D2056" s="6" t="str">
        <f t="shared" si="325"/>
        <v/>
      </c>
      <c r="E2056" s="35" t="str">
        <f t="shared" si="322"/>
        <v/>
      </c>
      <c r="F2056" s="31"/>
      <c r="G2056" s="29"/>
      <c r="H2056" s="78" t="str">
        <f t="shared" si="326"/>
        <v/>
      </c>
      <c r="I2056" s="25"/>
      <c r="J2056" s="25"/>
      <c r="K2056" s="26"/>
      <c r="L2056" s="26"/>
      <c r="M2056" s="37"/>
      <c r="N2056" s="27"/>
      <c r="O2056" s="30"/>
      <c r="P2056" s="39" t="str">
        <f t="shared" si="327"/>
        <v/>
      </c>
      <c r="Q2056" s="40" t="str">
        <f>IF(OR(T2056=0,RIGHT(T2056,1)=$W$1),"",COUNTIF($T$3:T2056,T2056))</f>
        <v/>
      </c>
      <c r="S2056" s="6">
        <f t="shared" si="328"/>
        <v>0</v>
      </c>
      <c r="T2056" s="36">
        <f t="shared" si="329"/>
        <v>0</v>
      </c>
      <c r="V2056" s="6">
        <f t="shared" si="330"/>
        <v>0</v>
      </c>
      <c r="Y2056" s="8">
        <f t="shared" si="331"/>
        <v>46023</v>
      </c>
    </row>
    <row r="2057" spans="2:25" ht="18.75" x14ac:dyDescent="0.3">
      <c r="B2057" s="6">
        <f t="shared" si="323"/>
        <v>0</v>
      </c>
      <c r="C2057" s="6">
        <f t="shared" si="324"/>
        <v>0</v>
      </c>
      <c r="D2057" s="6" t="str">
        <f t="shared" si="325"/>
        <v/>
      </c>
      <c r="E2057" s="35" t="str">
        <f t="shared" si="322"/>
        <v/>
      </c>
      <c r="F2057" s="31"/>
      <c r="G2057" s="29"/>
      <c r="H2057" s="78" t="str">
        <f t="shared" si="326"/>
        <v/>
      </c>
      <c r="I2057" s="25"/>
      <c r="J2057" s="25"/>
      <c r="K2057" s="26"/>
      <c r="L2057" s="26"/>
      <c r="M2057" s="37"/>
      <c r="N2057" s="27"/>
      <c r="O2057" s="30"/>
      <c r="P2057" s="39" t="str">
        <f t="shared" si="327"/>
        <v/>
      </c>
      <c r="Q2057" s="40" t="str">
        <f>IF(OR(T2057=0,RIGHT(T2057,1)=$W$1),"",COUNTIF($T$3:T2057,T2057))</f>
        <v/>
      </c>
      <c r="S2057" s="6">
        <f t="shared" si="328"/>
        <v>0</v>
      </c>
      <c r="T2057" s="36">
        <f t="shared" si="329"/>
        <v>0</v>
      </c>
      <c r="V2057" s="6">
        <f t="shared" si="330"/>
        <v>0</v>
      </c>
      <c r="Y2057" s="8">
        <f t="shared" si="331"/>
        <v>46023</v>
      </c>
    </row>
    <row r="2058" spans="2:25" ht="18.75" x14ac:dyDescent="0.3">
      <c r="B2058" s="6">
        <f t="shared" si="323"/>
        <v>0</v>
      </c>
      <c r="C2058" s="6">
        <f t="shared" si="324"/>
        <v>0</v>
      </c>
      <c r="D2058" s="6" t="str">
        <f t="shared" si="325"/>
        <v/>
      </c>
      <c r="E2058" s="35" t="str">
        <f t="shared" si="322"/>
        <v/>
      </c>
      <c r="F2058" s="31"/>
      <c r="G2058" s="29"/>
      <c r="H2058" s="78" t="str">
        <f t="shared" si="326"/>
        <v/>
      </c>
      <c r="I2058" s="25"/>
      <c r="J2058" s="25"/>
      <c r="K2058" s="26"/>
      <c r="L2058" s="26"/>
      <c r="M2058" s="37"/>
      <c r="N2058" s="27"/>
      <c r="O2058" s="30"/>
      <c r="P2058" s="39" t="str">
        <f t="shared" si="327"/>
        <v/>
      </c>
      <c r="Q2058" s="40" t="str">
        <f>IF(OR(T2058=0,RIGHT(T2058,1)=$W$1),"",COUNTIF($T$3:T2058,T2058))</f>
        <v/>
      </c>
      <c r="S2058" s="6">
        <f t="shared" si="328"/>
        <v>0</v>
      </c>
      <c r="T2058" s="36">
        <f t="shared" si="329"/>
        <v>0</v>
      </c>
      <c r="V2058" s="6">
        <f t="shared" si="330"/>
        <v>0</v>
      </c>
      <c r="Y2058" s="8">
        <f t="shared" si="331"/>
        <v>46023</v>
      </c>
    </row>
    <row r="2059" spans="2:25" ht="18.75" x14ac:dyDescent="0.3">
      <c r="B2059" s="6">
        <f t="shared" si="323"/>
        <v>0</v>
      </c>
      <c r="C2059" s="6">
        <f t="shared" si="324"/>
        <v>0</v>
      </c>
      <c r="D2059" s="6" t="str">
        <f t="shared" si="325"/>
        <v/>
      </c>
      <c r="E2059" s="35" t="str">
        <f t="shared" si="322"/>
        <v/>
      </c>
      <c r="F2059" s="31"/>
      <c r="G2059" s="29"/>
      <c r="H2059" s="78" t="str">
        <f t="shared" si="326"/>
        <v/>
      </c>
      <c r="I2059" s="25"/>
      <c r="J2059" s="25"/>
      <c r="K2059" s="26"/>
      <c r="L2059" s="26"/>
      <c r="M2059" s="37"/>
      <c r="N2059" s="27"/>
      <c r="O2059" s="30"/>
      <c r="P2059" s="39" t="str">
        <f t="shared" si="327"/>
        <v/>
      </c>
      <c r="Q2059" s="40" t="str">
        <f>IF(OR(T2059=0,RIGHT(T2059,1)=$W$1),"",COUNTIF($T$3:T2059,T2059))</f>
        <v/>
      </c>
      <c r="S2059" s="6">
        <f t="shared" si="328"/>
        <v>0</v>
      </c>
      <c r="T2059" s="36">
        <f t="shared" si="329"/>
        <v>0</v>
      </c>
      <c r="V2059" s="6">
        <f t="shared" si="330"/>
        <v>0</v>
      </c>
      <c r="Y2059" s="8">
        <f t="shared" si="331"/>
        <v>46023</v>
      </c>
    </row>
    <row r="2060" spans="2:25" ht="18.75" x14ac:dyDescent="0.3">
      <c r="B2060" s="6">
        <f t="shared" si="323"/>
        <v>0</v>
      </c>
      <c r="C2060" s="6">
        <f t="shared" si="324"/>
        <v>0</v>
      </c>
      <c r="D2060" s="6" t="str">
        <f t="shared" si="325"/>
        <v/>
      </c>
      <c r="E2060" s="35" t="str">
        <f t="shared" si="322"/>
        <v/>
      </c>
      <c r="F2060" s="31"/>
      <c r="G2060" s="29"/>
      <c r="H2060" s="78" t="str">
        <f t="shared" si="326"/>
        <v/>
      </c>
      <c r="I2060" s="25"/>
      <c r="J2060" s="25"/>
      <c r="K2060" s="26"/>
      <c r="L2060" s="26"/>
      <c r="M2060" s="37"/>
      <c r="N2060" s="27"/>
      <c r="O2060" s="30"/>
      <c r="P2060" s="39" t="str">
        <f t="shared" si="327"/>
        <v/>
      </c>
      <c r="Q2060" s="40" t="str">
        <f>IF(OR(T2060=0,RIGHT(T2060,1)=$W$1),"",COUNTIF($T$3:T2060,T2060))</f>
        <v/>
      </c>
      <c r="S2060" s="6">
        <f t="shared" si="328"/>
        <v>0</v>
      </c>
      <c r="T2060" s="36">
        <f t="shared" si="329"/>
        <v>0</v>
      </c>
      <c r="V2060" s="6">
        <f t="shared" si="330"/>
        <v>0</v>
      </c>
      <c r="Y2060" s="8">
        <f t="shared" si="331"/>
        <v>46023</v>
      </c>
    </row>
    <row r="2061" spans="2:25" ht="18.75" x14ac:dyDescent="0.3">
      <c r="B2061" s="6">
        <f t="shared" si="323"/>
        <v>0</v>
      </c>
      <c r="C2061" s="6">
        <f t="shared" si="324"/>
        <v>0</v>
      </c>
      <c r="D2061" s="6" t="str">
        <f t="shared" si="325"/>
        <v/>
      </c>
      <c r="E2061" s="35" t="str">
        <f t="shared" si="322"/>
        <v/>
      </c>
      <c r="F2061" s="31"/>
      <c r="G2061" s="29"/>
      <c r="H2061" s="78" t="str">
        <f t="shared" si="326"/>
        <v/>
      </c>
      <c r="I2061" s="25"/>
      <c r="J2061" s="25"/>
      <c r="K2061" s="26"/>
      <c r="L2061" s="26"/>
      <c r="M2061" s="37"/>
      <c r="N2061" s="27"/>
      <c r="O2061" s="30"/>
      <c r="P2061" s="39" t="str">
        <f t="shared" si="327"/>
        <v/>
      </c>
      <c r="Q2061" s="40" t="str">
        <f>IF(OR(T2061=0,RIGHT(T2061,1)=$W$1),"",COUNTIF($T$3:T2061,T2061))</f>
        <v/>
      </c>
      <c r="S2061" s="6">
        <f t="shared" si="328"/>
        <v>0</v>
      </c>
      <c r="T2061" s="36">
        <f t="shared" si="329"/>
        <v>0</v>
      </c>
      <c r="V2061" s="6">
        <f t="shared" si="330"/>
        <v>0</v>
      </c>
      <c r="Y2061" s="8">
        <f t="shared" si="331"/>
        <v>46023</v>
      </c>
    </row>
    <row r="2062" spans="2:25" ht="18.75" x14ac:dyDescent="0.3">
      <c r="B2062" s="6">
        <f t="shared" si="323"/>
        <v>0</v>
      </c>
      <c r="C2062" s="6">
        <f t="shared" si="324"/>
        <v>0</v>
      </c>
      <c r="D2062" s="6" t="str">
        <f t="shared" si="325"/>
        <v/>
      </c>
      <c r="E2062" s="35" t="str">
        <f t="shared" si="322"/>
        <v/>
      </c>
      <c r="F2062" s="31"/>
      <c r="G2062" s="29"/>
      <c r="H2062" s="78" t="str">
        <f t="shared" si="326"/>
        <v/>
      </c>
      <c r="I2062" s="25"/>
      <c r="J2062" s="25"/>
      <c r="K2062" s="26"/>
      <c r="L2062" s="26"/>
      <c r="M2062" s="37"/>
      <c r="N2062" s="27"/>
      <c r="O2062" s="30"/>
      <c r="P2062" s="39" t="str">
        <f t="shared" si="327"/>
        <v/>
      </c>
      <c r="Q2062" s="40" t="str">
        <f>IF(OR(T2062=0,RIGHT(T2062,1)=$W$1),"",COUNTIF($T$3:T2062,T2062))</f>
        <v/>
      </c>
      <c r="S2062" s="6">
        <f t="shared" si="328"/>
        <v>0</v>
      </c>
      <c r="T2062" s="36">
        <f t="shared" si="329"/>
        <v>0</v>
      </c>
      <c r="V2062" s="6">
        <f t="shared" si="330"/>
        <v>0</v>
      </c>
      <c r="Y2062" s="8">
        <f t="shared" si="331"/>
        <v>46023</v>
      </c>
    </row>
    <row r="2063" spans="2:25" ht="18.75" x14ac:dyDescent="0.3">
      <c r="B2063" s="6">
        <f t="shared" si="323"/>
        <v>0</v>
      </c>
      <c r="C2063" s="6">
        <f t="shared" si="324"/>
        <v>0</v>
      </c>
      <c r="D2063" s="6" t="str">
        <f t="shared" si="325"/>
        <v/>
      </c>
      <c r="E2063" s="35" t="str">
        <f t="shared" si="322"/>
        <v/>
      </c>
      <c r="F2063" s="31"/>
      <c r="G2063" s="29"/>
      <c r="H2063" s="78" t="str">
        <f t="shared" si="326"/>
        <v/>
      </c>
      <c r="I2063" s="25"/>
      <c r="J2063" s="25"/>
      <c r="K2063" s="26"/>
      <c r="L2063" s="26"/>
      <c r="M2063" s="37"/>
      <c r="N2063" s="27"/>
      <c r="O2063" s="30"/>
      <c r="P2063" s="39" t="str">
        <f t="shared" si="327"/>
        <v/>
      </c>
      <c r="Q2063" s="40" t="str">
        <f>IF(OR(T2063=0,RIGHT(T2063,1)=$W$1),"",COUNTIF($T$3:T2063,T2063))</f>
        <v/>
      </c>
      <c r="S2063" s="6">
        <f t="shared" si="328"/>
        <v>0</v>
      </c>
      <c r="T2063" s="36">
        <f t="shared" si="329"/>
        <v>0</v>
      </c>
      <c r="V2063" s="6">
        <f t="shared" si="330"/>
        <v>0</v>
      </c>
      <c r="Y2063" s="8">
        <f t="shared" si="331"/>
        <v>46023</v>
      </c>
    </row>
    <row r="2064" spans="2:25" ht="18.75" x14ac:dyDescent="0.3">
      <c r="B2064" s="6">
        <f t="shared" si="323"/>
        <v>0</v>
      </c>
      <c r="C2064" s="6">
        <f t="shared" si="324"/>
        <v>0</v>
      </c>
      <c r="D2064" s="6" t="str">
        <f t="shared" si="325"/>
        <v/>
      </c>
      <c r="E2064" s="35" t="str">
        <f t="shared" si="322"/>
        <v/>
      </c>
      <c r="F2064" s="31"/>
      <c r="G2064" s="29"/>
      <c r="H2064" s="78" t="str">
        <f t="shared" si="326"/>
        <v/>
      </c>
      <c r="I2064" s="25"/>
      <c r="J2064" s="25"/>
      <c r="K2064" s="26"/>
      <c r="L2064" s="26"/>
      <c r="M2064" s="37"/>
      <c r="N2064" s="27"/>
      <c r="O2064" s="30"/>
      <c r="P2064" s="39" t="str">
        <f t="shared" si="327"/>
        <v/>
      </c>
      <c r="Q2064" s="40" t="str">
        <f>IF(OR(T2064=0,RIGHT(T2064,1)=$W$1),"",COUNTIF($T$3:T2064,T2064))</f>
        <v/>
      </c>
      <c r="S2064" s="6">
        <f t="shared" si="328"/>
        <v>0</v>
      </c>
      <c r="T2064" s="36">
        <f t="shared" si="329"/>
        <v>0</v>
      </c>
      <c r="V2064" s="6">
        <f t="shared" si="330"/>
        <v>0</v>
      </c>
      <c r="Y2064" s="8">
        <f t="shared" si="331"/>
        <v>46023</v>
      </c>
    </row>
    <row r="2065" spans="2:25" ht="18.75" x14ac:dyDescent="0.3">
      <c r="B2065" s="6">
        <f t="shared" si="323"/>
        <v>0</v>
      </c>
      <c r="C2065" s="6">
        <f t="shared" si="324"/>
        <v>0</v>
      </c>
      <c r="D2065" s="6" t="str">
        <f t="shared" si="325"/>
        <v/>
      </c>
      <c r="E2065" s="35" t="str">
        <f t="shared" si="322"/>
        <v/>
      </c>
      <c r="F2065" s="31"/>
      <c r="G2065" s="29"/>
      <c r="H2065" s="78" t="str">
        <f t="shared" si="326"/>
        <v/>
      </c>
      <c r="I2065" s="25"/>
      <c r="J2065" s="25"/>
      <c r="K2065" s="26"/>
      <c r="L2065" s="26"/>
      <c r="M2065" s="37"/>
      <c r="N2065" s="27"/>
      <c r="O2065" s="30"/>
      <c r="P2065" s="39" t="str">
        <f t="shared" si="327"/>
        <v/>
      </c>
      <c r="Q2065" s="40" t="str">
        <f>IF(OR(T2065=0,RIGHT(T2065,1)=$W$1),"",COUNTIF($T$3:T2065,T2065))</f>
        <v/>
      </c>
      <c r="S2065" s="6">
        <f t="shared" si="328"/>
        <v>0</v>
      </c>
      <c r="T2065" s="36">
        <f t="shared" si="329"/>
        <v>0</v>
      </c>
      <c r="V2065" s="6">
        <f t="shared" si="330"/>
        <v>0</v>
      </c>
      <c r="Y2065" s="8">
        <f t="shared" si="331"/>
        <v>46023</v>
      </c>
    </row>
    <row r="2066" spans="2:25" ht="18.75" x14ac:dyDescent="0.3">
      <c r="B2066" s="6">
        <f t="shared" si="323"/>
        <v>0</v>
      </c>
      <c r="C2066" s="6">
        <f t="shared" si="324"/>
        <v>0</v>
      </c>
      <c r="D2066" s="6" t="str">
        <f t="shared" si="325"/>
        <v/>
      </c>
      <c r="E2066" s="35" t="str">
        <f t="shared" si="322"/>
        <v/>
      </c>
      <c r="F2066" s="31"/>
      <c r="G2066" s="29"/>
      <c r="H2066" s="78" t="str">
        <f t="shared" si="326"/>
        <v/>
      </c>
      <c r="I2066" s="25"/>
      <c r="J2066" s="25"/>
      <c r="K2066" s="26"/>
      <c r="L2066" s="26"/>
      <c r="M2066" s="37"/>
      <c r="N2066" s="27"/>
      <c r="O2066" s="30"/>
      <c r="P2066" s="39" t="str">
        <f t="shared" si="327"/>
        <v/>
      </c>
      <c r="Q2066" s="40" t="str">
        <f>IF(OR(T2066=0,RIGHT(T2066,1)=$W$1),"",COUNTIF($T$3:T2066,T2066))</f>
        <v/>
      </c>
      <c r="S2066" s="6">
        <f t="shared" si="328"/>
        <v>0</v>
      </c>
      <c r="T2066" s="36">
        <f t="shared" si="329"/>
        <v>0</v>
      </c>
      <c r="V2066" s="6">
        <f t="shared" si="330"/>
        <v>0</v>
      </c>
      <c r="Y2066" s="8">
        <f t="shared" si="331"/>
        <v>46023</v>
      </c>
    </row>
    <row r="2067" spans="2:25" ht="18.75" x14ac:dyDescent="0.3">
      <c r="B2067" s="6">
        <f t="shared" si="323"/>
        <v>0</v>
      </c>
      <c r="C2067" s="6">
        <f t="shared" si="324"/>
        <v>0</v>
      </c>
      <c r="D2067" s="6" t="str">
        <f t="shared" si="325"/>
        <v/>
      </c>
      <c r="E2067" s="35" t="str">
        <f t="shared" si="322"/>
        <v/>
      </c>
      <c r="F2067" s="31"/>
      <c r="G2067" s="29"/>
      <c r="H2067" s="78" t="str">
        <f t="shared" si="326"/>
        <v/>
      </c>
      <c r="I2067" s="25"/>
      <c r="J2067" s="25"/>
      <c r="K2067" s="26"/>
      <c r="L2067" s="26"/>
      <c r="M2067" s="37"/>
      <c r="N2067" s="27"/>
      <c r="O2067" s="30"/>
      <c r="P2067" s="39" t="str">
        <f t="shared" si="327"/>
        <v/>
      </c>
      <c r="Q2067" s="40" t="str">
        <f>IF(OR(T2067=0,RIGHT(T2067,1)=$W$1),"",COUNTIF($T$3:T2067,T2067))</f>
        <v/>
      </c>
      <c r="S2067" s="6">
        <f t="shared" si="328"/>
        <v>0</v>
      </c>
      <c r="T2067" s="36">
        <f t="shared" si="329"/>
        <v>0</v>
      </c>
      <c r="V2067" s="6">
        <f t="shared" si="330"/>
        <v>0</v>
      </c>
      <c r="Y2067" s="8">
        <f t="shared" si="331"/>
        <v>46023</v>
      </c>
    </row>
    <row r="2068" spans="2:25" ht="18.75" x14ac:dyDescent="0.3">
      <c r="B2068" s="6">
        <f t="shared" si="323"/>
        <v>0</v>
      </c>
      <c r="C2068" s="6">
        <f t="shared" si="324"/>
        <v>0</v>
      </c>
      <c r="D2068" s="6" t="str">
        <f t="shared" si="325"/>
        <v/>
      </c>
      <c r="E2068" s="35" t="str">
        <f t="shared" si="322"/>
        <v/>
      </c>
      <c r="F2068" s="31"/>
      <c r="G2068" s="29"/>
      <c r="H2068" s="78" t="str">
        <f t="shared" si="326"/>
        <v/>
      </c>
      <c r="I2068" s="25"/>
      <c r="J2068" s="25"/>
      <c r="K2068" s="26"/>
      <c r="L2068" s="26"/>
      <c r="M2068" s="37"/>
      <c r="N2068" s="27"/>
      <c r="O2068" s="30"/>
      <c r="P2068" s="39" t="str">
        <f t="shared" si="327"/>
        <v/>
      </c>
      <c r="Q2068" s="40" t="str">
        <f>IF(OR(T2068=0,RIGHT(T2068,1)=$W$1),"",COUNTIF($T$3:T2068,T2068))</f>
        <v/>
      </c>
      <c r="S2068" s="6">
        <f t="shared" si="328"/>
        <v>0</v>
      </c>
      <c r="T2068" s="36">
        <f t="shared" si="329"/>
        <v>0</v>
      </c>
      <c r="V2068" s="6">
        <f t="shared" si="330"/>
        <v>0</v>
      </c>
      <c r="Y2068" s="8">
        <f t="shared" si="331"/>
        <v>46023</v>
      </c>
    </row>
    <row r="2069" spans="2:25" ht="18.75" x14ac:dyDescent="0.3">
      <c r="B2069" s="6">
        <f t="shared" si="323"/>
        <v>0</v>
      </c>
      <c r="C2069" s="6">
        <f t="shared" si="324"/>
        <v>0</v>
      </c>
      <c r="D2069" s="6" t="str">
        <f t="shared" si="325"/>
        <v/>
      </c>
      <c r="E2069" s="35" t="str">
        <f t="shared" si="322"/>
        <v/>
      </c>
      <c r="F2069" s="31"/>
      <c r="G2069" s="29"/>
      <c r="H2069" s="78" t="str">
        <f t="shared" si="326"/>
        <v/>
      </c>
      <c r="I2069" s="25"/>
      <c r="J2069" s="25"/>
      <c r="K2069" s="26"/>
      <c r="L2069" s="26"/>
      <c r="M2069" s="37"/>
      <c r="N2069" s="27"/>
      <c r="O2069" s="30"/>
      <c r="P2069" s="39" t="str">
        <f t="shared" si="327"/>
        <v/>
      </c>
      <c r="Q2069" s="40" t="str">
        <f>IF(OR(T2069=0,RIGHT(T2069,1)=$W$1),"",COUNTIF($T$3:T2069,T2069))</f>
        <v/>
      </c>
      <c r="S2069" s="6">
        <f t="shared" si="328"/>
        <v>0</v>
      </c>
      <c r="T2069" s="36">
        <f t="shared" si="329"/>
        <v>0</v>
      </c>
      <c r="V2069" s="6">
        <f t="shared" si="330"/>
        <v>0</v>
      </c>
      <c r="Y2069" s="8">
        <f t="shared" si="331"/>
        <v>46023</v>
      </c>
    </row>
    <row r="2070" spans="2:25" ht="18.75" x14ac:dyDescent="0.3">
      <c r="B2070" s="6">
        <f t="shared" si="323"/>
        <v>0</v>
      </c>
      <c r="C2070" s="6">
        <f t="shared" si="324"/>
        <v>0</v>
      </c>
      <c r="D2070" s="6" t="str">
        <f t="shared" si="325"/>
        <v/>
      </c>
      <c r="E2070" s="35" t="str">
        <f t="shared" si="322"/>
        <v/>
      </c>
      <c r="F2070" s="31"/>
      <c r="G2070" s="29"/>
      <c r="H2070" s="78" t="str">
        <f t="shared" si="326"/>
        <v/>
      </c>
      <c r="I2070" s="25"/>
      <c r="J2070" s="25"/>
      <c r="K2070" s="26"/>
      <c r="L2070" s="26"/>
      <c r="M2070" s="37"/>
      <c r="N2070" s="27"/>
      <c r="O2070" s="30"/>
      <c r="P2070" s="39" t="str">
        <f t="shared" si="327"/>
        <v/>
      </c>
      <c r="Q2070" s="40" t="str">
        <f>IF(OR(T2070=0,RIGHT(T2070,1)=$W$1),"",COUNTIF($T$3:T2070,T2070))</f>
        <v/>
      </c>
      <c r="S2070" s="6">
        <f t="shared" si="328"/>
        <v>0</v>
      </c>
      <c r="T2070" s="36">
        <f t="shared" si="329"/>
        <v>0</v>
      </c>
      <c r="V2070" s="6">
        <f t="shared" si="330"/>
        <v>0</v>
      </c>
      <c r="Y2070" s="8">
        <f t="shared" si="331"/>
        <v>46023</v>
      </c>
    </row>
    <row r="2071" spans="2:25" ht="18.75" x14ac:dyDescent="0.3">
      <c r="B2071" s="6">
        <f t="shared" si="323"/>
        <v>0</v>
      </c>
      <c r="C2071" s="6">
        <f t="shared" si="324"/>
        <v>0</v>
      </c>
      <c r="D2071" s="6" t="str">
        <f t="shared" si="325"/>
        <v/>
      </c>
      <c r="E2071" s="35" t="str">
        <f t="shared" si="322"/>
        <v/>
      </c>
      <c r="F2071" s="31"/>
      <c r="G2071" s="29"/>
      <c r="H2071" s="78" t="str">
        <f t="shared" si="326"/>
        <v/>
      </c>
      <c r="I2071" s="25"/>
      <c r="J2071" s="25"/>
      <c r="K2071" s="26"/>
      <c r="L2071" s="26"/>
      <c r="M2071" s="37"/>
      <c r="N2071" s="27"/>
      <c r="O2071" s="30"/>
      <c r="P2071" s="39" t="str">
        <f t="shared" si="327"/>
        <v/>
      </c>
      <c r="Q2071" s="40" t="str">
        <f>IF(OR(T2071=0,RIGHT(T2071,1)=$W$1),"",COUNTIF($T$3:T2071,T2071))</f>
        <v/>
      </c>
      <c r="S2071" s="6">
        <f t="shared" si="328"/>
        <v>0</v>
      </c>
      <c r="T2071" s="36">
        <f t="shared" si="329"/>
        <v>0</v>
      </c>
      <c r="V2071" s="6">
        <f t="shared" si="330"/>
        <v>0</v>
      </c>
      <c r="Y2071" s="8">
        <f t="shared" si="331"/>
        <v>46023</v>
      </c>
    </row>
    <row r="2072" spans="2:25" ht="18.75" x14ac:dyDescent="0.3">
      <c r="B2072" s="6">
        <f t="shared" si="323"/>
        <v>0</v>
      </c>
      <c r="C2072" s="6">
        <f t="shared" si="324"/>
        <v>0</v>
      </c>
      <c r="D2072" s="6" t="str">
        <f t="shared" si="325"/>
        <v/>
      </c>
      <c r="E2072" s="35" t="str">
        <f t="shared" si="322"/>
        <v/>
      </c>
      <c r="F2072" s="31"/>
      <c r="G2072" s="29"/>
      <c r="H2072" s="78" t="str">
        <f t="shared" si="326"/>
        <v/>
      </c>
      <c r="I2072" s="25"/>
      <c r="J2072" s="25"/>
      <c r="K2072" s="26"/>
      <c r="L2072" s="26"/>
      <c r="M2072" s="37"/>
      <c r="N2072" s="27"/>
      <c r="O2072" s="30"/>
      <c r="P2072" s="39" t="str">
        <f t="shared" si="327"/>
        <v/>
      </c>
      <c r="Q2072" s="40" t="str">
        <f>IF(OR(T2072=0,RIGHT(T2072,1)=$W$1),"",COUNTIF($T$3:T2072,T2072))</f>
        <v/>
      </c>
      <c r="S2072" s="6">
        <f t="shared" si="328"/>
        <v>0</v>
      </c>
      <c r="T2072" s="36">
        <f t="shared" si="329"/>
        <v>0</v>
      </c>
      <c r="V2072" s="6">
        <f t="shared" si="330"/>
        <v>0</v>
      </c>
      <c r="Y2072" s="8">
        <f t="shared" si="331"/>
        <v>46023</v>
      </c>
    </row>
    <row r="2073" spans="2:25" ht="18.75" x14ac:dyDescent="0.3">
      <c r="B2073" s="6">
        <f t="shared" si="323"/>
        <v>0</v>
      </c>
      <c r="C2073" s="6">
        <f t="shared" si="324"/>
        <v>0</v>
      </c>
      <c r="D2073" s="6" t="str">
        <f t="shared" si="325"/>
        <v/>
      </c>
      <c r="E2073" s="35" t="str">
        <f t="shared" si="322"/>
        <v/>
      </c>
      <c r="F2073" s="31"/>
      <c r="G2073" s="29"/>
      <c r="H2073" s="78" t="str">
        <f t="shared" si="326"/>
        <v/>
      </c>
      <c r="I2073" s="25"/>
      <c r="J2073" s="25"/>
      <c r="K2073" s="26"/>
      <c r="L2073" s="26"/>
      <c r="M2073" s="37"/>
      <c r="N2073" s="27"/>
      <c r="O2073" s="30"/>
      <c r="P2073" s="39" t="str">
        <f t="shared" si="327"/>
        <v/>
      </c>
      <c r="Q2073" s="40" t="str">
        <f>IF(OR(T2073=0,RIGHT(T2073,1)=$W$1),"",COUNTIF($T$3:T2073,T2073))</f>
        <v/>
      </c>
      <c r="S2073" s="6">
        <f t="shared" si="328"/>
        <v>0</v>
      </c>
      <c r="T2073" s="36">
        <f t="shared" si="329"/>
        <v>0</v>
      </c>
      <c r="V2073" s="6">
        <f t="shared" si="330"/>
        <v>0</v>
      </c>
      <c r="Y2073" s="8">
        <f t="shared" si="331"/>
        <v>46023</v>
      </c>
    </row>
    <row r="2074" spans="2:25" ht="18.75" x14ac:dyDescent="0.3">
      <c r="B2074" s="6">
        <f t="shared" si="323"/>
        <v>0</v>
      </c>
      <c r="C2074" s="6">
        <f t="shared" si="324"/>
        <v>0</v>
      </c>
      <c r="D2074" s="6" t="str">
        <f t="shared" si="325"/>
        <v/>
      </c>
      <c r="E2074" s="35" t="str">
        <f t="shared" si="322"/>
        <v/>
      </c>
      <c r="F2074" s="31"/>
      <c r="G2074" s="29"/>
      <c r="H2074" s="78" t="str">
        <f t="shared" si="326"/>
        <v/>
      </c>
      <c r="I2074" s="25"/>
      <c r="J2074" s="25"/>
      <c r="K2074" s="26"/>
      <c r="L2074" s="26"/>
      <c r="M2074" s="37"/>
      <c r="N2074" s="27"/>
      <c r="O2074" s="30"/>
      <c r="P2074" s="39" t="str">
        <f t="shared" si="327"/>
        <v/>
      </c>
      <c r="Q2074" s="40" t="str">
        <f>IF(OR(T2074=0,RIGHT(T2074,1)=$W$1),"",COUNTIF($T$3:T2074,T2074))</f>
        <v/>
      </c>
      <c r="S2074" s="6">
        <f t="shared" si="328"/>
        <v>0</v>
      </c>
      <c r="T2074" s="36">
        <f t="shared" si="329"/>
        <v>0</v>
      </c>
      <c r="V2074" s="6">
        <f t="shared" si="330"/>
        <v>0</v>
      </c>
      <c r="Y2074" s="8">
        <f t="shared" si="331"/>
        <v>46023</v>
      </c>
    </row>
    <row r="2075" spans="2:25" ht="18.75" x14ac:dyDescent="0.3">
      <c r="B2075" s="6">
        <f t="shared" si="323"/>
        <v>0</v>
      </c>
      <c r="C2075" s="6">
        <f t="shared" si="324"/>
        <v>0</v>
      </c>
      <c r="D2075" s="6" t="str">
        <f t="shared" si="325"/>
        <v/>
      </c>
      <c r="E2075" s="35" t="str">
        <f t="shared" si="322"/>
        <v/>
      </c>
      <c r="F2075" s="31"/>
      <c r="G2075" s="29"/>
      <c r="H2075" s="78" t="str">
        <f t="shared" si="326"/>
        <v/>
      </c>
      <c r="I2075" s="25"/>
      <c r="J2075" s="25"/>
      <c r="K2075" s="26"/>
      <c r="L2075" s="26"/>
      <c r="M2075" s="37"/>
      <c r="N2075" s="27"/>
      <c r="O2075" s="30"/>
      <c r="P2075" s="39" t="str">
        <f t="shared" si="327"/>
        <v/>
      </c>
      <c r="Q2075" s="40" t="str">
        <f>IF(OR(T2075=0,RIGHT(T2075,1)=$W$1),"",COUNTIF($T$3:T2075,T2075))</f>
        <v/>
      </c>
      <c r="S2075" s="6">
        <f t="shared" si="328"/>
        <v>0</v>
      </c>
      <c r="T2075" s="36">
        <f t="shared" si="329"/>
        <v>0</v>
      </c>
      <c r="V2075" s="6">
        <f t="shared" si="330"/>
        <v>0</v>
      </c>
      <c r="Y2075" s="8">
        <f t="shared" si="331"/>
        <v>46023</v>
      </c>
    </row>
    <row r="2076" spans="2:25" ht="18.75" x14ac:dyDescent="0.3">
      <c r="B2076" s="6">
        <f t="shared" si="323"/>
        <v>0</v>
      </c>
      <c r="C2076" s="6">
        <f t="shared" si="324"/>
        <v>0</v>
      </c>
      <c r="D2076" s="6" t="str">
        <f t="shared" si="325"/>
        <v/>
      </c>
      <c r="E2076" s="35" t="str">
        <f t="shared" si="322"/>
        <v/>
      </c>
      <c r="F2076" s="31"/>
      <c r="G2076" s="29"/>
      <c r="H2076" s="78" t="str">
        <f t="shared" si="326"/>
        <v/>
      </c>
      <c r="I2076" s="25"/>
      <c r="J2076" s="25"/>
      <c r="K2076" s="26"/>
      <c r="L2076" s="26"/>
      <c r="M2076" s="37"/>
      <c r="N2076" s="27"/>
      <c r="O2076" s="30"/>
      <c r="P2076" s="39" t="str">
        <f t="shared" si="327"/>
        <v/>
      </c>
      <c r="Q2076" s="40" t="str">
        <f>IF(OR(T2076=0,RIGHT(T2076,1)=$W$1),"",COUNTIF($T$3:T2076,T2076))</f>
        <v/>
      </c>
      <c r="S2076" s="6">
        <f t="shared" si="328"/>
        <v>0</v>
      </c>
      <c r="T2076" s="36">
        <f t="shared" si="329"/>
        <v>0</v>
      </c>
      <c r="V2076" s="6">
        <f t="shared" si="330"/>
        <v>0</v>
      </c>
      <c r="Y2076" s="8">
        <f t="shared" si="331"/>
        <v>46023</v>
      </c>
    </row>
    <row r="2077" spans="2:25" ht="18.75" x14ac:dyDescent="0.3">
      <c r="B2077" s="6">
        <f t="shared" si="323"/>
        <v>0</v>
      </c>
      <c r="C2077" s="6">
        <f t="shared" si="324"/>
        <v>0</v>
      </c>
      <c r="D2077" s="6" t="str">
        <f t="shared" si="325"/>
        <v/>
      </c>
      <c r="E2077" s="35" t="str">
        <f t="shared" si="322"/>
        <v/>
      </c>
      <c r="F2077" s="31"/>
      <c r="G2077" s="29"/>
      <c r="H2077" s="78" t="str">
        <f t="shared" si="326"/>
        <v/>
      </c>
      <c r="I2077" s="25"/>
      <c r="J2077" s="25"/>
      <c r="K2077" s="26"/>
      <c r="L2077" s="26"/>
      <c r="M2077" s="37"/>
      <c r="N2077" s="27"/>
      <c r="O2077" s="30"/>
      <c r="P2077" s="39" t="str">
        <f t="shared" si="327"/>
        <v/>
      </c>
      <c r="Q2077" s="40" t="str">
        <f>IF(OR(T2077=0,RIGHT(T2077,1)=$W$1),"",COUNTIF($T$3:T2077,T2077))</f>
        <v/>
      </c>
      <c r="S2077" s="6">
        <f t="shared" si="328"/>
        <v>0</v>
      </c>
      <c r="T2077" s="36">
        <f t="shared" si="329"/>
        <v>0</v>
      </c>
      <c r="V2077" s="6">
        <f t="shared" si="330"/>
        <v>0</v>
      </c>
      <c r="Y2077" s="8">
        <f t="shared" si="331"/>
        <v>46023</v>
      </c>
    </row>
    <row r="2078" spans="2:25" ht="18.75" x14ac:dyDescent="0.3">
      <c r="B2078" s="6">
        <f t="shared" si="323"/>
        <v>0</v>
      </c>
      <c r="C2078" s="6">
        <f t="shared" si="324"/>
        <v>0</v>
      </c>
      <c r="D2078" s="6" t="str">
        <f t="shared" si="325"/>
        <v/>
      </c>
      <c r="E2078" s="35" t="str">
        <f t="shared" si="322"/>
        <v/>
      </c>
      <c r="F2078" s="31"/>
      <c r="G2078" s="29"/>
      <c r="H2078" s="78" t="str">
        <f t="shared" si="326"/>
        <v/>
      </c>
      <c r="I2078" s="25"/>
      <c r="J2078" s="25"/>
      <c r="K2078" s="26"/>
      <c r="L2078" s="26"/>
      <c r="M2078" s="37"/>
      <c r="N2078" s="27"/>
      <c r="O2078" s="30"/>
      <c r="P2078" s="39" t="str">
        <f t="shared" si="327"/>
        <v/>
      </c>
      <c r="Q2078" s="40" t="str">
        <f>IF(OR(T2078=0,RIGHT(T2078,1)=$W$1),"",COUNTIF($T$3:T2078,T2078))</f>
        <v/>
      </c>
      <c r="S2078" s="6">
        <f t="shared" si="328"/>
        <v>0</v>
      </c>
      <c r="T2078" s="36">
        <f t="shared" si="329"/>
        <v>0</v>
      </c>
      <c r="V2078" s="6">
        <f t="shared" si="330"/>
        <v>0</v>
      </c>
      <c r="Y2078" s="8">
        <f t="shared" si="331"/>
        <v>46023</v>
      </c>
    </row>
    <row r="2079" spans="2:25" ht="18.75" x14ac:dyDescent="0.3">
      <c r="B2079" s="6">
        <f t="shared" si="323"/>
        <v>0</v>
      </c>
      <c r="C2079" s="6">
        <f t="shared" si="324"/>
        <v>0</v>
      </c>
      <c r="D2079" s="6" t="str">
        <f t="shared" si="325"/>
        <v/>
      </c>
      <c r="E2079" s="35" t="str">
        <f t="shared" si="322"/>
        <v/>
      </c>
      <c r="F2079" s="31"/>
      <c r="G2079" s="29"/>
      <c r="H2079" s="78" t="str">
        <f t="shared" si="326"/>
        <v/>
      </c>
      <c r="I2079" s="25"/>
      <c r="J2079" s="25"/>
      <c r="K2079" s="26"/>
      <c r="L2079" s="26"/>
      <c r="M2079" s="37"/>
      <c r="N2079" s="27"/>
      <c r="O2079" s="30"/>
      <c r="P2079" s="39" t="str">
        <f t="shared" si="327"/>
        <v/>
      </c>
      <c r="Q2079" s="40" t="str">
        <f>IF(OR(T2079=0,RIGHT(T2079,1)=$W$1),"",COUNTIF($T$3:T2079,T2079))</f>
        <v/>
      </c>
      <c r="S2079" s="6">
        <f t="shared" si="328"/>
        <v>0</v>
      </c>
      <c r="T2079" s="36">
        <f t="shared" si="329"/>
        <v>0</v>
      </c>
      <c r="V2079" s="6">
        <f t="shared" si="330"/>
        <v>0</v>
      </c>
      <c r="Y2079" s="8">
        <f t="shared" si="331"/>
        <v>46023</v>
      </c>
    </row>
    <row r="2080" spans="2:25" ht="18.75" x14ac:dyDescent="0.3">
      <c r="B2080" s="6">
        <f t="shared" si="323"/>
        <v>0</v>
      </c>
      <c r="C2080" s="6">
        <f t="shared" si="324"/>
        <v>0</v>
      </c>
      <c r="D2080" s="6" t="str">
        <f t="shared" si="325"/>
        <v/>
      </c>
      <c r="E2080" s="35" t="str">
        <f t="shared" si="322"/>
        <v/>
      </c>
      <c r="F2080" s="31"/>
      <c r="G2080" s="29"/>
      <c r="H2080" s="78" t="str">
        <f t="shared" si="326"/>
        <v/>
      </c>
      <c r="I2080" s="25"/>
      <c r="J2080" s="25"/>
      <c r="K2080" s="26"/>
      <c r="L2080" s="26"/>
      <c r="M2080" s="37"/>
      <c r="N2080" s="27"/>
      <c r="O2080" s="30"/>
      <c r="P2080" s="39" t="str">
        <f t="shared" si="327"/>
        <v/>
      </c>
      <c r="Q2080" s="40" t="str">
        <f>IF(OR(T2080=0,RIGHT(T2080,1)=$W$1),"",COUNTIF($T$3:T2080,T2080))</f>
        <v/>
      </c>
      <c r="S2080" s="6">
        <f t="shared" si="328"/>
        <v>0</v>
      </c>
      <c r="T2080" s="36">
        <f t="shared" si="329"/>
        <v>0</v>
      </c>
      <c r="V2080" s="6">
        <f t="shared" si="330"/>
        <v>0</v>
      </c>
      <c r="Y2080" s="8">
        <f t="shared" si="331"/>
        <v>46023</v>
      </c>
    </row>
    <row r="2081" spans="2:25" ht="18.75" x14ac:dyDescent="0.3">
      <c r="B2081" s="6">
        <f t="shared" si="323"/>
        <v>0</v>
      </c>
      <c r="C2081" s="6">
        <f t="shared" si="324"/>
        <v>0</v>
      </c>
      <c r="D2081" s="6" t="str">
        <f t="shared" si="325"/>
        <v/>
      </c>
      <c r="E2081" s="35" t="str">
        <f t="shared" si="322"/>
        <v/>
      </c>
      <c r="F2081" s="31"/>
      <c r="G2081" s="29"/>
      <c r="H2081" s="78" t="str">
        <f t="shared" si="326"/>
        <v/>
      </c>
      <c r="I2081" s="25"/>
      <c r="J2081" s="25"/>
      <c r="K2081" s="26"/>
      <c r="L2081" s="26"/>
      <c r="M2081" s="37"/>
      <c r="N2081" s="27"/>
      <c r="O2081" s="30"/>
      <c r="P2081" s="39" t="str">
        <f t="shared" si="327"/>
        <v/>
      </c>
      <c r="Q2081" s="40" t="str">
        <f>IF(OR(T2081=0,RIGHT(T2081,1)=$W$1),"",COUNTIF($T$3:T2081,T2081))</f>
        <v/>
      </c>
      <c r="S2081" s="6">
        <f t="shared" si="328"/>
        <v>0</v>
      </c>
      <c r="T2081" s="36">
        <f t="shared" si="329"/>
        <v>0</v>
      </c>
      <c r="V2081" s="6">
        <f t="shared" si="330"/>
        <v>0</v>
      </c>
      <c r="Y2081" s="8">
        <f t="shared" si="331"/>
        <v>46023</v>
      </c>
    </row>
    <row r="2082" spans="2:25" ht="18.75" x14ac:dyDescent="0.3">
      <c r="B2082" s="6">
        <f t="shared" si="323"/>
        <v>0</v>
      </c>
      <c r="C2082" s="6">
        <f t="shared" si="324"/>
        <v>0</v>
      </c>
      <c r="D2082" s="6" t="str">
        <f t="shared" si="325"/>
        <v/>
      </c>
      <c r="E2082" s="35" t="str">
        <f t="shared" si="322"/>
        <v/>
      </c>
      <c r="F2082" s="31"/>
      <c r="G2082" s="29"/>
      <c r="H2082" s="78" t="str">
        <f t="shared" si="326"/>
        <v/>
      </c>
      <c r="I2082" s="25"/>
      <c r="J2082" s="25"/>
      <c r="K2082" s="26"/>
      <c r="L2082" s="26"/>
      <c r="M2082" s="37"/>
      <c r="N2082" s="27"/>
      <c r="O2082" s="30"/>
      <c r="P2082" s="39" t="str">
        <f t="shared" si="327"/>
        <v/>
      </c>
      <c r="Q2082" s="40" t="str">
        <f>IF(OR(T2082=0,RIGHT(T2082,1)=$W$1),"",COUNTIF($T$3:T2082,T2082))</f>
        <v/>
      </c>
      <c r="S2082" s="6">
        <f t="shared" si="328"/>
        <v>0</v>
      </c>
      <c r="T2082" s="36">
        <f t="shared" si="329"/>
        <v>0</v>
      </c>
      <c r="V2082" s="6">
        <f t="shared" si="330"/>
        <v>0</v>
      </c>
      <c r="Y2082" s="8">
        <f t="shared" si="331"/>
        <v>46023</v>
      </c>
    </row>
    <row r="2083" spans="2:25" ht="18.75" x14ac:dyDescent="0.3">
      <c r="B2083" s="6">
        <f t="shared" si="323"/>
        <v>0</v>
      </c>
      <c r="C2083" s="6">
        <f t="shared" si="324"/>
        <v>0</v>
      </c>
      <c r="D2083" s="6" t="str">
        <f t="shared" si="325"/>
        <v/>
      </c>
      <c r="E2083" s="35" t="str">
        <f t="shared" si="322"/>
        <v/>
      </c>
      <c r="F2083" s="31"/>
      <c r="G2083" s="29"/>
      <c r="H2083" s="78" t="str">
        <f t="shared" si="326"/>
        <v/>
      </c>
      <c r="I2083" s="25"/>
      <c r="J2083" s="25"/>
      <c r="K2083" s="26"/>
      <c r="L2083" s="26"/>
      <c r="M2083" s="37"/>
      <c r="N2083" s="27"/>
      <c r="O2083" s="30"/>
      <c r="P2083" s="39" t="str">
        <f t="shared" si="327"/>
        <v/>
      </c>
      <c r="Q2083" s="40" t="str">
        <f>IF(OR(T2083=0,RIGHT(T2083,1)=$W$1),"",COUNTIF($T$3:T2083,T2083))</f>
        <v/>
      </c>
      <c r="S2083" s="6">
        <f t="shared" si="328"/>
        <v>0</v>
      </c>
      <c r="T2083" s="36">
        <f t="shared" si="329"/>
        <v>0</v>
      </c>
      <c r="V2083" s="6">
        <f t="shared" si="330"/>
        <v>0</v>
      </c>
      <c r="Y2083" s="8">
        <f t="shared" si="331"/>
        <v>46023</v>
      </c>
    </row>
    <row r="2084" spans="2:25" ht="18.75" x14ac:dyDescent="0.3">
      <c r="B2084" s="6">
        <f t="shared" si="323"/>
        <v>0</v>
      </c>
      <c r="C2084" s="6">
        <f t="shared" si="324"/>
        <v>0</v>
      </c>
      <c r="D2084" s="6" t="str">
        <f t="shared" si="325"/>
        <v/>
      </c>
      <c r="E2084" s="35" t="str">
        <f t="shared" si="322"/>
        <v/>
      </c>
      <c r="F2084" s="31"/>
      <c r="G2084" s="29"/>
      <c r="H2084" s="78" t="str">
        <f t="shared" si="326"/>
        <v/>
      </c>
      <c r="I2084" s="25"/>
      <c r="J2084" s="25"/>
      <c r="K2084" s="26"/>
      <c r="L2084" s="26"/>
      <c r="M2084" s="37"/>
      <c r="N2084" s="27"/>
      <c r="O2084" s="30"/>
      <c r="P2084" s="39" t="str">
        <f t="shared" si="327"/>
        <v/>
      </c>
      <c r="Q2084" s="40" t="str">
        <f>IF(OR(T2084=0,RIGHT(T2084,1)=$W$1),"",COUNTIF($T$3:T2084,T2084))</f>
        <v/>
      </c>
      <c r="S2084" s="6">
        <f t="shared" si="328"/>
        <v>0</v>
      </c>
      <c r="T2084" s="36">
        <f t="shared" si="329"/>
        <v>0</v>
      </c>
      <c r="V2084" s="6">
        <f t="shared" si="330"/>
        <v>0</v>
      </c>
      <c r="Y2084" s="8">
        <f t="shared" si="331"/>
        <v>46023</v>
      </c>
    </row>
    <row r="2085" spans="2:25" ht="18.75" x14ac:dyDescent="0.3">
      <c r="B2085" s="6">
        <f t="shared" si="323"/>
        <v>0</v>
      </c>
      <c r="C2085" s="6">
        <f t="shared" si="324"/>
        <v>0</v>
      </c>
      <c r="D2085" s="6" t="str">
        <f t="shared" si="325"/>
        <v/>
      </c>
      <c r="E2085" s="35" t="str">
        <f t="shared" si="322"/>
        <v/>
      </c>
      <c r="F2085" s="31"/>
      <c r="G2085" s="29"/>
      <c r="H2085" s="78" t="str">
        <f t="shared" si="326"/>
        <v/>
      </c>
      <c r="I2085" s="25"/>
      <c r="J2085" s="25"/>
      <c r="K2085" s="26"/>
      <c r="L2085" s="26"/>
      <c r="M2085" s="37"/>
      <c r="N2085" s="27"/>
      <c r="O2085" s="30"/>
      <c r="P2085" s="39" t="str">
        <f t="shared" si="327"/>
        <v/>
      </c>
      <c r="Q2085" s="40" t="str">
        <f>IF(OR(T2085=0,RIGHT(T2085,1)=$W$1),"",COUNTIF($T$3:T2085,T2085))</f>
        <v/>
      </c>
      <c r="S2085" s="6">
        <f t="shared" si="328"/>
        <v>0</v>
      </c>
      <c r="T2085" s="36">
        <f t="shared" si="329"/>
        <v>0</v>
      </c>
      <c r="V2085" s="6">
        <f t="shared" si="330"/>
        <v>0</v>
      </c>
      <c r="Y2085" s="8">
        <f t="shared" si="331"/>
        <v>46023</v>
      </c>
    </row>
    <row r="2086" spans="2:25" ht="18.75" x14ac:dyDescent="0.3">
      <c r="B2086" s="6">
        <f t="shared" si="323"/>
        <v>0</v>
      </c>
      <c r="C2086" s="6">
        <f t="shared" si="324"/>
        <v>0</v>
      </c>
      <c r="D2086" s="6" t="str">
        <f t="shared" si="325"/>
        <v/>
      </c>
      <c r="E2086" s="35" t="str">
        <f t="shared" si="322"/>
        <v/>
      </c>
      <c r="F2086" s="31"/>
      <c r="G2086" s="29"/>
      <c r="H2086" s="78" t="str">
        <f t="shared" si="326"/>
        <v/>
      </c>
      <c r="I2086" s="25"/>
      <c r="J2086" s="25"/>
      <c r="K2086" s="26"/>
      <c r="L2086" s="26"/>
      <c r="M2086" s="37"/>
      <c r="N2086" s="27"/>
      <c r="O2086" s="30"/>
      <c r="P2086" s="39" t="str">
        <f t="shared" si="327"/>
        <v/>
      </c>
      <c r="Q2086" s="40" t="str">
        <f>IF(OR(T2086=0,RIGHT(T2086,1)=$W$1),"",COUNTIF($T$3:T2086,T2086))</f>
        <v/>
      </c>
      <c r="S2086" s="6">
        <f t="shared" si="328"/>
        <v>0</v>
      </c>
      <c r="T2086" s="36">
        <f t="shared" si="329"/>
        <v>0</v>
      </c>
      <c r="V2086" s="6">
        <f t="shared" si="330"/>
        <v>0</v>
      </c>
      <c r="Y2086" s="8">
        <f t="shared" si="331"/>
        <v>46023</v>
      </c>
    </row>
    <row r="2087" spans="2:25" ht="18.75" x14ac:dyDescent="0.3">
      <c r="B2087" s="6">
        <f t="shared" si="323"/>
        <v>0</v>
      </c>
      <c r="C2087" s="6">
        <f t="shared" si="324"/>
        <v>0</v>
      </c>
      <c r="D2087" s="6" t="str">
        <f t="shared" si="325"/>
        <v/>
      </c>
      <c r="E2087" s="35" t="str">
        <f t="shared" si="322"/>
        <v/>
      </c>
      <c r="F2087" s="31"/>
      <c r="G2087" s="29"/>
      <c r="H2087" s="78" t="str">
        <f t="shared" si="326"/>
        <v/>
      </c>
      <c r="I2087" s="25"/>
      <c r="J2087" s="25"/>
      <c r="K2087" s="26"/>
      <c r="L2087" s="26"/>
      <c r="M2087" s="37"/>
      <c r="N2087" s="27"/>
      <c r="O2087" s="30"/>
      <c r="P2087" s="39" t="str">
        <f t="shared" si="327"/>
        <v/>
      </c>
      <c r="Q2087" s="40" t="str">
        <f>IF(OR(T2087=0,RIGHT(T2087,1)=$W$1),"",COUNTIF($T$3:T2087,T2087))</f>
        <v/>
      </c>
      <c r="S2087" s="6">
        <f t="shared" si="328"/>
        <v>0</v>
      </c>
      <c r="T2087" s="36">
        <f t="shared" si="329"/>
        <v>0</v>
      </c>
      <c r="V2087" s="6">
        <f t="shared" si="330"/>
        <v>0</v>
      </c>
      <c r="Y2087" s="8">
        <f t="shared" si="331"/>
        <v>46023</v>
      </c>
    </row>
    <row r="2088" spans="2:25" ht="18.75" x14ac:dyDescent="0.3">
      <c r="B2088" s="6">
        <f t="shared" si="323"/>
        <v>0</v>
      </c>
      <c r="C2088" s="6">
        <f t="shared" si="324"/>
        <v>0</v>
      </c>
      <c r="D2088" s="6" t="str">
        <f t="shared" si="325"/>
        <v/>
      </c>
      <c r="E2088" s="35" t="str">
        <f t="shared" si="322"/>
        <v/>
      </c>
      <c r="F2088" s="31"/>
      <c r="G2088" s="29"/>
      <c r="H2088" s="78" t="str">
        <f t="shared" si="326"/>
        <v/>
      </c>
      <c r="I2088" s="25"/>
      <c r="J2088" s="25"/>
      <c r="K2088" s="26"/>
      <c r="L2088" s="26"/>
      <c r="M2088" s="37"/>
      <c r="N2088" s="27"/>
      <c r="O2088" s="30"/>
      <c r="P2088" s="39" t="str">
        <f t="shared" si="327"/>
        <v/>
      </c>
      <c r="Q2088" s="40" t="str">
        <f>IF(OR(T2088=0,RIGHT(T2088,1)=$W$1),"",COUNTIF($T$3:T2088,T2088))</f>
        <v/>
      </c>
      <c r="S2088" s="6">
        <f t="shared" si="328"/>
        <v>0</v>
      </c>
      <c r="T2088" s="36">
        <f t="shared" si="329"/>
        <v>0</v>
      </c>
      <c r="V2088" s="6">
        <f t="shared" si="330"/>
        <v>0</v>
      </c>
      <c r="Y2088" s="8">
        <f t="shared" si="331"/>
        <v>46023</v>
      </c>
    </row>
    <row r="2089" spans="2:25" ht="18.75" x14ac:dyDescent="0.3">
      <c r="B2089" s="6">
        <f t="shared" si="323"/>
        <v>0</v>
      </c>
      <c r="C2089" s="6">
        <f t="shared" si="324"/>
        <v>0</v>
      </c>
      <c r="D2089" s="6" t="str">
        <f t="shared" si="325"/>
        <v/>
      </c>
      <c r="E2089" s="35" t="str">
        <f t="shared" si="322"/>
        <v/>
      </c>
      <c r="F2089" s="31"/>
      <c r="G2089" s="29"/>
      <c r="H2089" s="78" t="str">
        <f t="shared" si="326"/>
        <v/>
      </c>
      <c r="I2089" s="25"/>
      <c r="J2089" s="25"/>
      <c r="K2089" s="26"/>
      <c r="L2089" s="26"/>
      <c r="M2089" s="37"/>
      <c r="N2089" s="27"/>
      <c r="O2089" s="30"/>
      <c r="P2089" s="39" t="str">
        <f t="shared" si="327"/>
        <v/>
      </c>
      <c r="Q2089" s="40" t="str">
        <f>IF(OR(T2089=0,RIGHT(T2089,1)=$W$1),"",COUNTIF($T$3:T2089,T2089))</f>
        <v/>
      </c>
      <c r="S2089" s="6">
        <f t="shared" si="328"/>
        <v>0</v>
      </c>
      <c r="T2089" s="36">
        <f t="shared" si="329"/>
        <v>0</v>
      </c>
      <c r="V2089" s="6">
        <f t="shared" si="330"/>
        <v>0</v>
      </c>
      <c r="Y2089" s="8">
        <f t="shared" si="331"/>
        <v>46023</v>
      </c>
    </row>
    <row r="2090" spans="2:25" ht="18.75" x14ac:dyDescent="0.3">
      <c r="B2090" s="6">
        <f t="shared" si="323"/>
        <v>0</v>
      </c>
      <c r="C2090" s="6">
        <f t="shared" si="324"/>
        <v>0</v>
      </c>
      <c r="D2090" s="6" t="str">
        <f t="shared" si="325"/>
        <v/>
      </c>
      <c r="E2090" s="35" t="str">
        <f t="shared" si="322"/>
        <v/>
      </c>
      <c r="F2090" s="31"/>
      <c r="G2090" s="29"/>
      <c r="H2090" s="78" t="str">
        <f t="shared" si="326"/>
        <v/>
      </c>
      <c r="I2090" s="25"/>
      <c r="J2090" s="25"/>
      <c r="K2090" s="26"/>
      <c r="L2090" s="26"/>
      <c r="M2090" s="37"/>
      <c r="N2090" s="27"/>
      <c r="O2090" s="30"/>
      <c r="P2090" s="39" t="str">
        <f t="shared" si="327"/>
        <v/>
      </c>
      <c r="Q2090" s="40" t="str">
        <f>IF(OR(T2090=0,RIGHT(T2090,1)=$W$1),"",COUNTIF($T$3:T2090,T2090))</f>
        <v/>
      </c>
      <c r="S2090" s="6">
        <f t="shared" si="328"/>
        <v>0</v>
      </c>
      <c r="T2090" s="36">
        <f t="shared" si="329"/>
        <v>0</v>
      </c>
      <c r="V2090" s="6">
        <f t="shared" si="330"/>
        <v>0</v>
      </c>
      <c r="Y2090" s="8">
        <f t="shared" si="331"/>
        <v>46023</v>
      </c>
    </row>
    <row r="2091" spans="2:25" ht="18.75" x14ac:dyDescent="0.3">
      <c r="B2091" s="6">
        <f t="shared" si="323"/>
        <v>0</v>
      </c>
      <c r="C2091" s="6">
        <f t="shared" si="324"/>
        <v>0</v>
      </c>
      <c r="D2091" s="6" t="str">
        <f t="shared" si="325"/>
        <v/>
      </c>
      <c r="E2091" s="35" t="str">
        <f t="shared" si="322"/>
        <v/>
      </c>
      <c r="F2091" s="31"/>
      <c r="G2091" s="29"/>
      <c r="H2091" s="78" t="str">
        <f t="shared" si="326"/>
        <v/>
      </c>
      <c r="I2091" s="25"/>
      <c r="J2091" s="25"/>
      <c r="K2091" s="26"/>
      <c r="L2091" s="26"/>
      <c r="M2091" s="37"/>
      <c r="N2091" s="27"/>
      <c r="O2091" s="30"/>
      <c r="P2091" s="39" t="str">
        <f t="shared" si="327"/>
        <v/>
      </c>
      <c r="Q2091" s="40" t="str">
        <f>IF(OR(T2091=0,RIGHT(T2091,1)=$W$1),"",COUNTIF($T$3:T2091,T2091))</f>
        <v/>
      </c>
      <c r="S2091" s="6">
        <f t="shared" si="328"/>
        <v>0</v>
      </c>
      <c r="T2091" s="36">
        <f t="shared" si="329"/>
        <v>0</v>
      </c>
      <c r="V2091" s="6">
        <f t="shared" si="330"/>
        <v>0</v>
      </c>
      <c r="Y2091" s="8">
        <f t="shared" si="331"/>
        <v>46023</v>
      </c>
    </row>
    <row r="2092" spans="2:25" ht="18.75" x14ac:dyDescent="0.3">
      <c r="B2092" s="6">
        <f t="shared" si="323"/>
        <v>0</v>
      </c>
      <c r="C2092" s="6">
        <f t="shared" si="324"/>
        <v>0</v>
      </c>
      <c r="D2092" s="6" t="str">
        <f t="shared" si="325"/>
        <v/>
      </c>
      <c r="E2092" s="35" t="str">
        <f t="shared" si="322"/>
        <v/>
      </c>
      <c r="F2092" s="31"/>
      <c r="G2092" s="29"/>
      <c r="H2092" s="78" t="str">
        <f t="shared" si="326"/>
        <v/>
      </c>
      <c r="I2092" s="25"/>
      <c r="J2092" s="25"/>
      <c r="K2092" s="26"/>
      <c r="L2092" s="26"/>
      <c r="M2092" s="37"/>
      <c r="N2092" s="27"/>
      <c r="O2092" s="30"/>
      <c r="P2092" s="39" t="str">
        <f t="shared" si="327"/>
        <v/>
      </c>
      <c r="Q2092" s="40" t="str">
        <f>IF(OR(T2092=0,RIGHT(T2092,1)=$W$1),"",COUNTIF($T$3:T2092,T2092))</f>
        <v/>
      </c>
      <c r="S2092" s="6">
        <f t="shared" si="328"/>
        <v>0</v>
      </c>
      <c r="T2092" s="36">
        <f t="shared" si="329"/>
        <v>0</v>
      </c>
      <c r="V2092" s="6">
        <f t="shared" si="330"/>
        <v>0</v>
      </c>
      <c r="Y2092" s="8">
        <f t="shared" si="331"/>
        <v>46023</v>
      </c>
    </row>
    <row r="2093" spans="2:25" ht="18.75" x14ac:dyDescent="0.3">
      <c r="B2093" s="6">
        <f t="shared" si="323"/>
        <v>0</v>
      </c>
      <c r="C2093" s="6">
        <f t="shared" si="324"/>
        <v>0</v>
      </c>
      <c r="D2093" s="6" t="str">
        <f t="shared" si="325"/>
        <v/>
      </c>
      <c r="E2093" s="35" t="str">
        <f t="shared" si="322"/>
        <v/>
      </c>
      <c r="F2093" s="31"/>
      <c r="G2093" s="29"/>
      <c r="H2093" s="78" t="str">
        <f t="shared" si="326"/>
        <v/>
      </c>
      <c r="I2093" s="25"/>
      <c r="J2093" s="25"/>
      <c r="K2093" s="26"/>
      <c r="L2093" s="26"/>
      <c r="M2093" s="37"/>
      <c r="N2093" s="27"/>
      <c r="O2093" s="30"/>
      <c r="P2093" s="39" t="str">
        <f t="shared" si="327"/>
        <v/>
      </c>
      <c r="Q2093" s="40" t="str">
        <f>IF(OR(T2093=0,RIGHT(T2093,1)=$W$1),"",COUNTIF($T$3:T2093,T2093))</f>
        <v/>
      </c>
      <c r="S2093" s="6">
        <f t="shared" si="328"/>
        <v>0</v>
      </c>
      <c r="T2093" s="36">
        <f t="shared" si="329"/>
        <v>0</v>
      </c>
      <c r="V2093" s="6">
        <f t="shared" si="330"/>
        <v>0</v>
      </c>
      <c r="Y2093" s="8">
        <f t="shared" si="331"/>
        <v>46023</v>
      </c>
    </row>
    <row r="2094" spans="2:25" ht="18.75" x14ac:dyDescent="0.3">
      <c r="B2094" s="6">
        <f t="shared" si="323"/>
        <v>0</v>
      </c>
      <c r="C2094" s="6">
        <f t="shared" si="324"/>
        <v>0</v>
      </c>
      <c r="D2094" s="6" t="str">
        <f t="shared" si="325"/>
        <v/>
      </c>
      <c r="E2094" s="35" t="str">
        <f t="shared" si="322"/>
        <v/>
      </c>
      <c r="F2094" s="31"/>
      <c r="G2094" s="29"/>
      <c r="H2094" s="78" t="str">
        <f t="shared" si="326"/>
        <v/>
      </c>
      <c r="I2094" s="25"/>
      <c r="J2094" s="25"/>
      <c r="K2094" s="26"/>
      <c r="L2094" s="26"/>
      <c r="M2094" s="37"/>
      <c r="N2094" s="27"/>
      <c r="O2094" s="30"/>
      <c r="P2094" s="39" t="str">
        <f t="shared" si="327"/>
        <v/>
      </c>
      <c r="Q2094" s="40" t="str">
        <f>IF(OR(T2094=0,RIGHT(T2094,1)=$W$1),"",COUNTIF($T$3:T2094,T2094))</f>
        <v/>
      </c>
      <c r="S2094" s="6">
        <f t="shared" si="328"/>
        <v>0</v>
      </c>
      <c r="T2094" s="36">
        <f t="shared" si="329"/>
        <v>0</v>
      </c>
      <c r="V2094" s="6">
        <f t="shared" si="330"/>
        <v>0</v>
      </c>
      <c r="Y2094" s="8">
        <f t="shared" si="331"/>
        <v>46023</v>
      </c>
    </row>
    <row r="2095" spans="2:25" ht="18.75" x14ac:dyDescent="0.3">
      <c r="B2095" s="6">
        <f t="shared" si="323"/>
        <v>0</v>
      </c>
      <c r="C2095" s="6">
        <f t="shared" si="324"/>
        <v>0</v>
      </c>
      <c r="D2095" s="6" t="str">
        <f t="shared" si="325"/>
        <v/>
      </c>
      <c r="E2095" s="35" t="str">
        <f t="shared" si="322"/>
        <v/>
      </c>
      <c r="F2095" s="31"/>
      <c r="G2095" s="29"/>
      <c r="H2095" s="78" t="str">
        <f t="shared" si="326"/>
        <v/>
      </c>
      <c r="I2095" s="25"/>
      <c r="J2095" s="25"/>
      <c r="K2095" s="26"/>
      <c r="L2095" s="26"/>
      <c r="M2095" s="37"/>
      <c r="N2095" s="27"/>
      <c r="O2095" s="30"/>
      <c r="P2095" s="39" t="str">
        <f t="shared" si="327"/>
        <v/>
      </c>
      <c r="Q2095" s="40" t="str">
        <f>IF(OR(T2095=0,RIGHT(T2095,1)=$W$1),"",COUNTIF($T$3:T2095,T2095))</f>
        <v/>
      </c>
      <c r="S2095" s="6">
        <f t="shared" si="328"/>
        <v>0</v>
      </c>
      <c r="T2095" s="36">
        <f t="shared" si="329"/>
        <v>0</v>
      </c>
      <c r="V2095" s="6">
        <f t="shared" si="330"/>
        <v>0</v>
      </c>
      <c r="Y2095" s="8">
        <f t="shared" si="331"/>
        <v>46023</v>
      </c>
    </row>
    <row r="2096" spans="2:25" ht="18.75" x14ac:dyDescent="0.3">
      <c r="B2096" s="6">
        <f t="shared" si="323"/>
        <v>0</v>
      </c>
      <c r="C2096" s="6">
        <f t="shared" si="324"/>
        <v>0</v>
      </c>
      <c r="D2096" s="6" t="str">
        <f t="shared" si="325"/>
        <v/>
      </c>
      <c r="E2096" s="35" t="str">
        <f t="shared" si="322"/>
        <v/>
      </c>
      <c r="F2096" s="31"/>
      <c r="G2096" s="29"/>
      <c r="H2096" s="78" t="str">
        <f t="shared" si="326"/>
        <v/>
      </c>
      <c r="I2096" s="25"/>
      <c r="J2096" s="25"/>
      <c r="K2096" s="26"/>
      <c r="L2096" s="26"/>
      <c r="M2096" s="37"/>
      <c r="N2096" s="27"/>
      <c r="O2096" s="30"/>
      <c r="P2096" s="39" t="str">
        <f t="shared" si="327"/>
        <v/>
      </c>
      <c r="Q2096" s="40" t="str">
        <f>IF(OR(T2096=0,RIGHT(T2096,1)=$W$1),"",COUNTIF($T$3:T2096,T2096))</f>
        <v/>
      </c>
      <c r="S2096" s="6">
        <f t="shared" si="328"/>
        <v>0</v>
      </c>
      <c r="T2096" s="36">
        <f t="shared" si="329"/>
        <v>0</v>
      </c>
      <c r="V2096" s="6">
        <f t="shared" si="330"/>
        <v>0</v>
      </c>
      <c r="Y2096" s="8">
        <f t="shared" si="331"/>
        <v>46023</v>
      </c>
    </row>
    <row r="2097" spans="2:25" ht="18.75" x14ac:dyDescent="0.3">
      <c r="B2097" s="6">
        <f t="shared" si="323"/>
        <v>0</v>
      </c>
      <c r="C2097" s="6">
        <f t="shared" si="324"/>
        <v>0</v>
      </c>
      <c r="D2097" s="6" t="str">
        <f t="shared" si="325"/>
        <v/>
      </c>
      <c r="E2097" s="35" t="str">
        <f t="shared" si="322"/>
        <v/>
      </c>
      <c r="F2097" s="31"/>
      <c r="G2097" s="29"/>
      <c r="H2097" s="78" t="str">
        <f t="shared" si="326"/>
        <v/>
      </c>
      <c r="I2097" s="25"/>
      <c r="J2097" s="25"/>
      <c r="K2097" s="26"/>
      <c r="L2097" s="26"/>
      <c r="M2097" s="37"/>
      <c r="N2097" s="27"/>
      <c r="O2097" s="30"/>
      <c r="P2097" s="39" t="str">
        <f t="shared" si="327"/>
        <v/>
      </c>
      <c r="Q2097" s="40" t="str">
        <f>IF(OR(T2097=0,RIGHT(T2097,1)=$W$1),"",COUNTIF($T$3:T2097,T2097))</f>
        <v/>
      </c>
      <c r="S2097" s="6">
        <f t="shared" si="328"/>
        <v>0</v>
      </c>
      <c r="T2097" s="36">
        <f t="shared" si="329"/>
        <v>0</v>
      </c>
      <c r="V2097" s="6">
        <f t="shared" si="330"/>
        <v>0</v>
      </c>
      <c r="Y2097" s="8">
        <f t="shared" si="331"/>
        <v>46023</v>
      </c>
    </row>
    <row r="2098" spans="2:25" ht="18.75" x14ac:dyDescent="0.3">
      <c r="B2098" s="6">
        <f t="shared" si="323"/>
        <v>0</v>
      </c>
      <c r="C2098" s="6">
        <f t="shared" si="324"/>
        <v>0</v>
      </c>
      <c r="D2098" s="6" t="str">
        <f t="shared" si="325"/>
        <v/>
      </c>
      <c r="E2098" s="35" t="str">
        <f t="shared" si="322"/>
        <v/>
      </c>
      <c r="F2098" s="31"/>
      <c r="G2098" s="29"/>
      <c r="H2098" s="78" t="str">
        <f t="shared" si="326"/>
        <v/>
      </c>
      <c r="I2098" s="25"/>
      <c r="J2098" s="25"/>
      <c r="K2098" s="26"/>
      <c r="L2098" s="26"/>
      <c r="M2098" s="37"/>
      <c r="N2098" s="27"/>
      <c r="O2098" s="30"/>
      <c r="P2098" s="39" t="str">
        <f t="shared" si="327"/>
        <v/>
      </c>
      <c r="Q2098" s="40" t="str">
        <f>IF(OR(T2098=0,RIGHT(T2098,1)=$W$1),"",COUNTIF($T$3:T2098,T2098))</f>
        <v/>
      </c>
      <c r="S2098" s="6">
        <f t="shared" si="328"/>
        <v>0</v>
      </c>
      <c r="T2098" s="36">
        <f t="shared" si="329"/>
        <v>0</v>
      </c>
      <c r="V2098" s="6">
        <f t="shared" si="330"/>
        <v>0</v>
      </c>
      <c r="Y2098" s="8">
        <f t="shared" si="331"/>
        <v>46023</v>
      </c>
    </row>
    <row r="2099" spans="2:25" ht="18.75" x14ac:dyDescent="0.3">
      <c r="B2099" s="6">
        <f t="shared" si="323"/>
        <v>0</v>
      </c>
      <c r="C2099" s="6">
        <f t="shared" si="324"/>
        <v>0</v>
      </c>
      <c r="D2099" s="6" t="str">
        <f t="shared" si="325"/>
        <v/>
      </c>
      <c r="E2099" s="35" t="str">
        <f t="shared" si="322"/>
        <v/>
      </c>
      <c r="F2099" s="31"/>
      <c r="G2099" s="29"/>
      <c r="H2099" s="78" t="str">
        <f t="shared" si="326"/>
        <v/>
      </c>
      <c r="I2099" s="25"/>
      <c r="J2099" s="25"/>
      <c r="K2099" s="26"/>
      <c r="L2099" s="26"/>
      <c r="M2099" s="37"/>
      <c r="N2099" s="27"/>
      <c r="O2099" s="30"/>
      <c r="P2099" s="39" t="str">
        <f t="shared" si="327"/>
        <v/>
      </c>
      <c r="Q2099" s="40" t="str">
        <f>IF(OR(T2099=0,RIGHT(T2099,1)=$W$1),"",COUNTIF($T$3:T2099,T2099))</f>
        <v/>
      </c>
      <c r="S2099" s="6">
        <f t="shared" si="328"/>
        <v>0</v>
      </c>
      <c r="T2099" s="36">
        <f t="shared" si="329"/>
        <v>0</v>
      </c>
      <c r="V2099" s="6">
        <f t="shared" si="330"/>
        <v>0</v>
      </c>
      <c r="Y2099" s="8">
        <f t="shared" si="331"/>
        <v>46023</v>
      </c>
    </row>
    <row r="2100" spans="2:25" ht="18.75" x14ac:dyDescent="0.3">
      <c r="B2100" s="6">
        <f t="shared" si="323"/>
        <v>0</v>
      </c>
      <c r="C2100" s="6">
        <f t="shared" si="324"/>
        <v>0</v>
      </c>
      <c r="D2100" s="6" t="str">
        <f t="shared" si="325"/>
        <v/>
      </c>
      <c r="E2100" s="35" t="str">
        <f t="shared" si="322"/>
        <v/>
      </c>
      <c r="F2100" s="31"/>
      <c r="G2100" s="29"/>
      <c r="H2100" s="78" t="str">
        <f t="shared" si="326"/>
        <v/>
      </c>
      <c r="I2100" s="25"/>
      <c r="J2100" s="25"/>
      <c r="K2100" s="26"/>
      <c r="L2100" s="26"/>
      <c r="M2100" s="37"/>
      <c r="N2100" s="27"/>
      <c r="O2100" s="30"/>
      <c r="P2100" s="39" t="str">
        <f t="shared" si="327"/>
        <v/>
      </c>
      <c r="Q2100" s="40" t="str">
        <f>IF(OR(T2100=0,RIGHT(T2100,1)=$W$1),"",COUNTIF($T$3:T2100,T2100))</f>
        <v/>
      </c>
      <c r="S2100" s="6">
        <f t="shared" si="328"/>
        <v>0</v>
      </c>
      <c r="T2100" s="36">
        <f t="shared" si="329"/>
        <v>0</v>
      </c>
      <c r="V2100" s="6">
        <f t="shared" si="330"/>
        <v>0</v>
      </c>
      <c r="Y2100" s="8">
        <f t="shared" si="331"/>
        <v>46023</v>
      </c>
    </row>
    <row r="2101" spans="2:25" ht="18.75" x14ac:dyDescent="0.3">
      <c r="B2101" s="6">
        <f t="shared" si="323"/>
        <v>0</v>
      </c>
      <c r="C2101" s="6">
        <f t="shared" si="324"/>
        <v>0</v>
      </c>
      <c r="D2101" s="6" t="str">
        <f t="shared" si="325"/>
        <v/>
      </c>
      <c r="E2101" s="35" t="str">
        <f t="shared" si="322"/>
        <v/>
      </c>
      <c r="F2101" s="31"/>
      <c r="G2101" s="29"/>
      <c r="H2101" s="78" t="str">
        <f t="shared" si="326"/>
        <v/>
      </c>
      <c r="I2101" s="25"/>
      <c r="J2101" s="25"/>
      <c r="K2101" s="26"/>
      <c r="L2101" s="26"/>
      <c r="M2101" s="37"/>
      <c r="N2101" s="27"/>
      <c r="O2101" s="30"/>
      <c r="P2101" s="39" t="str">
        <f t="shared" si="327"/>
        <v/>
      </c>
      <c r="Q2101" s="40" t="str">
        <f>IF(OR(T2101=0,RIGHT(T2101,1)=$W$1),"",COUNTIF($T$3:T2101,T2101))</f>
        <v/>
      </c>
      <c r="S2101" s="6">
        <f t="shared" si="328"/>
        <v>0</v>
      </c>
      <c r="T2101" s="36">
        <f t="shared" si="329"/>
        <v>0</v>
      </c>
      <c r="V2101" s="6">
        <f t="shared" si="330"/>
        <v>0</v>
      </c>
      <c r="Y2101" s="8">
        <f t="shared" si="331"/>
        <v>46023</v>
      </c>
    </row>
    <row r="2102" spans="2:25" ht="18.75" x14ac:dyDescent="0.3">
      <c r="B2102" s="6">
        <f t="shared" si="323"/>
        <v>0</v>
      </c>
      <c r="C2102" s="6">
        <f t="shared" si="324"/>
        <v>0</v>
      </c>
      <c r="D2102" s="6" t="str">
        <f t="shared" si="325"/>
        <v/>
      </c>
      <c r="E2102" s="35" t="str">
        <f t="shared" si="322"/>
        <v/>
      </c>
      <c r="F2102" s="31"/>
      <c r="G2102" s="29"/>
      <c r="H2102" s="78" t="str">
        <f t="shared" si="326"/>
        <v/>
      </c>
      <c r="I2102" s="25"/>
      <c r="J2102" s="25"/>
      <c r="K2102" s="26"/>
      <c r="L2102" s="26"/>
      <c r="M2102" s="37"/>
      <c r="N2102" s="27"/>
      <c r="O2102" s="30"/>
      <c r="P2102" s="39" t="str">
        <f t="shared" si="327"/>
        <v/>
      </c>
      <c r="Q2102" s="40" t="str">
        <f>IF(OR(T2102=0,RIGHT(T2102,1)=$W$1),"",COUNTIF($T$3:T2102,T2102))</f>
        <v/>
      </c>
      <c r="S2102" s="6">
        <f t="shared" si="328"/>
        <v>0</v>
      </c>
      <c r="T2102" s="36">
        <f t="shared" si="329"/>
        <v>0</v>
      </c>
      <c r="V2102" s="6">
        <f t="shared" si="330"/>
        <v>0</v>
      </c>
      <c r="Y2102" s="8">
        <f t="shared" si="331"/>
        <v>46023</v>
      </c>
    </row>
    <row r="2103" spans="2:25" ht="18.75" x14ac:dyDescent="0.3">
      <c r="B2103" s="6">
        <f t="shared" si="323"/>
        <v>0</v>
      </c>
      <c r="C2103" s="6">
        <f t="shared" si="324"/>
        <v>0</v>
      </c>
      <c r="D2103" s="6" t="str">
        <f t="shared" si="325"/>
        <v/>
      </c>
      <c r="E2103" s="35" t="str">
        <f t="shared" si="322"/>
        <v/>
      </c>
      <c r="F2103" s="31"/>
      <c r="G2103" s="29"/>
      <c r="H2103" s="78" t="str">
        <f t="shared" si="326"/>
        <v/>
      </c>
      <c r="I2103" s="25"/>
      <c r="J2103" s="25"/>
      <c r="K2103" s="26"/>
      <c r="L2103" s="26"/>
      <c r="M2103" s="37"/>
      <c r="N2103" s="27"/>
      <c r="O2103" s="30"/>
      <c r="P2103" s="39" t="str">
        <f t="shared" si="327"/>
        <v/>
      </c>
      <c r="Q2103" s="40" t="str">
        <f>IF(OR(T2103=0,RIGHT(T2103,1)=$W$1),"",COUNTIF($T$3:T2103,T2103))</f>
        <v/>
      </c>
      <c r="S2103" s="6">
        <f t="shared" si="328"/>
        <v>0</v>
      </c>
      <c r="T2103" s="36">
        <f t="shared" si="329"/>
        <v>0</v>
      </c>
      <c r="V2103" s="6">
        <f t="shared" si="330"/>
        <v>0</v>
      </c>
      <c r="Y2103" s="8">
        <f t="shared" si="331"/>
        <v>46023</v>
      </c>
    </row>
    <row r="2104" spans="2:25" ht="18.75" x14ac:dyDescent="0.3">
      <c r="B2104" s="6">
        <f t="shared" si="323"/>
        <v>0</v>
      </c>
      <c r="C2104" s="6">
        <f t="shared" si="324"/>
        <v>0</v>
      </c>
      <c r="D2104" s="6" t="str">
        <f t="shared" si="325"/>
        <v/>
      </c>
      <c r="E2104" s="35" t="str">
        <f t="shared" si="322"/>
        <v/>
      </c>
      <c r="F2104" s="31"/>
      <c r="G2104" s="29"/>
      <c r="H2104" s="78" t="str">
        <f t="shared" si="326"/>
        <v/>
      </c>
      <c r="I2104" s="25"/>
      <c r="J2104" s="25"/>
      <c r="K2104" s="26"/>
      <c r="L2104" s="26"/>
      <c r="M2104" s="37"/>
      <c r="N2104" s="27"/>
      <c r="O2104" s="30"/>
      <c r="P2104" s="39" t="str">
        <f t="shared" si="327"/>
        <v/>
      </c>
      <c r="Q2104" s="40" t="str">
        <f>IF(OR(T2104=0,RIGHT(T2104,1)=$W$1),"",COUNTIF($T$3:T2104,T2104))</f>
        <v/>
      </c>
      <c r="S2104" s="6">
        <f t="shared" si="328"/>
        <v>0</v>
      </c>
      <c r="T2104" s="36">
        <f t="shared" si="329"/>
        <v>0</v>
      </c>
      <c r="V2104" s="6">
        <f t="shared" si="330"/>
        <v>0</v>
      </c>
      <c r="Y2104" s="8">
        <f t="shared" si="331"/>
        <v>46023</v>
      </c>
    </row>
    <row r="2105" spans="2:25" ht="18.75" x14ac:dyDescent="0.3">
      <c r="B2105" s="6">
        <f t="shared" si="323"/>
        <v>0</v>
      </c>
      <c r="C2105" s="6">
        <f t="shared" si="324"/>
        <v>0</v>
      </c>
      <c r="D2105" s="6" t="str">
        <f t="shared" si="325"/>
        <v/>
      </c>
      <c r="E2105" s="35" t="str">
        <f t="shared" si="322"/>
        <v/>
      </c>
      <c r="F2105" s="31"/>
      <c r="G2105" s="29"/>
      <c r="H2105" s="78" t="str">
        <f t="shared" si="326"/>
        <v/>
      </c>
      <c r="I2105" s="25"/>
      <c r="J2105" s="25"/>
      <c r="K2105" s="26"/>
      <c r="L2105" s="26"/>
      <c r="M2105" s="37"/>
      <c r="N2105" s="27"/>
      <c r="O2105" s="30"/>
      <c r="P2105" s="39" t="str">
        <f t="shared" si="327"/>
        <v/>
      </c>
      <c r="Q2105" s="40" t="str">
        <f>IF(OR(T2105=0,RIGHT(T2105,1)=$W$1),"",COUNTIF($T$3:T2105,T2105))</f>
        <v/>
      </c>
      <c r="S2105" s="6">
        <f t="shared" si="328"/>
        <v>0</v>
      </c>
      <c r="T2105" s="36">
        <f t="shared" si="329"/>
        <v>0</v>
      </c>
      <c r="V2105" s="6">
        <f t="shared" si="330"/>
        <v>0</v>
      </c>
      <c r="Y2105" s="8">
        <f t="shared" si="331"/>
        <v>46023</v>
      </c>
    </row>
    <row r="2106" spans="2:25" ht="18.75" x14ac:dyDescent="0.3">
      <c r="B2106" s="6">
        <f t="shared" si="323"/>
        <v>0</v>
      </c>
      <c r="C2106" s="6">
        <f t="shared" si="324"/>
        <v>0</v>
      </c>
      <c r="D2106" s="6" t="str">
        <f t="shared" si="325"/>
        <v/>
      </c>
      <c r="E2106" s="35" t="str">
        <f t="shared" si="322"/>
        <v/>
      </c>
      <c r="F2106" s="31"/>
      <c r="G2106" s="29"/>
      <c r="H2106" s="78" t="str">
        <f t="shared" si="326"/>
        <v/>
      </c>
      <c r="I2106" s="25"/>
      <c r="J2106" s="25"/>
      <c r="K2106" s="26"/>
      <c r="L2106" s="26"/>
      <c r="M2106" s="37"/>
      <c r="N2106" s="27"/>
      <c r="O2106" s="30"/>
      <c r="P2106" s="39" t="str">
        <f t="shared" si="327"/>
        <v/>
      </c>
      <c r="Q2106" s="40" t="str">
        <f>IF(OR(T2106=0,RIGHT(T2106,1)=$W$1),"",COUNTIF($T$3:T2106,T2106))</f>
        <v/>
      </c>
      <c r="S2106" s="6">
        <f t="shared" si="328"/>
        <v>0</v>
      </c>
      <c r="T2106" s="36">
        <f t="shared" si="329"/>
        <v>0</v>
      </c>
      <c r="V2106" s="6">
        <f t="shared" si="330"/>
        <v>0</v>
      </c>
      <c r="Y2106" s="8">
        <f t="shared" si="331"/>
        <v>46023</v>
      </c>
    </row>
    <row r="2107" spans="2:25" ht="18.75" x14ac:dyDescent="0.3">
      <c r="B2107" s="6">
        <f t="shared" si="323"/>
        <v>0</v>
      </c>
      <c r="C2107" s="6">
        <f t="shared" si="324"/>
        <v>0</v>
      </c>
      <c r="D2107" s="6" t="str">
        <f t="shared" si="325"/>
        <v/>
      </c>
      <c r="E2107" s="35" t="str">
        <f t="shared" si="322"/>
        <v/>
      </c>
      <c r="F2107" s="31"/>
      <c r="G2107" s="29"/>
      <c r="H2107" s="78" t="str">
        <f t="shared" si="326"/>
        <v/>
      </c>
      <c r="I2107" s="25"/>
      <c r="J2107" s="25"/>
      <c r="K2107" s="26"/>
      <c r="L2107" s="26"/>
      <c r="M2107" s="37"/>
      <c r="N2107" s="27"/>
      <c r="O2107" s="30"/>
      <c r="P2107" s="39" t="str">
        <f t="shared" si="327"/>
        <v/>
      </c>
      <c r="Q2107" s="40" t="str">
        <f>IF(OR(T2107=0,RIGHT(T2107,1)=$W$1),"",COUNTIF($T$3:T2107,T2107))</f>
        <v/>
      </c>
      <c r="S2107" s="6">
        <f t="shared" si="328"/>
        <v>0</v>
      </c>
      <c r="T2107" s="36">
        <f t="shared" si="329"/>
        <v>0</v>
      </c>
      <c r="V2107" s="6">
        <f t="shared" si="330"/>
        <v>0</v>
      </c>
      <c r="Y2107" s="8">
        <f t="shared" si="331"/>
        <v>46023</v>
      </c>
    </row>
    <row r="2108" spans="2:25" ht="18.75" x14ac:dyDescent="0.3">
      <c r="B2108" s="6">
        <f t="shared" si="323"/>
        <v>0</v>
      </c>
      <c r="C2108" s="6">
        <f t="shared" si="324"/>
        <v>0</v>
      </c>
      <c r="D2108" s="6" t="str">
        <f t="shared" si="325"/>
        <v/>
      </c>
      <c r="E2108" s="35" t="str">
        <f t="shared" si="322"/>
        <v/>
      </c>
      <c r="F2108" s="31"/>
      <c r="G2108" s="29"/>
      <c r="H2108" s="78" t="str">
        <f t="shared" si="326"/>
        <v/>
      </c>
      <c r="I2108" s="25"/>
      <c r="J2108" s="25"/>
      <c r="K2108" s="26"/>
      <c r="L2108" s="26"/>
      <c r="M2108" s="37"/>
      <c r="N2108" s="27"/>
      <c r="O2108" s="30"/>
      <c r="P2108" s="39" t="str">
        <f t="shared" si="327"/>
        <v/>
      </c>
      <c r="Q2108" s="40" t="str">
        <f>IF(OR(T2108=0,RIGHT(T2108,1)=$W$1),"",COUNTIF($T$3:T2108,T2108))</f>
        <v/>
      </c>
      <c r="S2108" s="6">
        <f t="shared" si="328"/>
        <v>0</v>
      </c>
      <c r="T2108" s="36">
        <f t="shared" si="329"/>
        <v>0</v>
      </c>
      <c r="V2108" s="6">
        <f t="shared" si="330"/>
        <v>0</v>
      </c>
      <c r="Y2108" s="8">
        <f t="shared" si="331"/>
        <v>46023</v>
      </c>
    </row>
    <row r="2109" spans="2:25" ht="18.75" x14ac:dyDescent="0.3">
      <c r="B2109" s="6">
        <f t="shared" si="323"/>
        <v>0</v>
      </c>
      <c r="C2109" s="6">
        <f t="shared" si="324"/>
        <v>0</v>
      </c>
      <c r="D2109" s="6" t="str">
        <f t="shared" si="325"/>
        <v/>
      </c>
      <c r="E2109" s="35" t="str">
        <f t="shared" si="322"/>
        <v/>
      </c>
      <c r="F2109" s="31"/>
      <c r="G2109" s="29"/>
      <c r="H2109" s="78" t="str">
        <f t="shared" si="326"/>
        <v/>
      </c>
      <c r="I2109" s="25"/>
      <c r="J2109" s="25"/>
      <c r="K2109" s="26"/>
      <c r="L2109" s="26"/>
      <c r="M2109" s="37"/>
      <c r="N2109" s="27"/>
      <c r="O2109" s="30"/>
      <c r="P2109" s="39" t="str">
        <f t="shared" si="327"/>
        <v/>
      </c>
      <c r="Q2109" s="40" t="str">
        <f>IF(OR(T2109=0,RIGHT(T2109,1)=$W$1),"",COUNTIF($T$3:T2109,T2109))</f>
        <v/>
      </c>
      <c r="S2109" s="6">
        <f t="shared" si="328"/>
        <v>0</v>
      </c>
      <c r="T2109" s="36">
        <f t="shared" si="329"/>
        <v>0</v>
      </c>
      <c r="V2109" s="6">
        <f t="shared" si="330"/>
        <v>0</v>
      </c>
      <c r="Y2109" s="8">
        <f t="shared" si="331"/>
        <v>46023</v>
      </c>
    </row>
    <row r="2110" spans="2:25" ht="18.75" x14ac:dyDescent="0.3">
      <c r="B2110" s="6">
        <f t="shared" si="323"/>
        <v>0</v>
      </c>
      <c r="C2110" s="6">
        <f t="shared" si="324"/>
        <v>0</v>
      </c>
      <c r="D2110" s="6" t="str">
        <f t="shared" si="325"/>
        <v/>
      </c>
      <c r="E2110" s="35" t="str">
        <f t="shared" si="322"/>
        <v/>
      </c>
      <c r="F2110" s="31"/>
      <c r="G2110" s="29"/>
      <c r="H2110" s="78" t="str">
        <f t="shared" si="326"/>
        <v/>
      </c>
      <c r="I2110" s="25"/>
      <c r="J2110" s="25"/>
      <c r="K2110" s="26"/>
      <c r="L2110" s="26"/>
      <c r="M2110" s="37"/>
      <c r="N2110" s="27"/>
      <c r="O2110" s="30"/>
      <c r="P2110" s="39" t="str">
        <f t="shared" si="327"/>
        <v/>
      </c>
      <c r="Q2110" s="40" t="str">
        <f>IF(OR(T2110=0,RIGHT(T2110,1)=$W$1),"",COUNTIF($T$3:T2110,T2110))</f>
        <v/>
      </c>
      <c r="S2110" s="6">
        <f t="shared" si="328"/>
        <v>0</v>
      </c>
      <c r="T2110" s="36">
        <f t="shared" si="329"/>
        <v>0</v>
      </c>
      <c r="V2110" s="6">
        <f t="shared" si="330"/>
        <v>0</v>
      </c>
      <c r="Y2110" s="8">
        <f t="shared" si="331"/>
        <v>46023</v>
      </c>
    </row>
    <row r="2111" spans="2:25" ht="18.75" x14ac:dyDescent="0.3">
      <c r="B2111" s="6">
        <f t="shared" si="323"/>
        <v>0</v>
      </c>
      <c r="C2111" s="6">
        <f t="shared" si="324"/>
        <v>0</v>
      </c>
      <c r="D2111" s="6" t="str">
        <f t="shared" si="325"/>
        <v/>
      </c>
      <c r="E2111" s="35" t="str">
        <f t="shared" si="322"/>
        <v/>
      </c>
      <c r="F2111" s="31"/>
      <c r="G2111" s="29"/>
      <c r="H2111" s="78" t="str">
        <f t="shared" si="326"/>
        <v/>
      </c>
      <c r="I2111" s="25"/>
      <c r="J2111" s="25"/>
      <c r="K2111" s="26"/>
      <c r="L2111" s="26"/>
      <c r="M2111" s="37"/>
      <c r="N2111" s="27"/>
      <c r="O2111" s="30"/>
      <c r="P2111" s="39" t="str">
        <f t="shared" si="327"/>
        <v/>
      </c>
      <c r="Q2111" s="40" t="str">
        <f>IF(OR(T2111=0,RIGHT(T2111,1)=$W$1),"",COUNTIF($T$3:T2111,T2111))</f>
        <v/>
      </c>
      <c r="S2111" s="6">
        <f t="shared" si="328"/>
        <v>0</v>
      </c>
      <c r="T2111" s="36">
        <f t="shared" si="329"/>
        <v>0</v>
      </c>
      <c r="V2111" s="6">
        <f t="shared" si="330"/>
        <v>0</v>
      </c>
      <c r="Y2111" s="8">
        <f t="shared" si="331"/>
        <v>46023</v>
      </c>
    </row>
    <row r="2112" spans="2:25" ht="18.75" x14ac:dyDescent="0.3">
      <c r="B2112" s="6">
        <f t="shared" si="323"/>
        <v>0</v>
      </c>
      <c r="C2112" s="6">
        <f t="shared" si="324"/>
        <v>0</v>
      </c>
      <c r="D2112" s="6" t="str">
        <f t="shared" si="325"/>
        <v/>
      </c>
      <c r="E2112" s="35" t="str">
        <f t="shared" si="322"/>
        <v/>
      </c>
      <c r="F2112" s="31"/>
      <c r="G2112" s="29"/>
      <c r="H2112" s="78" t="str">
        <f t="shared" si="326"/>
        <v/>
      </c>
      <c r="I2112" s="25"/>
      <c r="J2112" s="25"/>
      <c r="K2112" s="26"/>
      <c r="L2112" s="26"/>
      <c r="M2112" s="37"/>
      <c r="N2112" s="27"/>
      <c r="O2112" s="30"/>
      <c r="P2112" s="39" t="str">
        <f t="shared" si="327"/>
        <v/>
      </c>
      <c r="Q2112" s="40" t="str">
        <f>IF(OR(T2112=0,RIGHT(T2112,1)=$W$1),"",COUNTIF($T$3:T2112,T2112))</f>
        <v/>
      </c>
      <c r="S2112" s="6">
        <f t="shared" si="328"/>
        <v>0</v>
      </c>
      <c r="T2112" s="36">
        <f t="shared" si="329"/>
        <v>0</v>
      </c>
      <c r="V2112" s="6">
        <f t="shared" si="330"/>
        <v>0</v>
      </c>
      <c r="Y2112" s="8">
        <f t="shared" si="331"/>
        <v>46023</v>
      </c>
    </row>
    <row r="2113" spans="2:25" ht="18.75" x14ac:dyDescent="0.3">
      <c r="B2113" s="6">
        <f t="shared" si="323"/>
        <v>0</v>
      </c>
      <c r="C2113" s="6">
        <f t="shared" si="324"/>
        <v>0</v>
      </c>
      <c r="D2113" s="6" t="str">
        <f t="shared" si="325"/>
        <v/>
      </c>
      <c r="E2113" s="35" t="str">
        <f t="shared" si="322"/>
        <v/>
      </c>
      <c r="F2113" s="31"/>
      <c r="G2113" s="29"/>
      <c r="H2113" s="78" t="str">
        <f t="shared" si="326"/>
        <v/>
      </c>
      <c r="I2113" s="25"/>
      <c r="J2113" s="25"/>
      <c r="K2113" s="26"/>
      <c r="L2113" s="26"/>
      <c r="M2113" s="37"/>
      <c r="N2113" s="27"/>
      <c r="O2113" s="30"/>
      <c r="P2113" s="39" t="str">
        <f t="shared" si="327"/>
        <v/>
      </c>
      <c r="Q2113" s="40" t="str">
        <f>IF(OR(T2113=0,RIGHT(T2113,1)=$W$1),"",COUNTIF($T$3:T2113,T2113))</f>
        <v/>
      </c>
      <c r="S2113" s="6">
        <f t="shared" si="328"/>
        <v>0</v>
      </c>
      <c r="T2113" s="36">
        <f t="shared" si="329"/>
        <v>0</v>
      </c>
      <c r="V2113" s="6">
        <f t="shared" si="330"/>
        <v>0</v>
      </c>
      <c r="Y2113" s="8">
        <f t="shared" si="331"/>
        <v>46023</v>
      </c>
    </row>
    <row r="2114" spans="2:25" ht="18.75" x14ac:dyDescent="0.3">
      <c r="B2114" s="6">
        <f t="shared" si="323"/>
        <v>0</v>
      </c>
      <c r="C2114" s="6">
        <f t="shared" si="324"/>
        <v>0</v>
      </c>
      <c r="D2114" s="6" t="str">
        <f t="shared" si="325"/>
        <v/>
      </c>
      <c r="E2114" s="35" t="str">
        <f t="shared" si="322"/>
        <v/>
      </c>
      <c r="F2114" s="31"/>
      <c r="G2114" s="29"/>
      <c r="H2114" s="78" t="str">
        <f t="shared" si="326"/>
        <v/>
      </c>
      <c r="I2114" s="25"/>
      <c r="J2114" s="25"/>
      <c r="K2114" s="26"/>
      <c r="L2114" s="26"/>
      <c r="M2114" s="37"/>
      <c r="N2114" s="27"/>
      <c r="O2114" s="30"/>
      <c r="P2114" s="39" t="str">
        <f t="shared" si="327"/>
        <v/>
      </c>
      <c r="Q2114" s="40" t="str">
        <f>IF(OR(T2114=0,RIGHT(T2114,1)=$W$1),"",COUNTIF($T$3:T2114,T2114))</f>
        <v/>
      </c>
      <c r="S2114" s="6">
        <f t="shared" si="328"/>
        <v>0</v>
      </c>
      <c r="T2114" s="36">
        <f t="shared" si="329"/>
        <v>0</v>
      </c>
      <c r="V2114" s="6">
        <f t="shared" si="330"/>
        <v>0</v>
      </c>
      <c r="Y2114" s="8">
        <f t="shared" si="331"/>
        <v>46023</v>
      </c>
    </row>
    <row r="2115" spans="2:25" ht="18.75" x14ac:dyDescent="0.3">
      <c r="B2115" s="6">
        <f t="shared" si="323"/>
        <v>0</v>
      </c>
      <c r="C2115" s="6">
        <f t="shared" si="324"/>
        <v>0</v>
      </c>
      <c r="D2115" s="6" t="str">
        <f t="shared" si="325"/>
        <v/>
      </c>
      <c r="E2115" s="35" t="str">
        <f t="shared" ref="E2115:E2178" si="332">IF(D2115&lt;&gt;"",D2115&amp;" - "&amp;YEAR(F2115),"")</f>
        <v/>
      </c>
      <c r="F2115" s="31"/>
      <c r="G2115" s="29"/>
      <c r="H2115" s="78" t="str">
        <f t="shared" si="326"/>
        <v/>
      </c>
      <c r="I2115" s="25"/>
      <c r="J2115" s="25"/>
      <c r="K2115" s="26"/>
      <c r="L2115" s="26"/>
      <c r="M2115" s="37"/>
      <c r="N2115" s="27"/>
      <c r="O2115" s="30"/>
      <c r="P2115" s="39" t="str">
        <f t="shared" si="327"/>
        <v/>
      </c>
      <c r="Q2115" s="40" t="str">
        <f>IF(OR(T2115=0,RIGHT(T2115,1)=$W$1),"",COUNTIF($T$3:T2115,T2115))</f>
        <v/>
      </c>
      <c r="S2115" s="6">
        <f t="shared" si="328"/>
        <v>0</v>
      </c>
      <c r="T2115" s="36">
        <f t="shared" si="329"/>
        <v>0</v>
      </c>
      <c r="V2115" s="6">
        <f t="shared" si="330"/>
        <v>0</v>
      </c>
      <c r="Y2115" s="8">
        <f t="shared" si="331"/>
        <v>46023</v>
      </c>
    </row>
    <row r="2116" spans="2:25" ht="18.75" x14ac:dyDescent="0.3">
      <c r="B2116" s="6">
        <f t="shared" ref="B2116:B2179" si="333">IF($B$1=YEAR(F2116),B2115+1,B2115)</f>
        <v>0</v>
      </c>
      <c r="C2116" s="6">
        <f t="shared" ref="C2116:C2179" si="334">IF(AND($C$1=K2116,$Y$1=YEAR(F2116)),C2115+1,C2115)</f>
        <v>0</v>
      </c>
      <c r="D2116" s="6" t="str">
        <f t="shared" ref="D2116:D2179" si="335">IF(F2116&lt;&gt;0,IF(YEAR(F2116)&lt;&gt;YEAR(F2115),1,IF(M2116=$AI$1,D2115,D2115+1)),"")</f>
        <v/>
      </c>
      <c r="E2116" s="35" t="str">
        <f t="shared" si="332"/>
        <v/>
      </c>
      <c r="F2116" s="31"/>
      <c r="G2116" s="29"/>
      <c r="H2116" s="78" t="str">
        <f t="shared" ref="H2116:H2179" si="336">IF(G2116&lt;&gt;"",F2116,"")</f>
        <v/>
      </c>
      <c r="I2116" s="25"/>
      <c r="J2116" s="25"/>
      <c r="K2116" s="26"/>
      <c r="L2116" s="26"/>
      <c r="M2116" s="37"/>
      <c r="N2116" s="27"/>
      <c r="O2116" s="30"/>
      <c r="P2116" s="39" t="str">
        <f t="shared" ref="P2116:P2179" si="337">IF(OR(T2116=0,RIGHT(T2116,1)=$W$1),"",VLOOKUP(K2116,$AD$1:$AK$15,5,FALSE))</f>
        <v/>
      </c>
      <c r="Q2116" s="40" t="str">
        <f>IF(OR(T2116=0,RIGHT(T2116,1)=$W$1),"",COUNTIF($T$3:T2116,T2116))</f>
        <v/>
      </c>
      <c r="S2116" s="6">
        <f t="shared" ref="S2116:S2179" si="338">IF(AND($C$1=K2116,$Y$1=YEAR(F2116)),C2116,0)</f>
        <v>0</v>
      </c>
      <c r="T2116" s="36">
        <f t="shared" ref="T2116:T2179" si="339">IF(F2116=0,0,YEAR(F2116)&amp;VLOOKUP(K2116,$AD$1:$AE$15,2,FALSE))</f>
        <v>0</v>
      </c>
      <c r="V2116" s="6">
        <f t="shared" ref="V2116:V2179" si="340">IF(AND(YEAR(F2116)=$Y$1,K2116=$C$1,L2116&amp;$V$1&lt;&gt;$V$1),L2116,IF(AND(YEAR(F2116)=$Y$1,K2116=$C$1),1,0))</f>
        <v>0</v>
      </c>
      <c r="Y2116" s="8">
        <f t="shared" ref="Y2116:Y2179" si="341">IF(M2116&lt;&gt;$AI$1,$Y$2,F2115)</f>
        <v>46023</v>
      </c>
    </row>
    <row r="2117" spans="2:25" ht="18.75" x14ac:dyDescent="0.3">
      <c r="B2117" s="6">
        <f t="shared" si="333"/>
        <v>0</v>
      </c>
      <c r="C2117" s="6">
        <f t="shared" si="334"/>
        <v>0</v>
      </c>
      <c r="D2117" s="6" t="str">
        <f t="shared" si="335"/>
        <v/>
      </c>
      <c r="E2117" s="35" t="str">
        <f t="shared" si="332"/>
        <v/>
      </c>
      <c r="F2117" s="31"/>
      <c r="G2117" s="29"/>
      <c r="H2117" s="78" t="str">
        <f t="shared" si="336"/>
        <v/>
      </c>
      <c r="I2117" s="25"/>
      <c r="J2117" s="25"/>
      <c r="K2117" s="26"/>
      <c r="L2117" s="26"/>
      <c r="M2117" s="37"/>
      <c r="N2117" s="27"/>
      <c r="O2117" s="30"/>
      <c r="P2117" s="39" t="str">
        <f t="shared" si="337"/>
        <v/>
      </c>
      <c r="Q2117" s="40" t="str">
        <f>IF(OR(T2117=0,RIGHT(T2117,1)=$W$1),"",COUNTIF($T$3:T2117,T2117))</f>
        <v/>
      </c>
      <c r="S2117" s="6">
        <f t="shared" si="338"/>
        <v>0</v>
      </c>
      <c r="T2117" s="36">
        <f t="shared" si="339"/>
        <v>0</v>
      </c>
      <c r="V2117" s="6">
        <f t="shared" si="340"/>
        <v>0</v>
      </c>
      <c r="Y2117" s="8">
        <f t="shared" si="341"/>
        <v>46023</v>
      </c>
    </row>
    <row r="2118" spans="2:25" ht="18.75" x14ac:dyDescent="0.3">
      <c r="B2118" s="6">
        <f t="shared" si="333"/>
        <v>0</v>
      </c>
      <c r="C2118" s="6">
        <f t="shared" si="334"/>
        <v>0</v>
      </c>
      <c r="D2118" s="6" t="str">
        <f t="shared" si="335"/>
        <v/>
      </c>
      <c r="E2118" s="35" t="str">
        <f t="shared" si="332"/>
        <v/>
      </c>
      <c r="F2118" s="31"/>
      <c r="G2118" s="29"/>
      <c r="H2118" s="78" t="str">
        <f t="shared" si="336"/>
        <v/>
      </c>
      <c r="I2118" s="25"/>
      <c r="J2118" s="25"/>
      <c r="K2118" s="26"/>
      <c r="L2118" s="26"/>
      <c r="M2118" s="37"/>
      <c r="N2118" s="27"/>
      <c r="O2118" s="30"/>
      <c r="P2118" s="39" t="str">
        <f t="shared" si="337"/>
        <v/>
      </c>
      <c r="Q2118" s="40" t="str">
        <f>IF(OR(T2118=0,RIGHT(T2118,1)=$W$1),"",COUNTIF($T$3:T2118,T2118))</f>
        <v/>
      </c>
      <c r="S2118" s="6">
        <f t="shared" si="338"/>
        <v>0</v>
      </c>
      <c r="T2118" s="36">
        <f t="shared" si="339"/>
        <v>0</v>
      </c>
      <c r="V2118" s="6">
        <f t="shared" si="340"/>
        <v>0</v>
      </c>
      <c r="Y2118" s="8">
        <f t="shared" si="341"/>
        <v>46023</v>
      </c>
    </row>
    <row r="2119" spans="2:25" ht="18.75" x14ac:dyDescent="0.3">
      <c r="B2119" s="6">
        <f t="shared" si="333"/>
        <v>0</v>
      </c>
      <c r="C2119" s="6">
        <f t="shared" si="334"/>
        <v>0</v>
      </c>
      <c r="D2119" s="6" t="str">
        <f t="shared" si="335"/>
        <v/>
      </c>
      <c r="E2119" s="35" t="str">
        <f t="shared" si="332"/>
        <v/>
      </c>
      <c r="F2119" s="31"/>
      <c r="G2119" s="29"/>
      <c r="H2119" s="78" t="str">
        <f t="shared" si="336"/>
        <v/>
      </c>
      <c r="I2119" s="25"/>
      <c r="J2119" s="25"/>
      <c r="K2119" s="26"/>
      <c r="L2119" s="26"/>
      <c r="M2119" s="37"/>
      <c r="N2119" s="27"/>
      <c r="O2119" s="30"/>
      <c r="P2119" s="39" t="str">
        <f t="shared" si="337"/>
        <v/>
      </c>
      <c r="Q2119" s="40" t="str">
        <f>IF(OR(T2119=0,RIGHT(T2119,1)=$W$1),"",COUNTIF($T$3:T2119,T2119))</f>
        <v/>
      </c>
      <c r="S2119" s="6">
        <f t="shared" si="338"/>
        <v>0</v>
      </c>
      <c r="T2119" s="36">
        <f t="shared" si="339"/>
        <v>0</v>
      </c>
      <c r="V2119" s="6">
        <f t="shared" si="340"/>
        <v>0</v>
      </c>
      <c r="Y2119" s="8">
        <f t="shared" si="341"/>
        <v>46023</v>
      </c>
    </row>
    <row r="2120" spans="2:25" ht="18.75" x14ac:dyDescent="0.3">
      <c r="B2120" s="6">
        <f t="shared" si="333"/>
        <v>0</v>
      </c>
      <c r="C2120" s="6">
        <f t="shared" si="334"/>
        <v>0</v>
      </c>
      <c r="D2120" s="6" t="str">
        <f t="shared" si="335"/>
        <v/>
      </c>
      <c r="E2120" s="35" t="str">
        <f t="shared" si="332"/>
        <v/>
      </c>
      <c r="F2120" s="31"/>
      <c r="G2120" s="29"/>
      <c r="H2120" s="78" t="str">
        <f t="shared" si="336"/>
        <v/>
      </c>
      <c r="I2120" s="25"/>
      <c r="J2120" s="25"/>
      <c r="K2120" s="26"/>
      <c r="L2120" s="26"/>
      <c r="M2120" s="37"/>
      <c r="N2120" s="27"/>
      <c r="O2120" s="30"/>
      <c r="P2120" s="39" t="str">
        <f t="shared" si="337"/>
        <v/>
      </c>
      <c r="Q2120" s="40" t="str">
        <f>IF(OR(T2120=0,RIGHT(T2120,1)=$W$1),"",COUNTIF($T$3:T2120,T2120))</f>
        <v/>
      </c>
      <c r="S2120" s="6">
        <f t="shared" si="338"/>
        <v>0</v>
      </c>
      <c r="T2120" s="36">
        <f t="shared" si="339"/>
        <v>0</v>
      </c>
      <c r="V2120" s="6">
        <f t="shared" si="340"/>
        <v>0</v>
      </c>
      <c r="Y2120" s="8">
        <f t="shared" si="341"/>
        <v>46023</v>
      </c>
    </row>
    <row r="2121" spans="2:25" ht="18.75" x14ac:dyDescent="0.3">
      <c r="B2121" s="6">
        <f t="shared" si="333"/>
        <v>0</v>
      </c>
      <c r="C2121" s="6">
        <f t="shared" si="334"/>
        <v>0</v>
      </c>
      <c r="D2121" s="6" t="str">
        <f t="shared" si="335"/>
        <v/>
      </c>
      <c r="E2121" s="35" t="str">
        <f t="shared" si="332"/>
        <v/>
      </c>
      <c r="F2121" s="31"/>
      <c r="G2121" s="29"/>
      <c r="H2121" s="78" t="str">
        <f t="shared" si="336"/>
        <v/>
      </c>
      <c r="I2121" s="25"/>
      <c r="J2121" s="25"/>
      <c r="K2121" s="26"/>
      <c r="L2121" s="26"/>
      <c r="M2121" s="37"/>
      <c r="N2121" s="27"/>
      <c r="O2121" s="30"/>
      <c r="P2121" s="39" t="str">
        <f t="shared" si="337"/>
        <v/>
      </c>
      <c r="Q2121" s="40" t="str">
        <f>IF(OR(T2121=0,RIGHT(T2121,1)=$W$1),"",COUNTIF($T$3:T2121,T2121))</f>
        <v/>
      </c>
      <c r="S2121" s="6">
        <f t="shared" si="338"/>
        <v>0</v>
      </c>
      <c r="T2121" s="36">
        <f t="shared" si="339"/>
        <v>0</v>
      </c>
      <c r="V2121" s="6">
        <f t="shared" si="340"/>
        <v>0</v>
      </c>
      <c r="Y2121" s="8">
        <f t="shared" si="341"/>
        <v>46023</v>
      </c>
    </row>
    <row r="2122" spans="2:25" ht="18.75" x14ac:dyDescent="0.3">
      <c r="B2122" s="6">
        <f t="shared" si="333"/>
        <v>0</v>
      </c>
      <c r="C2122" s="6">
        <f t="shared" si="334"/>
        <v>0</v>
      </c>
      <c r="D2122" s="6" t="str">
        <f t="shared" si="335"/>
        <v/>
      </c>
      <c r="E2122" s="35" t="str">
        <f t="shared" si="332"/>
        <v/>
      </c>
      <c r="F2122" s="31"/>
      <c r="G2122" s="29"/>
      <c r="H2122" s="78" t="str">
        <f t="shared" si="336"/>
        <v/>
      </c>
      <c r="I2122" s="25"/>
      <c r="J2122" s="25"/>
      <c r="K2122" s="26"/>
      <c r="L2122" s="26"/>
      <c r="M2122" s="37"/>
      <c r="N2122" s="27"/>
      <c r="O2122" s="30"/>
      <c r="P2122" s="39" t="str">
        <f t="shared" si="337"/>
        <v/>
      </c>
      <c r="Q2122" s="40" t="str">
        <f>IF(OR(T2122=0,RIGHT(T2122,1)=$W$1),"",COUNTIF($T$3:T2122,T2122))</f>
        <v/>
      </c>
      <c r="S2122" s="6">
        <f t="shared" si="338"/>
        <v>0</v>
      </c>
      <c r="T2122" s="36">
        <f t="shared" si="339"/>
        <v>0</v>
      </c>
      <c r="V2122" s="6">
        <f t="shared" si="340"/>
        <v>0</v>
      </c>
      <c r="Y2122" s="8">
        <f t="shared" si="341"/>
        <v>46023</v>
      </c>
    </row>
    <row r="2123" spans="2:25" ht="18.75" x14ac:dyDescent="0.3">
      <c r="B2123" s="6">
        <f t="shared" si="333"/>
        <v>0</v>
      </c>
      <c r="C2123" s="6">
        <f t="shared" si="334"/>
        <v>0</v>
      </c>
      <c r="D2123" s="6" t="str">
        <f t="shared" si="335"/>
        <v/>
      </c>
      <c r="E2123" s="35" t="str">
        <f t="shared" si="332"/>
        <v/>
      </c>
      <c r="F2123" s="31"/>
      <c r="G2123" s="29"/>
      <c r="H2123" s="78" t="str">
        <f t="shared" si="336"/>
        <v/>
      </c>
      <c r="I2123" s="25"/>
      <c r="J2123" s="25"/>
      <c r="K2123" s="26"/>
      <c r="L2123" s="26"/>
      <c r="M2123" s="37"/>
      <c r="N2123" s="27"/>
      <c r="O2123" s="30"/>
      <c r="P2123" s="39" t="str">
        <f t="shared" si="337"/>
        <v/>
      </c>
      <c r="Q2123" s="40" t="str">
        <f>IF(OR(T2123=0,RIGHT(T2123,1)=$W$1),"",COUNTIF($T$3:T2123,T2123))</f>
        <v/>
      </c>
      <c r="S2123" s="6">
        <f t="shared" si="338"/>
        <v>0</v>
      </c>
      <c r="T2123" s="36">
        <f t="shared" si="339"/>
        <v>0</v>
      </c>
      <c r="V2123" s="6">
        <f t="shared" si="340"/>
        <v>0</v>
      </c>
      <c r="Y2123" s="8">
        <f t="shared" si="341"/>
        <v>46023</v>
      </c>
    </row>
    <row r="2124" spans="2:25" ht="18.75" x14ac:dyDescent="0.3">
      <c r="B2124" s="6">
        <f t="shared" si="333"/>
        <v>0</v>
      </c>
      <c r="C2124" s="6">
        <f t="shared" si="334"/>
        <v>0</v>
      </c>
      <c r="D2124" s="6" t="str">
        <f t="shared" si="335"/>
        <v/>
      </c>
      <c r="E2124" s="35" t="str">
        <f t="shared" si="332"/>
        <v/>
      </c>
      <c r="F2124" s="31"/>
      <c r="G2124" s="29"/>
      <c r="H2124" s="78" t="str">
        <f t="shared" si="336"/>
        <v/>
      </c>
      <c r="I2124" s="25"/>
      <c r="J2124" s="25"/>
      <c r="K2124" s="26"/>
      <c r="L2124" s="26"/>
      <c r="M2124" s="37"/>
      <c r="N2124" s="27"/>
      <c r="O2124" s="30"/>
      <c r="P2124" s="39" t="str">
        <f t="shared" si="337"/>
        <v/>
      </c>
      <c r="Q2124" s="40" t="str">
        <f>IF(OR(T2124=0,RIGHT(T2124,1)=$W$1),"",COUNTIF($T$3:T2124,T2124))</f>
        <v/>
      </c>
      <c r="S2124" s="6">
        <f t="shared" si="338"/>
        <v>0</v>
      </c>
      <c r="T2124" s="36">
        <f t="shared" si="339"/>
        <v>0</v>
      </c>
      <c r="V2124" s="6">
        <f t="shared" si="340"/>
        <v>0</v>
      </c>
      <c r="Y2124" s="8">
        <f t="shared" si="341"/>
        <v>46023</v>
      </c>
    </row>
    <row r="2125" spans="2:25" ht="18.75" x14ac:dyDescent="0.3">
      <c r="B2125" s="6">
        <f t="shared" si="333"/>
        <v>0</v>
      </c>
      <c r="C2125" s="6">
        <f t="shared" si="334"/>
        <v>0</v>
      </c>
      <c r="D2125" s="6" t="str">
        <f t="shared" si="335"/>
        <v/>
      </c>
      <c r="E2125" s="35" t="str">
        <f t="shared" si="332"/>
        <v/>
      </c>
      <c r="F2125" s="31"/>
      <c r="G2125" s="29"/>
      <c r="H2125" s="78" t="str">
        <f t="shared" si="336"/>
        <v/>
      </c>
      <c r="I2125" s="25"/>
      <c r="J2125" s="25"/>
      <c r="K2125" s="26"/>
      <c r="L2125" s="26"/>
      <c r="M2125" s="37"/>
      <c r="N2125" s="27"/>
      <c r="O2125" s="30"/>
      <c r="P2125" s="39" t="str">
        <f t="shared" si="337"/>
        <v/>
      </c>
      <c r="Q2125" s="40" t="str">
        <f>IF(OR(T2125=0,RIGHT(T2125,1)=$W$1),"",COUNTIF($T$3:T2125,T2125))</f>
        <v/>
      </c>
      <c r="S2125" s="6">
        <f t="shared" si="338"/>
        <v>0</v>
      </c>
      <c r="T2125" s="36">
        <f t="shared" si="339"/>
        <v>0</v>
      </c>
      <c r="V2125" s="6">
        <f t="shared" si="340"/>
        <v>0</v>
      </c>
      <c r="Y2125" s="8">
        <f t="shared" si="341"/>
        <v>46023</v>
      </c>
    </row>
    <row r="2126" spans="2:25" ht="18.75" x14ac:dyDescent="0.3">
      <c r="B2126" s="6">
        <f t="shared" si="333"/>
        <v>0</v>
      </c>
      <c r="C2126" s="6">
        <f t="shared" si="334"/>
        <v>0</v>
      </c>
      <c r="D2126" s="6" t="str">
        <f t="shared" si="335"/>
        <v/>
      </c>
      <c r="E2126" s="35" t="str">
        <f t="shared" si="332"/>
        <v/>
      </c>
      <c r="F2126" s="31"/>
      <c r="G2126" s="29"/>
      <c r="H2126" s="78" t="str">
        <f t="shared" si="336"/>
        <v/>
      </c>
      <c r="I2126" s="25"/>
      <c r="J2126" s="25"/>
      <c r="K2126" s="26"/>
      <c r="L2126" s="26"/>
      <c r="M2126" s="37"/>
      <c r="N2126" s="27"/>
      <c r="O2126" s="30"/>
      <c r="P2126" s="39" t="str">
        <f t="shared" si="337"/>
        <v/>
      </c>
      <c r="Q2126" s="40" t="str">
        <f>IF(OR(T2126=0,RIGHT(T2126,1)=$W$1),"",COUNTIF($T$3:T2126,T2126))</f>
        <v/>
      </c>
      <c r="S2126" s="6">
        <f t="shared" si="338"/>
        <v>0</v>
      </c>
      <c r="T2126" s="36">
        <f t="shared" si="339"/>
        <v>0</v>
      </c>
      <c r="V2126" s="6">
        <f t="shared" si="340"/>
        <v>0</v>
      </c>
      <c r="Y2126" s="8">
        <f t="shared" si="341"/>
        <v>46023</v>
      </c>
    </row>
    <row r="2127" spans="2:25" ht="18.75" x14ac:dyDescent="0.3">
      <c r="B2127" s="6">
        <f t="shared" si="333"/>
        <v>0</v>
      </c>
      <c r="C2127" s="6">
        <f t="shared" si="334"/>
        <v>0</v>
      </c>
      <c r="D2127" s="6" t="str">
        <f t="shared" si="335"/>
        <v/>
      </c>
      <c r="E2127" s="35" t="str">
        <f t="shared" si="332"/>
        <v/>
      </c>
      <c r="F2127" s="31"/>
      <c r="G2127" s="29"/>
      <c r="H2127" s="78" t="str">
        <f t="shared" si="336"/>
        <v/>
      </c>
      <c r="I2127" s="25"/>
      <c r="J2127" s="25"/>
      <c r="K2127" s="26"/>
      <c r="L2127" s="26"/>
      <c r="M2127" s="37"/>
      <c r="N2127" s="27"/>
      <c r="O2127" s="30"/>
      <c r="P2127" s="39" t="str">
        <f t="shared" si="337"/>
        <v/>
      </c>
      <c r="Q2127" s="40" t="str">
        <f>IF(OR(T2127=0,RIGHT(T2127,1)=$W$1),"",COUNTIF($T$3:T2127,T2127))</f>
        <v/>
      </c>
      <c r="S2127" s="6">
        <f t="shared" si="338"/>
        <v>0</v>
      </c>
      <c r="T2127" s="36">
        <f t="shared" si="339"/>
        <v>0</v>
      </c>
      <c r="V2127" s="6">
        <f t="shared" si="340"/>
        <v>0</v>
      </c>
      <c r="Y2127" s="8">
        <f t="shared" si="341"/>
        <v>46023</v>
      </c>
    </row>
    <row r="2128" spans="2:25" ht="18.75" x14ac:dyDescent="0.3">
      <c r="B2128" s="6">
        <f t="shared" si="333"/>
        <v>0</v>
      </c>
      <c r="C2128" s="6">
        <f t="shared" si="334"/>
        <v>0</v>
      </c>
      <c r="D2128" s="6" t="str">
        <f t="shared" si="335"/>
        <v/>
      </c>
      <c r="E2128" s="35" t="str">
        <f t="shared" si="332"/>
        <v/>
      </c>
      <c r="F2128" s="31"/>
      <c r="G2128" s="29"/>
      <c r="H2128" s="78" t="str">
        <f t="shared" si="336"/>
        <v/>
      </c>
      <c r="I2128" s="25"/>
      <c r="J2128" s="25"/>
      <c r="K2128" s="26"/>
      <c r="L2128" s="26"/>
      <c r="M2128" s="37"/>
      <c r="N2128" s="27"/>
      <c r="O2128" s="30"/>
      <c r="P2128" s="39" t="str">
        <f t="shared" si="337"/>
        <v/>
      </c>
      <c r="Q2128" s="40" t="str">
        <f>IF(OR(T2128=0,RIGHT(T2128,1)=$W$1),"",COUNTIF($T$3:T2128,T2128))</f>
        <v/>
      </c>
      <c r="S2128" s="6">
        <f t="shared" si="338"/>
        <v>0</v>
      </c>
      <c r="T2128" s="36">
        <f t="shared" si="339"/>
        <v>0</v>
      </c>
      <c r="V2128" s="6">
        <f t="shared" si="340"/>
        <v>0</v>
      </c>
      <c r="Y2128" s="8">
        <f t="shared" si="341"/>
        <v>46023</v>
      </c>
    </row>
    <row r="2129" spans="2:25" ht="18.75" x14ac:dyDescent="0.3">
      <c r="B2129" s="6">
        <f t="shared" si="333"/>
        <v>0</v>
      </c>
      <c r="C2129" s="6">
        <f t="shared" si="334"/>
        <v>0</v>
      </c>
      <c r="D2129" s="6" t="str">
        <f t="shared" si="335"/>
        <v/>
      </c>
      <c r="E2129" s="35" t="str">
        <f t="shared" si="332"/>
        <v/>
      </c>
      <c r="F2129" s="31"/>
      <c r="G2129" s="29"/>
      <c r="H2129" s="78" t="str">
        <f t="shared" si="336"/>
        <v/>
      </c>
      <c r="I2129" s="25"/>
      <c r="J2129" s="25"/>
      <c r="K2129" s="26"/>
      <c r="L2129" s="26"/>
      <c r="M2129" s="37"/>
      <c r="N2129" s="27"/>
      <c r="O2129" s="30"/>
      <c r="P2129" s="39" t="str">
        <f t="shared" si="337"/>
        <v/>
      </c>
      <c r="Q2129" s="40" t="str">
        <f>IF(OR(T2129=0,RIGHT(T2129,1)=$W$1),"",COUNTIF($T$3:T2129,T2129))</f>
        <v/>
      </c>
      <c r="S2129" s="6">
        <f t="shared" si="338"/>
        <v>0</v>
      </c>
      <c r="T2129" s="36">
        <f t="shared" si="339"/>
        <v>0</v>
      </c>
      <c r="V2129" s="6">
        <f t="shared" si="340"/>
        <v>0</v>
      </c>
      <c r="Y2129" s="8">
        <f t="shared" si="341"/>
        <v>46023</v>
      </c>
    </row>
    <row r="2130" spans="2:25" ht="18.75" x14ac:dyDescent="0.3">
      <c r="B2130" s="6">
        <f t="shared" si="333"/>
        <v>0</v>
      </c>
      <c r="C2130" s="6">
        <f t="shared" si="334"/>
        <v>0</v>
      </c>
      <c r="D2130" s="6" t="str">
        <f t="shared" si="335"/>
        <v/>
      </c>
      <c r="E2130" s="35" t="str">
        <f t="shared" si="332"/>
        <v/>
      </c>
      <c r="F2130" s="31"/>
      <c r="G2130" s="29"/>
      <c r="H2130" s="78" t="str">
        <f t="shared" si="336"/>
        <v/>
      </c>
      <c r="I2130" s="25"/>
      <c r="J2130" s="25"/>
      <c r="K2130" s="26"/>
      <c r="L2130" s="26"/>
      <c r="M2130" s="37"/>
      <c r="N2130" s="27"/>
      <c r="O2130" s="30"/>
      <c r="P2130" s="39" t="str">
        <f t="shared" si="337"/>
        <v/>
      </c>
      <c r="Q2130" s="40" t="str">
        <f>IF(OR(T2130=0,RIGHT(T2130,1)=$W$1),"",COUNTIF($T$3:T2130,T2130))</f>
        <v/>
      </c>
      <c r="S2130" s="6">
        <f t="shared" si="338"/>
        <v>0</v>
      </c>
      <c r="T2130" s="36">
        <f t="shared" si="339"/>
        <v>0</v>
      </c>
      <c r="V2130" s="6">
        <f t="shared" si="340"/>
        <v>0</v>
      </c>
      <c r="Y2130" s="8">
        <f t="shared" si="341"/>
        <v>46023</v>
      </c>
    </row>
    <row r="2131" spans="2:25" ht="18.75" x14ac:dyDescent="0.3">
      <c r="B2131" s="6">
        <f t="shared" si="333"/>
        <v>0</v>
      </c>
      <c r="C2131" s="6">
        <f t="shared" si="334"/>
        <v>0</v>
      </c>
      <c r="D2131" s="6" t="str">
        <f t="shared" si="335"/>
        <v/>
      </c>
      <c r="E2131" s="35" t="str">
        <f t="shared" si="332"/>
        <v/>
      </c>
      <c r="F2131" s="31"/>
      <c r="G2131" s="29"/>
      <c r="H2131" s="78" t="str">
        <f t="shared" si="336"/>
        <v/>
      </c>
      <c r="I2131" s="25"/>
      <c r="J2131" s="25"/>
      <c r="K2131" s="26"/>
      <c r="L2131" s="26"/>
      <c r="M2131" s="37"/>
      <c r="N2131" s="27"/>
      <c r="O2131" s="30"/>
      <c r="P2131" s="39" t="str">
        <f t="shared" si="337"/>
        <v/>
      </c>
      <c r="Q2131" s="40" t="str">
        <f>IF(OR(T2131=0,RIGHT(T2131,1)=$W$1),"",COUNTIF($T$3:T2131,T2131))</f>
        <v/>
      </c>
      <c r="S2131" s="6">
        <f t="shared" si="338"/>
        <v>0</v>
      </c>
      <c r="T2131" s="36">
        <f t="shared" si="339"/>
        <v>0</v>
      </c>
      <c r="V2131" s="6">
        <f t="shared" si="340"/>
        <v>0</v>
      </c>
      <c r="Y2131" s="8">
        <f t="shared" si="341"/>
        <v>46023</v>
      </c>
    </row>
    <row r="2132" spans="2:25" ht="18.75" x14ac:dyDescent="0.3">
      <c r="B2132" s="6">
        <f t="shared" si="333"/>
        <v>0</v>
      </c>
      <c r="C2132" s="6">
        <f t="shared" si="334"/>
        <v>0</v>
      </c>
      <c r="D2132" s="6" t="str">
        <f t="shared" si="335"/>
        <v/>
      </c>
      <c r="E2132" s="35" t="str">
        <f t="shared" si="332"/>
        <v/>
      </c>
      <c r="F2132" s="31"/>
      <c r="G2132" s="29"/>
      <c r="H2132" s="78" t="str">
        <f t="shared" si="336"/>
        <v/>
      </c>
      <c r="I2132" s="25"/>
      <c r="J2132" s="25"/>
      <c r="K2132" s="26"/>
      <c r="L2132" s="26"/>
      <c r="M2132" s="37"/>
      <c r="N2132" s="27"/>
      <c r="O2132" s="30"/>
      <c r="P2132" s="39" t="str">
        <f t="shared" si="337"/>
        <v/>
      </c>
      <c r="Q2132" s="40" t="str">
        <f>IF(OR(T2132=0,RIGHT(T2132,1)=$W$1),"",COUNTIF($T$3:T2132,T2132))</f>
        <v/>
      </c>
      <c r="S2132" s="6">
        <f t="shared" si="338"/>
        <v>0</v>
      </c>
      <c r="T2132" s="36">
        <f t="shared" si="339"/>
        <v>0</v>
      </c>
      <c r="V2132" s="6">
        <f t="shared" si="340"/>
        <v>0</v>
      </c>
      <c r="Y2132" s="8">
        <f t="shared" si="341"/>
        <v>46023</v>
      </c>
    </row>
    <row r="2133" spans="2:25" ht="18.75" x14ac:dyDescent="0.3">
      <c r="B2133" s="6">
        <f t="shared" si="333"/>
        <v>0</v>
      </c>
      <c r="C2133" s="6">
        <f t="shared" si="334"/>
        <v>0</v>
      </c>
      <c r="D2133" s="6" t="str">
        <f t="shared" si="335"/>
        <v/>
      </c>
      <c r="E2133" s="35" t="str">
        <f t="shared" si="332"/>
        <v/>
      </c>
      <c r="F2133" s="31"/>
      <c r="G2133" s="29"/>
      <c r="H2133" s="78" t="str">
        <f t="shared" si="336"/>
        <v/>
      </c>
      <c r="I2133" s="25"/>
      <c r="J2133" s="25"/>
      <c r="K2133" s="26"/>
      <c r="L2133" s="26"/>
      <c r="M2133" s="37"/>
      <c r="N2133" s="27"/>
      <c r="O2133" s="30"/>
      <c r="P2133" s="39" t="str">
        <f t="shared" si="337"/>
        <v/>
      </c>
      <c r="Q2133" s="40" t="str">
        <f>IF(OR(T2133=0,RIGHT(T2133,1)=$W$1),"",COUNTIF($T$3:T2133,T2133))</f>
        <v/>
      </c>
      <c r="S2133" s="6">
        <f t="shared" si="338"/>
        <v>0</v>
      </c>
      <c r="T2133" s="36">
        <f t="shared" si="339"/>
        <v>0</v>
      </c>
      <c r="V2133" s="6">
        <f t="shared" si="340"/>
        <v>0</v>
      </c>
      <c r="Y2133" s="8">
        <f t="shared" si="341"/>
        <v>46023</v>
      </c>
    </row>
    <row r="2134" spans="2:25" ht="18.75" x14ac:dyDescent="0.3">
      <c r="B2134" s="6">
        <f t="shared" si="333"/>
        <v>0</v>
      </c>
      <c r="C2134" s="6">
        <f t="shared" si="334"/>
        <v>0</v>
      </c>
      <c r="D2134" s="6" t="str">
        <f t="shared" si="335"/>
        <v/>
      </c>
      <c r="E2134" s="35" t="str">
        <f t="shared" si="332"/>
        <v/>
      </c>
      <c r="F2134" s="31"/>
      <c r="G2134" s="29"/>
      <c r="H2134" s="78" t="str">
        <f t="shared" si="336"/>
        <v/>
      </c>
      <c r="I2134" s="25"/>
      <c r="J2134" s="25"/>
      <c r="K2134" s="26"/>
      <c r="L2134" s="26"/>
      <c r="M2134" s="37"/>
      <c r="N2134" s="27"/>
      <c r="O2134" s="30"/>
      <c r="P2134" s="39" t="str">
        <f t="shared" si="337"/>
        <v/>
      </c>
      <c r="Q2134" s="40" t="str">
        <f>IF(OR(T2134=0,RIGHT(T2134,1)=$W$1),"",COUNTIF($T$3:T2134,T2134))</f>
        <v/>
      </c>
      <c r="S2134" s="6">
        <f t="shared" si="338"/>
        <v>0</v>
      </c>
      <c r="T2134" s="36">
        <f t="shared" si="339"/>
        <v>0</v>
      </c>
      <c r="V2134" s="6">
        <f t="shared" si="340"/>
        <v>0</v>
      </c>
      <c r="Y2134" s="8">
        <f t="shared" si="341"/>
        <v>46023</v>
      </c>
    </row>
    <row r="2135" spans="2:25" ht="18.75" x14ac:dyDescent="0.3">
      <c r="B2135" s="6">
        <f t="shared" si="333"/>
        <v>0</v>
      </c>
      <c r="C2135" s="6">
        <f t="shared" si="334"/>
        <v>0</v>
      </c>
      <c r="D2135" s="6" t="str">
        <f t="shared" si="335"/>
        <v/>
      </c>
      <c r="E2135" s="35" t="str">
        <f t="shared" si="332"/>
        <v/>
      </c>
      <c r="F2135" s="31"/>
      <c r="G2135" s="29"/>
      <c r="H2135" s="78" t="str">
        <f t="shared" si="336"/>
        <v/>
      </c>
      <c r="I2135" s="25"/>
      <c r="J2135" s="25"/>
      <c r="K2135" s="26"/>
      <c r="L2135" s="26"/>
      <c r="M2135" s="37"/>
      <c r="N2135" s="27"/>
      <c r="O2135" s="30"/>
      <c r="P2135" s="39" t="str">
        <f t="shared" si="337"/>
        <v/>
      </c>
      <c r="Q2135" s="40" t="str">
        <f>IF(OR(T2135=0,RIGHT(T2135,1)=$W$1),"",COUNTIF($T$3:T2135,T2135))</f>
        <v/>
      </c>
      <c r="S2135" s="6">
        <f t="shared" si="338"/>
        <v>0</v>
      </c>
      <c r="T2135" s="36">
        <f t="shared" si="339"/>
        <v>0</v>
      </c>
      <c r="V2135" s="6">
        <f t="shared" si="340"/>
        <v>0</v>
      </c>
      <c r="Y2135" s="8">
        <f t="shared" si="341"/>
        <v>46023</v>
      </c>
    </row>
    <row r="2136" spans="2:25" ht="18.75" x14ac:dyDescent="0.3">
      <c r="B2136" s="6">
        <f t="shared" si="333"/>
        <v>0</v>
      </c>
      <c r="C2136" s="6">
        <f t="shared" si="334"/>
        <v>0</v>
      </c>
      <c r="D2136" s="6" t="str">
        <f t="shared" si="335"/>
        <v/>
      </c>
      <c r="E2136" s="35" t="str">
        <f t="shared" si="332"/>
        <v/>
      </c>
      <c r="F2136" s="31"/>
      <c r="G2136" s="29"/>
      <c r="H2136" s="78" t="str">
        <f t="shared" si="336"/>
        <v/>
      </c>
      <c r="I2136" s="25"/>
      <c r="J2136" s="25"/>
      <c r="K2136" s="26"/>
      <c r="L2136" s="26"/>
      <c r="M2136" s="37"/>
      <c r="N2136" s="27"/>
      <c r="O2136" s="30"/>
      <c r="P2136" s="39" t="str">
        <f t="shared" si="337"/>
        <v/>
      </c>
      <c r="Q2136" s="40" t="str">
        <f>IF(OR(T2136=0,RIGHT(T2136,1)=$W$1),"",COUNTIF($T$3:T2136,T2136))</f>
        <v/>
      </c>
      <c r="S2136" s="6">
        <f t="shared" si="338"/>
        <v>0</v>
      </c>
      <c r="T2136" s="36">
        <f t="shared" si="339"/>
        <v>0</v>
      </c>
      <c r="V2136" s="6">
        <f t="shared" si="340"/>
        <v>0</v>
      </c>
      <c r="Y2136" s="8">
        <f t="shared" si="341"/>
        <v>46023</v>
      </c>
    </row>
    <row r="2137" spans="2:25" ht="18.75" x14ac:dyDescent="0.3">
      <c r="B2137" s="6">
        <f t="shared" si="333"/>
        <v>0</v>
      </c>
      <c r="C2137" s="6">
        <f t="shared" si="334"/>
        <v>0</v>
      </c>
      <c r="D2137" s="6" t="str">
        <f t="shared" si="335"/>
        <v/>
      </c>
      <c r="E2137" s="35" t="str">
        <f t="shared" si="332"/>
        <v/>
      </c>
      <c r="F2137" s="31"/>
      <c r="G2137" s="29"/>
      <c r="H2137" s="78" t="str">
        <f t="shared" si="336"/>
        <v/>
      </c>
      <c r="I2137" s="25"/>
      <c r="J2137" s="25"/>
      <c r="K2137" s="26"/>
      <c r="L2137" s="26"/>
      <c r="M2137" s="37"/>
      <c r="N2137" s="27"/>
      <c r="O2137" s="30"/>
      <c r="P2137" s="39" t="str">
        <f t="shared" si="337"/>
        <v/>
      </c>
      <c r="Q2137" s="40" t="str">
        <f>IF(OR(T2137=0,RIGHT(T2137,1)=$W$1),"",COUNTIF($T$3:T2137,T2137))</f>
        <v/>
      </c>
      <c r="S2137" s="6">
        <f t="shared" si="338"/>
        <v>0</v>
      </c>
      <c r="T2137" s="36">
        <f t="shared" si="339"/>
        <v>0</v>
      </c>
      <c r="V2137" s="6">
        <f t="shared" si="340"/>
        <v>0</v>
      </c>
      <c r="Y2137" s="8">
        <f t="shared" si="341"/>
        <v>46023</v>
      </c>
    </row>
    <row r="2138" spans="2:25" ht="18.75" x14ac:dyDescent="0.3">
      <c r="B2138" s="6">
        <f t="shared" si="333"/>
        <v>0</v>
      </c>
      <c r="C2138" s="6">
        <f t="shared" si="334"/>
        <v>0</v>
      </c>
      <c r="D2138" s="6" t="str">
        <f t="shared" si="335"/>
        <v/>
      </c>
      <c r="E2138" s="35" t="str">
        <f t="shared" si="332"/>
        <v/>
      </c>
      <c r="F2138" s="31"/>
      <c r="G2138" s="29"/>
      <c r="H2138" s="78" t="str">
        <f t="shared" si="336"/>
        <v/>
      </c>
      <c r="I2138" s="25"/>
      <c r="J2138" s="25"/>
      <c r="K2138" s="26"/>
      <c r="L2138" s="26"/>
      <c r="M2138" s="37"/>
      <c r="N2138" s="27"/>
      <c r="O2138" s="30"/>
      <c r="P2138" s="39" t="str">
        <f t="shared" si="337"/>
        <v/>
      </c>
      <c r="Q2138" s="40" t="str">
        <f>IF(OR(T2138=0,RIGHT(T2138,1)=$W$1),"",COUNTIF($T$3:T2138,T2138))</f>
        <v/>
      </c>
      <c r="S2138" s="6">
        <f t="shared" si="338"/>
        <v>0</v>
      </c>
      <c r="T2138" s="36">
        <f t="shared" si="339"/>
        <v>0</v>
      </c>
      <c r="V2138" s="6">
        <f t="shared" si="340"/>
        <v>0</v>
      </c>
      <c r="Y2138" s="8">
        <f t="shared" si="341"/>
        <v>46023</v>
      </c>
    </row>
    <row r="2139" spans="2:25" ht="18.75" x14ac:dyDescent="0.3">
      <c r="B2139" s="6">
        <f t="shared" si="333"/>
        <v>0</v>
      </c>
      <c r="C2139" s="6">
        <f t="shared" si="334"/>
        <v>0</v>
      </c>
      <c r="D2139" s="6" t="str">
        <f t="shared" si="335"/>
        <v/>
      </c>
      <c r="E2139" s="35" t="str">
        <f t="shared" si="332"/>
        <v/>
      </c>
      <c r="F2139" s="31"/>
      <c r="G2139" s="29"/>
      <c r="H2139" s="78" t="str">
        <f t="shared" si="336"/>
        <v/>
      </c>
      <c r="I2139" s="25"/>
      <c r="J2139" s="25"/>
      <c r="K2139" s="26"/>
      <c r="L2139" s="26"/>
      <c r="M2139" s="37"/>
      <c r="N2139" s="27"/>
      <c r="O2139" s="30"/>
      <c r="P2139" s="39" t="str">
        <f t="shared" si="337"/>
        <v/>
      </c>
      <c r="Q2139" s="40" t="str">
        <f>IF(OR(T2139=0,RIGHT(T2139,1)=$W$1),"",COUNTIF($T$3:T2139,T2139))</f>
        <v/>
      </c>
      <c r="S2139" s="6">
        <f t="shared" si="338"/>
        <v>0</v>
      </c>
      <c r="T2139" s="36">
        <f t="shared" si="339"/>
        <v>0</v>
      </c>
      <c r="V2139" s="6">
        <f t="shared" si="340"/>
        <v>0</v>
      </c>
      <c r="Y2139" s="8">
        <f t="shared" si="341"/>
        <v>46023</v>
      </c>
    </row>
    <row r="2140" spans="2:25" ht="18.75" x14ac:dyDescent="0.3">
      <c r="B2140" s="6">
        <f t="shared" si="333"/>
        <v>0</v>
      </c>
      <c r="C2140" s="6">
        <f t="shared" si="334"/>
        <v>0</v>
      </c>
      <c r="D2140" s="6" t="str">
        <f t="shared" si="335"/>
        <v/>
      </c>
      <c r="E2140" s="35" t="str">
        <f t="shared" si="332"/>
        <v/>
      </c>
      <c r="F2140" s="31"/>
      <c r="G2140" s="29"/>
      <c r="H2140" s="78" t="str">
        <f t="shared" si="336"/>
        <v/>
      </c>
      <c r="I2140" s="25"/>
      <c r="J2140" s="25"/>
      <c r="K2140" s="26"/>
      <c r="L2140" s="26"/>
      <c r="M2140" s="37"/>
      <c r="N2140" s="27"/>
      <c r="O2140" s="30"/>
      <c r="P2140" s="39" t="str">
        <f t="shared" si="337"/>
        <v/>
      </c>
      <c r="Q2140" s="40" t="str">
        <f>IF(OR(T2140=0,RIGHT(T2140,1)=$W$1),"",COUNTIF($T$3:T2140,T2140))</f>
        <v/>
      </c>
      <c r="S2140" s="6">
        <f t="shared" si="338"/>
        <v>0</v>
      </c>
      <c r="T2140" s="36">
        <f t="shared" si="339"/>
        <v>0</v>
      </c>
      <c r="V2140" s="6">
        <f t="shared" si="340"/>
        <v>0</v>
      </c>
      <c r="Y2140" s="8">
        <f t="shared" si="341"/>
        <v>46023</v>
      </c>
    </row>
    <row r="2141" spans="2:25" ht="18.75" x14ac:dyDescent="0.3">
      <c r="B2141" s="6">
        <f t="shared" si="333"/>
        <v>0</v>
      </c>
      <c r="C2141" s="6">
        <f t="shared" si="334"/>
        <v>0</v>
      </c>
      <c r="D2141" s="6" t="str">
        <f t="shared" si="335"/>
        <v/>
      </c>
      <c r="E2141" s="35" t="str">
        <f t="shared" si="332"/>
        <v/>
      </c>
      <c r="F2141" s="31"/>
      <c r="G2141" s="29"/>
      <c r="H2141" s="78" t="str">
        <f t="shared" si="336"/>
        <v/>
      </c>
      <c r="I2141" s="25"/>
      <c r="J2141" s="25"/>
      <c r="K2141" s="26"/>
      <c r="L2141" s="26"/>
      <c r="M2141" s="37"/>
      <c r="N2141" s="27"/>
      <c r="O2141" s="30"/>
      <c r="P2141" s="39" t="str">
        <f t="shared" si="337"/>
        <v/>
      </c>
      <c r="Q2141" s="40" t="str">
        <f>IF(OR(T2141=0,RIGHT(T2141,1)=$W$1),"",COUNTIF($T$3:T2141,T2141))</f>
        <v/>
      </c>
      <c r="S2141" s="6">
        <f t="shared" si="338"/>
        <v>0</v>
      </c>
      <c r="T2141" s="36">
        <f t="shared" si="339"/>
        <v>0</v>
      </c>
      <c r="V2141" s="6">
        <f t="shared" si="340"/>
        <v>0</v>
      </c>
      <c r="Y2141" s="8">
        <f t="shared" si="341"/>
        <v>46023</v>
      </c>
    </row>
    <row r="2142" spans="2:25" ht="18.75" x14ac:dyDescent="0.3">
      <c r="B2142" s="6">
        <f t="shared" si="333"/>
        <v>0</v>
      </c>
      <c r="C2142" s="6">
        <f t="shared" si="334"/>
        <v>0</v>
      </c>
      <c r="D2142" s="6" t="str">
        <f t="shared" si="335"/>
        <v/>
      </c>
      <c r="E2142" s="35" t="str">
        <f t="shared" si="332"/>
        <v/>
      </c>
      <c r="F2142" s="31"/>
      <c r="G2142" s="29"/>
      <c r="H2142" s="78" t="str">
        <f t="shared" si="336"/>
        <v/>
      </c>
      <c r="I2142" s="25"/>
      <c r="J2142" s="25"/>
      <c r="K2142" s="26"/>
      <c r="L2142" s="26"/>
      <c r="M2142" s="37"/>
      <c r="N2142" s="27"/>
      <c r="O2142" s="30"/>
      <c r="P2142" s="39" t="str">
        <f t="shared" si="337"/>
        <v/>
      </c>
      <c r="Q2142" s="40" t="str">
        <f>IF(OR(T2142=0,RIGHT(T2142,1)=$W$1),"",COUNTIF($T$3:T2142,T2142))</f>
        <v/>
      </c>
      <c r="S2142" s="6">
        <f t="shared" si="338"/>
        <v>0</v>
      </c>
      <c r="T2142" s="36">
        <f t="shared" si="339"/>
        <v>0</v>
      </c>
      <c r="V2142" s="6">
        <f t="shared" si="340"/>
        <v>0</v>
      </c>
      <c r="Y2142" s="8">
        <f t="shared" si="341"/>
        <v>46023</v>
      </c>
    </row>
    <row r="2143" spans="2:25" ht="18.75" x14ac:dyDescent="0.3">
      <c r="B2143" s="6">
        <f t="shared" si="333"/>
        <v>0</v>
      </c>
      <c r="C2143" s="6">
        <f t="shared" si="334"/>
        <v>0</v>
      </c>
      <c r="D2143" s="6" t="str">
        <f t="shared" si="335"/>
        <v/>
      </c>
      <c r="E2143" s="35" t="str">
        <f t="shared" si="332"/>
        <v/>
      </c>
      <c r="F2143" s="31"/>
      <c r="G2143" s="29"/>
      <c r="H2143" s="78" t="str">
        <f t="shared" si="336"/>
        <v/>
      </c>
      <c r="I2143" s="25"/>
      <c r="J2143" s="25"/>
      <c r="K2143" s="26"/>
      <c r="L2143" s="26"/>
      <c r="M2143" s="37"/>
      <c r="N2143" s="27"/>
      <c r="O2143" s="30"/>
      <c r="P2143" s="39" t="str">
        <f t="shared" si="337"/>
        <v/>
      </c>
      <c r="Q2143" s="40" t="str">
        <f>IF(OR(T2143=0,RIGHT(T2143,1)=$W$1),"",COUNTIF($T$3:T2143,T2143))</f>
        <v/>
      </c>
      <c r="S2143" s="6">
        <f t="shared" si="338"/>
        <v>0</v>
      </c>
      <c r="T2143" s="36">
        <f t="shared" si="339"/>
        <v>0</v>
      </c>
      <c r="V2143" s="6">
        <f t="shared" si="340"/>
        <v>0</v>
      </c>
      <c r="Y2143" s="8">
        <f t="shared" si="341"/>
        <v>46023</v>
      </c>
    </row>
    <row r="2144" spans="2:25" ht="18.75" x14ac:dyDescent="0.3">
      <c r="B2144" s="6">
        <f t="shared" si="333"/>
        <v>0</v>
      </c>
      <c r="C2144" s="6">
        <f t="shared" si="334"/>
        <v>0</v>
      </c>
      <c r="D2144" s="6" t="str">
        <f t="shared" si="335"/>
        <v/>
      </c>
      <c r="E2144" s="35" t="str">
        <f t="shared" si="332"/>
        <v/>
      </c>
      <c r="F2144" s="31"/>
      <c r="G2144" s="29"/>
      <c r="H2144" s="78" t="str">
        <f t="shared" si="336"/>
        <v/>
      </c>
      <c r="I2144" s="25"/>
      <c r="J2144" s="25"/>
      <c r="K2144" s="26"/>
      <c r="L2144" s="26"/>
      <c r="M2144" s="37"/>
      <c r="N2144" s="27"/>
      <c r="O2144" s="30"/>
      <c r="P2144" s="39" t="str">
        <f t="shared" si="337"/>
        <v/>
      </c>
      <c r="Q2144" s="40" t="str">
        <f>IF(OR(T2144=0,RIGHT(T2144,1)=$W$1),"",COUNTIF($T$3:T2144,T2144))</f>
        <v/>
      </c>
      <c r="S2144" s="6">
        <f t="shared" si="338"/>
        <v>0</v>
      </c>
      <c r="T2144" s="36">
        <f t="shared" si="339"/>
        <v>0</v>
      </c>
      <c r="V2144" s="6">
        <f t="shared" si="340"/>
        <v>0</v>
      </c>
      <c r="Y2144" s="8">
        <f t="shared" si="341"/>
        <v>46023</v>
      </c>
    </row>
    <row r="2145" spans="2:25" ht="18.75" x14ac:dyDescent="0.3">
      <c r="B2145" s="6">
        <f t="shared" si="333"/>
        <v>0</v>
      </c>
      <c r="C2145" s="6">
        <f t="shared" si="334"/>
        <v>0</v>
      </c>
      <c r="D2145" s="6" t="str">
        <f t="shared" si="335"/>
        <v/>
      </c>
      <c r="E2145" s="35" t="str">
        <f t="shared" si="332"/>
        <v/>
      </c>
      <c r="F2145" s="31"/>
      <c r="G2145" s="29"/>
      <c r="H2145" s="78" t="str">
        <f t="shared" si="336"/>
        <v/>
      </c>
      <c r="I2145" s="25"/>
      <c r="J2145" s="25"/>
      <c r="K2145" s="26"/>
      <c r="L2145" s="26"/>
      <c r="M2145" s="37"/>
      <c r="N2145" s="27"/>
      <c r="O2145" s="30"/>
      <c r="P2145" s="39" t="str">
        <f t="shared" si="337"/>
        <v/>
      </c>
      <c r="Q2145" s="40" t="str">
        <f>IF(OR(T2145=0,RIGHT(T2145,1)=$W$1),"",COUNTIF($T$3:T2145,T2145))</f>
        <v/>
      </c>
      <c r="S2145" s="6">
        <f t="shared" si="338"/>
        <v>0</v>
      </c>
      <c r="T2145" s="36">
        <f t="shared" si="339"/>
        <v>0</v>
      </c>
      <c r="V2145" s="6">
        <f t="shared" si="340"/>
        <v>0</v>
      </c>
      <c r="Y2145" s="8">
        <f t="shared" si="341"/>
        <v>46023</v>
      </c>
    </row>
    <row r="2146" spans="2:25" ht="18.75" x14ac:dyDescent="0.3">
      <c r="B2146" s="6">
        <f t="shared" si="333"/>
        <v>0</v>
      </c>
      <c r="C2146" s="6">
        <f t="shared" si="334"/>
        <v>0</v>
      </c>
      <c r="D2146" s="6" t="str">
        <f t="shared" si="335"/>
        <v/>
      </c>
      <c r="E2146" s="35" t="str">
        <f t="shared" si="332"/>
        <v/>
      </c>
      <c r="F2146" s="31"/>
      <c r="G2146" s="29"/>
      <c r="H2146" s="78" t="str">
        <f t="shared" si="336"/>
        <v/>
      </c>
      <c r="I2146" s="25"/>
      <c r="J2146" s="25"/>
      <c r="K2146" s="26"/>
      <c r="L2146" s="26"/>
      <c r="M2146" s="37"/>
      <c r="N2146" s="27"/>
      <c r="O2146" s="30"/>
      <c r="P2146" s="39" t="str">
        <f t="shared" si="337"/>
        <v/>
      </c>
      <c r="Q2146" s="40" t="str">
        <f>IF(OR(T2146=0,RIGHT(T2146,1)=$W$1),"",COUNTIF($T$3:T2146,T2146))</f>
        <v/>
      </c>
      <c r="S2146" s="6">
        <f t="shared" si="338"/>
        <v>0</v>
      </c>
      <c r="T2146" s="36">
        <f t="shared" si="339"/>
        <v>0</v>
      </c>
      <c r="V2146" s="6">
        <f t="shared" si="340"/>
        <v>0</v>
      </c>
      <c r="Y2146" s="8">
        <f t="shared" si="341"/>
        <v>46023</v>
      </c>
    </row>
    <row r="2147" spans="2:25" ht="18.75" x14ac:dyDescent="0.3">
      <c r="B2147" s="6">
        <f t="shared" si="333"/>
        <v>0</v>
      </c>
      <c r="C2147" s="6">
        <f t="shared" si="334"/>
        <v>0</v>
      </c>
      <c r="D2147" s="6" t="str">
        <f t="shared" si="335"/>
        <v/>
      </c>
      <c r="E2147" s="35" t="str">
        <f t="shared" si="332"/>
        <v/>
      </c>
      <c r="F2147" s="31"/>
      <c r="G2147" s="29"/>
      <c r="H2147" s="78" t="str">
        <f t="shared" si="336"/>
        <v/>
      </c>
      <c r="I2147" s="25"/>
      <c r="J2147" s="25"/>
      <c r="K2147" s="26"/>
      <c r="L2147" s="26"/>
      <c r="M2147" s="37"/>
      <c r="N2147" s="27"/>
      <c r="O2147" s="30"/>
      <c r="P2147" s="39" t="str">
        <f t="shared" si="337"/>
        <v/>
      </c>
      <c r="Q2147" s="40" t="str">
        <f>IF(OR(T2147=0,RIGHT(T2147,1)=$W$1),"",COUNTIF($T$3:T2147,T2147))</f>
        <v/>
      </c>
      <c r="S2147" s="6">
        <f t="shared" si="338"/>
        <v>0</v>
      </c>
      <c r="T2147" s="36">
        <f t="shared" si="339"/>
        <v>0</v>
      </c>
      <c r="V2147" s="6">
        <f t="shared" si="340"/>
        <v>0</v>
      </c>
      <c r="Y2147" s="8">
        <f t="shared" si="341"/>
        <v>46023</v>
      </c>
    </row>
    <row r="2148" spans="2:25" ht="18.75" x14ac:dyDescent="0.3">
      <c r="B2148" s="6">
        <f t="shared" si="333"/>
        <v>0</v>
      </c>
      <c r="C2148" s="6">
        <f t="shared" si="334"/>
        <v>0</v>
      </c>
      <c r="D2148" s="6" t="str">
        <f t="shared" si="335"/>
        <v/>
      </c>
      <c r="E2148" s="35" t="str">
        <f t="shared" si="332"/>
        <v/>
      </c>
      <c r="F2148" s="31"/>
      <c r="G2148" s="29"/>
      <c r="H2148" s="78" t="str">
        <f t="shared" si="336"/>
        <v/>
      </c>
      <c r="I2148" s="25"/>
      <c r="J2148" s="25"/>
      <c r="K2148" s="26"/>
      <c r="L2148" s="26"/>
      <c r="M2148" s="37"/>
      <c r="N2148" s="27"/>
      <c r="O2148" s="30"/>
      <c r="P2148" s="39" t="str">
        <f t="shared" si="337"/>
        <v/>
      </c>
      <c r="Q2148" s="40" t="str">
        <f>IF(OR(T2148=0,RIGHT(T2148,1)=$W$1),"",COUNTIF($T$3:T2148,T2148))</f>
        <v/>
      </c>
      <c r="S2148" s="6">
        <f t="shared" si="338"/>
        <v>0</v>
      </c>
      <c r="T2148" s="36">
        <f t="shared" si="339"/>
        <v>0</v>
      </c>
      <c r="V2148" s="6">
        <f t="shared" si="340"/>
        <v>0</v>
      </c>
      <c r="Y2148" s="8">
        <f t="shared" si="341"/>
        <v>46023</v>
      </c>
    </row>
    <row r="2149" spans="2:25" ht="18.75" x14ac:dyDescent="0.3">
      <c r="B2149" s="6">
        <f t="shared" si="333"/>
        <v>0</v>
      </c>
      <c r="C2149" s="6">
        <f t="shared" si="334"/>
        <v>0</v>
      </c>
      <c r="D2149" s="6" t="str">
        <f t="shared" si="335"/>
        <v/>
      </c>
      <c r="E2149" s="35" t="str">
        <f t="shared" si="332"/>
        <v/>
      </c>
      <c r="F2149" s="31"/>
      <c r="G2149" s="29"/>
      <c r="H2149" s="78" t="str">
        <f t="shared" si="336"/>
        <v/>
      </c>
      <c r="I2149" s="25"/>
      <c r="J2149" s="25"/>
      <c r="K2149" s="26"/>
      <c r="L2149" s="26"/>
      <c r="M2149" s="37"/>
      <c r="N2149" s="27"/>
      <c r="O2149" s="30"/>
      <c r="P2149" s="39" t="str">
        <f t="shared" si="337"/>
        <v/>
      </c>
      <c r="Q2149" s="40" t="str">
        <f>IF(OR(T2149=0,RIGHT(T2149,1)=$W$1),"",COUNTIF($T$3:T2149,T2149))</f>
        <v/>
      </c>
      <c r="S2149" s="6">
        <f t="shared" si="338"/>
        <v>0</v>
      </c>
      <c r="T2149" s="36">
        <f t="shared" si="339"/>
        <v>0</v>
      </c>
      <c r="V2149" s="6">
        <f t="shared" si="340"/>
        <v>0</v>
      </c>
      <c r="Y2149" s="8">
        <f t="shared" si="341"/>
        <v>46023</v>
      </c>
    </row>
    <row r="2150" spans="2:25" ht="18.75" x14ac:dyDescent="0.3">
      <c r="B2150" s="6">
        <f t="shared" si="333"/>
        <v>0</v>
      </c>
      <c r="C2150" s="6">
        <f t="shared" si="334"/>
        <v>0</v>
      </c>
      <c r="D2150" s="6" t="str">
        <f t="shared" si="335"/>
        <v/>
      </c>
      <c r="E2150" s="35" t="str">
        <f t="shared" si="332"/>
        <v/>
      </c>
      <c r="F2150" s="31"/>
      <c r="G2150" s="29"/>
      <c r="H2150" s="78" t="str">
        <f t="shared" si="336"/>
        <v/>
      </c>
      <c r="I2150" s="25"/>
      <c r="J2150" s="25"/>
      <c r="K2150" s="26"/>
      <c r="L2150" s="26"/>
      <c r="M2150" s="37"/>
      <c r="N2150" s="27"/>
      <c r="O2150" s="30"/>
      <c r="P2150" s="39" t="str">
        <f t="shared" si="337"/>
        <v/>
      </c>
      <c r="Q2150" s="40" t="str">
        <f>IF(OR(T2150=0,RIGHT(T2150,1)=$W$1),"",COUNTIF($T$3:T2150,T2150))</f>
        <v/>
      </c>
      <c r="S2150" s="6">
        <f t="shared" si="338"/>
        <v>0</v>
      </c>
      <c r="T2150" s="36">
        <f t="shared" si="339"/>
        <v>0</v>
      </c>
      <c r="V2150" s="6">
        <f t="shared" si="340"/>
        <v>0</v>
      </c>
      <c r="Y2150" s="8">
        <f t="shared" si="341"/>
        <v>46023</v>
      </c>
    </row>
    <row r="2151" spans="2:25" ht="18.75" x14ac:dyDescent="0.3">
      <c r="B2151" s="6">
        <f t="shared" si="333"/>
        <v>0</v>
      </c>
      <c r="C2151" s="6">
        <f t="shared" si="334"/>
        <v>0</v>
      </c>
      <c r="D2151" s="6" t="str">
        <f t="shared" si="335"/>
        <v/>
      </c>
      <c r="E2151" s="35" t="str">
        <f t="shared" si="332"/>
        <v/>
      </c>
      <c r="F2151" s="31"/>
      <c r="G2151" s="29"/>
      <c r="H2151" s="78" t="str">
        <f t="shared" si="336"/>
        <v/>
      </c>
      <c r="I2151" s="25"/>
      <c r="J2151" s="25"/>
      <c r="K2151" s="26"/>
      <c r="L2151" s="26"/>
      <c r="M2151" s="37"/>
      <c r="N2151" s="27"/>
      <c r="O2151" s="30"/>
      <c r="P2151" s="39" t="str">
        <f t="shared" si="337"/>
        <v/>
      </c>
      <c r="Q2151" s="40" t="str">
        <f>IF(OR(T2151=0,RIGHT(T2151,1)=$W$1),"",COUNTIF($T$3:T2151,T2151))</f>
        <v/>
      </c>
      <c r="S2151" s="6">
        <f t="shared" si="338"/>
        <v>0</v>
      </c>
      <c r="T2151" s="36">
        <f t="shared" si="339"/>
        <v>0</v>
      </c>
      <c r="V2151" s="6">
        <f t="shared" si="340"/>
        <v>0</v>
      </c>
      <c r="Y2151" s="8">
        <f t="shared" si="341"/>
        <v>46023</v>
      </c>
    </row>
    <row r="2152" spans="2:25" ht="18.75" x14ac:dyDescent="0.3">
      <c r="B2152" s="6">
        <f t="shared" si="333"/>
        <v>0</v>
      </c>
      <c r="C2152" s="6">
        <f t="shared" si="334"/>
        <v>0</v>
      </c>
      <c r="D2152" s="6" t="str">
        <f t="shared" si="335"/>
        <v/>
      </c>
      <c r="E2152" s="35" t="str">
        <f t="shared" si="332"/>
        <v/>
      </c>
      <c r="F2152" s="31"/>
      <c r="G2152" s="29"/>
      <c r="H2152" s="78" t="str">
        <f t="shared" si="336"/>
        <v/>
      </c>
      <c r="I2152" s="25"/>
      <c r="J2152" s="25"/>
      <c r="K2152" s="26"/>
      <c r="L2152" s="26"/>
      <c r="M2152" s="37"/>
      <c r="N2152" s="27"/>
      <c r="O2152" s="30"/>
      <c r="P2152" s="39" t="str">
        <f t="shared" si="337"/>
        <v/>
      </c>
      <c r="Q2152" s="40" t="str">
        <f>IF(OR(T2152=0,RIGHT(T2152,1)=$W$1),"",COUNTIF($T$3:T2152,T2152))</f>
        <v/>
      </c>
      <c r="S2152" s="6">
        <f t="shared" si="338"/>
        <v>0</v>
      </c>
      <c r="T2152" s="36">
        <f t="shared" si="339"/>
        <v>0</v>
      </c>
      <c r="V2152" s="6">
        <f t="shared" si="340"/>
        <v>0</v>
      </c>
      <c r="Y2152" s="8">
        <f t="shared" si="341"/>
        <v>46023</v>
      </c>
    </row>
    <row r="2153" spans="2:25" ht="18.75" x14ac:dyDescent="0.3">
      <c r="B2153" s="6">
        <f t="shared" si="333"/>
        <v>0</v>
      </c>
      <c r="C2153" s="6">
        <f t="shared" si="334"/>
        <v>0</v>
      </c>
      <c r="D2153" s="6" t="str">
        <f t="shared" si="335"/>
        <v/>
      </c>
      <c r="E2153" s="35" t="str">
        <f t="shared" si="332"/>
        <v/>
      </c>
      <c r="F2153" s="31"/>
      <c r="G2153" s="29"/>
      <c r="H2153" s="78" t="str">
        <f t="shared" si="336"/>
        <v/>
      </c>
      <c r="I2153" s="25"/>
      <c r="J2153" s="25"/>
      <c r="K2153" s="26"/>
      <c r="L2153" s="26"/>
      <c r="M2153" s="37"/>
      <c r="N2153" s="27"/>
      <c r="O2153" s="30"/>
      <c r="P2153" s="39" t="str">
        <f t="shared" si="337"/>
        <v/>
      </c>
      <c r="Q2153" s="40" t="str">
        <f>IF(OR(T2153=0,RIGHT(T2153,1)=$W$1),"",COUNTIF($T$3:T2153,T2153))</f>
        <v/>
      </c>
      <c r="S2153" s="6">
        <f t="shared" si="338"/>
        <v>0</v>
      </c>
      <c r="T2153" s="36">
        <f t="shared" si="339"/>
        <v>0</v>
      </c>
      <c r="V2153" s="6">
        <f t="shared" si="340"/>
        <v>0</v>
      </c>
      <c r="Y2153" s="8">
        <f t="shared" si="341"/>
        <v>46023</v>
      </c>
    </row>
    <row r="2154" spans="2:25" ht="18.75" x14ac:dyDescent="0.3">
      <c r="B2154" s="6">
        <f t="shared" si="333"/>
        <v>0</v>
      </c>
      <c r="C2154" s="6">
        <f t="shared" si="334"/>
        <v>0</v>
      </c>
      <c r="D2154" s="6" t="str">
        <f t="shared" si="335"/>
        <v/>
      </c>
      <c r="E2154" s="35" t="str">
        <f t="shared" si="332"/>
        <v/>
      </c>
      <c r="F2154" s="31"/>
      <c r="G2154" s="29"/>
      <c r="H2154" s="78" t="str">
        <f t="shared" si="336"/>
        <v/>
      </c>
      <c r="I2154" s="25"/>
      <c r="J2154" s="25"/>
      <c r="K2154" s="26"/>
      <c r="L2154" s="26"/>
      <c r="M2154" s="37"/>
      <c r="N2154" s="27"/>
      <c r="O2154" s="30"/>
      <c r="P2154" s="39" t="str">
        <f t="shared" si="337"/>
        <v/>
      </c>
      <c r="Q2154" s="40" t="str">
        <f>IF(OR(T2154=0,RIGHT(T2154,1)=$W$1),"",COUNTIF($T$3:T2154,T2154))</f>
        <v/>
      </c>
      <c r="S2154" s="6">
        <f t="shared" si="338"/>
        <v>0</v>
      </c>
      <c r="T2154" s="36">
        <f t="shared" si="339"/>
        <v>0</v>
      </c>
      <c r="V2154" s="6">
        <f t="shared" si="340"/>
        <v>0</v>
      </c>
      <c r="Y2154" s="8">
        <f t="shared" si="341"/>
        <v>46023</v>
      </c>
    </row>
    <row r="2155" spans="2:25" ht="18.75" x14ac:dyDescent="0.3">
      <c r="B2155" s="6">
        <f t="shared" si="333"/>
        <v>0</v>
      </c>
      <c r="C2155" s="6">
        <f t="shared" si="334"/>
        <v>0</v>
      </c>
      <c r="D2155" s="6" t="str">
        <f t="shared" si="335"/>
        <v/>
      </c>
      <c r="E2155" s="35" t="str">
        <f t="shared" si="332"/>
        <v/>
      </c>
      <c r="F2155" s="31"/>
      <c r="G2155" s="29"/>
      <c r="H2155" s="78" t="str">
        <f t="shared" si="336"/>
        <v/>
      </c>
      <c r="I2155" s="25"/>
      <c r="J2155" s="25"/>
      <c r="K2155" s="26"/>
      <c r="L2155" s="26"/>
      <c r="M2155" s="37"/>
      <c r="N2155" s="27"/>
      <c r="O2155" s="30"/>
      <c r="P2155" s="39" t="str">
        <f t="shared" si="337"/>
        <v/>
      </c>
      <c r="Q2155" s="40" t="str">
        <f>IF(OR(T2155=0,RIGHT(T2155,1)=$W$1),"",COUNTIF($T$3:T2155,T2155))</f>
        <v/>
      </c>
      <c r="S2155" s="6">
        <f t="shared" si="338"/>
        <v>0</v>
      </c>
      <c r="T2155" s="36">
        <f t="shared" si="339"/>
        <v>0</v>
      </c>
      <c r="V2155" s="6">
        <f t="shared" si="340"/>
        <v>0</v>
      </c>
      <c r="Y2155" s="8">
        <f t="shared" si="341"/>
        <v>46023</v>
      </c>
    </row>
    <row r="2156" spans="2:25" ht="18.75" x14ac:dyDescent="0.3">
      <c r="B2156" s="6">
        <f t="shared" si="333"/>
        <v>0</v>
      </c>
      <c r="C2156" s="6">
        <f t="shared" si="334"/>
        <v>0</v>
      </c>
      <c r="D2156" s="6" t="str">
        <f t="shared" si="335"/>
        <v/>
      </c>
      <c r="E2156" s="35" t="str">
        <f t="shared" si="332"/>
        <v/>
      </c>
      <c r="F2156" s="31"/>
      <c r="G2156" s="29"/>
      <c r="H2156" s="78" t="str">
        <f t="shared" si="336"/>
        <v/>
      </c>
      <c r="I2156" s="25"/>
      <c r="J2156" s="25"/>
      <c r="K2156" s="26"/>
      <c r="L2156" s="26"/>
      <c r="M2156" s="37"/>
      <c r="N2156" s="27"/>
      <c r="O2156" s="30"/>
      <c r="P2156" s="39" t="str">
        <f t="shared" si="337"/>
        <v/>
      </c>
      <c r="Q2156" s="40" t="str">
        <f>IF(OR(T2156=0,RIGHT(T2156,1)=$W$1),"",COUNTIF($T$3:T2156,T2156))</f>
        <v/>
      </c>
      <c r="S2156" s="6">
        <f t="shared" si="338"/>
        <v>0</v>
      </c>
      <c r="T2156" s="36">
        <f t="shared" si="339"/>
        <v>0</v>
      </c>
      <c r="V2156" s="6">
        <f t="shared" si="340"/>
        <v>0</v>
      </c>
      <c r="Y2156" s="8">
        <f t="shared" si="341"/>
        <v>46023</v>
      </c>
    </row>
    <row r="2157" spans="2:25" ht="18.75" x14ac:dyDescent="0.3">
      <c r="B2157" s="6">
        <f t="shared" si="333"/>
        <v>0</v>
      </c>
      <c r="C2157" s="6">
        <f t="shared" si="334"/>
        <v>0</v>
      </c>
      <c r="D2157" s="6" t="str">
        <f t="shared" si="335"/>
        <v/>
      </c>
      <c r="E2157" s="35" t="str">
        <f t="shared" si="332"/>
        <v/>
      </c>
      <c r="F2157" s="31"/>
      <c r="G2157" s="29"/>
      <c r="H2157" s="78" t="str">
        <f t="shared" si="336"/>
        <v/>
      </c>
      <c r="I2157" s="25"/>
      <c r="J2157" s="25"/>
      <c r="K2157" s="26"/>
      <c r="L2157" s="26"/>
      <c r="M2157" s="37"/>
      <c r="N2157" s="27"/>
      <c r="O2157" s="30"/>
      <c r="P2157" s="39" t="str">
        <f t="shared" si="337"/>
        <v/>
      </c>
      <c r="Q2157" s="40" t="str">
        <f>IF(OR(T2157=0,RIGHT(T2157,1)=$W$1),"",COUNTIF($T$3:T2157,T2157))</f>
        <v/>
      </c>
      <c r="S2157" s="6">
        <f t="shared" si="338"/>
        <v>0</v>
      </c>
      <c r="T2157" s="36">
        <f t="shared" si="339"/>
        <v>0</v>
      </c>
      <c r="V2157" s="6">
        <f t="shared" si="340"/>
        <v>0</v>
      </c>
      <c r="Y2157" s="8">
        <f t="shared" si="341"/>
        <v>46023</v>
      </c>
    </row>
    <row r="2158" spans="2:25" ht="18.75" x14ac:dyDescent="0.3">
      <c r="B2158" s="6">
        <f t="shared" si="333"/>
        <v>0</v>
      </c>
      <c r="C2158" s="6">
        <f t="shared" si="334"/>
        <v>0</v>
      </c>
      <c r="D2158" s="6" t="str">
        <f t="shared" si="335"/>
        <v/>
      </c>
      <c r="E2158" s="35" t="str">
        <f t="shared" si="332"/>
        <v/>
      </c>
      <c r="F2158" s="31"/>
      <c r="G2158" s="29"/>
      <c r="H2158" s="78" t="str">
        <f t="shared" si="336"/>
        <v/>
      </c>
      <c r="I2158" s="25"/>
      <c r="J2158" s="25"/>
      <c r="K2158" s="26"/>
      <c r="L2158" s="26"/>
      <c r="M2158" s="37"/>
      <c r="N2158" s="27"/>
      <c r="O2158" s="30"/>
      <c r="P2158" s="39" t="str">
        <f t="shared" si="337"/>
        <v/>
      </c>
      <c r="Q2158" s="40" t="str">
        <f>IF(OR(T2158=0,RIGHT(T2158,1)=$W$1),"",COUNTIF($T$3:T2158,T2158))</f>
        <v/>
      </c>
      <c r="S2158" s="6">
        <f t="shared" si="338"/>
        <v>0</v>
      </c>
      <c r="T2158" s="36">
        <f t="shared" si="339"/>
        <v>0</v>
      </c>
      <c r="V2158" s="6">
        <f t="shared" si="340"/>
        <v>0</v>
      </c>
      <c r="Y2158" s="8">
        <f t="shared" si="341"/>
        <v>46023</v>
      </c>
    </row>
    <row r="2159" spans="2:25" ht="18.75" x14ac:dyDescent="0.3">
      <c r="B2159" s="6">
        <f t="shared" si="333"/>
        <v>0</v>
      </c>
      <c r="C2159" s="6">
        <f t="shared" si="334"/>
        <v>0</v>
      </c>
      <c r="D2159" s="6" t="str">
        <f t="shared" si="335"/>
        <v/>
      </c>
      <c r="E2159" s="35" t="str">
        <f t="shared" si="332"/>
        <v/>
      </c>
      <c r="F2159" s="31"/>
      <c r="G2159" s="29"/>
      <c r="H2159" s="78" t="str">
        <f t="shared" si="336"/>
        <v/>
      </c>
      <c r="I2159" s="25"/>
      <c r="J2159" s="25"/>
      <c r="K2159" s="26"/>
      <c r="L2159" s="26"/>
      <c r="M2159" s="37"/>
      <c r="N2159" s="27"/>
      <c r="O2159" s="30"/>
      <c r="P2159" s="39" t="str">
        <f t="shared" si="337"/>
        <v/>
      </c>
      <c r="Q2159" s="40" t="str">
        <f>IF(OR(T2159=0,RIGHT(T2159,1)=$W$1),"",COUNTIF($T$3:T2159,T2159))</f>
        <v/>
      </c>
      <c r="S2159" s="6">
        <f t="shared" si="338"/>
        <v>0</v>
      </c>
      <c r="T2159" s="36">
        <f t="shared" si="339"/>
        <v>0</v>
      </c>
      <c r="V2159" s="6">
        <f t="shared" si="340"/>
        <v>0</v>
      </c>
      <c r="Y2159" s="8">
        <f t="shared" si="341"/>
        <v>46023</v>
      </c>
    </row>
    <row r="2160" spans="2:25" ht="18.75" x14ac:dyDescent="0.3">
      <c r="B2160" s="6">
        <f t="shared" si="333"/>
        <v>0</v>
      </c>
      <c r="C2160" s="6">
        <f t="shared" si="334"/>
        <v>0</v>
      </c>
      <c r="D2160" s="6" t="str">
        <f t="shared" si="335"/>
        <v/>
      </c>
      <c r="E2160" s="35" t="str">
        <f t="shared" si="332"/>
        <v/>
      </c>
      <c r="F2160" s="31"/>
      <c r="G2160" s="29"/>
      <c r="H2160" s="78" t="str">
        <f t="shared" si="336"/>
        <v/>
      </c>
      <c r="I2160" s="25"/>
      <c r="J2160" s="25"/>
      <c r="K2160" s="26"/>
      <c r="L2160" s="26"/>
      <c r="M2160" s="37"/>
      <c r="N2160" s="27"/>
      <c r="O2160" s="30"/>
      <c r="P2160" s="39" t="str">
        <f t="shared" si="337"/>
        <v/>
      </c>
      <c r="Q2160" s="40" t="str">
        <f>IF(OR(T2160=0,RIGHT(T2160,1)=$W$1),"",COUNTIF($T$3:T2160,T2160))</f>
        <v/>
      </c>
      <c r="S2160" s="6">
        <f t="shared" si="338"/>
        <v>0</v>
      </c>
      <c r="T2160" s="36">
        <f t="shared" si="339"/>
        <v>0</v>
      </c>
      <c r="V2160" s="6">
        <f t="shared" si="340"/>
        <v>0</v>
      </c>
      <c r="Y2160" s="8">
        <f t="shared" si="341"/>
        <v>46023</v>
      </c>
    </row>
    <row r="2161" spans="2:25" ht="18.75" x14ac:dyDescent="0.3">
      <c r="B2161" s="6">
        <f t="shared" si="333"/>
        <v>0</v>
      </c>
      <c r="C2161" s="6">
        <f t="shared" si="334"/>
        <v>0</v>
      </c>
      <c r="D2161" s="6" t="str">
        <f t="shared" si="335"/>
        <v/>
      </c>
      <c r="E2161" s="35" t="str">
        <f t="shared" si="332"/>
        <v/>
      </c>
      <c r="F2161" s="31"/>
      <c r="G2161" s="29"/>
      <c r="H2161" s="78" t="str">
        <f t="shared" si="336"/>
        <v/>
      </c>
      <c r="I2161" s="25"/>
      <c r="J2161" s="25"/>
      <c r="K2161" s="26"/>
      <c r="L2161" s="26"/>
      <c r="M2161" s="37"/>
      <c r="N2161" s="27"/>
      <c r="O2161" s="30"/>
      <c r="P2161" s="39" t="str">
        <f t="shared" si="337"/>
        <v/>
      </c>
      <c r="Q2161" s="40" t="str">
        <f>IF(OR(T2161=0,RIGHT(T2161,1)=$W$1),"",COUNTIF($T$3:T2161,T2161))</f>
        <v/>
      </c>
      <c r="S2161" s="6">
        <f t="shared" si="338"/>
        <v>0</v>
      </c>
      <c r="T2161" s="36">
        <f t="shared" si="339"/>
        <v>0</v>
      </c>
      <c r="V2161" s="6">
        <f t="shared" si="340"/>
        <v>0</v>
      </c>
      <c r="Y2161" s="8">
        <f t="shared" si="341"/>
        <v>46023</v>
      </c>
    </row>
    <row r="2162" spans="2:25" ht="18.75" x14ac:dyDescent="0.3">
      <c r="B2162" s="6">
        <f t="shared" si="333"/>
        <v>0</v>
      </c>
      <c r="C2162" s="6">
        <f t="shared" si="334"/>
        <v>0</v>
      </c>
      <c r="D2162" s="6" t="str">
        <f t="shared" si="335"/>
        <v/>
      </c>
      <c r="E2162" s="35" t="str">
        <f t="shared" si="332"/>
        <v/>
      </c>
      <c r="F2162" s="31"/>
      <c r="G2162" s="29"/>
      <c r="H2162" s="78" t="str">
        <f t="shared" si="336"/>
        <v/>
      </c>
      <c r="I2162" s="25"/>
      <c r="J2162" s="25"/>
      <c r="K2162" s="26"/>
      <c r="L2162" s="26"/>
      <c r="M2162" s="37"/>
      <c r="N2162" s="27"/>
      <c r="O2162" s="30"/>
      <c r="P2162" s="39" t="str">
        <f t="shared" si="337"/>
        <v/>
      </c>
      <c r="Q2162" s="40" t="str">
        <f>IF(OR(T2162=0,RIGHT(T2162,1)=$W$1),"",COUNTIF($T$3:T2162,T2162))</f>
        <v/>
      </c>
      <c r="S2162" s="6">
        <f t="shared" si="338"/>
        <v>0</v>
      </c>
      <c r="T2162" s="36">
        <f t="shared" si="339"/>
        <v>0</v>
      </c>
      <c r="V2162" s="6">
        <f t="shared" si="340"/>
        <v>0</v>
      </c>
      <c r="Y2162" s="8">
        <f t="shared" si="341"/>
        <v>46023</v>
      </c>
    </row>
    <row r="2163" spans="2:25" ht="18.75" x14ac:dyDescent="0.3">
      <c r="B2163" s="6">
        <f t="shared" si="333"/>
        <v>0</v>
      </c>
      <c r="C2163" s="6">
        <f t="shared" si="334"/>
        <v>0</v>
      </c>
      <c r="D2163" s="6" t="str">
        <f t="shared" si="335"/>
        <v/>
      </c>
      <c r="E2163" s="35" t="str">
        <f t="shared" si="332"/>
        <v/>
      </c>
      <c r="F2163" s="31"/>
      <c r="G2163" s="29"/>
      <c r="H2163" s="78" t="str">
        <f t="shared" si="336"/>
        <v/>
      </c>
      <c r="I2163" s="25"/>
      <c r="J2163" s="25"/>
      <c r="K2163" s="26"/>
      <c r="L2163" s="26"/>
      <c r="M2163" s="37"/>
      <c r="N2163" s="27"/>
      <c r="O2163" s="30"/>
      <c r="P2163" s="39" t="str">
        <f t="shared" si="337"/>
        <v/>
      </c>
      <c r="Q2163" s="40" t="str">
        <f>IF(OR(T2163=0,RIGHT(T2163,1)=$W$1),"",COUNTIF($T$3:T2163,T2163))</f>
        <v/>
      </c>
      <c r="S2163" s="6">
        <f t="shared" si="338"/>
        <v>0</v>
      </c>
      <c r="T2163" s="36">
        <f t="shared" si="339"/>
        <v>0</v>
      </c>
      <c r="V2163" s="6">
        <f t="shared" si="340"/>
        <v>0</v>
      </c>
      <c r="Y2163" s="8">
        <f t="shared" si="341"/>
        <v>46023</v>
      </c>
    </row>
    <row r="2164" spans="2:25" ht="18.75" x14ac:dyDescent="0.3">
      <c r="B2164" s="6">
        <f t="shared" si="333"/>
        <v>0</v>
      </c>
      <c r="C2164" s="6">
        <f t="shared" si="334"/>
        <v>0</v>
      </c>
      <c r="D2164" s="6" t="str">
        <f t="shared" si="335"/>
        <v/>
      </c>
      <c r="E2164" s="35" t="str">
        <f t="shared" si="332"/>
        <v/>
      </c>
      <c r="F2164" s="31"/>
      <c r="G2164" s="29"/>
      <c r="H2164" s="78" t="str">
        <f t="shared" si="336"/>
        <v/>
      </c>
      <c r="I2164" s="25"/>
      <c r="J2164" s="25"/>
      <c r="K2164" s="26"/>
      <c r="L2164" s="26"/>
      <c r="M2164" s="37"/>
      <c r="N2164" s="27"/>
      <c r="O2164" s="30"/>
      <c r="P2164" s="39" t="str">
        <f t="shared" si="337"/>
        <v/>
      </c>
      <c r="Q2164" s="40" t="str">
        <f>IF(OR(T2164=0,RIGHT(T2164,1)=$W$1),"",COUNTIF($T$3:T2164,T2164))</f>
        <v/>
      </c>
      <c r="S2164" s="6">
        <f t="shared" si="338"/>
        <v>0</v>
      </c>
      <c r="T2164" s="36">
        <f t="shared" si="339"/>
        <v>0</v>
      </c>
      <c r="V2164" s="6">
        <f t="shared" si="340"/>
        <v>0</v>
      </c>
      <c r="Y2164" s="8">
        <f t="shared" si="341"/>
        <v>46023</v>
      </c>
    </row>
    <row r="2165" spans="2:25" ht="18.75" x14ac:dyDescent="0.3">
      <c r="B2165" s="6">
        <f t="shared" si="333"/>
        <v>0</v>
      </c>
      <c r="C2165" s="6">
        <f t="shared" si="334"/>
        <v>0</v>
      </c>
      <c r="D2165" s="6" t="str">
        <f t="shared" si="335"/>
        <v/>
      </c>
      <c r="E2165" s="35" t="str">
        <f t="shared" si="332"/>
        <v/>
      </c>
      <c r="F2165" s="31"/>
      <c r="G2165" s="29"/>
      <c r="H2165" s="78" t="str">
        <f t="shared" si="336"/>
        <v/>
      </c>
      <c r="I2165" s="25"/>
      <c r="J2165" s="25"/>
      <c r="K2165" s="26"/>
      <c r="L2165" s="26"/>
      <c r="M2165" s="37"/>
      <c r="N2165" s="27"/>
      <c r="O2165" s="30"/>
      <c r="P2165" s="39" t="str">
        <f t="shared" si="337"/>
        <v/>
      </c>
      <c r="Q2165" s="40" t="str">
        <f>IF(OR(T2165=0,RIGHT(T2165,1)=$W$1),"",COUNTIF($T$3:T2165,T2165))</f>
        <v/>
      </c>
      <c r="S2165" s="6">
        <f t="shared" si="338"/>
        <v>0</v>
      </c>
      <c r="T2165" s="36">
        <f t="shared" si="339"/>
        <v>0</v>
      </c>
      <c r="V2165" s="6">
        <f t="shared" si="340"/>
        <v>0</v>
      </c>
      <c r="Y2165" s="8">
        <f t="shared" si="341"/>
        <v>46023</v>
      </c>
    </row>
    <row r="2166" spans="2:25" ht="18.75" x14ac:dyDescent="0.3">
      <c r="B2166" s="6">
        <f t="shared" si="333"/>
        <v>0</v>
      </c>
      <c r="C2166" s="6">
        <f t="shared" si="334"/>
        <v>0</v>
      </c>
      <c r="D2166" s="6" t="str">
        <f t="shared" si="335"/>
        <v/>
      </c>
      <c r="E2166" s="35" t="str">
        <f t="shared" si="332"/>
        <v/>
      </c>
      <c r="F2166" s="31"/>
      <c r="G2166" s="29"/>
      <c r="H2166" s="78" t="str">
        <f t="shared" si="336"/>
        <v/>
      </c>
      <c r="I2166" s="25"/>
      <c r="J2166" s="25"/>
      <c r="K2166" s="26"/>
      <c r="L2166" s="26"/>
      <c r="M2166" s="37"/>
      <c r="N2166" s="27"/>
      <c r="O2166" s="30"/>
      <c r="P2166" s="39" t="str">
        <f t="shared" si="337"/>
        <v/>
      </c>
      <c r="Q2166" s="40" t="str">
        <f>IF(OR(T2166=0,RIGHT(T2166,1)=$W$1),"",COUNTIF($T$3:T2166,T2166))</f>
        <v/>
      </c>
      <c r="S2166" s="6">
        <f t="shared" si="338"/>
        <v>0</v>
      </c>
      <c r="T2166" s="36">
        <f t="shared" si="339"/>
        <v>0</v>
      </c>
      <c r="V2166" s="6">
        <f t="shared" si="340"/>
        <v>0</v>
      </c>
      <c r="Y2166" s="8">
        <f t="shared" si="341"/>
        <v>46023</v>
      </c>
    </row>
    <row r="2167" spans="2:25" ht="18.75" x14ac:dyDescent="0.3">
      <c r="B2167" s="6">
        <f t="shared" si="333"/>
        <v>0</v>
      </c>
      <c r="C2167" s="6">
        <f t="shared" si="334"/>
        <v>0</v>
      </c>
      <c r="D2167" s="6" t="str">
        <f t="shared" si="335"/>
        <v/>
      </c>
      <c r="E2167" s="35" t="str">
        <f t="shared" si="332"/>
        <v/>
      </c>
      <c r="F2167" s="31"/>
      <c r="G2167" s="29"/>
      <c r="H2167" s="78" t="str">
        <f t="shared" si="336"/>
        <v/>
      </c>
      <c r="I2167" s="25"/>
      <c r="J2167" s="25"/>
      <c r="K2167" s="26"/>
      <c r="L2167" s="26"/>
      <c r="M2167" s="37"/>
      <c r="N2167" s="27"/>
      <c r="O2167" s="30"/>
      <c r="P2167" s="39" t="str">
        <f t="shared" si="337"/>
        <v/>
      </c>
      <c r="Q2167" s="40" t="str">
        <f>IF(OR(T2167=0,RIGHT(T2167,1)=$W$1),"",COUNTIF($T$3:T2167,T2167))</f>
        <v/>
      </c>
      <c r="S2167" s="6">
        <f t="shared" si="338"/>
        <v>0</v>
      </c>
      <c r="T2167" s="36">
        <f t="shared" si="339"/>
        <v>0</v>
      </c>
      <c r="V2167" s="6">
        <f t="shared" si="340"/>
        <v>0</v>
      </c>
      <c r="Y2167" s="8">
        <f t="shared" si="341"/>
        <v>46023</v>
      </c>
    </row>
    <row r="2168" spans="2:25" ht="18.75" x14ac:dyDescent="0.3">
      <c r="B2168" s="6">
        <f t="shared" si="333"/>
        <v>0</v>
      </c>
      <c r="C2168" s="6">
        <f t="shared" si="334"/>
        <v>0</v>
      </c>
      <c r="D2168" s="6" t="str">
        <f t="shared" si="335"/>
        <v/>
      </c>
      <c r="E2168" s="35" t="str">
        <f t="shared" si="332"/>
        <v/>
      </c>
      <c r="F2168" s="31"/>
      <c r="G2168" s="29"/>
      <c r="H2168" s="78" t="str">
        <f t="shared" si="336"/>
        <v/>
      </c>
      <c r="I2168" s="25"/>
      <c r="J2168" s="25"/>
      <c r="K2168" s="26"/>
      <c r="L2168" s="26"/>
      <c r="M2168" s="37"/>
      <c r="N2168" s="27"/>
      <c r="O2168" s="30"/>
      <c r="P2168" s="39" t="str">
        <f t="shared" si="337"/>
        <v/>
      </c>
      <c r="Q2168" s="40" t="str">
        <f>IF(OR(T2168=0,RIGHT(T2168,1)=$W$1),"",COUNTIF($T$3:T2168,T2168))</f>
        <v/>
      </c>
      <c r="S2168" s="6">
        <f t="shared" si="338"/>
        <v>0</v>
      </c>
      <c r="T2168" s="36">
        <f t="shared" si="339"/>
        <v>0</v>
      </c>
      <c r="V2168" s="6">
        <f t="shared" si="340"/>
        <v>0</v>
      </c>
      <c r="Y2168" s="8">
        <f t="shared" si="341"/>
        <v>46023</v>
      </c>
    </row>
    <row r="2169" spans="2:25" ht="18.75" x14ac:dyDescent="0.3">
      <c r="B2169" s="6">
        <f t="shared" si="333"/>
        <v>0</v>
      </c>
      <c r="C2169" s="6">
        <f t="shared" si="334"/>
        <v>0</v>
      </c>
      <c r="D2169" s="6" t="str">
        <f t="shared" si="335"/>
        <v/>
      </c>
      <c r="E2169" s="35" t="str">
        <f t="shared" si="332"/>
        <v/>
      </c>
      <c r="F2169" s="31"/>
      <c r="G2169" s="29"/>
      <c r="H2169" s="78" t="str">
        <f t="shared" si="336"/>
        <v/>
      </c>
      <c r="I2169" s="25"/>
      <c r="J2169" s="25"/>
      <c r="K2169" s="26"/>
      <c r="L2169" s="26"/>
      <c r="M2169" s="37"/>
      <c r="N2169" s="27"/>
      <c r="O2169" s="30"/>
      <c r="P2169" s="39" t="str">
        <f t="shared" si="337"/>
        <v/>
      </c>
      <c r="Q2169" s="40" t="str">
        <f>IF(OR(T2169=0,RIGHT(T2169,1)=$W$1),"",COUNTIF($T$3:T2169,T2169))</f>
        <v/>
      </c>
      <c r="S2169" s="6">
        <f t="shared" si="338"/>
        <v>0</v>
      </c>
      <c r="T2169" s="36">
        <f t="shared" si="339"/>
        <v>0</v>
      </c>
      <c r="V2169" s="6">
        <f t="shared" si="340"/>
        <v>0</v>
      </c>
      <c r="Y2169" s="8">
        <f t="shared" si="341"/>
        <v>46023</v>
      </c>
    </row>
    <row r="2170" spans="2:25" ht="18.75" x14ac:dyDescent="0.3">
      <c r="B2170" s="6">
        <f t="shared" si="333"/>
        <v>0</v>
      </c>
      <c r="C2170" s="6">
        <f t="shared" si="334"/>
        <v>0</v>
      </c>
      <c r="D2170" s="6" t="str">
        <f t="shared" si="335"/>
        <v/>
      </c>
      <c r="E2170" s="35" t="str">
        <f t="shared" si="332"/>
        <v/>
      </c>
      <c r="F2170" s="31"/>
      <c r="G2170" s="29"/>
      <c r="H2170" s="78" t="str">
        <f t="shared" si="336"/>
        <v/>
      </c>
      <c r="I2170" s="25"/>
      <c r="J2170" s="25"/>
      <c r="K2170" s="26"/>
      <c r="L2170" s="26"/>
      <c r="M2170" s="37"/>
      <c r="N2170" s="27"/>
      <c r="O2170" s="30"/>
      <c r="P2170" s="39" t="str">
        <f t="shared" si="337"/>
        <v/>
      </c>
      <c r="Q2170" s="40" t="str">
        <f>IF(OR(T2170=0,RIGHT(T2170,1)=$W$1),"",COUNTIF($T$3:T2170,T2170))</f>
        <v/>
      </c>
      <c r="S2170" s="6">
        <f t="shared" si="338"/>
        <v>0</v>
      </c>
      <c r="T2170" s="36">
        <f t="shared" si="339"/>
        <v>0</v>
      </c>
      <c r="V2170" s="6">
        <f t="shared" si="340"/>
        <v>0</v>
      </c>
      <c r="Y2170" s="8">
        <f t="shared" si="341"/>
        <v>46023</v>
      </c>
    </row>
    <row r="2171" spans="2:25" ht="18.75" x14ac:dyDescent="0.3">
      <c r="B2171" s="6">
        <f t="shared" si="333"/>
        <v>0</v>
      </c>
      <c r="C2171" s="6">
        <f t="shared" si="334"/>
        <v>0</v>
      </c>
      <c r="D2171" s="6" t="str">
        <f t="shared" si="335"/>
        <v/>
      </c>
      <c r="E2171" s="35" t="str">
        <f t="shared" si="332"/>
        <v/>
      </c>
      <c r="F2171" s="31"/>
      <c r="G2171" s="29"/>
      <c r="H2171" s="78" t="str">
        <f t="shared" si="336"/>
        <v/>
      </c>
      <c r="I2171" s="25"/>
      <c r="J2171" s="25"/>
      <c r="K2171" s="26"/>
      <c r="L2171" s="26"/>
      <c r="M2171" s="37"/>
      <c r="N2171" s="27"/>
      <c r="O2171" s="30"/>
      <c r="P2171" s="39" t="str">
        <f t="shared" si="337"/>
        <v/>
      </c>
      <c r="Q2171" s="40" t="str">
        <f>IF(OR(T2171=0,RIGHT(T2171,1)=$W$1),"",COUNTIF($T$3:T2171,T2171))</f>
        <v/>
      </c>
      <c r="S2171" s="6">
        <f t="shared" si="338"/>
        <v>0</v>
      </c>
      <c r="T2171" s="36">
        <f t="shared" si="339"/>
        <v>0</v>
      </c>
      <c r="V2171" s="6">
        <f t="shared" si="340"/>
        <v>0</v>
      </c>
      <c r="Y2171" s="8">
        <f t="shared" si="341"/>
        <v>46023</v>
      </c>
    </row>
    <row r="2172" spans="2:25" ht="18.75" x14ac:dyDescent="0.3">
      <c r="B2172" s="6">
        <f t="shared" si="333"/>
        <v>0</v>
      </c>
      <c r="C2172" s="6">
        <f t="shared" si="334"/>
        <v>0</v>
      </c>
      <c r="D2172" s="6" t="str">
        <f t="shared" si="335"/>
        <v/>
      </c>
      <c r="E2172" s="35" t="str">
        <f t="shared" si="332"/>
        <v/>
      </c>
      <c r="F2172" s="31"/>
      <c r="G2172" s="29"/>
      <c r="H2172" s="78" t="str">
        <f t="shared" si="336"/>
        <v/>
      </c>
      <c r="I2172" s="25"/>
      <c r="J2172" s="25"/>
      <c r="K2172" s="26"/>
      <c r="L2172" s="26"/>
      <c r="M2172" s="37"/>
      <c r="N2172" s="27"/>
      <c r="O2172" s="30"/>
      <c r="P2172" s="39" t="str">
        <f t="shared" si="337"/>
        <v/>
      </c>
      <c r="Q2172" s="40" t="str">
        <f>IF(OR(T2172=0,RIGHT(T2172,1)=$W$1),"",COUNTIF($T$3:T2172,T2172))</f>
        <v/>
      </c>
      <c r="S2172" s="6">
        <f t="shared" si="338"/>
        <v>0</v>
      </c>
      <c r="T2172" s="36">
        <f t="shared" si="339"/>
        <v>0</v>
      </c>
      <c r="V2172" s="6">
        <f t="shared" si="340"/>
        <v>0</v>
      </c>
      <c r="Y2172" s="8">
        <f t="shared" si="341"/>
        <v>46023</v>
      </c>
    </row>
    <row r="2173" spans="2:25" ht="18.75" x14ac:dyDescent="0.3">
      <c r="B2173" s="6">
        <f t="shared" si="333"/>
        <v>0</v>
      </c>
      <c r="C2173" s="6">
        <f t="shared" si="334"/>
        <v>0</v>
      </c>
      <c r="D2173" s="6" t="str">
        <f t="shared" si="335"/>
        <v/>
      </c>
      <c r="E2173" s="35" t="str">
        <f t="shared" si="332"/>
        <v/>
      </c>
      <c r="F2173" s="31"/>
      <c r="G2173" s="29"/>
      <c r="H2173" s="78" t="str">
        <f t="shared" si="336"/>
        <v/>
      </c>
      <c r="I2173" s="25"/>
      <c r="J2173" s="25"/>
      <c r="K2173" s="26"/>
      <c r="L2173" s="26"/>
      <c r="M2173" s="37"/>
      <c r="N2173" s="27"/>
      <c r="O2173" s="30"/>
      <c r="P2173" s="39" t="str">
        <f t="shared" si="337"/>
        <v/>
      </c>
      <c r="Q2173" s="40" t="str">
        <f>IF(OR(T2173=0,RIGHT(T2173,1)=$W$1),"",COUNTIF($T$3:T2173,T2173))</f>
        <v/>
      </c>
      <c r="S2173" s="6">
        <f t="shared" si="338"/>
        <v>0</v>
      </c>
      <c r="T2173" s="36">
        <f t="shared" si="339"/>
        <v>0</v>
      </c>
      <c r="V2173" s="6">
        <f t="shared" si="340"/>
        <v>0</v>
      </c>
      <c r="Y2173" s="8">
        <f t="shared" si="341"/>
        <v>46023</v>
      </c>
    </row>
    <row r="2174" spans="2:25" ht="18.75" x14ac:dyDescent="0.3">
      <c r="B2174" s="6">
        <f t="shared" si="333"/>
        <v>0</v>
      </c>
      <c r="C2174" s="6">
        <f t="shared" si="334"/>
        <v>0</v>
      </c>
      <c r="D2174" s="6" t="str">
        <f t="shared" si="335"/>
        <v/>
      </c>
      <c r="E2174" s="35" t="str">
        <f t="shared" si="332"/>
        <v/>
      </c>
      <c r="F2174" s="31"/>
      <c r="G2174" s="29"/>
      <c r="H2174" s="78" t="str">
        <f t="shared" si="336"/>
        <v/>
      </c>
      <c r="I2174" s="25"/>
      <c r="J2174" s="25"/>
      <c r="K2174" s="26"/>
      <c r="L2174" s="26"/>
      <c r="M2174" s="37"/>
      <c r="N2174" s="27"/>
      <c r="O2174" s="30"/>
      <c r="P2174" s="39" t="str">
        <f t="shared" si="337"/>
        <v/>
      </c>
      <c r="Q2174" s="40" t="str">
        <f>IF(OR(T2174=0,RIGHT(T2174,1)=$W$1),"",COUNTIF($T$3:T2174,T2174))</f>
        <v/>
      </c>
      <c r="S2174" s="6">
        <f t="shared" si="338"/>
        <v>0</v>
      </c>
      <c r="T2174" s="36">
        <f t="shared" si="339"/>
        <v>0</v>
      </c>
      <c r="V2174" s="6">
        <f t="shared" si="340"/>
        <v>0</v>
      </c>
      <c r="Y2174" s="8">
        <f t="shared" si="341"/>
        <v>46023</v>
      </c>
    </row>
    <row r="2175" spans="2:25" ht="18.75" x14ac:dyDescent="0.3">
      <c r="B2175" s="6">
        <f t="shared" si="333"/>
        <v>0</v>
      </c>
      <c r="C2175" s="6">
        <f t="shared" si="334"/>
        <v>0</v>
      </c>
      <c r="D2175" s="6" t="str">
        <f t="shared" si="335"/>
        <v/>
      </c>
      <c r="E2175" s="35" t="str">
        <f t="shared" si="332"/>
        <v/>
      </c>
      <c r="F2175" s="31"/>
      <c r="G2175" s="29"/>
      <c r="H2175" s="78" t="str">
        <f t="shared" si="336"/>
        <v/>
      </c>
      <c r="I2175" s="25"/>
      <c r="J2175" s="25"/>
      <c r="K2175" s="26"/>
      <c r="L2175" s="26"/>
      <c r="M2175" s="37"/>
      <c r="N2175" s="27"/>
      <c r="O2175" s="30"/>
      <c r="P2175" s="39" t="str">
        <f t="shared" si="337"/>
        <v/>
      </c>
      <c r="Q2175" s="40" t="str">
        <f>IF(OR(T2175=0,RIGHT(T2175,1)=$W$1),"",COUNTIF($T$3:T2175,T2175))</f>
        <v/>
      </c>
      <c r="S2175" s="6">
        <f t="shared" si="338"/>
        <v>0</v>
      </c>
      <c r="T2175" s="36">
        <f t="shared" si="339"/>
        <v>0</v>
      </c>
      <c r="V2175" s="6">
        <f t="shared" si="340"/>
        <v>0</v>
      </c>
      <c r="Y2175" s="8">
        <f t="shared" si="341"/>
        <v>46023</v>
      </c>
    </row>
    <row r="2176" spans="2:25" ht="18.75" x14ac:dyDescent="0.3">
      <c r="B2176" s="6">
        <f t="shared" si="333"/>
        <v>0</v>
      </c>
      <c r="C2176" s="6">
        <f t="shared" si="334"/>
        <v>0</v>
      </c>
      <c r="D2176" s="6" t="str">
        <f t="shared" si="335"/>
        <v/>
      </c>
      <c r="E2176" s="35" t="str">
        <f t="shared" si="332"/>
        <v/>
      </c>
      <c r="F2176" s="31"/>
      <c r="G2176" s="29"/>
      <c r="H2176" s="78" t="str">
        <f t="shared" si="336"/>
        <v/>
      </c>
      <c r="I2176" s="25"/>
      <c r="J2176" s="25"/>
      <c r="K2176" s="26"/>
      <c r="L2176" s="26"/>
      <c r="M2176" s="37"/>
      <c r="N2176" s="27"/>
      <c r="O2176" s="30"/>
      <c r="P2176" s="39" t="str">
        <f t="shared" si="337"/>
        <v/>
      </c>
      <c r="Q2176" s="40" t="str">
        <f>IF(OR(T2176=0,RIGHT(T2176,1)=$W$1),"",COUNTIF($T$3:T2176,T2176))</f>
        <v/>
      </c>
      <c r="S2176" s="6">
        <f t="shared" si="338"/>
        <v>0</v>
      </c>
      <c r="T2176" s="36">
        <f t="shared" si="339"/>
        <v>0</v>
      </c>
      <c r="V2176" s="6">
        <f t="shared" si="340"/>
        <v>0</v>
      </c>
      <c r="Y2176" s="8">
        <f t="shared" si="341"/>
        <v>46023</v>
      </c>
    </row>
    <row r="2177" spans="2:25" ht="18.75" x14ac:dyDescent="0.3">
      <c r="B2177" s="6">
        <f t="shared" si="333"/>
        <v>0</v>
      </c>
      <c r="C2177" s="6">
        <f t="shared" si="334"/>
        <v>0</v>
      </c>
      <c r="D2177" s="6" t="str">
        <f t="shared" si="335"/>
        <v/>
      </c>
      <c r="E2177" s="35" t="str">
        <f t="shared" si="332"/>
        <v/>
      </c>
      <c r="F2177" s="31"/>
      <c r="G2177" s="29"/>
      <c r="H2177" s="78" t="str">
        <f t="shared" si="336"/>
        <v/>
      </c>
      <c r="I2177" s="25"/>
      <c r="J2177" s="25"/>
      <c r="K2177" s="26"/>
      <c r="L2177" s="26"/>
      <c r="M2177" s="37"/>
      <c r="N2177" s="27"/>
      <c r="O2177" s="30"/>
      <c r="P2177" s="39" t="str">
        <f t="shared" si="337"/>
        <v/>
      </c>
      <c r="Q2177" s="40" t="str">
        <f>IF(OR(T2177=0,RIGHT(T2177,1)=$W$1),"",COUNTIF($T$3:T2177,T2177))</f>
        <v/>
      </c>
      <c r="S2177" s="6">
        <f t="shared" si="338"/>
        <v>0</v>
      </c>
      <c r="T2177" s="36">
        <f t="shared" si="339"/>
        <v>0</v>
      </c>
      <c r="V2177" s="6">
        <f t="shared" si="340"/>
        <v>0</v>
      </c>
      <c r="Y2177" s="8">
        <f t="shared" si="341"/>
        <v>46023</v>
      </c>
    </row>
    <row r="2178" spans="2:25" ht="18.75" x14ac:dyDescent="0.3">
      <c r="B2178" s="6">
        <f t="shared" si="333"/>
        <v>0</v>
      </c>
      <c r="C2178" s="6">
        <f t="shared" si="334"/>
        <v>0</v>
      </c>
      <c r="D2178" s="6" t="str">
        <f t="shared" si="335"/>
        <v/>
      </c>
      <c r="E2178" s="35" t="str">
        <f t="shared" si="332"/>
        <v/>
      </c>
      <c r="F2178" s="31"/>
      <c r="G2178" s="29"/>
      <c r="H2178" s="78" t="str">
        <f t="shared" si="336"/>
        <v/>
      </c>
      <c r="I2178" s="25"/>
      <c r="J2178" s="25"/>
      <c r="K2178" s="26"/>
      <c r="L2178" s="26"/>
      <c r="M2178" s="37"/>
      <c r="N2178" s="27"/>
      <c r="O2178" s="30"/>
      <c r="P2178" s="39" t="str">
        <f t="shared" si="337"/>
        <v/>
      </c>
      <c r="Q2178" s="40" t="str">
        <f>IF(OR(T2178=0,RIGHT(T2178,1)=$W$1),"",COUNTIF($T$3:T2178,T2178))</f>
        <v/>
      </c>
      <c r="S2178" s="6">
        <f t="shared" si="338"/>
        <v>0</v>
      </c>
      <c r="T2178" s="36">
        <f t="shared" si="339"/>
        <v>0</v>
      </c>
      <c r="V2178" s="6">
        <f t="shared" si="340"/>
        <v>0</v>
      </c>
      <c r="Y2178" s="8">
        <f t="shared" si="341"/>
        <v>46023</v>
      </c>
    </row>
    <row r="2179" spans="2:25" ht="18.75" x14ac:dyDescent="0.3">
      <c r="B2179" s="6">
        <f t="shared" si="333"/>
        <v>0</v>
      </c>
      <c r="C2179" s="6">
        <f t="shared" si="334"/>
        <v>0</v>
      </c>
      <c r="D2179" s="6" t="str">
        <f t="shared" si="335"/>
        <v/>
      </c>
      <c r="E2179" s="35" t="str">
        <f t="shared" ref="E2179:E2242" si="342">IF(D2179&lt;&gt;"",D2179&amp;" - "&amp;YEAR(F2179),"")</f>
        <v/>
      </c>
      <c r="F2179" s="31"/>
      <c r="G2179" s="29"/>
      <c r="H2179" s="78" t="str">
        <f t="shared" si="336"/>
        <v/>
      </c>
      <c r="I2179" s="25"/>
      <c r="J2179" s="25"/>
      <c r="K2179" s="26"/>
      <c r="L2179" s="26"/>
      <c r="M2179" s="37"/>
      <c r="N2179" s="27"/>
      <c r="O2179" s="30"/>
      <c r="P2179" s="39" t="str">
        <f t="shared" si="337"/>
        <v/>
      </c>
      <c r="Q2179" s="40" t="str">
        <f>IF(OR(T2179=0,RIGHT(T2179,1)=$W$1),"",COUNTIF($T$3:T2179,T2179))</f>
        <v/>
      </c>
      <c r="S2179" s="6">
        <f t="shared" si="338"/>
        <v>0</v>
      </c>
      <c r="T2179" s="36">
        <f t="shared" si="339"/>
        <v>0</v>
      </c>
      <c r="V2179" s="6">
        <f t="shared" si="340"/>
        <v>0</v>
      </c>
      <c r="Y2179" s="8">
        <f t="shared" si="341"/>
        <v>46023</v>
      </c>
    </row>
    <row r="2180" spans="2:25" ht="18.75" x14ac:dyDescent="0.3">
      <c r="B2180" s="6">
        <f t="shared" ref="B2180:B2243" si="343">IF($B$1=YEAR(F2180),B2179+1,B2179)</f>
        <v>0</v>
      </c>
      <c r="C2180" s="6">
        <f t="shared" ref="C2180:C2243" si="344">IF(AND($C$1=K2180,$Y$1=YEAR(F2180)),C2179+1,C2179)</f>
        <v>0</v>
      </c>
      <c r="D2180" s="6" t="str">
        <f t="shared" ref="D2180:D2243" si="345">IF(F2180&lt;&gt;0,IF(YEAR(F2180)&lt;&gt;YEAR(F2179),1,IF(M2180=$AI$1,D2179,D2179+1)),"")</f>
        <v/>
      </c>
      <c r="E2180" s="35" t="str">
        <f t="shared" si="342"/>
        <v/>
      </c>
      <c r="F2180" s="31"/>
      <c r="G2180" s="29"/>
      <c r="H2180" s="78" t="str">
        <f t="shared" ref="H2180:H2243" si="346">IF(G2180&lt;&gt;"",F2180,"")</f>
        <v/>
      </c>
      <c r="I2180" s="25"/>
      <c r="J2180" s="25"/>
      <c r="K2180" s="26"/>
      <c r="L2180" s="26"/>
      <c r="M2180" s="37"/>
      <c r="N2180" s="27"/>
      <c r="O2180" s="30"/>
      <c r="P2180" s="39" t="str">
        <f t="shared" ref="P2180:P2243" si="347">IF(OR(T2180=0,RIGHT(T2180,1)=$W$1),"",VLOOKUP(K2180,$AD$1:$AK$15,5,FALSE))</f>
        <v/>
      </c>
      <c r="Q2180" s="40" t="str">
        <f>IF(OR(T2180=0,RIGHT(T2180,1)=$W$1),"",COUNTIF($T$3:T2180,T2180))</f>
        <v/>
      </c>
      <c r="S2180" s="6">
        <f t="shared" ref="S2180:S2243" si="348">IF(AND($C$1=K2180,$Y$1=YEAR(F2180)),C2180,0)</f>
        <v>0</v>
      </c>
      <c r="T2180" s="36">
        <f t="shared" ref="T2180:T2243" si="349">IF(F2180=0,0,YEAR(F2180)&amp;VLOOKUP(K2180,$AD$1:$AE$15,2,FALSE))</f>
        <v>0</v>
      </c>
      <c r="V2180" s="6">
        <f t="shared" ref="V2180:V2243" si="350">IF(AND(YEAR(F2180)=$Y$1,K2180=$C$1,L2180&amp;$V$1&lt;&gt;$V$1),L2180,IF(AND(YEAR(F2180)=$Y$1,K2180=$C$1),1,0))</f>
        <v>0</v>
      </c>
      <c r="Y2180" s="8">
        <f t="shared" ref="Y2180:Y2243" si="351">IF(M2180&lt;&gt;$AI$1,$Y$2,F2179)</f>
        <v>46023</v>
      </c>
    </row>
    <row r="2181" spans="2:25" ht="18.75" x14ac:dyDescent="0.3">
      <c r="B2181" s="6">
        <f t="shared" si="343"/>
        <v>0</v>
      </c>
      <c r="C2181" s="6">
        <f t="shared" si="344"/>
        <v>0</v>
      </c>
      <c r="D2181" s="6" t="str">
        <f t="shared" si="345"/>
        <v/>
      </c>
      <c r="E2181" s="35" t="str">
        <f t="shared" si="342"/>
        <v/>
      </c>
      <c r="F2181" s="31"/>
      <c r="G2181" s="29"/>
      <c r="H2181" s="78" t="str">
        <f t="shared" si="346"/>
        <v/>
      </c>
      <c r="I2181" s="25"/>
      <c r="J2181" s="25"/>
      <c r="K2181" s="26"/>
      <c r="L2181" s="26"/>
      <c r="M2181" s="37"/>
      <c r="N2181" s="27"/>
      <c r="O2181" s="30"/>
      <c r="P2181" s="39" t="str">
        <f t="shared" si="347"/>
        <v/>
      </c>
      <c r="Q2181" s="40" t="str">
        <f>IF(OR(T2181=0,RIGHT(T2181,1)=$W$1),"",COUNTIF($T$3:T2181,T2181))</f>
        <v/>
      </c>
      <c r="S2181" s="6">
        <f t="shared" si="348"/>
        <v>0</v>
      </c>
      <c r="T2181" s="36">
        <f t="shared" si="349"/>
        <v>0</v>
      </c>
      <c r="V2181" s="6">
        <f t="shared" si="350"/>
        <v>0</v>
      </c>
      <c r="Y2181" s="8">
        <f t="shared" si="351"/>
        <v>46023</v>
      </c>
    </row>
    <row r="2182" spans="2:25" ht="18.75" x14ac:dyDescent="0.3">
      <c r="B2182" s="6">
        <f t="shared" si="343"/>
        <v>0</v>
      </c>
      <c r="C2182" s="6">
        <f t="shared" si="344"/>
        <v>0</v>
      </c>
      <c r="D2182" s="6" t="str">
        <f t="shared" si="345"/>
        <v/>
      </c>
      <c r="E2182" s="35" t="str">
        <f t="shared" si="342"/>
        <v/>
      </c>
      <c r="F2182" s="31"/>
      <c r="G2182" s="29"/>
      <c r="H2182" s="78" t="str">
        <f t="shared" si="346"/>
        <v/>
      </c>
      <c r="I2182" s="25"/>
      <c r="J2182" s="25"/>
      <c r="K2182" s="26"/>
      <c r="L2182" s="26"/>
      <c r="M2182" s="37"/>
      <c r="N2182" s="27"/>
      <c r="O2182" s="30"/>
      <c r="P2182" s="39" t="str">
        <f t="shared" si="347"/>
        <v/>
      </c>
      <c r="Q2182" s="40" t="str">
        <f>IF(OR(T2182=0,RIGHT(T2182,1)=$W$1),"",COUNTIF($T$3:T2182,T2182))</f>
        <v/>
      </c>
      <c r="S2182" s="6">
        <f t="shared" si="348"/>
        <v>0</v>
      </c>
      <c r="T2182" s="36">
        <f t="shared" si="349"/>
        <v>0</v>
      </c>
      <c r="V2182" s="6">
        <f t="shared" si="350"/>
        <v>0</v>
      </c>
      <c r="Y2182" s="8">
        <f t="shared" si="351"/>
        <v>46023</v>
      </c>
    </row>
    <row r="2183" spans="2:25" ht="18.75" x14ac:dyDescent="0.3">
      <c r="B2183" s="6">
        <f t="shared" si="343"/>
        <v>0</v>
      </c>
      <c r="C2183" s="6">
        <f t="shared" si="344"/>
        <v>0</v>
      </c>
      <c r="D2183" s="6" t="str">
        <f t="shared" si="345"/>
        <v/>
      </c>
      <c r="E2183" s="35" t="str">
        <f t="shared" si="342"/>
        <v/>
      </c>
      <c r="F2183" s="31"/>
      <c r="G2183" s="29"/>
      <c r="H2183" s="78" t="str">
        <f t="shared" si="346"/>
        <v/>
      </c>
      <c r="I2183" s="25"/>
      <c r="J2183" s="25"/>
      <c r="K2183" s="26"/>
      <c r="L2183" s="26"/>
      <c r="M2183" s="37"/>
      <c r="N2183" s="27"/>
      <c r="O2183" s="30"/>
      <c r="P2183" s="39" t="str">
        <f t="shared" si="347"/>
        <v/>
      </c>
      <c r="Q2183" s="40" t="str">
        <f>IF(OR(T2183=0,RIGHT(T2183,1)=$W$1),"",COUNTIF($T$3:T2183,T2183))</f>
        <v/>
      </c>
      <c r="S2183" s="6">
        <f t="shared" si="348"/>
        <v>0</v>
      </c>
      <c r="T2183" s="36">
        <f t="shared" si="349"/>
        <v>0</v>
      </c>
      <c r="V2183" s="6">
        <f t="shared" si="350"/>
        <v>0</v>
      </c>
      <c r="Y2183" s="8">
        <f t="shared" si="351"/>
        <v>46023</v>
      </c>
    </row>
    <row r="2184" spans="2:25" ht="18.75" x14ac:dyDescent="0.3">
      <c r="B2184" s="6">
        <f t="shared" si="343"/>
        <v>0</v>
      </c>
      <c r="C2184" s="6">
        <f t="shared" si="344"/>
        <v>0</v>
      </c>
      <c r="D2184" s="6" t="str">
        <f t="shared" si="345"/>
        <v/>
      </c>
      <c r="E2184" s="35" t="str">
        <f t="shared" si="342"/>
        <v/>
      </c>
      <c r="F2184" s="31"/>
      <c r="G2184" s="29"/>
      <c r="H2184" s="78" t="str">
        <f t="shared" si="346"/>
        <v/>
      </c>
      <c r="I2184" s="25"/>
      <c r="J2184" s="25"/>
      <c r="K2184" s="26"/>
      <c r="L2184" s="26"/>
      <c r="M2184" s="37"/>
      <c r="N2184" s="27"/>
      <c r="O2184" s="30"/>
      <c r="P2184" s="39" t="str">
        <f t="shared" si="347"/>
        <v/>
      </c>
      <c r="Q2184" s="40" t="str">
        <f>IF(OR(T2184=0,RIGHT(T2184,1)=$W$1),"",COUNTIF($T$3:T2184,T2184))</f>
        <v/>
      </c>
      <c r="S2184" s="6">
        <f t="shared" si="348"/>
        <v>0</v>
      </c>
      <c r="T2184" s="36">
        <f t="shared" si="349"/>
        <v>0</v>
      </c>
      <c r="V2184" s="6">
        <f t="shared" si="350"/>
        <v>0</v>
      </c>
      <c r="Y2184" s="8">
        <f t="shared" si="351"/>
        <v>46023</v>
      </c>
    </row>
    <row r="2185" spans="2:25" ht="18.75" x14ac:dyDescent="0.3">
      <c r="B2185" s="6">
        <f t="shared" si="343"/>
        <v>0</v>
      </c>
      <c r="C2185" s="6">
        <f t="shared" si="344"/>
        <v>0</v>
      </c>
      <c r="D2185" s="6" t="str">
        <f t="shared" si="345"/>
        <v/>
      </c>
      <c r="E2185" s="35" t="str">
        <f t="shared" si="342"/>
        <v/>
      </c>
      <c r="F2185" s="31"/>
      <c r="G2185" s="29"/>
      <c r="H2185" s="78" t="str">
        <f t="shared" si="346"/>
        <v/>
      </c>
      <c r="I2185" s="25"/>
      <c r="J2185" s="25"/>
      <c r="K2185" s="26"/>
      <c r="L2185" s="26"/>
      <c r="M2185" s="37"/>
      <c r="N2185" s="27"/>
      <c r="O2185" s="30"/>
      <c r="P2185" s="39" t="str">
        <f t="shared" si="347"/>
        <v/>
      </c>
      <c r="Q2185" s="40" t="str">
        <f>IF(OR(T2185=0,RIGHT(T2185,1)=$W$1),"",COUNTIF($T$3:T2185,T2185))</f>
        <v/>
      </c>
      <c r="S2185" s="6">
        <f t="shared" si="348"/>
        <v>0</v>
      </c>
      <c r="T2185" s="36">
        <f t="shared" si="349"/>
        <v>0</v>
      </c>
      <c r="V2185" s="6">
        <f t="shared" si="350"/>
        <v>0</v>
      </c>
      <c r="Y2185" s="8">
        <f t="shared" si="351"/>
        <v>46023</v>
      </c>
    </row>
    <row r="2186" spans="2:25" ht="18.75" x14ac:dyDescent="0.3">
      <c r="B2186" s="6">
        <f t="shared" si="343"/>
        <v>0</v>
      </c>
      <c r="C2186" s="6">
        <f t="shared" si="344"/>
        <v>0</v>
      </c>
      <c r="D2186" s="6" t="str">
        <f t="shared" si="345"/>
        <v/>
      </c>
      <c r="E2186" s="35" t="str">
        <f t="shared" si="342"/>
        <v/>
      </c>
      <c r="F2186" s="31"/>
      <c r="G2186" s="29"/>
      <c r="H2186" s="78" t="str">
        <f t="shared" si="346"/>
        <v/>
      </c>
      <c r="I2186" s="25"/>
      <c r="J2186" s="25"/>
      <c r="K2186" s="26"/>
      <c r="L2186" s="26"/>
      <c r="M2186" s="37"/>
      <c r="N2186" s="27"/>
      <c r="O2186" s="30"/>
      <c r="P2186" s="39" t="str">
        <f t="shared" si="347"/>
        <v/>
      </c>
      <c r="Q2186" s="40" t="str">
        <f>IF(OR(T2186=0,RIGHT(T2186,1)=$W$1),"",COUNTIF($T$3:T2186,T2186))</f>
        <v/>
      </c>
      <c r="S2186" s="6">
        <f t="shared" si="348"/>
        <v>0</v>
      </c>
      <c r="T2186" s="36">
        <f t="shared" si="349"/>
        <v>0</v>
      </c>
      <c r="V2186" s="6">
        <f t="shared" si="350"/>
        <v>0</v>
      </c>
      <c r="Y2186" s="8">
        <f t="shared" si="351"/>
        <v>46023</v>
      </c>
    </row>
    <row r="2187" spans="2:25" ht="18.75" x14ac:dyDescent="0.3">
      <c r="B2187" s="6">
        <f t="shared" si="343"/>
        <v>0</v>
      </c>
      <c r="C2187" s="6">
        <f t="shared" si="344"/>
        <v>0</v>
      </c>
      <c r="D2187" s="6" t="str">
        <f t="shared" si="345"/>
        <v/>
      </c>
      <c r="E2187" s="35" t="str">
        <f t="shared" si="342"/>
        <v/>
      </c>
      <c r="F2187" s="31"/>
      <c r="G2187" s="29"/>
      <c r="H2187" s="78" t="str">
        <f t="shared" si="346"/>
        <v/>
      </c>
      <c r="I2187" s="25"/>
      <c r="J2187" s="25"/>
      <c r="K2187" s="26"/>
      <c r="L2187" s="26"/>
      <c r="M2187" s="37"/>
      <c r="N2187" s="27"/>
      <c r="O2187" s="30"/>
      <c r="P2187" s="39" t="str">
        <f t="shared" si="347"/>
        <v/>
      </c>
      <c r="Q2187" s="40" t="str">
        <f>IF(OR(T2187=0,RIGHT(T2187,1)=$W$1),"",COUNTIF($T$3:T2187,T2187))</f>
        <v/>
      </c>
      <c r="S2187" s="6">
        <f t="shared" si="348"/>
        <v>0</v>
      </c>
      <c r="T2187" s="36">
        <f t="shared" si="349"/>
        <v>0</v>
      </c>
      <c r="V2187" s="6">
        <f t="shared" si="350"/>
        <v>0</v>
      </c>
      <c r="Y2187" s="8">
        <f t="shared" si="351"/>
        <v>46023</v>
      </c>
    </row>
    <row r="2188" spans="2:25" ht="18.75" x14ac:dyDescent="0.3">
      <c r="B2188" s="6">
        <f t="shared" si="343"/>
        <v>0</v>
      </c>
      <c r="C2188" s="6">
        <f t="shared" si="344"/>
        <v>0</v>
      </c>
      <c r="D2188" s="6" t="str">
        <f t="shared" si="345"/>
        <v/>
      </c>
      <c r="E2188" s="35" t="str">
        <f t="shared" si="342"/>
        <v/>
      </c>
      <c r="F2188" s="31"/>
      <c r="G2188" s="29"/>
      <c r="H2188" s="78" t="str">
        <f t="shared" si="346"/>
        <v/>
      </c>
      <c r="I2188" s="25"/>
      <c r="J2188" s="25"/>
      <c r="K2188" s="26"/>
      <c r="L2188" s="26"/>
      <c r="M2188" s="37"/>
      <c r="N2188" s="27"/>
      <c r="O2188" s="30"/>
      <c r="P2188" s="39" t="str">
        <f t="shared" si="347"/>
        <v/>
      </c>
      <c r="Q2188" s="40" t="str">
        <f>IF(OR(T2188=0,RIGHT(T2188,1)=$W$1),"",COUNTIF($T$3:T2188,T2188))</f>
        <v/>
      </c>
      <c r="S2188" s="6">
        <f t="shared" si="348"/>
        <v>0</v>
      </c>
      <c r="T2188" s="36">
        <f t="shared" si="349"/>
        <v>0</v>
      </c>
      <c r="V2188" s="6">
        <f t="shared" si="350"/>
        <v>0</v>
      </c>
      <c r="Y2188" s="8">
        <f t="shared" si="351"/>
        <v>46023</v>
      </c>
    </row>
    <row r="2189" spans="2:25" ht="18.75" x14ac:dyDescent="0.3">
      <c r="B2189" s="6">
        <f t="shared" si="343"/>
        <v>0</v>
      </c>
      <c r="C2189" s="6">
        <f t="shared" si="344"/>
        <v>0</v>
      </c>
      <c r="D2189" s="6" t="str">
        <f t="shared" si="345"/>
        <v/>
      </c>
      <c r="E2189" s="35" t="str">
        <f t="shared" si="342"/>
        <v/>
      </c>
      <c r="F2189" s="31"/>
      <c r="G2189" s="29"/>
      <c r="H2189" s="78" t="str">
        <f t="shared" si="346"/>
        <v/>
      </c>
      <c r="I2189" s="25"/>
      <c r="J2189" s="25"/>
      <c r="K2189" s="26"/>
      <c r="L2189" s="26"/>
      <c r="M2189" s="37"/>
      <c r="N2189" s="27"/>
      <c r="O2189" s="30"/>
      <c r="P2189" s="39" t="str">
        <f t="shared" si="347"/>
        <v/>
      </c>
      <c r="Q2189" s="40" t="str">
        <f>IF(OR(T2189=0,RIGHT(T2189,1)=$W$1),"",COUNTIF($T$3:T2189,T2189))</f>
        <v/>
      </c>
      <c r="S2189" s="6">
        <f t="shared" si="348"/>
        <v>0</v>
      </c>
      <c r="T2189" s="36">
        <f t="shared" si="349"/>
        <v>0</v>
      </c>
      <c r="V2189" s="6">
        <f t="shared" si="350"/>
        <v>0</v>
      </c>
      <c r="Y2189" s="8">
        <f t="shared" si="351"/>
        <v>46023</v>
      </c>
    </row>
    <row r="2190" spans="2:25" ht="18.75" x14ac:dyDescent="0.3">
      <c r="B2190" s="6">
        <f t="shared" si="343"/>
        <v>0</v>
      </c>
      <c r="C2190" s="6">
        <f t="shared" si="344"/>
        <v>0</v>
      </c>
      <c r="D2190" s="6" t="str">
        <f t="shared" si="345"/>
        <v/>
      </c>
      <c r="E2190" s="35" t="str">
        <f t="shared" si="342"/>
        <v/>
      </c>
      <c r="F2190" s="31"/>
      <c r="G2190" s="29"/>
      <c r="H2190" s="78" t="str">
        <f t="shared" si="346"/>
        <v/>
      </c>
      <c r="I2190" s="25"/>
      <c r="J2190" s="25"/>
      <c r="K2190" s="26"/>
      <c r="L2190" s="26"/>
      <c r="M2190" s="37"/>
      <c r="N2190" s="27"/>
      <c r="O2190" s="30"/>
      <c r="P2190" s="39" t="str">
        <f t="shared" si="347"/>
        <v/>
      </c>
      <c r="Q2190" s="40" t="str">
        <f>IF(OR(T2190=0,RIGHT(T2190,1)=$W$1),"",COUNTIF($T$3:T2190,T2190))</f>
        <v/>
      </c>
      <c r="S2190" s="6">
        <f t="shared" si="348"/>
        <v>0</v>
      </c>
      <c r="T2190" s="36">
        <f t="shared" si="349"/>
        <v>0</v>
      </c>
      <c r="V2190" s="6">
        <f t="shared" si="350"/>
        <v>0</v>
      </c>
      <c r="Y2190" s="8">
        <f t="shared" si="351"/>
        <v>46023</v>
      </c>
    </row>
    <row r="2191" spans="2:25" ht="18.75" x14ac:dyDescent="0.3">
      <c r="B2191" s="6">
        <f t="shared" si="343"/>
        <v>0</v>
      </c>
      <c r="C2191" s="6">
        <f t="shared" si="344"/>
        <v>0</v>
      </c>
      <c r="D2191" s="6" t="str">
        <f t="shared" si="345"/>
        <v/>
      </c>
      <c r="E2191" s="35" t="str">
        <f t="shared" si="342"/>
        <v/>
      </c>
      <c r="F2191" s="31"/>
      <c r="G2191" s="29"/>
      <c r="H2191" s="78" t="str">
        <f t="shared" si="346"/>
        <v/>
      </c>
      <c r="I2191" s="25"/>
      <c r="J2191" s="25"/>
      <c r="K2191" s="26"/>
      <c r="L2191" s="26"/>
      <c r="M2191" s="37"/>
      <c r="N2191" s="27"/>
      <c r="O2191" s="30"/>
      <c r="P2191" s="39" t="str">
        <f t="shared" si="347"/>
        <v/>
      </c>
      <c r="Q2191" s="40" t="str">
        <f>IF(OR(T2191=0,RIGHT(T2191,1)=$W$1),"",COUNTIF($T$3:T2191,T2191))</f>
        <v/>
      </c>
      <c r="S2191" s="6">
        <f t="shared" si="348"/>
        <v>0</v>
      </c>
      <c r="T2191" s="36">
        <f t="shared" si="349"/>
        <v>0</v>
      </c>
      <c r="V2191" s="6">
        <f t="shared" si="350"/>
        <v>0</v>
      </c>
      <c r="Y2191" s="8">
        <f t="shared" si="351"/>
        <v>46023</v>
      </c>
    </row>
    <row r="2192" spans="2:25" ht="18.75" x14ac:dyDescent="0.3">
      <c r="B2192" s="6">
        <f t="shared" si="343"/>
        <v>0</v>
      </c>
      <c r="C2192" s="6">
        <f t="shared" si="344"/>
        <v>0</v>
      </c>
      <c r="D2192" s="6" t="str">
        <f t="shared" si="345"/>
        <v/>
      </c>
      <c r="E2192" s="35" t="str">
        <f t="shared" si="342"/>
        <v/>
      </c>
      <c r="F2192" s="31"/>
      <c r="G2192" s="29"/>
      <c r="H2192" s="78" t="str">
        <f t="shared" si="346"/>
        <v/>
      </c>
      <c r="I2192" s="25"/>
      <c r="J2192" s="25"/>
      <c r="K2192" s="26"/>
      <c r="L2192" s="26"/>
      <c r="M2192" s="37"/>
      <c r="N2192" s="27"/>
      <c r="O2192" s="30"/>
      <c r="P2192" s="39" t="str">
        <f t="shared" si="347"/>
        <v/>
      </c>
      <c r="Q2192" s="40" t="str">
        <f>IF(OR(T2192=0,RIGHT(T2192,1)=$W$1),"",COUNTIF($T$3:T2192,T2192))</f>
        <v/>
      </c>
      <c r="S2192" s="6">
        <f t="shared" si="348"/>
        <v>0</v>
      </c>
      <c r="T2192" s="36">
        <f t="shared" si="349"/>
        <v>0</v>
      </c>
      <c r="V2192" s="6">
        <f t="shared" si="350"/>
        <v>0</v>
      </c>
      <c r="Y2192" s="8">
        <f t="shared" si="351"/>
        <v>46023</v>
      </c>
    </row>
    <row r="2193" spans="2:25" ht="18.75" x14ac:dyDescent="0.3">
      <c r="B2193" s="6">
        <f t="shared" si="343"/>
        <v>0</v>
      </c>
      <c r="C2193" s="6">
        <f t="shared" si="344"/>
        <v>0</v>
      </c>
      <c r="D2193" s="6" t="str">
        <f t="shared" si="345"/>
        <v/>
      </c>
      <c r="E2193" s="35" t="str">
        <f t="shared" si="342"/>
        <v/>
      </c>
      <c r="F2193" s="31"/>
      <c r="G2193" s="29"/>
      <c r="H2193" s="78" t="str">
        <f t="shared" si="346"/>
        <v/>
      </c>
      <c r="I2193" s="25"/>
      <c r="J2193" s="25"/>
      <c r="K2193" s="26"/>
      <c r="L2193" s="26"/>
      <c r="M2193" s="37"/>
      <c r="N2193" s="27"/>
      <c r="O2193" s="30"/>
      <c r="P2193" s="39" t="str">
        <f t="shared" si="347"/>
        <v/>
      </c>
      <c r="Q2193" s="40" t="str">
        <f>IF(OR(T2193=0,RIGHT(T2193,1)=$W$1),"",COUNTIF($T$3:T2193,T2193))</f>
        <v/>
      </c>
      <c r="S2193" s="6">
        <f t="shared" si="348"/>
        <v>0</v>
      </c>
      <c r="T2193" s="36">
        <f t="shared" si="349"/>
        <v>0</v>
      </c>
      <c r="V2193" s="6">
        <f t="shared" si="350"/>
        <v>0</v>
      </c>
      <c r="Y2193" s="8">
        <f t="shared" si="351"/>
        <v>46023</v>
      </c>
    </row>
    <row r="2194" spans="2:25" ht="18.75" x14ac:dyDescent="0.3">
      <c r="B2194" s="6">
        <f t="shared" si="343"/>
        <v>0</v>
      </c>
      <c r="C2194" s="6">
        <f t="shared" si="344"/>
        <v>0</v>
      </c>
      <c r="D2194" s="6" t="str">
        <f t="shared" si="345"/>
        <v/>
      </c>
      <c r="E2194" s="35" t="str">
        <f t="shared" si="342"/>
        <v/>
      </c>
      <c r="F2194" s="31"/>
      <c r="G2194" s="29"/>
      <c r="H2194" s="78" t="str">
        <f t="shared" si="346"/>
        <v/>
      </c>
      <c r="I2194" s="25"/>
      <c r="J2194" s="25"/>
      <c r="K2194" s="26"/>
      <c r="L2194" s="26"/>
      <c r="M2194" s="37"/>
      <c r="N2194" s="27"/>
      <c r="O2194" s="30"/>
      <c r="P2194" s="39" t="str">
        <f t="shared" si="347"/>
        <v/>
      </c>
      <c r="Q2194" s="40" t="str">
        <f>IF(OR(T2194=0,RIGHT(T2194,1)=$W$1),"",COUNTIF($T$3:T2194,T2194))</f>
        <v/>
      </c>
      <c r="S2194" s="6">
        <f t="shared" si="348"/>
        <v>0</v>
      </c>
      <c r="T2194" s="36">
        <f t="shared" si="349"/>
        <v>0</v>
      </c>
      <c r="V2194" s="6">
        <f t="shared" si="350"/>
        <v>0</v>
      </c>
      <c r="Y2194" s="8">
        <f t="shared" si="351"/>
        <v>46023</v>
      </c>
    </row>
    <row r="2195" spans="2:25" ht="18.75" x14ac:dyDescent="0.3">
      <c r="B2195" s="6">
        <f t="shared" si="343"/>
        <v>0</v>
      </c>
      <c r="C2195" s="6">
        <f t="shared" si="344"/>
        <v>0</v>
      </c>
      <c r="D2195" s="6" t="str">
        <f t="shared" si="345"/>
        <v/>
      </c>
      <c r="E2195" s="35" t="str">
        <f t="shared" si="342"/>
        <v/>
      </c>
      <c r="F2195" s="31"/>
      <c r="G2195" s="29"/>
      <c r="H2195" s="78" t="str">
        <f t="shared" si="346"/>
        <v/>
      </c>
      <c r="I2195" s="25"/>
      <c r="J2195" s="25"/>
      <c r="K2195" s="26"/>
      <c r="L2195" s="26"/>
      <c r="M2195" s="37"/>
      <c r="N2195" s="27"/>
      <c r="O2195" s="30"/>
      <c r="P2195" s="39" t="str">
        <f t="shared" si="347"/>
        <v/>
      </c>
      <c r="Q2195" s="40" t="str">
        <f>IF(OR(T2195=0,RIGHT(T2195,1)=$W$1),"",COUNTIF($T$3:T2195,T2195))</f>
        <v/>
      </c>
      <c r="S2195" s="6">
        <f t="shared" si="348"/>
        <v>0</v>
      </c>
      <c r="T2195" s="36">
        <f t="shared" si="349"/>
        <v>0</v>
      </c>
      <c r="V2195" s="6">
        <f t="shared" si="350"/>
        <v>0</v>
      </c>
      <c r="Y2195" s="8">
        <f t="shared" si="351"/>
        <v>46023</v>
      </c>
    </row>
    <row r="2196" spans="2:25" ht="18.75" x14ac:dyDescent="0.3">
      <c r="B2196" s="6">
        <f t="shared" si="343"/>
        <v>0</v>
      </c>
      <c r="C2196" s="6">
        <f t="shared" si="344"/>
        <v>0</v>
      </c>
      <c r="D2196" s="6" t="str">
        <f t="shared" si="345"/>
        <v/>
      </c>
      <c r="E2196" s="35" t="str">
        <f t="shared" si="342"/>
        <v/>
      </c>
      <c r="F2196" s="31"/>
      <c r="G2196" s="29"/>
      <c r="H2196" s="78" t="str">
        <f t="shared" si="346"/>
        <v/>
      </c>
      <c r="I2196" s="25"/>
      <c r="J2196" s="25"/>
      <c r="K2196" s="26"/>
      <c r="L2196" s="26"/>
      <c r="M2196" s="37"/>
      <c r="N2196" s="27"/>
      <c r="O2196" s="30"/>
      <c r="P2196" s="39" t="str">
        <f t="shared" si="347"/>
        <v/>
      </c>
      <c r="Q2196" s="40" t="str">
        <f>IF(OR(T2196=0,RIGHT(T2196,1)=$W$1),"",COUNTIF($T$3:T2196,T2196))</f>
        <v/>
      </c>
      <c r="S2196" s="6">
        <f t="shared" si="348"/>
        <v>0</v>
      </c>
      <c r="T2196" s="36">
        <f t="shared" si="349"/>
        <v>0</v>
      </c>
      <c r="V2196" s="6">
        <f t="shared" si="350"/>
        <v>0</v>
      </c>
      <c r="Y2196" s="8">
        <f t="shared" si="351"/>
        <v>46023</v>
      </c>
    </row>
    <row r="2197" spans="2:25" ht="18.75" x14ac:dyDescent="0.3">
      <c r="B2197" s="6">
        <f t="shared" si="343"/>
        <v>0</v>
      </c>
      <c r="C2197" s="6">
        <f t="shared" si="344"/>
        <v>0</v>
      </c>
      <c r="D2197" s="6" t="str">
        <f t="shared" si="345"/>
        <v/>
      </c>
      <c r="E2197" s="35" t="str">
        <f t="shared" si="342"/>
        <v/>
      </c>
      <c r="F2197" s="31"/>
      <c r="G2197" s="29"/>
      <c r="H2197" s="78" t="str">
        <f t="shared" si="346"/>
        <v/>
      </c>
      <c r="I2197" s="25"/>
      <c r="J2197" s="25"/>
      <c r="K2197" s="26"/>
      <c r="L2197" s="26"/>
      <c r="M2197" s="37"/>
      <c r="N2197" s="27"/>
      <c r="O2197" s="30"/>
      <c r="P2197" s="39" t="str">
        <f t="shared" si="347"/>
        <v/>
      </c>
      <c r="Q2197" s="40" t="str">
        <f>IF(OR(T2197=0,RIGHT(T2197,1)=$W$1),"",COUNTIF($T$3:T2197,T2197))</f>
        <v/>
      </c>
      <c r="S2197" s="6">
        <f t="shared" si="348"/>
        <v>0</v>
      </c>
      <c r="T2197" s="36">
        <f t="shared" si="349"/>
        <v>0</v>
      </c>
      <c r="V2197" s="6">
        <f t="shared" si="350"/>
        <v>0</v>
      </c>
      <c r="Y2197" s="8">
        <f t="shared" si="351"/>
        <v>46023</v>
      </c>
    </row>
    <row r="2198" spans="2:25" ht="18.75" x14ac:dyDescent="0.3">
      <c r="B2198" s="6">
        <f t="shared" si="343"/>
        <v>0</v>
      </c>
      <c r="C2198" s="6">
        <f t="shared" si="344"/>
        <v>0</v>
      </c>
      <c r="D2198" s="6" t="str">
        <f t="shared" si="345"/>
        <v/>
      </c>
      <c r="E2198" s="35" t="str">
        <f t="shared" si="342"/>
        <v/>
      </c>
      <c r="F2198" s="31"/>
      <c r="G2198" s="29"/>
      <c r="H2198" s="78" t="str">
        <f t="shared" si="346"/>
        <v/>
      </c>
      <c r="I2198" s="25"/>
      <c r="J2198" s="25"/>
      <c r="K2198" s="26"/>
      <c r="L2198" s="26"/>
      <c r="M2198" s="37"/>
      <c r="N2198" s="27"/>
      <c r="O2198" s="30"/>
      <c r="P2198" s="39" t="str">
        <f t="shared" si="347"/>
        <v/>
      </c>
      <c r="Q2198" s="40" t="str">
        <f>IF(OR(T2198=0,RIGHT(T2198,1)=$W$1),"",COUNTIF($T$3:T2198,T2198))</f>
        <v/>
      </c>
      <c r="S2198" s="6">
        <f t="shared" si="348"/>
        <v>0</v>
      </c>
      <c r="T2198" s="36">
        <f t="shared" si="349"/>
        <v>0</v>
      </c>
      <c r="V2198" s="6">
        <f t="shared" si="350"/>
        <v>0</v>
      </c>
      <c r="Y2198" s="8">
        <f t="shared" si="351"/>
        <v>46023</v>
      </c>
    </row>
    <row r="2199" spans="2:25" ht="18.75" x14ac:dyDescent="0.3">
      <c r="B2199" s="6">
        <f t="shared" si="343"/>
        <v>0</v>
      </c>
      <c r="C2199" s="6">
        <f t="shared" si="344"/>
        <v>0</v>
      </c>
      <c r="D2199" s="6" t="str">
        <f t="shared" si="345"/>
        <v/>
      </c>
      <c r="E2199" s="35" t="str">
        <f t="shared" si="342"/>
        <v/>
      </c>
      <c r="F2199" s="31"/>
      <c r="G2199" s="29"/>
      <c r="H2199" s="78" t="str">
        <f t="shared" si="346"/>
        <v/>
      </c>
      <c r="I2199" s="25"/>
      <c r="J2199" s="25"/>
      <c r="K2199" s="26"/>
      <c r="L2199" s="26"/>
      <c r="M2199" s="37"/>
      <c r="N2199" s="27"/>
      <c r="O2199" s="30"/>
      <c r="P2199" s="39" t="str">
        <f t="shared" si="347"/>
        <v/>
      </c>
      <c r="Q2199" s="40" t="str">
        <f>IF(OR(T2199=0,RIGHT(T2199,1)=$W$1),"",COUNTIF($T$3:T2199,T2199))</f>
        <v/>
      </c>
      <c r="S2199" s="6">
        <f t="shared" si="348"/>
        <v>0</v>
      </c>
      <c r="T2199" s="36">
        <f t="shared" si="349"/>
        <v>0</v>
      </c>
      <c r="V2199" s="6">
        <f t="shared" si="350"/>
        <v>0</v>
      </c>
      <c r="Y2199" s="8">
        <f t="shared" si="351"/>
        <v>46023</v>
      </c>
    </row>
    <row r="2200" spans="2:25" ht="18.75" x14ac:dyDescent="0.3">
      <c r="B2200" s="6">
        <f t="shared" si="343"/>
        <v>0</v>
      </c>
      <c r="C2200" s="6">
        <f t="shared" si="344"/>
        <v>0</v>
      </c>
      <c r="D2200" s="6" t="str">
        <f t="shared" si="345"/>
        <v/>
      </c>
      <c r="E2200" s="35" t="str">
        <f t="shared" si="342"/>
        <v/>
      </c>
      <c r="F2200" s="31"/>
      <c r="G2200" s="29"/>
      <c r="H2200" s="78" t="str">
        <f t="shared" si="346"/>
        <v/>
      </c>
      <c r="I2200" s="25"/>
      <c r="J2200" s="25"/>
      <c r="K2200" s="26"/>
      <c r="L2200" s="26"/>
      <c r="M2200" s="37"/>
      <c r="N2200" s="27"/>
      <c r="O2200" s="30"/>
      <c r="P2200" s="39" t="str">
        <f t="shared" si="347"/>
        <v/>
      </c>
      <c r="Q2200" s="40" t="str">
        <f>IF(OR(T2200=0,RIGHT(T2200,1)=$W$1),"",COUNTIF($T$3:T2200,T2200))</f>
        <v/>
      </c>
      <c r="S2200" s="6">
        <f t="shared" si="348"/>
        <v>0</v>
      </c>
      <c r="T2200" s="36">
        <f t="shared" si="349"/>
        <v>0</v>
      </c>
      <c r="V2200" s="6">
        <f t="shared" si="350"/>
        <v>0</v>
      </c>
      <c r="Y2200" s="8">
        <f t="shared" si="351"/>
        <v>46023</v>
      </c>
    </row>
    <row r="2201" spans="2:25" ht="18.75" x14ac:dyDescent="0.3">
      <c r="B2201" s="6">
        <f t="shared" si="343"/>
        <v>0</v>
      </c>
      <c r="C2201" s="6">
        <f t="shared" si="344"/>
        <v>0</v>
      </c>
      <c r="D2201" s="6" t="str">
        <f t="shared" si="345"/>
        <v/>
      </c>
      <c r="E2201" s="35" t="str">
        <f t="shared" si="342"/>
        <v/>
      </c>
      <c r="F2201" s="31"/>
      <c r="G2201" s="29"/>
      <c r="H2201" s="78" t="str">
        <f t="shared" si="346"/>
        <v/>
      </c>
      <c r="I2201" s="25"/>
      <c r="J2201" s="25"/>
      <c r="K2201" s="26"/>
      <c r="L2201" s="26"/>
      <c r="M2201" s="37"/>
      <c r="N2201" s="27"/>
      <c r="O2201" s="30"/>
      <c r="P2201" s="39" t="str">
        <f t="shared" si="347"/>
        <v/>
      </c>
      <c r="Q2201" s="40" t="str">
        <f>IF(OR(T2201=0,RIGHT(T2201,1)=$W$1),"",COUNTIF($T$3:T2201,T2201))</f>
        <v/>
      </c>
      <c r="S2201" s="6">
        <f t="shared" si="348"/>
        <v>0</v>
      </c>
      <c r="T2201" s="36">
        <f t="shared" si="349"/>
        <v>0</v>
      </c>
      <c r="V2201" s="6">
        <f t="shared" si="350"/>
        <v>0</v>
      </c>
      <c r="Y2201" s="8">
        <f t="shared" si="351"/>
        <v>46023</v>
      </c>
    </row>
    <row r="2202" spans="2:25" ht="18.75" x14ac:dyDescent="0.3">
      <c r="B2202" s="6">
        <f t="shared" si="343"/>
        <v>0</v>
      </c>
      <c r="C2202" s="6">
        <f t="shared" si="344"/>
        <v>0</v>
      </c>
      <c r="D2202" s="6" t="str">
        <f t="shared" si="345"/>
        <v/>
      </c>
      <c r="E2202" s="35" t="str">
        <f t="shared" si="342"/>
        <v/>
      </c>
      <c r="F2202" s="31"/>
      <c r="G2202" s="29"/>
      <c r="H2202" s="78" t="str">
        <f t="shared" si="346"/>
        <v/>
      </c>
      <c r="I2202" s="25"/>
      <c r="J2202" s="25"/>
      <c r="K2202" s="26"/>
      <c r="L2202" s="26"/>
      <c r="M2202" s="37"/>
      <c r="N2202" s="27"/>
      <c r="O2202" s="30"/>
      <c r="P2202" s="39" t="str">
        <f t="shared" si="347"/>
        <v/>
      </c>
      <c r="Q2202" s="40" t="str">
        <f>IF(OR(T2202=0,RIGHT(T2202,1)=$W$1),"",COUNTIF($T$3:T2202,T2202))</f>
        <v/>
      </c>
      <c r="S2202" s="6">
        <f t="shared" si="348"/>
        <v>0</v>
      </c>
      <c r="T2202" s="36">
        <f t="shared" si="349"/>
        <v>0</v>
      </c>
      <c r="V2202" s="6">
        <f t="shared" si="350"/>
        <v>0</v>
      </c>
      <c r="Y2202" s="8">
        <f t="shared" si="351"/>
        <v>46023</v>
      </c>
    </row>
    <row r="2203" spans="2:25" ht="18.75" x14ac:dyDescent="0.3">
      <c r="B2203" s="6">
        <f t="shared" si="343"/>
        <v>0</v>
      </c>
      <c r="C2203" s="6">
        <f t="shared" si="344"/>
        <v>0</v>
      </c>
      <c r="D2203" s="6" t="str">
        <f t="shared" si="345"/>
        <v/>
      </c>
      <c r="E2203" s="35" t="str">
        <f t="shared" si="342"/>
        <v/>
      </c>
      <c r="F2203" s="31"/>
      <c r="G2203" s="29"/>
      <c r="H2203" s="78" t="str">
        <f t="shared" si="346"/>
        <v/>
      </c>
      <c r="I2203" s="25"/>
      <c r="J2203" s="25"/>
      <c r="K2203" s="26"/>
      <c r="L2203" s="26"/>
      <c r="M2203" s="37"/>
      <c r="N2203" s="27"/>
      <c r="O2203" s="30"/>
      <c r="P2203" s="39" t="str">
        <f t="shared" si="347"/>
        <v/>
      </c>
      <c r="Q2203" s="40" t="str">
        <f>IF(OR(T2203=0,RIGHT(T2203,1)=$W$1),"",COUNTIF($T$3:T2203,T2203))</f>
        <v/>
      </c>
      <c r="S2203" s="6">
        <f t="shared" si="348"/>
        <v>0</v>
      </c>
      <c r="T2203" s="36">
        <f t="shared" si="349"/>
        <v>0</v>
      </c>
      <c r="V2203" s="6">
        <f t="shared" si="350"/>
        <v>0</v>
      </c>
      <c r="Y2203" s="8">
        <f t="shared" si="351"/>
        <v>46023</v>
      </c>
    </row>
    <row r="2204" spans="2:25" ht="18.75" x14ac:dyDescent="0.3">
      <c r="B2204" s="6">
        <f t="shared" si="343"/>
        <v>0</v>
      </c>
      <c r="C2204" s="6">
        <f t="shared" si="344"/>
        <v>0</v>
      </c>
      <c r="D2204" s="6" t="str">
        <f t="shared" si="345"/>
        <v/>
      </c>
      <c r="E2204" s="35" t="str">
        <f t="shared" si="342"/>
        <v/>
      </c>
      <c r="F2204" s="31"/>
      <c r="G2204" s="29"/>
      <c r="H2204" s="78" t="str">
        <f t="shared" si="346"/>
        <v/>
      </c>
      <c r="I2204" s="25"/>
      <c r="J2204" s="25"/>
      <c r="K2204" s="26"/>
      <c r="L2204" s="26"/>
      <c r="M2204" s="37"/>
      <c r="N2204" s="27"/>
      <c r="O2204" s="30"/>
      <c r="P2204" s="39" t="str">
        <f t="shared" si="347"/>
        <v/>
      </c>
      <c r="Q2204" s="40" t="str">
        <f>IF(OR(T2204=0,RIGHT(T2204,1)=$W$1),"",COUNTIF($T$3:T2204,T2204))</f>
        <v/>
      </c>
      <c r="S2204" s="6">
        <f t="shared" si="348"/>
        <v>0</v>
      </c>
      <c r="T2204" s="36">
        <f t="shared" si="349"/>
        <v>0</v>
      </c>
      <c r="V2204" s="6">
        <f t="shared" si="350"/>
        <v>0</v>
      </c>
      <c r="Y2204" s="8">
        <f t="shared" si="351"/>
        <v>46023</v>
      </c>
    </row>
    <row r="2205" spans="2:25" ht="18.75" x14ac:dyDescent="0.3">
      <c r="B2205" s="6">
        <f t="shared" si="343"/>
        <v>0</v>
      </c>
      <c r="C2205" s="6">
        <f t="shared" si="344"/>
        <v>0</v>
      </c>
      <c r="D2205" s="6" t="str">
        <f t="shared" si="345"/>
        <v/>
      </c>
      <c r="E2205" s="35" t="str">
        <f t="shared" si="342"/>
        <v/>
      </c>
      <c r="F2205" s="31"/>
      <c r="G2205" s="29"/>
      <c r="H2205" s="78" t="str">
        <f t="shared" si="346"/>
        <v/>
      </c>
      <c r="I2205" s="25"/>
      <c r="J2205" s="25"/>
      <c r="K2205" s="26"/>
      <c r="L2205" s="26"/>
      <c r="M2205" s="37"/>
      <c r="N2205" s="27"/>
      <c r="O2205" s="30"/>
      <c r="P2205" s="39" t="str">
        <f t="shared" si="347"/>
        <v/>
      </c>
      <c r="Q2205" s="40" t="str">
        <f>IF(OR(T2205=0,RIGHT(T2205,1)=$W$1),"",COUNTIF($T$3:T2205,T2205))</f>
        <v/>
      </c>
      <c r="S2205" s="6">
        <f t="shared" si="348"/>
        <v>0</v>
      </c>
      <c r="T2205" s="36">
        <f t="shared" si="349"/>
        <v>0</v>
      </c>
      <c r="V2205" s="6">
        <f t="shared" si="350"/>
        <v>0</v>
      </c>
      <c r="Y2205" s="8">
        <f t="shared" si="351"/>
        <v>46023</v>
      </c>
    </row>
    <row r="2206" spans="2:25" ht="18.75" x14ac:dyDescent="0.3">
      <c r="B2206" s="6">
        <f t="shared" si="343"/>
        <v>0</v>
      </c>
      <c r="C2206" s="6">
        <f t="shared" si="344"/>
        <v>0</v>
      </c>
      <c r="D2206" s="6" t="str">
        <f t="shared" si="345"/>
        <v/>
      </c>
      <c r="E2206" s="35" t="str">
        <f t="shared" si="342"/>
        <v/>
      </c>
      <c r="F2206" s="31"/>
      <c r="G2206" s="29"/>
      <c r="H2206" s="78" t="str">
        <f t="shared" si="346"/>
        <v/>
      </c>
      <c r="I2206" s="25"/>
      <c r="J2206" s="25"/>
      <c r="K2206" s="26"/>
      <c r="L2206" s="26"/>
      <c r="M2206" s="37"/>
      <c r="N2206" s="27"/>
      <c r="O2206" s="30"/>
      <c r="P2206" s="39" t="str">
        <f t="shared" si="347"/>
        <v/>
      </c>
      <c r="Q2206" s="40" t="str">
        <f>IF(OR(T2206=0,RIGHT(T2206,1)=$W$1),"",COUNTIF($T$3:T2206,T2206))</f>
        <v/>
      </c>
      <c r="S2206" s="6">
        <f t="shared" si="348"/>
        <v>0</v>
      </c>
      <c r="T2206" s="36">
        <f t="shared" si="349"/>
        <v>0</v>
      </c>
      <c r="V2206" s="6">
        <f t="shared" si="350"/>
        <v>0</v>
      </c>
      <c r="Y2206" s="8">
        <f t="shared" si="351"/>
        <v>46023</v>
      </c>
    </row>
    <row r="2207" spans="2:25" ht="18.75" x14ac:dyDescent="0.3">
      <c r="B2207" s="6">
        <f t="shared" si="343"/>
        <v>0</v>
      </c>
      <c r="C2207" s="6">
        <f t="shared" si="344"/>
        <v>0</v>
      </c>
      <c r="D2207" s="6" t="str">
        <f t="shared" si="345"/>
        <v/>
      </c>
      <c r="E2207" s="35" t="str">
        <f t="shared" si="342"/>
        <v/>
      </c>
      <c r="F2207" s="31"/>
      <c r="G2207" s="29"/>
      <c r="H2207" s="78" t="str">
        <f t="shared" si="346"/>
        <v/>
      </c>
      <c r="I2207" s="25"/>
      <c r="J2207" s="25"/>
      <c r="K2207" s="26"/>
      <c r="L2207" s="26"/>
      <c r="M2207" s="37"/>
      <c r="N2207" s="27"/>
      <c r="O2207" s="30"/>
      <c r="P2207" s="39" t="str">
        <f t="shared" si="347"/>
        <v/>
      </c>
      <c r="Q2207" s="40" t="str">
        <f>IF(OR(T2207=0,RIGHT(T2207,1)=$W$1),"",COUNTIF($T$3:T2207,T2207))</f>
        <v/>
      </c>
      <c r="S2207" s="6">
        <f t="shared" si="348"/>
        <v>0</v>
      </c>
      <c r="T2207" s="36">
        <f t="shared" si="349"/>
        <v>0</v>
      </c>
      <c r="V2207" s="6">
        <f t="shared" si="350"/>
        <v>0</v>
      </c>
      <c r="Y2207" s="8">
        <f t="shared" si="351"/>
        <v>46023</v>
      </c>
    </row>
    <row r="2208" spans="2:25" ht="18.75" x14ac:dyDescent="0.3">
      <c r="B2208" s="6">
        <f t="shared" si="343"/>
        <v>0</v>
      </c>
      <c r="C2208" s="6">
        <f t="shared" si="344"/>
        <v>0</v>
      </c>
      <c r="D2208" s="6" t="str">
        <f t="shared" si="345"/>
        <v/>
      </c>
      <c r="E2208" s="35" t="str">
        <f t="shared" si="342"/>
        <v/>
      </c>
      <c r="F2208" s="31"/>
      <c r="G2208" s="29"/>
      <c r="H2208" s="78" t="str">
        <f t="shared" si="346"/>
        <v/>
      </c>
      <c r="I2208" s="25"/>
      <c r="J2208" s="25"/>
      <c r="K2208" s="26"/>
      <c r="L2208" s="26"/>
      <c r="M2208" s="37"/>
      <c r="N2208" s="27"/>
      <c r="O2208" s="30"/>
      <c r="P2208" s="39" t="str">
        <f t="shared" si="347"/>
        <v/>
      </c>
      <c r="Q2208" s="40" t="str">
        <f>IF(OR(T2208=0,RIGHT(T2208,1)=$W$1),"",COUNTIF($T$3:T2208,T2208))</f>
        <v/>
      </c>
      <c r="S2208" s="6">
        <f t="shared" si="348"/>
        <v>0</v>
      </c>
      <c r="T2208" s="36">
        <f t="shared" si="349"/>
        <v>0</v>
      </c>
      <c r="V2208" s="6">
        <f t="shared" si="350"/>
        <v>0</v>
      </c>
      <c r="Y2208" s="8">
        <f t="shared" si="351"/>
        <v>46023</v>
      </c>
    </row>
    <row r="2209" spans="2:25" ht="18.75" x14ac:dyDescent="0.3">
      <c r="B2209" s="6">
        <f t="shared" si="343"/>
        <v>0</v>
      </c>
      <c r="C2209" s="6">
        <f t="shared" si="344"/>
        <v>0</v>
      </c>
      <c r="D2209" s="6" t="str">
        <f t="shared" si="345"/>
        <v/>
      </c>
      <c r="E2209" s="35" t="str">
        <f t="shared" si="342"/>
        <v/>
      </c>
      <c r="F2209" s="31"/>
      <c r="G2209" s="29"/>
      <c r="H2209" s="78" t="str">
        <f t="shared" si="346"/>
        <v/>
      </c>
      <c r="I2209" s="25"/>
      <c r="J2209" s="25"/>
      <c r="K2209" s="26"/>
      <c r="L2209" s="26"/>
      <c r="M2209" s="37"/>
      <c r="N2209" s="27"/>
      <c r="O2209" s="30"/>
      <c r="P2209" s="39" t="str">
        <f t="shared" si="347"/>
        <v/>
      </c>
      <c r="Q2209" s="40" t="str">
        <f>IF(OR(T2209=0,RIGHT(T2209,1)=$W$1),"",COUNTIF($T$3:T2209,T2209))</f>
        <v/>
      </c>
      <c r="S2209" s="6">
        <f t="shared" si="348"/>
        <v>0</v>
      </c>
      <c r="T2209" s="36">
        <f t="shared" si="349"/>
        <v>0</v>
      </c>
      <c r="V2209" s="6">
        <f t="shared" si="350"/>
        <v>0</v>
      </c>
      <c r="Y2209" s="8">
        <f t="shared" si="351"/>
        <v>46023</v>
      </c>
    </row>
    <row r="2210" spans="2:25" ht="18.75" x14ac:dyDescent="0.3">
      <c r="B2210" s="6">
        <f t="shared" si="343"/>
        <v>0</v>
      </c>
      <c r="C2210" s="6">
        <f t="shared" si="344"/>
        <v>0</v>
      </c>
      <c r="D2210" s="6" t="str">
        <f t="shared" si="345"/>
        <v/>
      </c>
      <c r="E2210" s="35" t="str">
        <f t="shared" si="342"/>
        <v/>
      </c>
      <c r="F2210" s="31"/>
      <c r="G2210" s="29"/>
      <c r="H2210" s="78" t="str">
        <f t="shared" si="346"/>
        <v/>
      </c>
      <c r="I2210" s="25"/>
      <c r="J2210" s="25"/>
      <c r="K2210" s="26"/>
      <c r="L2210" s="26"/>
      <c r="M2210" s="37"/>
      <c r="N2210" s="27"/>
      <c r="O2210" s="30"/>
      <c r="P2210" s="39" t="str">
        <f t="shared" si="347"/>
        <v/>
      </c>
      <c r="Q2210" s="40" t="str">
        <f>IF(OR(T2210=0,RIGHT(T2210,1)=$W$1),"",COUNTIF($T$3:T2210,T2210))</f>
        <v/>
      </c>
      <c r="S2210" s="6">
        <f t="shared" si="348"/>
        <v>0</v>
      </c>
      <c r="T2210" s="36">
        <f t="shared" si="349"/>
        <v>0</v>
      </c>
      <c r="V2210" s="6">
        <f t="shared" si="350"/>
        <v>0</v>
      </c>
      <c r="Y2210" s="8">
        <f t="shared" si="351"/>
        <v>46023</v>
      </c>
    </row>
    <row r="2211" spans="2:25" ht="18.75" x14ac:dyDescent="0.3">
      <c r="B2211" s="6">
        <f t="shared" si="343"/>
        <v>0</v>
      </c>
      <c r="C2211" s="6">
        <f t="shared" si="344"/>
        <v>0</v>
      </c>
      <c r="D2211" s="6" t="str">
        <f t="shared" si="345"/>
        <v/>
      </c>
      <c r="E2211" s="35" t="str">
        <f t="shared" si="342"/>
        <v/>
      </c>
      <c r="F2211" s="31"/>
      <c r="G2211" s="29"/>
      <c r="H2211" s="78" t="str">
        <f t="shared" si="346"/>
        <v/>
      </c>
      <c r="I2211" s="25"/>
      <c r="J2211" s="25"/>
      <c r="K2211" s="26"/>
      <c r="L2211" s="26"/>
      <c r="M2211" s="37"/>
      <c r="N2211" s="27"/>
      <c r="O2211" s="30"/>
      <c r="P2211" s="39" t="str">
        <f t="shared" si="347"/>
        <v/>
      </c>
      <c r="Q2211" s="40" t="str">
        <f>IF(OR(T2211=0,RIGHT(T2211,1)=$W$1),"",COUNTIF($T$3:T2211,T2211))</f>
        <v/>
      </c>
      <c r="S2211" s="6">
        <f t="shared" si="348"/>
        <v>0</v>
      </c>
      <c r="T2211" s="36">
        <f t="shared" si="349"/>
        <v>0</v>
      </c>
      <c r="V2211" s="6">
        <f t="shared" si="350"/>
        <v>0</v>
      </c>
      <c r="Y2211" s="8">
        <f t="shared" si="351"/>
        <v>46023</v>
      </c>
    </row>
    <row r="2212" spans="2:25" ht="18.75" x14ac:dyDescent="0.3">
      <c r="B2212" s="6">
        <f t="shared" si="343"/>
        <v>0</v>
      </c>
      <c r="C2212" s="6">
        <f t="shared" si="344"/>
        <v>0</v>
      </c>
      <c r="D2212" s="6" t="str">
        <f t="shared" si="345"/>
        <v/>
      </c>
      <c r="E2212" s="35" t="str">
        <f t="shared" si="342"/>
        <v/>
      </c>
      <c r="F2212" s="31"/>
      <c r="G2212" s="29"/>
      <c r="H2212" s="78" t="str">
        <f t="shared" si="346"/>
        <v/>
      </c>
      <c r="I2212" s="25"/>
      <c r="J2212" s="25"/>
      <c r="K2212" s="26"/>
      <c r="L2212" s="26"/>
      <c r="M2212" s="37"/>
      <c r="N2212" s="27"/>
      <c r="O2212" s="30"/>
      <c r="P2212" s="39" t="str">
        <f t="shared" si="347"/>
        <v/>
      </c>
      <c r="Q2212" s="40" t="str">
        <f>IF(OR(T2212=0,RIGHT(T2212,1)=$W$1),"",COUNTIF($T$3:T2212,T2212))</f>
        <v/>
      </c>
      <c r="S2212" s="6">
        <f t="shared" si="348"/>
        <v>0</v>
      </c>
      <c r="T2212" s="36">
        <f t="shared" si="349"/>
        <v>0</v>
      </c>
      <c r="V2212" s="6">
        <f t="shared" si="350"/>
        <v>0</v>
      </c>
      <c r="Y2212" s="8">
        <f t="shared" si="351"/>
        <v>46023</v>
      </c>
    </row>
    <row r="2213" spans="2:25" ht="18.75" x14ac:dyDescent="0.3">
      <c r="B2213" s="6">
        <f t="shared" si="343"/>
        <v>0</v>
      </c>
      <c r="C2213" s="6">
        <f t="shared" si="344"/>
        <v>0</v>
      </c>
      <c r="D2213" s="6" t="str">
        <f t="shared" si="345"/>
        <v/>
      </c>
      <c r="E2213" s="35" t="str">
        <f t="shared" si="342"/>
        <v/>
      </c>
      <c r="F2213" s="31"/>
      <c r="G2213" s="29"/>
      <c r="H2213" s="78" t="str">
        <f t="shared" si="346"/>
        <v/>
      </c>
      <c r="I2213" s="25"/>
      <c r="J2213" s="25"/>
      <c r="K2213" s="26"/>
      <c r="L2213" s="26"/>
      <c r="M2213" s="37"/>
      <c r="N2213" s="27"/>
      <c r="O2213" s="30"/>
      <c r="P2213" s="39" t="str">
        <f t="shared" si="347"/>
        <v/>
      </c>
      <c r="Q2213" s="40" t="str">
        <f>IF(OR(T2213=0,RIGHT(T2213,1)=$W$1),"",COUNTIF($T$3:T2213,T2213))</f>
        <v/>
      </c>
      <c r="S2213" s="6">
        <f t="shared" si="348"/>
        <v>0</v>
      </c>
      <c r="T2213" s="36">
        <f t="shared" si="349"/>
        <v>0</v>
      </c>
      <c r="V2213" s="6">
        <f t="shared" si="350"/>
        <v>0</v>
      </c>
      <c r="Y2213" s="8">
        <f t="shared" si="351"/>
        <v>46023</v>
      </c>
    </row>
    <row r="2214" spans="2:25" ht="18.75" x14ac:dyDescent="0.3">
      <c r="B2214" s="6">
        <f t="shared" si="343"/>
        <v>0</v>
      </c>
      <c r="C2214" s="6">
        <f t="shared" si="344"/>
        <v>0</v>
      </c>
      <c r="D2214" s="6" t="str">
        <f t="shared" si="345"/>
        <v/>
      </c>
      <c r="E2214" s="35" t="str">
        <f t="shared" si="342"/>
        <v/>
      </c>
      <c r="F2214" s="31"/>
      <c r="G2214" s="29"/>
      <c r="H2214" s="78" t="str">
        <f t="shared" si="346"/>
        <v/>
      </c>
      <c r="I2214" s="25"/>
      <c r="J2214" s="25"/>
      <c r="K2214" s="26"/>
      <c r="L2214" s="26"/>
      <c r="M2214" s="37"/>
      <c r="N2214" s="27"/>
      <c r="O2214" s="30"/>
      <c r="P2214" s="39" t="str">
        <f t="shared" si="347"/>
        <v/>
      </c>
      <c r="Q2214" s="40" t="str">
        <f>IF(OR(T2214=0,RIGHT(T2214,1)=$W$1),"",COUNTIF($T$3:T2214,T2214))</f>
        <v/>
      </c>
      <c r="S2214" s="6">
        <f t="shared" si="348"/>
        <v>0</v>
      </c>
      <c r="T2214" s="36">
        <f t="shared" si="349"/>
        <v>0</v>
      </c>
      <c r="V2214" s="6">
        <f t="shared" si="350"/>
        <v>0</v>
      </c>
      <c r="Y2214" s="8">
        <f t="shared" si="351"/>
        <v>46023</v>
      </c>
    </row>
    <row r="2215" spans="2:25" ht="18.75" x14ac:dyDescent="0.3">
      <c r="B2215" s="6">
        <f t="shared" si="343"/>
        <v>0</v>
      </c>
      <c r="C2215" s="6">
        <f t="shared" si="344"/>
        <v>0</v>
      </c>
      <c r="D2215" s="6" t="str">
        <f t="shared" si="345"/>
        <v/>
      </c>
      <c r="E2215" s="35" t="str">
        <f t="shared" si="342"/>
        <v/>
      </c>
      <c r="F2215" s="31"/>
      <c r="G2215" s="29"/>
      <c r="H2215" s="78" t="str">
        <f t="shared" si="346"/>
        <v/>
      </c>
      <c r="I2215" s="25"/>
      <c r="J2215" s="25"/>
      <c r="K2215" s="26"/>
      <c r="L2215" s="26"/>
      <c r="M2215" s="37"/>
      <c r="N2215" s="27"/>
      <c r="O2215" s="30"/>
      <c r="P2215" s="39" t="str">
        <f t="shared" si="347"/>
        <v/>
      </c>
      <c r="Q2215" s="40" t="str">
        <f>IF(OR(T2215=0,RIGHT(T2215,1)=$W$1),"",COUNTIF($T$3:T2215,T2215))</f>
        <v/>
      </c>
      <c r="S2215" s="6">
        <f t="shared" si="348"/>
        <v>0</v>
      </c>
      <c r="T2215" s="36">
        <f t="shared" si="349"/>
        <v>0</v>
      </c>
      <c r="V2215" s="6">
        <f t="shared" si="350"/>
        <v>0</v>
      </c>
      <c r="Y2215" s="8">
        <f t="shared" si="351"/>
        <v>46023</v>
      </c>
    </row>
    <row r="2216" spans="2:25" ht="18.75" x14ac:dyDescent="0.3">
      <c r="B2216" s="6">
        <f t="shared" si="343"/>
        <v>0</v>
      </c>
      <c r="C2216" s="6">
        <f t="shared" si="344"/>
        <v>0</v>
      </c>
      <c r="D2216" s="6" t="str">
        <f t="shared" si="345"/>
        <v/>
      </c>
      <c r="E2216" s="35" t="str">
        <f t="shared" si="342"/>
        <v/>
      </c>
      <c r="F2216" s="31"/>
      <c r="G2216" s="29"/>
      <c r="H2216" s="78" t="str">
        <f t="shared" si="346"/>
        <v/>
      </c>
      <c r="I2216" s="25"/>
      <c r="J2216" s="25"/>
      <c r="K2216" s="26"/>
      <c r="L2216" s="26"/>
      <c r="M2216" s="37"/>
      <c r="N2216" s="27"/>
      <c r="O2216" s="30"/>
      <c r="P2216" s="39" t="str">
        <f t="shared" si="347"/>
        <v/>
      </c>
      <c r="Q2216" s="40" t="str">
        <f>IF(OR(T2216=0,RIGHT(T2216,1)=$W$1),"",COUNTIF($T$3:T2216,T2216))</f>
        <v/>
      </c>
      <c r="S2216" s="6">
        <f t="shared" si="348"/>
        <v>0</v>
      </c>
      <c r="T2216" s="36">
        <f t="shared" si="349"/>
        <v>0</v>
      </c>
      <c r="V2216" s="6">
        <f t="shared" si="350"/>
        <v>0</v>
      </c>
      <c r="Y2216" s="8">
        <f t="shared" si="351"/>
        <v>46023</v>
      </c>
    </row>
    <row r="2217" spans="2:25" ht="18.75" x14ac:dyDescent="0.3">
      <c r="B2217" s="6">
        <f t="shared" si="343"/>
        <v>0</v>
      </c>
      <c r="C2217" s="6">
        <f t="shared" si="344"/>
        <v>0</v>
      </c>
      <c r="D2217" s="6" t="str">
        <f t="shared" si="345"/>
        <v/>
      </c>
      <c r="E2217" s="35" t="str">
        <f t="shared" si="342"/>
        <v/>
      </c>
      <c r="F2217" s="31"/>
      <c r="G2217" s="29"/>
      <c r="H2217" s="78" t="str">
        <f t="shared" si="346"/>
        <v/>
      </c>
      <c r="I2217" s="25"/>
      <c r="J2217" s="25"/>
      <c r="K2217" s="26"/>
      <c r="L2217" s="26"/>
      <c r="M2217" s="37"/>
      <c r="N2217" s="27"/>
      <c r="O2217" s="30"/>
      <c r="P2217" s="39" t="str">
        <f t="shared" si="347"/>
        <v/>
      </c>
      <c r="Q2217" s="40" t="str">
        <f>IF(OR(T2217=0,RIGHT(T2217,1)=$W$1),"",COUNTIF($T$3:T2217,T2217))</f>
        <v/>
      </c>
      <c r="S2217" s="6">
        <f t="shared" si="348"/>
        <v>0</v>
      </c>
      <c r="T2217" s="36">
        <f t="shared" si="349"/>
        <v>0</v>
      </c>
      <c r="V2217" s="6">
        <f t="shared" si="350"/>
        <v>0</v>
      </c>
      <c r="Y2217" s="8">
        <f t="shared" si="351"/>
        <v>46023</v>
      </c>
    </row>
    <row r="2218" spans="2:25" ht="18.75" x14ac:dyDescent="0.3">
      <c r="B2218" s="6">
        <f t="shared" si="343"/>
        <v>0</v>
      </c>
      <c r="C2218" s="6">
        <f t="shared" si="344"/>
        <v>0</v>
      </c>
      <c r="D2218" s="6" t="str">
        <f t="shared" si="345"/>
        <v/>
      </c>
      <c r="E2218" s="35" t="str">
        <f t="shared" si="342"/>
        <v/>
      </c>
      <c r="F2218" s="31"/>
      <c r="G2218" s="29"/>
      <c r="H2218" s="78" t="str">
        <f t="shared" si="346"/>
        <v/>
      </c>
      <c r="I2218" s="25"/>
      <c r="J2218" s="25"/>
      <c r="K2218" s="26"/>
      <c r="L2218" s="26"/>
      <c r="M2218" s="37"/>
      <c r="N2218" s="27"/>
      <c r="O2218" s="30"/>
      <c r="P2218" s="39" t="str">
        <f t="shared" si="347"/>
        <v/>
      </c>
      <c r="Q2218" s="40" t="str">
        <f>IF(OR(T2218=0,RIGHT(T2218,1)=$W$1),"",COUNTIF($T$3:T2218,T2218))</f>
        <v/>
      </c>
      <c r="S2218" s="6">
        <f t="shared" si="348"/>
        <v>0</v>
      </c>
      <c r="T2218" s="36">
        <f t="shared" si="349"/>
        <v>0</v>
      </c>
      <c r="V2218" s="6">
        <f t="shared" si="350"/>
        <v>0</v>
      </c>
      <c r="Y2218" s="8">
        <f t="shared" si="351"/>
        <v>46023</v>
      </c>
    </row>
    <row r="2219" spans="2:25" ht="18.75" x14ac:dyDescent="0.3">
      <c r="B2219" s="6">
        <f t="shared" si="343"/>
        <v>0</v>
      </c>
      <c r="C2219" s="6">
        <f t="shared" si="344"/>
        <v>0</v>
      </c>
      <c r="D2219" s="6" t="str">
        <f t="shared" si="345"/>
        <v/>
      </c>
      <c r="E2219" s="35" t="str">
        <f t="shared" si="342"/>
        <v/>
      </c>
      <c r="F2219" s="31"/>
      <c r="G2219" s="29"/>
      <c r="H2219" s="78" t="str">
        <f t="shared" si="346"/>
        <v/>
      </c>
      <c r="I2219" s="25"/>
      <c r="J2219" s="25"/>
      <c r="K2219" s="26"/>
      <c r="L2219" s="26"/>
      <c r="M2219" s="37"/>
      <c r="N2219" s="27"/>
      <c r="O2219" s="30"/>
      <c r="P2219" s="39" t="str">
        <f t="shared" si="347"/>
        <v/>
      </c>
      <c r="Q2219" s="40" t="str">
        <f>IF(OR(T2219=0,RIGHT(T2219,1)=$W$1),"",COUNTIF($T$3:T2219,T2219))</f>
        <v/>
      </c>
      <c r="S2219" s="6">
        <f t="shared" si="348"/>
        <v>0</v>
      </c>
      <c r="T2219" s="36">
        <f t="shared" si="349"/>
        <v>0</v>
      </c>
      <c r="V2219" s="6">
        <f t="shared" si="350"/>
        <v>0</v>
      </c>
      <c r="Y2219" s="8">
        <f t="shared" si="351"/>
        <v>46023</v>
      </c>
    </row>
    <row r="2220" spans="2:25" ht="18.75" x14ac:dyDescent="0.3">
      <c r="B2220" s="6">
        <f t="shared" si="343"/>
        <v>0</v>
      </c>
      <c r="C2220" s="6">
        <f t="shared" si="344"/>
        <v>0</v>
      </c>
      <c r="D2220" s="6" t="str">
        <f t="shared" si="345"/>
        <v/>
      </c>
      <c r="E2220" s="35" t="str">
        <f t="shared" si="342"/>
        <v/>
      </c>
      <c r="F2220" s="31"/>
      <c r="G2220" s="29"/>
      <c r="H2220" s="78" t="str">
        <f t="shared" si="346"/>
        <v/>
      </c>
      <c r="I2220" s="25"/>
      <c r="J2220" s="25"/>
      <c r="K2220" s="26"/>
      <c r="L2220" s="26"/>
      <c r="M2220" s="37"/>
      <c r="N2220" s="27"/>
      <c r="O2220" s="30"/>
      <c r="P2220" s="39" t="str">
        <f t="shared" si="347"/>
        <v/>
      </c>
      <c r="Q2220" s="40" t="str">
        <f>IF(OR(T2220=0,RIGHT(T2220,1)=$W$1),"",COUNTIF($T$3:T2220,T2220))</f>
        <v/>
      </c>
      <c r="S2220" s="6">
        <f t="shared" si="348"/>
        <v>0</v>
      </c>
      <c r="T2220" s="36">
        <f t="shared" si="349"/>
        <v>0</v>
      </c>
      <c r="V2220" s="6">
        <f t="shared" si="350"/>
        <v>0</v>
      </c>
      <c r="Y2220" s="8">
        <f t="shared" si="351"/>
        <v>46023</v>
      </c>
    </row>
    <row r="2221" spans="2:25" ht="18.75" x14ac:dyDescent="0.3">
      <c r="B2221" s="6">
        <f t="shared" si="343"/>
        <v>0</v>
      </c>
      <c r="C2221" s="6">
        <f t="shared" si="344"/>
        <v>0</v>
      </c>
      <c r="D2221" s="6" t="str">
        <f t="shared" si="345"/>
        <v/>
      </c>
      <c r="E2221" s="35" t="str">
        <f t="shared" si="342"/>
        <v/>
      </c>
      <c r="F2221" s="31"/>
      <c r="G2221" s="29"/>
      <c r="H2221" s="78" t="str">
        <f t="shared" si="346"/>
        <v/>
      </c>
      <c r="I2221" s="25"/>
      <c r="J2221" s="25"/>
      <c r="K2221" s="26"/>
      <c r="L2221" s="26"/>
      <c r="M2221" s="37"/>
      <c r="N2221" s="27"/>
      <c r="O2221" s="30"/>
      <c r="P2221" s="39" t="str">
        <f t="shared" si="347"/>
        <v/>
      </c>
      <c r="Q2221" s="40" t="str">
        <f>IF(OR(T2221=0,RIGHT(T2221,1)=$W$1),"",COUNTIF($T$3:T2221,T2221))</f>
        <v/>
      </c>
      <c r="S2221" s="6">
        <f t="shared" si="348"/>
        <v>0</v>
      </c>
      <c r="T2221" s="36">
        <f t="shared" si="349"/>
        <v>0</v>
      </c>
      <c r="V2221" s="6">
        <f t="shared" si="350"/>
        <v>0</v>
      </c>
      <c r="Y2221" s="8">
        <f t="shared" si="351"/>
        <v>46023</v>
      </c>
    </row>
    <row r="2222" spans="2:25" ht="18.75" x14ac:dyDescent="0.3">
      <c r="B2222" s="6">
        <f t="shared" si="343"/>
        <v>0</v>
      </c>
      <c r="C2222" s="6">
        <f t="shared" si="344"/>
        <v>0</v>
      </c>
      <c r="D2222" s="6" t="str">
        <f t="shared" si="345"/>
        <v/>
      </c>
      <c r="E2222" s="35" t="str">
        <f t="shared" si="342"/>
        <v/>
      </c>
      <c r="F2222" s="31"/>
      <c r="G2222" s="29"/>
      <c r="H2222" s="78" t="str">
        <f t="shared" si="346"/>
        <v/>
      </c>
      <c r="I2222" s="25"/>
      <c r="J2222" s="25"/>
      <c r="K2222" s="26"/>
      <c r="L2222" s="26"/>
      <c r="M2222" s="37"/>
      <c r="N2222" s="27"/>
      <c r="O2222" s="30"/>
      <c r="P2222" s="39" t="str">
        <f t="shared" si="347"/>
        <v/>
      </c>
      <c r="Q2222" s="40" t="str">
        <f>IF(OR(T2222=0,RIGHT(T2222,1)=$W$1),"",COUNTIF($T$3:T2222,T2222))</f>
        <v/>
      </c>
      <c r="S2222" s="6">
        <f t="shared" si="348"/>
        <v>0</v>
      </c>
      <c r="T2222" s="36">
        <f t="shared" si="349"/>
        <v>0</v>
      </c>
      <c r="V2222" s="6">
        <f t="shared" si="350"/>
        <v>0</v>
      </c>
      <c r="Y2222" s="8">
        <f t="shared" si="351"/>
        <v>46023</v>
      </c>
    </row>
    <row r="2223" spans="2:25" ht="18.75" x14ac:dyDescent="0.3">
      <c r="B2223" s="6">
        <f t="shared" si="343"/>
        <v>0</v>
      </c>
      <c r="C2223" s="6">
        <f t="shared" si="344"/>
        <v>0</v>
      </c>
      <c r="D2223" s="6" t="str">
        <f t="shared" si="345"/>
        <v/>
      </c>
      <c r="E2223" s="35" t="str">
        <f t="shared" si="342"/>
        <v/>
      </c>
      <c r="F2223" s="31"/>
      <c r="G2223" s="29"/>
      <c r="H2223" s="78" t="str">
        <f t="shared" si="346"/>
        <v/>
      </c>
      <c r="I2223" s="25"/>
      <c r="J2223" s="25"/>
      <c r="K2223" s="26"/>
      <c r="L2223" s="26"/>
      <c r="M2223" s="37"/>
      <c r="N2223" s="27"/>
      <c r="O2223" s="30"/>
      <c r="P2223" s="39" t="str">
        <f t="shared" si="347"/>
        <v/>
      </c>
      <c r="Q2223" s="40" t="str">
        <f>IF(OR(T2223=0,RIGHT(T2223,1)=$W$1),"",COUNTIF($T$3:T2223,T2223))</f>
        <v/>
      </c>
      <c r="S2223" s="6">
        <f t="shared" si="348"/>
        <v>0</v>
      </c>
      <c r="T2223" s="36">
        <f t="shared" si="349"/>
        <v>0</v>
      </c>
      <c r="V2223" s="6">
        <f t="shared" si="350"/>
        <v>0</v>
      </c>
      <c r="Y2223" s="8">
        <f t="shared" si="351"/>
        <v>46023</v>
      </c>
    </row>
    <row r="2224" spans="2:25" ht="18.75" x14ac:dyDescent="0.3">
      <c r="B2224" s="6">
        <f t="shared" si="343"/>
        <v>0</v>
      </c>
      <c r="C2224" s="6">
        <f t="shared" si="344"/>
        <v>0</v>
      </c>
      <c r="D2224" s="6" t="str">
        <f t="shared" si="345"/>
        <v/>
      </c>
      <c r="E2224" s="35" t="str">
        <f t="shared" si="342"/>
        <v/>
      </c>
      <c r="F2224" s="31"/>
      <c r="G2224" s="29"/>
      <c r="H2224" s="78" t="str">
        <f t="shared" si="346"/>
        <v/>
      </c>
      <c r="I2224" s="25"/>
      <c r="J2224" s="25"/>
      <c r="K2224" s="26"/>
      <c r="L2224" s="26"/>
      <c r="M2224" s="37"/>
      <c r="N2224" s="27"/>
      <c r="O2224" s="30"/>
      <c r="P2224" s="39" t="str">
        <f t="shared" si="347"/>
        <v/>
      </c>
      <c r="Q2224" s="40" t="str">
        <f>IF(OR(T2224=0,RIGHT(T2224,1)=$W$1),"",COUNTIF($T$3:T2224,T2224))</f>
        <v/>
      </c>
      <c r="S2224" s="6">
        <f t="shared" si="348"/>
        <v>0</v>
      </c>
      <c r="T2224" s="36">
        <f t="shared" si="349"/>
        <v>0</v>
      </c>
      <c r="V2224" s="6">
        <f t="shared" si="350"/>
        <v>0</v>
      </c>
      <c r="Y2224" s="8">
        <f t="shared" si="351"/>
        <v>46023</v>
      </c>
    </row>
    <row r="2225" spans="2:25" ht="18.75" x14ac:dyDescent="0.3">
      <c r="B2225" s="6">
        <f t="shared" si="343"/>
        <v>0</v>
      </c>
      <c r="C2225" s="6">
        <f t="shared" si="344"/>
        <v>0</v>
      </c>
      <c r="D2225" s="6" t="str">
        <f t="shared" si="345"/>
        <v/>
      </c>
      <c r="E2225" s="35" t="str">
        <f t="shared" si="342"/>
        <v/>
      </c>
      <c r="F2225" s="31"/>
      <c r="G2225" s="29"/>
      <c r="H2225" s="78" t="str">
        <f t="shared" si="346"/>
        <v/>
      </c>
      <c r="I2225" s="25"/>
      <c r="J2225" s="25"/>
      <c r="K2225" s="26"/>
      <c r="L2225" s="26"/>
      <c r="M2225" s="37"/>
      <c r="N2225" s="27"/>
      <c r="O2225" s="30"/>
      <c r="P2225" s="39" t="str">
        <f t="shared" si="347"/>
        <v/>
      </c>
      <c r="Q2225" s="40" t="str">
        <f>IF(OR(T2225=0,RIGHT(T2225,1)=$W$1),"",COUNTIF($T$3:T2225,T2225))</f>
        <v/>
      </c>
      <c r="S2225" s="6">
        <f t="shared" si="348"/>
        <v>0</v>
      </c>
      <c r="T2225" s="36">
        <f t="shared" si="349"/>
        <v>0</v>
      </c>
      <c r="V2225" s="6">
        <f t="shared" si="350"/>
        <v>0</v>
      </c>
      <c r="Y2225" s="8">
        <f t="shared" si="351"/>
        <v>46023</v>
      </c>
    </row>
    <row r="2226" spans="2:25" ht="18.75" x14ac:dyDescent="0.3">
      <c r="B2226" s="6">
        <f t="shared" si="343"/>
        <v>0</v>
      </c>
      <c r="C2226" s="6">
        <f t="shared" si="344"/>
        <v>0</v>
      </c>
      <c r="D2226" s="6" t="str">
        <f t="shared" si="345"/>
        <v/>
      </c>
      <c r="E2226" s="35" t="str">
        <f t="shared" si="342"/>
        <v/>
      </c>
      <c r="F2226" s="31"/>
      <c r="G2226" s="29"/>
      <c r="H2226" s="78" t="str">
        <f t="shared" si="346"/>
        <v/>
      </c>
      <c r="I2226" s="25"/>
      <c r="J2226" s="25"/>
      <c r="K2226" s="26"/>
      <c r="L2226" s="26"/>
      <c r="M2226" s="37"/>
      <c r="N2226" s="27"/>
      <c r="O2226" s="30"/>
      <c r="P2226" s="39" t="str">
        <f t="shared" si="347"/>
        <v/>
      </c>
      <c r="Q2226" s="40" t="str">
        <f>IF(OR(T2226=0,RIGHT(T2226,1)=$W$1),"",COUNTIF($T$3:T2226,T2226))</f>
        <v/>
      </c>
      <c r="S2226" s="6">
        <f t="shared" si="348"/>
        <v>0</v>
      </c>
      <c r="T2226" s="36">
        <f t="shared" si="349"/>
        <v>0</v>
      </c>
      <c r="V2226" s="6">
        <f t="shared" si="350"/>
        <v>0</v>
      </c>
      <c r="Y2226" s="8">
        <f t="shared" si="351"/>
        <v>46023</v>
      </c>
    </row>
    <row r="2227" spans="2:25" ht="18.75" x14ac:dyDescent="0.3">
      <c r="B2227" s="6">
        <f t="shared" si="343"/>
        <v>0</v>
      </c>
      <c r="C2227" s="6">
        <f t="shared" si="344"/>
        <v>0</v>
      </c>
      <c r="D2227" s="6" t="str">
        <f t="shared" si="345"/>
        <v/>
      </c>
      <c r="E2227" s="35" t="str">
        <f t="shared" si="342"/>
        <v/>
      </c>
      <c r="F2227" s="31"/>
      <c r="G2227" s="29"/>
      <c r="H2227" s="78" t="str">
        <f t="shared" si="346"/>
        <v/>
      </c>
      <c r="I2227" s="25"/>
      <c r="J2227" s="25"/>
      <c r="K2227" s="26"/>
      <c r="L2227" s="26"/>
      <c r="M2227" s="37"/>
      <c r="N2227" s="27"/>
      <c r="O2227" s="30"/>
      <c r="P2227" s="39" t="str">
        <f t="shared" si="347"/>
        <v/>
      </c>
      <c r="Q2227" s="40" t="str">
        <f>IF(OR(T2227=0,RIGHT(T2227,1)=$W$1),"",COUNTIF($T$3:T2227,T2227))</f>
        <v/>
      </c>
      <c r="S2227" s="6">
        <f t="shared" si="348"/>
        <v>0</v>
      </c>
      <c r="T2227" s="36">
        <f t="shared" si="349"/>
        <v>0</v>
      </c>
      <c r="V2227" s="6">
        <f t="shared" si="350"/>
        <v>0</v>
      </c>
      <c r="Y2227" s="8">
        <f t="shared" si="351"/>
        <v>46023</v>
      </c>
    </row>
    <row r="2228" spans="2:25" ht="18.75" x14ac:dyDescent="0.3">
      <c r="B2228" s="6">
        <f t="shared" si="343"/>
        <v>0</v>
      </c>
      <c r="C2228" s="6">
        <f t="shared" si="344"/>
        <v>0</v>
      </c>
      <c r="D2228" s="6" t="str">
        <f t="shared" si="345"/>
        <v/>
      </c>
      <c r="E2228" s="35" t="str">
        <f t="shared" si="342"/>
        <v/>
      </c>
      <c r="F2228" s="31"/>
      <c r="G2228" s="29"/>
      <c r="H2228" s="78" t="str">
        <f t="shared" si="346"/>
        <v/>
      </c>
      <c r="I2228" s="25"/>
      <c r="J2228" s="25"/>
      <c r="K2228" s="26"/>
      <c r="L2228" s="26"/>
      <c r="M2228" s="37"/>
      <c r="N2228" s="27"/>
      <c r="O2228" s="30"/>
      <c r="P2228" s="39" t="str">
        <f t="shared" si="347"/>
        <v/>
      </c>
      <c r="Q2228" s="40" t="str">
        <f>IF(OR(T2228=0,RIGHT(T2228,1)=$W$1),"",COUNTIF($T$3:T2228,T2228))</f>
        <v/>
      </c>
      <c r="S2228" s="6">
        <f t="shared" si="348"/>
        <v>0</v>
      </c>
      <c r="T2228" s="36">
        <f t="shared" si="349"/>
        <v>0</v>
      </c>
      <c r="V2228" s="6">
        <f t="shared" si="350"/>
        <v>0</v>
      </c>
      <c r="Y2228" s="8">
        <f t="shared" si="351"/>
        <v>46023</v>
      </c>
    </row>
    <row r="2229" spans="2:25" ht="18.75" x14ac:dyDescent="0.3">
      <c r="B2229" s="6">
        <f t="shared" si="343"/>
        <v>0</v>
      </c>
      <c r="C2229" s="6">
        <f t="shared" si="344"/>
        <v>0</v>
      </c>
      <c r="D2229" s="6" t="str">
        <f t="shared" si="345"/>
        <v/>
      </c>
      <c r="E2229" s="35" t="str">
        <f t="shared" si="342"/>
        <v/>
      </c>
      <c r="F2229" s="31"/>
      <c r="G2229" s="29"/>
      <c r="H2229" s="78" t="str">
        <f t="shared" si="346"/>
        <v/>
      </c>
      <c r="I2229" s="25"/>
      <c r="J2229" s="25"/>
      <c r="K2229" s="26"/>
      <c r="L2229" s="26"/>
      <c r="M2229" s="37"/>
      <c r="N2229" s="27"/>
      <c r="O2229" s="30"/>
      <c r="P2229" s="39" t="str">
        <f t="shared" si="347"/>
        <v/>
      </c>
      <c r="Q2229" s="40" t="str">
        <f>IF(OR(T2229=0,RIGHT(T2229,1)=$W$1),"",COUNTIF($T$3:T2229,T2229))</f>
        <v/>
      </c>
      <c r="S2229" s="6">
        <f t="shared" si="348"/>
        <v>0</v>
      </c>
      <c r="T2229" s="36">
        <f t="shared" si="349"/>
        <v>0</v>
      </c>
      <c r="V2229" s="6">
        <f t="shared" si="350"/>
        <v>0</v>
      </c>
      <c r="Y2229" s="8">
        <f t="shared" si="351"/>
        <v>46023</v>
      </c>
    </row>
    <row r="2230" spans="2:25" ht="18.75" x14ac:dyDescent="0.3">
      <c r="B2230" s="6">
        <f t="shared" si="343"/>
        <v>0</v>
      </c>
      <c r="C2230" s="6">
        <f t="shared" si="344"/>
        <v>0</v>
      </c>
      <c r="D2230" s="6" t="str">
        <f t="shared" si="345"/>
        <v/>
      </c>
      <c r="E2230" s="35" t="str">
        <f t="shared" si="342"/>
        <v/>
      </c>
      <c r="F2230" s="31"/>
      <c r="G2230" s="29"/>
      <c r="H2230" s="78" t="str">
        <f t="shared" si="346"/>
        <v/>
      </c>
      <c r="I2230" s="25"/>
      <c r="J2230" s="25"/>
      <c r="K2230" s="26"/>
      <c r="L2230" s="26"/>
      <c r="M2230" s="37"/>
      <c r="N2230" s="27"/>
      <c r="O2230" s="30"/>
      <c r="P2230" s="39" t="str">
        <f t="shared" si="347"/>
        <v/>
      </c>
      <c r="Q2230" s="40" t="str">
        <f>IF(OR(T2230=0,RIGHT(T2230,1)=$W$1),"",COUNTIF($T$3:T2230,T2230))</f>
        <v/>
      </c>
      <c r="S2230" s="6">
        <f t="shared" si="348"/>
        <v>0</v>
      </c>
      <c r="T2230" s="36">
        <f t="shared" si="349"/>
        <v>0</v>
      </c>
      <c r="V2230" s="6">
        <f t="shared" si="350"/>
        <v>0</v>
      </c>
      <c r="Y2230" s="8">
        <f t="shared" si="351"/>
        <v>46023</v>
      </c>
    </row>
    <row r="2231" spans="2:25" ht="18.75" x14ac:dyDescent="0.3">
      <c r="B2231" s="6">
        <f t="shared" si="343"/>
        <v>0</v>
      </c>
      <c r="C2231" s="6">
        <f t="shared" si="344"/>
        <v>0</v>
      </c>
      <c r="D2231" s="6" t="str">
        <f t="shared" si="345"/>
        <v/>
      </c>
      <c r="E2231" s="35" t="str">
        <f t="shared" si="342"/>
        <v/>
      </c>
      <c r="F2231" s="31"/>
      <c r="G2231" s="29"/>
      <c r="H2231" s="78" t="str">
        <f t="shared" si="346"/>
        <v/>
      </c>
      <c r="I2231" s="25"/>
      <c r="J2231" s="25"/>
      <c r="K2231" s="26"/>
      <c r="L2231" s="26"/>
      <c r="M2231" s="37"/>
      <c r="N2231" s="27"/>
      <c r="O2231" s="30"/>
      <c r="P2231" s="39" t="str">
        <f t="shared" si="347"/>
        <v/>
      </c>
      <c r="Q2231" s="40" t="str">
        <f>IF(OR(T2231=0,RIGHT(T2231,1)=$W$1),"",COUNTIF($T$3:T2231,T2231))</f>
        <v/>
      </c>
      <c r="S2231" s="6">
        <f t="shared" si="348"/>
        <v>0</v>
      </c>
      <c r="T2231" s="36">
        <f t="shared" si="349"/>
        <v>0</v>
      </c>
      <c r="V2231" s="6">
        <f t="shared" si="350"/>
        <v>0</v>
      </c>
      <c r="Y2231" s="8">
        <f t="shared" si="351"/>
        <v>46023</v>
      </c>
    </row>
    <row r="2232" spans="2:25" ht="18.75" x14ac:dyDescent="0.3">
      <c r="B2232" s="6">
        <f t="shared" si="343"/>
        <v>0</v>
      </c>
      <c r="C2232" s="6">
        <f t="shared" si="344"/>
        <v>0</v>
      </c>
      <c r="D2232" s="6" t="str">
        <f t="shared" si="345"/>
        <v/>
      </c>
      <c r="E2232" s="35" t="str">
        <f t="shared" si="342"/>
        <v/>
      </c>
      <c r="F2232" s="31"/>
      <c r="G2232" s="29"/>
      <c r="H2232" s="78" t="str">
        <f t="shared" si="346"/>
        <v/>
      </c>
      <c r="I2232" s="25"/>
      <c r="J2232" s="25"/>
      <c r="K2232" s="26"/>
      <c r="L2232" s="26"/>
      <c r="M2232" s="37"/>
      <c r="N2232" s="27"/>
      <c r="O2232" s="30"/>
      <c r="P2232" s="39" t="str">
        <f t="shared" si="347"/>
        <v/>
      </c>
      <c r="Q2232" s="40" t="str">
        <f>IF(OR(T2232=0,RIGHT(T2232,1)=$W$1),"",COUNTIF($T$3:T2232,T2232))</f>
        <v/>
      </c>
      <c r="S2232" s="6">
        <f t="shared" si="348"/>
        <v>0</v>
      </c>
      <c r="T2232" s="36">
        <f t="shared" si="349"/>
        <v>0</v>
      </c>
      <c r="V2232" s="6">
        <f t="shared" si="350"/>
        <v>0</v>
      </c>
      <c r="Y2232" s="8">
        <f t="shared" si="351"/>
        <v>46023</v>
      </c>
    </row>
    <row r="2233" spans="2:25" ht="18.75" x14ac:dyDescent="0.3">
      <c r="B2233" s="6">
        <f t="shared" si="343"/>
        <v>0</v>
      </c>
      <c r="C2233" s="6">
        <f t="shared" si="344"/>
        <v>0</v>
      </c>
      <c r="D2233" s="6" t="str">
        <f t="shared" si="345"/>
        <v/>
      </c>
      <c r="E2233" s="35" t="str">
        <f t="shared" si="342"/>
        <v/>
      </c>
      <c r="F2233" s="31"/>
      <c r="G2233" s="29"/>
      <c r="H2233" s="78" t="str">
        <f t="shared" si="346"/>
        <v/>
      </c>
      <c r="I2233" s="25"/>
      <c r="J2233" s="25"/>
      <c r="K2233" s="26"/>
      <c r="L2233" s="26"/>
      <c r="M2233" s="37"/>
      <c r="N2233" s="27"/>
      <c r="O2233" s="30"/>
      <c r="P2233" s="39" t="str">
        <f t="shared" si="347"/>
        <v/>
      </c>
      <c r="Q2233" s="40" t="str">
        <f>IF(OR(T2233=0,RIGHT(T2233,1)=$W$1),"",COUNTIF($T$3:T2233,T2233))</f>
        <v/>
      </c>
      <c r="S2233" s="6">
        <f t="shared" si="348"/>
        <v>0</v>
      </c>
      <c r="T2233" s="36">
        <f t="shared" si="349"/>
        <v>0</v>
      </c>
      <c r="V2233" s="6">
        <f t="shared" si="350"/>
        <v>0</v>
      </c>
      <c r="Y2233" s="8">
        <f t="shared" si="351"/>
        <v>46023</v>
      </c>
    </row>
    <row r="2234" spans="2:25" ht="18.75" x14ac:dyDescent="0.3">
      <c r="B2234" s="6">
        <f t="shared" si="343"/>
        <v>0</v>
      </c>
      <c r="C2234" s="6">
        <f t="shared" si="344"/>
        <v>0</v>
      </c>
      <c r="D2234" s="6" t="str">
        <f t="shared" si="345"/>
        <v/>
      </c>
      <c r="E2234" s="35" t="str">
        <f t="shared" si="342"/>
        <v/>
      </c>
      <c r="F2234" s="31"/>
      <c r="G2234" s="29"/>
      <c r="H2234" s="78" t="str">
        <f t="shared" si="346"/>
        <v/>
      </c>
      <c r="I2234" s="25"/>
      <c r="J2234" s="25"/>
      <c r="K2234" s="26"/>
      <c r="L2234" s="26"/>
      <c r="M2234" s="37"/>
      <c r="N2234" s="27"/>
      <c r="O2234" s="30"/>
      <c r="P2234" s="39" t="str">
        <f t="shared" si="347"/>
        <v/>
      </c>
      <c r="Q2234" s="40" t="str">
        <f>IF(OR(T2234=0,RIGHT(T2234,1)=$W$1),"",COUNTIF($T$3:T2234,T2234))</f>
        <v/>
      </c>
      <c r="S2234" s="6">
        <f t="shared" si="348"/>
        <v>0</v>
      </c>
      <c r="T2234" s="36">
        <f t="shared" si="349"/>
        <v>0</v>
      </c>
      <c r="V2234" s="6">
        <f t="shared" si="350"/>
        <v>0</v>
      </c>
      <c r="Y2234" s="8">
        <f t="shared" si="351"/>
        <v>46023</v>
      </c>
    </row>
    <row r="2235" spans="2:25" ht="18.75" x14ac:dyDescent="0.3">
      <c r="B2235" s="6">
        <f t="shared" si="343"/>
        <v>0</v>
      </c>
      <c r="C2235" s="6">
        <f t="shared" si="344"/>
        <v>0</v>
      </c>
      <c r="D2235" s="6" t="str">
        <f t="shared" si="345"/>
        <v/>
      </c>
      <c r="E2235" s="35" t="str">
        <f t="shared" si="342"/>
        <v/>
      </c>
      <c r="F2235" s="31"/>
      <c r="G2235" s="29"/>
      <c r="H2235" s="78" t="str">
        <f t="shared" si="346"/>
        <v/>
      </c>
      <c r="I2235" s="25"/>
      <c r="J2235" s="25"/>
      <c r="K2235" s="26"/>
      <c r="L2235" s="26"/>
      <c r="M2235" s="37"/>
      <c r="N2235" s="27"/>
      <c r="O2235" s="30"/>
      <c r="P2235" s="39" t="str">
        <f t="shared" si="347"/>
        <v/>
      </c>
      <c r="Q2235" s="40" t="str">
        <f>IF(OR(T2235=0,RIGHT(T2235,1)=$W$1),"",COUNTIF($T$3:T2235,T2235))</f>
        <v/>
      </c>
      <c r="S2235" s="6">
        <f t="shared" si="348"/>
        <v>0</v>
      </c>
      <c r="T2235" s="36">
        <f t="shared" si="349"/>
        <v>0</v>
      </c>
      <c r="V2235" s="6">
        <f t="shared" si="350"/>
        <v>0</v>
      </c>
      <c r="Y2235" s="8">
        <f t="shared" si="351"/>
        <v>46023</v>
      </c>
    </row>
    <row r="2236" spans="2:25" ht="18.75" x14ac:dyDescent="0.3">
      <c r="B2236" s="6">
        <f t="shared" si="343"/>
        <v>0</v>
      </c>
      <c r="C2236" s="6">
        <f t="shared" si="344"/>
        <v>0</v>
      </c>
      <c r="D2236" s="6" t="str">
        <f t="shared" si="345"/>
        <v/>
      </c>
      <c r="E2236" s="35" t="str">
        <f t="shared" si="342"/>
        <v/>
      </c>
      <c r="F2236" s="31"/>
      <c r="G2236" s="29"/>
      <c r="H2236" s="78" t="str">
        <f t="shared" si="346"/>
        <v/>
      </c>
      <c r="I2236" s="25"/>
      <c r="J2236" s="25"/>
      <c r="K2236" s="26"/>
      <c r="L2236" s="26"/>
      <c r="M2236" s="37"/>
      <c r="N2236" s="27"/>
      <c r="O2236" s="30"/>
      <c r="P2236" s="39" t="str">
        <f t="shared" si="347"/>
        <v/>
      </c>
      <c r="Q2236" s="40" t="str">
        <f>IF(OR(T2236=0,RIGHT(T2236,1)=$W$1),"",COUNTIF($T$3:T2236,T2236))</f>
        <v/>
      </c>
      <c r="S2236" s="6">
        <f t="shared" si="348"/>
        <v>0</v>
      </c>
      <c r="T2236" s="36">
        <f t="shared" si="349"/>
        <v>0</v>
      </c>
      <c r="V2236" s="6">
        <f t="shared" si="350"/>
        <v>0</v>
      </c>
      <c r="Y2236" s="8">
        <f t="shared" si="351"/>
        <v>46023</v>
      </c>
    </row>
    <row r="2237" spans="2:25" ht="18.75" x14ac:dyDescent="0.3">
      <c r="B2237" s="6">
        <f t="shared" si="343"/>
        <v>0</v>
      </c>
      <c r="C2237" s="6">
        <f t="shared" si="344"/>
        <v>0</v>
      </c>
      <c r="D2237" s="6" t="str">
        <f t="shared" si="345"/>
        <v/>
      </c>
      <c r="E2237" s="35" t="str">
        <f t="shared" si="342"/>
        <v/>
      </c>
      <c r="F2237" s="31"/>
      <c r="G2237" s="29"/>
      <c r="H2237" s="78" t="str">
        <f t="shared" si="346"/>
        <v/>
      </c>
      <c r="I2237" s="25"/>
      <c r="J2237" s="25"/>
      <c r="K2237" s="26"/>
      <c r="L2237" s="26"/>
      <c r="M2237" s="37"/>
      <c r="N2237" s="27"/>
      <c r="O2237" s="30"/>
      <c r="P2237" s="39" t="str">
        <f t="shared" si="347"/>
        <v/>
      </c>
      <c r="Q2237" s="40" t="str">
        <f>IF(OR(T2237=0,RIGHT(T2237,1)=$W$1),"",COUNTIF($T$3:T2237,T2237))</f>
        <v/>
      </c>
      <c r="S2237" s="6">
        <f t="shared" si="348"/>
        <v>0</v>
      </c>
      <c r="T2237" s="36">
        <f t="shared" si="349"/>
        <v>0</v>
      </c>
      <c r="V2237" s="6">
        <f t="shared" si="350"/>
        <v>0</v>
      </c>
      <c r="Y2237" s="8">
        <f t="shared" si="351"/>
        <v>46023</v>
      </c>
    </row>
    <row r="2238" spans="2:25" ht="18.75" x14ac:dyDescent="0.3">
      <c r="B2238" s="6">
        <f t="shared" si="343"/>
        <v>0</v>
      </c>
      <c r="C2238" s="6">
        <f t="shared" si="344"/>
        <v>0</v>
      </c>
      <c r="D2238" s="6" t="str">
        <f t="shared" si="345"/>
        <v/>
      </c>
      <c r="E2238" s="35" t="str">
        <f t="shared" si="342"/>
        <v/>
      </c>
      <c r="F2238" s="31"/>
      <c r="G2238" s="29"/>
      <c r="H2238" s="78" t="str">
        <f t="shared" si="346"/>
        <v/>
      </c>
      <c r="I2238" s="25"/>
      <c r="J2238" s="25"/>
      <c r="K2238" s="26"/>
      <c r="L2238" s="26"/>
      <c r="M2238" s="37"/>
      <c r="N2238" s="27"/>
      <c r="O2238" s="30"/>
      <c r="P2238" s="39" t="str">
        <f t="shared" si="347"/>
        <v/>
      </c>
      <c r="Q2238" s="40" t="str">
        <f>IF(OR(T2238=0,RIGHT(T2238,1)=$W$1),"",COUNTIF($T$3:T2238,T2238))</f>
        <v/>
      </c>
      <c r="S2238" s="6">
        <f t="shared" si="348"/>
        <v>0</v>
      </c>
      <c r="T2238" s="36">
        <f t="shared" si="349"/>
        <v>0</v>
      </c>
      <c r="V2238" s="6">
        <f t="shared" si="350"/>
        <v>0</v>
      </c>
      <c r="Y2238" s="8">
        <f t="shared" si="351"/>
        <v>46023</v>
      </c>
    </row>
    <row r="2239" spans="2:25" ht="18.75" x14ac:dyDescent="0.3">
      <c r="B2239" s="6">
        <f t="shared" si="343"/>
        <v>0</v>
      </c>
      <c r="C2239" s="6">
        <f t="shared" si="344"/>
        <v>0</v>
      </c>
      <c r="D2239" s="6" t="str">
        <f t="shared" si="345"/>
        <v/>
      </c>
      <c r="E2239" s="35" t="str">
        <f t="shared" si="342"/>
        <v/>
      </c>
      <c r="F2239" s="31"/>
      <c r="G2239" s="29"/>
      <c r="H2239" s="78" t="str">
        <f t="shared" si="346"/>
        <v/>
      </c>
      <c r="I2239" s="25"/>
      <c r="J2239" s="25"/>
      <c r="K2239" s="26"/>
      <c r="L2239" s="26"/>
      <c r="M2239" s="37"/>
      <c r="N2239" s="27"/>
      <c r="O2239" s="30"/>
      <c r="P2239" s="39" t="str">
        <f t="shared" si="347"/>
        <v/>
      </c>
      <c r="Q2239" s="40" t="str">
        <f>IF(OR(T2239=0,RIGHT(T2239,1)=$W$1),"",COUNTIF($T$3:T2239,T2239))</f>
        <v/>
      </c>
      <c r="S2239" s="6">
        <f t="shared" si="348"/>
        <v>0</v>
      </c>
      <c r="T2239" s="36">
        <f t="shared" si="349"/>
        <v>0</v>
      </c>
      <c r="V2239" s="6">
        <f t="shared" si="350"/>
        <v>0</v>
      </c>
      <c r="Y2239" s="8">
        <f t="shared" si="351"/>
        <v>46023</v>
      </c>
    </row>
    <row r="2240" spans="2:25" ht="18.75" x14ac:dyDescent="0.3">
      <c r="B2240" s="6">
        <f t="shared" si="343"/>
        <v>0</v>
      </c>
      <c r="C2240" s="6">
        <f t="shared" si="344"/>
        <v>0</v>
      </c>
      <c r="D2240" s="6" t="str">
        <f t="shared" si="345"/>
        <v/>
      </c>
      <c r="E2240" s="35" t="str">
        <f t="shared" si="342"/>
        <v/>
      </c>
      <c r="F2240" s="31"/>
      <c r="G2240" s="29"/>
      <c r="H2240" s="78" t="str">
        <f t="shared" si="346"/>
        <v/>
      </c>
      <c r="I2240" s="25"/>
      <c r="J2240" s="25"/>
      <c r="K2240" s="26"/>
      <c r="L2240" s="26"/>
      <c r="M2240" s="37"/>
      <c r="N2240" s="27"/>
      <c r="O2240" s="30"/>
      <c r="P2240" s="39" t="str">
        <f t="shared" si="347"/>
        <v/>
      </c>
      <c r="Q2240" s="40" t="str">
        <f>IF(OR(T2240=0,RIGHT(T2240,1)=$W$1),"",COUNTIF($T$3:T2240,T2240))</f>
        <v/>
      </c>
      <c r="S2240" s="6">
        <f t="shared" si="348"/>
        <v>0</v>
      </c>
      <c r="T2240" s="36">
        <f t="shared" si="349"/>
        <v>0</v>
      </c>
      <c r="V2240" s="6">
        <f t="shared" si="350"/>
        <v>0</v>
      </c>
      <c r="Y2240" s="8">
        <f t="shared" si="351"/>
        <v>46023</v>
      </c>
    </row>
    <row r="2241" spans="2:25" ht="18.75" x14ac:dyDescent="0.3">
      <c r="B2241" s="6">
        <f t="shared" si="343"/>
        <v>0</v>
      </c>
      <c r="C2241" s="6">
        <f t="shared" si="344"/>
        <v>0</v>
      </c>
      <c r="D2241" s="6" t="str">
        <f t="shared" si="345"/>
        <v/>
      </c>
      <c r="E2241" s="35" t="str">
        <f t="shared" si="342"/>
        <v/>
      </c>
      <c r="F2241" s="31"/>
      <c r="G2241" s="29"/>
      <c r="H2241" s="78" t="str">
        <f t="shared" si="346"/>
        <v/>
      </c>
      <c r="I2241" s="25"/>
      <c r="J2241" s="25"/>
      <c r="K2241" s="26"/>
      <c r="L2241" s="26"/>
      <c r="M2241" s="37"/>
      <c r="N2241" s="27"/>
      <c r="O2241" s="30"/>
      <c r="P2241" s="39" t="str">
        <f t="shared" si="347"/>
        <v/>
      </c>
      <c r="Q2241" s="40" t="str">
        <f>IF(OR(T2241=0,RIGHT(T2241,1)=$W$1),"",COUNTIF($T$3:T2241,T2241))</f>
        <v/>
      </c>
      <c r="S2241" s="6">
        <f t="shared" si="348"/>
        <v>0</v>
      </c>
      <c r="T2241" s="36">
        <f t="shared" si="349"/>
        <v>0</v>
      </c>
      <c r="V2241" s="6">
        <f t="shared" si="350"/>
        <v>0</v>
      </c>
      <c r="Y2241" s="8">
        <f t="shared" si="351"/>
        <v>46023</v>
      </c>
    </row>
    <row r="2242" spans="2:25" ht="18.75" x14ac:dyDescent="0.3">
      <c r="B2242" s="6">
        <f t="shared" si="343"/>
        <v>0</v>
      </c>
      <c r="C2242" s="6">
        <f t="shared" si="344"/>
        <v>0</v>
      </c>
      <c r="D2242" s="6" t="str">
        <f t="shared" si="345"/>
        <v/>
      </c>
      <c r="E2242" s="35" t="str">
        <f t="shared" si="342"/>
        <v/>
      </c>
      <c r="F2242" s="31"/>
      <c r="G2242" s="29"/>
      <c r="H2242" s="78" t="str">
        <f t="shared" si="346"/>
        <v/>
      </c>
      <c r="I2242" s="25"/>
      <c r="J2242" s="25"/>
      <c r="K2242" s="26"/>
      <c r="L2242" s="26"/>
      <c r="M2242" s="37"/>
      <c r="N2242" s="27"/>
      <c r="O2242" s="30"/>
      <c r="P2242" s="39" t="str">
        <f t="shared" si="347"/>
        <v/>
      </c>
      <c r="Q2242" s="40" t="str">
        <f>IF(OR(T2242=0,RIGHT(T2242,1)=$W$1),"",COUNTIF($T$3:T2242,T2242))</f>
        <v/>
      </c>
      <c r="S2242" s="6">
        <f t="shared" si="348"/>
        <v>0</v>
      </c>
      <c r="T2242" s="36">
        <f t="shared" si="349"/>
        <v>0</v>
      </c>
      <c r="V2242" s="6">
        <f t="shared" si="350"/>
        <v>0</v>
      </c>
      <c r="Y2242" s="8">
        <f t="shared" si="351"/>
        <v>46023</v>
      </c>
    </row>
    <row r="2243" spans="2:25" ht="18.75" x14ac:dyDescent="0.3">
      <c r="B2243" s="6">
        <f t="shared" si="343"/>
        <v>0</v>
      </c>
      <c r="C2243" s="6">
        <f t="shared" si="344"/>
        <v>0</v>
      </c>
      <c r="D2243" s="6" t="str">
        <f t="shared" si="345"/>
        <v/>
      </c>
      <c r="E2243" s="35" t="str">
        <f t="shared" ref="E2243:E2306" si="352">IF(D2243&lt;&gt;"",D2243&amp;" - "&amp;YEAR(F2243),"")</f>
        <v/>
      </c>
      <c r="F2243" s="31"/>
      <c r="G2243" s="29"/>
      <c r="H2243" s="78" t="str">
        <f t="shared" si="346"/>
        <v/>
      </c>
      <c r="I2243" s="25"/>
      <c r="J2243" s="25"/>
      <c r="K2243" s="26"/>
      <c r="L2243" s="26"/>
      <c r="M2243" s="37"/>
      <c r="N2243" s="27"/>
      <c r="O2243" s="30"/>
      <c r="P2243" s="39" t="str">
        <f t="shared" si="347"/>
        <v/>
      </c>
      <c r="Q2243" s="40" t="str">
        <f>IF(OR(T2243=0,RIGHT(T2243,1)=$W$1),"",COUNTIF($T$3:T2243,T2243))</f>
        <v/>
      </c>
      <c r="S2243" s="6">
        <f t="shared" si="348"/>
        <v>0</v>
      </c>
      <c r="T2243" s="36">
        <f t="shared" si="349"/>
        <v>0</v>
      </c>
      <c r="V2243" s="6">
        <f t="shared" si="350"/>
        <v>0</v>
      </c>
      <c r="Y2243" s="8">
        <f t="shared" si="351"/>
        <v>46023</v>
      </c>
    </row>
    <row r="2244" spans="2:25" ht="18.75" x14ac:dyDescent="0.3">
      <c r="B2244" s="6">
        <f t="shared" ref="B2244:B2307" si="353">IF($B$1=YEAR(F2244),B2243+1,B2243)</f>
        <v>0</v>
      </c>
      <c r="C2244" s="6">
        <f t="shared" ref="C2244:C2307" si="354">IF(AND($C$1=K2244,$Y$1=YEAR(F2244)),C2243+1,C2243)</f>
        <v>0</v>
      </c>
      <c r="D2244" s="6" t="str">
        <f t="shared" ref="D2244:D2307" si="355">IF(F2244&lt;&gt;0,IF(YEAR(F2244)&lt;&gt;YEAR(F2243),1,IF(M2244=$AI$1,D2243,D2243+1)),"")</f>
        <v/>
      </c>
      <c r="E2244" s="35" t="str">
        <f t="shared" si="352"/>
        <v/>
      </c>
      <c r="F2244" s="31"/>
      <c r="G2244" s="29"/>
      <c r="H2244" s="78" t="str">
        <f t="shared" ref="H2244:H2307" si="356">IF(G2244&lt;&gt;"",F2244,"")</f>
        <v/>
      </c>
      <c r="I2244" s="25"/>
      <c r="J2244" s="25"/>
      <c r="K2244" s="26"/>
      <c r="L2244" s="26"/>
      <c r="M2244" s="37"/>
      <c r="N2244" s="27"/>
      <c r="O2244" s="30"/>
      <c r="P2244" s="39" t="str">
        <f t="shared" ref="P2244:P2307" si="357">IF(OR(T2244=0,RIGHT(T2244,1)=$W$1),"",VLOOKUP(K2244,$AD$1:$AK$15,5,FALSE))</f>
        <v/>
      </c>
      <c r="Q2244" s="40" t="str">
        <f>IF(OR(T2244=0,RIGHT(T2244,1)=$W$1),"",COUNTIF($T$3:T2244,T2244))</f>
        <v/>
      </c>
      <c r="S2244" s="6">
        <f t="shared" ref="S2244:S2307" si="358">IF(AND($C$1=K2244,$Y$1=YEAR(F2244)),C2244,0)</f>
        <v>0</v>
      </c>
      <c r="T2244" s="36">
        <f t="shared" ref="T2244:T2307" si="359">IF(F2244=0,0,YEAR(F2244)&amp;VLOOKUP(K2244,$AD$1:$AE$15,2,FALSE))</f>
        <v>0</v>
      </c>
      <c r="V2244" s="6">
        <f t="shared" ref="V2244:V2307" si="360">IF(AND(YEAR(F2244)=$Y$1,K2244=$C$1,L2244&amp;$V$1&lt;&gt;$V$1),L2244,IF(AND(YEAR(F2244)=$Y$1,K2244=$C$1),1,0))</f>
        <v>0</v>
      </c>
      <c r="Y2244" s="8">
        <f t="shared" ref="Y2244:Y2307" si="361">IF(M2244&lt;&gt;$AI$1,$Y$2,F2243)</f>
        <v>46023</v>
      </c>
    </row>
    <row r="2245" spans="2:25" ht="18.75" x14ac:dyDescent="0.3">
      <c r="B2245" s="6">
        <f t="shared" si="353"/>
        <v>0</v>
      </c>
      <c r="C2245" s="6">
        <f t="shared" si="354"/>
        <v>0</v>
      </c>
      <c r="D2245" s="6" t="str">
        <f t="shared" si="355"/>
        <v/>
      </c>
      <c r="E2245" s="35" t="str">
        <f t="shared" si="352"/>
        <v/>
      </c>
      <c r="F2245" s="31"/>
      <c r="G2245" s="29"/>
      <c r="H2245" s="78" t="str">
        <f t="shared" si="356"/>
        <v/>
      </c>
      <c r="I2245" s="25"/>
      <c r="J2245" s="25"/>
      <c r="K2245" s="26"/>
      <c r="L2245" s="26"/>
      <c r="M2245" s="37"/>
      <c r="N2245" s="27"/>
      <c r="O2245" s="30"/>
      <c r="P2245" s="39" t="str">
        <f t="shared" si="357"/>
        <v/>
      </c>
      <c r="Q2245" s="40" t="str">
        <f>IF(OR(T2245=0,RIGHT(T2245,1)=$W$1),"",COUNTIF($T$3:T2245,T2245))</f>
        <v/>
      </c>
      <c r="S2245" s="6">
        <f t="shared" si="358"/>
        <v>0</v>
      </c>
      <c r="T2245" s="36">
        <f t="shared" si="359"/>
        <v>0</v>
      </c>
      <c r="V2245" s="6">
        <f t="shared" si="360"/>
        <v>0</v>
      </c>
      <c r="Y2245" s="8">
        <f t="shared" si="361"/>
        <v>46023</v>
      </c>
    </row>
    <row r="2246" spans="2:25" ht="18.75" x14ac:dyDescent="0.3">
      <c r="B2246" s="6">
        <f t="shared" si="353"/>
        <v>0</v>
      </c>
      <c r="C2246" s="6">
        <f t="shared" si="354"/>
        <v>0</v>
      </c>
      <c r="D2246" s="6" t="str">
        <f t="shared" si="355"/>
        <v/>
      </c>
      <c r="E2246" s="35" t="str">
        <f t="shared" si="352"/>
        <v/>
      </c>
      <c r="F2246" s="31"/>
      <c r="G2246" s="29"/>
      <c r="H2246" s="78" t="str">
        <f t="shared" si="356"/>
        <v/>
      </c>
      <c r="I2246" s="25"/>
      <c r="J2246" s="25"/>
      <c r="K2246" s="26"/>
      <c r="L2246" s="26"/>
      <c r="M2246" s="37"/>
      <c r="N2246" s="27"/>
      <c r="O2246" s="30"/>
      <c r="P2246" s="39" t="str">
        <f t="shared" si="357"/>
        <v/>
      </c>
      <c r="Q2246" s="40" t="str">
        <f>IF(OR(T2246=0,RIGHT(T2246,1)=$W$1),"",COUNTIF($T$3:T2246,T2246))</f>
        <v/>
      </c>
      <c r="S2246" s="6">
        <f t="shared" si="358"/>
        <v>0</v>
      </c>
      <c r="T2246" s="36">
        <f t="shared" si="359"/>
        <v>0</v>
      </c>
      <c r="V2246" s="6">
        <f t="shared" si="360"/>
        <v>0</v>
      </c>
      <c r="Y2246" s="8">
        <f t="shared" si="361"/>
        <v>46023</v>
      </c>
    </row>
    <row r="2247" spans="2:25" ht="18.75" x14ac:dyDescent="0.3">
      <c r="B2247" s="6">
        <f t="shared" si="353"/>
        <v>0</v>
      </c>
      <c r="C2247" s="6">
        <f t="shared" si="354"/>
        <v>0</v>
      </c>
      <c r="D2247" s="6" t="str">
        <f t="shared" si="355"/>
        <v/>
      </c>
      <c r="E2247" s="35" t="str">
        <f t="shared" si="352"/>
        <v/>
      </c>
      <c r="F2247" s="31"/>
      <c r="G2247" s="29"/>
      <c r="H2247" s="78" t="str">
        <f t="shared" si="356"/>
        <v/>
      </c>
      <c r="I2247" s="25"/>
      <c r="J2247" s="25"/>
      <c r="K2247" s="26"/>
      <c r="L2247" s="26"/>
      <c r="M2247" s="37"/>
      <c r="N2247" s="27"/>
      <c r="O2247" s="30"/>
      <c r="P2247" s="39" t="str">
        <f t="shared" si="357"/>
        <v/>
      </c>
      <c r="Q2247" s="40" t="str">
        <f>IF(OR(T2247=0,RIGHT(T2247,1)=$W$1),"",COUNTIF($T$3:T2247,T2247))</f>
        <v/>
      </c>
      <c r="S2247" s="6">
        <f t="shared" si="358"/>
        <v>0</v>
      </c>
      <c r="T2247" s="36">
        <f t="shared" si="359"/>
        <v>0</v>
      </c>
      <c r="V2247" s="6">
        <f t="shared" si="360"/>
        <v>0</v>
      </c>
      <c r="Y2247" s="8">
        <f t="shared" si="361"/>
        <v>46023</v>
      </c>
    </row>
    <row r="2248" spans="2:25" ht="18.75" x14ac:dyDescent="0.3">
      <c r="B2248" s="6">
        <f t="shared" si="353"/>
        <v>0</v>
      </c>
      <c r="C2248" s="6">
        <f t="shared" si="354"/>
        <v>0</v>
      </c>
      <c r="D2248" s="6" t="str">
        <f t="shared" si="355"/>
        <v/>
      </c>
      <c r="E2248" s="35" t="str">
        <f t="shared" si="352"/>
        <v/>
      </c>
      <c r="F2248" s="31"/>
      <c r="G2248" s="29"/>
      <c r="H2248" s="78" t="str">
        <f t="shared" si="356"/>
        <v/>
      </c>
      <c r="I2248" s="25"/>
      <c r="J2248" s="25"/>
      <c r="K2248" s="26"/>
      <c r="L2248" s="26"/>
      <c r="M2248" s="37"/>
      <c r="N2248" s="27"/>
      <c r="O2248" s="30"/>
      <c r="P2248" s="39" t="str">
        <f t="shared" si="357"/>
        <v/>
      </c>
      <c r="Q2248" s="40" t="str">
        <f>IF(OR(T2248=0,RIGHT(T2248,1)=$W$1),"",COUNTIF($T$3:T2248,T2248))</f>
        <v/>
      </c>
      <c r="S2248" s="6">
        <f t="shared" si="358"/>
        <v>0</v>
      </c>
      <c r="T2248" s="36">
        <f t="shared" si="359"/>
        <v>0</v>
      </c>
      <c r="V2248" s="6">
        <f t="shared" si="360"/>
        <v>0</v>
      </c>
      <c r="Y2248" s="8">
        <f t="shared" si="361"/>
        <v>46023</v>
      </c>
    </row>
    <row r="2249" spans="2:25" ht="18.75" x14ac:dyDescent="0.3">
      <c r="B2249" s="6">
        <f t="shared" si="353"/>
        <v>0</v>
      </c>
      <c r="C2249" s="6">
        <f t="shared" si="354"/>
        <v>0</v>
      </c>
      <c r="D2249" s="6" t="str">
        <f t="shared" si="355"/>
        <v/>
      </c>
      <c r="E2249" s="35" t="str">
        <f t="shared" si="352"/>
        <v/>
      </c>
      <c r="F2249" s="31"/>
      <c r="G2249" s="29"/>
      <c r="H2249" s="78" t="str">
        <f t="shared" si="356"/>
        <v/>
      </c>
      <c r="I2249" s="25"/>
      <c r="J2249" s="25"/>
      <c r="K2249" s="26"/>
      <c r="L2249" s="26"/>
      <c r="M2249" s="37"/>
      <c r="N2249" s="27"/>
      <c r="O2249" s="30"/>
      <c r="P2249" s="39" t="str">
        <f t="shared" si="357"/>
        <v/>
      </c>
      <c r="Q2249" s="40" t="str">
        <f>IF(OR(T2249=0,RIGHT(T2249,1)=$W$1),"",COUNTIF($T$3:T2249,T2249))</f>
        <v/>
      </c>
      <c r="S2249" s="6">
        <f t="shared" si="358"/>
        <v>0</v>
      </c>
      <c r="T2249" s="36">
        <f t="shared" si="359"/>
        <v>0</v>
      </c>
      <c r="V2249" s="6">
        <f t="shared" si="360"/>
        <v>0</v>
      </c>
      <c r="Y2249" s="8">
        <f t="shared" si="361"/>
        <v>46023</v>
      </c>
    </row>
    <row r="2250" spans="2:25" ht="18.75" x14ac:dyDescent="0.3">
      <c r="B2250" s="6">
        <f t="shared" si="353"/>
        <v>0</v>
      </c>
      <c r="C2250" s="6">
        <f t="shared" si="354"/>
        <v>0</v>
      </c>
      <c r="D2250" s="6" t="str">
        <f t="shared" si="355"/>
        <v/>
      </c>
      <c r="E2250" s="35" t="str">
        <f t="shared" si="352"/>
        <v/>
      </c>
      <c r="F2250" s="31"/>
      <c r="G2250" s="29"/>
      <c r="H2250" s="78" t="str">
        <f t="shared" si="356"/>
        <v/>
      </c>
      <c r="I2250" s="25"/>
      <c r="J2250" s="25"/>
      <c r="K2250" s="26"/>
      <c r="L2250" s="26"/>
      <c r="M2250" s="37"/>
      <c r="N2250" s="27"/>
      <c r="O2250" s="30"/>
      <c r="P2250" s="39" t="str">
        <f t="shared" si="357"/>
        <v/>
      </c>
      <c r="Q2250" s="40" t="str">
        <f>IF(OR(T2250=0,RIGHT(T2250,1)=$W$1),"",COUNTIF($T$3:T2250,T2250))</f>
        <v/>
      </c>
      <c r="S2250" s="6">
        <f t="shared" si="358"/>
        <v>0</v>
      </c>
      <c r="T2250" s="36">
        <f t="shared" si="359"/>
        <v>0</v>
      </c>
      <c r="V2250" s="6">
        <f t="shared" si="360"/>
        <v>0</v>
      </c>
      <c r="Y2250" s="8">
        <f t="shared" si="361"/>
        <v>46023</v>
      </c>
    </row>
    <row r="2251" spans="2:25" ht="18.75" x14ac:dyDescent="0.3">
      <c r="B2251" s="6">
        <f t="shared" si="353"/>
        <v>0</v>
      </c>
      <c r="C2251" s="6">
        <f t="shared" si="354"/>
        <v>0</v>
      </c>
      <c r="D2251" s="6" t="str">
        <f t="shared" si="355"/>
        <v/>
      </c>
      <c r="E2251" s="35" t="str">
        <f t="shared" si="352"/>
        <v/>
      </c>
      <c r="F2251" s="31"/>
      <c r="G2251" s="29"/>
      <c r="H2251" s="78" t="str">
        <f t="shared" si="356"/>
        <v/>
      </c>
      <c r="I2251" s="25"/>
      <c r="J2251" s="25"/>
      <c r="K2251" s="26"/>
      <c r="L2251" s="26"/>
      <c r="M2251" s="37"/>
      <c r="N2251" s="27"/>
      <c r="O2251" s="30"/>
      <c r="P2251" s="39" t="str">
        <f t="shared" si="357"/>
        <v/>
      </c>
      <c r="Q2251" s="40" t="str">
        <f>IF(OR(T2251=0,RIGHT(T2251,1)=$W$1),"",COUNTIF($T$3:T2251,T2251))</f>
        <v/>
      </c>
      <c r="S2251" s="6">
        <f t="shared" si="358"/>
        <v>0</v>
      </c>
      <c r="T2251" s="36">
        <f t="shared" si="359"/>
        <v>0</v>
      </c>
      <c r="V2251" s="6">
        <f t="shared" si="360"/>
        <v>0</v>
      </c>
      <c r="Y2251" s="8">
        <f t="shared" si="361"/>
        <v>46023</v>
      </c>
    </row>
    <row r="2252" spans="2:25" ht="18.75" x14ac:dyDescent="0.3">
      <c r="B2252" s="6">
        <f t="shared" si="353"/>
        <v>0</v>
      </c>
      <c r="C2252" s="6">
        <f t="shared" si="354"/>
        <v>0</v>
      </c>
      <c r="D2252" s="6" t="str">
        <f t="shared" si="355"/>
        <v/>
      </c>
      <c r="E2252" s="35" t="str">
        <f t="shared" si="352"/>
        <v/>
      </c>
      <c r="F2252" s="31"/>
      <c r="G2252" s="29"/>
      <c r="H2252" s="78" t="str">
        <f t="shared" si="356"/>
        <v/>
      </c>
      <c r="I2252" s="25"/>
      <c r="J2252" s="25"/>
      <c r="K2252" s="26"/>
      <c r="L2252" s="26"/>
      <c r="M2252" s="37"/>
      <c r="N2252" s="27"/>
      <c r="O2252" s="30"/>
      <c r="P2252" s="39" t="str">
        <f t="shared" si="357"/>
        <v/>
      </c>
      <c r="Q2252" s="40" t="str">
        <f>IF(OR(T2252=0,RIGHT(T2252,1)=$W$1),"",COUNTIF($T$3:T2252,T2252))</f>
        <v/>
      </c>
      <c r="S2252" s="6">
        <f t="shared" si="358"/>
        <v>0</v>
      </c>
      <c r="T2252" s="36">
        <f t="shared" si="359"/>
        <v>0</v>
      </c>
      <c r="V2252" s="6">
        <f t="shared" si="360"/>
        <v>0</v>
      </c>
      <c r="Y2252" s="8">
        <f t="shared" si="361"/>
        <v>46023</v>
      </c>
    </row>
    <row r="2253" spans="2:25" ht="18.75" x14ac:dyDescent="0.3">
      <c r="B2253" s="6">
        <f t="shared" si="353"/>
        <v>0</v>
      </c>
      <c r="C2253" s="6">
        <f t="shared" si="354"/>
        <v>0</v>
      </c>
      <c r="D2253" s="6" t="str">
        <f t="shared" si="355"/>
        <v/>
      </c>
      <c r="E2253" s="35" t="str">
        <f t="shared" si="352"/>
        <v/>
      </c>
      <c r="F2253" s="31"/>
      <c r="G2253" s="29"/>
      <c r="H2253" s="78" t="str">
        <f t="shared" si="356"/>
        <v/>
      </c>
      <c r="I2253" s="25"/>
      <c r="J2253" s="25"/>
      <c r="K2253" s="26"/>
      <c r="L2253" s="26"/>
      <c r="M2253" s="37"/>
      <c r="N2253" s="27"/>
      <c r="O2253" s="30"/>
      <c r="P2253" s="39" t="str">
        <f t="shared" si="357"/>
        <v/>
      </c>
      <c r="Q2253" s="40" t="str">
        <f>IF(OR(T2253=0,RIGHT(T2253,1)=$W$1),"",COUNTIF($T$3:T2253,T2253))</f>
        <v/>
      </c>
      <c r="S2253" s="6">
        <f t="shared" si="358"/>
        <v>0</v>
      </c>
      <c r="T2253" s="36">
        <f t="shared" si="359"/>
        <v>0</v>
      </c>
      <c r="V2253" s="6">
        <f t="shared" si="360"/>
        <v>0</v>
      </c>
      <c r="Y2253" s="8">
        <f t="shared" si="361"/>
        <v>46023</v>
      </c>
    </row>
    <row r="2254" spans="2:25" ht="18.75" x14ac:dyDescent="0.3">
      <c r="B2254" s="6">
        <f t="shared" si="353"/>
        <v>0</v>
      </c>
      <c r="C2254" s="6">
        <f t="shared" si="354"/>
        <v>0</v>
      </c>
      <c r="D2254" s="6" t="str">
        <f t="shared" si="355"/>
        <v/>
      </c>
      <c r="E2254" s="35" t="str">
        <f t="shared" si="352"/>
        <v/>
      </c>
      <c r="F2254" s="31"/>
      <c r="G2254" s="29"/>
      <c r="H2254" s="78" t="str">
        <f t="shared" si="356"/>
        <v/>
      </c>
      <c r="I2254" s="25"/>
      <c r="J2254" s="25"/>
      <c r="K2254" s="26"/>
      <c r="L2254" s="26"/>
      <c r="M2254" s="37"/>
      <c r="N2254" s="27"/>
      <c r="O2254" s="30"/>
      <c r="P2254" s="39" t="str">
        <f t="shared" si="357"/>
        <v/>
      </c>
      <c r="Q2254" s="40" t="str">
        <f>IF(OR(T2254=0,RIGHT(T2254,1)=$W$1),"",COUNTIF($T$3:T2254,T2254))</f>
        <v/>
      </c>
      <c r="S2254" s="6">
        <f t="shared" si="358"/>
        <v>0</v>
      </c>
      <c r="T2254" s="36">
        <f t="shared" si="359"/>
        <v>0</v>
      </c>
      <c r="V2254" s="6">
        <f t="shared" si="360"/>
        <v>0</v>
      </c>
      <c r="Y2254" s="8">
        <f t="shared" si="361"/>
        <v>46023</v>
      </c>
    </row>
    <row r="2255" spans="2:25" ht="18.75" x14ac:dyDescent="0.3">
      <c r="B2255" s="6">
        <f t="shared" si="353"/>
        <v>0</v>
      </c>
      <c r="C2255" s="6">
        <f t="shared" si="354"/>
        <v>0</v>
      </c>
      <c r="D2255" s="6" t="str">
        <f t="shared" si="355"/>
        <v/>
      </c>
      <c r="E2255" s="35" t="str">
        <f t="shared" si="352"/>
        <v/>
      </c>
      <c r="F2255" s="31"/>
      <c r="G2255" s="29"/>
      <c r="H2255" s="78" t="str">
        <f t="shared" si="356"/>
        <v/>
      </c>
      <c r="I2255" s="25"/>
      <c r="J2255" s="25"/>
      <c r="K2255" s="26"/>
      <c r="L2255" s="26"/>
      <c r="M2255" s="37"/>
      <c r="N2255" s="27"/>
      <c r="O2255" s="30"/>
      <c r="P2255" s="39" t="str">
        <f t="shared" si="357"/>
        <v/>
      </c>
      <c r="Q2255" s="40" t="str">
        <f>IF(OR(T2255=0,RIGHT(T2255,1)=$W$1),"",COUNTIF($T$3:T2255,T2255))</f>
        <v/>
      </c>
      <c r="S2255" s="6">
        <f t="shared" si="358"/>
        <v>0</v>
      </c>
      <c r="T2255" s="36">
        <f t="shared" si="359"/>
        <v>0</v>
      </c>
      <c r="V2255" s="6">
        <f t="shared" si="360"/>
        <v>0</v>
      </c>
      <c r="Y2255" s="8">
        <f t="shared" si="361"/>
        <v>46023</v>
      </c>
    </row>
    <row r="2256" spans="2:25" ht="18.75" x14ac:dyDescent="0.3">
      <c r="B2256" s="6">
        <f t="shared" si="353"/>
        <v>0</v>
      </c>
      <c r="C2256" s="6">
        <f t="shared" si="354"/>
        <v>0</v>
      </c>
      <c r="D2256" s="6" t="str">
        <f t="shared" si="355"/>
        <v/>
      </c>
      <c r="E2256" s="35" t="str">
        <f t="shared" si="352"/>
        <v/>
      </c>
      <c r="F2256" s="31"/>
      <c r="G2256" s="29"/>
      <c r="H2256" s="78" t="str">
        <f t="shared" si="356"/>
        <v/>
      </c>
      <c r="I2256" s="25"/>
      <c r="J2256" s="25"/>
      <c r="K2256" s="26"/>
      <c r="L2256" s="26"/>
      <c r="M2256" s="37"/>
      <c r="N2256" s="27"/>
      <c r="O2256" s="30"/>
      <c r="P2256" s="39" t="str">
        <f t="shared" si="357"/>
        <v/>
      </c>
      <c r="Q2256" s="40" t="str">
        <f>IF(OR(T2256=0,RIGHT(T2256,1)=$W$1),"",COUNTIF($T$3:T2256,T2256))</f>
        <v/>
      </c>
      <c r="S2256" s="6">
        <f t="shared" si="358"/>
        <v>0</v>
      </c>
      <c r="T2256" s="36">
        <f t="shared" si="359"/>
        <v>0</v>
      </c>
      <c r="V2256" s="6">
        <f t="shared" si="360"/>
        <v>0</v>
      </c>
      <c r="Y2256" s="8">
        <f t="shared" si="361"/>
        <v>46023</v>
      </c>
    </row>
    <row r="2257" spans="2:25" ht="18.75" x14ac:dyDescent="0.3">
      <c r="B2257" s="6">
        <f t="shared" si="353"/>
        <v>0</v>
      </c>
      <c r="C2257" s="6">
        <f t="shared" si="354"/>
        <v>0</v>
      </c>
      <c r="D2257" s="6" t="str">
        <f t="shared" si="355"/>
        <v/>
      </c>
      <c r="E2257" s="35" t="str">
        <f t="shared" si="352"/>
        <v/>
      </c>
      <c r="F2257" s="31"/>
      <c r="G2257" s="29"/>
      <c r="H2257" s="78" t="str">
        <f t="shared" si="356"/>
        <v/>
      </c>
      <c r="I2257" s="25"/>
      <c r="J2257" s="25"/>
      <c r="K2257" s="26"/>
      <c r="L2257" s="26"/>
      <c r="M2257" s="37"/>
      <c r="N2257" s="27"/>
      <c r="O2257" s="30"/>
      <c r="P2257" s="39" t="str">
        <f t="shared" si="357"/>
        <v/>
      </c>
      <c r="Q2257" s="40" t="str">
        <f>IF(OR(T2257=0,RIGHT(T2257,1)=$W$1),"",COUNTIF($T$3:T2257,T2257))</f>
        <v/>
      </c>
      <c r="S2257" s="6">
        <f t="shared" si="358"/>
        <v>0</v>
      </c>
      <c r="T2257" s="36">
        <f t="shared" si="359"/>
        <v>0</v>
      </c>
      <c r="V2257" s="6">
        <f t="shared" si="360"/>
        <v>0</v>
      </c>
      <c r="Y2257" s="8">
        <f t="shared" si="361"/>
        <v>46023</v>
      </c>
    </row>
    <row r="2258" spans="2:25" ht="18.75" x14ac:dyDescent="0.3">
      <c r="B2258" s="6">
        <f t="shared" si="353"/>
        <v>0</v>
      </c>
      <c r="C2258" s="6">
        <f t="shared" si="354"/>
        <v>0</v>
      </c>
      <c r="D2258" s="6" t="str">
        <f t="shared" si="355"/>
        <v/>
      </c>
      <c r="E2258" s="35" t="str">
        <f t="shared" si="352"/>
        <v/>
      </c>
      <c r="F2258" s="31"/>
      <c r="G2258" s="29"/>
      <c r="H2258" s="78" t="str">
        <f t="shared" si="356"/>
        <v/>
      </c>
      <c r="I2258" s="25"/>
      <c r="J2258" s="25"/>
      <c r="K2258" s="26"/>
      <c r="L2258" s="26"/>
      <c r="M2258" s="37"/>
      <c r="N2258" s="27"/>
      <c r="O2258" s="30"/>
      <c r="P2258" s="39" t="str">
        <f t="shared" si="357"/>
        <v/>
      </c>
      <c r="Q2258" s="40" t="str">
        <f>IF(OR(T2258=0,RIGHT(T2258,1)=$W$1),"",COUNTIF($T$3:T2258,T2258))</f>
        <v/>
      </c>
      <c r="S2258" s="6">
        <f t="shared" si="358"/>
        <v>0</v>
      </c>
      <c r="T2258" s="36">
        <f t="shared" si="359"/>
        <v>0</v>
      </c>
      <c r="V2258" s="6">
        <f t="shared" si="360"/>
        <v>0</v>
      </c>
      <c r="Y2258" s="8">
        <f t="shared" si="361"/>
        <v>46023</v>
      </c>
    </row>
    <row r="2259" spans="2:25" ht="18.75" x14ac:dyDescent="0.3">
      <c r="B2259" s="6">
        <f t="shared" si="353"/>
        <v>0</v>
      </c>
      <c r="C2259" s="6">
        <f t="shared" si="354"/>
        <v>0</v>
      </c>
      <c r="D2259" s="6" t="str">
        <f t="shared" si="355"/>
        <v/>
      </c>
      <c r="E2259" s="35" t="str">
        <f t="shared" si="352"/>
        <v/>
      </c>
      <c r="F2259" s="31"/>
      <c r="G2259" s="29"/>
      <c r="H2259" s="78" t="str">
        <f t="shared" si="356"/>
        <v/>
      </c>
      <c r="I2259" s="25"/>
      <c r="J2259" s="25"/>
      <c r="K2259" s="26"/>
      <c r="L2259" s="26"/>
      <c r="M2259" s="37"/>
      <c r="N2259" s="27"/>
      <c r="O2259" s="30"/>
      <c r="P2259" s="39" t="str">
        <f t="shared" si="357"/>
        <v/>
      </c>
      <c r="Q2259" s="40" t="str">
        <f>IF(OR(T2259=0,RIGHT(T2259,1)=$W$1),"",COUNTIF($T$3:T2259,T2259))</f>
        <v/>
      </c>
      <c r="S2259" s="6">
        <f t="shared" si="358"/>
        <v>0</v>
      </c>
      <c r="T2259" s="36">
        <f t="shared" si="359"/>
        <v>0</v>
      </c>
      <c r="V2259" s="6">
        <f t="shared" si="360"/>
        <v>0</v>
      </c>
      <c r="Y2259" s="8">
        <f t="shared" si="361"/>
        <v>46023</v>
      </c>
    </row>
    <row r="2260" spans="2:25" ht="18.75" x14ac:dyDescent="0.3">
      <c r="B2260" s="6">
        <f t="shared" si="353"/>
        <v>0</v>
      </c>
      <c r="C2260" s="6">
        <f t="shared" si="354"/>
        <v>0</v>
      </c>
      <c r="D2260" s="6" t="str">
        <f t="shared" si="355"/>
        <v/>
      </c>
      <c r="E2260" s="35" t="str">
        <f t="shared" si="352"/>
        <v/>
      </c>
      <c r="F2260" s="31"/>
      <c r="G2260" s="29"/>
      <c r="H2260" s="78" t="str">
        <f t="shared" si="356"/>
        <v/>
      </c>
      <c r="I2260" s="25"/>
      <c r="J2260" s="25"/>
      <c r="K2260" s="26"/>
      <c r="L2260" s="26"/>
      <c r="M2260" s="37"/>
      <c r="N2260" s="27"/>
      <c r="O2260" s="30"/>
      <c r="P2260" s="39" t="str">
        <f t="shared" si="357"/>
        <v/>
      </c>
      <c r="Q2260" s="40" t="str">
        <f>IF(OR(T2260=0,RIGHT(T2260,1)=$W$1),"",COUNTIF($T$3:T2260,T2260))</f>
        <v/>
      </c>
      <c r="S2260" s="6">
        <f t="shared" si="358"/>
        <v>0</v>
      </c>
      <c r="T2260" s="36">
        <f t="shared" si="359"/>
        <v>0</v>
      </c>
      <c r="V2260" s="6">
        <f t="shared" si="360"/>
        <v>0</v>
      </c>
      <c r="Y2260" s="8">
        <f t="shared" si="361"/>
        <v>46023</v>
      </c>
    </row>
    <row r="2261" spans="2:25" ht="18.75" x14ac:dyDescent="0.3">
      <c r="B2261" s="6">
        <f t="shared" si="353"/>
        <v>0</v>
      </c>
      <c r="C2261" s="6">
        <f t="shared" si="354"/>
        <v>0</v>
      </c>
      <c r="D2261" s="6" t="str">
        <f t="shared" si="355"/>
        <v/>
      </c>
      <c r="E2261" s="35" t="str">
        <f t="shared" si="352"/>
        <v/>
      </c>
      <c r="F2261" s="31"/>
      <c r="G2261" s="29"/>
      <c r="H2261" s="78" t="str">
        <f t="shared" si="356"/>
        <v/>
      </c>
      <c r="I2261" s="25"/>
      <c r="J2261" s="25"/>
      <c r="K2261" s="26"/>
      <c r="L2261" s="26"/>
      <c r="M2261" s="37"/>
      <c r="N2261" s="27"/>
      <c r="O2261" s="30"/>
      <c r="P2261" s="39" t="str">
        <f t="shared" si="357"/>
        <v/>
      </c>
      <c r="Q2261" s="40" t="str">
        <f>IF(OR(T2261=0,RIGHT(T2261,1)=$W$1),"",COUNTIF($T$3:T2261,T2261))</f>
        <v/>
      </c>
      <c r="S2261" s="6">
        <f t="shared" si="358"/>
        <v>0</v>
      </c>
      <c r="T2261" s="36">
        <f t="shared" si="359"/>
        <v>0</v>
      </c>
      <c r="V2261" s="6">
        <f t="shared" si="360"/>
        <v>0</v>
      </c>
      <c r="Y2261" s="8">
        <f t="shared" si="361"/>
        <v>46023</v>
      </c>
    </row>
    <row r="2262" spans="2:25" ht="18.75" x14ac:dyDescent="0.3">
      <c r="B2262" s="6">
        <f t="shared" si="353"/>
        <v>0</v>
      </c>
      <c r="C2262" s="6">
        <f t="shared" si="354"/>
        <v>0</v>
      </c>
      <c r="D2262" s="6" t="str">
        <f t="shared" si="355"/>
        <v/>
      </c>
      <c r="E2262" s="35" t="str">
        <f t="shared" si="352"/>
        <v/>
      </c>
      <c r="F2262" s="31"/>
      <c r="G2262" s="29"/>
      <c r="H2262" s="78" t="str">
        <f t="shared" si="356"/>
        <v/>
      </c>
      <c r="I2262" s="25"/>
      <c r="J2262" s="25"/>
      <c r="K2262" s="26"/>
      <c r="L2262" s="26"/>
      <c r="M2262" s="37"/>
      <c r="N2262" s="27"/>
      <c r="O2262" s="30"/>
      <c r="P2262" s="39" t="str">
        <f t="shared" si="357"/>
        <v/>
      </c>
      <c r="Q2262" s="40" t="str">
        <f>IF(OR(T2262=0,RIGHT(T2262,1)=$W$1),"",COUNTIF($T$3:T2262,T2262))</f>
        <v/>
      </c>
      <c r="S2262" s="6">
        <f t="shared" si="358"/>
        <v>0</v>
      </c>
      <c r="T2262" s="36">
        <f t="shared" si="359"/>
        <v>0</v>
      </c>
      <c r="V2262" s="6">
        <f t="shared" si="360"/>
        <v>0</v>
      </c>
      <c r="Y2262" s="8">
        <f t="shared" si="361"/>
        <v>46023</v>
      </c>
    </row>
    <row r="2263" spans="2:25" ht="18.75" x14ac:dyDescent="0.3">
      <c r="B2263" s="6">
        <f t="shared" si="353"/>
        <v>0</v>
      </c>
      <c r="C2263" s="6">
        <f t="shared" si="354"/>
        <v>0</v>
      </c>
      <c r="D2263" s="6" t="str">
        <f t="shared" si="355"/>
        <v/>
      </c>
      <c r="E2263" s="35" t="str">
        <f t="shared" si="352"/>
        <v/>
      </c>
      <c r="F2263" s="31"/>
      <c r="G2263" s="29"/>
      <c r="H2263" s="78" t="str">
        <f t="shared" si="356"/>
        <v/>
      </c>
      <c r="I2263" s="25"/>
      <c r="J2263" s="25"/>
      <c r="K2263" s="26"/>
      <c r="L2263" s="26"/>
      <c r="M2263" s="37"/>
      <c r="N2263" s="27"/>
      <c r="O2263" s="30"/>
      <c r="P2263" s="39" t="str">
        <f t="shared" si="357"/>
        <v/>
      </c>
      <c r="Q2263" s="40" t="str">
        <f>IF(OR(T2263=0,RIGHT(T2263,1)=$W$1),"",COUNTIF($T$3:T2263,T2263))</f>
        <v/>
      </c>
      <c r="S2263" s="6">
        <f t="shared" si="358"/>
        <v>0</v>
      </c>
      <c r="T2263" s="36">
        <f t="shared" si="359"/>
        <v>0</v>
      </c>
      <c r="V2263" s="6">
        <f t="shared" si="360"/>
        <v>0</v>
      </c>
      <c r="Y2263" s="8">
        <f t="shared" si="361"/>
        <v>46023</v>
      </c>
    </row>
    <row r="2264" spans="2:25" ht="18.75" x14ac:dyDescent="0.3">
      <c r="B2264" s="6">
        <f t="shared" si="353"/>
        <v>0</v>
      </c>
      <c r="C2264" s="6">
        <f t="shared" si="354"/>
        <v>0</v>
      </c>
      <c r="D2264" s="6" t="str">
        <f t="shared" si="355"/>
        <v/>
      </c>
      <c r="E2264" s="35" t="str">
        <f t="shared" si="352"/>
        <v/>
      </c>
      <c r="F2264" s="31"/>
      <c r="G2264" s="29"/>
      <c r="H2264" s="78" t="str">
        <f t="shared" si="356"/>
        <v/>
      </c>
      <c r="I2264" s="25"/>
      <c r="J2264" s="25"/>
      <c r="K2264" s="26"/>
      <c r="L2264" s="26"/>
      <c r="M2264" s="37"/>
      <c r="N2264" s="27"/>
      <c r="O2264" s="30"/>
      <c r="P2264" s="39" t="str">
        <f t="shared" si="357"/>
        <v/>
      </c>
      <c r="Q2264" s="40" t="str">
        <f>IF(OR(T2264=0,RIGHT(T2264,1)=$W$1),"",COUNTIF($T$3:T2264,T2264))</f>
        <v/>
      </c>
      <c r="S2264" s="6">
        <f t="shared" si="358"/>
        <v>0</v>
      </c>
      <c r="T2264" s="36">
        <f t="shared" si="359"/>
        <v>0</v>
      </c>
      <c r="V2264" s="6">
        <f t="shared" si="360"/>
        <v>0</v>
      </c>
      <c r="Y2264" s="8">
        <f t="shared" si="361"/>
        <v>46023</v>
      </c>
    </row>
    <row r="2265" spans="2:25" ht="18.75" x14ac:dyDescent="0.3">
      <c r="B2265" s="6">
        <f t="shared" si="353"/>
        <v>0</v>
      </c>
      <c r="C2265" s="6">
        <f t="shared" si="354"/>
        <v>0</v>
      </c>
      <c r="D2265" s="6" t="str">
        <f t="shared" si="355"/>
        <v/>
      </c>
      <c r="E2265" s="35" t="str">
        <f t="shared" si="352"/>
        <v/>
      </c>
      <c r="F2265" s="31"/>
      <c r="G2265" s="29"/>
      <c r="H2265" s="78" t="str">
        <f t="shared" si="356"/>
        <v/>
      </c>
      <c r="I2265" s="25"/>
      <c r="J2265" s="25"/>
      <c r="K2265" s="26"/>
      <c r="L2265" s="26"/>
      <c r="M2265" s="37"/>
      <c r="N2265" s="27"/>
      <c r="O2265" s="30"/>
      <c r="P2265" s="39" t="str">
        <f t="shared" si="357"/>
        <v/>
      </c>
      <c r="Q2265" s="40" t="str">
        <f>IF(OR(T2265=0,RIGHT(T2265,1)=$W$1),"",COUNTIF($T$3:T2265,T2265))</f>
        <v/>
      </c>
      <c r="S2265" s="6">
        <f t="shared" si="358"/>
        <v>0</v>
      </c>
      <c r="T2265" s="36">
        <f t="shared" si="359"/>
        <v>0</v>
      </c>
      <c r="V2265" s="6">
        <f t="shared" si="360"/>
        <v>0</v>
      </c>
      <c r="Y2265" s="8">
        <f t="shared" si="361"/>
        <v>46023</v>
      </c>
    </row>
    <row r="2266" spans="2:25" ht="18.75" x14ac:dyDescent="0.3">
      <c r="B2266" s="6">
        <f t="shared" si="353"/>
        <v>0</v>
      </c>
      <c r="C2266" s="6">
        <f t="shared" si="354"/>
        <v>0</v>
      </c>
      <c r="D2266" s="6" t="str">
        <f t="shared" si="355"/>
        <v/>
      </c>
      <c r="E2266" s="35" t="str">
        <f t="shared" si="352"/>
        <v/>
      </c>
      <c r="F2266" s="31"/>
      <c r="G2266" s="29"/>
      <c r="H2266" s="78" t="str">
        <f t="shared" si="356"/>
        <v/>
      </c>
      <c r="I2266" s="25"/>
      <c r="J2266" s="25"/>
      <c r="K2266" s="26"/>
      <c r="L2266" s="26"/>
      <c r="M2266" s="37"/>
      <c r="N2266" s="27"/>
      <c r="O2266" s="30"/>
      <c r="P2266" s="39" t="str">
        <f t="shared" si="357"/>
        <v/>
      </c>
      <c r="Q2266" s="40" t="str">
        <f>IF(OR(T2266=0,RIGHT(T2266,1)=$W$1),"",COUNTIF($T$3:T2266,T2266))</f>
        <v/>
      </c>
      <c r="S2266" s="6">
        <f t="shared" si="358"/>
        <v>0</v>
      </c>
      <c r="T2266" s="36">
        <f t="shared" si="359"/>
        <v>0</v>
      </c>
      <c r="V2266" s="6">
        <f t="shared" si="360"/>
        <v>0</v>
      </c>
      <c r="Y2266" s="8">
        <f t="shared" si="361"/>
        <v>46023</v>
      </c>
    </row>
    <row r="2267" spans="2:25" ht="18.75" x14ac:dyDescent="0.3">
      <c r="B2267" s="6">
        <f t="shared" si="353"/>
        <v>0</v>
      </c>
      <c r="C2267" s="6">
        <f t="shared" si="354"/>
        <v>0</v>
      </c>
      <c r="D2267" s="6" t="str">
        <f t="shared" si="355"/>
        <v/>
      </c>
      <c r="E2267" s="35" t="str">
        <f t="shared" si="352"/>
        <v/>
      </c>
      <c r="F2267" s="31"/>
      <c r="G2267" s="29"/>
      <c r="H2267" s="78" t="str">
        <f t="shared" si="356"/>
        <v/>
      </c>
      <c r="I2267" s="25"/>
      <c r="J2267" s="25"/>
      <c r="K2267" s="26"/>
      <c r="L2267" s="26"/>
      <c r="M2267" s="37"/>
      <c r="N2267" s="27"/>
      <c r="O2267" s="30"/>
      <c r="P2267" s="39" t="str">
        <f t="shared" si="357"/>
        <v/>
      </c>
      <c r="Q2267" s="40" t="str">
        <f>IF(OR(T2267=0,RIGHT(T2267,1)=$W$1),"",COUNTIF($T$3:T2267,T2267))</f>
        <v/>
      </c>
      <c r="S2267" s="6">
        <f t="shared" si="358"/>
        <v>0</v>
      </c>
      <c r="T2267" s="36">
        <f t="shared" si="359"/>
        <v>0</v>
      </c>
      <c r="V2267" s="6">
        <f t="shared" si="360"/>
        <v>0</v>
      </c>
      <c r="Y2267" s="8">
        <f t="shared" si="361"/>
        <v>46023</v>
      </c>
    </row>
    <row r="2268" spans="2:25" ht="18.75" x14ac:dyDescent="0.3">
      <c r="B2268" s="6">
        <f t="shared" si="353"/>
        <v>0</v>
      </c>
      <c r="C2268" s="6">
        <f t="shared" si="354"/>
        <v>0</v>
      </c>
      <c r="D2268" s="6" t="str">
        <f t="shared" si="355"/>
        <v/>
      </c>
      <c r="E2268" s="35" t="str">
        <f t="shared" si="352"/>
        <v/>
      </c>
      <c r="F2268" s="31"/>
      <c r="G2268" s="29"/>
      <c r="H2268" s="78" t="str">
        <f t="shared" si="356"/>
        <v/>
      </c>
      <c r="I2268" s="25"/>
      <c r="J2268" s="25"/>
      <c r="K2268" s="26"/>
      <c r="L2268" s="26"/>
      <c r="M2268" s="37"/>
      <c r="N2268" s="27"/>
      <c r="O2268" s="30"/>
      <c r="P2268" s="39" t="str">
        <f t="shared" si="357"/>
        <v/>
      </c>
      <c r="Q2268" s="40" t="str">
        <f>IF(OR(T2268=0,RIGHT(T2268,1)=$W$1),"",COUNTIF($T$3:T2268,T2268))</f>
        <v/>
      </c>
      <c r="S2268" s="6">
        <f t="shared" si="358"/>
        <v>0</v>
      </c>
      <c r="T2268" s="36">
        <f t="shared" si="359"/>
        <v>0</v>
      </c>
      <c r="V2268" s="6">
        <f t="shared" si="360"/>
        <v>0</v>
      </c>
      <c r="Y2268" s="8">
        <f t="shared" si="361"/>
        <v>46023</v>
      </c>
    </row>
    <row r="2269" spans="2:25" ht="18.75" x14ac:dyDescent="0.3">
      <c r="B2269" s="6">
        <f t="shared" si="353"/>
        <v>0</v>
      </c>
      <c r="C2269" s="6">
        <f t="shared" si="354"/>
        <v>0</v>
      </c>
      <c r="D2269" s="6" t="str">
        <f t="shared" si="355"/>
        <v/>
      </c>
      <c r="E2269" s="35" t="str">
        <f t="shared" si="352"/>
        <v/>
      </c>
      <c r="F2269" s="31"/>
      <c r="G2269" s="29"/>
      <c r="H2269" s="78" t="str">
        <f t="shared" si="356"/>
        <v/>
      </c>
      <c r="I2269" s="25"/>
      <c r="J2269" s="25"/>
      <c r="K2269" s="26"/>
      <c r="L2269" s="26"/>
      <c r="M2269" s="37"/>
      <c r="N2269" s="27"/>
      <c r="O2269" s="30"/>
      <c r="P2269" s="39" t="str">
        <f t="shared" si="357"/>
        <v/>
      </c>
      <c r="Q2269" s="40" t="str">
        <f>IF(OR(T2269=0,RIGHT(T2269,1)=$W$1),"",COUNTIF($T$3:T2269,T2269))</f>
        <v/>
      </c>
      <c r="S2269" s="6">
        <f t="shared" si="358"/>
        <v>0</v>
      </c>
      <c r="T2269" s="36">
        <f t="shared" si="359"/>
        <v>0</v>
      </c>
      <c r="V2269" s="6">
        <f t="shared" si="360"/>
        <v>0</v>
      </c>
      <c r="Y2269" s="8">
        <f t="shared" si="361"/>
        <v>46023</v>
      </c>
    </row>
    <row r="2270" spans="2:25" ht="18.75" x14ac:dyDescent="0.3">
      <c r="B2270" s="6">
        <f t="shared" si="353"/>
        <v>0</v>
      </c>
      <c r="C2270" s="6">
        <f t="shared" si="354"/>
        <v>0</v>
      </c>
      <c r="D2270" s="6" t="str">
        <f t="shared" si="355"/>
        <v/>
      </c>
      <c r="E2270" s="35" t="str">
        <f t="shared" si="352"/>
        <v/>
      </c>
      <c r="F2270" s="31"/>
      <c r="G2270" s="29"/>
      <c r="H2270" s="78" t="str">
        <f t="shared" si="356"/>
        <v/>
      </c>
      <c r="I2270" s="25"/>
      <c r="J2270" s="25"/>
      <c r="K2270" s="26"/>
      <c r="L2270" s="26"/>
      <c r="M2270" s="37"/>
      <c r="N2270" s="27"/>
      <c r="O2270" s="30"/>
      <c r="P2270" s="39" t="str">
        <f t="shared" si="357"/>
        <v/>
      </c>
      <c r="Q2270" s="40" t="str">
        <f>IF(OR(T2270=0,RIGHT(T2270,1)=$W$1),"",COUNTIF($T$3:T2270,T2270))</f>
        <v/>
      </c>
      <c r="S2270" s="6">
        <f t="shared" si="358"/>
        <v>0</v>
      </c>
      <c r="T2270" s="36">
        <f t="shared" si="359"/>
        <v>0</v>
      </c>
      <c r="V2270" s="6">
        <f t="shared" si="360"/>
        <v>0</v>
      </c>
      <c r="Y2270" s="8">
        <f t="shared" si="361"/>
        <v>46023</v>
      </c>
    </row>
    <row r="2271" spans="2:25" ht="18.75" x14ac:dyDescent="0.3">
      <c r="B2271" s="6">
        <f t="shared" si="353"/>
        <v>0</v>
      </c>
      <c r="C2271" s="6">
        <f t="shared" si="354"/>
        <v>0</v>
      </c>
      <c r="D2271" s="6" t="str">
        <f t="shared" si="355"/>
        <v/>
      </c>
      <c r="E2271" s="35" t="str">
        <f t="shared" si="352"/>
        <v/>
      </c>
      <c r="F2271" s="31"/>
      <c r="G2271" s="29"/>
      <c r="H2271" s="78" t="str">
        <f t="shared" si="356"/>
        <v/>
      </c>
      <c r="I2271" s="25"/>
      <c r="J2271" s="25"/>
      <c r="K2271" s="26"/>
      <c r="L2271" s="26"/>
      <c r="M2271" s="37"/>
      <c r="N2271" s="27"/>
      <c r="O2271" s="30"/>
      <c r="P2271" s="39" t="str">
        <f t="shared" si="357"/>
        <v/>
      </c>
      <c r="Q2271" s="40" t="str">
        <f>IF(OR(T2271=0,RIGHT(T2271,1)=$W$1),"",COUNTIF($T$3:T2271,T2271))</f>
        <v/>
      </c>
      <c r="S2271" s="6">
        <f t="shared" si="358"/>
        <v>0</v>
      </c>
      <c r="T2271" s="36">
        <f t="shared" si="359"/>
        <v>0</v>
      </c>
      <c r="V2271" s="6">
        <f t="shared" si="360"/>
        <v>0</v>
      </c>
      <c r="Y2271" s="8">
        <f t="shared" si="361"/>
        <v>46023</v>
      </c>
    </row>
    <row r="2272" spans="2:25" ht="18.75" x14ac:dyDescent="0.3">
      <c r="B2272" s="6">
        <f t="shared" si="353"/>
        <v>0</v>
      </c>
      <c r="C2272" s="6">
        <f t="shared" si="354"/>
        <v>0</v>
      </c>
      <c r="D2272" s="6" t="str">
        <f t="shared" si="355"/>
        <v/>
      </c>
      <c r="E2272" s="35" t="str">
        <f t="shared" si="352"/>
        <v/>
      </c>
      <c r="F2272" s="31"/>
      <c r="G2272" s="29"/>
      <c r="H2272" s="78" t="str">
        <f t="shared" si="356"/>
        <v/>
      </c>
      <c r="I2272" s="25"/>
      <c r="J2272" s="25"/>
      <c r="K2272" s="26"/>
      <c r="L2272" s="26"/>
      <c r="M2272" s="37"/>
      <c r="N2272" s="27"/>
      <c r="O2272" s="30"/>
      <c r="P2272" s="39" t="str">
        <f t="shared" si="357"/>
        <v/>
      </c>
      <c r="Q2272" s="40" t="str">
        <f>IF(OR(T2272=0,RIGHT(T2272,1)=$W$1),"",COUNTIF($T$3:T2272,T2272))</f>
        <v/>
      </c>
      <c r="S2272" s="6">
        <f t="shared" si="358"/>
        <v>0</v>
      </c>
      <c r="T2272" s="36">
        <f t="shared" si="359"/>
        <v>0</v>
      </c>
      <c r="V2272" s="6">
        <f t="shared" si="360"/>
        <v>0</v>
      </c>
      <c r="Y2272" s="8">
        <f t="shared" si="361"/>
        <v>46023</v>
      </c>
    </row>
    <row r="2273" spans="2:25" ht="18.75" x14ac:dyDescent="0.3">
      <c r="B2273" s="6">
        <f t="shared" si="353"/>
        <v>0</v>
      </c>
      <c r="C2273" s="6">
        <f t="shared" si="354"/>
        <v>0</v>
      </c>
      <c r="D2273" s="6" t="str">
        <f t="shared" si="355"/>
        <v/>
      </c>
      <c r="E2273" s="35" t="str">
        <f t="shared" si="352"/>
        <v/>
      </c>
      <c r="F2273" s="31"/>
      <c r="G2273" s="29"/>
      <c r="H2273" s="78" t="str">
        <f t="shared" si="356"/>
        <v/>
      </c>
      <c r="I2273" s="25"/>
      <c r="J2273" s="25"/>
      <c r="K2273" s="26"/>
      <c r="L2273" s="26"/>
      <c r="M2273" s="37"/>
      <c r="N2273" s="27"/>
      <c r="O2273" s="30"/>
      <c r="P2273" s="39" t="str">
        <f t="shared" si="357"/>
        <v/>
      </c>
      <c r="Q2273" s="40" t="str">
        <f>IF(OR(T2273=0,RIGHT(T2273,1)=$W$1),"",COUNTIF($T$3:T2273,T2273))</f>
        <v/>
      </c>
      <c r="S2273" s="6">
        <f t="shared" si="358"/>
        <v>0</v>
      </c>
      <c r="T2273" s="36">
        <f t="shared" si="359"/>
        <v>0</v>
      </c>
      <c r="V2273" s="6">
        <f t="shared" si="360"/>
        <v>0</v>
      </c>
      <c r="Y2273" s="8">
        <f t="shared" si="361"/>
        <v>46023</v>
      </c>
    </row>
    <row r="2274" spans="2:25" ht="18.75" x14ac:dyDescent="0.3">
      <c r="B2274" s="6">
        <f t="shared" si="353"/>
        <v>0</v>
      </c>
      <c r="C2274" s="6">
        <f t="shared" si="354"/>
        <v>0</v>
      </c>
      <c r="D2274" s="6" t="str">
        <f t="shared" si="355"/>
        <v/>
      </c>
      <c r="E2274" s="35" t="str">
        <f t="shared" si="352"/>
        <v/>
      </c>
      <c r="F2274" s="31"/>
      <c r="G2274" s="29"/>
      <c r="H2274" s="78" t="str">
        <f t="shared" si="356"/>
        <v/>
      </c>
      <c r="I2274" s="25"/>
      <c r="J2274" s="25"/>
      <c r="K2274" s="26"/>
      <c r="L2274" s="26"/>
      <c r="M2274" s="37"/>
      <c r="N2274" s="27"/>
      <c r="O2274" s="30"/>
      <c r="P2274" s="39" t="str">
        <f t="shared" si="357"/>
        <v/>
      </c>
      <c r="Q2274" s="40" t="str">
        <f>IF(OR(T2274=0,RIGHT(T2274,1)=$W$1),"",COUNTIF($T$3:T2274,T2274))</f>
        <v/>
      </c>
      <c r="S2274" s="6">
        <f t="shared" si="358"/>
        <v>0</v>
      </c>
      <c r="T2274" s="36">
        <f t="shared" si="359"/>
        <v>0</v>
      </c>
      <c r="V2274" s="6">
        <f t="shared" si="360"/>
        <v>0</v>
      </c>
      <c r="Y2274" s="8">
        <f t="shared" si="361"/>
        <v>46023</v>
      </c>
    </row>
    <row r="2275" spans="2:25" ht="18.75" x14ac:dyDescent="0.3">
      <c r="B2275" s="6">
        <f t="shared" si="353"/>
        <v>0</v>
      </c>
      <c r="C2275" s="6">
        <f t="shared" si="354"/>
        <v>0</v>
      </c>
      <c r="D2275" s="6" t="str">
        <f t="shared" si="355"/>
        <v/>
      </c>
      <c r="E2275" s="35" t="str">
        <f t="shared" si="352"/>
        <v/>
      </c>
      <c r="F2275" s="31"/>
      <c r="G2275" s="29"/>
      <c r="H2275" s="78" t="str">
        <f t="shared" si="356"/>
        <v/>
      </c>
      <c r="I2275" s="25"/>
      <c r="J2275" s="25"/>
      <c r="K2275" s="26"/>
      <c r="L2275" s="26"/>
      <c r="M2275" s="37"/>
      <c r="N2275" s="27"/>
      <c r="O2275" s="30"/>
      <c r="P2275" s="39" t="str">
        <f t="shared" si="357"/>
        <v/>
      </c>
      <c r="Q2275" s="40" t="str">
        <f>IF(OR(T2275=0,RIGHT(T2275,1)=$W$1),"",COUNTIF($T$3:T2275,T2275))</f>
        <v/>
      </c>
      <c r="S2275" s="6">
        <f t="shared" si="358"/>
        <v>0</v>
      </c>
      <c r="T2275" s="36">
        <f t="shared" si="359"/>
        <v>0</v>
      </c>
      <c r="V2275" s="6">
        <f t="shared" si="360"/>
        <v>0</v>
      </c>
      <c r="Y2275" s="8">
        <f t="shared" si="361"/>
        <v>46023</v>
      </c>
    </row>
    <row r="2276" spans="2:25" ht="18.75" x14ac:dyDescent="0.3">
      <c r="B2276" s="6">
        <f t="shared" si="353"/>
        <v>0</v>
      </c>
      <c r="C2276" s="6">
        <f t="shared" si="354"/>
        <v>0</v>
      </c>
      <c r="D2276" s="6" t="str">
        <f t="shared" si="355"/>
        <v/>
      </c>
      <c r="E2276" s="35" t="str">
        <f t="shared" si="352"/>
        <v/>
      </c>
      <c r="F2276" s="31"/>
      <c r="G2276" s="29"/>
      <c r="H2276" s="78" t="str">
        <f t="shared" si="356"/>
        <v/>
      </c>
      <c r="I2276" s="25"/>
      <c r="J2276" s="25"/>
      <c r="K2276" s="26"/>
      <c r="L2276" s="26"/>
      <c r="M2276" s="37"/>
      <c r="N2276" s="27"/>
      <c r="O2276" s="30"/>
      <c r="P2276" s="39" t="str">
        <f t="shared" si="357"/>
        <v/>
      </c>
      <c r="Q2276" s="40" t="str">
        <f>IF(OR(T2276=0,RIGHT(T2276,1)=$W$1),"",COUNTIF($T$3:T2276,T2276))</f>
        <v/>
      </c>
      <c r="S2276" s="6">
        <f t="shared" si="358"/>
        <v>0</v>
      </c>
      <c r="T2276" s="36">
        <f t="shared" si="359"/>
        <v>0</v>
      </c>
      <c r="V2276" s="6">
        <f t="shared" si="360"/>
        <v>0</v>
      </c>
      <c r="Y2276" s="8">
        <f t="shared" si="361"/>
        <v>46023</v>
      </c>
    </row>
    <row r="2277" spans="2:25" ht="18.75" x14ac:dyDescent="0.3">
      <c r="B2277" s="6">
        <f t="shared" si="353"/>
        <v>0</v>
      </c>
      <c r="C2277" s="6">
        <f t="shared" si="354"/>
        <v>0</v>
      </c>
      <c r="D2277" s="6" t="str">
        <f t="shared" si="355"/>
        <v/>
      </c>
      <c r="E2277" s="35" t="str">
        <f t="shared" si="352"/>
        <v/>
      </c>
      <c r="F2277" s="31"/>
      <c r="G2277" s="29"/>
      <c r="H2277" s="78" t="str">
        <f t="shared" si="356"/>
        <v/>
      </c>
      <c r="I2277" s="25"/>
      <c r="J2277" s="25"/>
      <c r="K2277" s="26"/>
      <c r="L2277" s="26"/>
      <c r="M2277" s="37"/>
      <c r="N2277" s="27"/>
      <c r="O2277" s="30"/>
      <c r="P2277" s="39" t="str">
        <f t="shared" si="357"/>
        <v/>
      </c>
      <c r="Q2277" s="40" t="str">
        <f>IF(OR(T2277=0,RIGHT(T2277,1)=$W$1),"",COUNTIF($T$3:T2277,T2277))</f>
        <v/>
      </c>
      <c r="S2277" s="6">
        <f t="shared" si="358"/>
        <v>0</v>
      </c>
      <c r="T2277" s="36">
        <f t="shared" si="359"/>
        <v>0</v>
      </c>
      <c r="V2277" s="6">
        <f t="shared" si="360"/>
        <v>0</v>
      </c>
      <c r="Y2277" s="8">
        <f t="shared" si="361"/>
        <v>46023</v>
      </c>
    </row>
    <row r="2278" spans="2:25" ht="18.75" x14ac:dyDescent="0.3">
      <c r="B2278" s="6">
        <f t="shared" si="353"/>
        <v>0</v>
      </c>
      <c r="C2278" s="6">
        <f t="shared" si="354"/>
        <v>0</v>
      </c>
      <c r="D2278" s="6" t="str">
        <f t="shared" si="355"/>
        <v/>
      </c>
      <c r="E2278" s="35" t="str">
        <f t="shared" si="352"/>
        <v/>
      </c>
      <c r="F2278" s="31"/>
      <c r="G2278" s="29"/>
      <c r="H2278" s="78" t="str">
        <f t="shared" si="356"/>
        <v/>
      </c>
      <c r="I2278" s="25"/>
      <c r="J2278" s="25"/>
      <c r="K2278" s="26"/>
      <c r="L2278" s="26"/>
      <c r="M2278" s="37"/>
      <c r="N2278" s="27"/>
      <c r="O2278" s="30"/>
      <c r="P2278" s="39" t="str">
        <f t="shared" si="357"/>
        <v/>
      </c>
      <c r="Q2278" s="40" t="str">
        <f>IF(OR(T2278=0,RIGHT(T2278,1)=$W$1),"",COUNTIF($T$3:T2278,T2278))</f>
        <v/>
      </c>
      <c r="S2278" s="6">
        <f t="shared" si="358"/>
        <v>0</v>
      </c>
      <c r="T2278" s="36">
        <f t="shared" si="359"/>
        <v>0</v>
      </c>
      <c r="V2278" s="6">
        <f t="shared" si="360"/>
        <v>0</v>
      </c>
      <c r="Y2278" s="8">
        <f t="shared" si="361"/>
        <v>46023</v>
      </c>
    </row>
    <row r="2279" spans="2:25" ht="18.75" x14ac:dyDescent="0.3">
      <c r="B2279" s="6">
        <f t="shared" si="353"/>
        <v>0</v>
      </c>
      <c r="C2279" s="6">
        <f t="shared" si="354"/>
        <v>0</v>
      </c>
      <c r="D2279" s="6" t="str">
        <f t="shared" si="355"/>
        <v/>
      </c>
      <c r="E2279" s="35" t="str">
        <f t="shared" si="352"/>
        <v/>
      </c>
      <c r="F2279" s="31"/>
      <c r="G2279" s="29"/>
      <c r="H2279" s="78" t="str">
        <f t="shared" si="356"/>
        <v/>
      </c>
      <c r="I2279" s="25"/>
      <c r="J2279" s="25"/>
      <c r="K2279" s="26"/>
      <c r="L2279" s="26"/>
      <c r="M2279" s="37"/>
      <c r="N2279" s="27"/>
      <c r="O2279" s="30"/>
      <c r="P2279" s="39" t="str">
        <f t="shared" si="357"/>
        <v/>
      </c>
      <c r="Q2279" s="40" t="str">
        <f>IF(OR(T2279=0,RIGHT(T2279,1)=$W$1),"",COUNTIF($T$3:T2279,T2279))</f>
        <v/>
      </c>
      <c r="S2279" s="6">
        <f t="shared" si="358"/>
        <v>0</v>
      </c>
      <c r="T2279" s="36">
        <f t="shared" si="359"/>
        <v>0</v>
      </c>
      <c r="V2279" s="6">
        <f t="shared" si="360"/>
        <v>0</v>
      </c>
      <c r="Y2279" s="8">
        <f t="shared" si="361"/>
        <v>46023</v>
      </c>
    </row>
    <row r="2280" spans="2:25" ht="18.75" x14ac:dyDescent="0.3">
      <c r="B2280" s="6">
        <f t="shared" si="353"/>
        <v>0</v>
      </c>
      <c r="C2280" s="6">
        <f t="shared" si="354"/>
        <v>0</v>
      </c>
      <c r="D2280" s="6" t="str">
        <f t="shared" si="355"/>
        <v/>
      </c>
      <c r="E2280" s="35" t="str">
        <f t="shared" si="352"/>
        <v/>
      </c>
      <c r="F2280" s="31"/>
      <c r="G2280" s="29"/>
      <c r="H2280" s="78" t="str">
        <f t="shared" si="356"/>
        <v/>
      </c>
      <c r="I2280" s="25"/>
      <c r="J2280" s="25"/>
      <c r="K2280" s="26"/>
      <c r="L2280" s="26"/>
      <c r="M2280" s="37"/>
      <c r="N2280" s="27"/>
      <c r="O2280" s="30"/>
      <c r="P2280" s="39" t="str">
        <f t="shared" si="357"/>
        <v/>
      </c>
      <c r="Q2280" s="40" t="str">
        <f>IF(OR(T2280=0,RIGHT(T2280,1)=$W$1),"",COUNTIF($T$3:T2280,T2280))</f>
        <v/>
      </c>
      <c r="S2280" s="6">
        <f t="shared" si="358"/>
        <v>0</v>
      </c>
      <c r="T2280" s="36">
        <f t="shared" si="359"/>
        <v>0</v>
      </c>
      <c r="V2280" s="6">
        <f t="shared" si="360"/>
        <v>0</v>
      </c>
      <c r="Y2280" s="8">
        <f t="shared" si="361"/>
        <v>46023</v>
      </c>
    </row>
    <row r="2281" spans="2:25" ht="18.75" x14ac:dyDescent="0.3">
      <c r="B2281" s="6">
        <f t="shared" si="353"/>
        <v>0</v>
      </c>
      <c r="C2281" s="6">
        <f t="shared" si="354"/>
        <v>0</v>
      </c>
      <c r="D2281" s="6" t="str">
        <f t="shared" si="355"/>
        <v/>
      </c>
      <c r="E2281" s="35" t="str">
        <f t="shared" si="352"/>
        <v/>
      </c>
      <c r="F2281" s="31"/>
      <c r="G2281" s="29"/>
      <c r="H2281" s="78" t="str">
        <f t="shared" si="356"/>
        <v/>
      </c>
      <c r="I2281" s="25"/>
      <c r="J2281" s="25"/>
      <c r="K2281" s="26"/>
      <c r="L2281" s="26"/>
      <c r="M2281" s="37"/>
      <c r="N2281" s="27"/>
      <c r="O2281" s="30"/>
      <c r="P2281" s="39" t="str">
        <f t="shared" si="357"/>
        <v/>
      </c>
      <c r="Q2281" s="40" t="str">
        <f>IF(OR(T2281=0,RIGHT(T2281,1)=$W$1),"",COUNTIF($T$3:T2281,T2281))</f>
        <v/>
      </c>
      <c r="S2281" s="6">
        <f t="shared" si="358"/>
        <v>0</v>
      </c>
      <c r="T2281" s="36">
        <f t="shared" si="359"/>
        <v>0</v>
      </c>
      <c r="V2281" s="6">
        <f t="shared" si="360"/>
        <v>0</v>
      </c>
      <c r="Y2281" s="8">
        <f t="shared" si="361"/>
        <v>46023</v>
      </c>
    </row>
    <row r="2282" spans="2:25" ht="18.75" x14ac:dyDescent="0.3">
      <c r="B2282" s="6">
        <f t="shared" si="353"/>
        <v>0</v>
      </c>
      <c r="C2282" s="6">
        <f t="shared" si="354"/>
        <v>0</v>
      </c>
      <c r="D2282" s="6" t="str">
        <f t="shared" si="355"/>
        <v/>
      </c>
      <c r="E2282" s="35" t="str">
        <f t="shared" si="352"/>
        <v/>
      </c>
      <c r="F2282" s="31"/>
      <c r="G2282" s="29"/>
      <c r="H2282" s="78" t="str">
        <f t="shared" si="356"/>
        <v/>
      </c>
      <c r="I2282" s="25"/>
      <c r="J2282" s="25"/>
      <c r="K2282" s="26"/>
      <c r="L2282" s="26"/>
      <c r="M2282" s="37"/>
      <c r="N2282" s="27"/>
      <c r="O2282" s="30"/>
      <c r="P2282" s="39" t="str">
        <f t="shared" si="357"/>
        <v/>
      </c>
      <c r="Q2282" s="40" t="str">
        <f>IF(OR(T2282=0,RIGHT(T2282,1)=$W$1),"",COUNTIF($T$3:T2282,T2282))</f>
        <v/>
      </c>
      <c r="S2282" s="6">
        <f t="shared" si="358"/>
        <v>0</v>
      </c>
      <c r="T2282" s="36">
        <f t="shared" si="359"/>
        <v>0</v>
      </c>
      <c r="V2282" s="6">
        <f t="shared" si="360"/>
        <v>0</v>
      </c>
      <c r="Y2282" s="8">
        <f t="shared" si="361"/>
        <v>46023</v>
      </c>
    </row>
    <row r="2283" spans="2:25" ht="18.75" x14ac:dyDescent="0.3">
      <c r="B2283" s="6">
        <f t="shared" si="353"/>
        <v>0</v>
      </c>
      <c r="C2283" s="6">
        <f t="shared" si="354"/>
        <v>0</v>
      </c>
      <c r="D2283" s="6" t="str">
        <f t="shared" si="355"/>
        <v/>
      </c>
      <c r="E2283" s="35" t="str">
        <f t="shared" si="352"/>
        <v/>
      </c>
      <c r="F2283" s="31"/>
      <c r="G2283" s="29"/>
      <c r="H2283" s="78" t="str">
        <f t="shared" si="356"/>
        <v/>
      </c>
      <c r="I2283" s="25"/>
      <c r="J2283" s="25"/>
      <c r="K2283" s="26"/>
      <c r="L2283" s="26"/>
      <c r="M2283" s="37"/>
      <c r="N2283" s="27"/>
      <c r="O2283" s="30"/>
      <c r="P2283" s="39" t="str">
        <f t="shared" si="357"/>
        <v/>
      </c>
      <c r="Q2283" s="40" t="str">
        <f>IF(OR(T2283=0,RIGHT(T2283,1)=$W$1),"",COUNTIF($T$3:T2283,T2283))</f>
        <v/>
      </c>
      <c r="S2283" s="6">
        <f t="shared" si="358"/>
        <v>0</v>
      </c>
      <c r="T2283" s="36">
        <f t="shared" si="359"/>
        <v>0</v>
      </c>
      <c r="V2283" s="6">
        <f t="shared" si="360"/>
        <v>0</v>
      </c>
      <c r="Y2283" s="8">
        <f t="shared" si="361"/>
        <v>46023</v>
      </c>
    </row>
    <row r="2284" spans="2:25" ht="18.75" x14ac:dyDescent="0.3">
      <c r="B2284" s="6">
        <f t="shared" si="353"/>
        <v>0</v>
      </c>
      <c r="C2284" s="6">
        <f t="shared" si="354"/>
        <v>0</v>
      </c>
      <c r="D2284" s="6" t="str">
        <f t="shared" si="355"/>
        <v/>
      </c>
      <c r="E2284" s="35" t="str">
        <f t="shared" si="352"/>
        <v/>
      </c>
      <c r="F2284" s="31"/>
      <c r="G2284" s="29"/>
      <c r="H2284" s="78" t="str">
        <f t="shared" si="356"/>
        <v/>
      </c>
      <c r="I2284" s="25"/>
      <c r="J2284" s="25"/>
      <c r="K2284" s="26"/>
      <c r="L2284" s="26"/>
      <c r="M2284" s="37"/>
      <c r="N2284" s="27"/>
      <c r="O2284" s="30"/>
      <c r="P2284" s="39" t="str">
        <f t="shared" si="357"/>
        <v/>
      </c>
      <c r="Q2284" s="40" t="str">
        <f>IF(OR(T2284=0,RIGHT(T2284,1)=$W$1),"",COUNTIF($T$3:T2284,T2284))</f>
        <v/>
      </c>
      <c r="S2284" s="6">
        <f t="shared" si="358"/>
        <v>0</v>
      </c>
      <c r="T2284" s="36">
        <f t="shared" si="359"/>
        <v>0</v>
      </c>
      <c r="V2284" s="6">
        <f t="shared" si="360"/>
        <v>0</v>
      </c>
      <c r="Y2284" s="8">
        <f t="shared" si="361"/>
        <v>46023</v>
      </c>
    </row>
    <row r="2285" spans="2:25" ht="18.75" x14ac:dyDescent="0.3">
      <c r="B2285" s="6">
        <f t="shared" si="353"/>
        <v>0</v>
      </c>
      <c r="C2285" s="6">
        <f t="shared" si="354"/>
        <v>0</v>
      </c>
      <c r="D2285" s="6" t="str">
        <f t="shared" si="355"/>
        <v/>
      </c>
      <c r="E2285" s="35" t="str">
        <f t="shared" si="352"/>
        <v/>
      </c>
      <c r="F2285" s="31"/>
      <c r="G2285" s="29"/>
      <c r="H2285" s="78" t="str">
        <f t="shared" si="356"/>
        <v/>
      </c>
      <c r="I2285" s="25"/>
      <c r="J2285" s="25"/>
      <c r="K2285" s="26"/>
      <c r="L2285" s="26"/>
      <c r="M2285" s="37"/>
      <c r="N2285" s="27"/>
      <c r="O2285" s="30"/>
      <c r="P2285" s="39" t="str">
        <f t="shared" si="357"/>
        <v/>
      </c>
      <c r="Q2285" s="40" t="str">
        <f>IF(OR(T2285=0,RIGHT(T2285,1)=$W$1),"",COUNTIF($T$3:T2285,T2285))</f>
        <v/>
      </c>
      <c r="S2285" s="6">
        <f t="shared" si="358"/>
        <v>0</v>
      </c>
      <c r="T2285" s="36">
        <f t="shared" si="359"/>
        <v>0</v>
      </c>
      <c r="V2285" s="6">
        <f t="shared" si="360"/>
        <v>0</v>
      </c>
      <c r="Y2285" s="8">
        <f t="shared" si="361"/>
        <v>46023</v>
      </c>
    </row>
    <row r="2286" spans="2:25" ht="18.75" x14ac:dyDescent="0.3">
      <c r="B2286" s="6">
        <f t="shared" si="353"/>
        <v>0</v>
      </c>
      <c r="C2286" s="6">
        <f t="shared" si="354"/>
        <v>0</v>
      </c>
      <c r="D2286" s="6" t="str">
        <f t="shared" si="355"/>
        <v/>
      </c>
      <c r="E2286" s="35" t="str">
        <f t="shared" si="352"/>
        <v/>
      </c>
      <c r="F2286" s="31"/>
      <c r="G2286" s="29"/>
      <c r="H2286" s="78" t="str">
        <f t="shared" si="356"/>
        <v/>
      </c>
      <c r="I2286" s="25"/>
      <c r="J2286" s="25"/>
      <c r="K2286" s="26"/>
      <c r="L2286" s="26"/>
      <c r="M2286" s="37"/>
      <c r="N2286" s="27"/>
      <c r="O2286" s="30"/>
      <c r="P2286" s="39" t="str">
        <f t="shared" si="357"/>
        <v/>
      </c>
      <c r="Q2286" s="40" t="str">
        <f>IF(OR(T2286=0,RIGHT(T2286,1)=$W$1),"",COUNTIF($T$3:T2286,T2286))</f>
        <v/>
      </c>
      <c r="S2286" s="6">
        <f t="shared" si="358"/>
        <v>0</v>
      </c>
      <c r="T2286" s="36">
        <f t="shared" si="359"/>
        <v>0</v>
      </c>
      <c r="V2286" s="6">
        <f t="shared" si="360"/>
        <v>0</v>
      </c>
      <c r="Y2286" s="8">
        <f t="shared" si="361"/>
        <v>46023</v>
      </c>
    </row>
    <row r="2287" spans="2:25" ht="18.75" x14ac:dyDescent="0.3">
      <c r="B2287" s="6">
        <f t="shared" si="353"/>
        <v>0</v>
      </c>
      <c r="C2287" s="6">
        <f t="shared" si="354"/>
        <v>0</v>
      </c>
      <c r="D2287" s="6" t="str">
        <f t="shared" si="355"/>
        <v/>
      </c>
      <c r="E2287" s="35" t="str">
        <f t="shared" si="352"/>
        <v/>
      </c>
      <c r="F2287" s="31"/>
      <c r="G2287" s="29"/>
      <c r="H2287" s="78" t="str">
        <f t="shared" si="356"/>
        <v/>
      </c>
      <c r="I2287" s="25"/>
      <c r="J2287" s="25"/>
      <c r="K2287" s="26"/>
      <c r="L2287" s="26"/>
      <c r="M2287" s="37"/>
      <c r="N2287" s="27"/>
      <c r="O2287" s="30"/>
      <c r="P2287" s="39" t="str">
        <f t="shared" si="357"/>
        <v/>
      </c>
      <c r="Q2287" s="40" t="str">
        <f>IF(OR(T2287=0,RIGHT(T2287,1)=$W$1),"",COUNTIF($T$3:T2287,T2287))</f>
        <v/>
      </c>
      <c r="S2287" s="6">
        <f t="shared" si="358"/>
        <v>0</v>
      </c>
      <c r="T2287" s="36">
        <f t="shared" si="359"/>
        <v>0</v>
      </c>
      <c r="V2287" s="6">
        <f t="shared" si="360"/>
        <v>0</v>
      </c>
      <c r="Y2287" s="8">
        <f t="shared" si="361"/>
        <v>46023</v>
      </c>
    </row>
    <row r="2288" spans="2:25" ht="18.75" x14ac:dyDescent="0.3">
      <c r="B2288" s="6">
        <f t="shared" si="353"/>
        <v>0</v>
      </c>
      <c r="C2288" s="6">
        <f t="shared" si="354"/>
        <v>0</v>
      </c>
      <c r="D2288" s="6" t="str">
        <f t="shared" si="355"/>
        <v/>
      </c>
      <c r="E2288" s="35" t="str">
        <f t="shared" si="352"/>
        <v/>
      </c>
      <c r="F2288" s="31"/>
      <c r="G2288" s="29"/>
      <c r="H2288" s="78" t="str">
        <f t="shared" si="356"/>
        <v/>
      </c>
      <c r="I2288" s="25"/>
      <c r="J2288" s="25"/>
      <c r="K2288" s="26"/>
      <c r="L2288" s="26"/>
      <c r="M2288" s="37"/>
      <c r="N2288" s="27"/>
      <c r="O2288" s="30"/>
      <c r="P2288" s="39" t="str">
        <f t="shared" si="357"/>
        <v/>
      </c>
      <c r="Q2288" s="40" t="str">
        <f>IF(OR(T2288=0,RIGHT(T2288,1)=$W$1),"",COUNTIF($T$3:T2288,T2288))</f>
        <v/>
      </c>
      <c r="S2288" s="6">
        <f t="shared" si="358"/>
        <v>0</v>
      </c>
      <c r="T2288" s="36">
        <f t="shared" si="359"/>
        <v>0</v>
      </c>
      <c r="V2288" s="6">
        <f t="shared" si="360"/>
        <v>0</v>
      </c>
      <c r="Y2288" s="8">
        <f t="shared" si="361"/>
        <v>46023</v>
      </c>
    </row>
    <row r="2289" spans="2:25" ht="18.75" x14ac:dyDescent="0.3">
      <c r="B2289" s="6">
        <f t="shared" si="353"/>
        <v>0</v>
      </c>
      <c r="C2289" s="6">
        <f t="shared" si="354"/>
        <v>0</v>
      </c>
      <c r="D2289" s="6" t="str">
        <f t="shared" si="355"/>
        <v/>
      </c>
      <c r="E2289" s="35" t="str">
        <f t="shared" si="352"/>
        <v/>
      </c>
      <c r="F2289" s="31"/>
      <c r="G2289" s="29"/>
      <c r="H2289" s="78" t="str">
        <f t="shared" si="356"/>
        <v/>
      </c>
      <c r="I2289" s="25"/>
      <c r="J2289" s="25"/>
      <c r="K2289" s="26"/>
      <c r="L2289" s="26"/>
      <c r="M2289" s="37"/>
      <c r="N2289" s="27"/>
      <c r="O2289" s="30"/>
      <c r="P2289" s="39" t="str">
        <f t="shared" si="357"/>
        <v/>
      </c>
      <c r="Q2289" s="40" t="str">
        <f>IF(OR(T2289=0,RIGHT(T2289,1)=$W$1),"",COUNTIF($T$3:T2289,T2289))</f>
        <v/>
      </c>
      <c r="S2289" s="6">
        <f t="shared" si="358"/>
        <v>0</v>
      </c>
      <c r="T2289" s="36">
        <f t="shared" si="359"/>
        <v>0</v>
      </c>
      <c r="V2289" s="6">
        <f t="shared" si="360"/>
        <v>0</v>
      </c>
      <c r="Y2289" s="8">
        <f t="shared" si="361"/>
        <v>46023</v>
      </c>
    </row>
    <row r="2290" spans="2:25" ht="18.75" x14ac:dyDescent="0.3">
      <c r="B2290" s="6">
        <f t="shared" si="353"/>
        <v>0</v>
      </c>
      <c r="C2290" s="6">
        <f t="shared" si="354"/>
        <v>0</v>
      </c>
      <c r="D2290" s="6" t="str">
        <f t="shared" si="355"/>
        <v/>
      </c>
      <c r="E2290" s="35" t="str">
        <f t="shared" si="352"/>
        <v/>
      </c>
      <c r="F2290" s="31"/>
      <c r="G2290" s="29"/>
      <c r="H2290" s="78" t="str">
        <f t="shared" si="356"/>
        <v/>
      </c>
      <c r="I2290" s="25"/>
      <c r="J2290" s="25"/>
      <c r="K2290" s="26"/>
      <c r="L2290" s="26"/>
      <c r="M2290" s="37"/>
      <c r="N2290" s="27"/>
      <c r="O2290" s="30"/>
      <c r="P2290" s="39" t="str">
        <f t="shared" si="357"/>
        <v/>
      </c>
      <c r="Q2290" s="40" t="str">
        <f>IF(OR(T2290=0,RIGHT(T2290,1)=$W$1),"",COUNTIF($T$3:T2290,T2290))</f>
        <v/>
      </c>
      <c r="S2290" s="6">
        <f t="shared" si="358"/>
        <v>0</v>
      </c>
      <c r="T2290" s="36">
        <f t="shared" si="359"/>
        <v>0</v>
      </c>
      <c r="V2290" s="6">
        <f t="shared" si="360"/>
        <v>0</v>
      </c>
      <c r="Y2290" s="8">
        <f t="shared" si="361"/>
        <v>46023</v>
      </c>
    </row>
    <row r="2291" spans="2:25" ht="18.75" x14ac:dyDescent="0.3">
      <c r="B2291" s="6">
        <f t="shared" si="353"/>
        <v>0</v>
      </c>
      <c r="C2291" s="6">
        <f t="shared" si="354"/>
        <v>0</v>
      </c>
      <c r="D2291" s="6" t="str">
        <f t="shared" si="355"/>
        <v/>
      </c>
      <c r="E2291" s="35" t="str">
        <f t="shared" si="352"/>
        <v/>
      </c>
      <c r="F2291" s="31"/>
      <c r="G2291" s="29"/>
      <c r="H2291" s="78" t="str">
        <f t="shared" si="356"/>
        <v/>
      </c>
      <c r="I2291" s="25"/>
      <c r="J2291" s="25"/>
      <c r="K2291" s="26"/>
      <c r="L2291" s="26"/>
      <c r="M2291" s="37"/>
      <c r="N2291" s="27"/>
      <c r="O2291" s="30"/>
      <c r="P2291" s="39" t="str">
        <f t="shared" si="357"/>
        <v/>
      </c>
      <c r="Q2291" s="40" t="str">
        <f>IF(OR(T2291=0,RIGHT(T2291,1)=$W$1),"",COUNTIF($T$3:T2291,T2291))</f>
        <v/>
      </c>
      <c r="S2291" s="6">
        <f t="shared" si="358"/>
        <v>0</v>
      </c>
      <c r="T2291" s="36">
        <f t="shared" si="359"/>
        <v>0</v>
      </c>
      <c r="V2291" s="6">
        <f t="shared" si="360"/>
        <v>0</v>
      </c>
      <c r="Y2291" s="8">
        <f t="shared" si="361"/>
        <v>46023</v>
      </c>
    </row>
    <row r="2292" spans="2:25" ht="18.75" x14ac:dyDescent="0.3">
      <c r="B2292" s="6">
        <f t="shared" si="353"/>
        <v>0</v>
      </c>
      <c r="C2292" s="6">
        <f t="shared" si="354"/>
        <v>0</v>
      </c>
      <c r="D2292" s="6" t="str">
        <f t="shared" si="355"/>
        <v/>
      </c>
      <c r="E2292" s="35" t="str">
        <f t="shared" si="352"/>
        <v/>
      </c>
      <c r="F2292" s="31"/>
      <c r="G2292" s="29"/>
      <c r="H2292" s="78" t="str">
        <f t="shared" si="356"/>
        <v/>
      </c>
      <c r="I2292" s="25"/>
      <c r="J2292" s="25"/>
      <c r="K2292" s="26"/>
      <c r="L2292" s="26"/>
      <c r="M2292" s="37"/>
      <c r="N2292" s="27"/>
      <c r="O2292" s="30"/>
      <c r="P2292" s="39" t="str">
        <f t="shared" si="357"/>
        <v/>
      </c>
      <c r="Q2292" s="40" t="str">
        <f>IF(OR(T2292=0,RIGHT(T2292,1)=$W$1),"",COUNTIF($T$3:T2292,T2292))</f>
        <v/>
      </c>
      <c r="S2292" s="6">
        <f t="shared" si="358"/>
        <v>0</v>
      </c>
      <c r="T2292" s="36">
        <f t="shared" si="359"/>
        <v>0</v>
      </c>
      <c r="V2292" s="6">
        <f t="shared" si="360"/>
        <v>0</v>
      </c>
      <c r="Y2292" s="8">
        <f t="shared" si="361"/>
        <v>46023</v>
      </c>
    </row>
    <row r="2293" spans="2:25" ht="18.75" x14ac:dyDescent="0.3">
      <c r="B2293" s="6">
        <f t="shared" si="353"/>
        <v>0</v>
      </c>
      <c r="C2293" s="6">
        <f t="shared" si="354"/>
        <v>0</v>
      </c>
      <c r="D2293" s="6" t="str">
        <f t="shared" si="355"/>
        <v/>
      </c>
      <c r="E2293" s="35" t="str">
        <f t="shared" si="352"/>
        <v/>
      </c>
      <c r="F2293" s="31"/>
      <c r="G2293" s="29"/>
      <c r="H2293" s="78" t="str">
        <f t="shared" si="356"/>
        <v/>
      </c>
      <c r="I2293" s="25"/>
      <c r="J2293" s="25"/>
      <c r="K2293" s="26"/>
      <c r="L2293" s="26"/>
      <c r="M2293" s="37"/>
      <c r="N2293" s="27"/>
      <c r="O2293" s="30"/>
      <c r="P2293" s="39" t="str">
        <f t="shared" si="357"/>
        <v/>
      </c>
      <c r="Q2293" s="40" t="str">
        <f>IF(OR(T2293=0,RIGHT(T2293,1)=$W$1),"",COUNTIF($T$3:T2293,T2293))</f>
        <v/>
      </c>
      <c r="S2293" s="6">
        <f t="shared" si="358"/>
        <v>0</v>
      </c>
      <c r="T2293" s="36">
        <f t="shared" si="359"/>
        <v>0</v>
      </c>
      <c r="V2293" s="6">
        <f t="shared" si="360"/>
        <v>0</v>
      </c>
      <c r="Y2293" s="8">
        <f t="shared" si="361"/>
        <v>46023</v>
      </c>
    </row>
    <row r="2294" spans="2:25" ht="18.75" x14ac:dyDescent="0.3">
      <c r="B2294" s="6">
        <f t="shared" si="353"/>
        <v>0</v>
      </c>
      <c r="C2294" s="6">
        <f t="shared" si="354"/>
        <v>0</v>
      </c>
      <c r="D2294" s="6" t="str">
        <f t="shared" si="355"/>
        <v/>
      </c>
      <c r="E2294" s="35" t="str">
        <f t="shared" si="352"/>
        <v/>
      </c>
      <c r="F2294" s="31"/>
      <c r="G2294" s="29"/>
      <c r="H2294" s="78" t="str">
        <f t="shared" si="356"/>
        <v/>
      </c>
      <c r="I2294" s="25"/>
      <c r="J2294" s="25"/>
      <c r="K2294" s="26"/>
      <c r="L2294" s="26"/>
      <c r="M2294" s="37"/>
      <c r="N2294" s="27"/>
      <c r="O2294" s="30"/>
      <c r="P2294" s="39" t="str">
        <f t="shared" si="357"/>
        <v/>
      </c>
      <c r="Q2294" s="40" t="str">
        <f>IF(OR(T2294=0,RIGHT(T2294,1)=$W$1),"",COUNTIF($T$3:T2294,T2294))</f>
        <v/>
      </c>
      <c r="S2294" s="6">
        <f t="shared" si="358"/>
        <v>0</v>
      </c>
      <c r="T2294" s="36">
        <f t="shared" si="359"/>
        <v>0</v>
      </c>
      <c r="V2294" s="6">
        <f t="shared" si="360"/>
        <v>0</v>
      </c>
      <c r="Y2294" s="8">
        <f t="shared" si="361"/>
        <v>46023</v>
      </c>
    </row>
    <row r="2295" spans="2:25" ht="18.75" x14ac:dyDescent="0.3">
      <c r="B2295" s="6">
        <f t="shared" si="353"/>
        <v>0</v>
      </c>
      <c r="C2295" s="6">
        <f t="shared" si="354"/>
        <v>0</v>
      </c>
      <c r="D2295" s="6" t="str">
        <f t="shared" si="355"/>
        <v/>
      </c>
      <c r="E2295" s="35" t="str">
        <f t="shared" si="352"/>
        <v/>
      </c>
      <c r="F2295" s="31"/>
      <c r="G2295" s="29"/>
      <c r="H2295" s="78" t="str">
        <f t="shared" si="356"/>
        <v/>
      </c>
      <c r="I2295" s="25"/>
      <c r="J2295" s="25"/>
      <c r="K2295" s="26"/>
      <c r="L2295" s="26"/>
      <c r="M2295" s="37"/>
      <c r="N2295" s="27"/>
      <c r="O2295" s="30"/>
      <c r="P2295" s="39" t="str">
        <f t="shared" si="357"/>
        <v/>
      </c>
      <c r="Q2295" s="40" t="str">
        <f>IF(OR(T2295=0,RIGHT(T2295,1)=$W$1),"",COUNTIF($T$3:T2295,T2295))</f>
        <v/>
      </c>
      <c r="S2295" s="6">
        <f t="shared" si="358"/>
        <v>0</v>
      </c>
      <c r="T2295" s="36">
        <f t="shared" si="359"/>
        <v>0</v>
      </c>
      <c r="V2295" s="6">
        <f t="shared" si="360"/>
        <v>0</v>
      </c>
      <c r="Y2295" s="8">
        <f t="shared" si="361"/>
        <v>46023</v>
      </c>
    </row>
    <row r="2296" spans="2:25" ht="18.75" x14ac:dyDescent="0.3">
      <c r="B2296" s="6">
        <f t="shared" si="353"/>
        <v>0</v>
      </c>
      <c r="C2296" s="6">
        <f t="shared" si="354"/>
        <v>0</v>
      </c>
      <c r="D2296" s="6" t="str">
        <f t="shared" si="355"/>
        <v/>
      </c>
      <c r="E2296" s="35" t="str">
        <f t="shared" si="352"/>
        <v/>
      </c>
      <c r="F2296" s="31"/>
      <c r="G2296" s="29"/>
      <c r="H2296" s="78" t="str">
        <f t="shared" si="356"/>
        <v/>
      </c>
      <c r="I2296" s="25"/>
      <c r="J2296" s="25"/>
      <c r="K2296" s="26"/>
      <c r="L2296" s="26"/>
      <c r="M2296" s="37"/>
      <c r="N2296" s="27"/>
      <c r="O2296" s="30"/>
      <c r="P2296" s="39" t="str">
        <f t="shared" si="357"/>
        <v/>
      </c>
      <c r="Q2296" s="40" t="str">
        <f>IF(OR(T2296=0,RIGHT(T2296,1)=$W$1),"",COUNTIF($T$3:T2296,T2296))</f>
        <v/>
      </c>
      <c r="S2296" s="6">
        <f t="shared" si="358"/>
        <v>0</v>
      </c>
      <c r="T2296" s="36">
        <f t="shared" si="359"/>
        <v>0</v>
      </c>
      <c r="V2296" s="6">
        <f t="shared" si="360"/>
        <v>0</v>
      </c>
      <c r="Y2296" s="8">
        <f t="shared" si="361"/>
        <v>46023</v>
      </c>
    </row>
    <row r="2297" spans="2:25" ht="18.75" x14ac:dyDescent="0.3">
      <c r="B2297" s="6">
        <f t="shared" si="353"/>
        <v>0</v>
      </c>
      <c r="C2297" s="6">
        <f t="shared" si="354"/>
        <v>0</v>
      </c>
      <c r="D2297" s="6" t="str">
        <f t="shared" si="355"/>
        <v/>
      </c>
      <c r="E2297" s="35" t="str">
        <f t="shared" si="352"/>
        <v/>
      </c>
      <c r="F2297" s="31"/>
      <c r="G2297" s="29"/>
      <c r="H2297" s="78" t="str">
        <f t="shared" si="356"/>
        <v/>
      </c>
      <c r="I2297" s="25"/>
      <c r="J2297" s="25"/>
      <c r="K2297" s="26"/>
      <c r="L2297" s="26"/>
      <c r="M2297" s="37"/>
      <c r="N2297" s="27"/>
      <c r="O2297" s="30"/>
      <c r="P2297" s="39" t="str">
        <f t="shared" si="357"/>
        <v/>
      </c>
      <c r="Q2297" s="40" t="str">
        <f>IF(OR(T2297=0,RIGHT(T2297,1)=$W$1),"",COUNTIF($T$3:T2297,T2297))</f>
        <v/>
      </c>
      <c r="S2297" s="6">
        <f t="shared" si="358"/>
        <v>0</v>
      </c>
      <c r="T2297" s="36">
        <f t="shared" si="359"/>
        <v>0</v>
      </c>
      <c r="V2297" s="6">
        <f t="shared" si="360"/>
        <v>0</v>
      </c>
      <c r="Y2297" s="8">
        <f t="shared" si="361"/>
        <v>46023</v>
      </c>
    </row>
    <row r="2298" spans="2:25" ht="18.75" x14ac:dyDescent="0.3">
      <c r="B2298" s="6">
        <f t="shared" si="353"/>
        <v>0</v>
      </c>
      <c r="C2298" s="6">
        <f t="shared" si="354"/>
        <v>0</v>
      </c>
      <c r="D2298" s="6" t="str">
        <f t="shared" si="355"/>
        <v/>
      </c>
      <c r="E2298" s="35" t="str">
        <f t="shared" si="352"/>
        <v/>
      </c>
      <c r="F2298" s="31"/>
      <c r="G2298" s="29"/>
      <c r="H2298" s="78" t="str">
        <f t="shared" si="356"/>
        <v/>
      </c>
      <c r="I2298" s="25"/>
      <c r="J2298" s="25"/>
      <c r="K2298" s="26"/>
      <c r="L2298" s="26"/>
      <c r="M2298" s="37"/>
      <c r="N2298" s="27"/>
      <c r="O2298" s="30"/>
      <c r="P2298" s="39" t="str">
        <f t="shared" si="357"/>
        <v/>
      </c>
      <c r="Q2298" s="40" t="str">
        <f>IF(OR(T2298=0,RIGHT(T2298,1)=$W$1),"",COUNTIF($T$3:T2298,T2298))</f>
        <v/>
      </c>
      <c r="S2298" s="6">
        <f t="shared" si="358"/>
        <v>0</v>
      </c>
      <c r="T2298" s="36">
        <f t="shared" si="359"/>
        <v>0</v>
      </c>
      <c r="V2298" s="6">
        <f t="shared" si="360"/>
        <v>0</v>
      </c>
      <c r="Y2298" s="8">
        <f t="shared" si="361"/>
        <v>46023</v>
      </c>
    </row>
    <row r="2299" spans="2:25" ht="18.75" x14ac:dyDescent="0.3">
      <c r="B2299" s="6">
        <f t="shared" si="353"/>
        <v>0</v>
      </c>
      <c r="C2299" s="6">
        <f t="shared" si="354"/>
        <v>0</v>
      </c>
      <c r="D2299" s="6" t="str">
        <f t="shared" si="355"/>
        <v/>
      </c>
      <c r="E2299" s="35" t="str">
        <f t="shared" si="352"/>
        <v/>
      </c>
      <c r="F2299" s="31"/>
      <c r="G2299" s="29"/>
      <c r="H2299" s="78" t="str">
        <f t="shared" si="356"/>
        <v/>
      </c>
      <c r="I2299" s="25"/>
      <c r="J2299" s="25"/>
      <c r="K2299" s="26"/>
      <c r="L2299" s="26"/>
      <c r="M2299" s="37"/>
      <c r="N2299" s="27"/>
      <c r="O2299" s="30"/>
      <c r="P2299" s="39" t="str">
        <f t="shared" si="357"/>
        <v/>
      </c>
      <c r="Q2299" s="40" t="str">
        <f>IF(OR(T2299=0,RIGHT(T2299,1)=$W$1),"",COUNTIF($T$3:T2299,T2299))</f>
        <v/>
      </c>
      <c r="S2299" s="6">
        <f t="shared" si="358"/>
        <v>0</v>
      </c>
      <c r="T2299" s="36">
        <f t="shared" si="359"/>
        <v>0</v>
      </c>
      <c r="V2299" s="6">
        <f t="shared" si="360"/>
        <v>0</v>
      </c>
      <c r="Y2299" s="8">
        <f t="shared" si="361"/>
        <v>46023</v>
      </c>
    </row>
    <row r="2300" spans="2:25" ht="18.75" x14ac:dyDescent="0.3">
      <c r="B2300" s="6">
        <f t="shared" si="353"/>
        <v>0</v>
      </c>
      <c r="C2300" s="6">
        <f t="shared" si="354"/>
        <v>0</v>
      </c>
      <c r="D2300" s="6" t="str">
        <f t="shared" si="355"/>
        <v/>
      </c>
      <c r="E2300" s="35" t="str">
        <f t="shared" si="352"/>
        <v/>
      </c>
      <c r="F2300" s="31"/>
      <c r="G2300" s="29"/>
      <c r="H2300" s="78" t="str">
        <f t="shared" si="356"/>
        <v/>
      </c>
      <c r="I2300" s="25"/>
      <c r="J2300" s="25"/>
      <c r="K2300" s="26"/>
      <c r="L2300" s="26"/>
      <c r="M2300" s="37"/>
      <c r="N2300" s="27"/>
      <c r="O2300" s="30"/>
      <c r="P2300" s="39" t="str">
        <f t="shared" si="357"/>
        <v/>
      </c>
      <c r="Q2300" s="40" t="str">
        <f>IF(OR(T2300=0,RIGHT(T2300,1)=$W$1),"",COUNTIF($T$3:T2300,T2300))</f>
        <v/>
      </c>
      <c r="S2300" s="6">
        <f t="shared" si="358"/>
        <v>0</v>
      </c>
      <c r="T2300" s="36">
        <f t="shared" si="359"/>
        <v>0</v>
      </c>
      <c r="V2300" s="6">
        <f t="shared" si="360"/>
        <v>0</v>
      </c>
      <c r="Y2300" s="8">
        <f t="shared" si="361"/>
        <v>46023</v>
      </c>
    </row>
    <row r="2301" spans="2:25" ht="18.75" x14ac:dyDescent="0.3">
      <c r="B2301" s="6">
        <f t="shared" si="353"/>
        <v>0</v>
      </c>
      <c r="C2301" s="6">
        <f t="shared" si="354"/>
        <v>0</v>
      </c>
      <c r="D2301" s="6" t="str">
        <f t="shared" si="355"/>
        <v/>
      </c>
      <c r="E2301" s="35" t="str">
        <f t="shared" si="352"/>
        <v/>
      </c>
      <c r="F2301" s="31"/>
      <c r="G2301" s="29"/>
      <c r="H2301" s="78" t="str">
        <f t="shared" si="356"/>
        <v/>
      </c>
      <c r="I2301" s="25"/>
      <c r="J2301" s="25"/>
      <c r="K2301" s="26"/>
      <c r="L2301" s="26"/>
      <c r="M2301" s="37"/>
      <c r="N2301" s="27"/>
      <c r="O2301" s="30"/>
      <c r="P2301" s="39" t="str">
        <f t="shared" si="357"/>
        <v/>
      </c>
      <c r="Q2301" s="40" t="str">
        <f>IF(OR(T2301=0,RIGHT(T2301,1)=$W$1),"",COUNTIF($T$3:T2301,T2301))</f>
        <v/>
      </c>
      <c r="S2301" s="6">
        <f t="shared" si="358"/>
        <v>0</v>
      </c>
      <c r="T2301" s="36">
        <f t="shared" si="359"/>
        <v>0</v>
      </c>
      <c r="V2301" s="6">
        <f t="shared" si="360"/>
        <v>0</v>
      </c>
      <c r="Y2301" s="8">
        <f t="shared" si="361"/>
        <v>46023</v>
      </c>
    </row>
    <row r="2302" spans="2:25" ht="18.75" x14ac:dyDescent="0.3">
      <c r="B2302" s="6">
        <f t="shared" si="353"/>
        <v>0</v>
      </c>
      <c r="C2302" s="6">
        <f t="shared" si="354"/>
        <v>0</v>
      </c>
      <c r="D2302" s="6" t="str">
        <f t="shared" si="355"/>
        <v/>
      </c>
      <c r="E2302" s="35" t="str">
        <f t="shared" si="352"/>
        <v/>
      </c>
      <c r="F2302" s="31"/>
      <c r="G2302" s="29"/>
      <c r="H2302" s="78" t="str">
        <f t="shared" si="356"/>
        <v/>
      </c>
      <c r="I2302" s="25"/>
      <c r="J2302" s="25"/>
      <c r="K2302" s="26"/>
      <c r="L2302" s="26"/>
      <c r="M2302" s="37"/>
      <c r="N2302" s="27"/>
      <c r="O2302" s="30"/>
      <c r="P2302" s="39" t="str">
        <f t="shared" si="357"/>
        <v/>
      </c>
      <c r="Q2302" s="40" t="str">
        <f>IF(OR(T2302=0,RIGHT(T2302,1)=$W$1),"",COUNTIF($T$3:T2302,T2302))</f>
        <v/>
      </c>
      <c r="S2302" s="6">
        <f t="shared" si="358"/>
        <v>0</v>
      </c>
      <c r="T2302" s="36">
        <f t="shared" si="359"/>
        <v>0</v>
      </c>
      <c r="V2302" s="6">
        <f t="shared" si="360"/>
        <v>0</v>
      </c>
      <c r="Y2302" s="8">
        <f t="shared" si="361"/>
        <v>46023</v>
      </c>
    </row>
    <row r="2303" spans="2:25" ht="18.75" x14ac:dyDescent="0.3">
      <c r="B2303" s="6">
        <f t="shared" si="353"/>
        <v>0</v>
      </c>
      <c r="C2303" s="6">
        <f t="shared" si="354"/>
        <v>0</v>
      </c>
      <c r="D2303" s="6" t="str">
        <f t="shared" si="355"/>
        <v/>
      </c>
      <c r="E2303" s="35" t="str">
        <f t="shared" si="352"/>
        <v/>
      </c>
      <c r="F2303" s="31"/>
      <c r="G2303" s="29"/>
      <c r="H2303" s="78" t="str">
        <f t="shared" si="356"/>
        <v/>
      </c>
      <c r="I2303" s="25"/>
      <c r="J2303" s="25"/>
      <c r="K2303" s="26"/>
      <c r="L2303" s="26"/>
      <c r="M2303" s="37"/>
      <c r="N2303" s="27"/>
      <c r="O2303" s="30"/>
      <c r="P2303" s="39" t="str">
        <f t="shared" si="357"/>
        <v/>
      </c>
      <c r="Q2303" s="40" t="str">
        <f>IF(OR(T2303=0,RIGHT(T2303,1)=$W$1),"",COUNTIF($T$3:T2303,T2303))</f>
        <v/>
      </c>
      <c r="S2303" s="6">
        <f t="shared" si="358"/>
        <v>0</v>
      </c>
      <c r="T2303" s="36">
        <f t="shared" si="359"/>
        <v>0</v>
      </c>
      <c r="V2303" s="6">
        <f t="shared" si="360"/>
        <v>0</v>
      </c>
      <c r="Y2303" s="8">
        <f t="shared" si="361"/>
        <v>46023</v>
      </c>
    </row>
    <row r="2304" spans="2:25" ht="18.75" x14ac:dyDescent="0.3">
      <c r="B2304" s="6">
        <f t="shared" si="353"/>
        <v>0</v>
      </c>
      <c r="C2304" s="6">
        <f t="shared" si="354"/>
        <v>0</v>
      </c>
      <c r="D2304" s="6" t="str">
        <f t="shared" si="355"/>
        <v/>
      </c>
      <c r="E2304" s="35" t="str">
        <f t="shared" si="352"/>
        <v/>
      </c>
      <c r="F2304" s="31"/>
      <c r="G2304" s="29"/>
      <c r="H2304" s="78" t="str">
        <f t="shared" si="356"/>
        <v/>
      </c>
      <c r="I2304" s="25"/>
      <c r="J2304" s="25"/>
      <c r="K2304" s="26"/>
      <c r="L2304" s="26"/>
      <c r="M2304" s="37"/>
      <c r="N2304" s="27"/>
      <c r="O2304" s="30"/>
      <c r="P2304" s="39" t="str">
        <f t="shared" si="357"/>
        <v/>
      </c>
      <c r="Q2304" s="40" t="str">
        <f>IF(OR(T2304=0,RIGHT(T2304,1)=$W$1),"",COUNTIF($T$3:T2304,T2304))</f>
        <v/>
      </c>
      <c r="S2304" s="6">
        <f t="shared" si="358"/>
        <v>0</v>
      </c>
      <c r="T2304" s="36">
        <f t="shared" si="359"/>
        <v>0</v>
      </c>
      <c r="V2304" s="6">
        <f t="shared" si="360"/>
        <v>0</v>
      </c>
      <c r="Y2304" s="8">
        <f t="shared" si="361"/>
        <v>46023</v>
      </c>
    </row>
    <row r="2305" spans="2:25" ht="18.75" x14ac:dyDescent="0.3">
      <c r="B2305" s="6">
        <f t="shared" si="353"/>
        <v>0</v>
      </c>
      <c r="C2305" s="6">
        <f t="shared" si="354"/>
        <v>0</v>
      </c>
      <c r="D2305" s="6" t="str">
        <f t="shared" si="355"/>
        <v/>
      </c>
      <c r="E2305" s="35" t="str">
        <f t="shared" si="352"/>
        <v/>
      </c>
      <c r="F2305" s="31"/>
      <c r="G2305" s="29"/>
      <c r="H2305" s="78" t="str">
        <f t="shared" si="356"/>
        <v/>
      </c>
      <c r="I2305" s="25"/>
      <c r="J2305" s="25"/>
      <c r="K2305" s="26"/>
      <c r="L2305" s="26"/>
      <c r="M2305" s="37"/>
      <c r="N2305" s="27"/>
      <c r="O2305" s="30"/>
      <c r="P2305" s="39" t="str">
        <f t="shared" si="357"/>
        <v/>
      </c>
      <c r="Q2305" s="40" t="str">
        <f>IF(OR(T2305=0,RIGHT(T2305,1)=$W$1),"",COUNTIF($T$3:T2305,T2305))</f>
        <v/>
      </c>
      <c r="S2305" s="6">
        <f t="shared" si="358"/>
        <v>0</v>
      </c>
      <c r="T2305" s="36">
        <f t="shared" si="359"/>
        <v>0</v>
      </c>
      <c r="V2305" s="6">
        <f t="shared" si="360"/>
        <v>0</v>
      </c>
      <c r="Y2305" s="8">
        <f t="shared" si="361"/>
        <v>46023</v>
      </c>
    </row>
    <row r="2306" spans="2:25" ht="18.75" x14ac:dyDescent="0.3">
      <c r="B2306" s="6">
        <f t="shared" si="353"/>
        <v>0</v>
      </c>
      <c r="C2306" s="6">
        <f t="shared" si="354"/>
        <v>0</v>
      </c>
      <c r="D2306" s="6" t="str">
        <f t="shared" si="355"/>
        <v/>
      </c>
      <c r="E2306" s="35" t="str">
        <f t="shared" si="352"/>
        <v/>
      </c>
      <c r="F2306" s="31"/>
      <c r="G2306" s="29"/>
      <c r="H2306" s="78" t="str">
        <f t="shared" si="356"/>
        <v/>
      </c>
      <c r="I2306" s="25"/>
      <c r="J2306" s="25"/>
      <c r="K2306" s="26"/>
      <c r="L2306" s="26"/>
      <c r="M2306" s="37"/>
      <c r="N2306" s="27"/>
      <c r="O2306" s="30"/>
      <c r="P2306" s="39" t="str">
        <f t="shared" si="357"/>
        <v/>
      </c>
      <c r="Q2306" s="40" t="str">
        <f>IF(OR(T2306=0,RIGHT(T2306,1)=$W$1),"",COUNTIF($T$3:T2306,T2306))</f>
        <v/>
      </c>
      <c r="S2306" s="6">
        <f t="shared" si="358"/>
        <v>0</v>
      </c>
      <c r="T2306" s="36">
        <f t="shared" si="359"/>
        <v>0</v>
      </c>
      <c r="V2306" s="6">
        <f t="shared" si="360"/>
        <v>0</v>
      </c>
      <c r="Y2306" s="8">
        <f t="shared" si="361"/>
        <v>46023</v>
      </c>
    </row>
    <row r="2307" spans="2:25" ht="18.75" x14ac:dyDescent="0.3">
      <c r="B2307" s="6">
        <f t="shared" si="353"/>
        <v>0</v>
      </c>
      <c r="C2307" s="6">
        <f t="shared" si="354"/>
        <v>0</v>
      </c>
      <c r="D2307" s="6" t="str">
        <f t="shared" si="355"/>
        <v/>
      </c>
      <c r="E2307" s="35" t="str">
        <f t="shared" ref="E2307:E2370" si="362">IF(D2307&lt;&gt;"",D2307&amp;" - "&amp;YEAR(F2307),"")</f>
        <v/>
      </c>
      <c r="F2307" s="31"/>
      <c r="G2307" s="29"/>
      <c r="H2307" s="78" t="str">
        <f t="shared" si="356"/>
        <v/>
      </c>
      <c r="I2307" s="25"/>
      <c r="J2307" s="25"/>
      <c r="K2307" s="26"/>
      <c r="L2307" s="26"/>
      <c r="M2307" s="37"/>
      <c r="N2307" s="27"/>
      <c r="O2307" s="30"/>
      <c r="P2307" s="39" t="str">
        <f t="shared" si="357"/>
        <v/>
      </c>
      <c r="Q2307" s="40" t="str">
        <f>IF(OR(T2307=0,RIGHT(T2307,1)=$W$1),"",COUNTIF($T$3:T2307,T2307))</f>
        <v/>
      </c>
      <c r="S2307" s="6">
        <f t="shared" si="358"/>
        <v>0</v>
      </c>
      <c r="T2307" s="36">
        <f t="shared" si="359"/>
        <v>0</v>
      </c>
      <c r="V2307" s="6">
        <f t="shared" si="360"/>
        <v>0</v>
      </c>
      <c r="Y2307" s="8">
        <f t="shared" si="361"/>
        <v>46023</v>
      </c>
    </row>
    <row r="2308" spans="2:25" ht="18.75" x14ac:dyDescent="0.3">
      <c r="B2308" s="6">
        <f t="shared" ref="B2308:B2371" si="363">IF($B$1=YEAR(F2308),B2307+1,B2307)</f>
        <v>0</v>
      </c>
      <c r="C2308" s="6">
        <f t="shared" ref="C2308:C2371" si="364">IF(AND($C$1=K2308,$Y$1=YEAR(F2308)),C2307+1,C2307)</f>
        <v>0</v>
      </c>
      <c r="D2308" s="6" t="str">
        <f t="shared" ref="D2308:D2371" si="365">IF(F2308&lt;&gt;0,IF(YEAR(F2308)&lt;&gt;YEAR(F2307),1,IF(M2308=$AI$1,D2307,D2307+1)),"")</f>
        <v/>
      </c>
      <c r="E2308" s="35" t="str">
        <f t="shared" si="362"/>
        <v/>
      </c>
      <c r="F2308" s="31"/>
      <c r="G2308" s="29"/>
      <c r="H2308" s="78" t="str">
        <f t="shared" ref="H2308:H2371" si="366">IF(G2308&lt;&gt;"",F2308,"")</f>
        <v/>
      </c>
      <c r="I2308" s="25"/>
      <c r="J2308" s="25"/>
      <c r="K2308" s="26"/>
      <c r="L2308" s="26"/>
      <c r="M2308" s="37"/>
      <c r="N2308" s="27"/>
      <c r="O2308" s="30"/>
      <c r="P2308" s="39" t="str">
        <f t="shared" ref="P2308:P2371" si="367">IF(OR(T2308=0,RIGHT(T2308,1)=$W$1),"",VLOOKUP(K2308,$AD$1:$AK$15,5,FALSE))</f>
        <v/>
      </c>
      <c r="Q2308" s="40" t="str">
        <f>IF(OR(T2308=0,RIGHT(T2308,1)=$W$1),"",COUNTIF($T$3:T2308,T2308))</f>
        <v/>
      </c>
      <c r="S2308" s="6">
        <f t="shared" ref="S2308:S2371" si="368">IF(AND($C$1=K2308,$Y$1=YEAR(F2308)),C2308,0)</f>
        <v>0</v>
      </c>
      <c r="T2308" s="36">
        <f t="shared" ref="T2308:T2371" si="369">IF(F2308=0,0,YEAR(F2308)&amp;VLOOKUP(K2308,$AD$1:$AE$15,2,FALSE))</f>
        <v>0</v>
      </c>
      <c r="V2308" s="6">
        <f t="shared" ref="V2308:V2371" si="370">IF(AND(YEAR(F2308)=$Y$1,K2308=$C$1,L2308&amp;$V$1&lt;&gt;$V$1),L2308,IF(AND(YEAR(F2308)=$Y$1,K2308=$C$1),1,0))</f>
        <v>0</v>
      </c>
      <c r="Y2308" s="8">
        <f t="shared" ref="Y2308:Y2371" si="371">IF(M2308&lt;&gt;$AI$1,$Y$2,F2307)</f>
        <v>46023</v>
      </c>
    </row>
    <row r="2309" spans="2:25" ht="18.75" x14ac:dyDescent="0.3">
      <c r="B2309" s="6">
        <f t="shared" si="363"/>
        <v>0</v>
      </c>
      <c r="C2309" s="6">
        <f t="shared" si="364"/>
        <v>0</v>
      </c>
      <c r="D2309" s="6" t="str">
        <f t="shared" si="365"/>
        <v/>
      </c>
      <c r="E2309" s="35" t="str">
        <f t="shared" si="362"/>
        <v/>
      </c>
      <c r="F2309" s="31"/>
      <c r="G2309" s="29"/>
      <c r="H2309" s="78" t="str">
        <f t="shared" si="366"/>
        <v/>
      </c>
      <c r="I2309" s="25"/>
      <c r="J2309" s="25"/>
      <c r="K2309" s="26"/>
      <c r="L2309" s="26"/>
      <c r="M2309" s="37"/>
      <c r="N2309" s="27"/>
      <c r="O2309" s="30"/>
      <c r="P2309" s="39" t="str">
        <f t="shared" si="367"/>
        <v/>
      </c>
      <c r="Q2309" s="40" t="str">
        <f>IF(OR(T2309=0,RIGHT(T2309,1)=$W$1),"",COUNTIF($T$3:T2309,T2309))</f>
        <v/>
      </c>
      <c r="S2309" s="6">
        <f t="shared" si="368"/>
        <v>0</v>
      </c>
      <c r="T2309" s="36">
        <f t="shared" si="369"/>
        <v>0</v>
      </c>
      <c r="V2309" s="6">
        <f t="shared" si="370"/>
        <v>0</v>
      </c>
      <c r="Y2309" s="8">
        <f t="shared" si="371"/>
        <v>46023</v>
      </c>
    </row>
    <row r="2310" spans="2:25" ht="18.75" x14ac:dyDescent="0.3">
      <c r="B2310" s="6">
        <f t="shared" si="363"/>
        <v>0</v>
      </c>
      <c r="C2310" s="6">
        <f t="shared" si="364"/>
        <v>0</v>
      </c>
      <c r="D2310" s="6" t="str">
        <f t="shared" si="365"/>
        <v/>
      </c>
      <c r="E2310" s="35" t="str">
        <f t="shared" si="362"/>
        <v/>
      </c>
      <c r="F2310" s="31"/>
      <c r="G2310" s="29"/>
      <c r="H2310" s="78" t="str">
        <f t="shared" si="366"/>
        <v/>
      </c>
      <c r="I2310" s="25"/>
      <c r="J2310" s="25"/>
      <c r="K2310" s="26"/>
      <c r="L2310" s="26"/>
      <c r="M2310" s="37"/>
      <c r="N2310" s="27"/>
      <c r="O2310" s="30"/>
      <c r="P2310" s="39" t="str">
        <f t="shared" si="367"/>
        <v/>
      </c>
      <c r="Q2310" s="40" t="str">
        <f>IF(OR(T2310=0,RIGHT(T2310,1)=$W$1),"",COUNTIF($T$3:T2310,T2310))</f>
        <v/>
      </c>
      <c r="S2310" s="6">
        <f t="shared" si="368"/>
        <v>0</v>
      </c>
      <c r="T2310" s="36">
        <f t="shared" si="369"/>
        <v>0</v>
      </c>
      <c r="V2310" s="6">
        <f t="shared" si="370"/>
        <v>0</v>
      </c>
      <c r="Y2310" s="8">
        <f t="shared" si="371"/>
        <v>46023</v>
      </c>
    </row>
    <row r="2311" spans="2:25" ht="18.75" x14ac:dyDescent="0.3">
      <c r="B2311" s="6">
        <f t="shared" si="363"/>
        <v>0</v>
      </c>
      <c r="C2311" s="6">
        <f t="shared" si="364"/>
        <v>0</v>
      </c>
      <c r="D2311" s="6" t="str">
        <f t="shared" si="365"/>
        <v/>
      </c>
      <c r="E2311" s="35" t="str">
        <f t="shared" si="362"/>
        <v/>
      </c>
      <c r="F2311" s="31"/>
      <c r="G2311" s="29"/>
      <c r="H2311" s="78" t="str">
        <f t="shared" si="366"/>
        <v/>
      </c>
      <c r="I2311" s="25"/>
      <c r="J2311" s="25"/>
      <c r="K2311" s="26"/>
      <c r="L2311" s="26"/>
      <c r="M2311" s="37"/>
      <c r="N2311" s="27"/>
      <c r="O2311" s="30"/>
      <c r="P2311" s="39" t="str">
        <f t="shared" si="367"/>
        <v/>
      </c>
      <c r="Q2311" s="40" t="str">
        <f>IF(OR(T2311=0,RIGHT(T2311,1)=$W$1),"",COUNTIF($T$3:T2311,T2311))</f>
        <v/>
      </c>
      <c r="S2311" s="6">
        <f t="shared" si="368"/>
        <v>0</v>
      </c>
      <c r="T2311" s="36">
        <f t="shared" si="369"/>
        <v>0</v>
      </c>
      <c r="V2311" s="6">
        <f t="shared" si="370"/>
        <v>0</v>
      </c>
      <c r="Y2311" s="8">
        <f t="shared" si="371"/>
        <v>46023</v>
      </c>
    </row>
    <row r="2312" spans="2:25" ht="18.75" x14ac:dyDescent="0.3">
      <c r="B2312" s="6">
        <f t="shared" si="363"/>
        <v>0</v>
      </c>
      <c r="C2312" s="6">
        <f t="shared" si="364"/>
        <v>0</v>
      </c>
      <c r="D2312" s="6" t="str">
        <f t="shared" si="365"/>
        <v/>
      </c>
      <c r="E2312" s="35" t="str">
        <f t="shared" si="362"/>
        <v/>
      </c>
      <c r="F2312" s="31"/>
      <c r="G2312" s="29"/>
      <c r="H2312" s="78" t="str">
        <f t="shared" si="366"/>
        <v/>
      </c>
      <c r="I2312" s="25"/>
      <c r="J2312" s="25"/>
      <c r="K2312" s="26"/>
      <c r="L2312" s="26"/>
      <c r="M2312" s="37"/>
      <c r="N2312" s="27"/>
      <c r="O2312" s="30"/>
      <c r="P2312" s="39" t="str">
        <f t="shared" si="367"/>
        <v/>
      </c>
      <c r="Q2312" s="40" t="str">
        <f>IF(OR(T2312=0,RIGHT(T2312,1)=$W$1),"",COUNTIF($T$3:T2312,T2312))</f>
        <v/>
      </c>
      <c r="S2312" s="6">
        <f t="shared" si="368"/>
        <v>0</v>
      </c>
      <c r="T2312" s="36">
        <f t="shared" si="369"/>
        <v>0</v>
      </c>
      <c r="V2312" s="6">
        <f t="shared" si="370"/>
        <v>0</v>
      </c>
      <c r="Y2312" s="8">
        <f t="shared" si="371"/>
        <v>46023</v>
      </c>
    </row>
    <row r="2313" spans="2:25" ht="18.75" x14ac:dyDescent="0.3">
      <c r="B2313" s="6">
        <f t="shared" si="363"/>
        <v>0</v>
      </c>
      <c r="C2313" s="6">
        <f t="shared" si="364"/>
        <v>0</v>
      </c>
      <c r="D2313" s="6" t="str">
        <f t="shared" si="365"/>
        <v/>
      </c>
      <c r="E2313" s="35" t="str">
        <f t="shared" si="362"/>
        <v/>
      </c>
      <c r="F2313" s="31"/>
      <c r="G2313" s="29"/>
      <c r="H2313" s="78" t="str">
        <f t="shared" si="366"/>
        <v/>
      </c>
      <c r="I2313" s="25"/>
      <c r="J2313" s="25"/>
      <c r="K2313" s="26"/>
      <c r="L2313" s="26"/>
      <c r="M2313" s="37"/>
      <c r="N2313" s="27"/>
      <c r="O2313" s="30"/>
      <c r="P2313" s="39" t="str">
        <f t="shared" si="367"/>
        <v/>
      </c>
      <c r="Q2313" s="40" t="str">
        <f>IF(OR(T2313=0,RIGHT(T2313,1)=$W$1),"",COUNTIF($T$3:T2313,T2313))</f>
        <v/>
      </c>
      <c r="S2313" s="6">
        <f t="shared" si="368"/>
        <v>0</v>
      </c>
      <c r="T2313" s="36">
        <f t="shared" si="369"/>
        <v>0</v>
      </c>
      <c r="V2313" s="6">
        <f t="shared" si="370"/>
        <v>0</v>
      </c>
      <c r="Y2313" s="8">
        <f t="shared" si="371"/>
        <v>46023</v>
      </c>
    </row>
    <row r="2314" spans="2:25" ht="18.75" x14ac:dyDescent="0.3">
      <c r="B2314" s="6">
        <f t="shared" si="363"/>
        <v>0</v>
      </c>
      <c r="C2314" s="6">
        <f t="shared" si="364"/>
        <v>0</v>
      </c>
      <c r="D2314" s="6" t="str">
        <f t="shared" si="365"/>
        <v/>
      </c>
      <c r="E2314" s="35" t="str">
        <f t="shared" si="362"/>
        <v/>
      </c>
      <c r="F2314" s="31"/>
      <c r="G2314" s="29"/>
      <c r="H2314" s="78" t="str">
        <f t="shared" si="366"/>
        <v/>
      </c>
      <c r="I2314" s="25"/>
      <c r="J2314" s="25"/>
      <c r="K2314" s="26"/>
      <c r="L2314" s="26"/>
      <c r="M2314" s="37"/>
      <c r="N2314" s="27"/>
      <c r="O2314" s="30"/>
      <c r="P2314" s="39" t="str">
        <f t="shared" si="367"/>
        <v/>
      </c>
      <c r="Q2314" s="40" t="str">
        <f>IF(OR(T2314=0,RIGHT(T2314,1)=$W$1),"",COUNTIF($T$3:T2314,T2314))</f>
        <v/>
      </c>
      <c r="S2314" s="6">
        <f t="shared" si="368"/>
        <v>0</v>
      </c>
      <c r="T2314" s="36">
        <f t="shared" si="369"/>
        <v>0</v>
      </c>
      <c r="V2314" s="6">
        <f t="shared" si="370"/>
        <v>0</v>
      </c>
      <c r="Y2314" s="8">
        <f t="shared" si="371"/>
        <v>46023</v>
      </c>
    </row>
    <row r="2315" spans="2:25" ht="18.75" x14ac:dyDescent="0.3">
      <c r="B2315" s="6">
        <f t="shared" si="363"/>
        <v>0</v>
      </c>
      <c r="C2315" s="6">
        <f t="shared" si="364"/>
        <v>0</v>
      </c>
      <c r="D2315" s="6" t="str">
        <f t="shared" si="365"/>
        <v/>
      </c>
      <c r="E2315" s="35" t="str">
        <f t="shared" si="362"/>
        <v/>
      </c>
      <c r="F2315" s="31"/>
      <c r="G2315" s="29"/>
      <c r="H2315" s="78" t="str">
        <f t="shared" si="366"/>
        <v/>
      </c>
      <c r="I2315" s="25"/>
      <c r="J2315" s="25"/>
      <c r="K2315" s="26"/>
      <c r="L2315" s="26"/>
      <c r="M2315" s="37"/>
      <c r="N2315" s="27"/>
      <c r="O2315" s="30"/>
      <c r="P2315" s="39" t="str">
        <f t="shared" si="367"/>
        <v/>
      </c>
      <c r="Q2315" s="40" t="str">
        <f>IF(OR(T2315=0,RIGHT(T2315,1)=$W$1),"",COUNTIF($T$3:T2315,T2315))</f>
        <v/>
      </c>
      <c r="S2315" s="6">
        <f t="shared" si="368"/>
        <v>0</v>
      </c>
      <c r="T2315" s="36">
        <f t="shared" si="369"/>
        <v>0</v>
      </c>
      <c r="V2315" s="6">
        <f t="shared" si="370"/>
        <v>0</v>
      </c>
      <c r="Y2315" s="8">
        <f t="shared" si="371"/>
        <v>46023</v>
      </c>
    </row>
    <row r="2316" spans="2:25" ht="18.75" x14ac:dyDescent="0.3">
      <c r="B2316" s="6">
        <f t="shared" si="363"/>
        <v>0</v>
      </c>
      <c r="C2316" s="6">
        <f t="shared" si="364"/>
        <v>0</v>
      </c>
      <c r="D2316" s="6" t="str">
        <f t="shared" si="365"/>
        <v/>
      </c>
      <c r="E2316" s="35" t="str">
        <f t="shared" si="362"/>
        <v/>
      </c>
      <c r="F2316" s="31"/>
      <c r="G2316" s="29"/>
      <c r="H2316" s="78" t="str">
        <f t="shared" si="366"/>
        <v/>
      </c>
      <c r="I2316" s="25"/>
      <c r="J2316" s="25"/>
      <c r="K2316" s="26"/>
      <c r="L2316" s="26"/>
      <c r="M2316" s="37"/>
      <c r="N2316" s="27"/>
      <c r="O2316" s="30"/>
      <c r="P2316" s="39" t="str">
        <f t="shared" si="367"/>
        <v/>
      </c>
      <c r="Q2316" s="40" t="str">
        <f>IF(OR(T2316=0,RIGHT(T2316,1)=$W$1),"",COUNTIF($T$3:T2316,T2316))</f>
        <v/>
      </c>
      <c r="S2316" s="6">
        <f t="shared" si="368"/>
        <v>0</v>
      </c>
      <c r="T2316" s="36">
        <f t="shared" si="369"/>
        <v>0</v>
      </c>
      <c r="V2316" s="6">
        <f t="shared" si="370"/>
        <v>0</v>
      </c>
      <c r="Y2316" s="8">
        <f t="shared" si="371"/>
        <v>46023</v>
      </c>
    </row>
    <row r="2317" spans="2:25" ht="18.75" x14ac:dyDescent="0.3">
      <c r="B2317" s="6">
        <f t="shared" si="363"/>
        <v>0</v>
      </c>
      <c r="C2317" s="6">
        <f t="shared" si="364"/>
        <v>0</v>
      </c>
      <c r="D2317" s="6" t="str">
        <f t="shared" si="365"/>
        <v/>
      </c>
      <c r="E2317" s="35" t="str">
        <f t="shared" si="362"/>
        <v/>
      </c>
      <c r="F2317" s="31"/>
      <c r="G2317" s="29"/>
      <c r="H2317" s="78" t="str">
        <f t="shared" si="366"/>
        <v/>
      </c>
      <c r="I2317" s="25"/>
      <c r="J2317" s="25"/>
      <c r="K2317" s="26"/>
      <c r="L2317" s="26"/>
      <c r="M2317" s="37"/>
      <c r="N2317" s="27"/>
      <c r="O2317" s="30"/>
      <c r="P2317" s="39" t="str">
        <f t="shared" si="367"/>
        <v/>
      </c>
      <c r="Q2317" s="40" t="str">
        <f>IF(OR(T2317=0,RIGHT(T2317,1)=$W$1),"",COUNTIF($T$3:T2317,T2317))</f>
        <v/>
      </c>
      <c r="S2317" s="6">
        <f t="shared" si="368"/>
        <v>0</v>
      </c>
      <c r="T2317" s="36">
        <f t="shared" si="369"/>
        <v>0</v>
      </c>
      <c r="V2317" s="6">
        <f t="shared" si="370"/>
        <v>0</v>
      </c>
      <c r="Y2317" s="8">
        <f t="shared" si="371"/>
        <v>46023</v>
      </c>
    </row>
    <row r="2318" spans="2:25" ht="18.75" x14ac:dyDescent="0.3">
      <c r="B2318" s="6">
        <f t="shared" si="363"/>
        <v>0</v>
      </c>
      <c r="C2318" s="6">
        <f t="shared" si="364"/>
        <v>0</v>
      </c>
      <c r="D2318" s="6" t="str">
        <f t="shared" si="365"/>
        <v/>
      </c>
      <c r="E2318" s="35" t="str">
        <f t="shared" si="362"/>
        <v/>
      </c>
      <c r="F2318" s="31"/>
      <c r="G2318" s="29"/>
      <c r="H2318" s="78" t="str">
        <f t="shared" si="366"/>
        <v/>
      </c>
      <c r="I2318" s="25"/>
      <c r="J2318" s="25"/>
      <c r="K2318" s="26"/>
      <c r="L2318" s="26"/>
      <c r="M2318" s="37"/>
      <c r="N2318" s="27"/>
      <c r="O2318" s="30"/>
      <c r="P2318" s="39" t="str">
        <f t="shared" si="367"/>
        <v/>
      </c>
      <c r="Q2318" s="40" t="str">
        <f>IF(OR(T2318=0,RIGHT(T2318,1)=$W$1),"",COUNTIF($T$3:T2318,T2318))</f>
        <v/>
      </c>
      <c r="S2318" s="6">
        <f t="shared" si="368"/>
        <v>0</v>
      </c>
      <c r="T2318" s="36">
        <f t="shared" si="369"/>
        <v>0</v>
      </c>
      <c r="V2318" s="6">
        <f t="shared" si="370"/>
        <v>0</v>
      </c>
      <c r="Y2318" s="8">
        <f t="shared" si="371"/>
        <v>46023</v>
      </c>
    </row>
    <row r="2319" spans="2:25" ht="18.75" x14ac:dyDescent="0.3">
      <c r="B2319" s="6">
        <f t="shared" si="363"/>
        <v>0</v>
      </c>
      <c r="C2319" s="6">
        <f t="shared" si="364"/>
        <v>0</v>
      </c>
      <c r="D2319" s="6" t="str">
        <f t="shared" si="365"/>
        <v/>
      </c>
      <c r="E2319" s="35" t="str">
        <f t="shared" si="362"/>
        <v/>
      </c>
      <c r="F2319" s="31"/>
      <c r="G2319" s="29"/>
      <c r="H2319" s="78" t="str">
        <f t="shared" si="366"/>
        <v/>
      </c>
      <c r="I2319" s="25"/>
      <c r="J2319" s="25"/>
      <c r="K2319" s="26"/>
      <c r="L2319" s="26"/>
      <c r="M2319" s="37"/>
      <c r="N2319" s="27"/>
      <c r="O2319" s="30"/>
      <c r="P2319" s="39" t="str">
        <f t="shared" si="367"/>
        <v/>
      </c>
      <c r="Q2319" s="40" t="str">
        <f>IF(OR(T2319=0,RIGHT(T2319,1)=$W$1),"",COUNTIF($T$3:T2319,T2319))</f>
        <v/>
      </c>
      <c r="S2319" s="6">
        <f t="shared" si="368"/>
        <v>0</v>
      </c>
      <c r="T2319" s="36">
        <f t="shared" si="369"/>
        <v>0</v>
      </c>
      <c r="V2319" s="6">
        <f t="shared" si="370"/>
        <v>0</v>
      </c>
      <c r="Y2319" s="8">
        <f t="shared" si="371"/>
        <v>46023</v>
      </c>
    </row>
    <row r="2320" spans="2:25" ht="18.75" x14ac:dyDescent="0.3">
      <c r="B2320" s="6">
        <f t="shared" si="363"/>
        <v>0</v>
      </c>
      <c r="C2320" s="6">
        <f t="shared" si="364"/>
        <v>0</v>
      </c>
      <c r="D2320" s="6" t="str">
        <f t="shared" si="365"/>
        <v/>
      </c>
      <c r="E2320" s="35" t="str">
        <f t="shared" si="362"/>
        <v/>
      </c>
      <c r="F2320" s="31"/>
      <c r="G2320" s="29"/>
      <c r="H2320" s="78" t="str">
        <f t="shared" si="366"/>
        <v/>
      </c>
      <c r="I2320" s="25"/>
      <c r="J2320" s="25"/>
      <c r="K2320" s="26"/>
      <c r="L2320" s="26"/>
      <c r="M2320" s="37"/>
      <c r="N2320" s="27"/>
      <c r="O2320" s="30"/>
      <c r="P2320" s="39" t="str">
        <f t="shared" si="367"/>
        <v/>
      </c>
      <c r="Q2320" s="40" t="str">
        <f>IF(OR(T2320=0,RIGHT(T2320,1)=$W$1),"",COUNTIF($T$3:T2320,T2320))</f>
        <v/>
      </c>
      <c r="S2320" s="6">
        <f t="shared" si="368"/>
        <v>0</v>
      </c>
      <c r="T2320" s="36">
        <f t="shared" si="369"/>
        <v>0</v>
      </c>
      <c r="V2320" s="6">
        <f t="shared" si="370"/>
        <v>0</v>
      </c>
      <c r="Y2320" s="8">
        <f t="shared" si="371"/>
        <v>46023</v>
      </c>
    </row>
    <row r="2321" spans="2:25" ht="18.75" x14ac:dyDescent="0.3">
      <c r="B2321" s="6">
        <f t="shared" si="363"/>
        <v>0</v>
      </c>
      <c r="C2321" s="6">
        <f t="shared" si="364"/>
        <v>0</v>
      </c>
      <c r="D2321" s="6" t="str">
        <f t="shared" si="365"/>
        <v/>
      </c>
      <c r="E2321" s="35" t="str">
        <f t="shared" si="362"/>
        <v/>
      </c>
      <c r="F2321" s="31"/>
      <c r="G2321" s="29"/>
      <c r="H2321" s="78" t="str">
        <f t="shared" si="366"/>
        <v/>
      </c>
      <c r="I2321" s="25"/>
      <c r="J2321" s="25"/>
      <c r="K2321" s="26"/>
      <c r="L2321" s="26"/>
      <c r="M2321" s="37"/>
      <c r="N2321" s="27"/>
      <c r="O2321" s="30"/>
      <c r="P2321" s="39" t="str">
        <f t="shared" si="367"/>
        <v/>
      </c>
      <c r="Q2321" s="40" t="str">
        <f>IF(OR(T2321=0,RIGHT(T2321,1)=$W$1),"",COUNTIF($T$3:T2321,T2321))</f>
        <v/>
      </c>
      <c r="S2321" s="6">
        <f t="shared" si="368"/>
        <v>0</v>
      </c>
      <c r="T2321" s="36">
        <f t="shared" si="369"/>
        <v>0</v>
      </c>
      <c r="V2321" s="6">
        <f t="shared" si="370"/>
        <v>0</v>
      </c>
      <c r="Y2321" s="8">
        <f t="shared" si="371"/>
        <v>46023</v>
      </c>
    </row>
    <row r="2322" spans="2:25" ht="18.75" x14ac:dyDescent="0.3">
      <c r="B2322" s="6">
        <f t="shared" si="363"/>
        <v>0</v>
      </c>
      <c r="C2322" s="6">
        <f t="shared" si="364"/>
        <v>0</v>
      </c>
      <c r="D2322" s="6" t="str">
        <f t="shared" si="365"/>
        <v/>
      </c>
      <c r="E2322" s="35" t="str">
        <f t="shared" si="362"/>
        <v/>
      </c>
      <c r="F2322" s="31"/>
      <c r="G2322" s="29"/>
      <c r="H2322" s="78" t="str">
        <f t="shared" si="366"/>
        <v/>
      </c>
      <c r="I2322" s="25"/>
      <c r="J2322" s="25"/>
      <c r="K2322" s="26"/>
      <c r="L2322" s="26"/>
      <c r="M2322" s="37"/>
      <c r="N2322" s="27"/>
      <c r="O2322" s="30"/>
      <c r="P2322" s="39" t="str">
        <f t="shared" si="367"/>
        <v/>
      </c>
      <c r="Q2322" s="40" t="str">
        <f>IF(OR(T2322=0,RIGHT(T2322,1)=$W$1),"",COUNTIF($T$3:T2322,T2322))</f>
        <v/>
      </c>
      <c r="S2322" s="6">
        <f t="shared" si="368"/>
        <v>0</v>
      </c>
      <c r="T2322" s="36">
        <f t="shared" si="369"/>
        <v>0</v>
      </c>
      <c r="V2322" s="6">
        <f t="shared" si="370"/>
        <v>0</v>
      </c>
      <c r="Y2322" s="8">
        <f t="shared" si="371"/>
        <v>46023</v>
      </c>
    </row>
    <row r="2323" spans="2:25" ht="18.75" x14ac:dyDescent="0.3">
      <c r="B2323" s="6">
        <f t="shared" si="363"/>
        <v>0</v>
      </c>
      <c r="C2323" s="6">
        <f t="shared" si="364"/>
        <v>0</v>
      </c>
      <c r="D2323" s="6" t="str">
        <f t="shared" si="365"/>
        <v/>
      </c>
      <c r="E2323" s="35" t="str">
        <f t="shared" si="362"/>
        <v/>
      </c>
      <c r="F2323" s="31"/>
      <c r="G2323" s="29"/>
      <c r="H2323" s="78" t="str">
        <f t="shared" si="366"/>
        <v/>
      </c>
      <c r="I2323" s="25"/>
      <c r="J2323" s="25"/>
      <c r="K2323" s="26"/>
      <c r="L2323" s="26"/>
      <c r="M2323" s="37"/>
      <c r="N2323" s="27"/>
      <c r="O2323" s="30"/>
      <c r="P2323" s="39" t="str">
        <f t="shared" si="367"/>
        <v/>
      </c>
      <c r="Q2323" s="40" t="str">
        <f>IF(OR(T2323=0,RIGHT(T2323,1)=$W$1),"",COUNTIF($T$3:T2323,T2323))</f>
        <v/>
      </c>
      <c r="S2323" s="6">
        <f t="shared" si="368"/>
        <v>0</v>
      </c>
      <c r="T2323" s="36">
        <f t="shared" si="369"/>
        <v>0</v>
      </c>
      <c r="V2323" s="6">
        <f t="shared" si="370"/>
        <v>0</v>
      </c>
      <c r="Y2323" s="8">
        <f t="shared" si="371"/>
        <v>46023</v>
      </c>
    </row>
    <row r="2324" spans="2:25" ht="18.75" x14ac:dyDescent="0.3">
      <c r="B2324" s="6">
        <f t="shared" si="363"/>
        <v>0</v>
      </c>
      <c r="C2324" s="6">
        <f t="shared" si="364"/>
        <v>0</v>
      </c>
      <c r="D2324" s="6" t="str">
        <f t="shared" si="365"/>
        <v/>
      </c>
      <c r="E2324" s="35" t="str">
        <f t="shared" si="362"/>
        <v/>
      </c>
      <c r="F2324" s="31"/>
      <c r="G2324" s="29"/>
      <c r="H2324" s="78" t="str">
        <f t="shared" si="366"/>
        <v/>
      </c>
      <c r="I2324" s="25"/>
      <c r="J2324" s="25"/>
      <c r="K2324" s="26"/>
      <c r="L2324" s="26"/>
      <c r="M2324" s="37"/>
      <c r="N2324" s="27"/>
      <c r="O2324" s="30"/>
      <c r="P2324" s="39" t="str">
        <f t="shared" si="367"/>
        <v/>
      </c>
      <c r="Q2324" s="40" t="str">
        <f>IF(OR(T2324=0,RIGHT(T2324,1)=$W$1),"",COUNTIF($T$3:T2324,T2324))</f>
        <v/>
      </c>
      <c r="S2324" s="6">
        <f t="shared" si="368"/>
        <v>0</v>
      </c>
      <c r="T2324" s="36">
        <f t="shared" si="369"/>
        <v>0</v>
      </c>
      <c r="V2324" s="6">
        <f t="shared" si="370"/>
        <v>0</v>
      </c>
      <c r="Y2324" s="8">
        <f t="shared" si="371"/>
        <v>46023</v>
      </c>
    </row>
    <row r="2325" spans="2:25" ht="18.75" x14ac:dyDescent="0.3">
      <c r="B2325" s="6">
        <f t="shared" si="363"/>
        <v>0</v>
      </c>
      <c r="C2325" s="6">
        <f t="shared" si="364"/>
        <v>0</v>
      </c>
      <c r="D2325" s="6" t="str">
        <f t="shared" si="365"/>
        <v/>
      </c>
      <c r="E2325" s="35" t="str">
        <f t="shared" si="362"/>
        <v/>
      </c>
      <c r="F2325" s="31"/>
      <c r="G2325" s="29"/>
      <c r="H2325" s="78" t="str">
        <f t="shared" si="366"/>
        <v/>
      </c>
      <c r="I2325" s="25"/>
      <c r="J2325" s="25"/>
      <c r="K2325" s="26"/>
      <c r="L2325" s="26"/>
      <c r="M2325" s="37"/>
      <c r="N2325" s="27"/>
      <c r="O2325" s="30"/>
      <c r="P2325" s="39" t="str">
        <f t="shared" si="367"/>
        <v/>
      </c>
      <c r="Q2325" s="40" t="str">
        <f>IF(OR(T2325=0,RIGHT(T2325,1)=$W$1),"",COUNTIF($T$3:T2325,T2325))</f>
        <v/>
      </c>
      <c r="S2325" s="6">
        <f t="shared" si="368"/>
        <v>0</v>
      </c>
      <c r="T2325" s="36">
        <f t="shared" si="369"/>
        <v>0</v>
      </c>
      <c r="V2325" s="6">
        <f t="shared" si="370"/>
        <v>0</v>
      </c>
      <c r="Y2325" s="8">
        <f t="shared" si="371"/>
        <v>46023</v>
      </c>
    </row>
    <row r="2326" spans="2:25" ht="18.75" x14ac:dyDescent="0.3">
      <c r="B2326" s="6">
        <f t="shared" si="363"/>
        <v>0</v>
      </c>
      <c r="C2326" s="6">
        <f t="shared" si="364"/>
        <v>0</v>
      </c>
      <c r="D2326" s="6" t="str">
        <f t="shared" si="365"/>
        <v/>
      </c>
      <c r="E2326" s="35" t="str">
        <f t="shared" si="362"/>
        <v/>
      </c>
      <c r="F2326" s="31"/>
      <c r="G2326" s="29"/>
      <c r="H2326" s="78" t="str">
        <f t="shared" si="366"/>
        <v/>
      </c>
      <c r="I2326" s="25"/>
      <c r="J2326" s="25"/>
      <c r="K2326" s="26"/>
      <c r="L2326" s="26"/>
      <c r="M2326" s="37"/>
      <c r="N2326" s="27"/>
      <c r="O2326" s="30"/>
      <c r="P2326" s="39" t="str">
        <f t="shared" si="367"/>
        <v/>
      </c>
      <c r="Q2326" s="40" t="str">
        <f>IF(OR(T2326=0,RIGHT(T2326,1)=$W$1),"",COUNTIF($T$3:T2326,T2326))</f>
        <v/>
      </c>
      <c r="S2326" s="6">
        <f t="shared" si="368"/>
        <v>0</v>
      </c>
      <c r="T2326" s="36">
        <f t="shared" si="369"/>
        <v>0</v>
      </c>
      <c r="V2326" s="6">
        <f t="shared" si="370"/>
        <v>0</v>
      </c>
      <c r="Y2326" s="8">
        <f t="shared" si="371"/>
        <v>46023</v>
      </c>
    </row>
    <row r="2327" spans="2:25" ht="18.75" x14ac:dyDescent="0.3">
      <c r="B2327" s="6">
        <f t="shared" si="363"/>
        <v>0</v>
      </c>
      <c r="C2327" s="6">
        <f t="shared" si="364"/>
        <v>0</v>
      </c>
      <c r="D2327" s="6" t="str">
        <f t="shared" si="365"/>
        <v/>
      </c>
      <c r="E2327" s="35" t="str">
        <f t="shared" si="362"/>
        <v/>
      </c>
      <c r="F2327" s="31"/>
      <c r="G2327" s="29"/>
      <c r="H2327" s="78" t="str">
        <f t="shared" si="366"/>
        <v/>
      </c>
      <c r="I2327" s="25"/>
      <c r="J2327" s="25"/>
      <c r="K2327" s="26"/>
      <c r="L2327" s="26"/>
      <c r="M2327" s="37"/>
      <c r="N2327" s="27"/>
      <c r="O2327" s="30"/>
      <c r="P2327" s="39" t="str">
        <f t="shared" si="367"/>
        <v/>
      </c>
      <c r="Q2327" s="40" t="str">
        <f>IF(OR(T2327=0,RIGHT(T2327,1)=$W$1),"",COUNTIF($T$3:T2327,T2327))</f>
        <v/>
      </c>
      <c r="S2327" s="6">
        <f t="shared" si="368"/>
        <v>0</v>
      </c>
      <c r="T2327" s="36">
        <f t="shared" si="369"/>
        <v>0</v>
      </c>
      <c r="V2327" s="6">
        <f t="shared" si="370"/>
        <v>0</v>
      </c>
      <c r="Y2327" s="8">
        <f t="shared" si="371"/>
        <v>46023</v>
      </c>
    </row>
    <row r="2328" spans="2:25" ht="18.75" x14ac:dyDescent="0.3">
      <c r="B2328" s="6">
        <f t="shared" si="363"/>
        <v>0</v>
      </c>
      <c r="C2328" s="6">
        <f t="shared" si="364"/>
        <v>0</v>
      </c>
      <c r="D2328" s="6" t="str">
        <f t="shared" si="365"/>
        <v/>
      </c>
      <c r="E2328" s="35" t="str">
        <f t="shared" si="362"/>
        <v/>
      </c>
      <c r="F2328" s="31"/>
      <c r="G2328" s="29"/>
      <c r="H2328" s="78" t="str">
        <f t="shared" si="366"/>
        <v/>
      </c>
      <c r="I2328" s="25"/>
      <c r="J2328" s="25"/>
      <c r="K2328" s="26"/>
      <c r="L2328" s="26"/>
      <c r="M2328" s="37"/>
      <c r="N2328" s="27"/>
      <c r="O2328" s="30"/>
      <c r="P2328" s="39" t="str">
        <f t="shared" si="367"/>
        <v/>
      </c>
      <c r="Q2328" s="40" t="str">
        <f>IF(OR(T2328=0,RIGHT(T2328,1)=$W$1),"",COUNTIF($T$3:T2328,T2328))</f>
        <v/>
      </c>
      <c r="S2328" s="6">
        <f t="shared" si="368"/>
        <v>0</v>
      </c>
      <c r="T2328" s="36">
        <f t="shared" si="369"/>
        <v>0</v>
      </c>
      <c r="V2328" s="6">
        <f t="shared" si="370"/>
        <v>0</v>
      </c>
      <c r="Y2328" s="8">
        <f t="shared" si="371"/>
        <v>46023</v>
      </c>
    </row>
    <row r="2329" spans="2:25" ht="18.75" x14ac:dyDescent="0.3">
      <c r="B2329" s="6">
        <f t="shared" si="363"/>
        <v>0</v>
      </c>
      <c r="C2329" s="6">
        <f t="shared" si="364"/>
        <v>0</v>
      </c>
      <c r="D2329" s="6" t="str">
        <f t="shared" si="365"/>
        <v/>
      </c>
      <c r="E2329" s="35" t="str">
        <f t="shared" si="362"/>
        <v/>
      </c>
      <c r="F2329" s="31"/>
      <c r="G2329" s="29"/>
      <c r="H2329" s="78" t="str">
        <f t="shared" si="366"/>
        <v/>
      </c>
      <c r="I2329" s="25"/>
      <c r="J2329" s="25"/>
      <c r="K2329" s="26"/>
      <c r="L2329" s="26"/>
      <c r="M2329" s="37"/>
      <c r="N2329" s="27"/>
      <c r="O2329" s="30"/>
      <c r="P2329" s="39" t="str">
        <f t="shared" si="367"/>
        <v/>
      </c>
      <c r="Q2329" s="40" t="str">
        <f>IF(OR(T2329=0,RIGHT(T2329,1)=$W$1),"",COUNTIF($T$3:T2329,T2329))</f>
        <v/>
      </c>
      <c r="S2329" s="6">
        <f t="shared" si="368"/>
        <v>0</v>
      </c>
      <c r="T2329" s="36">
        <f t="shared" si="369"/>
        <v>0</v>
      </c>
      <c r="V2329" s="6">
        <f t="shared" si="370"/>
        <v>0</v>
      </c>
      <c r="Y2329" s="8">
        <f t="shared" si="371"/>
        <v>46023</v>
      </c>
    </row>
    <row r="2330" spans="2:25" ht="18.75" x14ac:dyDescent="0.3">
      <c r="B2330" s="6">
        <f t="shared" si="363"/>
        <v>0</v>
      </c>
      <c r="C2330" s="6">
        <f t="shared" si="364"/>
        <v>0</v>
      </c>
      <c r="D2330" s="6" t="str">
        <f t="shared" si="365"/>
        <v/>
      </c>
      <c r="E2330" s="35" t="str">
        <f t="shared" si="362"/>
        <v/>
      </c>
      <c r="F2330" s="31"/>
      <c r="G2330" s="29"/>
      <c r="H2330" s="78" t="str">
        <f t="shared" si="366"/>
        <v/>
      </c>
      <c r="I2330" s="25"/>
      <c r="J2330" s="25"/>
      <c r="K2330" s="26"/>
      <c r="L2330" s="26"/>
      <c r="M2330" s="37"/>
      <c r="N2330" s="27"/>
      <c r="O2330" s="30"/>
      <c r="P2330" s="39" t="str">
        <f t="shared" si="367"/>
        <v/>
      </c>
      <c r="Q2330" s="40" t="str">
        <f>IF(OR(T2330=0,RIGHT(T2330,1)=$W$1),"",COUNTIF($T$3:T2330,T2330))</f>
        <v/>
      </c>
      <c r="S2330" s="6">
        <f t="shared" si="368"/>
        <v>0</v>
      </c>
      <c r="T2330" s="36">
        <f t="shared" si="369"/>
        <v>0</v>
      </c>
      <c r="V2330" s="6">
        <f t="shared" si="370"/>
        <v>0</v>
      </c>
      <c r="Y2330" s="8">
        <f t="shared" si="371"/>
        <v>46023</v>
      </c>
    </row>
    <row r="2331" spans="2:25" ht="18.75" x14ac:dyDescent="0.3">
      <c r="B2331" s="6">
        <f t="shared" si="363"/>
        <v>0</v>
      </c>
      <c r="C2331" s="6">
        <f t="shared" si="364"/>
        <v>0</v>
      </c>
      <c r="D2331" s="6" t="str">
        <f t="shared" si="365"/>
        <v/>
      </c>
      <c r="E2331" s="35" t="str">
        <f t="shared" si="362"/>
        <v/>
      </c>
      <c r="F2331" s="31"/>
      <c r="G2331" s="29"/>
      <c r="H2331" s="78" t="str">
        <f t="shared" si="366"/>
        <v/>
      </c>
      <c r="I2331" s="25"/>
      <c r="J2331" s="25"/>
      <c r="K2331" s="26"/>
      <c r="L2331" s="26"/>
      <c r="M2331" s="37"/>
      <c r="N2331" s="27"/>
      <c r="O2331" s="30"/>
      <c r="P2331" s="39" t="str">
        <f t="shared" si="367"/>
        <v/>
      </c>
      <c r="Q2331" s="40" t="str">
        <f>IF(OR(T2331=0,RIGHT(T2331,1)=$W$1),"",COUNTIF($T$3:T2331,T2331))</f>
        <v/>
      </c>
      <c r="S2331" s="6">
        <f t="shared" si="368"/>
        <v>0</v>
      </c>
      <c r="T2331" s="36">
        <f t="shared" si="369"/>
        <v>0</v>
      </c>
      <c r="V2331" s="6">
        <f t="shared" si="370"/>
        <v>0</v>
      </c>
      <c r="Y2331" s="8">
        <f t="shared" si="371"/>
        <v>46023</v>
      </c>
    </row>
    <row r="2332" spans="2:25" ht="18.75" x14ac:dyDescent="0.3">
      <c r="B2332" s="6">
        <f t="shared" si="363"/>
        <v>0</v>
      </c>
      <c r="C2332" s="6">
        <f t="shared" si="364"/>
        <v>0</v>
      </c>
      <c r="D2332" s="6" t="str">
        <f t="shared" si="365"/>
        <v/>
      </c>
      <c r="E2332" s="35" t="str">
        <f t="shared" si="362"/>
        <v/>
      </c>
      <c r="F2332" s="31"/>
      <c r="G2332" s="29"/>
      <c r="H2332" s="78" t="str">
        <f t="shared" si="366"/>
        <v/>
      </c>
      <c r="I2332" s="25"/>
      <c r="J2332" s="25"/>
      <c r="K2332" s="26"/>
      <c r="L2332" s="26"/>
      <c r="M2332" s="37"/>
      <c r="N2332" s="27"/>
      <c r="O2332" s="30"/>
      <c r="P2332" s="39" t="str">
        <f t="shared" si="367"/>
        <v/>
      </c>
      <c r="Q2332" s="40" t="str">
        <f>IF(OR(T2332=0,RIGHT(T2332,1)=$W$1),"",COUNTIF($T$3:T2332,T2332))</f>
        <v/>
      </c>
      <c r="S2332" s="6">
        <f t="shared" si="368"/>
        <v>0</v>
      </c>
      <c r="T2332" s="36">
        <f t="shared" si="369"/>
        <v>0</v>
      </c>
      <c r="V2332" s="6">
        <f t="shared" si="370"/>
        <v>0</v>
      </c>
      <c r="Y2332" s="8">
        <f t="shared" si="371"/>
        <v>46023</v>
      </c>
    </row>
    <row r="2333" spans="2:25" ht="18.75" x14ac:dyDescent="0.3">
      <c r="B2333" s="6">
        <f t="shared" si="363"/>
        <v>0</v>
      </c>
      <c r="C2333" s="6">
        <f t="shared" si="364"/>
        <v>0</v>
      </c>
      <c r="D2333" s="6" t="str">
        <f t="shared" si="365"/>
        <v/>
      </c>
      <c r="E2333" s="35" t="str">
        <f t="shared" si="362"/>
        <v/>
      </c>
      <c r="F2333" s="31"/>
      <c r="G2333" s="29"/>
      <c r="H2333" s="78" t="str">
        <f t="shared" si="366"/>
        <v/>
      </c>
      <c r="I2333" s="25"/>
      <c r="J2333" s="25"/>
      <c r="K2333" s="26"/>
      <c r="L2333" s="26"/>
      <c r="M2333" s="37"/>
      <c r="N2333" s="27"/>
      <c r="O2333" s="30"/>
      <c r="P2333" s="39" t="str">
        <f t="shared" si="367"/>
        <v/>
      </c>
      <c r="Q2333" s="40" t="str">
        <f>IF(OR(T2333=0,RIGHT(T2333,1)=$W$1),"",COUNTIF($T$3:T2333,T2333))</f>
        <v/>
      </c>
      <c r="S2333" s="6">
        <f t="shared" si="368"/>
        <v>0</v>
      </c>
      <c r="T2333" s="36">
        <f t="shared" si="369"/>
        <v>0</v>
      </c>
      <c r="V2333" s="6">
        <f t="shared" si="370"/>
        <v>0</v>
      </c>
      <c r="Y2333" s="8">
        <f t="shared" si="371"/>
        <v>46023</v>
      </c>
    </row>
    <row r="2334" spans="2:25" ht="18.75" x14ac:dyDescent="0.3">
      <c r="B2334" s="6">
        <f t="shared" si="363"/>
        <v>0</v>
      </c>
      <c r="C2334" s="6">
        <f t="shared" si="364"/>
        <v>0</v>
      </c>
      <c r="D2334" s="6" t="str">
        <f t="shared" si="365"/>
        <v/>
      </c>
      <c r="E2334" s="35" t="str">
        <f t="shared" si="362"/>
        <v/>
      </c>
      <c r="F2334" s="31"/>
      <c r="G2334" s="29"/>
      <c r="H2334" s="78" t="str">
        <f t="shared" si="366"/>
        <v/>
      </c>
      <c r="I2334" s="25"/>
      <c r="J2334" s="25"/>
      <c r="K2334" s="26"/>
      <c r="L2334" s="26"/>
      <c r="M2334" s="37"/>
      <c r="N2334" s="27"/>
      <c r="O2334" s="30"/>
      <c r="P2334" s="39" t="str">
        <f t="shared" si="367"/>
        <v/>
      </c>
      <c r="Q2334" s="40" t="str">
        <f>IF(OR(T2334=0,RIGHT(T2334,1)=$W$1),"",COUNTIF($T$3:T2334,T2334))</f>
        <v/>
      </c>
      <c r="S2334" s="6">
        <f t="shared" si="368"/>
        <v>0</v>
      </c>
      <c r="T2334" s="36">
        <f t="shared" si="369"/>
        <v>0</v>
      </c>
      <c r="V2334" s="6">
        <f t="shared" si="370"/>
        <v>0</v>
      </c>
      <c r="Y2334" s="8">
        <f t="shared" si="371"/>
        <v>46023</v>
      </c>
    </row>
    <row r="2335" spans="2:25" ht="18.75" x14ac:dyDescent="0.3">
      <c r="B2335" s="6">
        <f t="shared" si="363"/>
        <v>0</v>
      </c>
      <c r="C2335" s="6">
        <f t="shared" si="364"/>
        <v>0</v>
      </c>
      <c r="D2335" s="6" t="str">
        <f t="shared" si="365"/>
        <v/>
      </c>
      <c r="E2335" s="35" t="str">
        <f t="shared" si="362"/>
        <v/>
      </c>
      <c r="F2335" s="31"/>
      <c r="G2335" s="29"/>
      <c r="H2335" s="78" t="str">
        <f t="shared" si="366"/>
        <v/>
      </c>
      <c r="I2335" s="25"/>
      <c r="J2335" s="25"/>
      <c r="K2335" s="26"/>
      <c r="L2335" s="26"/>
      <c r="M2335" s="37"/>
      <c r="N2335" s="27"/>
      <c r="O2335" s="30"/>
      <c r="P2335" s="39" t="str">
        <f t="shared" si="367"/>
        <v/>
      </c>
      <c r="Q2335" s="40" t="str">
        <f>IF(OR(T2335=0,RIGHT(T2335,1)=$W$1),"",COUNTIF($T$3:T2335,T2335))</f>
        <v/>
      </c>
      <c r="S2335" s="6">
        <f t="shared" si="368"/>
        <v>0</v>
      </c>
      <c r="T2335" s="36">
        <f t="shared" si="369"/>
        <v>0</v>
      </c>
      <c r="V2335" s="6">
        <f t="shared" si="370"/>
        <v>0</v>
      </c>
      <c r="Y2335" s="8">
        <f t="shared" si="371"/>
        <v>46023</v>
      </c>
    </row>
    <row r="2336" spans="2:25" ht="18.75" x14ac:dyDescent="0.3">
      <c r="B2336" s="6">
        <f t="shared" si="363"/>
        <v>0</v>
      </c>
      <c r="C2336" s="6">
        <f t="shared" si="364"/>
        <v>0</v>
      </c>
      <c r="D2336" s="6" t="str">
        <f t="shared" si="365"/>
        <v/>
      </c>
      <c r="E2336" s="35" t="str">
        <f t="shared" si="362"/>
        <v/>
      </c>
      <c r="F2336" s="31"/>
      <c r="G2336" s="29"/>
      <c r="H2336" s="78" t="str">
        <f t="shared" si="366"/>
        <v/>
      </c>
      <c r="I2336" s="25"/>
      <c r="J2336" s="25"/>
      <c r="K2336" s="26"/>
      <c r="L2336" s="26"/>
      <c r="M2336" s="37"/>
      <c r="N2336" s="27"/>
      <c r="O2336" s="30"/>
      <c r="P2336" s="39" t="str">
        <f t="shared" si="367"/>
        <v/>
      </c>
      <c r="Q2336" s="40" t="str">
        <f>IF(OR(T2336=0,RIGHT(T2336,1)=$W$1),"",COUNTIF($T$3:T2336,T2336))</f>
        <v/>
      </c>
      <c r="S2336" s="6">
        <f t="shared" si="368"/>
        <v>0</v>
      </c>
      <c r="T2336" s="36">
        <f t="shared" si="369"/>
        <v>0</v>
      </c>
      <c r="V2336" s="6">
        <f t="shared" si="370"/>
        <v>0</v>
      </c>
      <c r="Y2336" s="8">
        <f t="shared" si="371"/>
        <v>46023</v>
      </c>
    </row>
    <row r="2337" spans="2:25" ht="18.75" x14ac:dyDescent="0.3">
      <c r="B2337" s="6">
        <f t="shared" si="363"/>
        <v>0</v>
      </c>
      <c r="C2337" s="6">
        <f t="shared" si="364"/>
        <v>0</v>
      </c>
      <c r="D2337" s="6" t="str">
        <f t="shared" si="365"/>
        <v/>
      </c>
      <c r="E2337" s="35" t="str">
        <f t="shared" si="362"/>
        <v/>
      </c>
      <c r="F2337" s="31"/>
      <c r="G2337" s="29"/>
      <c r="H2337" s="78" t="str">
        <f t="shared" si="366"/>
        <v/>
      </c>
      <c r="I2337" s="25"/>
      <c r="J2337" s="25"/>
      <c r="K2337" s="26"/>
      <c r="L2337" s="26"/>
      <c r="M2337" s="37"/>
      <c r="N2337" s="27"/>
      <c r="O2337" s="30"/>
      <c r="P2337" s="39" t="str">
        <f t="shared" si="367"/>
        <v/>
      </c>
      <c r="Q2337" s="40" t="str">
        <f>IF(OR(T2337=0,RIGHT(T2337,1)=$W$1),"",COUNTIF($T$3:T2337,T2337))</f>
        <v/>
      </c>
      <c r="S2337" s="6">
        <f t="shared" si="368"/>
        <v>0</v>
      </c>
      <c r="T2337" s="36">
        <f t="shared" si="369"/>
        <v>0</v>
      </c>
      <c r="V2337" s="6">
        <f t="shared" si="370"/>
        <v>0</v>
      </c>
      <c r="Y2337" s="8">
        <f t="shared" si="371"/>
        <v>46023</v>
      </c>
    </row>
    <row r="2338" spans="2:25" ht="18.75" x14ac:dyDescent="0.3">
      <c r="B2338" s="6">
        <f t="shared" si="363"/>
        <v>0</v>
      </c>
      <c r="C2338" s="6">
        <f t="shared" si="364"/>
        <v>0</v>
      </c>
      <c r="D2338" s="6" t="str">
        <f t="shared" si="365"/>
        <v/>
      </c>
      <c r="E2338" s="35" t="str">
        <f t="shared" si="362"/>
        <v/>
      </c>
      <c r="F2338" s="31"/>
      <c r="G2338" s="29"/>
      <c r="H2338" s="78" t="str">
        <f t="shared" si="366"/>
        <v/>
      </c>
      <c r="I2338" s="25"/>
      <c r="J2338" s="25"/>
      <c r="K2338" s="26"/>
      <c r="L2338" s="26"/>
      <c r="M2338" s="37"/>
      <c r="N2338" s="27"/>
      <c r="O2338" s="30"/>
      <c r="P2338" s="39" t="str">
        <f t="shared" si="367"/>
        <v/>
      </c>
      <c r="Q2338" s="40" t="str">
        <f>IF(OR(T2338=0,RIGHT(T2338,1)=$W$1),"",COUNTIF($T$3:T2338,T2338))</f>
        <v/>
      </c>
      <c r="S2338" s="6">
        <f t="shared" si="368"/>
        <v>0</v>
      </c>
      <c r="T2338" s="36">
        <f t="shared" si="369"/>
        <v>0</v>
      </c>
      <c r="V2338" s="6">
        <f t="shared" si="370"/>
        <v>0</v>
      </c>
      <c r="Y2338" s="8">
        <f t="shared" si="371"/>
        <v>46023</v>
      </c>
    </row>
    <row r="2339" spans="2:25" ht="18.75" x14ac:dyDescent="0.3">
      <c r="B2339" s="6">
        <f t="shared" si="363"/>
        <v>0</v>
      </c>
      <c r="C2339" s="6">
        <f t="shared" si="364"/>
        <v>0</v>
      </c>
      <c r="D2339" s="6" t="str">
        <f t="shared" si="365"/>
        <v/>
      </c>
      <c r="E2339" s="35" t="str">
        <f t="shared" si="362"/>
        <v/>
      </c>
      <c r="F2339" s="31"/>
      <c r="G2339" s="29"/>
      <c r="H2339" s="78" t="str">
        <f t="shared" si="366"/>
        <v/>
      </c>
      <c r="I2339" s="25"/>
      <c r="J2339" s="25"/>
      <c r="K2339" s="26"/>
      <c r="L2339" s="26"/>
      <c r="M2339" s="37"/>
      <c r="N2339" s="27"/>
      <c r="O2339" s="30"/>
      <c r="P2339" s="39" t="str">
        <f t="shared" si="367"/>
        <v/>
      </c>
      <c r="Q2339" s="40" t="str">
        <f>IF(OR(T2339=0,RIGHT(T2339,1)=$W$1),"",COUNTIF($T$3:T2339,T2339))</f>
        <v/>
      </c>
      <c r="S2339" s="6">
        <f t="shared" si="368"/>
        <v>0</v>
      </c>
      <c r="T2339" s="36">
        <f t="shared" si="369"/>
        <v>0</v>
      </c>
      <c r="V2339" s="6">
        <f t="shared" si="370"/>
        <v>0</v>
      </c>
      <c r="Y2339" s="8">
        <f t="shared" si="371"/>
        <v>46023</v>
      </c>
    </row>
    <row r="2340" spans="2:25" ht="18.75" x14ac:dyDescent="0.3">
      <c r="B2340" s="6">
        <f t="shared" si="363"/>
        <v>0</v>
      </c>
      <c r="C2340" s="6">
        <f t="shared" si="364"/>
        <v>0</v>
      </c>
      <c r="D2340" s="6" t="str">
        <f t="shared" si="365"/>
        <v/>
      </c>
      <c r="E2340" s="35" t="str">
        <f t="shared" si="362"/>
        <v/>
      </c>
      <c r="F2340" s="31"/>
      <c r="G2340" s="29"/>
      <c r="H2340" s="78" t="str">
        <f t="shared" si="366"/>
        <v/>
      </c>
      <c r="I2340" s="25"/>
      <c r="J2340" s="25"/>
      <c r="K2340" s="26"/>
      <c r="L2340" s="26"/>
      <c r="M2340" s="37"/>
      <c r="N2340" s="27"/>
      <c r="O2340" s="30"/>
      <c r="P2340" s="39" t="str">
        <f t="shared" si="367"/>
        <v/>
      </c>
      <c r="Q2340" s="40" t="str">
        <f>IF(OR(T2340=0,RIGHT(T2340,1)=$W$1),"",COUNTIF($T$3:T2340,T2340))</f>
        <v/>
      </c>
      <c r="S2340" s="6">
        <f t="shared" si="368"/>
        <v>0</v>
      </c>
      <c r="T2340" s="36">
        <f t="shared" si="369"/>
        <v>0</v>
      </c>
      <c r="V2340" s="6">
        <f t="shared" si="370"/>
        <v>0</v>
      </c>
      <c r="Y2340" s="8">
        <f t="shared" si="371"/>
        <v>46023</v>
      </c>
    </row>
    <row r="2341" spans="2:25" ht="18.75" x14ac:dyDescent="0.3">
      <c r="B2341" s="6">
        <f t="shared" si="363"/>
        <v>0</v>
      </c>
      <c r="C2341" s="6">
        <f t="shared" si="364"/>
        <v>0</v>
      </c>
      <c r="D2341" s="6" t="str">
        <f t="shared" si="365"/>
        <v/>
      </c>
      <c r="E2341" s="35" t="str">
        <f t="shared" si="362"/>
        <v/>
      </c>
      <c r="F2341" s="31"/>
      <c r="G2341" s="29"/>
      <c r="H2341" s="78" t="str">
        <f t="shared" si="366"/>
        <v/>
      </c>
      <c r="I2341" s="25"/>
      <c r="J2341" s="25"/>
      <c r="K2341" s="26"/>
      <c r="L2341" s="26"/>
      <c r="M2341" s="37"/>
      <c r="N2341" s="27"/>
      <c r="O2341" s="30"/>
      <c r="P2341" s="39" t="str">
        <f t="shared" si="367"/>
        <v/>
      </c>
      <c r="Q2341" s="40" t="str">
        <f>IF(OR(T2341=0,RIGHT(T2341,1)=$W$1),"",COUNTIF($T$3:T2341,T2341))</f>
        <v/>
      </c>
      <c r="S2341" s="6">
        <f t="shared" si="368"/>
        <v>0</v>
      </c>
      <c r="T2341" s="36">
        <f t="shared" si="369"/>
        <v>0</v>
      </c>
      <c r="V2341" s="6">
        <f t="shared" si="370"/>
        <v>0</v>
      </c>
      <c r="Y2341" s="8">
        <f t="shared" si="371"/>
        <v>46023</v>
      </c>
    </row>
    <row r="2342" spans="2:25" ht="18.75" x14ac:dyDescent="0.3">
      <c r="B2342" s="6">
        <f t="shared" si="363"/>
        <v>0</v>
      </c>
      <c r="C2342" s="6">
        <f t="shared" si="364"/>
        <v>0</v>
      </c>
      <c r="D2342" s="6" t="str">
        <f t="shared" si="365"/>
        <v/>
      </c>
      <c r="E2342" s="35" t="str">
        <f t="shared" si="362"/>
        <v/>
      </c>
      <c r="F2342" s="31"/>
      <c r="G2342" s="29"/>
      <c r="H2342" s="78" t="str">
        <f t="shared" si="366"/>
        <v/>
      </c>
      <c r="I2342" s="25"/>
      <c r="J2342" s="25"/>
      <c r="K2342" s="26"/>
      <c r="L2342" s="26"/>
      <c r="M2342" s="37"/>
      <c r="N2342" s="27"/>
      <c r="O2342" s="30"/>
      <c r="P2342" s="39" t="str">
        <f t="shared" si="367"/>
        <v/>
      </c>
      <c r="Q2342" s="40" t="str">
        <f>IF(OR(T2342=0,RIGHT(T2342,1)=$W$1),"",COUNTIF($T$3:T2342,T2342))</f>
        <v/>
      </c>
      <c r="S2342" s="6">
        <f t="shared" si="368"/>
        <v>0</v>
      </c>
      <c r="T2342" s="36">
        <f t="shared" si="369"/>
        <v>0</v>
      </c>
      <c r="V2342" s="6">
        <f t="shared" si="370"/>
        <v>0</v>
      </c>
      <c r="Y2342" s="8">
        <f t="shared" si="371"/>
        <v>46023</v>
      </c>
    </row>
    <row r="2343" spans="2:25" ht="18.75" x14ac:dyDescent="0.3">
      <c r="B2343" s="6">
        <f t="shared" si="363"/>
        <v>0</v>
      </c>
      <c r="C2343" s="6">
        <f t="shared" si="364"/>
        <v>0</v>
      </c>
      <c r="D2343" s="6" t="str">
        <f t="shared" si="365"/>
        <v/>
      </c>
      <c r="E2343" s="35" t="str">
        <f t="shared" si="362"/>
        <v/>
      </c>
      <c r="F2343" s="31"/>
      <c r="G2343" s="29"/>
      <c r="H2343" s="78" t="str">
        <f t="shared" si="366"/>
        <v/>
      </c>
      <c r="I2343" s="25"/>
      <c r="J2343" s="25"/>
      <c r="K2343" s="26"/>
      <c r="L2343" s="26"/>
      <c r="M2343" s="37"/>
      <c r="N2343" s="27"/>
      <c r="O2343" s="30"/>
      <c r="P2343" s="39" t="str">
        <f t="shared" si="367"/>
        <v/>
      </c>
      <c r="Q2343" s="40" t="str">
        <f>IF(OR(T2343=0,RIGHT(T2343,1)=$W$1),"",COUNTIF($T$3:T2343,T2343))</f>
        <v/>
      </c>
      <c r="S2343" s="6">
        <f t="shared" si="368"/>
        <v>0</v>
      </c>
      <c r="T2343" s="36">
        <f t="shared" si="369"/>
        <v>0</v>
      </c>
      <c r="V2343" s="6">
        <f t="shared" si="370"/>
        <v>0</v>
      </c>
      <c r="Y2343" s="8">
        <f t="shared" si="371"/>
        <v>46023</v>
      </c>
    </row>
    <row r="2344" spans="2:25" ht="18.75" x14ac:dyDescent="0.3">
      <c r="B2344" s="6">
        <f t="shared" si="363"/>
        <v>0</v>
      </c>
      <c r="C2344" s="6">
        <f t="shared" si="364"/>
        <v>0</v>
      </c>
      <c r="D2344" s="6" t="str">
        <f t="shared" si="365"/>
        <v/>
      </c>
      <c r="E2344" s="35" t="str">
        <f t="shared" si="362"/>
        <v/>
      </c>
      <c r="F2344" s="31"/>
      <c r="G2344" s="29"/>
      <c r="H2344" s="78" t="str">
        <f t="shared" si="366"/>
        <v/>
      </c>
      <c r="I2344" s="25"/>
      <c r="J2344" s="25"/>
      <c r="K2344" s="26"/>
      <c r="L2344" s="26"/>
      <c r="M2344" s="37"/>
      <c r="N2344" s="27"/>
      <c r="O2344" s="30"/>
      <c r="P2344" s="39" t="str">
        <f t="shared" si="367"/>
        <v/>
      </c>
      <c r="Q2344" s="40" t="str">
        <f>IF(OR(T2344=0,RIGHT(T2344,1)=$W$1),"",COUNTIF($T$3:T2344,T2344))</f>
        <v/>
      </c>
      <c r="S2344" s="6">
        <f t="shared" si="368"/>
        <v>0</v>
      </c>
      <c r="T2344" s="36">
        <f t="shared" si="369"/>
        <v>0</v>
      </c>
      <c r="V2344" s="6">
        <f t="shared" si="370"/>
        <v>0</v>
      </c>
      <c r="Y2344" s="8">
        <f t="shared" si="371"/>
        <v>46023</v>
      </c>
    </row>
    <row r="2345" spans="2:25" ht="18.75" x14ac:dyDescent="0.3">
      <c r="B2345" s="6">
        <f t="shared" si="363"/>
        <v>0</v>
      </c>
      <c r="C2345" s="6">
        <f t="shared" si="364"/>
        <v>0</v>
      </c>
      <c r="D2345" s="6" t="str">
        <f t="shared" si="365"/>
        <v/>
      </c>
      <c r="E2345" s="35" t="str">
        <f t="shared" si="362"/>
        <v/>
      </c>
      <c r="F2345" s="31"/>
      <c r="G2345" s="29"/>
      <c r="H2345" s="78" t="str">
        <f t="shared" si="366"/>
        <v/>
      </c>
      <c r="I2345" s="25"/>
      <c r="J2345" s="25"/>
      <c r="K2345" s="26"/>
      <c r="L2345" s="26"/>
      <c r="M2345" s="37"/>
      <c r="N2345" s="27"/>
      <c r="O2345" s="30"/>
      <c r="P2345" s="39" t="str">
        <f t="shared" si="367"/>
        <v/>
      </c>
      <c r="Q2345" s="40" t="str">
        <f>IF(OR(T2345=0,RIGHT(T2345,1)=$W$1),"",COUNTIF($T$3:T2345,T2345))</f>
        <v/>
      </c>
      <c r="S2345" s="6">
        <f t="shared" si="368"/>
        <v>0</v>
      </c>
      <c r="T2345" s="36">
        <f t="shared" si="369"/>
        <v>0</v>
      </c>
      <c r="V2345" s="6">
        <f t="shared" si="370"/>
        <v>0</v>
      </c>
      <c r="Y2345" s="8">
        <f t="shared" si="371"/>
        <v>46023</v>
      </c>
    </row>
    <row r="2346" spans="2:25" ht="18.75" x14ac:dyDescent="0.3">
      <c r="B2346" s="6">
        <f t="shared" si="363"/>
        <v>0</v>
      </c>
      <c r="C2346" s="6">
        <f t="shared" si="364"/>
        <v>0</v>
      </c>
      <c r="D2346" s="6" t="str">
        <f t="shared" si="365"/>
        <v/>
      </c>
      <c r="E2346" s="35" t="str">
        <f t="shared" si="362"/>
        <v/>
      </c>
      <c r="F2346" s="31"/>
      <c r="G2346" s="29"/>
      <c r="H2346" s="78" t="str">
        <f t="shared" si="366"/>
        <v/>
      </c>
      <c r="I2346" s="25"/>
      <c r="J2346" s="25"/>
      <c r="K2346" s="26"/>
      <c r="L2346" s="26"/>
      <c r="M2346" s="37"/>
      <c r="N2346" s="27"/>
      <c r="O2346" s="30"/>
      <c r="P2346" s="39" t="str">
        <f t="shared" si="367"/>
        <v/>
      </c>
      <c r="Q2346" s="40" t="str">
        <f>IF(OR(T2346=0,RIGHT(T2346,1)=$W$1),"",COUNTIF($T$3:T2346,T2346))</f>
        <v/>
      </c>
      <c r="S2346" s="6">
        <f t="shared" si="368"/>
        <v>0</v>
      </c>
      <c r="T2346" s="36">
        <f t="shared" si="369"/>
        <v>0</v>
      </c>
      <c r="V2346" s="6">
        <f t="shared" si="370"/>
        <v>0</v>
      </c>
      <c r="Y2346" s="8">
        <f t="shared" si="371"/>
        <v>46023</v>
      </c>
    </row>
    <row r="2347" spans="2:25" ht="18.75" x14ac:dyDescent="0.3">
      <c r="B2347" s="6">
        <f t="shared" si="363"/>
        <v>0</v>
      </c>
      <c r="C2347" s="6">
        <f t="shared" si="364"/>
        <v>0</v>
      </c>
      <c r="D2347" s="6" t="str">
        <f t="shared" si="365"/>
        <v/>
      </c>
      <c r="E2347" s="35" t="str">
        <f t="shared" si="362"/>
        <v/>
      </c>
      <c r="F2347" s="31"/>
      <c r="G2347" s="29"/>
      <c r="H2347" s="78" t="str">
        <f t="shared" si="366"/>
        <v/>
      </c>
      <c r="I2347" s="25"/>
      <c r="J2347" s="25"/>
      <c r="K2347" s="26"/>
      <c r="L2347" s="26"/>
      <c r="M2347" s="37"/>
      <c r="N2347" s="27"/>
      <c r="O2347" s="30"/>
      <c r="P2347" s="39" t="str">
        <f t="shared" si="367"/>
        <v/>
      </c>
      <c r="Q2347" s="40" t="str">
        <f>IF(OR(T2347=0,RIGHT(T2347,1)=$W$1),"",COUNTIF($T$3:T2347,T2347))</f>
        <v/>
      </c>
      <c r="S2347" s="6">
        <f t="shared" si="368"/>
        <v>0</v>
      </c>
      <c r="T2347" s="36">
        <f t="shared" si="369"/>
        <v>0</v>
      </c>
      <c r="V2347" s="6">
        <f t="shared" si="370"/>
        <v>0</v>
      </c>
      <c r="Y2347" s="8">
        <f t="shared" si="371"/>
        <v>46023</v>
      </c>
    </row>
    <row r="2348" spans="2:25" ht="18.75" x14ac:dyDescent="0.3">
      <c r="B2348" s="6">
        <f t="shared" si="363"/>
        <v>0</v>
      </c>
      <c r="C2348" s="6">
        <f t="shared" si="364"/>
        <v>0</v>
      </c>
      <c r="D2348" s="6" t="str">
        <f t="shared" si="365"/>
        <v/>
      </c>
      <c r="E2348" s="35" t="str">
        <f t="shared" si="362"/>
        <v/>
      </c>
      <c r="F2348" s="31"/>
      <c r="G2348" s="29"/>
      <c r="H2348" s="78" t="str">
        <f t="shared" si="366"/>
        <v/>
      </c>
      <c r="I2348" s="25"/>
      <c r="J2348" s="25"/>
      <c r="K2348" s="26"/>
      <c r="L2348" s="26"/>
      <c r="M2348" s="37"/>
      <c r="N2348" s="27"/>
      <c r="O2348" s="30"/>
      <c r="P2348" s="39" t="str">
        <f t="shared" si="367"/>
        <v/>
      </c>
      <c r="Q2348" s="40" t="str">
        <f>IF(OR(T2348=0,RIGHT(T2348,1)=$W$1),"",COUNTIF($T$3:T2348,T2348))</f>
        <v/>
      </c>
      <c r="S2348" s="6">
        <f t="shared" si="368"/>
        <v>0</v>
      </c>
      <c r="T2348" s="36">
        <f t="shared" si="369"/>
        <v>0</v>
      </c>
      <c r="V2348" s="6">
        <f t="shared" si="370"/>
        <v>0</v>
      </c>
      <c r="Y2348" s="8">
        <f t="shared" si="371"/>
        <v>46023</v>
      </c>
    </row>
    <row r="2349" spans="2:25" ht="18.75" x14ac:dyDescent="0.3">
      <c r="B2349" s="6">
        <f t="shared" si="363"/>
        <v>0</v>
      </c>
      <c r="C2349" s="6">
        <f t="shared" si="364"/>
        <v>0</v>
      </c>
      <c r="D2349" s="6" t="str">
        <f t="shared" si="365"/>
        <v/>
      </c>
      <c r="E2349" s="35" t="str">
        <f t="shared" si="362"/>
        <v/>
      </c>
      <c r="F2349" s="31"/>
      <c r="G2349" s="29"/>
      <c r="H2349" s="78" t="str">
        <f t="shared" si="366"/>
        <v/>
      </c>
      <c r="I2349" s="25"/>
      <c r="J2349" s="25"/>
      <c r="K2349" s="26"/>
      <c r="L2349" s="26"/>
      <c r="M2349" s="37"/>
      <c r="N2349" s="27"/>
      <c r="O2349" s="30"/>
      <c r="P2349" s="39" t="str">
        <f t="shared" si="367"/>
        <v/>
      </c>
      <c r="Q2349" s="40" t="str">
        <f>IF(OR(T2349=0,RIGHT(T2349,1)=$W$1),"",COUNTIF($T$3:T2349,T2349))</f>
        <v/>
      </c>
      <c r="S2349" s="6">
        <f t="shared" si="368"/>
        <v>0</v>
      </c>
      <c r="T2349" s="36">
        <f t="shared" si="369"/>
        <v>0</v>
      </c>
      <c r="V2349" s="6">
        <f t="shared" si="370"/>
        <v>0</v>
      </c>
      <c r="Y2349" s="8">
        <f t="shared" si="371"/>
        <v>46023</v>
      </c>
    </row>
    <row r="2350" spans="2:25" ht="18.75" x14ac:dyDescent="0.3">
      <c r="B2350" s="6">
        <f t="shared" si="363"/>
        <v>0</v>
      </c>
      <c r="C2350" s="6">
        <f t="shared" si="364"/>
        <v>0</v>
      </c>
      <c r="D2350" s="6" t="str">
        <f t="shared" si="365"/>
        <v/>
      </c>
      <c r="E2350" s="35" t="str">
        <f t="shared" si="362"/>
        <v/>
      </c>
      <c r="F2350" s="31"/>
      <c r="G2350" s="29"/>
      <c r="H2350" s="78" t="str">
        <f t="shared" si="366"/>
        <v/>
      </c>
      <c r="I2350" s="25"/>
      <c r="J2350" s="25"/>
      <c r="K2350" s="26"/>
      <c r="L2350" s="26"/>
      <c r="M2350" s="37"/>
      <c r="N2350" s="27"/>
      <c r="O2350" s="30"/>
      <c r="P2350" s="39" t="str">
        <f t="shared" si="367"/>
        <v/>
      </c>
      <c r="Q2350" s="40" t="str">
        <f>IF(OR(T2350=0,RIGHT(T2350,1)=$W$1),"",COUNTIF($T$3:T2350,T2350))</f>
        <v/>
      </c>
      <c r="S2350" s="6">
        <f t="shared" si="368"/>
        <v>0</v>
      </c>
      <c r="T2350" s="36">
        <f t="shared" si="369"/>
        <v>0</v>
      </c>
      <c r="V2350" s="6">
        <f t="shared" si="370"/>
        <v>0</v>
      </c>
      <c r="Y2350" s="8">
        <f t="shared" si="371"/>
        <v>46023</v>
      </c>
    </row>
    <row r="2351" spans="2:25" ht="18.75" x14ac:dyDescent="0.3">
      <c r="B2351" s="6">
        <f t="shared" si="363"/>
        <v>0</v>
      </c>
      <c r="C2351" s="6">
        <f t="shared" si="364"/>
        <v>0</v>
      </c>
      <c r="D2351" s="6" t="str">
        <f t="shared" si="365"/>
        <v/>
      </c>
      <c r="E2351" s="35" t="str">
        <f t="shared" si="362"/>
        <v/>
      </c>
      <c r="F2351" s="31"/>
      <c r="G2351" s="29"/>
      <c r="H2351" s="78" t="str">
        <f t="shared" si="366"/>
        <v/>
      </c>
      <c r="I2351" s="25"/>
      <c r="J2351" s="25"/>
      <c r="K2351" s="26"/>
      <c r="L2351" s="26"/>
      <c r="M2351" s="37"/>
      <c r="N2351" s="27"/>
      <c r="O2351" s="30"/>
      <c r="P2351" s="39" t="str">
        <f t="shared" si="367"/>
        <v/>
      </c>
      <c r="Q2351" s="40" t="str">
        <f>IF(OR(T2351=0,RIGHT(T2351,1)=$W$1),"",COUNTIF($T$3:T2351,T2351))</f>
        <v/>
      </c>
      <c r="S2351" s="6">
        <f t="shared" si="368"/>
        <v>0</v>
      </c>
      <c r="T2351" s="36">
        <f t="shared" si="369"/>
        <v>0</v>
      </c>
      <c r="V2351" s="6">
        <f t="shared" si="370"/>
        <v>0</v>
      </c>
      <c r="Y2351" s="8">
        <f t="shared" si="371"/>
        <v>46023</v>
      </c>
    </row>
    <row r="2352" spans="2:25" ht="18.75" x14ac:dyDescent="0.3">
      <c r="B2352" s="6">
        <f t="shared" si="363"/>
        <v>0</v>
      </c>
      <c r="C2352" s="6">
        <f t="shared" si="364"/>
        <v>0</v>
      </c>
      <c r="D2352" s="6" t="str">
        <f t="shared" si="365"/>
        <v/>
      </c>
      <c r="E2352" s="35" t="str">
        <f t="shared" si="362"/>
        <v/>
      </c>
      <c r="F2352" s="31"/>
      <c r="G2352" s="29"/>
      <c r="H2352" s="78" t="str">
        <f t="shared" si="366"/>
        <v/>
      </c>
      <c r="I2352" s="25"/>
      <c r="J2352" s="25"/>
      <c r="K2352" s="26"/>
      <c r="L2352" s="26"/>
      <c r="M2352" s="37"/>
      <c r="N2352" s="27"/>
      <c r="O2352" s="30"/>
      <c r="P2352" s="39" t="str">
        <f t="shared" si="367"/>
        <v/>
      </c>
      <c r="Q2352" s="40" t="str">
        <f>IF(OR(T2352=0,RIGHT(T2352,1)=$W$1),"",COUNTIF($T$3:T2352,T2352))</f>
        <v/>
      </c>
      <c r="S2352" s="6">
        <f t="shared" si="368"/>
        <v>0</v>
      </c>
      <c r="T2352" s="36">
        <f t="shared" si="369"/>
        <v>0</v>
      </c>
      <c r="V2352" s="6">
        <f t="shared" si="370"/>
        <v>0</v>
      </c>
      <c r="Y2352" s="8">
        <f t="shared" si="371"/>
        <v>46023</v>
      </c>
    </row>
    <row r="2353" spans="2:25" ht="18.75" x14ac:dyDescent="0.3">
      <c r="B2353" s="6">
        <f t="shared" si="363"/>
        <v>0</v>
      </c>
      <c r="C2353" s="6">
        <f t="shared" si="364"/>
        <v>0</v>
      </c>
      <c r="D2353" s="6" t="str">
        <f t="shared" si="365"/>
        <v/>
      </c>
      <c r="E2353" s="35" t="str">
        <f t="shared" si="362"/>
        <v/>
      </c>
      <c r="F2353" s="31"/>
      <c r="G2353" s="29"/>
      <c r="H2353" s="78" t="str">
        <f t="shared" si="366"/>
        <v/>
      </c>
      <c r="I2353" s="25"/>
      <c r="J2353" s="25"/>
      <c r="K2353" s="26"/>
      <c r="L2353" s="26"/>
      <c r="M2353" s="37"/>
      <c r="N2353" s="27"/>
      <c r="O2353" s="30"/>
      <c r="P2353" s="39" t="str">
        <f t="shared" si="367"/>
        <v/>
      </c>
      <c r="Q2353" s="40" t="str">
        <f>IF(OR(T2353=0,RIGHT(T2353,1)=$W$1),"",COUNTIF($T$3:T2353,T2353))</f>
        <v/>
      </c>
      <c r="S2353" s="6">
        <f t="shared" si="368"/>
        <v>0</v>
      </c>
      <c r="T2353" s="36">
        <f t="shared" si="369"/>
        <v>0</v>
      </c>
      <c r="V2353" s="6">
        <f t="shared" si="370"/>
        <v>0</v>
      </c>
      <c r="Y2353" s="8">
        <f t="shared" si="371"/>
        <v>46023</v>
      </c>
    </row>
    <row r="2354" spans="2:25" ht="18.75" x14ac:dyDescent="0.3">
      <c r="B2354" s="6">
        <f t="shared" si="363"/>
        <v>0</v>
      </c>
      <c r="C2354" s="6">
        <f t="shared" si="364"/>
        <v>0</v>
      </c>
      <c r="D2354" s="6" t="str">
        <f t="shared" si="365"/>
        <v/>
      </c>
      <c r="E2354" s="35" t="str">
        <f t="shared" si="362"/>
        <v/>
      </c>
      <c r="F2354" s="31"/>
      <c r="G2354" s="29"/>
      <c r="H2354" s="78" t="str">
        <f t="shared" si="366"/>
        <v/>
      </c>
      <c r="I2354" s="25"/>
      <c r="J2354" s="25"/>
      <c r="K2354" s="26"/>
      <c r="L2354" s="26"/>
      <c r="M2354" s="37"/>
      <c r="N2354" s="27"/>
      <c r="O2354" s="30"/>
      <c r="P2354" s="39" t="str">
        <f t="shared" si="367"/>
        <v/>
      </c>
      <c r="Q2354" s="40" t="str">
        <f>IF(OR(T2354=0,RIGHT(T2354,1)=$W$1),"",COUNTIF($T$3:T2354,T2354))</f>
        <v/>
      </c>
      <c r="S2354" s="6">
        <f t="shared" si="368"/>
        <v>0</v>
      </c>
      <c r="T2354" s="36">
        <f t="shared" si="369"/>
        <v>0</v>
      </c>
      <c r="V2354" s="6">
        <f t="shared" si="370"/>
        <v>0</v>
      </c>
      <c r="Y2354" s="8">
        <f t="shared" si="371"/>
        <v>46023</v>
      </c>
    </row>
    <row r="2355" spans="2:25" ht="18.75" x14ac:dyDescent="0.3">
      <c r="B2355" s="6">
        <f t="shared" si="363"/>
        <v>0</v>
      </c>
      <c r="C2355" s="6">
        <f t="shared" si="364"/>
        <v>0</v>
      </c>
      <c r="D2355" s="6" t="str">
        <f t="shared" si="365"/>
        <v/>
      </c>
      <c r="E2355" s="35" t="str">
        <f t="shared" si="362"/>
        <v/>
      </c>
      <c r="F2355" s="31"/>
      <c r="G2355" s="29"/>
      <c r="H2355" s="78" t="str">
        <f t="shared" si="366"/>
        <v/>
      </c>
      <c r="I2355" s="25"/>
      <c r="J2355" s="25"/>
      <c r="K2355" s="26"/>
      <c r="L2355" s="26"/>
      <c r="M2355" s="37"/>
      <c r="N2355" s="27"/>
      <c r="O2355" s="30"/>
      <c r="P2355" s="39" t="str">
        <f t="shared" si="367"/>
        <v/>
      </c>
      <c r="Q2355" s="40" t="str">
        <f>IF(OR(T2355=0,RIGHT(T2355,1)=$W$1),"",COUNTIF($T$3:T2355,T2355))</f>
        <v/>
      </c>
      <c r="S2355" s="6">
        <f t="shared" si="368"/>
        <v>0</v>
      </c>
      <c r="T2355" s="36">
        <f t="shared" si="369"/>
        <v>0</v>
      </c>
      <c r="V2355" s="6">
        <f t="shared" si="370"/>
        <v>0</v>
      </c>
      <c r="Y2355" s="8">
        <f t="shared" si="371"/>
        <v>46023</v>
      </c>
    </row>
    <row r="2356" spans="2:25" ht="18.75" x14ac:dyDescent="0.3">
      <c r="B2356" s="6">
        <f t="shared" si="363"/>
        <v>0</v>
      </c>
      <c r="C2356" s="6">
        <f t="shared" si="364"/>
        <v>0</v>
      </c>
      <c r="D2356" s="6" t="str">
        <f t="shared" si="365"/>
        <v/>
      </c>
      <c r="E2356" s="35" t="str">
        <f t="shared" si="362"/>
        <v/>
      </c>
      <c r="F2356" s="31"/>
      <c r="G2356" s="29"/>
      <c r="H2356" s="78" t="str">
        <f t="shared" si="366"/>
        <v/>
      </c>
      <c r="I2356" s="25"/>
      <c r="J2356" s="25"/>
      <c r="K2356" s="26"/>
      <c r="L2356" s="26"/>
      <c r="M2356" s="37"/>
      <c r="N2356" s="27"/>
      <c r="O2356" s="30"/>
      <c r="P2356" s="39" t="str">
        <f t="shared" si="367"/>
        <v/>
      </c>
      <c r="Q2356" s="40" t="str">
        <f>IF(OR(T2356=0,RIGHT(T2356,1)=$W$1),"",COUNTIF($T$3:T2356,T2356))</f>
        <v/>
      </c>
      <c r="S2356" s="6">
        <f t="shared" si="368"/>
        <v>0</v>
      </c>
      <c r="T2356" s="36">
        <f t="shared" si="369"/>
        <v>0</v>
      </c>
      <c r="V2356" s="6">
        <f t="shared" si="370"/>
        <v>0</v>
      </c>
      <c r="Y2356" s="8">
        <f t="shared" si="371"/>
        <v>46023</v>
      </c>
    </row>
    <row r="2357" spans="2:25" ht="18.75" x14ac:dyDescent="0.3">
      <c r="B2357" s="6">
        <f t="shared" si="363"/>
        <v>0</v>
      </c>
      <c r="C2357" s="6">
        <f t="shared" si="364"/>
        <v>0</v>
      </c>
      <c r="D2357" s="6" t="str">
        <f t="shared" si="365"/>
        <v/>
      </c>
      <c r="E2357" s="35" t="str">
        <f t="shared" si="362"/>
        <v/>
      </c>
      <c r="F2357" s="31"/>
      <c r="G2357" s="29"/>
      <c r="H2357" s="78" t="str">
        <f t="shared" si="366"/>
        <v/>
      </c>
      <c r="I2357" s="25"/>
      <c r="J2357" s="25"/>
      <c r="K2357" s="26"/>
      <c r="L2357" s="26"/>
      <c r="M2357" s="37"/>
      <c r="N2357" s="27"/>
      <c r="O2357" s="30"/>
      <c r="P2357" s="39" t="str">
        <f t="shared" si="367"/>
        <v/>
      </c>
      <c r="Q2357" s="40" t="str">
        <f>IF(OR(T2357=0,RIGHT(T2357,1)=$W$1),"",COUNTIF($T$3:T2357,T2357))</f>
        <v/>
      </c>
      <c r="S2357" s="6">
        <f t="shared" si="368"/>
        <v>0</v>
      </c>
      <c r="T2357" s="36">
        <f t="shared" si="369"/>
        <v>0</v>
      </c>
      <c r="V2357" s="6">
        <f t="shared" si="370"/>
        <v>0</v>
      </c>
      <c r="Y2357" s="8">
        <f t="shared" si="371"/>
        <v>46023</v>
      </c>
    </row>
    <row r="2358" spans="2:25" ht="18.75" x14ac:dyDescent="0.3">
      <c r="B2358" s="6">
        <f t="shared" si="363"/>
        <v>0</v>
      </c>
      <c r="C2358" s="6">
        <f t="shared" si="364"/>
        <v>0</v>
      </c>
      <c r="D2358" s="6" t="str">
        <f t="shared" si="365"/>
        <v/>
      </c>
      <c r="E2358" s="35" t="str">
        <f t="shared" si="362"/>
        <v/>
      </c>
      <c r="F2358" s="31"/>
      <c r="G2358" s="29"/>
      <c r="H2358" s="78" t="str">
        <f t="shared" si="366"/>
        <v/>
      </c>
      <c r="I2358" s="25"/>
      <c r="J2358" s="25"/>
      <c r="K2358" s="26"/>
      <c r="L2358" s="26"/>
      <c r="M2358" s="37"/>
      <c r="N2358" s="27"/>
      <c r="O2358" s="30"/>
      <c r="P2358" s="39" t="str">
        <f t="shared" si="367"/>
        <v/>
      </c>
      <c r="Q2358" s="40" t="str">
        <f>IF(OR(T2358=0,RIGHT(T2358,1)=$W$1),"",COUNTIF($T$3:T2358,T2358))</f>
        <v/>
      </c>
      <c r="S2358" s="6">
        <f t="shared" si="368"/>
        <v>0</v>
      </c>
      <c r="T2358" s="36">
        <f t="shared" si="369"/>
        <v>0</v>
      </c>
      <c r="V2358" s="6">
        <f t="shared" si="370"/>
        <v>0</v>
      </c>
      <c r="Y2358" s="8">
        <f t="shared" si="371"/>
        <v>46023</v>
      </c>
    </row>
    <row r="2359" spans="2:25" ht="18.75" x14ac:dyDescent="0.3">
      <c r="B2359" s="6">
        <f t="shared" si="363"/>
        <v>0</v>
      </c>
      <c r="C2359" s="6">
        <f t="shared" si="364"/>
        <v>0</v>
      </c>
      <c r="D2359" s="6" t="str">
        <f t="shared" si="365"/>
        <v/>
      </c>
      <c r="E2359" s="35" t="str">
        <f t="shared" si="362"/>
        <v/>
      </c>
      <c r="F2359" s="31"/>
      <c r="G2359" s="29"/>
      <c r="H2359" s="78" t="str">
        <f t="shared" si="366"/>
        <v/>
      </c>
      <c r="I2359" s="25"/>
      <c r="J2359" s="25"/>
      <c r="K2359" s="26"/>
      <c r="L2359" s="26"/>
      <c r="M2359" s="37"/>
      <c r="N2359" s="27"/>
      <c r="O2359" s="30"/>
      <c r="P2359" s="39" t="str">
        <f t="shared" si="367"/>
        <v/>
      </c>
      <c r="Q2359" s="40" t="str">
        <f>IF(OR(T2359=0,RIGHT(T2359,1)=$W$1),"",COUNTIF($T$3:T2359,T2359))</f>
        <v/>
      </c>
      <c r="S2359" s="6">
        <f t="shared" si="368"/>
        <v>0</v>
      </c>
      <c r="T2359" s="36">
        <f t="shared" si="369"/>
        <v>0</v>
      </c>
      <c r="V2359" s="6">
        <f t="shared" si="370"/>
        <v>0</v>
      </c>
      <c r="Y2359" s="8">
        <f t="shared" si="371"/>
        <v>46023</v>
      </c>
    </row>
    <row r="2360" spans="2:25" ht="18.75" x14ac:dyDescent="0.3">
      <c r="B2360" s="6">
        <f t="shared" si="363"/>
        <v>0</v>
      </c>
      <c r="C2360" s="6">
        <f t="shared" si="364"/>
        <v>0</v>
      </c>
      <c r="D2360" s="6" t="str">
        <f t="shared" si="365"/>
        <v/>
      </c>
      <c r="E2360" s="35" t="str">
        <f t="shared" si="362"/>
        <v/>
      </c>
      <c r="F2360" s="31"/>
      <c r="G2360" s="29"/>
      <c r="H2360" s="78" t="str">
        <f t="shared" si="366"/>
        <v/>
      </c>
      <c r="I2360" s="25"/>
      <c r="J2360" s="25"/>
      <c r="K2360" s="26"/>
      <c r="L2360" s="26"/>
      <c r="M2360" s="37"/>
      <c r="N2360" s="27"/>
      <c r="O2360" s="30"/>
      <c r="P2360" s="39" t="str">
        <f t="shared" si="367"/>
        <v/>
      </c>
      <c r="Q2360" s="40" t="str">
        <f>IF(OR(T2360=0,RIGHT(T2360,1)=$W$1),"",COUNTIF($T$3:T2360,T2360))</f>
        <v/>
      </c>
      <c r="S2360" s="6">
        <f t="shared" si="368"/>
        <v>0</v>
      </c>
      <c r="T2360" s="36">
        <f t="shared" si="369"/>
        <v>0</v>
      </c>
      <c r="V2360" s="6">
        <f t="shared" si="370"/>
        <v>0</v>
      </c>
      <c r="Y2360" s="8">
        <f t="shared" si="371"/>
        <v>46023</v>
      </c>
    </row>
    <row r="2361" spans="2:25" ht="18.75" x14ac:dyDescent="0.3">
      <c r="B2361" s="6">
        <f t="shared" si="363"/>
        <v>0</v>
      </c>
      <c r="C2361" s="6">
        <f t="shared" si="364"/>
        <v>0</v>
      </c>
      <c r="D2361" s="6" t="str">
        <f t="shared" si="365"/>
        <v/>
      </c>
      <c r="E2361" s="35" t="str">
        <f t="shared" si="362"/>
        <v/>
      </c>
      <c r="F2361" s="31"/>
      <c r="G2361" s="29"/>
      <c r="H2361" s="78" t="str">
        <f t="shared" si="366"/>
        <v/>
      </c>
      <c r="I2361" s="25"/>
      <c r="J2361" s="25"/>
      <c r="K2361" s="26"/>
      <c r="L2361" s="26"/>
      <c r="M2361" s="37"/>
      <c r="N2361" s="27"/>
      <c r="O2361" s="30"/>
      <c r="P2361" s="39" t="str">
        <f t="shared" si="367"/>
        <v/>
      </c>
      <c r="Q2361" s="40" t="str">
        <f>IF(OR(T2361=0,RIGHT(T2361,1)=$W$1),"",COUNTIF($T$3:T2361,T2361))</f>
        <v/>
      </c>
      <c r="S2361" s="6">
        <f t="shared" si="368"/>
        <v>0</v>
      </c>
      <c r="T2361" s="36">
        <f t="shared" si="369"/>
        <v>0</v>
      </c>
      <c r="V2361" s="6">
        <f t="shared" si="370"/>
        <v>0</v>
      </c>
      <c r="Y2361" s="8">
        <f t="shared" si="371"/>
        <v>46023</v>
      </c>
    </row>
    <row r="2362" spans="2:25" ht="18.75" x14ac:dyDescent="0.3">
      <c r="B2362" s="6">
        <f t="shared" si="363"/>
        <v>0</v>
      </c>
      <c r="C2362" s="6">
        <f t="shared" si="364"/>
        <v>0</v>
      </c>
      <c r="D2362" s="6" t="str">
        <f t="shared" si="365"/>
        <v/>
      </c>
      <c r="E2362" s="35" t="str">
        <f t="shared" si="362"/>
        <v/>
      </c>
      <c r="F2362" s="31"/>
      <c r="G2362" s="29"/>
      <c r="H2362" s="78" t="str">
        <f t="shared" si="366"/>
        <v/>
      </c>
      <c r="I2362" s="25"/>
      <c r="J2362" s="25"/>
      <c r="K2362" s="26"/>
      <c r="L2362" s="26"/>
      <c r="M2362" s="37"/>
      <c r="N2362" s="27"/>
      <c r="O2362" s="30"/>
      <c r="P2362" s="39" t="str">
        <f t="shared" si="367"/>
        <v/>
      </c>
      <c r="Q2362" s="40" t="str">
        <f>IF(OR(T2362=0,RIGHT(T2362,1)=$W$1),"",COUNTIF($T$3:T2362,T2362))</f>
        <v/>
      </c>
      <c r="S2362" s="6">
        <f t="shared" si="368"/>
        <v>0</v>
      </c>
      <c r="T2362" s="36">
        <f t="shared" si="369"/>
        <v>0</v>
      </c>
      <c r="V2362" s="6">
        <f t="shared" si="370"/>
        <v>0</v>
      </c>
      <c r="Y2362" s="8">
        <f t="shared" si="371"/>
        <v>46023</v>
      </c>
    </row>
    <row r="2363" spans="2:25" ht="18.75" x14ac:dyDescent="0.3">
      <c r="B2363" s="6">
        <f t="shared" si="363"/>
        <v>0</v>
      </c>
      <c r="C2363" s="6">
        <f t="shared" si="364"/>
        <v>0</v>
      </c>
      <c r="D2363" s="6" t="str">
        <f t="shared" si="365"/>
        <v/>
      </c>
      <c r="E2363" s="35" t="str">
        <f t="shared" si="362"/>
        <v/>
      </c>
      <c r="F2363" s="31"/>
      <c r="G2363" s="29"/>
      <c r="H2363" s="78" t="str">
        <f t="shared" si="366"/>
        <v/>
      </c>
      <c r="I2363" s="25"/>
      <c r="J2363" s="25"/>
      <c r="K2363" s="26"/>
      <c r="L2363" s="26"/>
      <c r="M2363" s="37"/>
      <c r="N2363" s="27"/>
      <c r="O2363" s="30"/>
      <c r="P2363" s="39" t="str">
        <f t="shared" si="367"/>
        <v/>
      </c>
      <c r="Q2363" s="40" t="str">
        <f>IF(OR(T2363=0,RIGHT(T2363,1)=$W$1),"",COUNTIF($T$3:T2363,T2363))</f>
        <v/>
      </c>
      <c r="S2363" s="6">
        <f t="shared" si="368"/>
        <v>0</v>
      </c>
      <c r="T2363" s="36">
        <f t="shared" si="369"/>
        <v>0</v>
      </c>
      <c r="V2363" s="6">
        <f t="shared" si="370"/>
        <v>0</v>
      </c>
      <c r="Y2363" s="8">
        <f t="shared" si="371"/>
        <v>46023</v>
      </c>
    </row>
    <row r="2364" spans="2:25" ht="18.75" x14ac:dyDescent="0.3">
      <c r="B2364" s="6">
        <f t="shared" si="363"/>
        <v>0</v>
      </c>
      <c r="C2364" s="6">
        <f t="shared" si="364"/>
        <v>0</v>
      </c>
      <c r="D2364" s="6" t="str">
        <f t="shared" si="365"/>
        <v/>
      </c>
      <c r="E2364" s="35" t="str">
        <f t="shared" si="362"/>
        <v/>
      </c>
      <c r="F2364" s="31"/>
      <c r="G2364" s="29"/>
      <c r="H2364" s="78" t="str">
        <f t="shared" si="366"/>
        <v/>
      </c>
      <c r="I2364" s="25"/>
      <c r="J2364" s="25"/>
      <c r="K2364" s="26"/>
      <c r="L2364" s="26"/>
      <c r="M2364" s="37"/>
      <c r="N2364" s="27"/>
      <c r="O2364" s="30"/>
      <c r="P2364" s="39" t="str">
        <f t="shared" si="367"/>
        <v/>
      </c>
      <c r="Q2364" s="40" t="str">
        <f>IF(OR(T2364=0,RIGHT(T2364,1)=$W$1),"",COUNTIF($T$3:T2364,T2364))</f>
        <v/>
      </c>
      <c r="S2364" s="6">
        <f t="shared" si="368"/>
        <v>0</v>
      </c>
      <c r="T2364" s="36">
        <f t="shared" si="369"/>
        <v>0</v>
      </c>
      <c r="V2364" s="6">
        <f t="shared" si="370"/>
        <v>0</v>
      </c>
      <c r="Y2364" s="8">
        <f t="shared" si="371"/>
        <v>46023</v>
      </c>
    </row>
    <row r="2365" spans="2:25" ht="18.75" x14ac:dyDescent="0.3">
      <c r="B2365" s="6">
        <f t="shared" si="363"/>
        <v>0</v>
      </c>
      <c r="C2365" s="6">
        <f t="shared" si="364"/>
        <v>0</v>
      </c>
      <c r="D2365" s="6" t="str">
        <f t="shared" si="365"/>
        <v/>
      </c>
      <c r="E2365" s="35" t="str">
        <f t="shared" si="362"/>
        <v/>
      </c>
      <c r="F2365" s="31"/>
      <c r="G2365" s="29"/>
      <c r="H2365" s="78" t="str">
        <f t="shared" si="366"/>
        <v/>
      </c>
      <c r="I2365" s="25"/>
      <c r="J2365" s="25"/>
      <c r="K2365" s="26"/>
      <c r="L2365" s="26"/>
      <c r="M2365" s="37"/>
      <c r="N2365" s="27"/>
      <c r="O2365" s="30"/>
      <c r="P2365" s="39" t="str">
        <f t="shared" si="367"/>
        <v/>
      </c>
      <c r="Q2365" s="40" t="str">
        <f>IF(OR(T2365=0,RIGHT(T2365,1)=$W$1),"",COUNTIF($T$3:T2365,T2365))</f>
        <v/>
      </c>
      <c r="S2365" s="6">
        <f t="shared" si="368"/>
        <v>0</v>
      </c>
      <c r="T2365" s="36">
        <f t="shared" si="369"/>
        <v>0</v>
      </c>
      <c r="V2365" s="6">
        <f t="shared" si="370"/>
        <v>0</v>
      </c>
      <c r="Y2365" s="8">
        <f t="shared" si="371"/>
        <v>46023</v>
      </c>
    </row>
    <row r="2366" spans="2:25" ht="18.75" x14ac:dyDescent="0.3">
      <c r="B2366" s="6">
        <f t="shared" si="363"/>
        <v>0</v>
      </c>
      <c r="C2366" s="6">
        <f t="shared" si="364"/>
        <v>0</v>
      </c>
      <c r="D2366" s="6" t="str">
        <f t="shared" si="365"/>
        <v/>
      </c>
      <c r="E2366" s="35" t="str">
        <f t="shared" si="362"/>
        <v/>
      </c>
      <c r="F2366" s="31"/>
      <c r="G2366" s="29"/>
      <c r="H2366" s="78" t="str">
        <f t="shared" si="366"/>
        <v/>
      </c>
      <c r="I2366" s="25"/>
      <c r="J2366" s="25"/>
      <c r="K2366" s="26"/>
      <c r="L2366" s="26"/>
      <c r="M2366" s="37"/>
      <c r="N2366" s="27"/>
      <c r="O2366" s="30"/>
      <c r="P2366" s="39" t="str">
        <f t="shared" si="367"/>
        <v/>
      </c>
      <c r="Q2366" s="40" t="str">
        <f>IF(OR(T2366=0,RIGHT(T2366,1)=$W$1),"",COUNTIF($T$3:T2366,T2366))</f>
        <v/>
      </c>
      <c r="S2366" s="6">
        <f t="shared" si="368"/>
        <v>0</v>
      </c>
      <c r="T2366" s="36">
        <f t="shared" si="369"/>
        <v>0</v>
      </c>
      <c r="V2366" s="6">
        <f t="shared" si="370"/>
        <v>0</v>
      </c>
      <c r="Y2366" s="8">
        <f t="shared" si="371"/>
        <v>46023</v>
      </c>
    </row>
    <row r="2367" spans="2:25" ht="18.75" x14ac:dyDescent="0.3">
      <c r="B2367" s="6">
        <f t="shared" si="363"/>
        <v>0</v>
      </c>
      <c r="C2367" s="6">
        <f t="shared" si="364"/>
        <v>0</v>
      </c>
      <c r="D2367" s="6" t="str">
        <f t="shared" si="365"/>
        <v/>
      </c>
      <c r="E2367" s="35" t="str">
        <f t="shared" si="362"/>
        <v/>
      </c>
      <c r="F2367" s="31"/>
      <c r="G2367" s="29"/>
      <c r="H2367" s="78" t="str">
        <f t="shared" si="366"/>
        <v/>
      </c>
      <c r="I2367" s="25"/>
      <c r="J2367" s="25"/>
      <c r="K2367" s="26"/>
      <c r="L2367" s="26"/>
      <c r="M2367" s="37"/>
      <c r="N2367" s="27"/>
      <c r="O2367" s="30"/>
      <c r="P2367" s="39" t="str">
        <f t="shared" si="367"/>
        <v/>
      </c>
      <c r="Q2367" s="40" t="str">
        <f>IF(OR(T2367=0,RIGHT(T2367,1)=$W$1),"",COUNTIF($T$3:T2367,T2367))</f>
        <v/>
      </c>
      <c r="S2367" s="6">
        <f t="shared" si="368"/>
        <v>0</v>
      </c>
      <c r="T2367" s="36">
        <f t="shared" si="369"/>
        <v>0</v>
      </c>
      <c r="V2367" s="6">
        <f t="shared" si="370"/>
        <v>0</v>
      </c>
      <c r="Y2367" s="8">
        <f t="shared" si="371"/>
        <v>46023</v>
      </c>
    </row>
    <row r="2368" spans="2:25" ht="18.75" x14ac:dyDescent="0.3">
      <c r="B2368" s="6">
        <f t="shared" si="363"/>
        <v>0</v>
      </c>
      <c r="C2368" s="6">
        <f t="shared" si="364"/>
        <v>0</v>
      </c>
      <c r="D2368" s="6" t="str">
        <f t="shared" si="365"/>
        <v/>
      </c>
      <c r="E2368" s="35" t="str">
        <f t="shared" si="362"/>
        <v/>
      </c>
      <c r="F2368" s="31"/>
      <c r="G2368" s="29"/>
      <c r="H2368" s="78" t="str">
        <f t="shared" si="366"/>
        <v/>
      </c>
      <c r="I2368" s="25"/>
      <c r="J2368" s="25"/>
      <c r="K2368" s="26"/>
      <c r="L2368" s="26"/>
      <c r="M2368" s="37"/>
      <c r="N2368" s="27"/>
      <c r="O2368" s="30"/>
      <c r="P2368" s="39" t="str">
        <f t="shared" si="367"/>
        <v/>
      </c>
      <c r="Q2368" s="40" t="str">
        <f>IF(OR(T2368=0,RIGHT(T2368,1)=$W$1),"",COUNTIF($T$3:T2368,T2368))</f>
        <v/>
      </c>
      <c r="S2368" s="6">
        <f t="shared" si="368"/>
        <v>0</v>
      </c>
      <c r="T2368" s="36">
        <f t="shared" si="369"/>
        <v>0</v>
      </c>
      <c r="V2368" s="6">
        <f t="shared" si="370"/>
        <v>0</v>
      </c>
      <c r="Y2368" s="8">
        <f t="shared" si="371"/>
        <v>46023</v>
      </c>
    </row>
    <row r="2369" spans="2:25" ht="18.75" x14ac:dyDescent="0.3">
      <c r="B2369" s="6">
        <f t="shared" si="363"/>
        <v>0</v>
      </c>
      <c r="C2369" s="6">
        <f t="shared" si="364"/>
        <v>0</v>
      </c>
      <c r="D2369" s="6" t="str">
        <f t="shared" si="365"/>
        <v/>
      </c>
      <c r="E2369" s="35" t="str">
        <f t="shared" si="362"/>
        <v/>
      </c>
      <c r="F2369" s="31"/>
      <c r="G2369" s="29"/>
      <c r="H2369" s="78" t="str">
        <f t="shared" si="366"/>
        <v/>
      </c>
      <c r="I2369" s="25"/>
      <c r="J2369" s="25"/>
      <c r="K2369" s="26"/>
      <c r="L2369" s="26"/>
      <c r="M2369" s="37"/>
      <c r="N2369" s="27"/>
      <c r="O2369" s="30"/>
      <c r="P2369" s="39" t="str">
        <f t="shared" si="367"/>
        <v/>
      </c>
      <c r="Q2369" s="40" t="str">
        <f>IF(OR(T2369=0,RIGHT(T2369,1)=$W$1),"",COUNTIF($T$3:T2369,T2369))</f>
        <v/>
      </c>
      <c r="S2369" s="6">
        <f t="shared" si="368"/>
        <v>0</v>
      </c>
      <c r="T2369" s="36">
        <f t="shared" si="369"/>
        <v>0</v>
      </c>
      <c r="V2369" s="6">
        <f t="shared" si="370"/>
        <v>0</v>
      </c>
      <c r="Y2369" s="8">
        <f t="shared" si="371"/>
        <v>46023</v>
      </c>
    </row>
    <row r="2370" spans="2:25" ht="18.75" x14ac:dyDescent="0.3">
      <c r="B2370" s="6">
        <f t="shared" si="363"/>
        <v>0</v>
      </c>
      <c r="C2370" s="6">
        <f t="shared" si="364"/>
        <v>0</v>
      </c>
      <c r="D2370" s="6" t="str">
        <f t="shared" si="365"/>
        <v/>
      </c>
      <c r="E2370" s="35" t="str">
        <f t="shared" si="362"/>
        <v/>
      </c>
      <c r="F2370" s="31"/>
      <c r="G2370" s="29"/>
      <c r="H2370" s="78" t="str">
        <f t="shared" si="366"/>
        <v/>
      </c>
      <c r="I2370" s="25"/>
      <c r="J2370" s="25"/>
      <c r="K2370" s="26"/>
      <c r="L2370" s="26"/>
      <c r="M2370" s="37"/>
      <c r="N2370" s="27"/>
      <c r="O2370" s="30"/>
      <c r="P2370" s="39" t="str">
        <f t="shared" si="367"/>
        <v/>
      </c>
      <c r="Q2370" s="40" t="str">
        <f>IF(OR(T2370=0,RIGHT(T2370,1)=$W$1),"",COUNTIF($T$3:T2370,T2370))</f>
        <v/>
      </c>
      <c r="S2370" s="6">
        <f t="shared" si="368"/>
        <v>0</v>
      </c>
      <c r="T2370" s="36">
        <f t="shared" si="369"/>
        <v>0</v>
      </c>
      <c r="V2370" s="6">
        <f t="shared" si="370"/>
        <v>0</v>
      </c>
      <c r="Y2370" s="8">
        <f t="shared" si="371"/>
        <v>46023</v>
      </c>
    </row>
    <row r="2371" spans="2:25" ht="18.75" x14ac:dyDescent="0.3">
      <c r="B2371" s="6">
        <f t="shared" si="363"/>
        <v>0</v>
      </c>
      <c r="C2371" s="6">
        <f t="shared" si="364"/>
        <v>0</v>
      </c>
      <c r="D2371" s="6" t="str">
        <f t="shared" si="365"/>
        <v/>
      </c>
      <c r="E2371" s="35" t="str">
        <f t="shared" ref="E2371:E2434" si="372">IF(D2371&lt;&gt;"",D2371&amp;" - "&amp;YEAR(F2371),"")</f>
        <v/>
      </c>
      <c r="F2371" s="31"/>
      <c r="G2371" s="29"/>
      <c r="H2371" s="78" t="str">
        <f t="shared" si="366"/>
        <v/>
      </c>
      <c r="I2371" s="25"/>
      <c r="J2371" s="25"/>
      <c r="K2371" s="26"/>
      <c r="L2371" s="26"/>
      <c r="M2371" s="37"/>
      <c r="N2371" s="27"/>
      <c r="O2371" s="30"/>
      <c r="P2371" s="39" t="str">
        <f t="shared" si="367"/>
        <v/>
      </c>
      <c r="Q2371" s="40" t="str">
        <f>IF(OR(T2371=0,RIGHT(T2371,1)=$W$1),"",COUNTIF($T$3:T2371,T2371))</f>
        <v/>
      </c>
      <c r="S2371" s="6">
        <f t="shared" si="368"/>
        <v>0</v>
      </c>
      <c r="T2371" s="36">
        <f t="shared" si="369"/>
        <v>0</v>
      </c>
      <c r="V2371" s="6">
        <f t="shared" si="370"/>
        <v>0</v>
      </c>
      <c r="Y2371" s="8">
        <f t="shared" si="371"/>
        <v>46023</v>
      </c>
    </row>
    <row r="2372" spans="2:25" ht="18.75" x14ac:dyDescent="0.3">
      <c r="B2372" s="6">
        <f t="shared" ref="B2372:B2435" si="373">IF($B$1=YEAR(F2372),B2371+1,B2371)</f>
        <v>0</v>
      </c>
      <c r="C2372" s="6">
        <f t="shared" ref="C2372:C2435" si="374">IF(AND($C$1=K2372,$Y$1=YEAR(F2372)),C2371+1,C2371)</f>
        <v>0</v>
      </c>
      <c r="D2372" s="6" t="str">
        <f t="shared" ref="D2372:D2435" si="375">IF(F2372&lt;&gt;0,IF(YEAR(F2372)&lt;&gt;YEAR(F2371),1,IF(M2372=$AI$1,D2371,D2371+1)),"")</f>
        <v/>
      </c>
      <c r="E2372" s="35" t="str">
        <f t="shared" si="372"/>
        <v/>
      </c>
      <c r="F2372" s="31"/>
      <c r="G2372" s="29"/>
      <c r="H2372" s="78" t="str">
        <f t="shared" ref="H2372:H2435" si="376">IF(G2372&lt;&gt;"",F2372,"")</f>
        <v/>
      </c>
      <c r="I2372" s="25"/>
      <c r="J2372" s="25"/>
      <c r="K2372" s="26"/>
      <c r="L2372" s="26"/>
      <c r="M2372" s="37"/>
      <c r="N2372" s="27"/>
      <c r="O2372" s="30"/>
      <c r="P2372" s="39" t="str">
        <f t="shared" ref="P2372:P2435" si="377">IF(OR(T2372=0,RIGHT(T2372,1)=$W$1),"",VLOOKUP(K2372,$AD$1:$AK$15,5,FALSE))</f>
        <v/>
      </c>
      <c r="Q2372" s="40" t="str">
        <f>IF(OR(T2372=0,RIGHT(T2372,1)=$W$1),"",COUNTIF($T$3:T2372,T2372))</f>
        <v/>
      </c>
      <c r="S2372" s="6">
        <f t="shared" ref="S2372:S2435" si="378">IF(AND($C$1=K2372,$Y$1=YEAR(F2372)),C2372,0)</f>
        <v>0</v>
      </c>
      <c r="T2372" s="36">
        <f t="shared" ref="T2372:T2435" si="379">IF(F2372=0,0,YEAR(F2372)&amp;VLOOKUP(K2372,$AD$1:$AE$15,2,FALSE))</f>
        <v>0</v>
      </c>
      <c r="V2372" s="6">
        <f t="shared" ref="V2372:V2435" si="380">IF(AND(YEAR(F2372)=$Y$1,K2372=$C$1,L2372&amp;$V$1&lt;&gt;$V$1),L2372,IF(AND(YEAR(F2372)=$Y$1,K2372=$C$1),1,0))</f>
        <v>0</v>
      </c>
      <c r="Y2372" s="8">
        <f t="shared" ref="Y2372:Y2435" si="381">IF(M2372&lt;&gt;$AI$1,$Y$2,F2371)</f>
        <v>46023</v>
      </c>
    </row>
    <row r="2373" spans="2:25" ht="18.75" x14ac:dyDescent="0.3">
      <c r="B2373" s="6">
        <f t="shared" si="373"/>
        <v>0</v>
      </c>
      <c r="C2373" s="6">
        <f t="shared" si="374"/>
        <v>0</v>
      </c>
      <c r="D2373" s="6" t="str">
        <f t="shared" si="375"/>
        <v/>
      </c>
      <c r="E2373" s="35" t="str">
        <f t="shared" si="372"/>
        <v/>
      </c>
      <c r="F2373" s="31"/>
      <c r="G2373" s="29"/>
      <c r="H2373" s="78" t="str">
        <f t="shared" si="376"/>
        <v/>
      </c>
      <c r="I2373" s="25"/>
      <c r="J2373" s="25"/>
      <c r="K2373" s="26"/>
      <c r="L2373" s="26"/>
      <c r="M2373" s="37"/>
      <c r="N2373" s="27"/>
      <c r="O2373" s="30"/>
      <c r="P2373" s="39" t="str">
        <f t="shared" si="377"/>
        <v/>
      </c>
      <c r="Q2373" s="40" t="str">
        <f>IF(OR(T2373=0,RIGHT(T2373,1)=$W$1),"",COUNTIF($T$3:T2373,T2373))</f>
        <v/>
      </c>
      <c r="S2373" s="6">
        <f t="shared" si="378"/>
        <v>0</v>
      </c>
      <c r="T2373" s="36">
        <f t="shared" si="379"/>
        <v>0</v>
      </c>
      <c r="V2373" s="6">
        <f t="shared" si="380"/>
        <v>0</v>
      </c>
      <c r="Y2373" s="8">
        <f t="shared" si="381"/>
        <v>46023</v>
      </c>
    </row>
    <row r="2374" spans="2:25" ht="18.75" x14ac:dyDescent="0.3">
      <c r="B2374" s="6">
        <f t="shared" si="373"/>
        <v>0</v>
      </c>
      <c r="C2374" s="6">
        <f t="shared" si="374"/>
        <v>0</v>
      </c>
      <c r="D2374" s="6" t="str">
        <f t="shared" si="375"/>
        <v/>
      </c>
      <c r="E2374" s="35" t="str">
        <f t="shared" si="372"/>
        <v/>
      </c>
      <c r="F2374" s="31"/>
      <c r="G2374" s="29"/>
      <c r="H2374" s="78" t="str">
        <f t="shared" si="376"/>
        <v/>
      </c>
      <c r="I2374" s="25"/>
      <c r="J2374" s="25"/>
      <c r="K2374" s="26"/>
      <c r="L2374" s="26"/>
      <c r="M2374" s="37"/>
      <c r="N2374" s="27"/>
      <c r="O2374" s="30"/>
      <c r="P2374" s="39" t="str">
        <f t="shared" si="377"/>
        <v/>
      </c>
      <c r="Q2374" s="40" t="str">
        <f>IF(OR(T2374=0,RIGHT(T2374,1)=$W$1),"",COUNTIF($T$3:T2374,T2374))</f>
        <v/>
      </c>
      <c r="S2374" s="6">
        <f t="shared" si="378"/>
        <v>0</v>
      </c>
      <c r="T2374" s="36">
        <f t="shared" si="379"/>
        <v>0</v>
      </c>
      <c r="V2374" s="6">
        <f t="shared" si="380"/>
        <v>0</v>
      </c>
      <c r="Y2374" s="8">
        <f t="shared" si="381"/>
        <v>46023</v>
      </c>
    </row>
    <row r="2375" spans="2:25" ht="18.75" x14ac:dyDescent="0.3">
      <c r="B2375" s="6">
        <f t="shared" si="373"/>
        <v>0</v>
      </c>
      <c r="C2375" s="6">
        <f t="shared" si="374"/>
        <v>0</v>
      </c>
      <c r="D2375" s="6" t="str">
        <f t="shared" si="375"/>
        <v/>
      </c>
      <c r="E2375" s="35" t="str">
        <f t="shared" si="372"/>
        <v/>
      </c>
      <c r="F2375" s="31"/>
      <c r="G2375" s="29"/>
      <c r="H2375" s="78" t="str">
        <f t="shared" si="376"/>
        <v/>
      </c>
      <c r="I2375" s="25"/>
      <c r="J2375" s="25"/>
      <c r="K2375" s="26"/>
      <c r="L2375" s="26"/>
      <c r="M2375" s="37"/>
      <c r="N2375" s="27"/>
      <c r="O2375" s="30"/>
      <c r="P2375" s="39" t="str">
        <f t="shared" si="377"/>
        <v/>
      </c>
      <c r="Q2375" s="40" t="str">
        <f>IF(OR(T2375=0,RIGHT(T2375,1)=$W$1),"",COUNTIF($T$3:T2375,T2375))</f>
        <v/>
      </c>
      <c r="S2375" s="6">
        <f t="shared" si="378"/>
        <v>0</v>
      </c>
      <c r="T2375" s="36">
        <f t="shared" si="379"/>
        <v>0</v>
      </c>
      <c r="V2375" s="6">
        <f t="shared" si="380"/>
        <v>0</v>
      </c>
      <c r="Y2375" s="8">
        <f t="shared" si="381"/>
        <v>46023</v>
      </c>
    </row>
    <row r="2376" spans="2:25" ht="18.75" x14ac:dyDescent="0.3">
      <c r="B2376" s="6">
        <f t="shared" si="373"/>
        <v>0</v>
      </c>
      <c r="C2376" s="6">
        <f t="shared" si="374"/>
        <v>0</v>
      </c>
      <c r="D2376" s="6" t="str">
        <f t="shared" si="375"/>
        <v/>
      </c>
      <c r="E2376" s="35" t="str">
        <f t="shared" si="372"/>
        <v/>
      </c>
      <c r="F2376" s="31"/>
      <c r="G2376" s="29"/>
      <c r="H2376" s="78" t="str">
        <f t="shared" si="376"/>
        <v/>
      </c>
      <c r="I2376" s="25"/>
      <c r="J2376" s="25"/>
      <c r="K2376" s="26"/>
      <c r="L2376" s="26"/>
      <c r="M2376" s="37"/>
      <c r="N2376" s="27"/>
      <c r="O2376" s="30"/>
      <c r="P2376" s="39" t="str">
        <f t="shared" si="377"/>
        <v/>
      </c>
      <c r="Q2376" s="40" t="str">
        <f>IF(OR(T2376=0,RIGHT(T2376,1)=$W$1),"",COUNTIF($T$3:T2376,T2376))</f>
        <v/>
      </c>
      <c r="S2376" s="6">
        <f t="shared" si="378"/>
        <v>0</v>
      </c>
      <c r="T2376" s="36">
        <f t="shared" si="379"/>
        <v>0</v>
      </c>
      <c r="V2376" s="6">
        <f t="shared" si="380"/>
        <v>0</v>
      </c>
      <c r="Y2376" s="8">
        <f t="shared" si="381"/>
        <v>46023</v>
      </c>
    </row>
    <row r="2377" spans="2:25" ht="18.75" x14ac:dyDescent="0.3">
      <c r="B2377" s="6">
        <f t="shared" si="373"/>
        <v>0</v>
      </c>
      <c r="C2377" s="6">
        <f t="shared" si="374"/>
        <v>0</v>
      </c>
      <c r="D2377" s="6" t="str">
        <f t="shared" si="375"/>
        <v/>
      </c>
      <c r="E2377" s="35" t="str">
        <f t="shared" si="372"/>
        <v/>
      </c>
      <c r="F2377" s="31"/>
      <c r="G2377" s="29"/>
      <c r="H2377" s="78" t="str">
        <f t="shared" si="376"/>
        <v/>
      </c>
      <c r="I2377" s="25"/>
      <c r="J2377" s="25"/>
      <c r="K2377" s="26"/>
      <c r="L2377" s="26"/>
      <c r="M2377" s="37"/>
      <c r="N2377" s="27"/>
      <c r="O2377" s="30"/>
      <c r="P2377" s="39" t="str">
        <f t="shared" si="377"/>
        <v/>
      </c>
      <c r="Q2377" s="40" t="str">
        <f>IF(OR(T2377=0,RIGHT(T2377,1)=$W$1),"",COUNTIF($T$3:T2377,T2377))</f>
        <v/>
      </c>
      <c r="S2377" s="6">
        <f t="shared" si="378"/>
        <v>0</v>
      </c>
      <c r="T2377" s="36">
        <f t="shared" si="379"/>
        <v>0</v>
      </c>
      <c r="V2377" s="6">
        <f t="shared" si="380"/>
        <v>0</v>
      </c>
      <c r="Y2377" s="8">
        <f t="shared" si="381"/>
        <v>46023</v>
      </c>
    </row>
    <row r="2378" spans="2:25" ht="18.75" x14ac:dyDescent="0.3">
      <c r="B2378" s="6">
        <f t="shared" si="373"/>
        <v>0</v>
      </c>
      <c r="C2378" s="6">
        <f t="shared" si="374"/>
        <v>0</v>
      </c>
      <c r="D2378" s="6" t="str">
        <f t="shared" si="375"/>
        <v/>
      </c>
      <c r="E2378" s="35" t="str">
        <f t="shared" si="372"/>
        <v/>
      </c>
      <c r="F2378" s="31"/>
      <c r="G2378" s="29"/>
      <c r="H2378" s="78" t="str">
        <f t="shared" si="376"/>
        <v/>
      </c>
      <c r="I2378" s="25"/>
      <c r="J2378" s="25"/>
      <c r="K2378" s="26"/>
      <c r="L2378" s="26"/>
      <c r="M2378" s="37"/>
      <c r="N2378" s="27"/>
      <c r="O2378" s="30"/>
      <c r="P2378" s="39" t="str">
        <f t="shared" si="377"/>
        <v/>
      </c>
      <c r="Q2378" s="40" t="str">
        <f>IF(OR(T2378=0,RIGHT(T2378,1)=$W$1),"",COUNTIF($T$3:T2378,T2378))</f>
        <v/>
      </c>
      <c r="S2378" s="6">
        <f t="shared" si="378"/>
        <v>0</v>
      </c>
      <c r="T2378" s="36">
        <f t="shared" si="379"/>
        <v>0</v>
      </c>
      <c r="V2378" s="6">
        <f t="shared" si="380"/>
        <v>0</v>
      </c>
      <c r="Y2378" s="8">
        <f t="shared" si="381"/>
        <v>46023</v>
      </c>
    </row>
    <row r="2379" spans="2:25" ht="18.75" x14ac:dyDescent="0.3">
      <c r="B2379" s="6">
        <f t="shared" si="373"/>
        <v>0</v>
      </c>
      <c r="C2379" s="6">
        <f t="shared" si="374"/>
        <v>0</v>
      </c>
      <c r="D2379" s="6" t="str">
        <f t="shared" si="375"/>
        <v/>
      </c>
      <c r="E2379" s="35" t="str">
        <f t="shared" si="372"/>
        <v/>
      </c>
      <c r="F2379" s="31"/>
      <c r="G2379" s="29"/>
      <c r="H2379" s="78" t="str">
        <f t="shared" si="376"/>
        <v/>
      </c>
      <c r="I2379" s="25"/>
      <c r="J2379" s="25"/>
      <c r="K2379" s="26"/>
      <c r="L2379" s="26"/>
      <c r="M2379" s="37"/>
      <c r="N2379" s="27"/>
      <c r="O2379" s="30"/>
      <c r="P2379" s="39" t="str">
        <f t="shared" si="377"/>
        <v/>
      </c>
      <c r="Q2379" s="40" t="str">
        <f>IF(OR(T2379=0,RIGHT(T2379,1)=$W$1),"",COUNTIF($T$3:T2379,T2379))</f>
        <v/>
      </c>
      <c r="S2379" s="6">
        <f t="shared" si="378"/>
        <v>0</v>
      </c>
      <c r="T2379" s="36">
        <f t="shared" si="379"/>
        <v>0</v>
      </c>
      <c r="V2379" s="6">
        <f t="shared" si="380"/>
        <v>0</v>
      </c>
      <c r="Y2379" s="8">
        <f t="shared" si="381"/>
        <v>46023</v>
      </c>
    </row>
    <row r="2380" spans="2:25" ht="18.75" x14ac:dyDescent="0.3">
      <c r="B2380" s="6">
        <f t="shared" si="373"/>
        <v>0</v>
      </c>
      <c r="C2380" s="6">
        <f t="shared" si="374"/>
        <v>0</v>
      </c>
      <c r="D2380" s="6" t="str">
        <f t="shared" si="375"/>
        <v/>
      </c>
      <c r="E2380" s="35" t="str">
        <f t="shared" si="372"/>
        <v/>
      </c>
      <c r="F2380" s="31"/>
      <c r="G2380" s="29"/>
      <c r="H2380" s="78" t="str">
        <f t="shared" si="376"/>
        <v/>
      </c>
      <c r="I2380" s="25"/>
      <c r="J2380" s="25"/>
      <c r="K2380" s="26"/>
      <c r="L2380" s="26"/>
      <c r="M2380" s="37"/>
      <c r="N2380" s="27"/>
      <c r="O2380" s="30"/>
      <c r="P2380" s="39" t="str">
        <f t="shared" si="377"/>
        <v/>
      </c>
      <c r="Q2380" s="40" t="str">
        <f>IF(OR(T2380=0,RIGHT(T2380,1)=$W$1),"",COUNTIF($T$3:T2380,T2380))</f>
        <v/>
      </c>
      <c r="S2380" s="6">
        <f t="shared" si="378"/>
        <v>0</v>
      </c>
      <c r="T2380" s="36">
        <f t="shared" si="379"/>
        <v>0</v>
      </c>
      <c r="V2380" s="6">
        <f t="shared" si="380"/>
        <v>0</v>
      </c>
      <c r="Y2380" s="8">
        <f t="shared" si="381"/>
        <v>46023</v>
      </c>
    </row>
    <row r="2381" spans="2:25" ht="18.75" x14ac:dyDescent="0.3">
      <c r="B2381" s="6">
        <f t="shared" si="373"/>
        <v>0</v>
      </c>
      <c r="C2381" s="6">
        <f t="shared" si="374"/>
        <v>0</v>
      </c>
      <c r="D2381" s="6" t="str">
        <f t="shared" si="375"/>
        <v/>
      </c>
      <c r="E2381" s="35" t="str">
        <f t="shared" si="372"/>
        <v/>
      </c>
      <c r="F2381" s="31"/>
      <c r="G2381" s="29"/>
      <c r="H2381" s="78" t="str">
        <f t="shared" si="376"/>
        <v/>
      </c>
      <c r="I2381" s="25"/>
      <c r="J2381" s="25"/>
      <c r="K2381" s="26"/>
      <c r="L2381" s="26"/>
      <c r="M2381" s="37"/>
      <c r="N2381" s="27"/>
      <c r="O2381" s="30"/>
      <c r="P2381" s="39" t="str">
        <f t="shared" si="377"/>
        <v/>
      </c>
      <c r="Q2381" s="40" t="str">
        <f>IF(OR(T2381=0,RIGHT(T2381,1)=$W$1),"",COUNTIF($T$3:T2381,T2381))</f>
        <v/>
      </c>
      <c r="S2381" s="6">
        <f t="shared" si="378"/>
        <v>0</v>
      </c>
      <c r="T2381" s="36">
        <f t="shared" si="379"/>
        <v>0</v>
      </c>
      <c r="V2381" s="6">
        <f t="shared" si="380"/>
        <v>0</v>
      </c>
      <c r="Y2381" s="8">
        <f t="shared" si="381"/>
        <v>46023</v>
      </c>
    </row>
    <row r="2382" spans="2:25" ht="18.75" x14ac:dyDescent="0.3">
      <c r="B2382" s="6">
        <f t="shared" si="373"/>
        <v>0</v>
      </c>
      <c r="C2382" s="6">
        <f t="shared" si="374"/>
        <v>0</v>
      </c>
      <c r="D2382" s="6" t="str">
        <f t="shared" si="375"/>
        <v/>
      </c>
      <c r="E2382" s="35" t="str">
        <f t="shared" si="372"/>
        <v/>
      </c>
      <c r="F2382" s="31"/>
      <c r="G2382" s="29"/>
      <c r="H2382" s="78" t="str">
        <f t="shared" si="376"/>
        <v/>
      </c>
      <c r="I2382" s="25"/>
      <c r="J2382" s="25"/>
      <c r="K2382" s="26"/>
      <c r="L2382" s="26"/>
      <c r="M2382" s="37"/>
      <c r="N2382" s="27"/>
      <c r="O2382" s="30"/>
      <c r="P2382" s="39" t="str">
        <f t="shared" si="377"/>
        <v/>
      </c>
      <c r="Q2382" s="40" t="str">
        <f>IF(OR(T2382=0,RIGHT(T2382,1)=$W$1),"",COUNTIF($T$3:T2382,T2382))</f>
        <v/>
      </c>
      <c r="S2382" s="6">
        <f t="shared" si="378"/>
        <v>0</v>
      </c>
      <c r="T2382" s="36">
        <f t="shared" si="379"/>
        <v>0</v>
      </c>
      <c r="V2382" s="6">
        <f t="shared" si="380"/>
        <v>0</v>
      </c>
      <c r="Y2382" s="8">
        <f t="shared" si="381"/>
        <v>46023</v>
      </c>
    </row>
    <row r="2383" spans="2:25" ht="18.75" x14ac:dyDescent="0.3">
      <c r="B2383" s="6">
        <f t="shared" si="373"/>
        <v>0</v>
      </c>
      <c r="C2383" s="6">
        <f t="shared" si="374"/>
        <v>0</v>
      </c>
      <c r="D2383" s="6" t="str">
        <f t="shared" si="375"/>
        <v/>
      </c>
      <c r="E2383" s="35" t="str">
        <f t="shared" si="372"/>
        <v/>
      </c>
      <c r="F2383" s="31"/>
      <c r="G2383" s="29"/>
      <c r="H2383" s="78" t="str">
        <f t="shared" si="376"/>
        <v/>
      </c>
      <c r="I2383" s="25"/>
      <c r="J2383" s="25"/>
      <c r="K2383" s="26"/>
      <c r="L2383" s="26"/>
      <c r="M2383" s="37"/>
      <c r="N2383" s="27"/>
      <c r="O2383" s="30"/>
      <c r="P2383" s="39" t="str">
        <f t="shared" si="377"/>
        <v/>
      </c>
      <c r="Q2383" s="40" t="str">
        <f>IF(OR(T2383=0,RIGHT(T2383,1)=$W$1),"",COUNTIF($T$3:T2383,T2383))</f>
        <v/>
      </c>
      <c r="S2383" s="6">
        <f t="shared" si="378"/>
        <v>0</v>
      </c>
      <c r="T2383" s="36">
        <f t="shared" si="379"/>
        <v>0</v>
      </c>
      <c r="V2383" s="6">
        <f t="shared" si="380"/>
        <v>0</v>
      </c>
      <c r="Y2383" s="8">
        <f t="shared" si="381"/>
        <v>46023</v>
      </c>
    </row>
    <row r="2384" spans="2:25" ht="18.75" x14ac:dyDescent="0.3">
      <c r="B2384" s="6">
        <f t="shared" si="373"/>
        <v>0</v>
      </c>
      <c r="C2384" s="6">
        <f t="shared" si="374"/>
        <v>0</v>
      </c>
      <c r="D2384" s="6" t="str">
        <f t="shared" si="375"/>
        <v/>
      </c>
      <c r="E2384" s="35" t="str">
        <f t="shared" si="372"/>
        <v/>
      </c>
      <c r="F2384" s="31"/>
      <c r="G2384" s="29"/>
      <c r="H2384" s="78" t="str">
        <f t="shared" si="376"/>
        <v/>
      </c>
      <c r="I2384" s="25"/>
      <c r="J2384" s="25"/>
      <c r="K2384" s="26"/>
      <c r="L2384" s="26"/>
      <c r="M2384" s="37"/>
      <c r="N2384" s="27"/>
      <c r="O2384" s="30"/>
      <c r="P2384" s="39" t="str">
        <f t="shared" si="377"/>
        <v/>
      </c>
      <c r="Q2384" s="40" t="str">
        <f>IF(OR(T2384=0,RIGHT(T2384,1)=$W$1),"",COUNTIF($T$3:T2384,T2384))</f>
        <v/>
      </c>
      <c r="S2384" s="6">
        <f t="shared" si="378"/>
        <v>0</v>
      </c>
      <c r="T2384" s="36">
        <f t="shared" si="379"/>
        <v>0</v>
      </c>
      <c r="V2384" s="6">
        <f t="shared" si="380"/>
        <v>0</v>
      </c>
      <c r="Y2384" s="8">
        <f t="shared" si="381"/>
        <v>46023</v>
      </c>
    </row>
    <row r="2385" spans="2:25" ht="18.75" x14ac:dyDescent="0.3">
      <c r="B2385" s="6">
        <f t="shared" si="373"/>
        <v>0</v>
      </c>
      <c r="C2385" s="6">
        <f t="shared" si="374"/>
        <v>0</v>
      </c>
      <c r="D2385" s="6" t="str">
        <f t="shared" si="375"/>
        <v/>
      </c>
      <c r="E2385" s="35" t="str">
        <f t="shared" si="372"/>
        <v/>
      </c>
      <c r="F2385" s="31"/>
      <c r="G2385" s="29"/>
      <c r="H2385" s="78" t="str">
        <f t="shared" si="376"/>
        <v/>
      </c>
      <c r="I2385" s="25"/>
      <c r="J2385" s="25"/>
      <c r="K2385" s="26"/>
      <c r="L2385" s="26"/>
      <c r="M2385" s="37"/>
      <c r="N2385" s="27"/>
      <c r="O2385" s="30"/>
      <c r="P2385" s="39" t="str">
        <f t="shared" si="377"/>
        <v/>
      </c>
      <c r="Q2385" s="40" t="str">
        <f>IF(OR(T2385=0,RIGHT(T2385,1)=$W$1),"",COUNTIF($T$3:T2385,T2385))</f>
        <v/>
      </c>
      <c r="S2385" s="6">
        <f t="shared" si="378"/>
        <v>0</v>
      </c>
      <c r="T2385" s="36">
        <f t="shared" si="379"/>
        <v>0</v>
      </c>
      <c r="V2385" s="6">
        <f t="shared" si="380"/>
        <v>0</v>
      </c>
      <c r="Y2385" s="8">
        <f t="shared" si="381"/>
        <v>46023</v>
      </c>
    </row>
    <row r="2386" spans="2:25" ht="18.75" x14ac:dyDescent="0.3">
      <c r="B2386" s="6">
        <f t="shared" si="373"/>
        <v>0</v>
      </c>
      <c r="C2386" s="6">
        <f t="shared" si="374"/>
        <v>0</v>
      </c>
      <c r="D2386" s="6" t="str">
        <f t="shared" si="375"/>
        <v/>
      </c>
      <c r="E2386" s="35" t="str">
        <f t="shared" si="372"/>
        <v/>
      </c>
      <c r="F2386" s="31"/>
      <c r="G2386" s="29"/>
      <c r="H2386" s="78" t="str">
        <f t="shared" si="376"/>
        <v/>
      </c>
      <c r="I2386" s="25"/>
      <c r="J2386" s="25"/>
      <c r="K2386" s="26"/>
      <c r="L2386" s="26"/>
      <c r="M2386" s="37"/>
      <c r="N2386" s="27"/>
      <c r="O2386" s="30"/>
      <c r="P2386" s="39" t="str">
        <f t="shared" si="377"/>
        <v/>
      </c>
      <c r="Q2386" s="40" t="str">
        <f>IF(OR(T2386=0,RIGHT(T2386,1)=$W$1),"",COUNTIF($T$3:T2386,T2386))</f>
        <v/>
      </c>
      <c r="S2386" s="6">
        <f t="shared" si="378"/>
        <v>0</v>
      </c>
      <c r="T2386" s="36">
        <f t="shared" si="379"/>
        <v>0</v>
      </c>
      <c r="V2386" s="6">
        <f t="shared" si="380"/>
        <v>0</v>
      </c>
      <c r="Y2386" s="8">
        <f t="shared" si="381"/>
        <v>46023</v>
      </c>
    </row>
    <row r="2387" spans="2:25" ht="18.75" x14ac:dyDescent="0.3">
      <c r="B2387" s="6">
        <f t="shared" si="373"/>
        <v>0</v>
      </c>
      <c r="C2387" s="6">
        <f t="shared" si="374"/>
        <v>0</v>
      </c>
      <c r="D2387" s="6" t="str">
        <f t="shared" si="375"/>
        <v/>
      </c>
      <c r="E2387" s="35" t="str">
        <f t="shared" si="372"/>
        <v/>
      </c>
      <c r="F2387" s="31"/>
      <c r="G2387" s="29"/>
      <c r="H2387" s="78" t="str">
        <f t="shared" si="376"/>
        <v/>
      </c>
      <c r="I2387" s="25"/>
      <c r="J2387" s="25"/>
      <c r="K2387" s="26"/>
      <c r="L2387" s="26"/>
      <c r="M2387" s="37"/>
      <c r="N2387" s="27"/>
      <c r="O2387" s="30"/>
      <c r="P2387" s="39" t="str">
        <f t="shared" si="377"/>
        <v/>
      </c>
      <c r="Q2387" s="40" t="str">
        <f>IF(OR(T2387=0,RIGHT(T2387,1)=$W$1),"",COUNTIF($T$3:T2387,T2387))</f>
        <v/>
      </c>
      <c r="S2387" s="6">
        <f t="shared" si="378"/>
        <v>0</v>
      </c>
      <c r="T2387" s="36">
        <f t="shared" si="379"/>
        <v>0</v>
      </c>
      <c r="V2387" s="6">
        <f t="shared" si="380"/>
        <v>0</v>
      </c>
      <c r="Y2387" s="8">
        <f t="shared" si="381"/>
        <v>46023</v>
      </c>
    </row>
    <row r="2388" spans="2:25" ht="18.75" x14ac:dyDescent="0.3">
      <c r="B2388" s="6">
        <f t="shared" si="373"/>
        <v>0</v>
      </c>
      <c r="C2388" s="6">
        <f t="shared" si="374"/>
        <v>0</v>
      </c>
      <c r="D2388" s="6" t="str">
        <f t="shared" si="375"/>
        <v/>
      </c>
      <c r="E2388" s="35" t="str">
        <f t="shared" si="372"/>
        <v/>
      </c>
      <c r="F2388" s="31"/>
      <c r="G2388" s="29"/>
      <c r="H2388" s="78" t="str">
        <f t="shared" si="376"/>
        <v/>
      </c>
      <c r="I2388" s="25"/>
      <c r="J2388" s="25"/>
      <c r="K2388" s="26"/>
      <c r="L2388" s="26"/>
      <c r="M2388" s="37"/>
      <c r="N2388" s="27"/>
      <c r="O2388" s="30"/>
      <c r="P2388" s="39" t="str">
        <f t="shared" si="377"/>
        <v/>
      </c>
      <c r="Q2388" s="40" t="str">
        <f>IF(OR(T2388=0,RIGHT(T2388,1)=$W$1),"",COUNTIF($T$3:T2388,T2388))</f>
        <v/>
      </c>
      <c r="S2388" s="6">
        <f t="shared" si="378"/>
        <v>0</v>
      </c>
      <c r="T2388" s="36">
        <f t="shared" si="379"/>
        <v>0</v>
      </c>
      <c r="V2388" s="6">
        <f t="shared" si="380"/>
        <v>0</v>
      </c>
      <c r="Y2388" s="8">
        <f t="shared" si="381"/>
        <v>46023</v>
      </c>
    </row>
    <row r="2389" spans="2:25" ht="18.75" x14ac:dyDescent="0.3">
      <c r="B2389" s="6">
        <f t="shared" si="373"/>
        <v>0</v>
      </c>
      <c r="C2389" s="6">
        <f t="shared" si="374"/>
        <v>0</v>
      </c>
      <c r="D2389" s="6" t="str">
        <f t="shared" si="375"/>
        <v/>
      </c>
      <c r="E2389" s="35" t="str">
        <f t="shared" si="372"/>
        <v/>
      </c>
      <c r="F2389" s="31"/>
      <c r="G2389" s="29"/>
      <c r="H2389" s="78" t="str">
        <f t="shared" si="376"/>
        <v/>
      </c>
      <c r="I2389" s="25"/>
      <c r="J2389" s="25"/>
      <c r="K2389" s="26"/>
      <c r="L2389" s="26"/>
      <c r="M2389" s="37"/>
      <c r="N2389" s="27"/>
      <c r="O2389" s="30"/>
      <c r="P2389" s="39" t="str">
        <f t="shared" si="377"/>
        <v/>
      </c>
      <c r="Q2389" s="40" t="str">
        <f>IF(OR(T2389=0,RIGHT(T2389,1)=$W$1),"",COUNTIF($T$3:T2389,T2389))</f>
        <v/>
      </c>
      <c r="S2389" s="6">
        <f t="shared" si="378"/>
        <v>0</v>
      </c>
      <c r="T2389" s="36">
        <f t="shared" si="379"/>
        <v>0</v>
      </c>
      <c r="V2389" s="6">
        <f t="shared" si="380"/>
        <v>0</v>
      </c>
      <c r="Y2389" s="8">
        <f t="shared" si="381"/>
        <v>46023</v>
      </c>
    </row>
    <row r="2390" spans="2:25" ht="18.75" x14ac:dyDescent="0.3">
      <c r="B2390" s="6">
        <f t="shared" si="373"/>
        <v>0</v>
      </c>
      <c r="C2390" s="6">
        <f t="shared" si="374"/>
        <v>0</v>
      </c>
      <c r="D2390" s="6" t="str">
        <f t="shared" si="375"/>
        <v/>
      </c>
      <c r="E2390" s="35" t="str">
        <f t="shared" si="372"/>
        <v/>
      </c>
      <c r="F2390" s="31"/>
      <c r="G2390" s="29"/>
      <c r="H2390" s="78" t="str">
        <f t="shared" si="376"/>
        <v/>
      </c>
      <c r="I2390" s="25"/>
      <c r="J2390" s="25"/>
      <c r="K2390" s="26"/>
      <c r="L2390" s="26"/>
      <c r="M2390" s="37"/>
      <c r="N2390" s="27"/>
      <c r="O2390" s="30"/>
      <c r="P2390" s="39" t="str">
        <f t="shared" si="377"/>
        <v/>
      </c>
      <c r="Q2390" s="40" t="str">
        <f>IF(OR(T2390=0,RIGHT(T2390,1)=$W$1),"",COUNTIF($T$3:T2390,T2390))</f>
        <v/>
      </c>
      <c r="S2390" s="6">
        <f t="shared" si="378"/>
        <v>0</v>
      </c>
      <c r="T2390" s="36">
        <f t="shared" si="379"/>
        <v>0</v>
      </c>
      <c r="V2390" s="6">
        <f t="shared" si="380"/>
        <v>0</v>
      </c>
      <c r="Y2390" s="8">
        <f t="shared" si="381"/>
        <v>46023</v>
      </c>
    </row>
    <row r="2391" spans="2:25" ht="18.75" x14ac:dyDescent="0.3">
      <c r="B2391" s="6">
        <f t="shared" si="373"/>
        <v>0</v>
      </c>
      <c r="C2391" s="6">
        <f t="shared" si="374"/>
        <v>0</v>
      </c>
      <c r="D2391" s="6" t="str">
        <f t="shared" si="375"/>
        <v/>
      </c>
      <c r="E2391" s="35" t="str">
        <f t="shared" si="372"/>
        <v/>
      </c>
      <c r="F2391" s="31"/>
      <c r="G2391" s="29"/>
      <c r="H2391" s="78" t="str">
        <f t="shared" si="376"/>
        <v/>
      </c>
      <c r="I2391" s="25"/>
      <c r="J2391" s="25"/>
      <c r="K2391" s="26"/>
      <c r="L2391" s="26"/>
      <c r="M2391" s="37"/>
      <c r="N2391" s="27"/>
      <c r="O2391" s="30"/>
      <c r="P2391" s="39" t="str">
        <f t="shared" si="377"/>
        <v/>
      </c>
      <c r="Q2391" s="40" t="str">
        <f>IF(OR(T2391=0,RIGHT(T2391,1)=$W$1),"",COUNTIF($T$3:T2391,T2391))</f>
        <v/>
      </c>
      <c r="S2391" s="6">
        <f t="shared" si="378"/>
        <v>0</v>
      </c>
      <c r="T2391" s="36">
        <f t="shared" si="379"/>
        <v>0</v>
      </c>
      <c r="V2391" s="6">
        <f t="shared" si="380"/>
        <v>0</v>
      </c>
      <c r="Y2391" s="8">
        <f t="shared" si="381"/>
        <v>46023</v>
      </c>
    </row>
    <row r="2392" spans="2:25" ht="18.75" x14ac:dyDescent="0.3">
      <c r="B2392" s="6">
        <f t="shared" si="373"/>
        <v>0</v>
      </c>
      <c r="C2392" s="6">
        <f t="shared" si="374"/>
        <v>0</v>
      </c>
      <c r="D2392" s="6" t="str">
        <f t="shared" si="375"/>
        <v/>
      </c>
      <c r="E2392" s="35" t="str">
        <f t="shared" si="372"/>
        <v/>
      </c>
      <c r="F2392" s="31"/>
      <c r="G2392" s="29"/>
      <c r="H2392" s="78" t="str">
        <f t="shared" si="376"/>
        <v/>
      </c>
      <c r="I2392" s="25"/>
      <c r="J2392" s="25"/>
      <c r="K2392" s="26"/>
      <c r="L2392" s="26"/>
      <c r="M2392" s="37"/>
      <c r="N2392" s="27"/>
      <c r="O2392" s="30"/>
      <c r="P2392" s="39" t="str">
        <f t="shared" si="377"/>
        <v/>
      </c>
      <c r="Q2392" s="40" t="str">
        <f>IF(OR(T2392=0,RIGHT(T2392,1)=$W$1),"",COUNTIF($T$3:T2392,T2392))</f>
        <v/>
      </c>
      <c r="S2392" s="6">
        <f t="shared" si="378"/>
        <v>0</v>
      </c>
      <c r="T2392" s="36">
        <f t="shared" si="379"/>
        <v>0</v>
      </c>
      <c r="V2392" s="6">
        <f t="shared" si="380"/>
        <v>0</v>
      </c>
      <c r="Y2392" s="8">
        <f t="shared" si="381"/>
        <v>46023</v>
      </c>
    </row>
    <row r="2393" spans="2:25" ht="18.75" x14ac:dyDescent="0.3">
      <c r="B2393" s="6">
        <f t="shared" si="373"/>
        <v>0</v>
      </c>
      <c r="C2393" s="6">
        <f t="shared" si="374"/>
        <v>0</v>
      </c>
      <c r="D2393" s="6" t="str">
        <f t="shared" si="375"/>
        <v/>
      </c>
      <c r="E2393" s="35" t="str">
        <f t="shared" si="372"/>
        <v/>
      </c>
      <c r="F2393" s="31"/>
      <c r="G2393" s="29"/>
      <c r="H2393" s="78" t="str">
        <f t="shared" si="376"/>
        <v/>
      </c>
      <c r="I2393" s="25"/>
      <c r="J2393" s="25"/>
      <c r="K2393" s="26"/>
      <c r="L2393" s="26"/>
      <c r="M2393" s="37"/>
      <c r="N2393" s="27"/>
      <c r="O2393" s="30"/>
      <c r="P2393" s="39" t="str">
        <f t="shared" si="377"/>
        <v/>
      </c>
      <c r="Q2393" s="40" t="str">
        <f>IF(OR(T2393=0,RIGHT(T2393,1)=$W$1),"",COUNTIF($T$3:T2393,T2393))</f>
        <v/>
      </c>
      <c r="S2393" s="6">
        <f t="shared" si="378"/>
        <v>0</v>
      </c>
      <c r="T2393" s="36">
        <f t="shared" si="379"/>
        <v>0</v>
      </c>
      <c r="V2393" s="6">
        <f t="shared" si="380"/>
        <v>0</v>
      </c>
      <c r="Y2393" s="8">
        <f t="shared" si="381"/>
        <v>46023</v>
      </c>
    </row>
    <row r="2394" spans="2:25" ht="18.75" x14ac:dyDescent="0.3">
      <c r="B2394" s="6">
        <f t="shared" si="373"/>
        <v>0</v>
      </c>
      <c r="C2394" s="6">
        <f t="shared" si="374"/>
        <v>0</v>
      </c>
      <c r="D2394" s="6" t="str">
        <f t="shared" si="375"/>
        <v/>
      </c>
      <c r="E2394" s="35" t="str">
        <f t="shared" si="372"/>
        <v/>
      </c>
      <c r="F2394" s="31"/>
      <c r="G2394" s="29"/>
      <c r="H2394" s="78" t="str">
        <f t="shared" si="376"/>
        <v/>
      </c>
      <c r="I2394" s="25"/>
      <c r="J2394" s="25"/>
      <c r="K2394" s="26"/>
      <c r="L2394" s="26"/>
      <c r="M2394" s="37"/>
      <c r="N2394" s="27"/>
      <c r="O2394" s="30"/>
      <c r="P2394" s="39" t="str">
        <f t="shared" si="377"/>
        <v/>
      </c>
      <c r="Q2394" s="40" t="str">
        <f>IF(OR(T2394=0,RIGHT(T2394,1)=$W$1),"",COUNTIF($T$3:T2394,T2394))</f>
        <v/>
      </c>
      <c r="S2394" s="6">
        <f t="shared" si="378"/>
        <v>0</v>
      </c>
      <c r="T2394" s="36">
        <f t="shared" si="379"/>
        <v>0</v>
      </c>
      <c r="V2394" s="6">
        <f t="shared" si="380"/>
        <v>0</v>
      </c>
      <c r="Y2394" s="8">
        <f t="shared" si="381"/>
        <v>46023</v>
      </c>
    </row>
    <row r="2395" spans="2:25" ht="18.75" x14ac:dyDescent="0.3">
      <c r="B2395" s="6">
        <f t="shared" si="373"/>
        <v>0</v>
      </c>
      <c r="C2395" s="6">
        <f t="shared" si="374"/>
        <v>0</v>
      </c>
      <c r="D2395" s="6" t="str">
        <f t="shared" si="375"/>
        <v/>
      </c>
      <c r="E2395" s="35" t="str">
        <f t="shared" si="372"/>
        <v/>
      </c>
      <c r="F2395" s="31"/>
      <c r="G2395" s="29"/>
      <c r="H2395" s="78" t="str">
        <f t="shared" si="376"/>
        <v/>
      </c>
      <c r="I2395" s="25"/>
      <c r="J2395" s="25"/>
      <c r="K2395" s="26"/>
      <c r="L2395" s="26"/>
      <c r="M2395" s="37"/>
      <c r="N2395" s="27"/>
      <c r="O2395" s="30"/>
      <c r="P2395" s="39" t="str">
        <f t="shared" si="377"/>
        <v/>
      </c>
      <c r="Q2395" s="40" t="str">
        <f>IF(OR(T2395=0,RIGHT(T2395,1)=$W$1),"",COUNTIF($T$3:T2395,T2395))</f>
        <v/>
      </c>
      <c r="S2395" s="6">
        <f t="shared" si="378"/>
        <v>0</v>
      </c>
      <c r="T2395" s="36">
        <f t="shared" si="379"/>
        <v>0</v>
      </c>
      <c r="V2395" s="6">
        <f t="shared" si="380"/>
        <v>0</v>
      </c>
      <c r="Y2395" s="8">
        <f t="shared" si="381"/>
        <v>46023</v>
      </c>
    </row>
    <row r="2396" spans="2:25" ht="18.75" x14ac:dyDescent="0.3">
      <c r="B2396" s="6">
        <f t="shared" si="373"/>
        <v>0</v>
      </c>
      <c r="C2396" s="6">
        <f t="shared" si="374"/>
        <v>0</v>
      </c>
      <c r="D2396" s="6" t="str">
        <f t="shared" si="375"/>
        <v/>
      </c>
      <c r="E2396" s="35" t="str">
        <f t="shared" si="372"/>
        <v/>
      </c>
      <c r="F2396" s="31"/>
      <c r="G2396" s="29"/>
      <c r="H2396" s="78" t="str">
        <f t="shared" si="376"/>
        <v/>
      </c>
      <c r="I2396" s="25"/>
      <c r="J2396" s="25"/>
      <c r="K2396" s="26"/>
      <c r="L2396" s="26"/>
      <c r="M2396" s="37"/>
      <c r="N2396" s="27"/>
      <c r="O2396" s="30"/>
      <c r="P2396" s="39" t="str">
        <f t="shared" si="377"/>
        <v/>
      </c>
      <c r="Q2396" s="40" t="str">
        <f>IF(OR(T2396=0,RIGHT(T2396,1)=$W$1),"",COUNTIF($T$3:T2396,T2396))</f>
        <v/>
      </c>
      <c r="S2396" s="6">
        <f t="shared" si="378"/>
        <v>0</v>
      </c>
      <c r="T2396" s="36">
        <f t="shared" si="379"/>
        <v>0</v>
      </c>
      <c r="V2396" s="6">
        <f t="shared" si="380"/>
        <v>0</v>
      </c>
      <c r="Y2396" s="8">
        <f t="shared" si="381"/>
        <v>46023</v>
      </c>
    </row>
    <row r="2397" spans="2:25" ht="18.75" x14ac:dyDescent="0.3">
      <c r="B2397" s="6">
        <f t="shared" si="373"/>
        <v>0</v>
      </c>
      <c r="C2397" s="6">
        <f t="shared" si="374"/>
        <v>0</v>
      </c>
      <c r="D2397" s="6" t="str">
        <f t="shared" si="375"/>
        <v/>
      </c>
      <c r="E2397" s="35" t="str">
        <f t="shared" si="372"/>
        <v/>
      </c>
      <c r="F2397" s="31"/>
      <c r="G2397" s="29"/>
      <c r="H2397" s="78" t="str">
        <f t="shared" si="376"/>
        <v/>
      </c>
      <c r="I2397" s="25"/>
      <c r="J2397" s="25"/>
      <c r="K2397" s="26"/>
      <c r="L2397" s="26"/>
      <c r="M2397" s="37"/>
      <c r="N2397" s="27"/>
      <c r="O2397" s="30"/>
      <c r="P2397" s="39" t="str">
        <f t="shared" si="377"/>
        <v/>
      </c>
      <c r="Q2397" s="40" t="str">
        <f>IF(OR(T2397=0,RIGHT(T2397,1)=$W$1),"",COUNTIF($T$3:T2397,T2397))</f>
        <v/>
      </c>
      <c r="S2397" s="6">
        <f t="shared" si="378"/>
        <v>0</v>
      </c>
      <c r="T2397" s="36">
        <f t="shared" si="379"/>
        <v>0</v>
      </c>
      <c r="V2397" s="6">
        <f t="shared" si="380"/>
        <v>0</v>
      </c>
      <c r="Y2397" s="8">
        <f t="shared" si="381"/>
        <v>46023</v>
      </c>
    </row>
    <row r="2398" spans="2:25" ht="18.75" x14ac:dyDescent="0.3">
      <c r="B2398" s="6">
        <f t="shared" si="373"/>
        <v>0</v>
      </c>
      <c r="C2398" s="6">
        <f t="shared" si="374"/>
        <v>0</v>
      </c>
      <c r="D2398" s="6" t="str">
        <f t="shared" si="375"/>
        <v/>
      </c>
      <c r="E2398" s="35" t="str">
        <f t="shared" si="372"/>
        <v/>
      </c>
      <c r="F2398" s="31"/>
      <c r="G2398" s="29"/>
      <c r="H2398" s="78" t="str">
        <f t="shared" si="376"/>
        <v/>
      </c>
      <c r="I2398" s="25"/>
      <c r="J2398" s="25"/>
      <c r="K2398" s="26"/>
      <c r="L2398" s="26"/>
      <c r="M2398" s="37"/>
      <c r="N2398" s="27"/>
      <c r="O2398" s="30"/>
      <c r="P2398" s="39" t="str">
        <f t="shared" si="377"/>
        <v/>
      </c>
      <c r="Q2398" s="40" t="str">
        <f>IF(OR(T2398=0,RIGHT(T2398,1)=$W$1),"",COUNTIF($T$3:T2398,T2398))</f>
        <v/>
      </c>
      <c r="S2398" s="6">
        <f t="shared" si="378"/>
        <v>0</v>
      </c>
      <c r="T2398" s="36">
        <f t="shared" si="379"/>
        <v>0</v>
      </c>
      <c r="V2398" s="6">
        <f t="shared" si="380"/>
        <v>0</v>
      </c>
      <c r="Y2398" s="8">
        <f t="shared" si="381"/>
        <v>46023</v>
      </c>
    </row>
    <row r="2399" spans="2:25" ht="18.75" x14ac:dyDescent="0.3">
      <c r="B2399" s="6">
        <f t="shared" si="373"/>
        <v>0</v>
      </c>
      <c r="C2399" s="6">
        <f t="shared" si="374"/>
        <v>0</v>
      </c>
      <c r="D2399" s="6" t="str">
        <f t="shared" si="375"/>
        <v/>
      </c>
      <c r="E2399" s="35" t="str">
        <f t="shared" si="372"/>
        <v/>
      </c>
      <c r="F2399" s="31"/>
      <c r="G2399" s="29"/>
      <c r="H2399" s="78" t="str">
        <f t="shared" si="376"/>
        <v/>
      </c>
      <c r="I2399" s="25"/>
      <c r="J2399" s="25"/>
      <c r="K2399" s="26"/>
      <c r="L2399" s="26"/>
      <c r="M2399" s="37"/>
      <c r="N2399" s="27"/>
      <c r="O2399" s="30"/>
      <c r="P2399" s="39" t="str">
        <f t="shared" si="377"/>
        <v/>
      </c>
      <c r="Q2399" s="40" t="str">
        <f>IF(OR(T2399=0,RIGHT(T2399,1)=$W$1),"",COUNTIF($T$3:T2399,T2399))</f>
        <v/>
      </c>
      <c r="S2399" s="6">
        <f t="shared" si="378"/>
        <v>0</v>
      </c>
      <c r="T2399" s="36">
        <f t="shared" si="379"/>
        <v>0</v>
      </c>
      <c r="V2399" s="6">
        <f t="shared" si="380"/>
        <v>0</v>
      </c>
      <c r="Y2399" s="8">
        <f t="shared" si="381"/>
        <v>46023</v>
      </c>
    </row>
    <row r="2400" spans="2:25" ht="18.75" x14ac:dyDescent="0.3">
      <c r="B2400" s="6">
        <f t="shared" si="373"/>
        <v>0</v>
      </c>
      <c r="C2400" s="6">
        <f t="shared" si="374"/>
        <v>0</v>
      </c>
      <c r="D2400" s="6" t="str">
        <f t="shared" si="375"/>
        <v/>
      </c>
      <c r="E2400" s="35" t="str">
        <f t="shared" si="372"/>
        <v/>
      </c>
      <c r="F2400" s="31"/>
      <c r="G2400" s="29"/>
      <c r="H2400" s="78" t="str">
        <f t="shared" si="376"/>
        <v/>
      </c>
      <c r="I2400" s="25"/>
      <c r="J2400" s="25"/>
      <c r="K2400" s="26"/>
      <c r="L2400" s="26"/>
      <c r="M2400" s="37"/>
      <c r="N2400" s="27"/>
      <c r="O2400" s="30"/>
      <c r="P2400" s="39" t="str">
        <f t="shared" si="377"/>
        <v/>
      </c>
      <c r="Q2400" s="40" t="str">
        <f>IF(OR(T2400=0,RIGHT(T2400,1)=$W$1),"",COUNTIF($T$3:T2400,T2400))</f>
        <v/>
      </c>
      <c r="S2400" s="6">
        <f t="shared" si="378"/>
        <v>0</v>
      </c>
      <c r="T2400" s="36">
        <f t="shared" si="379"/>
        <v>0</v>
      </c>
      <c r="V2400" s="6">
        <f t="shared" si="380"/>
        <v>0</v>
      </c>
      <c r="Y2400" s="8">
        <f t="shared" si="381"/>
        <v>46023</v>
      </c>
    </row>
    <row r="2401" spans="2:25" ht="18.75" x14ac:dyDescent="0.3">
      <c r="B2401" s="6">
        <f t="shared" si="373"/>
        <v>0</v>
      </c>
      <c r="C2401" s="6">
        <f t="shared" si="374"/>
        <v>0</v>
      </c>
      <c r="D2401" s="6" t="str">
        <f t="shared" si="375"/>
        <v/>
      </c>
      <c r="E2401" s="35" t="str">
        <f t="shared" si="372"/>
        <v/>
      </c>
      <c r="F2401" s="31"/>
      <c r="G2401" s="29"/>
      <c r="H2401" s="78" t="str">
        <f t="shared" si="376"/>
        <v/>
      </c>
      <c r="I2401" s="25"/>
      <c r="J2401" s="25"/>
      <c r="K2401" s="26"/>
      <c r="L2401" s="26"/>
      <c r="M2401" s="37"/>
      <c r="N2401" s="27"/>
      <c r="O2401" s="30"/>
      <c r="P2401" s="39" t="str">
        <f t="shared" si="377"/>
        <v/>
      </c>
      <c r="Q2401" s="40" t="str">
        <f>IF(OR(T2401=0,RIGHT(T2401,1)=$W$1),"",COUNTIF($T$3:T2401,T2401))</f>
        <v/>
      </c>
      <c r="S2401" s="6">
        <f t="shared" si="378"/>
        <v>0</v>
      </c>
      <c r="T2401" s="36">
        <f t="shared" si="379"/>
        <v>0</v>
      </c>
      <c r="V2401" s="6">
        <f t="shared" si="380"/>
        <v>0</v>
      </c>
      <c r="Y2401" s="8">
        <f t="shared" si="381"/>
        <v>46023</v>
      </c>
    </row>
    <row r="2402" spans="2:25" ht="18.75" x14ac:dyDescent="0.3">
      <c r="B2402" s="6">
        <f t="shared" si="373"/>
        <v>0</v>
      </c>
      <c r="C2402" s="6">
        <f t="shared" si="374"/>
        <v>0</v>
      </c>
      <c r="D2402" s="6" t="str">
        <f t="shared" si="375"/>
        <v/>
      </c>
      <c r="E2402" s="35" t="str">
        <f t="shared" si="372"/>
        <v/>
      </c>
      <c r="F2402" s="31"/>
      <c r="G2402" s="29"/>
      <c r="H2402" s="78" t="str">
        <f t="shared" si="376"/>
        <v/>
      </c>
      <c r="I2402" s="25"/>
      <c r="J2402" s="25"/>
      <c r="K2402" s="26"/>
      <c r="L2402" s="26"/>
      <c r="M2402" s="37"/>
      <c r="N2402" s="27"/>
      <c r="O2402" s="30"/>
      <c r="P2402" s="39" t="str">
        <f t="shared" si="377"/>
        <v/>
      </c>
      <c r="Q2402" s="40" t="str">
        <f>IF(OR(T2402=0,RIGHT(T2402,1)=$W$1),"",COUNTIF($T$3:T2402,T2402))</f>
        <v/>
      </c>
      <c r="S2402" s="6">
        <f t="shared" si="378"/>
        <v>0</v>
      </c>
      <c r="T2402" s="36">
        <f t="shared" si="379"/>
        <v>0</v>
      </c>
      <c r="V2402" s="6">
        <f t="shared" si="380"/>
        <v>0</v>
      </c>
      <c r="Y2402" s="8">
        <f t="shared" si="381"/>
        <v>46023</v>
      </c>
    </row>
    <row r="2403" spans="2:25" ht="18.75" x14ac:dyDescent="0.3">
      <c r="B2403" s="6">
        <f t="shared" si="373"/>
        <v>0</v>
      </c>
      <c r="C2403" s="6">
        <f t="shared" si="374"/>
        <v>0</v>
      </c>
      <c r="D2403" s="6" t="str">
        <f t="shared" si="375"/>
        <v/>
      </c>
      <c r="E2403" s="35" t="str">
        <f t="shared" si="372"/>
        <v/>
      </c>
      <c r="F2403" s="31"/>
      <c r="G2403" s="29"/>
      <c r="H2403" s="78" t="str">
        <f t="shared" si="376"/>
        <v/>
      </c>
      <c r="I2403" s="25"/>
      <c r="J2403" s="25"/>
      <c r="K2403" s="26"/>
      <c r="L2403" s="26"/>
      <c r="M2403" s="37"/>
      <c r="N2403" s="27"/>
      <c r="O2403" s="30"/>
      <c r="P2403" s="39" t="str">
        <f t="shared" si="377"/>
        <v/>
      </c>
      <c r="Q2403" s="40" t="str">
        <f>IF(OR(T2403=0,RIGHT(T2403,1)=$W$1),"",COUNTIF($T$3:T2403,T2403))</f>
        <v/>
      </c>
      <c r="S2403" s="6">
        <f t="shared" si="378"/>
        <v>0</v>
      </c>
      <c r="T2403" s="36">
        <f t="shared" si="379"/>
        <v>0</v>
      </c>
      <c r="V2403" s="6">
        <f t="shared" si="380"/>
        <v>0</v>
      </c>
      <c r="Y2403" s="8">
        <f t="shared" si="381"/>
        <v>46023</v>
      </c>
    </row>
    <row r="2404" spans="2:25" ht="18.75" x14ac:dyDescent="0.3">
      <c r="B2404" s="6">
        <f t="shared" si="373"/>
        <v>0</v>
      </c>
      <c r="C2404" s="6">
        <f t="shared" si="374"/>
        <v>0</v>
      </c>
      <c r="D2404" s="6" t="str">
        <f t="shared" si="375"/>
        <v/>
      </c>
      <c r="E2404" s="35" t="str">
        <f t="shared" si="372"/>
        <v/>
      </c>
      <c r="F2404" s="31"/>
      <c r="G2404" s="29"/>
      <c r="H2404" s="78" t="str">
        <f t="shared" si="376"/>
        <v/>
      </c>
      <c r="I2404" s="25"/>
      <c r="J2404" s="25"/>
      <c r="K2404" s="26"/>
      <c r="L2404" s="26"/>
      <c r="M2404" s="37"/>
      <c r="N2404" s="27"/>
      <c r="O2404" s="30"/>
      <c r="P2404" s="39" t="str">
        <f t="shared" si="377"/>
        <v/>
      </c>
      <c r="Q2404" s="40" t="str">
        <f>IF(OR(T2404=0,RIGHT(T2404,1)=$W$1),"",COUNTIF($T$3:T2404,T2404))</f>
        <v/>
      </c>
      <c r="S2404" s="6">
        <f t="shared" si="378"/>
        <v>0</v>
      </c>
      <c r="T2404" s="36">
        <f t="shared" si="379"/>
        <v>0</v>
      </c>
      <c r="V2404" s="6">
        <f t="shared" si="380"/>
        <v>0</v>
      </c>
      <c r="Y2404" s="8">
        <f t="shared" si="381"/>
        <v>46023</v>
      </c>
    </row>
    <row r="2405" spans="2:25" ht="18.75" x14ac:dyDescent="0.3">
      <c r="B2405" s="6">
        <f t="shared" si="373"/>
        <v>0</v>
      </c>
      <c r="C2405" s="6">
        <f t="shared" si="374"/>
        <v>0</v>
      </c>
      <c r="D2405" s="6" t="str">
        <f t="shared" si="375"/>
        <v/>
      </c>
      <c r="E2405" s="35" t="str">
        <f t="shared" si="372"/>
        <v/>
      </c>
      <c r="F2405" s="31"/>
      <c r="G2405" s="29"/>
      <c r="H2405" s="78" t="str">
        <f t="shared" si="376"/>
        <v/>
      </c>
      <c r="I2405" s="25"/>
      <c r="J2405" s="25"/>
      <c r="K2405" s="26"/>
      <c r="L2405" s="26"/>
      <c r="M2405" s="37"/>
      <c r="N2405" s="27"/>
      <c r="O2405" s="30"/>
      <c r="P2405" s="39" t="str">
        <f t="shared" si="377"/>
        <v/>
      </c>
      <c r="Q2405" s="40" t="str">
        <f>IF(OR(T2405=0,RIGHT(T2405,1)=$W$1),"",COUNTIF($T$3:T2405,T2405))</f>
        <v/>
      </c>
      <c r="S2405" s="6">
        <f t="shared" si="378"/>
        <v>0</v>
      </c>
      <c r="T2405" s="36">
        <f t="shared" si="379"/>
        <v>0</v>
      </c>
      <c r="V2405" s="6">
        <f t="shared" si="380"/>
        <v>0</v>
      </c>
      <c r="Y2405" s="8">
        <f t="shared" si="381"/>
        <v>46023</v>
      </c>
    </row>
    <row r="2406" spans="2:25" ht="18.75" x14ac:dyDescent="0.3">
      <c r="B2406" s="6">
        <f t="shared" si="373"/>
        <v>0</v>
      </c>
      <c r="C2406" s="6">
        <f t="shared" si="374"/>
        <v>0</v>
      </c>
      <c r="D2406" s="6" t="str">
        <f t="shared" si="375"/>
        <v/>
      </c>
      <c r="E2406" s="35" t="str">
        <f t="shared" si="372"/>
        <v/>
      </c>
      <c r="F2406" s="31"/>
      <c r="G2406" s="29"/>
      <c r="H2406" s="78" t="str">
        <f t="shared" si="376"/>
        <v/>
      </c>
      <c r="I2406" s="25"/>
      <c r="J2406" s="25"/>
      <c r="K2406" s="26"/>
      <c r="L2406" s="26"/>
      <c r="M2406" s="37"/>
      <c r="N2406" s="27"/>
      <c r="O2406" s="30"/>
      <c r="P2406" s="39" t="str">
        <f t="shared" si="377"/>
        <v/>
      </c>
      <c r="Q2406" s="40" t="str">
        <f>IF(OR(T2406=0,RIGHT(T2406,1)=$W$1),"",COUNTIF($T$3:T2406,T2406))</f>
        <v/>
      </c>
      <c r="S2406" s="6">
        <f t="shared" si="378"/>
        <v>0</v>
      </c>
      <c r="T2406" s="36">
        <f t="shared" si="379"/>
        <v>0</v>
      </c>
      <c r="V2406" s="6">
        <f t="shared" si="380"/>
        <v>0</v>
      </c>
      <c r="Y2406" s="8">
        <f t="shared" si="381"/>
        <v>46023</v>
      </c>
    </row>
    <row r="2407" spans="2:25" ht="18.75" x14ac:dyDescent="0.3">
      <c r="B2407" s="6">
        <f t="shared" si="373"/>
        <v>0</v>
      </c>
      <c r="C2407" s="6">
        <f t="shared" si="374"/>
        <v>0</v>
      </c>
      <c r="D2407" s="6" t="str">
        <f t="shared" si="375"/>
        <v/>
      </c>
      <c r="E2407" s="35" t="str">
        <f t="shared" si="372"/>
        <v/>
      </c>
      <c r="F2407" s="31"/>
      <c r="G2407" s="29"/>
      <c r="H2407" s="78" t="str">
        <f t="shared" si="376"/>
        <v/>
      </c>
      <c r="I2407" s="25"/>
      <c r="J2407" s="25"/>
      <c r="K2407" s="26"/>
      <c r="L2407" s="26"/>
      <c r="M2407" s="37"/>
      <c r="N2407" s="27"/>
      <c r="O2407" s="30"/>
      <c r="P2407" s="39" t="str">
        <f t="shared" si="377"/>
        <v/>
      </c>
      <c r="Q2407" s="40" t="str">
        <f>IF(OR(T2407=0,RIGHT(T2407,1)=$W$1),"",COUNTIF($T$3:T2407,T2407))</f>
        <v/>
      </c>
      <c r="S2407" s="6">
        <f t="shared" si="378"/>
        <v>0</v>
      </c>
      <c r="T2407" s="36">
        <f t="shared" si="379"/>
        <v>0</v>
      </c>
      <c r="V2407" s="6">
        <f t="shared" si="380"/>
        <v>0</v>
      </c>
      <c r="Y2407" s="8">
        <f t="shared" si="381"/>
        <v>46023</v>
      </c>
    </row>
    <row r="2408" spans="2:25" ht="18.75" x14ac:dyDescent="0.3">
      <c r="B2408" s="6">
        <f t="shared" si="373"/>
        <v>0</v>
      </c>
      <c r="C2408" s="6">
        <f t="shared" si="374"/>
        <v>0</v>
      </c>
      <c r="D2408" s="6" t="str">
        <f t="shared" si="375"/>
        <v/>
      </c>
      <c r="E2408" s="35" t="str">
        <f t="shared" si="372"/>
        <v/>
      </c>
      <c r="F2408" s="31"/>
      <c r="G2408" s="29"/>
      <c r="H2408" s="78" t="str">
        <f t="shared" si="376"/>
        <v/>
      </c>
      <c r="I2408" s="25"/>
      <c r="J2408" s="25"/>
      <c r="K2408" s="26"/>
      <c r="L2408" s="26"/>
      <c r="M2408" s="37"/>
      <c r="N2408" s="27"/>
      <c r="O2408" s="30"/>
      <c r="P2408" s="39" t="str">
        <f t="shared" si="377"/>
        <v/>
      </c>
      <c r="Q2408" s="40" t="str">
        <f>IF(OR(T2408=0,RIGHT(T2408,1)=$W$1),"",COUNTIF($T$3:T2408,T2408))</f>
        <v/>
      </c>
      <c r="S2408" s="6">
        <f t="shared" si="378"/>
        <v>0</v>
      </c>
      <c r="T2408" s="36">
        <f t="shared" si="379"/>
        <v>0</v>
      </c>
      <c r="V2408" s="6">
        <f t="shared" si="380"/>
        <v>0</v>
      </c>
      <c r="Y2408" s="8">
        <f t="shared" si="381"/>
        <v>46023</v>
      </c>
    </row>
    <row r="2409" spans="2:25" ht="18.75" x14ac:dyDescent="0.3">
      <c r="B2409" s="6">
        <f t="shared" si="373"/>
        <v>0</v>
      </c>
      <c r="C2409" s="6">
        <f t="shared" si="374"/>
        <v>0</v>
      </c>
      <c r="D2409" s="6" t="str">
        <f t="shared" si="375"/>
        <v/>
      </c>
      <c r="E2409" s="35" t="str">
        <f t="shared" si="372"/>
        <v/>
      </c>
      <c r="F2409" s="31"/>
      <c r="G2409" s="29"/>
      <c r="H2409" s="78" t="str">
        <f t="shared" si="376"/>
        <v/>
      </c>
      <c r="I2409" s="25"/>
      <c r="J2409" s="25"/>
      <c r="K2409" s="26"/>
      <c r="L2409" s="26"/>
      <c r="M2409" s="37"/>
      <c r="N2409" s="27"/>
      <c r="O2409" s="30"/>
      <c r="P2409" s="39" t="str">
        <f t="shared" si="377"/>
        <v/>
      </c>
      <c r="Q2409" s="40" t="str">
        <f>IF(OR(T2409=0,RIGHT(T2409,1)=$W$1),"",COUNTIF($T$3:T2409,T2409))</f>
        <v/>
      </c>
      <c r="S2409" s="6">
        <f t="shared" si="378"/>
        <v>0</v>
      </c>
      <c r="T2409" s="36">
        <f t="shared" si="379"/>
        <v>0</v>
      </c>
      <c r="V2409" s="6">
        <f t="shared" si="380"/>
        <v>0</v>
      </c>
      <c r="Y2409" s="8">
        <f t="shared" si="381"/>
        <v>46023</v>
      </c>
    </row>
    <row r="2410" spans="2:25" ht="18.75" x14ac:dyDescent="0.3">
      <c r="B2410" s="6">
        <f t="shared" si="373"/>
        <v>0</v>
      </c>
      <c r="C2410" s="6">
        <f t="shared" si="374"/>
        <v>0</v>
      </c>
      <c r="D2410" s="6" t="str">
        <f t="shared" si="375"/>
        <v/>
      </c>
      <c r="E2410" s="35" t="str">
        <f t="shared" si="372"/>
        <v/>
      </c>
      <c r="F2410" s="31"/>
      <c r="G2410" s="29"/>
      <c r="H2410" s="78" t="str">
        <f t="shared" si="376"/>
        <v/>
      </c>
      <c r="I2410" s="25"/>
      <c r="J2410" s="25"/>
      <c r="K2410" s="26"/>
      <c r="L2410" s="26"/>
      <c r="M2410" s="37"/>
      <c r="N2410" s="27"/>
      <c r="O2410" s="30"/>
      <c r="P2410" s="39" t="str">
        <f t="shared" si="377"/>
        <v/>
      </c>
      <c r="Q2410" s="40" t="str">
        <f>IF(OR(T2410=0,RIGHT(T2410,1)=$W$1),"",COUNTIF($T$3:T2410,T2410))</f>
        <v/>
      </c>
      <c r="S2410" s="6">
        <f t="shared" si="378"/>
        <v>0</v>
      </c>
      <c r="T2410" s="36">
        <f t="shared" si="379"/>
        <v>0</v>
      </c>
      <c r="V2410" s="6">
        <f t="shared" si="380"/>
        <v>0</v>
      </c>
      <c r="Y2410" s="8">
        <f t="shared" si="381"/>
        <v>46023</v>
      </c>
    </row>
    <row r="2411" spans="2:25" ht="18.75" x14ac:dyDescent="0.3">
      <c r="B2411" s="6">
        <f t="shared" si="373"/>
        <v>0</v>
      </c>
      <c r="C2411" s="6">
        <f t="shared" si="374"/>
        <v>0</v>
      </c>
      <c r="D2411" s="6" t="str">
        <f t="shared" si="375"/>
        <v/>
      </c>
      <c r="E2411" s="35" t="str">
        <f t="shared" si="372"/>
        <v/>
      </c>
      <c r="F2411" s="31"/>
      <c r="G2411" s="29"/>
      <c r="H2411" s="78" t="str">
        <f t="shared" si="376"/>
        <v/>
      </c>
      <c r="I2411" s="25"/>
      <c r="J2411" s="25"/>
      <c r="K2411" s="26"/>
      <c r="L2411" s="26"/>
      <c r="M2411" s="37"/>
      <c r="N2411" s="27"/>
      <c r="O2411" s="30"/>
      <c r="P2411" s="39" t="str">
        <f t="shared" si="377"/>
        <v/>
      </c>
      <c r="Q2411" s="40" t="str">
        <f>IF(OR(T2411=0,RIGHT(T2411,1)=$W$1),"",COUNTIF($T$3:T2411,T2411))</f>
        <v/>
      </c>
      <c r="S2411" s="6">
        <f t="shared" si="378"/>
        <v>0</v>
      </c>
      <c r="T2411" s="36">
        <f t="shared" si="379"/>
        <v>0</v>
      </c>
      <c r="V2411" s="6">
        <f t="shared" si="380"/>
        <v>0</v>
      </c>
      <c r="Y2411" s="8">
        <f t="shared" si="381"/>
        <v>46023</v>
      </c>
    </row>
    <row r="2412" spans="2:25" ht="18.75" x14ac:dyDescent="0.3">
      <c r="B2412" s="6">
        <f t="shared" si="373"/>
        <v>0</v>
      </c>
      <c r="C2412" s="6">
        <f t="shared" si="374"/>
        <v>0</v>
      </c>
      <c r="D2412" s="6" t="str">
        <f t="shared" si="375"/>
        <v/>
      </c>
      <c r="E2412" s="35" t="str">
        <f t="shared" si="372"/>
        <v/>
      </c>
      <c r="F2412" s="31"/>
      <c r="G2412" s="29"/>
      <c r="H2412" s="78" t="str">
        <f t="shared" si="376"/>
        <v/>
      </c>
      <c r="I2412" s="25"/>
      <c r="J2412" s="25"/>
      <c r="K2412" s="26"/>
      <c r="L2412" s="26"/>
      <c r="M2412" s="37"/>
      <c r="N2412" s="27"/>
      <c r="O2412" s="30"/>
      <c r="P2412" s="39" t="str">
        <f t="shared" si="377"/>
        <v/>
      </c>
      <c r="Q2412" s="40" t="str">
        <f>IF(OR(T2412=0,RIGHT(T2412,1)=$W$1),"",COUNTIF($T$3:T2412,T2412))</f>
        <v/>
      </c>
      <c r="S2412" s="6">
        <f t="shared" si="378"/>
        <v>0</v>
      </c>
      <c r="T2412" s="36">
        <f t="shared" si="379"/>
        <v>0</v>
      </c>
      <c r="V2412" s="6">
        <f t="shared" si="380"/>
        <v>0</v>
      </c>
      <c r="Y2412" s="8">
        <f t="shared" si="381"/>
        <v>46023</v>
      </c>
    </row>
    <row r="2413" spans="2:25" ht="18.75" x14ac:dyDescent="0.3">
      <c r="B2413" s="6">
        <f t="shared" si="373"/>
        <v>0</v>
      </c>
      <c r="C2413" s="6">
        <f t="shared" si="374"/>
        <v>0</v>
      </c>
      <c r="D2413" s="6" t="str">
        <f t="shared" si="375"/>
        <v/>
      </c>
      <c r="E2413" s="35" t="str">
        <f t="shared" si="372"/>
        <v/>
      </c>
      <c r="F2413" s="31"/>
      <c r="G2413" s="29"/>
      <c r="H2413" s="78" t="str">
        <f t="shared" si="376"/>
        <v/>
      </c>
      <c r="I2413" s="25"/>
      <c r="J2413" s="25"/>
      <c r="K2413" s="26"/>
      <c r="L2413" s="26"/>
      <c r="M2413" s="37"/>
      <c r="N2413" s="27"/>
      <c r="O2413" s="30"/>
      <c r="P2413" s="39" t="str">
        <f t="shared" si="377"/>
        <v/>
      </c>
      <c r="Q2413" s="40" t="str">
        <f>IF(OR(T2413=0,RIGHT(T2413,1)=$W$1),"",COUNTIF($T$3:T2413,T2413))</f>
        <v/>
      </c>
      <c r="S2413" s="6">
        <f t="shared" si="378"/>
        <v>0</v>
      </c>
      <c r="T2413" s="36">
        <f t="shared" si="379"/>
        <v>0</v>
      </c>
      <c r="V2413" s="6">
        <f t="shared" si="380"/>
        <v>0</v>
      </c>
      <c r="Y2413" s="8">
        <f t="shared" si="381"/>
        <v>46023</v>
      </c>
    </row>
    <row r="2414" spans="2:25" ht="18.75" x14ac:dyDescent="0.3">
      <c r="B2414" s="6">
        <f t="shared" si="373"/>
        <v>0</v>
      </c>
      <c r="C2414" s="6">
        <f t="shared" si="374"/>
        <v>0</v>
      </c>
      <c r="D2414" s="6" t="str">
        <f t="shared" si="375"/>
        <v/>
      </c>
      <c r="E2414" s="35" t="str">
        <f t="shared" si="372"/>
        <v/>
      </c>
      <c r="F2414" s="31"/>
      <c r="G2414" s="29"/>
      <c r="H2414" s="78" t="str">
        <f t="shared" si="376"/>
        <v/>
      </c>
      <c r="I2414" s="25"/>
      <c r="J2414" s="25"/>
      <c r="K2414" s="26"/>
      <c r="L2414" s="26"/>
      <c r="M2414" s="37"/>
      <c r="N2414" s="27"/>
      <c r="O2414" s="30"/>
      <c r="P2414" s="39" t="str">
        <f t="shared" si="377"/>
        <v/>
      </c>
      <c r="Q2414" s="40" t="str">
        <f>IF(OR(T2414=0,RIGHT(T2414,1)=$W$1),"",COUNTIF($T$3:T2414,T2414))</f>
        <v/>
      </c>
      <c r="S2414" s="6">
        <f t="shared" si="378"/>
        <v>0</v>
      </c>
      <c r="T2414" s="36">
        <f t="shared" si="379"/>
        <v>0</v>
      </c>
      <c r="V2414" s="6">
        <f t="shared" si="380"/>
        <v>0</v>
      </c>
      <c r="Y2414" s="8">
        <f t="shared" si="381"/>
        <v>46023</v>
      </c>
    </row>
    <row r="2415" spans="2:25" ht="18.75" x14ac:dyDescent="0.3">
      <c r="B2415" s="6">
        <f t="shared" si="373"/>
        <v>0</v>
      </c>
      <c r="C2415" s="6">
        <f t="shared" si="374"/>
        <v>0</v>
      </c>
      <c r="D2415" s="6" t="str">
        <f t="shared" si="375"/>
        <v/>
      </c>
      <c r="E2415" s="35" t="str">
        <f t="shared" si="372"/>
        <v/>
      </c>
      <c r="F2415" s="31"/>
      <c r="G2415" s="29"/>
      <c r="H2415" s="78" t="str">
        <f t="shared" si="376"/>
        <v/>
      </c>
      <c r="I2415" s="25"/>
      <c r="J2415" s="25"/>
      <c r="K2415" s="26"/>
      <c r="L2415" s="26"/>
      <c r="M2415" s="37"/>
      <c r="N2415" s="27"/>
      <c r="O2415" s="30"/>
      <c r="P2415" s="39" t="str">
        <f t="shared" si="377"/>
        <v/>
      </c>
      <c r="Q2415" s="40" t="str">
        <f>IF(OR(T2415=0,RIGHT(T2415,1)=$W$1),"",COUNTIF($T$3:T2415,T2415))</f>
        <v/>
      </c>
      <c r="S2415" s="6">
        <f t="shared" si="378"/>
        <v>0</v>
      </c>
      <c r="T2415" s="36">
        <f t="shared" si="379"/>
        <v>0</v>
      </c>
      <c r="V2415" s="6">
        <f t="shared" si="380"/>
        <v>0</v>
      </c>
      <c r="Y2415" s="8">
        <f t="shared" si="381"/>
        <v>46023</v>
      </c>
    </row>
    <row r="2416" spans="2:25" ht="18.75" x14ac:dyDescent="0.3">
      <c r="B2416" s="6">
        <f t="shared" si="373"/>
        <v>0</v>
      </c>
      <c r="C2416" s="6">
        <f t="shared" si="374"/>
        <v>0</v>
      </c>
      <c r="D2416" s="6" t="str">
        <f t="shared" si="375"/>
        <v/>
      </c>
      <c r="E2416" s="35" t="str">
        <f t="shared" si="372"/>
        <v/>
      </c>
      <c r="F2416" s="31"/>
      <c r="G2416" s="29"/>
      <c r="H2416" s="78" t="str">
        <f t="shared" si="376"/>
        <v/>
      </c>
      <c r="I2416" s="25"/>
      <c r="J2416" s="25"/>
      <c r="K2416" s="26"/>
      <c r="L2416" s="26"/>
      <c r="M2416" s="37"/>
      <c r="N2416" s="27"/>
      <c r="O2416" s="30"/>
      <c r="P2416" s="39" t="str">
        <f t="shared" si="377"/>
        <v/>
      </c>
      <c r="Q2416" s="40" t="str">
        <f>IF(OR(T2416=0,RIGHT(T2416,1)=$W$1),"",COUNTIF($T$3:T2416,T2416))</f>
        <v/>
      </c>
      <c r="S2416" s="6">
        <f t="shared" si="378"/>
        <v>0</v>
      </c>
      <c r="T2416" s="36">
        <f t="shared" si="379"/>
        <v>0</v>
      </c>
      <c r="V2416" s="6">
        <f t="shared" si="380"/>
        <v>0</v>
      </c>
      <c r="Y2416" s="8">
        <f t="shared" si="381"/>
        <v>46023</v>
      </c>
    </row>
    <row r="2417" spans="2:25" ht="18.75" x14ac:dyDescent="0.3">
      <c r="B2417" s="6">
        <f t="shared" si="373"/>
        <v>0</v>
      </c>
      <c r="C2417" s="6">
        <f t="shared" si="374"/>
        <v>0</v>
      </c>
      <c r="D2417" s="6" t="str">
        <f t="shared" si="375"/>
        <v/>
      </c>
      <c r="E2417" s="35" t="str">
        <f t="shared" si="372"/>
        <v/>
      </c>
      <c r="F2417" s="31"/>
      <c r="G2417" s="29"/>
      <c r="H2417" s="78" t="str">
        <f t="shared" si="376"/>
        <v/>
      </c>
      <c r="I2417" s="25"/>
      <c r="J2417" s="25"/>
      <c r="K2417" s="26"/>
      <c r="L2417" s="26"/>
      <c r="M2417" s="37"/>
      <c r="N2417" s="27"/>
      <c r="O2417" s="30"/>
      <c r="P2417" s="39" t="str">
        <f t="shared" si="377"/>
        <v/>
      </c>
      <c r="Q2417" s="40" t="str">
        <f>IF(OR(T2417=0,RIGHT(T2417,1)=$W$1),"",COUNTIF($T$3:T2417,T2417))</f>
        <v/>
      </c>
      <c r="S2417" s="6">
        <f t="shared" si="378"/>
        <v>0</v>
      </c>
      <c r="T2417" s="36">
        <f t="shared" si="379"/>
        <v>0</v>
      </c>
      <c r="V2417" s="6">
        <f t="shared" si="380"/>
        <v>0</v>
      </c>
      <c r="Y2417" s="8">
        <f t="shared" si="381"/>
        <v>46023</v>
      </c>
    </row>
    <row r="2418" spans="2:25" ht="18.75" x14ac:dyDescent="0.3">
      <c r="B2418" s="6">
        <f t="shared" si="373"/>
        <v>0</v>
      </c>
      <c r="C2418" s="6">
        <f t="shared" si="374"/>
        <v>0</v>
      </c>
      <c r="D2418" s="6" t="str">
        <f t="shared" si="375"/>
        <v/>
      </c>
      <c r="E2418" s="35" t="str">
        <f t="shared" si="372"/>
        <v/>
      </c>
      <c r="F2418" s="31"/>
      <c r="G2418" s="29"/>
      <c r="H2418" s="78" t="str">
        <f t="shared" si="376"/>
        <v/>
      </c>
      <c r="I2418" s="25"/>
      <c r="J2418" s="25"/>
      <c r="K2418" s="26"/>
      <c r="L2418" s="26"/>
      <c r="M2418" s="37"/>
      <c r="N2418" s="27"/>
      <c r="O2418" s="30"/>
      <c r="P2418" s="39" t="str">
        <f t="shared" si="377"/>
        <v/>
      </c>
      <c r="Q2418" s="40" t="str">
        <f>IF(OR(T2418=0,RIGHT(T2418,1)=$W$1),"",COUNTIF($T$3:T2418,T2418))</f>
        <v/>
      </c>
      <c r="S2418" s="6">
        <f t="shared" si="378"/>
        <v>0</v>
      </c>
      <c r="T2418" s="36">
        <f t="shared" si="379"/>
        <v>0</v>
      </c>
      <c r="V2418" s="6">
        <f t="shared" si="380"/>
        <v>0</v>
      </c>
      <c r="Y2418" s="8">
        <f t="shared" si="381"/>
        <v>46023</v>
      </c>
    </row>
    <row r="2419" spans="2:25" ht="18.75" x14ac:dyDescent="0.3">
      <c r="B2419" s="6">
        <f t="shared" si="373"/>
        <v>0</v>
      </c>
      <c r="C2419" s="6">
        <f t="shared" si="374"/>
        <v>0</v>
      </c>
      <c r="D2419" s="6" t="str">
        <f t="shared" si="375"/>
        <v/>
      </c>
      <c r="E2419" s="35" t="str">
        <f t="shared" si="372"/>
        <v/>
      </c>
      <c r="F2419" s="31"/>
      <c r="G2419" s="29"/>
      <c r="H2419" s="78" t="str">
        <f t="shared" si="376"/>
        <v/>
      </c>
      <c r="I2419" s="25"/>
      <c r="J2419" s="25"/>
      <c r="K2419" s="26"/>
      <c r="L2419" s="26"/>
      <c r="M2419" s="37"/>
      <c r="N2419" s="27"/>
      <c r="O2419" s="30"/>
      <c r="P2419" s="39" t="str">
        <f t="shared" si="377"/>
        <v/>
      </c>
      <c r="Q2419" s="40" t="str">
        <f>IF(OR(T2419=0,RIGHT(T2419,1)=$W$1),"",COUNTIF($T$3:T2419,T2419))</f>
        <v/>
      </c>
      <c r="S2419" s="6">
        <f t="shared" si="378"/>
        <v>0</v>
      </c>
      <c r="T2419" s="36">
        <f t="shared" si="379"/>
        <v>0</v>
      </c>
      <c r="V2419" s="6">
        <f t="shared" si="380"/>
        <v>0</v>
      </c>
      <c r="Y2419" s="8">
        <f t="shared" si="381"/>
        <v>46023</v>
      </c>
    </row>
    <row r="2420" spans="2:25" ht="18.75" x14ac:dyDescent="0.3">
      <c r="B2420" s="6">
        <f t="shared" si="373"/>
        <v>0</v>
      </c>
      <c r="C2420" s="6">
        <f t="shared" si="374"/>
        <v>0</v>
      </c>
      <c r="D2420" s="6" t="str">
        <f t="shared" si="375"/>
        <v/>
      </c>
      <c r="E2420" s="35" t="str">
        <f t="shared" si="372"/>
        <v/>
      </c>
      <c r="F2420" s="31"/>
      <c r="G2420" s="29"/>
      <c r="H2420" s="78" t="str">
        <f t="shared" si="376"/>
        <v/>
      </c>
      <c r="I2420" s="25"/>
      <c r="J2420" s="25"/>
      <c r="K2420" s="26"/>
      <c r="L2420" s="26"/>
      <c r="M2420" s="37"/>
      <c r="N2420" s="27"/>
      <c r="O2420" s="30"/>
      <c r="P2420" s="39" t="str">
        <f t="shared" si="377"/>
        <v/>
      </c>
      <c r="Q2420" s="40" t="str">
        <f>IF(OR(T2420=0,RIGHT(T2420,1)=$W$1),"",COUNTIF($T$3:T2420,T2420))</f>
        <v/>
      </c>
      <c r="S2420" s="6">
        <f t="shared" si="378"/>
        <v>0</v>
      </c>
      <c r="T2420" s="36">
        <f t="shared" si="379"/>
        <v>0</v>
      </c>
      <c r="V2420" s="6">
        <f t="shared" si="380"/>
        <v>0</v>
      </c>
      <c r="Y2420" s="8">
        <f t="shared" si="381"/>
        <v>46023</v>
      </c>
    </row>
    <row r="2421" spans="2:25" ht="18.75" x14ac:dyDescent="0.3">
      <c r="B2421" s="6">
        <f t="shared" si="373"/>
        <v>0</v>
      </c>
      <c r="C2421" s="6">
        <f t="shared" si="374"/>
        <v>0</v>
      </c>
      <c r="D2421" s="6" t="str">
        <f t="shared" si="375"/>
        <v/>
      </c>
      <c r="E2421" s="35" t="str">
        <f t="shared" si="372"/>
        <v/>
      </c>
      <c r="F2421" s="31"/>
      <c r="G2421" s="29"/>
      <c r="H2421" s="78" t="str">
        <f t="shared" si="376"/>
        <v/>
      </c>
      <c r="I2421" s="25"/>
      <c r="J2421" s="25"/>
      <c r="K2421" s="26"/>
      <c r="L2421" s="26"/>
      <c r="M2421" s="37"/>
      <c r="N2421" s="27"/>
      <c r="O2421" s="30"/>
      <c r="P2421" s="39" t="str">
        <f t="shared" si="377"/>
        <v/>
      </c>
      <c r="Q2421" s="40" t="str">
        <f>IF(OR(T2421=0,RIGHT(T2421,1)=$W$1),"",COUNTIF($T$3:T2421,T2421))</f>
        <v/>
      </c>
      <c r="S2421" s="6">
        <f t="shared" si="378"/>
        <v>0</v>
      </c>
      <c r="T2421" s="36">
        <f t="shared" si="379"/>
        <v>0</v>
      </c>
      <c r="V2421" s="6">
        <f t="shared" si="380"/>
        <v>0</v>
      </c>
      <c r="Y2421" s="8">
        <f t="shared" si="381"/>
        <v>46023</v>
      </c>
    </row>
    <row r="2422" spans="2:25" ht="18.75" x14ac:dyDescent="0.3">
      <c r="B2422" s="6">
        <f t="shared" si="373"/>
        <v>0</v>
      </c>
      <c r="C2422" s="6">
        <f t="shared" si="374"/>
        <v>0</v>
      </c>
      <c r="D2422" s="6" t="str">
        <f t="shared" si="375"/>
        <v/>
      </c>
      <c r="E2422" s="35" t="str">
        <f t="shared" si="372"/>
        <v/>
      </c>
      <c r="F2422" s="31"/>
      <c r="G2422" s="29"/>
      <c r="H2422" s="78" t="str">
        <f t="shared" si="376"/>
        <v/>
      </c>
      <c r="I2422" s="25"/>
      <c r="J2422" s="25"/>
      <c r="K2422" s="26"/>
      <c r="L2422" s="26"/>
      <c r="M2422" s="37"/>
      <c r="N2422" s="27"/>
      <c r="O2422" s="30"/>
      <c r="P2422" s="39" t="str">
        <f t="shared" si="377"/>
        <v/>
      </c>
      <c r="Q2422" s="40" t="str">
        <f>IF(OR(T2422=0,RIGHT(T2422,1)=$W$1),"",COUNTIF($T$3:T2422,T2422))</f>
        <v/>
      </c>
      <c r="S2422" s="6">
        <f t="shared" si="378"/>
        <v>0</v>
      </c>
      <c r="T2422" s="36">
        <f t="shared" si="379"/>
        <v>0</v>
      </c>
      <c r="V2422" s="6">
        <f t="shared" si="380"/>
        <v>0</v>
      </c>
      <c r="Y2422" s="8">
        <f t="shared" si="381"/>
        <v>46023</v>
      </c>
    </row>
    <row r="2423" spans="2:25" ht="18.75" x14ac:dyDescent="0.3">
      <c r="B2423" s="6">
        <f t="shared" si="373"/>
        <v>0</v>
      </c>
      <c r="C2423" s="6">
        <f t="shared" si="374"/>
        <v>0</v>
      </c>
      <c r="D2423" s="6" t="str">
        <f t="shared" si="375"/>
        <v/>
      </c>
      <c r="E2423" s="35" t="str">
        <f t="shared" si="372"/>
        <v/>
      </c>
      <c r="F2423" s="31"/>
      <c r="G2423" s="29"/>
      <c r="H2423" s="78" t="str">
        <f t="shared" si="376"/>
        <v/>
      </c>
      <c r="I2423" s="25"/>
      <c r="J2423" s="25"/>
      <c r="K2423" s="26"/>
      <c r="L2423" s="26"/>
      <c r="M2423" s="37"/>
      <c r="N2423" s="27"/>
      <c r="O2423" s="30"/>
      <c r="P2423" s="39" t="str">
        <f t="shared" si="377"/>
        <v/>
      </c>
      <c r="Q2423" s="40" t="str">
        <f>IF(OR(T2423=0,RIGHT(T2423,1)=$W$1),"",COUNTIF($T$3:T2423,T2423))</f>
        <v/>
      </c>
      <c r="S2423" s="6">
        <f t="shared" si="378"/>
        <v>0</v>
      </c>
      <c r="T2423" s="36">
        <f t="shared" si="379"/>
        <v>0</v>
      </c>
      <c r="V2423" s="6">
        <f t="shared" si="380"/>
        <v>0</v>
      </c>
      <c r="Y2423" s="8">
        <f t="shared" si="381"/>
        <v>46023</v>
      </c>
    </row>
    <row r="2424" spans="2:25" ht="18.75" x14ac:dyDescent="0.3">
      <c r="B2424" s="6">
        <f t="shared" si="373"/>
        <v>0</v>
      </c>
      <c r="C2424" s="6">
        <f t="shared" si="374"/>
        <v>0</v>
      </c>
      <c r="D2424" s="6" t="str">
        <f t="shared" si="375"/>
        <v/>
      </c>
      <c r="E2424" s="35" t="str">
        <f t="shared" si="372"/>
        <v/>
      </c>
      <c r="F2424" s="31"/>
      <c r="G2424" s="29"/>
      <c r="H2424" s="78" t="str">
        <f t="shared" si="376"/>
        <v/>
      </c>
      <c r="I2424" s="25"/>
      <c r="J2424" s="25"/>
      <c r="K2424" s="26"/>
      <c r="L2424" s="26"/>
      <c r="M2424" s="37"/>
      <c r="N2424" s="27"/>
      <c r="O2424" s="30"/>
      <c r="P2424" s="39" t="str">
        <f t="shared" si="377"/>
        <v/>
      </c>
      <c r="Q2424" s="40" t="str">
        <f>IF(OR(T2424=0,RIGHT(T2424,1)=$W$1),"",COUNTIF($T$3:T2424,T2424))</f>
        <v/>
      </c>
      <c r="S2424" s="6">
        <f t="shared" si="378"/>
        <v>0</v>
      </c>
      <c r="T2424" s="36">
        <f t="shared" si="379"/>
        <v>0</v>
      </c>
      <c r="V2424" s="6">
        <f t="shared" si="380"/>
        <v>0</v>
      </c>
      <c r="Y2424" s="8">
        <f t="shared" si="381"/>
        <v>46023</v>
      </c>
    </row>
    <row r="2425" spans="2:25" ht="18.75" x14ac:dyDescent="0.3">
      <c r="B2425" s="6">
        <f t="shared" si="373"/>
        <v>0</v>
      </c>
      <c r="C2425" s="6">
        <f t="shared" si="374"/>
        <v>0</v>
      </c>
      <c r="D2425" s="6" t="str">
        <f t="shared" si="375"/>
        <v/>
      </c>
      <c r="E2425" s="35" t="str">
        <f t="shared" si="372"/>
        <v/>
      </c>
      <c r="F2425" s="31"/>
      <c r="G2425" s="29"/>
      <c r="H2425" s="78" t="str">
        <f t="shared" si="376"/>
        <v/>
      </c>
      <c r="I2425" s="25"/>
      <c r="J2425" s="25"/>
      <c r="K2425" s="26"/>
      <c r="L2425" s="26"/>
      <c r="M2425" s="37"/>
      <c r="N2425" s="27"/>
      <c r="O2425" s="30"/>
      <c r="P2425" s="39" t="str">
        <f t="shared" si="377"/>
        <v/>
      </c>
      <c r="Q2425" s="40" t="str">
        <f>IF(OR(T2425=0,RIGHT(T2425,1)=$W$1),"",COUNTIF($T$3:T2425,T2425))</f>
        <v/>
      </c>
      <c r="S2425" s="6">
        <f t="shared" si="378"/>
        <v>0</v>
      </c>
      <c r="T2425" s="36">
        <f t="shared" si="379"/>
        <v>0</v>
      </c>
      <c r="V2425" s="6">
        <f t="shared" si="380"/>
        <v>0</v>
      </c>
      <c r="Y2425" s="8">
        <f t="shared" si="381"/>
        <v>46023</v>
      </c>
    </row>
    <row r="2426" spans="2:25" ht="18.75" x14ac:dyDescent="0.3">
      <c r="B2426" s="6">
        <f t="shared" si="373"/>
        <v>0</v>
      </c>
      <c r="C2426" s="6">
        <f t="shared" si="374"/>
        <v>0</v>
      </c>
      <c r="D2426" s="6" t="str">
        <f t="shared" si="375"/>
        <v/>
      </c>
      <c r="E2426" s="35" t="str">
        <f t="shared" si="372"/>
        <v/>
      </c>
      <c r="F2426" s="31"/>
      <c r="G2426" s="29"/>
      <c r="H2426" s="78" t="str">
        <f t="shared" si="376"/>
        <v/>
      </c>
      <c r="I2426" s="25"/>
      <c r="J2426" s="25"/>
      <c r="K2426" s="26"/>
      <c r="L2426" s="26"/>
      <c r="M2426" s="37"/>
      <c r="N2426" s="27"/>
      <c r="O2426" s="30"/>
      <c r="P2426" s="39" t="str">
        <f t="shared" si="377"/>
        <v/>
      </c>
      <c r="Q2426" s="40" t="str">
        <f>IF(OR(T2426=0,RIGHT(T2426,1)=$W$1),"",COUNTIF($T$3:T2426,T2426))</f>
        <v/>
      </c>
      <c r="S2426" s="6">
        <f t="shared" si="378"/>
        <v>0</v>
      </c>
      <c r="T2426" s="36">
        <f t="shared" si="379"/>
        <v>0</v>
      </c>
      <c r="V2426" s="6">
        <f t="shared" si="380"/>
        <v>0</v>
      </c>
      <c r="Y2426" s="8">
        <f t="shared" si="381"/>
        <v>46023</v>
      </c>
    </row>
    <row r="2427" spans="2:25" ht="18.75" x14ac:dyDescent="0.3">
      <c r="B2427" s="6">
        <f t="shared" si="373"/>
        <v>0</v>
      </c>
      <c r="C2427" s="6">
        <f t="shared" si="374"/>
        <v>0</v>
      </c>
      <c r="D2427" s="6" t="str">
        <f t="shared" si="375"/>
        <v/>
      </c>
      <c r="E2427" s="35" t="str">
        <f t="shared" si="372"/>
        <v/>
      </c>
      <c r="F2427" s="31"/>
      <c r="G2427" s="29"/>
      <c r="H2427" s="78" t="str">
        <f t="shared" si="376"/>
        <v/>
      </c>
      <c r="I2427" s="25"/>
      <c r="J2427" s="25"/>
      <c r="K2427" s="26"/>
      <c r="L2427" s="26"/>
      <c r="M2427" s="37"/>
      <c r="N2427" s="27"/>
      <c r="O2427" s="30"/>
      <c r="P2427" s="39" t="str">
        <f t="shared" si="377"/>
        <v/>
      </c>
      <c r="Q2427" s="40" t="str">
        <f>IF(OR(T2427=0,RIGHT(T2427,1)=$W$1),"",COUNTIF($T$3:T2427,T2427))</f>
        <v/>
      </c>
      <c r="S2427" s="6">
        <f t="shared" si="378"/>
        <v>0</v>
      </c>
      <c r="T2427" s="36">
        <f t="shared" si="379"/>
        <v>0</v>
      </c>
      <c r="V2427" s="6">
        <f t="shared" si="380"/>
        <v>0</v>
      </c>
      <c r="Y2427" s="8">
        <f t="shared" si="381"/>
        <v>46023</v>
      </c>
    </row>
    <row r="2428" spans="2:25" ht="18.75" x14ac:dyDescent="0.3">
      <c r="B2428" s="6">
        <f t="shared" si="373"/>
        <v>0</v>
      </c>
      <c r="C2428" s="6">
        <f t="shared" si="374"/>
        <v>0</v>
      </c>
      <c r="D2428" s="6" t="str">
        <f t="shared" si="375"/>
        <v/>
      </c>
      <c r="E2428" s="35" t="str">
        <f t="shared" si="372"/>
        <v/>
      </c>
      <c r="F2428" s="31"/>
      <c r="G2428" s="29"/>
      <c r="H2428" s="78" t="str">
        <f t="shared" si="376"/>
        <v/>
      </c>
      <c r="I2428" s="25"/>
      <c r="J2428" s="25"/>
      <c r="K2428" s="26"/>
      <c r="L2428" s="26"/>
      <c r="M2428" s="37"/>
      <c r="N2428" s="27"/>
      <c r="O2428" s="30"/>
      <c r="P2428" s="39" t="str">
        <f t="shared" si="377"/>
        <v/>
      </c>
      <c r="Q2428" s="40" t="str">
        <f>IF(OR(T2428=0,RIGHT(T2428,1)=$W$1),"",COUNTIF($T$3:T2428,T2428))</f>
        <v/>
      </c>
      <c r="S2428" s="6">
        <f t="shared" si="378"/>
        <v>0</v>
      </c>
      <c r="T2428" s="36">
        <f t="shared" si="379"/>
        <v>0</v>
      </c>
      <c r="V2428" s="6">
        <f t="shared" si="380"/>
        <v>0</v>
      </c>
      <c r="Y2428" s="8">
        <f t="shared" si="381"/>
        <v>46023</v>
      </c>
    </row>
    <row r="2429" spans="2:25" ht="18.75" x14ac:dyDescent="0.3">
      <c r="B2429" s="6">
        <f t="shared" si="373"/>
        <v>0</v>
      </c>
      <c r="C2429" s="6">
        <f t="shared" si="374"/>
        <v>0</v>
      </c>
      <c r="D2429" s="6" t="str">
        <f t="shared" si="375"/>
        <v/>
      </c>
      <c r="E2429" s="35" t="str">
        <f t="shared" si="372"/>
        <v/>
      </c>
      <c r="F2429" s="31"/>
      <c r="G2429" s="29"/>
      <c r="H2429" s="78" t="str">
        <f t="shared" si="376"/>
        <v/>
      </c>
      <c r="I2429" s="25"/>
      <c r="J2429" s="25"/>
      <c r="K2429" s="26"/>
      <c r="L2429" s="26"/>
      <c r="M2429" s="37"/>
      <c r="N2429" s="27"/>
      <c r="O2429" s="30"/>
      <c r="P2429" s="39" t="str">
        <f t="shared" si="377"/>
        <v/>
      </c>
      <c r="Q2429" s="40" t="str">
        <f>IF(OR(T2429=0,RIGHT(T2429,1)=$W$1),"",COUNTIF($T$3:T2429,T2429))</f>
        <v/>
      </c>
      <c r="S2429" s="6">
        <f t="shared" si="378"/>
        <v>0</v>
      </c>
      <c r="T2429" s="36">
        <f t="shared" si="379"/>
        <v>0</v>
      </c>
      <c r="V2429" s="6">
        <f t="shared" si="380"/>
        <v>0</v>
      </c>
      <c r="Y2429" s="8">
        <f t="shared" si="381"/>
        <v>46023</v>
      </c>
    </row>
    <row r="2430" spans="2:25" ht="18.75" x14ac:dyDescent="0.3">
      <c r="B2430" s="6">
        <f t="shared" si="373"/>
        <v>0</v>
      </c>
      <c r="C2430" s="6">
        <f t="shared" si="374"/>
        <v>0</v>
      </c>
      <c r="D2430" s="6" t="str">
        <f t="shared" si="375"/>
        <v/>
      </c>
      <c r="E2430" s="35" t="str">
        <f t="shared" si="372"/>
        <v/>
      </c>
      <c r="F2430" s="31"/>
      <c r="G2430" s="29"/>
      <c r="H2430" s="78" t="str">
        <f t="shared" si="376"/>
        <v/>
      </c>
      <c r="I2430" s="25"/>
      <c r="J2430" s="25"/>
      <c r="K2430" s="26"/>
      <c r="L2430" s="26"/>
      <c r="M2430" s="37"/>
      <c r="N2430" s="27"/>
      <c r="O2430" s="30"/>
      <c r="P2430" s="39" t="str">
        <f t="shared" si="377"/>
        <v/>
      </c>
      <c r="Q2430" s="40" t="str">
        <f>IF(OR(T2430=0,RIGHT(T2430,1)=$W$1),"",COUNTIF($T$3:T2430,T2430))</f>
        <v/>
      </c>
      <c r="S2430" s="6">
        <f t="shared" si="378"/>
        <v>0</v>
      </c>
      <c r="T2430" s="36">
        <f t="shared" si="379"/>
        <v>0</v>
      </c>
      <c r="V2430" s="6">
        <f t="shared" si="380"/>
        <v>0</v>
      </c>
      <c r="Y2430" s="8">
        <f t="shared" si="381"/>
        <v>46023</v>
      </c>
    </row>
    <row r="2431" spans="2:25" ht="18.75" x14ac:dyDescent="0.3">
      <c r="B2431" s="6">
        <f t="shared" si="373"/>
        <v>0</v>
      </c>
      <c r="C2431" s="6">
        <f t="shared" si="374"/>
        <v>0</v>
      </c>
      <c r="D2431" s="6" t="str">
        <f t="shared" si="375"/>
        <v/>
      </c>
      <c r="E2431" s="35" t="str">
        <f t="shared" si="372"/>
        <v/>
      </c>
      <c r="F2431" s="31"/>
      <c r="G2431" s="29"/>
      <c r="H2431" s="78" t="str">
        <f t="shared" si="376"/>
        <v/>
      </c>
      <c r="I2431" s="25"/>
      <c r="J2431" s="25"/>
      <c r="K2431" s="26"/>
      <c r="L2431" s="26"/>
      <c r="M2431" s="37"/>
      <c r="N2431" s="27"/>
      <c r="O2431" s="30"/>
      <c r="P2431" s="39" t="str">
        <f t="shared" si="377"/>
        <v/>
      </c>
      <c r="Q2431" s="40" t="str">
        <f>IF(OR(T2431=0,RIGHT(T2431,1)=$W$1),"",COUNTIF($T$3:T2431,T2431))</f>
        <v/>
      </c>
      <c r="S2431" s="6">
        <f t="shared" si="378"/>
        <v>0</v>
      </c>
      <c r="T2431" s="36">
        <f t="shared" si="379"/>
        <v>0</v>
      </c>
      <c r="V2431" s="6">
        <f t="shared" si="380"/>
        <v>0</v>
      </c>
      <c r="Y2431" s="8">
        <f t="shared" si="381"/>
        <v>46023</v>
      </c>
    </row>
    <row r="2432" spans="2:25" ht="18.75" x14ac:dyDescent="0.3">
      <c r="B2432" s="6">
        <f t="shared" si="373"/>
        <v>0</v>
      </c>
      <c r="C2432" s="6">
        <f t="shared" si="374"/>
        <v>0</v>
      </c>
      <c r="D2432" s="6" t="str">
        <f t="shared" si="375"/>
        <v/>
      </c>
      <c r="E2432" s="35" t="str">
        <f t="shared" si="372"/>
        <v/>
      </c>
      <c r="F2432" s="31"/>
      <c r="G2432" s="29"/>
      <c r="H2432" s="78" t="str">
        <f t="shared" si="376"/>
        <v/>
      </c>
      <c r="I2432" s="25"/>
      <c r="J2432" s="25"/>
      <c r="K2432" s="26"/>
      <c r="L2432" s="26"/>
      <c r="M2432" s="37"/>
      <c r="N2432" s="27"/>
      <c r="O2432" s="30"/>
      <c r="P2432" s="39" t="str">
        <f t="shared" si="377"/>
        <v/>
      </c>
      <c r="Q2432" s="40" t="str">
        <f>IF(OR(T2432=0,RIGHT(T2432,1)=$W$1),"",COUNTIF($T$3:T2432,T2432))</f>
        <v/>
      </c>
      <c r="S2432" s="6">
        <f t="shared" si="378"/>
        <v>0</v>
      </c>
      <c r="T2432" s="36">
        <f t="shared" si="379"/>
        <v>0</v>
      </c>
      <c r="V2432" s="6">
        <f t="shared" si="380"/>
        <v>0</v>
      </c>
      <c r="Y2432" s="8">
        <f t="shared" si="381"/>
        <v>46023</v>
      </c>
    </row>
    <row r="2433" spans="2:25" ht="18.75" x14ac:dyDescent="0.3">
      <c r="B2433" s="6">
        <f t="shared" si="373"/>
        <v>0</v>
      </c>
      <c r="C2433" s="6">
        <f t="shared" si="374"/>
        <v>0</v>
      </c>
      <c r="D2433" s="6" t="str">
        <f t="shared" si="375"/>
        <v/>
      </c>
      <c r="E2433" s="35" t="str">
        <f t="shared" si="372"/>
        <v/>
      </c>
      <c r="F2433" s="31"/>
      <c r="G2433" s="29"/>
      <c r="H2433" s="78" t="str">
        <f t="shared" si="376"/>
        <v/>
      </c>
      <c r="I2433" s="25"/>
      <c r="J2433" s="25"/>
      <c r="K2433" s="26"/>
      <c r="L2433" s="26"/>
      <c r="M2433" s="37"/>
      <c r="N2433" s="27"/>
      <c r="O2433" s="30"/>
      <c r="P2433" s="39" t="str">
        <f t="shared" si="377"/>
        <v/>
      </c>
      <c r="Q2433" s="40" t="str">
        <f>IF(OR(T2433=0,RIGHT(T2433,1)=$W$1),"",COUNTIF($T$3:T2433,T2433))</f>
        <v/>
      </c>
      <c r="S2433" s="6">
        <f t="shared" si="378"/>
        <v>0</v>
      </c>
      <c r="T2433" s="36">
        <f t="shared" si="379"/>
        <v>0</v>
      </c>
      <c r="V2433" s="6">
        <f t="shared" si="380"/>
        <v>0</v>
      </c>
      <c r="Y2433" s="8">
        <f t="shared" si="381"/>
        <v>46023</v>
      </c>
    </row>
    <row r="2434" spans="2:25" ht="18.75" x14ac:dyDescent="0.3">
      <c r="B2434" s="6">
        <f t="shared" si="373"/>
        <v>0</v>
      </c>
      <c r="C2434" s="6">
        <f t="shared" si="374"/>
        <v>0</v>
      </c>
      <c r="D2434" s="6" t="str">
        <f t="shared" si="375"/>
        <v/>
      </c>
      <c r="E2434" s="35" t="str">
        <f t="shared" si="372"/>
        <v/>
      </c>
      <c r="F2434" s="31"/>
      <c r="G2434" s="29"/>
      <c r="H2434" s="78" t="str">
        <f t="shared" si="376"/>
        <v/>
      </c>
      <c r="I2434" s="25"/>
      <c r="J2434" s="25"/>
      <c r="K2434" s="26"/>
      <c r="L2434" s="26"/>
      <c r="M2434" s="37"/>
      <c r="N2434" s="27"/>
      <c r="O2434" s="30"/>
      <c r="P2434" s="39" t="str">
        <f t="shared" si="377"/>
        <v/>
      </c>
      <c r="Q2434" s="40" t="str">
        <f>IF(OR(T2434=0,RIGHT(T2434,1)=$W$1),"",COUNTIF($T$3:T2434,T2434))</f>
        <v/>
      </c>
      <c r="S2434" s="6">
        <f t="shared" si="378"/>
        <v>0</v>
      </c>
      <c r="T2434" s="36">
        <f t="shared" si="379"/>
        <v>0</v>
      </c>
      <c r="V2434" s="6">
        <f t="shared" si="380"/>
        <v>0</v>
      </c>
      <c r="Y2434" s="8">
        <f t="shared" si="381"/>
        <v>46023</v>
      </c>
    </row>
    <row r="2435" spans="2:25" ht="18.75" x14ac:dyDescent="0.3">
      <c r="B2435" s="6">
        <f t="shared" si="373"/>
        <v>0</v>
      </c>
      <c r="C2435" s="6">
        <f t="shared" si="374"/>
        <v>0</v>
      </c>
      <c r="D2435" s="6" t="str">
        <f t="shared" si="375"/>
        <v/>
      </c>
      <c r="E2435" s="35" t="str">
        <f t="shared" ref="E2435:E2498" si="382">IF(D2435&lt;&gt;"",D2435&amp;" - "&amp;YEAR(F2435),"")</f>
        <v/>
      </c>
      <c r="F2435" s="31"/>
      <c r="G2435" s="29"/>
      <c r="H2435" s="78" t="str">
        <f t="shared" si="376"/>
        <v/>
      </c>
      <c r="I2435" s="25"/>
      <c r="J2435" s="25"/>
      <c r="K2435" s="26"/>
      <c r="L2435" s="26"/>
      <c r="M2435" s="37"/>
      <c r="N2435" s="27"/>
      <c r="O2435" s="30"/>
      <c r="P2435" s="39" t="str">
        <f t="shared" si="377"/>
        <v/>
      </c>
      <c r="Q2435" s="40" t="str">
        <f>IF(OR(T2435=0,RIGHT(T2435,1)=$W$1),"",COUNTIF($T$3:T2435,T2435))</f>
        <v/>
      </c>
      <c r="S2435" s="6">
        <f t="shared" si="378"/>
        <v>0</v>
      </c>
      <c r="T2435" s="36">
        <f t="shared" si="379"/>
        <v>0</v>
      </c>
      <c r="V2435" s="6">
        <f t="shared" si="380"/>
        <v>0</v>
      </c>
      <c r="Y2435" s="8">
        <f t="shared" si="381"/>
        <v>46023</v>
      </c>
    </row>
    <row r="2436" spans="2:25" ht="18.75" x14ac:dyDescent="0.3">
      <c r="B2436" s="6">
        <f t="shared" ref="B2436:B2499" si="383">IF($B$1=YEAR(F2436),B2435+1,B2435)</f>
        <v>0</v>
      </c>
      <c r="C2436" s="6">
        <f t="shared" ref="C2436:C2499" si="384">IF(AND($C$1=K2436,$Y$1=YEAR(F2436)),C2435+1,C2435)</f>
        <v>0</v>
      </c>
      <c r="D2436" s="6" t="str">
        <f t="shared" ref="D2436:D2499" si="385">IF(F2436&lt;&gt;0,IF(YEAR(F2436)&lt;&gt;YEAR(F2435),1,IF(M2436=$AI$1,D2435,D2435+1)),"")</f>
        <v/>
      </c>
      <c r="E2436" s="35" t="str">
        <f t="shared" si="382"/>
        <v/>
      </c>
      <c r="F2436" s="31"/>
      <c r="G2436" s="29"/>
      <c r="H2436" s="78" t="str">
        <f t="shared" ref="H2436:H2499" si="386">IF(G2436&lt;&gt;"",F2436,"")</f>
        <v/>
      </c>
      <c r="I2436" s="25"/>
      <c r="J2436" s="25"/>
      <c r="K2436" s="26"/>
      <c r="L2436" s="26"/>
      <c r="M2436" s="37"/>
      <c r="N2436" s="27"/>
      <c r="O2436" s="30"/>
      <c r="P2436" s="39" t="str">
        <f t="shared" ref="P2436:P2499" si="387">IF(OR(T2436=0,RIGHT(T2436,1)=$W$1),"",VLOOKUP(K2436,$AD$1:$AK$15,5,FALSE))</f>
        <v/>
      </c>
      <c r="Q2436" s="40" t="str">
        <f>IF(OR(T2436=0,RIGHT(T2436,1)=$W$1),"",COUNTIF($T$3:T2436,T2436))</f>
        <v/>
      </c>
      <c r="S2436" s="6">
        <f t="shared" ref="S2436:S2499" si="388">IF(AND($C$1=K2436,$Y$1=YEAR(F2436)),C2436,0)</f>
        <v>0</v>
      </c>
      <c r="T2436" s="36">
        <f t="shared" ref="T2436:T2499" si="389">IF(F2436=0,0,YEAR(F2436)&amp;VLOOKUP(K2436,$AD$1:$AE$15,2,FALSE))</f>
        <v>0</v>
      </c>
      <c r="V2436" s="6">
        <f t="shared" ref="V2436:V2499" si="390">IF(AND(YEAR(F2436)=$Y$1,K2436=$C$1,L2436&amp;$V$1&lt;&gt;$V$1),L2436,IF(AND(YEAR(F2436)=$Y$1,K2436=$C$1),1,0))</f>
        <v>0</v>
      </c>
      <c r="Y2436" s="8">
        <f t="shared" ref="Y2436:Y2499" si="391">IF(M2436&lt;&gt;$AI$1,$Y$2,F2435)</f>
        <v>46023</v>
      </c>
    </row>
    <row r="2437" spans="2:25" ht="18.75" x14ac:dyDescent="0.3">
      <c r="B2437" s="6">
        <f t="shared" si="383"/>
        <v>0</v>
      </c>
      <c r="C2437" s="6">
        <f t="shared" si="384"/>
        <v>0</v>
      </c>
      <c r="D2437" s="6" t="str">
        <f t="shared" si="385"/>
        <v/>
      </c>
      <c r="E2437" s="35" t="str">
        <f t="shared" si="382"/>
        <v/>
      </c>
      <c r="F2437" s="31"/>
      <c r="G2437" s="29"/>
      <c r="H2437" s="78" t="str">
        <f t="shared" si="386"/>
        <v/>
      </c>
      <c r="I2437" s="25"/>
      <c r="J2437" s="25"/>
      <c r="K2437" s="26"/>
      <c r="L2437" s="26"/>
      <c r="M2437" s="37"/>
      <c r="N2437" s="27"/>
      <c r="O2437" s="30"/>
      <c r="P2437" s="39" t="str">
        <f t="shared" si="387"/>
        <v/>
      </c>
      <c r="Q2437" s="40" t="str">
        <f>IF(OR(T2437=0,RIGHT(T2437,1)=$W$1),"",COUNTIF($T$3:T2437,T2437))</f>
        <v/>
      </c>
      <c r="S2437" s="6">
        <f t="shared" si="388"/>
        <v>0</v>
      </c>
      <c r="T2437" s="36">
        <f t="shared" si="389"/>
        <v>0</v>
      </c>
      <c r="V2437" s="6">
        <f t="shared" si="390"/>
        <v>0</v>
      </c>
      <c r="Y2437" s="8">
        <f t="shared" si="391"/>
        <v>46023</v>
      </c>
    </row>
    <row r="2438" spans="2:25" ht="18.75" x14ac:dyDescent="0.3">
      <c r="B2438" s="6">
        <f t="shared" si="383"/>
        <v>0</v>
      </c>
      <c r="C2438" s="6">
        <f t="shared" si="384"/>
        <v>0</v>
      </c>
      <c r="D2438" s="6" t="str">
        <f t="shared" si="385"/>
        <v/>
      </c>
      <c r="E2438" s="35" t="str">
        <f t="shared" si="382"/>
        <v/>
      </c>
      <c r="F2438" s="31"/>
      <c r="G2438" s="29"/>
      <c r="H2438" s="78" t="str">
        <f t="shared" si="386"/>
        <v/>
      </c>
      <c r="I2438" s="25"/>
      <c r="J2438" s="25"/>
      <c r="K2438" s="26"/>
      <c r="L2438" s="26"/>
      <c r="M2438" s="37"/>
      <c r="N2438" s="27"/>
      <c r="O2438" s="30"/>
      <c r="P2438" s="39" t="str">
        <f t="shared" si="387"/>
        <v/>
      </c>
      <c r="Q2438" s="40" t="str">
        <f>IF(OR(T2438=0,RIGHT(T2438,1)=$W$1),"",COUNTIF($T$3:T2438,T2438))</f>
        <v/>
      </c>
      <c r="S2438" s="6">
        <f t="shared" si="388"/>
        <v>0</v>
      </c>
      <c r="T2438" s="36">
        <f t="shared" si="389"/>
        <v>0</v>
      </c>
      <c r="V2438" s="6">
        <f t="shared" si="390"/>
        <v>0</v>
      </c>
      <c r="Y2438" s="8">
        <f t="shared" si="391"/>
        <v>46023</v>
      </c>
    </row>
    <row r="2439" spans="2:25" ht="18.75" x14ac:dyDescent="0.3">
      <c r="B2439" s="6">
        <f t="shared" si="383"/>
        <v>0</v>
      </c>
      <c r="C2439" s="6">
        <f t="shared" si="384"/>
        <v>0</v>
      </c>
      <c r="D2439" s="6" t="str">
        <f t="shared" si="385"/>
        <v/>
      </c>
      <c r="E2439" s="35" t="str">
        <f t="shared" si="382"/>
        <v/>
      </c>
      <c r="F2439" s="31"/>
      <c r="G2439" s="29"/>
      <c r="H2439" s="78" t="str">
        <f t="shared" si="386"/>
        <v/>
      </c>
      <c r="I2439" s="25"/>
      <c r="J2439" s="25"/>
      <c r="K2439" s="26"/>
      <c r="L2439" s="26"/>
      <c r="M2439" s="37"/>
      <c r="N2439" s="27"/>
      <c r="O2439" s="30"/>
      <c r="P2439" s="39" t="str">
        <f t="shared" si="387"/>
        <v/>
      </c>
      <c r="Q2439" s="40" t="str">
        <f>IF(OR(T2439=0,RIGHT(T2439,1)=$W$1),"",COUNTIF($T$3:T2439,T2439))</f>
        <v/>
      </c>
      <c r="S2439" s="6">
        <f t="shared" si="388"/>
        <v>0</v>
      </c>
      <c r="T2439" s="36">
        <f t="shared" si="389"/>
        <v>0</v>
      </c>
      <c r="V2439" s="6">
        <f t="shared" si="390"/>
        <v>0</v>
      </c>
      <c r="Y2439" s="8">
        <f t="shared" si="391"/>
        <v>46023</v>
      </c>
    </row>
    <row r="2440" spans="2:25" ht="18.75" x14ac:dyDescent="0.3">
      <c r="B2440" s="6">
        <f t="shared" si="383"/>
        <v>0</v>
      </c>
      <c r="C2440" s="6">
        <f t="shared" si="384"/>
        <v>0</v>
      </c>
      <c r="D2440" s="6" t="str">
        <f t="shared" si="385"/>
        <v/>
      </c>
      <c r="E2440" s="35" t="str">
        <f t="shared" si="382"/>
        <v/>
      </c>
      <c r="F2440" s="31"/>
      <c r="G2440" s="29"/>
      <c r="H2440" s="78" t="str">
        <f t="shared" si="386"/>
        <v/>
      </c>
      <c r="I2440" s="25"/>
      <c r="J2440" s="25"/>
      <c r="K2440" s="26"/>
      <c r="L2440" s="26"/>
      <c r="M2440" s="37"/>
      <c r="N2440" s="27"/>
      <c r="O2440" s="30"/>
      <c r="P2440" s="39" t="str">
        <f t="shared" si="387"/>
        <v/>
      </c>
      <c r="Q2440" s="40" t="str">
        <f>IF(OR(T2440=0,RIGHT(T2440,1)=$W$1),"",COUNTIF($T$3:T2440,T2440))</f>
        <v/>
      </c>
      <c r="S2440" s="6">
        <f t="shared" si="388"/>
        <v>0</v>
      </c>
      <c r="T2440" s="36">
        <f t="shared" si="389"/>
        <v>0</v>
      </c>
      <c r="V2440" s="6">
        <f t="shared" si="390"/>
        <v>0</v>
      </c>
      <c r="Y2440" s="8">
        <f t="shared" si="391"/>
        <v>46023</v>
      </c>
    </row>
    <row r="2441" spans="2:25" ht="18.75" x14ac:dyDescent="0.3">
      <c r="B2441" s="6">
        <f t="shared" si="383"/>
        <v>0</v>
      </c>
      <c r="C2441" s="6">
        <f t="shared" si="384"/>
        <v>0</v>
      </c>
      <c r="D2441" s="6" t="str">
        <f t="shared" si="385"/>
        <v/>
      </c>
      <c r="E2441" s="35" t="str">
        <f t="shared" si="382"/>
        <v/>
      </c>
      <c r="F2441" s="31"/>
      <c r="G2441" s="29"/>
      <c r="H2441" s="78" t="str">
        <f t="shared" si="386"/>
        <v/>
      </c>
      <c r="I2441" s="25"/>
      <c r="J2441" s="25"/>
      <c r="K2441" s="26"/>
      <c r="L2441" s="26"/>
      <c r="M2441" s="37"/>
      <c r="N2441" s="27"/>
      <c r="O2441" s="30"/>
      <c r="P2441" s="39" t="str">
        <f t="shared" si="387"/>
        <v/>
      </c>
      <c r="Q2441" s="40" t="str">
        <f>IF(OR(T2441=0,RIGHT(T2441,1)=$W$1),"",COUNTIF($T$3:T2441,T2441))</f>
        <v/>
      </c>
      <c r="S2441" s="6">
        <f t="shared" si="388"/>
        <v>0</v>
      </c>
      <c r="T2441" s="36">
        <f t="shared" si="389"/>
        <v>0</v>
      </c>
      <c r="V2441" s="6">
        <f t="shared" si="390"/>
        <v>0</v>
      </c>
      <c r="Y2441" s="8">
        <f t="shared" si="391"/>
        <v>46023</v>
      </c>
    </row>
    <row r="2442" spans="2:25" ht="18.75" x14ac:dyDescent="0.3">
      <c r="B2442" s="6">
        <f t="shared" si="383"/>
        <v>0</v>
      </c>
      <c r="C2442" s="6">
        <f t="shared" si="384"/>
        <v>0</v>
      </c>
      <c r="D2442" s="6" t="str">
        <f t="shared" si="385"/>
        <v/>
      </c>
      <c r="E2442" s="35" t="str">
        <f t="shared" si="382"/>
        <v/>
      </c>
      <c r="F2442" s="31"/>
      <c r="G2442" s="29"/>
      <c r="H2442" s="78" t="str">
        <f t="shared" si="386"/>
        <v/>
      </c>
      <c r="I2442" s="25"/>
      <c r="J2442" s="25"/>
      <c r="K2442" s="26"/>
      <c r="L2442" s="26"/>
      <c r="M2442" s="37"/>
      <c r="N2442" s="27"/>
      <c r="O2442" s="30"/>
      <c r="P2442" s="39" t="str">
        <f t="shared" si="387"/>
        <v/>
      </c>
      <c r="Q2442" s="40" t="str">
        <f>IF(OR(T2442=0,RIGHT(T2442,1)=$W$1),"",COUNTIF($T$3:T2442,T2442))</f>
        <v/>
      </c>
      <c r="S2442" s="6">
        <f t="shared" si="388"/>
        <v>0</v>
      </c>
      <c r="T2442" s="36">
        <f t="shared" si="389"/>
        <v>0</v>
      </c>
      <c r="V2442" s="6">
        <f t="shared" si="390"/>
        <v>0</v>
      </c>
      <c r="Y2442" s="8">
        <f t="shared" si="391"/>
        <v>46023</v>
      </c>
    </row>
    <row r="2443" spans="2:25" ht="18.75" x14ac:dyDescent="0.3">
      <c r="B2443" s="6">
        <f t="shared" si="383"/>
        <v>0</v>
      </c>
      <c r="C2443" s="6">
        <f t="shared" si="384"/>
        <v>0</v>
      </c>
      <c r="D2443" s="6" t="str">
        <f t="shared" si="385"/>
        <v/>
      </c>
      <c r="E2443" s="35" t="str">
        <f t="shared" si="382"/>
        <v/>
      </c>
      <c r="F2443" s="31"/>
      <c r="G2443" s="29"/>
      <c r="H2443" s="78" t="str">
        <f t="shared" si="386"/>
        <v/>
      </c>
      <c r="I2443" s="25"/>
      <c r="J2443" s="25"/>
      <c r="K2443" s="26"/>
      <c r="L2443" s="26"/>
      <c r="M2443" s="37"/>
      <c r="N2443" s="27"/>
      <c r="O2443" s="30"/>
      <c r="P2443" s="39" t="str">
        <f t="shared" si="387"/>
        <v/>
      </c>
      <c r="Q2443" s="40" t="str">
        <f>IF(OR(T2443=0,RIGHT(T2443,1)=$W$1),"",COUNTIF($T$3:T2443,T2443))</f>
        <v/>
      </c>
      <c r="S2443" s="6">
        <f t="shared" si="388"/>
        <v>0</v>
      </c>
      <c r="T2443" s="36">
        <f t="shared" si="389"/>
        <v>0</v>
      </c>
      <c r="V2443" s="6">
        <f t="shared" si="390"/>
        <v>0</v>
      </c>
      <c r="Y2443" s="8">
        <f t="shared" si="391"/>
        <v>46023</v>
      </c>
    </row>
    <row r="2444" spans="2:25" ht="18.75" x14ac:dyDescent="0.3">
      <c r="B2444" s="6">
        <f t="shared" si="383"/>
        <v>0</v>
      </c>
      <c r="C2444" s="6">
        <f t="shared" si="384"/>
        <v>0</v>
      </c>
      <c r="D2444" s="6" t="str">
        <f t="shared" si="385"/>
        <v/>
      </c>
      <c r="E2444" s="35" t="str">
        <f t="shared" si="382"/>
        <v/>
      </c>
      <c r="F2444" s="31"/>
      <c r="G2444" s="29"/>
      <c r="H2444" s="78" t="str">
        <f t="shared" si="386"/>
        <v/>
      </c>
      <c r="I2444" s="25"/>
      <c r="J2444" s="25"/>
      <c r="K2444" s="26"/>
      <c r="L2444" s="26"/>
      <c r="M2444" s="37"/>
      <c r="N2444" s="27"/>
      <c r="O2444" s="30"/>
      <c r="P2444" s="39" t="str">
        <f t="shared" si="387"/>
        <v/>
      </c>
      <c r="Q2444" s="40" t="str">
        <f>IF(OR(T2444=0,RIGHT(T2444,1)=$W$1),"",COUNTIF($T$3:T2444,T2444))</f>
        <v/>
      </c>
      <c r="S2444" s="6">
        <f t="shared" si="388"/>
        <v>0</v>
      </c>
      <c r="T2444" s="36">
        <f t="shared" si="389"/>
        <v>0</v>
      </c>
      <c r="V2444" s="6">
        <f t="shared" si="390"/>
        <v>0</v>
      </c>
      <c r="Y2444" s="8">
        <f t="shared" si="391"/>
        <v>46023</v>
      </c>
    </row>
    <row r="2445" spans="2:25" ht="18.75" x14ac:dyDescent="0.3">
      <c r="B2445" s="6">
        <f t="shared" si="383"/>
        <v>0</v>
      </c>
      <c r="C2445" s="6">
        <f t="shared" si="384"/>
        <v>0</v>
      </c>
      <c r="D2445" s="6" t="str">
        <f t="shared" si="385"/>
        <v/>
      </c>
      <c r="E2445" s="35" t="str">
        <f t="shared" si="382"/>
        <v/>
      </c>
      <c r="F2445" s="31"/>
      <c r="G2445" s="29"/>
      <c r="H2445" s="78" t="str">
        <f t="shared" si="386"/>
        <v/>
      </c>
      <c r="I2445" s="25"/>
      <c r="J2445" s="25"/>
      <c r="K2445" s="26"/>
      <c r="L2445" s="26"/>
      <c r="M2445" s="37"/>
      <c r="N2445" s="27"/>
      <c r="O2445" s="30"/>
      <c r="P2445" s="39" t="str">
        <f t="shared" si="387"/>
        <v/>
      </c>
      <c r="Q2445" s="40" t="str">
        <f>IF(OR(T2445=0,RIGHT(T2445,1)=$W$1),"",COUNTIF($T$3:T2445,T2445))</f>
        <v/>
      </c>
      <c r="S2445" s="6">
        <f t="shared" si="388"/>
        <v>0</v>
      </c>
      <c r="T2445" s="36">
        <f t="shared" si="389"/>
        <v>0</v>
      </c>
      <c r="V2445" s="6">
        <f t="shared" si="390"/>
        <v>0</v>
      </c>
      <c r="Y2445" s="8">
        <f t="shared" si="391"/>
        <v>46023</v>
      </c>
    </row>
    <row r="2446" spans="2:25" ht="18.75" x14ac:dyDescent="0.3">
      <c r="B2446" s="6">
        <f t="shared" si="383"/>
        <v>0</v>
      </c>
      <c r="C2446" s="6">
        <f t="shared" si="384"/>
        <v>0</v>
      </c>
      <c r="D2446" s="6" t="str">
        <f t="shared" si="385"/>
        <v/>
      </c>
      <c r="E2446" s="35" t="str">
        <f t="shared" si="382"/>
        <v/>
      </c>
      <c r="F2446" s="31"/>
      <c r="G2446" s="29"/>
      <c r="H2446" s="78" t="str">
        <f t="shared" si="386"/>
        <v/>
      </c>
      <c r="I2446" s="25"/>
      <c r="J2446" s="25"/>
      <c r="K2446" s="26"/>
      <c r="L2446" s="26"/>
      <c r="M2446" s="37"/>
      <c r="N2446" s="27"/>
      <c r="O2446" s="30"/>
      <c r="P2446" s="39" t="str">
        <f t="shared" si="387"/>
        <v/>
      </c>
      <c r="Q2446" s="40" t="str">
        <f>IF(OR(T2446=0,RIGHT(T2446,1)=$W$1),"",COUNTIF($T$3:T2446,T2446))</f>
        <v/>
      </c>
      <c r="S2446" s="6">
        <f t="shared" si="388"/>
        <v>0</v>
      </c>
      <c r="T2446" s="36">
        <f t="shared" si="389"/>
        <v>0</v>
      </c>
      <c r="V2446" s="6">
        <f t="shared" si="390"/>
        <v>0</v>
      </c>
      <c r="Y2446" s="8">
        <f t="shared" si="391"/>
        <v>46023</v>
      </c>
    </row>
    <row r="2447" spans="2:25" ht="18.75" x14ac:dyDescent="0.3">
      <c r="B2447" s="6">
        <f t="shared" si="383"/>
        <v>0</v>
      </c>
      <c r="C2447" s="6">
        <f t="shared" si="384"/>
        <v>0</v>
      </c>
      <c r="D2447" s="6" t="str">
        <f t="shared" si="385"/>
        <v/>
      </c>
      <c r="E2447" s="35" t="str">
        <f t="shared" si="382"/>
        <v/>
      </c>
      <c r="F2447" s="31"/>
      <c r="G2447" s="29"/>
      <c r="H2447" s="78" t="str">
        <f t="shared" si="386"/>
        <v/>
      </c>
      <c r="I2447" s="25"/>
      <c r="J2447" s="25"/>
      <c r="K2447" s="26"/>
      <c r="L2447" s="26"/>
      <c r="M2447" s="37"/>
      <c r="N2447" s="27"/>
      <c r="O2447" s="30"/>
      <c r="P2447" s="39" t="str">
        <f t="shared" si="387"/>
        <v/>
      </c>
      <c r="Q2447" s="40" t="str">
        <f>IF(OR(T2447=0,RIGHT(T2447,1)=$W$1),"",COUNTIF($T$3:T2447,T2447))</f>
        <v/>
      </c>
      <c r="S2447" s="6">
        <f t="shared" si="388"/>
        <v>0</v>
      </c>
      <c r="T2447" s="36">
        <f t="shared" si="389"/>
        <v>0</v>
      </c>
      <c r="V2447" s="6">
        <f t="shared" si="390"/>
        <v>0</v>
      </c>
      <c r="Y2447" s="8">
        <f t="shared" si="391"/>
        <v>46023</v>
      </c>
    </row>
    <row r="2448" spans="2:25" ht="18.75" x14ac:dyDescent="0.3">
      <c r="B2448" s="6">
        <f t="shared" si="383"/>
        <v>0</v>
      </c>
      <c r="C2448" s="6">
        <f t="shared" si="384"/>
        <v>0</v>
      </c>
      <c r="D2448" s="6" t="str">
        <f t="shared" si="385"/>
        <v/>
      </c>
      <c r="E2448" s="35" t="str">
        <f t="shared" si="382"/>
        <v/>
      </c>
      <c r="F2448" s="31"/>
      <c r="G2448" s="29"/>
      <c r="H2448" s="78" t="str">
        <f t="shared" si="386"/>
        <v/>
      </c>
      <c r="I2448" s="25"/>
      <c r="J2448" s="25"/>
      <c r="K2448" s="26"/>
      <c r="L2448" s="26"/>
      <c r="M2448" s="37"/>
      <c r="N2448" s="27"/>
      <c r="O2448" s="30"/>
      <c r="P2448" s="39" t="str">
        <f t="shared" si="387"/>
        <v/>
      </c>
      <c r="Q2448" s="40" t="str">
        <f>IF(OR(T2448=0,RIGHT(T2448,1)=$W$1),"",COUNTIF($T$3:T2448,T2448))</f>
        <v/>
      </c>
      <c r="S2448" s="6">
        <f t="shared" si="388"/>
        <v>0</v>
      </c>
      <c r="T2448" s="36">
        <f t="shared" si="389"/>
        <v>0</v>
      </c>
      <c r="V2448" s="6">
        <f t="shared" si="390"/>
        <v>0</v>
      </c>
      <c r="Y2448" s="8">
        <f t="shared" si="391"/>
        <v>46023</v>
      </c>
    </row>
    <row r="2449" spans="2:25" ht="18.75" x14ac:dyDescent="0.3">
      <c r="B2449" s="6">
        <f t="shared" si="383"/>
        <v>0</v>
      </c>
      <c r="C2449" s="6">
        <f t="shared" si="384"/>
        <v>0</v>
      </c>
      <c r="D2449" s="6" t="str">
        <f t="shared" si="385"/>
        <v/>
      </c>
      <c r="E2449" s="35" t="str">
        <f t="shared" si="382"/>
        <v/>
      </c>
      <c r="F2449" s="31"/>
      <c r="G2449" s="29"/>
      <c r="H2449" s="78" t="str">
        <f t="shared" si="386"/>
        <v/>
      </c>
      <c r="I2449" s="25"/>
      <c r="J2449" s="25"/>
      <c r="K2449" s="26"/>
      <c r="L2449" s="26"/>
      <c r="M2449" s="37"/>
      <c r="N2449" s="27"/>
      <c r="O2449" s="30"/>
      <c r="P2449" s="39" t="str">
        <f t="shared" si="387"/>
        <v/>
      </c>
      <c r="Q2449" s="40" t="str">
        <f>IF(OR(T2449=0,RIGHT(T2449,1)=$W$1),"",COUNTIF($T$3:T2449,T2449))</f>
        <v/>
      </c>
      <c r="S2449" s="6">
        <f t="shared" si="388"/>
        <v>0</v>
      </c>
      <c r="T2449" s="36">
        <f t="shared" si="389"/>
        <v>0</v>
      </c>
      <c r="V2449" s="6">
        <f t="shared" si="390"/>
        <v>0</v>
      </c>
      <c r="Y2449" s="8">
        <f t="shared" si="391"/>
        <v>46023</v>
      </c>
    </row>
    <row r="2450" spans="2:25" ht="18.75" x14ac:dyDescent="0.3">
      <c r="B2450" s="6">
        <f t="shared" si="383"/>
        <v>0</v>
      </c>
      <c r="C2450" s="6">
        <f t="shared" si="384"/>
        <v>0</v>
      </c>
      <c r="D2450" s="6" t="str">
        <f t="shared" si="385"/>
        <v/>
      </c>
      <c r="E2450" s="35" t="str">
        <f t="shared" si="382"/>
        <v/>
      </c>
      <c r="F2450" s="31"/>
      <c r="G2450" s="29"/>
      <c r="H2450" s="78" t="str">
        <f t="shared" si="386"/>
        <v/>
      </c>
      <c r="I2450" s="25"/>
      <c r="J2450" s="25"/>
      <c r="K2450" s="26"/>
      <c r="L2450" s="26"/>
      <c r="M2450" s="37"/>
      <c r="N2450" s="27"/>
      <c r="O2450" s="30"/>
      <c r="P2450" s="39" t="str">
        <f t="shared" si="387"/>
        <v/>
      </c>
      <c r="Q2450" s="40" t="str">
        <f>IF(OR(T2450=0,RIGHT(T2450,1)=$W$1),"",COUNTIF($T$3:T2450,T2450))</f>
        <v/>
      </c>
      <c r="S2450" s="6">
        <f t="shared" si="388"/>
        <v>0</v>
      </c>
      <c r="T2450" s="36">
        <f t="shared" si="389"/>
        <v>0</v>
      </c>
      <c r="V2450" s="6">
        <f t="shared" si="390"/>
        <v>0</v>
      </c>
      <c r="Y2450" s="8">
        <f t="shared" si="391"/>
        <v>46023</v>
      </c>
    </row>
    <row r="2451" spans="2:25" ht="18.75" x14ac:dyDescent="0.3">
      <c r="B2451" s="6">
        <f t="shared" si="383"/>
        <v>0</v>
      </c>
      <c r="C2451" s="6">
        <f t="shared" si="384"/>
        <v>0</v>
      </c>
      <c r="D2451" s="6" t="str">
        <f t="shared" si="385"/>
        <v/>
      </c>
      <c r="E2451" s="35" t="str">
        <f t="shared" si="382"/>
        <v/>
      </c>
      <c r="F2451" s="31"/>
      <c r="G2451" s="29"/>
      <c r="H2451" s="78" t="str">
        <f t="shared" si="386"/>
        <v/>
      </c>
      <c r="I2451" s="25"/>
      <c r="J2451" s="25"/>
      <c r="K2451" s="26"/>
      <c r="L2451" s="26"/>
      <c r="M2451" s="37"/>
      <c r="N2451" s="27"/>
      <c r="O2451" s="30"/>
      <c r="P2451" s="39" t="str">
        <f t="shared" si="387"/>
        <v/>
      </c>
      <c r="Q2451" s="40" t="str">
        <f>IF(OR(T2451=0,RIGHT(T2451,1)=$W$1),"",COUNTIF($T$3:T2451,T2451))</f>
        <v/>
      </c>
      <c r="S2451" s="6">
        <f t="shared" si="388"/>
        <v>0</v>
      </c>
      <c r="T2451" s="36">
        <f t="shared" si="389"/>
        <v>0</v>
      </c>
      <c r="V2451" s="6">
        <f t="shared" si="390"/>
        <v>0</v>
      </c>
      <c r="Y2451" s="8">
        <f t="shared" si="391"/>
        <v>46023</v>
      </c>
    </row>
    <row r="2452" spans="2:25" ht="18.75" x14ac:dyDescent="0.3">
      <c r="B2452" s="6">
        <f t="shared" si="383"/>
        <v>0</v>
      </c>
      <c r="C2452" s="6">
        <f t="shared" si="384"/>
        <v>0</v>
      </c>
      <c r="D2452" s="6" t="str">
        <f t="shared" si="385"/>
        <v/>
      </c>
      <c r="E2452" s="35" t="str">
        <f t="shared" si="382"/>
        <v/>
      </c>
      <c r="F2452" s="31"/>
      <c r="G2452" s="29"/>
      <c r="H2452" s="78" t="str">
        <f t="shared" si="386"/>
        <v/>
      </c>
      <c r="I2452" s="25"/>
      <c r="J2452" s="25"/>
      <c r="K2452" s="26"/>
      <c r="L2452" s="26"/>
      <c r="M2452" s="37"/>
      <c r="N2452" s="27"/>
      <c r="O2452" s="30"/>
      <c r="P2452" s="39" t="str">
        <f t="shared" si="387"/>
        <v/>
      </c>
      <c r="Q2452" s="40" t="str">
        <f>IF(OR(T2452=0,RIGHT(T2452,1)=$W$1),"",COUNTIF($T$3:T2452,T2452))</f>
        <v/>
      </c>
      <c r="S2452" s="6">
        <f t="shared" si="388"/>
        <v>0</v>
      </c>
      <c r="T2452" s="36">
        <f t="shared" si="389"/>
        <v>0</v>
      </c>
      <c r="V2452" s="6">
        <f t="shared" si="390"/>
        <v>0</v>
      </c>
      <c r="Y2452" s="8">
        <f t="shared" si="391"/>
        <v>46023</v>
      </c>
    </row>
    <row r="2453" spans="2:25" ht="18.75" x14ac:dyDescent="0.3">
      <c r="B2453" s="6">
        <f t="shared" si="383"/>
        <v>0</v>
      </c>
      <c r="C2453" s="6">
        <f t="shared" si="384"/>
        <v>0</v>
      </c>
      <c r="D2453" s="6" t="str">
        <f t="shared" si="385"/>
        <v/>
      </c>
      <c r="E2453" s="35" t="str">
        <f t="shared" si="382"/>
        <v/>
      </c>
      <c r="F2453" s="31"/>
      <c r="G2453" s="29"/>
      <c r="H2453" s="78" t="str">
        <f t="shared" si="386"/>
        <v/>
      </c>
      <c r="I2453" s="25"/>
      <c r="J2453" s="25"/>
      <c r="K2453" s="26"/>
      <c r="L2453" s="26"/>
      <c r="M2453" s="37"/>
      <c r="N2453" s="27"/>
      <c r="O2453" s="30"/>
      <c r="P2453" s="39" t="str">
        <f t="shared" si="387"/>
        <v/>
      </c>
      <c r="Q2453" s="40" t="str">
        <f>IF(OR(T2453=0,RIGHT(T2453,1)=$W$1),"",COUNTIF($T$3:T2453,T2453))</f>
        <v/>
      </c>
      <c r="S2453" s="6">
        <f t="shared" si="388"/>
        <v>0</v>
      </c>
      <c r="T2453" s="36">
        <f t="shared" si="389"/>
        <v>0</v>
      </c>
      <c r="V2453" s="6">
        <f t="shared" si="390"/>
        <v>0</v>
      </c>
      <c r="Y2453" s="8">
        <f t="shared" si="391"/>
        <v>46023</v>
      </c>
    </row>
    <row r="2454" spans="2:25" ht="18.75" x14ac:dyDescent="0.3">
      <c r="B2454" s="6">
        <f t="shared" si="383"/>
        <v>0</v>
      </c>
      <c r="C2454" s="6">
        <f t="shared" si="384"/>
        <v>0</v>
      </c>
      <c r="D2454" s="6" t="str">
        <f t="shared" si="385"/>
        <v/>
      </c>
      <c r="E2454" s="35" t="str">
        <f t="shared" si="382"/>
        <v/>
      </c>
      <c r="F2454" s="31"/>
      <c r="G2454" s="29"/>
      <c r="H2454" s="78" t="str">
        <f t="shared" si="386"/>
        <v/>
      </c>
      <c r="I2454" s="25"/>
      <c r="J2454" s="25"/>
      <c r="K2454" s="26"/>
      <c r="L2454" s="26"/>
      <c r="M2454" s="37"/>
      <c r="N2454" s="27"/>
      <c r="O2454" s="30"/>
      <c r="P2454" s="39" t="str">
        <f t="shared" si="387"/>
        <v/>
      </c>
      <c r="Q2454" s="40" t="str">
        <f>IF(OR(T2454=0,RIGHT(T2454,1)=$W$1),"",COUNTIF($T$3:T2454,T2454))</f>
        <v/>
      </c>
      <c r="S2454" s="6">
        <f t="shared" si="388"/>
        <v>0</v>
      </c>
      <c r="T2454" s="36">
        <f t="shared" si="389"/>
        <v>0</v>
      </c>
      <c r="V2454" s="6">
        <f t="shared" si="390"/>
        <v>0</v>
      </c>
      <c r="Y2454" s="8">
        <f t="shared" si="391"/>
        <v>46023</v>
      </c>
    </row>
    <row r="2455" spans="2:25" ht="18.75" x14ac:dyDescent="0.3">
      <c r="B2455" s="6">
        <f t="shared" si="383"/>
        <v>0</v>
      </c>
      <c r="C2455" s="6">
        <f t="shared" si="384"/>
        <v>0</v>
      </c>
      <c r="D2455" s="6" t="str">
        <f t="shared" si="385"/>
        <v/>
      </c>
      <c r="E2455" s="35" t="str">
        <f t="shared" si="382"/>
        <v/>
      </c>
      <c r="F2455" s="31"/>
      <c r="G2455" s="29"/>
      <c r="H2455" s="78" t="str">
        <f t="shared" si="386"/>
        <v/>
      </c>
      <c r="I2455" s="25"/>
      <c r="J2455" s="25"/>
      <c r="K2455" s="26"/>
      <c r="L2455" s="26"/>
      <c r="M2455" s="37"/>
      <c r="N2455" s="27"/>
      <c r="O2455" s="30"/>
      <c r="P2455" s="39" t="str">
        <f t="shared" si="387"/>
        <v/>
      </c>
      <c r="Q2455" s="40" t="str">
        <f>IF(OR(T2455=0,RIGHT(T2455,1)=$W$1),"",COUNTIF($T$3:T2455,T2455))</f>
        <v/>
      </c>
      <c r="S2455" s="6">
        <f t="shared" si="388"/>
        <v>0</v>
      </c>
      <c r="T2455" s="36">
        <f t="shared" si="389"/>
        <v>0</v>
      </c>
      <c r="V2455" s="6">
        <f t="shared" si="390"/>
        <v>0</v>
      </c>
      <c r="Y2455" s="8">
        <f t="shared" si="391"/>
        <v>46023</v>
      </c>
    </row>
    <row r="2456" spans="2:25" ht="18.75" x14ac:dyDescent="0.3">
      <c r="B2456" s="6">
        <f t="shared" si="383"/>
        <v>0</v>
      </c>
      <c r="C2456" s="6">
        <f t="shared" si="384"/>
        <v>0</v>
      </c>
      <c r="D2456" s="6" t="str">
        <f t="shared" si="385"/>
        <v/>
      </c>
      <c r="E2456" s="35" t="str">
        <f t="shared" si="382"/>
        <v/>
      </c>
      <c r="F2456" s="31"/>
      <c r="G2456" s="29"/>
      <c r="H2456" s="78" t="str">
        <f t="shared" si="386"/>
        <v/>
      </c>
      <c r="I2456" s="25"/>
      <c r="J2456" s="25"/>
      <c r="K2456" s="26"/>
      <c r="L2456" s="26"/>
      <c r="M2456" s="37"/>
      <c r="N2456" s="27"/>
      <c r="O2456" s="30"/>
      <c r="P2456" s="39" t="str">
        <f t="shared" si="387"/>
        <v/>
      </c>
      <c r="Q2456" s="40" t="str">
        <f>IF(OR(T2456=0,RIGHT(T2456,1)=$W$1),"",COUNTIF($T$3:T2456,T2456))</f>
        <v/>
      </c>
      <c r="S2456" s="6">
        <f t="shared" si="388"/>
        <v>0</v>
      </c>
      <c r="T2456" s="36">
        <f t="shared" si="389"/>
        <v>0</v>
      </c>
      <c r="V2456" s="6">
        <f t="shared" si="390"/>
        <v>0</v>
      </c>
      <c r="Y2456" s="8">
        <f t="shared" si="391"/>
        <v>46023</v>
      </c>
    </row>
    <row r="2457" spans="2:25" ht="18.75" x14ac:dyDescent="0.3">
      <c r="B2457" s="6">
        <f t="shared" si="383"/>
        <v>0</v>
      </c>
      <c r="C2457" s="6">
        <f t="shared" si="384"/>
        <v>0</v>
      </c>
      <c r="D2457" s="6" t="str">
        <f t="shared" si="385"/>
        <v/>
      </c>
      <c r="E2457" s="35" t="str">
        <f t="shared" si="382"/>
        <v/>
      </c>
      <c r="F2457" s="31"/>
      <c r="G2457" s="29"/>
      <c r="H2457" s="78" t="str">
        <f t="shared" si="386"/>
        <v/>
      </c>
      <c r="I2457" s="25"/>
      <c r="J2457" s="25"/>
      <c r="K2457" s="26"/>
      <c r="L2457" s="26"/>
      <c r="M2457" s="37"/>
      <c r="N2457" s="27"/>
      <c r="O2457" s="30"/>
      <c r="P2457" s="39" t="str">
        <f t="shared" si="387"/>
        <v/>
      </c>
      <c r="Q2457" s="40" t="str">
        <f>IF(OR(T2457=0,RIGHT(T2457,1)=$W$1),"",COUNTIF($T$3:T2457,T2457))</f>
        <v/>
      </c>
      <c r="S2457" s="6">
        <f t="shared" si="388"/>
        <v>0</v>
      </c>
      <c r="T2457" s="36">
        <f t="shared" si="389"/>
        <v>0</v>
      </c>
      <c r="V2457" s="6">
        <f t="shared" si="390"/>
        <v>0</v>
      </c>
      <c r="Y2457" s="8">
        <f t="shared" si="391"/>
        <v>46023</v>
      </c>
    </row>
    <row r="2458" spans="2:25" ht="18.75" x14ac:dyDescent="0.3">
      <c r="B2458" s="6">
        <f t="shared" si="383"/>
        <v>0</v>
      </c>
      <c r="C2458" s="6">
        <f t="shared" si="384"/>
        <v>0</v>
      </c>
      <c r="D2458" s="6" t="str">
        <f t="shared" si="385"/>
        <v/>
      </c>
      <c r="E2458" s="35" t="str">
        <f t="shared" si="382"/>
        <v/>
      </c>
      <c r="F2458" s="31"/>
      <c r="G2458" s="29"/>
      <c r="H2458" s="78" t="str">
        <f t="shared" si="386"/>
        <v/>
      </c>
      <c r="I2458" s="25"/>
      <c r="J2458" s="25"/>
      <c r="K2458" s="26"/>
      <c r="L2458" s="26"/>
      <c r="M2458" s="37"/>
      <c r="N2458" s="27"/>
      <c r="O2458" s="30"/>
      <c r="P2458" s="39" t="str">
        <f t="shared" si="387"/>
        <v/>
      </c>
      <c r="Q2458" s="40" t="str">
        <f>IF(OR(T2458=0,RIGHT(T2458,1)=$W$1),"",COUNTIF($T$3:T2458,T2458))</f>
        <v/>
      </c>
      <c r="S2458" s="6">
        <f t="shared" si="388"/>
        <v>0</v>
      </c>
      <c r="T2458" s="36">
        <f t="shared" si="389"/>
        <v>0</v>
      </c>
      <c r="V2458" s="6">
        <f t="shared" si="390"/>
        <v>0</v>
      </c>
      <c r="Y2458" s="8">
        <f t="shared" si="391"/>
        <v>46023</v>
      </c>
    </row>
    <row r="2459" spans="2:25" ht="18.75" x14ac:dyDescent="0.3">
      <c r="B2459" s="6">
        <f t="shared" si="383"/>
        <v>0</v>
      </c>
      <c r="C2459" s="6">
        <f t="shared" si="384"/>
        <v>0</v>
      </c>
      <c r="D2459" s="6" t="str">
        <f t="shared" si="385"/>
        <v/>
      </c>
      <c r="E2459" s="35" t="str">
        <f t="shared" si="382"/>
        <v/>
      </c>
      <c r="F2459" s="31"/>
      <c r="G2459" s="29"/>
      <c r="H2459" s="78" t="str">
        <f t="shared" si="386"/>
        <v/>
      </c>
      <c r="I2459" s="25"/>
      <c r="J2459" s="25"/>
      <c r="K2459" s="26"/>
      <c r="L2459" s="26"/>
      <c r="M2459" s="37"/>
      <c r="N2459" s="27"/>
      <c r="O2459" s="30"/>
      <c r="P2459" s="39" t="str">
        <f t="shared" si="387"/>
        <v/>
      </c>
      <c r="Q2459" s="40" t="str">
        <f>IF(OR(T2459=0,RIGHT(T2459,1)=$W$1),"",COUNTIF($T$3:T2459,T2459))</f>
        <v/>
      </c>
      <c r="S2459" s="6">
        <f t="shared" si="388"/>
        <v>0</v>
      </c>
      <c r="T2459" s="36">
        <f t="shared" si="389"/>
        <v>0</v>
      </c>
      <c r="V2459" s="6">
        <f t="shared" si="390"/>
        <v>0</v>
      </c>
      <c r="Y2459" s="8">
        <f t="shared" si="391"/>
        <v>46023</v>
      </c>
    </row>
    <row r="2460" spans="2:25" ht="18.75" x14ac:dyDescent="0.3">
      <c r="B2460" s="6">
        <f t="shared" si="383"/>
        <v>0</v>
      </c>
      <c r="C2460" s="6">
        <f t="shared" si="384"/>
        <v>0</v>
      </c>
      <c r="D2460" s="6" t="str">
        <f t="shared" si="385"/>
        <v/>
      </c>
      <c r="E2460" s="35" t="str">
        <f t="shared" si="382"/>
        <v/>
      </c>
      <c r="F2460" s="31"/>
      <c r="G2460" s="29"/>
      <c r="H2460" s="78" t="str">
        <f t="shared" si="386"/>
        <v/>
      </c>
      <c r="I2460" s="25"/>
      <c r="J2460" s="25"/>
      <c r="K2460" s="26"/>
      <c r="L2460" s="26"/>
      <c r="M2460" s="37"/>
      <c r="N2460" s="27"/>
      <c r="O2460" s="30"/>
      <c r="P2460" s="39" t="str">
        <f t="shared" si="387"/>
        <v/>
      </c>
      <c r="Q2460" s="40" t="str">
        <f>IF(OR(T2460=0,RIGHT(T2460,1)=$W$1),"",COUNTIF($T$3:T2460,T2460))</f>
        <v/>
      </c>
      <c r="S2460" s="6">
        <f t="shared" si="388"/>
        <v>0</v>
      </c>
      <c r="T2460" s="36">
        <f t="shared" si="389"/>
        <v>0</v>
      </c>
      <c r="V2460" s="6">
        <f t="shared" si="390"/>
        <v>0</v>
      </c>
      <c r="Y2460" s="8">
        <f t="shared" si="391"/>
        <v>46023</v>
      </c>
    </row>
    <row r="2461" spans="2:25" ht="18.75" x14ac:dyDescent="0.3">
      <c r="B2461" s="6">
        <f t="shared" si="383"/>
        <v>0</v>
      </c>
      <c r="C2461" s="6">
        <f t="shared" si="384"/>
        <v>0</v>
      </c>
      <c r="D2461" s="6" t="str">
        <f t="shared" si="385"/>
        <v/>
      </c>
      <c r="E2461" s="35" t="str">
        <f t="shared" si="382"/>
        <v/>
      </c>
      <c r="F2461" s="31"/>
      <c r="G2461" s="29"/>
      <c r="H2461" s="78" t="str">
        <f t="shared" si="386"/>
        <v/>
      </c>
      <c r="I2461" s="25"/>
      <c r="J2461" s="25"/>
      <c r="K2461" s="26"/>
      <c r="L2461" s="26"/>
      <c r="M2461" s="37"/>
      <c r="N2461" s="27"/>
      <c r="O2461" s="30"/>
      <c r="P2461" s="39" t="str">
        <f t="shared" si="387"/>
        <v/>
      </c>
      <c r="Q2461" s="40" t="str">
        <f>IF(OR(T2461=0,RIGHT(T2461,1)=$W$1),"",COUNTIF($T$3:T2461,T2461))</f>
        <v/>
      </c>
      <c r="S2461" s="6">
        <f t="shared" si="388"/>
        <v>0</v>
      </c>
      <c r="T2461" s="36">
        <f t="shared" si="389"/>
        <v>0</v>
      </c>
      <c r="V2461" s="6">
        <f t="shared" si="390"/>
        <v>0</v>
      </c>
      <c r="Y2461" s="8">
        <f t="shared" si="391"/>
        <v>46023</v>
      </c>
    </row>
    <row r="2462" spans="2:25" ht="18.75" x14ac:dyDescent="0.3">
      <c r="B2462" s="6">
        <f t="shared" si="383"/>
        <v>0</v>
      </c>
      <c r="C2462" s="6">
        <f t="shared" si="384"/>
        <v>0</v>
      </c>
      <c r="D2462" s="6" t="str">
        <f t="shared" si="385"/>
        <v/>
      </c>
      <c r="E2462" s="35" t="str">
        <f t="shared" si="382"/>
        <v/>
      </c>
      <c r="F2462" s="31"/>
      <c r="G2462" s="29"/>
      <c r="H2462" s="78" t="str">
        <f t="shared" si="386"/>
        <v/>
      </c>
      <c r="I2462" s="25"/>
      <c r="J2462" s="25"/>
      <c r="K2462" s="26"/>
      <c r="L2462" s="26"/>
      <c r="M2462" s="37"/>
      <c r="N2462" s="27"/>
      <c r="O2462" s="30"/>
      <c r="P2462" s="39" t="str">
        <f t="shared" si="387"/>
        <v/>
      </c>
      <c r="Q2462" s="40" t="str">
        <f>IF(OR(T2462=0,RIGHT(T2462,1)=$W$1),"",COUNTIF($T$3:T2462,T2462))</f>
        <v/>
      </c>
      <c r="S2462" s="6">
        <f t="shared" si="388"/>
        <v>0</v>
      </c>
      <c r="T2462" s="36">
        <f t="shared" si="389"/>
        <v>0</v>
      </c>
      <c r="V2462" s="6">
        <f t="shared" si="390"/>
        <v>0</v>
      </c>
      <c r="Y2462" s="8">
        <f t="shared" si="391"/>
        <v>46023</v>
      </c>
    </row>
    <row r="2463" spans="2:25" ht="18.75" x14ac:dyDescent="0.3">
      <c r="B2463" s="6">
        <f t="shared" si="383"/>
        <v>0</v>
      </c>
      <c r="C2463" s="6">
        <f t="shared" si="384"/>
        <v>0</v>
      </c>
      <c r="D2463" s="6" t="str">
        <f t="shared" si="385"/>
        <v/>
      </c>
      <c r="E2463" s="35" t="str">
        <f t="shared" si="382"/>
        <v/>
      </c>
      <c r="F2463" s="31"/>
      <c r="G2463" s="29"/>
      <c r="H2463" s="78" t="str">
        <f t="shared" si="386"/>
        <v/>
      </c>
      <c r="I2463" s="25"/>
      <c r="J2463" s="25"/>
      <c r="K2463" s="26"/>
      <c r="L2463" s="26"/>
      <c r="M2463" s="37"/>
      <c r="N2463" s="27"/>
      <c r="O2463" s="30"/>
      <c r="P2463" s="39" t="str">
        <f t="shared" si="387"/>
        <v/>
      </c>
      <c r="Q2463" s="40" t="str">
        <f>IF(OR(T2463=0,RIGHT(T2463,1)=$W$1),"",COUNTIF($T$3:T2463,T2463))</f>
        <v/>
      </c>
      <c r="S2463" s="6">
        <f t="shared" si="388"/>
        <v>0</v>
      </c>
      <c r="T2463" s="36">
        <f t="shared" si="389"/>
        <v>0</v>
      </c>
      <c r="V2463" s="6">
        <f t="shared" si="390"/>
        <v>0</v>
      </c>
      <c r="Y2463" s="8">
        <f t="shared" si="391"/>
        <v>46023</v>
      </c>
    </row>
    <row r="2464" spans="2:25" ht="18.75" x14ac:dyDescent="0.3">
      <c r="B2464" s="6">
        <f t="shared" si="383"/>
        <v>0</v>
      </c>
      <c r="C2464" s="6">
        <f t="shared" si="384"/>
        <v>0</v>
      </c>
      <c r="D2464" s="6" t="str">
        <f t="shared" si="385"/>
        <v/>
      </c>
      <c r="E2464" s="35" t="str">
        <f t="shared" si="382"/>
        <v/>
      </c>
      <c r="F2464" s="31"/>
      <c r="G2464" s="29"/>
      <c r="H2464" s="78" t="str">
        <f t="shared" si="386"/>
        <v/>
      </c>
      <c r="I2464" s="25"/>
      <c r="J2464" s="25"/>
      <c r="K2464" s="26"/>
      <c r="L2464" s="26"/>
      <c r="M2464" s="37"/>
      <c r="N2464" s="27"/>
      <c r="O2464" s="30"/>
      <c r="P2464" s="39" t="str">
        <f t="shared" si="387"/>
        <v/>
      </c>
      <c r="Q2464" s="40" t="str">
        <f>IF(OR(T2464=0,RIGHT(T2464,1)=$W$1),"",COUNTIF($T$3:T2464,T2464))</f>
        <v/>
      </c>
      <c r="S2464" s="6">
        <f t="shared" si="388"/>
        <v>0</v>
      </c>
      <c r="T2464" s="36">
        <f t="shared" si="389"/>
        <v>0</v>
      </c>
      <c r="V2464" s="6">
        <f t="shared" si="390"/>
        <v>0</v>
      </c>
      <c r="Y2464" s="8">
        <f t="shared" si="391"/>
        <v>46023</v>
      </c>
    </row>
    <row r="2465" spans="2:25" ht="18.75" x14ac:dyDescent="0.3">
      <c r="B2465" s="6">
        <f t="shared" si="383"/>
        <v>0</v>
      </c>
      <c r="C2465" s="6">
        <f t="shared" si="384"/>
        <v>0</v>
      </c>
      <c r="D2465" s="6" t="str">
        <f t="shared" si="385"/>
        <v/>
      </c>
      <c r="E2465" s="35" t="str">
        <f t="shared" si="382"/>
        <v/>
      </c>
      <c r="F2465" s="31"/>
      <c r="G2465" s="29"/>
      <c r="H2465" s="78" t="str">
        <f t="shared" si="386"/>
        <v/>
      </c>
      <c r="I2465" s="25"/>
      <c r="J2465" s="25"/>
      <c r="K2465" s="26"/>
      <c r="L2465" s="26"/>
      <c r="M2465" s="37"/>
      <c r="N2465" s="27"/>
      <c r="O2465" s="30"/>
      <c r="P2465" s="39" t="str">
        <f t="shared" si="387"/>
        <v/>
      </c>
      <c r="Q2465" s="40" t="str">
        <f>IF(OR(T2465=0,RIGHT(T2465,1)=$W$1),"",COUNTIF($T$3:T2465,T2465))</f>
        <v/>
      </c>
      <c r="S2465" s="6">
        <f t="shared" si="388"/>
        <v>0</v>
      </c>
      <c r="T2465" s="36">
        <f t="shared" si="389"/>
        <v>0</v>
      </c>
      <c r="V2465" s="6">
        <f t="shared" si="390"/>
        <v>0</v>
      </c>
      <c r="Y2465" s="8">
        <f t="shared" si="391"/>
        <v>46023</v>
      </c>
    </row>
    <row r="2466" spans="2:25" ht="18.75" x14ac:dyDescent="0.3">
      <c r="B2466" s="6">
        <f t="shared" si="383"/>
        <v>0</v>
      </c>
      <c r="C2466" s="6">
        <f t="shared" si="384"/>
        <v>0</v>
      </c>
      <c r="D2466" s="6" t="str">
        <f t="shared" si="385"/>
        <v/>
      </c>
      <c r="E2466" s="35" t="str">
        <f t="shared" si="382"/>
        <v/>
      </c>
      <c r="F2466" s="31"/>
      <c r="G2466" s="29"/>
      <c r="H2466" s="78" t="str">
        <f t="shared" si="386"/>
        <v/>
      </c>
      <c r="I2466" s="25"/>
      <c r="J2466" s="25"/>
      <c r="K2466" s="26"/>
      <c r="L2466" s="26"/>
      <c r="M2466" s="37"/>
      <c r="N2466" s="27"/>
      <c r="O2466" s="30"/>
      <c r="P2466" s="39" t="str">
        <f t="shared" si="387"/>
        <v/>
      </c>
      <c r="Q2466" s="40" t="str">
        <f>IF(OR(T2466=0,RIGHT(T2466,1)=$W$1),"",COUNTIF($T$3:T2466,T2466))</f>
        <v/>
      </c>
      <c r="S2466" s="6">
        <f t="shared" si="388"/>
        <v>0</v>
      </c>
      <c r="T2466" s="36">
        <f t="shared" si="389"/>
        <v>0</v>
      </c>
      <c r="V2466" s="6">
        <f t="shared" si="390"/>
        <v>0</v>
      </c>
      <c r="Y2466" s="8">
        <f t="shared" si="391"/>
        <v>46023</v>
      </c>
    </row>
    <row r="2467" spans="2:25" ht="18.75" x14ac:dyDescent="0.3">
      <c r="B2467" s="6">
        <f t="shared" si="383"/>
        <v>0</v>
      </c>
      <c r="C2467" s="6">
        <f t="shared" si="384"/>
        <v>0</v>
      </c>
      <c r="D2467" s="6" t="str">
        <f t="shared" si="385"/>
        <v/>
      </c>
      <c r="E2467" s="35" t="str">
        <f t="shared" si="382"/>
        <v/>
      </c>
      <c r="F2467" s="31"/>
      <c r="G2467" s="29"/>
      <c r="H2467" s="78" t="str">
        <f t="shared" si="386"/>
        <v/>
      </c>
      <c r="I2467" s="25"/>
      <c r="J2467" s="25"/>
      <c r="K2467" s="26"/>
      <c r="L2467" s="26"/>
      <c r="M2467" s="37"/>
      <c r="N2467" s="27"/>
      <c r="O2467" s="30"/>
      <c r="P2467" s="39" t="str">
        <f t="shared" si="387"/>
        <v/>
      </c>
      <c r="Q2467" s="40" t="str">
        <f>IF(OR(T2467=0,RIGHT(T2467,1)=$W$1),"",COUNTIF($T$3:T2467,T2467))</f>
        <v/>
      </c>
      <c r="S2467" s="6">
        <f t="shared" si="388"/>
        <v>0</v>
      </c>
      <c r="T2467" s="36">
        <f t="shared" si="389"/>
        <v>0</v>
      </c>
      <c r="V2467" s="6">
        <f t="shared" si="390"/>
        <v>0</v>
      </c>
      <c r="Y2467" s="8">
        <f t="shared" si="391"/>
        <v>46023</v>
      </c>
    </row>
    <row r="2468" spans="2:25" ht="18.75" x14ac:dyDescent="0.3">
      <c r="B2468" s="6">
        <f t="shared" si="383"/>
        <v>0</v>
      </c>
      <c r="C2468" s="6">
        <f t="shared" si="384"/>
        <v>0</v>
      </c>
      <c r="D2468" s="6" t="str">
        <f t="shared" si="385"/>
        <v/>
      </c>
      <c r="E2468" s="35" t="str">
        <f t="shared" si="382"/>
        <v/>
      </c>
      <c r="F2468" s="31"/>
      <c r="G2468" s="29"/>
      <c r="H2468" s="78" t="str">
        <f t="shared" si="386"/>
        <v/>
      </c>
      <c r="I2468" s="25"/>
      <c r="J2468" s="25"/>
      <c r="K2468" s="26"/>
      <c r="L2468" s="26"/>
      <c r="M2468" s="37"/>
      <c r="N2468" s="27"/>
      <c r="O2468" s="30"/>
      <c r="P2468" s="39" t="str">
        <f t="shared" si="387"/>
        <v/>
      </c>
      <c r="Q2468" s="40" t="str">
        <f>IF(OR(T2468=0,RIGHT(T2468,1)=$W$1),"",COUNTIF($T$3:T2468,T2468))</f>
        <v/>
      </c>
      <c r="S2468" s="6">
        <f t="shared" si="388"/>
        <v>0</v>
      </c>
      <c r="T2468" s="36">
        <f t="shared" si="389"/>
        <v>0</v>
      </c>
      <c r="V2468" s="6">
        <f t="shared" si="390"/>
        <v>0</v>
      </c>
      <c r="Y2468" s="8">
        <f t="shared" si="391"/>
        <v>46023</v>
      </c>
    </row>
    <row r="2469" spans="2:25" ht="18.75" x14ac:dyDescent="0.3">
      <c r="B2469" s="6">
        <f t="shared" si="383"/>
        <v>0</v>
      </c>
      <c r="C2469" s="6">
        <f t="shared" si="384"/>
        <v>0</v>
      </c>
      <c r="D2469" s="6" t="str">
        <f t="shared" si="385"/>
        <v/>
      </c>
      <c r="E2469" s="35" t="str">
        <f t="shared" si="382"/>
        <v/>
      </c>
      <c r="F2469" s="31"/>
      <c r="G2469" s="29"/>
      <c r="H2469" s="78" t="str">
        <f t="shared" si="386"/>
        <v/>
      </c>
      <c r="I2469" s="25"/>
      <c r="J2469" s="25"/>
      <c r="K2469" s="26"/>
      <c r="L2469" s="26"/>
      <c r="M2469" s="37"/>
      <c r="N2469" s="27"/>
      <c r="O2469" s="30"/>
      <c r="P2469" s="39" t="str">
        <f t="shared" si="387"/>
        <v/>
      </c>
      <c r="Q2469" s="40" t="str">
        <f>IF(OR(T2469=0,RIGHT(T2469,1)=$W$1),"",COUNTIF($T$3:T2469,T2469))</f>
        <v/>
      </c>
      <c r="S2469" s="6">
        <f t="shared" si="388"/>
        <v>0</v>
      </c>
      <c r="T2469" s="36">
        <f t="shared" si="389"/>
        <v>0</v>
      </c>
      <c r="V2469" s="6">
        <f t="shared" si="390"/>
        <v>0</v>
      </c>
      <c r="Y2469" s="8">
        <f t="shared" si="391"/>
        <v>46023</v>
      </c>
    </row>
    <row r="2470" spans="2:25" ht="18.75" x14ac:dyDescent="0.3">
      <c r="B2470" s="6">
        <f t="shared" si="383"/>
        <v>0</v>
      </c>
      <c r="C2470" s="6">
        <f t="shared" si="384"/>
        <v>0</v>
      </c>
      <c r="D2470" s="6" t="str">
        <f t="shared" si="385"/>
        <v/>
      </c>
      <c r="E2470" s="35" t="str">
        <f t="shared" si="382"/>
        <v/>
      </c>
      <c r="F2470" s="31"/>
      <c r="G2470" s="29"/>
      <c r="H2470" s="78" t="str">
        <f t="shared" si="386"/>
        <v/>
      </c>
      <c r="I2470" s="25"/>
      <c r="J2470" s="25"/>
      <c r="K2470" s="26"/>
      <c r="L2470" s="26"/>
      <c r="M2470" s="37"/>
      <c r="N2470" s="27"/>
      <c r="O2470" s="30"/>
      <c r="P2470" s="39" t="str">
        <f t="shared" si="387"/>
        <v/>
      </c>
      <c r="Q2470" s="40" t="str">
        <f>IF(OR(T2470=0,RIGHT(T2470,1)=$W$1),"",COUNTIF($T$3:T2470,T2470))</f>
        <v/>
      </c>
      <c r="S2470" s="6">
        <f t="shared" si="388"/>
        <v>0</v>
      </c>
      <c r="T2470" s="36">
        <f t="shared" si="389"/>
        <v>0</v>
      </c>
      <c r="V2470" s="6">
        <f t="shared" si="390"/>
        <v>0</v>
      </c>
      <c r="Y2470" s="8">
        <f t="shared" si="391"/>
        <v>46023</v>
      </c>
    </row>
    <row r="2471" spans="2:25" ht="18.75" x14ac:dyDescent="0.3">
      <c r="B2471" s="6">
        <f t="shared" si="383"/>
        <v>0</v>
      </c>
      <c r="C2471" s="6">
        <f t="shared" si="384"/>
        <v>0</v>
      </c>
      <c r="D2471" s="6" t="str">
        <f t="shared" si="385"/>
        <v/>
      </c>
      <c r="E2471" s="35" t="str">
        <f t="shared" si="382"/>
        <v/>
      </c>
      <c r="F2471" s="31"/>
      <c r="G2471" s="29"/>
      <c r="H2471" s="78" t="str">
        <f t="shared" si="386"/>
        <v/>
      </c>
      <c r="I2471" s="25"/>
      <c r="J2471" s="25"/>
      <c r="K2471" s="26"/>
      <c r="L2471" s="26"/>
      <c r="M2471" s="37"/>
      <c r="N2471" s="27"/>
      <c r="O2471" s="30"/>
      <c r="P2471" s="39" t="str">
        <f t="shared" si="387"/>
        <v/>
      </c>
      <c r="Q2471" s="40" t="str">
        <f>IF(OR(T2471=0,RIGHT(T2471,1)=$W$1),"",COUNTIF($T$3:T2471,T2471))</f>
        <v/>
      </c>
      <c r="S2471" s="6">
        <f t="shared" si="388"/>
        <v>0</v>
      </c>
      <c r="T2471" s="36">
        <f t="shared" si="389"/>
        <v>0</v>
      </c>
      <c r="V2471" s="6">
        <f t="shared" si="390"/>
        <v>0</v>
      </c>
      <c r="Y2471" s="8">
        <f t="shared" si="391"/>
        <v>46023</v>
      </c>
    </row>
    <row r="2472" spans="2:25" ht="18.75" x14ac:dyDescent="0.3">
      <c r="B2472" s="6">
        <f t="shared" si="383"/>
        <v>0</v>
      </c>
      <c r="C2472" s="6">
        <f t="shared" si="384"/>
        <v>0</v>
      </c>
      <c r="D2472" s="6" t="str">
        <f t="shared" si="385"/>
        <v/>
      </c>
      <c r="E2472" s="35" t="str">
        <f t="shared" si="382"/>
        <v/>
      </c>
      <c r="F2472" s="31"/>
      <c r="G2472" s="29"/>
      <c r="H2472" s="78" t="str">
        <f t="shared" si="386"/>
        <v/>
      </c>
      <c r="I2472" s="25"/>
      <c r="J2472" s="25"/>
      <c r="K2472" s="26"/>
      <c r="L2472" s="26"/>
      <c r="M2472" s="37"/>
      <c r="N2472" s="27"/>
      <c r="O2472" s="30"/>
      <c r="P2472" s="39" t="str">
        <f t="shared" si="387"/>
        <v/>
      </c>
      <c r="Q2472" s="40" t="str">
        <f>IF(OR(T2472=0,RIGHT(T2472,1)=$W$1),"",COUNTIF($T$3:T2472,T2472))</f>
        <v/>
      </c>
      <c r="S2472" s="6">
        <f t="shared" si="388"/>
        <v>0</v>
      </c>
      <c r="T2472" s="36">
        <f t="shared" si="389"/>
        <v>0</v>
      </c>
      <c r="V2472" s="6">
        <f t="shared" si="390"/>
        <v>0</v>
      </c>
      <c r="Y2472" s="8">
        <f t="shared" si="391"/>
        <v>46023</v>
      </c>
    </row>
    <row r="2473" spans="2:25" ht="18.75" x14ac:dyDescent="0.3">
      <c r="B2473" s="6">
        <f t="shared" si="383"/>
        <v>0</v>
      </c>
      <c r="C2473" s="6">
        <f t="shared" si="384"/>
        <v>0</v>
      </c>
      <c r="D2473" s="6" t="str">
        <f t="shared" si="385"/>
        <v/>
      </c>
      <c r="E2473" s="35" t="str">
        <f t="shared" si="382"/>
        <v/>
      </c>
      <c r="F2473" s="31"/>
      <c r="G2473" s="29"/>
      <c r="H2473" s="78" t="str">
        <f t="shared" si="386"/>
        <v/>
      </c>
      <c r="I2473" s="25"/>
      <c r="J2473" s="25"/>
      <c r="K2473" s="26"/>
      <c r="L2473" s="26"/>
      <c r="M2473" s="37"/>
      <c r="N2473" s="27"/>
      <c r="O2473" s="30"/>
      <c r="P2473" s="39" t="str">
        <f t="shared" si="387"/>
        <v/>
      </c>
      <c r="Q2473" s="40" t="str">
        <f>IF(OR(T2473=0,RIGHT(T2473,1)=$W$1),"",COUNTIF($T$3:T2473,T2473))</f>
        <v/>
      </c>
      <c r="S2473" s="6">
        <f t="shared" si="388"/>
        <v>0</v>
      </c>
      <c r="T2473" s="36">
        <f t="shared" si="389"/>
        <v>0</v>
      </c>
      <c r="V2473" s="6">
        <f t="shared" si="390"/>
        <v>0</v>
      </c>
      <c r="Y2473" s="8">
        <f t="shared" si="391"/>
        <v>46023</v>
      </c>
    </row>
    <row r="2474" spans="2:25" ht="18.75" x14ac:dyDescent="0.3">
      <c r="B2474" s="6">
        <f t="shared" si="383"/>
        <v>0</v>
      </c>
      <c r="C2474" s="6">
        <f t="shared" si="384"/>
        <v>0</v>
      </c>
      <c r="D2474" s="6" t="str">
        <f t="shared" si="385"/>
        <v/>
      </c>
      <c r="E2474" s="35" t="str">
        <f t="shared" si="382"/>
        <v/>
      </c>
      <c r="F2474" s="31"/>
      <c r="G2474" s="29"/>
      <c r="H2474" s="78" t="str">
        <f t="shared" si="386"/>
        <v/>
      </c>
      <c r="I2474" s="25"/>
      <c r="J2474" s="25"/>
      <c r="K2474" s="26"/>
      <c r="L2474" s="26"/>
      <c r="M2474" s="37"/>
      <c r="N2474" s="27"/>
      <c r="O2474" s="30"/>
      <c r="P2474" s="39" t="str">
        <f t="shared" si="387"/>
        <v/>
      </c>
      <c r="Q2474" s="40" t="str">
        <f>IF(OR(T2474=0,RIGHT(T2474,1)=$W$1),"",COUNTIF($T$3:T2474,T2474))</f>
        <v/>
      </c>
      <c r="S2474" s="6">
        <f t="shared" si="388"/>
        <v>0</v>
      </c>
      <c r="T2474" s="36">
        <f t="shared" si="389"/>
        <v>0</v>
      </c>
      <c r="V2474" s="6">
        <f t="shared" si="390"/>
        <v>0</v>
      </c>
      <c r="Y2474" s="8">
        <f t="shared" si="391"/>
        <v>46023</v>
      </c>
    </row>
    <row r="2475" spans="2:25" ht="18.75" x14ac:dyDescent="0.3">
      <c r="B2475" s="6">
        <f t="shared" si="383"/>
        <v>0</v>
      </c>
      <c r="C2475" s="6">
        <f t="shared" si="384"/>
        <v>0</v>
      </c>
      <c r="D2475" s="6" t="str">
        <f t="shared" si="385"/>
        <v/>
      </c>
      <c r="E2475" s="35" t="str">
        <f t="shared" si="382"/>
        <v/>
      </c>
      <c r="F2475" s="31"/>
      <c r="G2475" s="29"/>
      <c r="H2475" s="78" t="str">
        <f t="shared" si="386"/>
        <v/>
      </c>
      <c r="I2475" s="25"/>
      <c r="J2475" s="25"/>
      <c r="K2475" s="26"/>
      <c r="L2475" s="26"/>
      <c r="M2475" s="37"/>
      <c r="N2475" s="27"/>
      <c r="O2475" s="30"/>
      <c r="P2475" s="39" t="str">
        <f t="shared" si="387"/>
        <v/>
      </c>
      <c r="Q2475" s="40" t="str">
        <f>IF(OR(T2475=0,RIGHT(T2475,1)=$W$1),"",COUNTIF($T$3:T2475,T2475))</f>
        <v/>
      </c>
      <c r="S2475" s="6">
        <f t="shared" si="388"/>
        <v>0</v>
      </c>
      <c r="T2475" s="36">
        <f t="shared" si="389"/>
        <v>0</v>
      </c>
      <c r="V2475" s="6">
        <f t="shared" si="390"/>
        <v>0</v>
      </c>
      <c r="Y2475" s="8">
        <f t="shared" si="391"/>
        <v>46023</v>
      </c>
    </row>
    <row r="2476" spans="2:25" ht="18.75" x14ac:dyDescent="0.3">
      <c r="B2476" s="6">
        <f t="shared" si="383"/>
        <v>0</v>
      </c>
      <c r="C2476" s="6">
        <f t="shared" si="384"/>
        <v>0</v>
      </c>
      <c r="D2476" s="6" t="str">
        <f t="shared" si="385"/>
        <v/>
      </c>
      <c r="E2476" s="35" t="str">
        <f t="shared" si="382"/>
        <v/>
      </c>
      <c r="F2476" s="31"/>
      <c r="G2476" s="29"/>
      <c r="H2476" s="78" t="str">
        <f t="shared" si="386"/>
        <v/>
      </c>
      <c r="I2476" s="25"/>
      <c r="J2476" s="25"/>
      <c r="K2476" s="26"/>
      <c r="L2476" s="26"/>
      <c r="M2476" s="37"/>
      <c r="N2476" s="27"/>
      <c r="O2476" s="30"/>
      <c r="P2476" s="39" t="str">
        <f t="shared" si="387"/>
        <v/>
      </c>
      <c r="Q2476" s="40" t="str">
        <f>IF(OR(T2476=0,RIGHT(T2476,1)=$W$1),"",COUNTIF($T$3:T2476,T2476))</f>
        <v/>
      </c>
      <c r="S2476" s="6">
        <f t="shared" si="388"/>
        <v>0</v>
      </c>
      <c r="T2476" s="36">
        <f t="shared" si="389"/>
        <v>0</v>
      </c>
      <c r="V2476" s="6">
        <f t="shared" si="390"/>
        <v>0</v>
      </c>
      <c r="Y2476" s="8">
        <f t="shared" si="391"/>
        <v>46023</v>
      </c>
    </row>
    <row r="2477" spans="2:25" ht="18.75" x14ac:dyDescent="0.3">
      <c r="B2477" s="6">
        <f t="shared" si="383"/>
        <v>0</v>
      </c>
      <c r="C2477" s="6">
        <f t="shared" si="384"/>
        <v>0</v>
      </c>
      <c r="D2477" s="6" t="str">
        <f t="shared" si="385"/>
        <v/>
      </c>
      <c r="E2477" s="35" t="str">
        <f t="shared" si="382"/>
        <v/>
      </c>
      <c r="F2477" s="31"/>
      <c r="G2477" s="29"/>
      <c r="H2477" s="78" t="str">
        <f t="shared" si="386"/>
        <v/>
      </c>
      <c r="I2477" s="25"/>
      <c r="J2477" s="25"/>
      <c r="K2477" s="26"/>
      <c r="L2477" s="26"/>
      <c r="M2477" s="37"/>
      <c r="N2477" s="27"/>
      <c r="O2477" s="30"/>
      <c r="P2477" s="39" t="str">
        <f t="shared" si="387"/>
        <v/>
      </c>
      <c r="Q2477" s="40" t="str">
        <f>IF(OR(T2477=0,RIGHT(T2477,1)=$W$1),"",COUNTIF($T$3:T2477,T2477))</f>
        <v/>
      </c>
      <c r="S2477" s="6">
        <f t="shared" si="388"/>
        <v>0</v>
      </c>
      <c r="T2477" s="36">
        <f t="shared" si="389"/>
        <v>0</v>
      </c>
      <c r="V2477" s="6">
        <f t="shared" si="390"/>
        <v>0</v>
      </c>
      <c r="Y2477" s="8">
        <f t="shared" si="391"/>
        <v>46023</v>
      </c>
    </row>
    <row r="2478" spans="2:25" ht="18.75" x14ac:dyDescent="0.3">
      <c r="B2478" s="6">
        <f t="shared" si="383"/>
        <v>0</v>
      </c>
      <c r="C2478" s="6">
        <f t="shared" si="384"/>
        <v>0</v>
      </c>
      <c r="D2478" s="6" t="str">
        <f t="shared" si="385"/>
        <v/>
      </c>
      <c r="E2478" s="35" t="str">
        <f t="shared" si="382"/>
        <v/>
      </c>
      <c r="F2478" s="31"/>
      <c r="G2478" s="29"/>
      <c r="H2478" s="78" t="str">
        <f t="shared" si="386"/>
        <v/>
      </c>
      <c r="I2478" s="25"/>
      <c r="J2478" s="25"/>
      <c r="K2478" s="26"/>
      <c r="L2478" s="26"/>
      <c r="M2478" s="37"/>
      <c r="N2478" s="27"/>
      <c r="O2478" s="30"/>
      <c r="P2478" s="39" t="str">
        <f t="shared" si="387"/>
        <v/>
      </c>
      <c r="Q2478" s="40" t="str">
        <f>IF(OR(T2478=0,RIGHT(T2478,1)=$W$1),"",COUNTIF($T$3:T2478,T2478))</f>
        <v/>
      </c>
      <c r="S2478" s="6">
        <f t="shared" si="388"/>
        <v>0</v>
      </c>
      <c r="T2478" s="36">
        <f t="shared" si="389"/>
        <v>0</v>
      </c>
      <c r="V2478" s="6">
        <f t="shared" si="390"/>
        <v>0</v>
      </c>
      <c r="Y2478" s="8">
        <f t="shared" si="391"/>
        <v>46023</v>
      </c>
    </row>
    <row r="2479" spans="2:25" ht="18.75" x14ac:dyDescent="0.3">
      <c r="B2479" s="6">
        <f t="shared" si="383"/>
        <v>0</v>
      </c>
      <c r="C2479" s="6">
        <f t="shared" si="384"/>
        <v>0</v>
      </c>
      <c r="D2479" s="6" t="str">
        <f t="shared" si="385"/>
        <v/>
      </c>
      <c r="E2479" s="35" t="str">
        <f t="shared" si="382"/>
        <v/>
      </c>
      <c r="F2479" s="31"/>
      <c r="G2479" s="29"/>
      <c r="H2479" s="78" t="str">
        <f t="shared" si="386"/>
        <v/>
      </c>
      <c r="I2479" s="25"/>
      <c r="J2479" s="25"/>
      <c r="K2479" s="26"/>
      <c r="L2479" s="26"/>
      <c r="M2479" s="37"/>
      <c r="N2479" s="27"/>
      <c r="O2479" s="30"/>
      <c r="P2479" s="39" t="str">
        <f t="shared" si="387"/>
        <v/>
      </c>
      <c r="Q2479" s="40" t="str">
        <f>IF(OR(T2479=0,RIGHT(T2479,1)=$W$1),"",COUNTIF($T$3:T2479,T2479))</f>
        <v/>
      </c>
      <c r="S2479" s="6">
        <f t="shared" si="388"/>
        <v>0</v>
      </c>
      <c r="T2479" s="36">
        <f t="shared" si="389"/>
        <v>0</v>
      </c>
      <c r="V2479" s="6">
        <f t="shared" si="390"/>
        <v>0</v>
      </c>
      <c r="Y2479" s="8">
        <f t="shared" si="391"/>
        <v>46023</v>
      </c>
    </row>
    <row r="2480" spans="2:25" ht="18.75" x14ac:dyDescent="0.3">
      <c r="B2480" s="6">
        <f t="shared" si="383"/>
        <v>0</v>
      </c>
      <c r="C2480" s="6">
        <f t="shared" si="384"/>
        <v>0</v>
      </c>
      <c r="D2480" s="6" t="str">
        <f t="shared" si="385"/>
        <v/>
      </c>
      <c r="E2480" s="35" t="str">
        <f t="shared" si="382"/>
        <v/>
      </c>
      <c r="F2480" s="31"/>
      <c r="G2480" s="29"/>
      <c r="H2480" s="78" t="str">
        <f t="shared" si="386"/>
        <v/>
      </c>
      <c r="I2480" s="25"/>
      <c r="J2480" s="25"/>
      <c r="K2480" s="26"/>
      <c r="L2480" s="26"/>
      <c r="M2480" s="37"/>
      <c r="N2480" s="27"/>
      <c r="O2480" s="30"/>
      <c r="P2480" s="39" t="str">
        <f t="shared" si="387"/>
        <v/>
      </c>
      <c r="Q2480" s="40" t="str">
        <f>IF(OR(T2480=0,RIGHT(T2480,1)=$W$1),"",COUNTIF($T$3:T2480,T2480))</f>
        <v/>
      </c>
      <c r="S2480" s="6">
        <f t="shared" si="388"/>
        <v>0</v>
      </c>
      <c r="T2480" s="36">
        <f t="shared" si="389"/>
        <v>0</v>
      </c>
      <c r="V2480" s="6">
        <f t="shared" si="390"/>
        <v>0</v>
      </c>
      <c r="Y2480" s="8">
        <f t="shared" si="391"/>
        <v>46023</v>
      </c>
    </row>
    <row r="2481" spans="2:25" ht="18.75" x14ac:dyDescent="0.3">
      <c r="B2481" s="6">
        <f t="shared" si="383"/>
        <v>0</v>
      </c>
      <c r="C2481" s="6">
        <f t="shared" si="384"/>
        <v>0</v>
      </c>
      <c r="D2481" s="6" t="str">
        <f t="shared" si="385"/>
        <v/>
      </c>
      <c r="E2481" s="35" t="str">
        <f t="shared" si="382"/>
        <v/>
      </c>
      <c r="F2481" s="31"/>
      <c r="G2481" s="29"/>
      <c r="H2481" s="78" t="str">
        <f t="shared" si="386"/>
        <v/>
      </c>
      <c r="I2481" s="25"/>
      <c r="J2481" s="25"/>
      <c r="K2481" s="26"/>
      <c r="L2481" s="26"/>
      <c r="M2481" s="37"/>
      <c r="N2481" s="27"/>
      <c r="O2481" s="30"/>
      <c r="P2481" s="39" t="str">
        <f t="shared" si="387"/>
        <v/>
      </c>
      <c r="Q2481" s="40" t="str">
        <f>IF(OR(T2481=0,RIGHT(T2481,1)=$W$1),"",COUNTIF($T$3:T2481,T2481))</f>
        <v/>
      </c>
      <c r="S2481" s="6">
        <f t="shared" si="388"/>
        <v>0</v>
      </c>
      <c r="T2481" s="36">
        <f t="shared" si="389"/>
        <v>0</v>
      </c>
      <c r="V2481" s="6">
        <f t="shared" si="390"/>
        <v>0</v>
      </c>
      <c r="Y2481" s="8">
        <f t="shared" si="391"/>
        <v>46023</v>
      </c>
    </row>
    <row r="2482" spans="2:25" ht="18.75" x14ac:dyDescent="0.3">
      <c r="B2482" s="6">
        <f t="shared" si="383"/>
        <v>0</v>
      </c>
      <c r="C2482" s="6">
        <f t="shared" si="384"/>
        <v>0</v>
      </c>
      <c r="D2482" s="6" t="str">
        <f t="shared" si="385"/>
        <v/>
      </c>
      <c r="E2482" s="35" t="str">
        <f t="shared" si="382"/>
        <v/>
      </c>
      <c r="F2482" s="31"/>
      <c r="G2482" s="29"/>
      <c r="H2482" s="78" t="str">
        <f t="shared" si="386"/>
        <v/>
      </c>
      <c r="I2482" s="25"/>
      <c r="J2482" s="25"/>
      <c r="K2482" s="26"/>
      <c r="L2482" s="26"/>
      <c r="M2482" s="37"/>
      <c r="N2482" s="27"/>
      <c r="O2482" s="30"/>
      <c r="P2482" s="39" t="str">
        <f t="shared" si="387"/>
        <v/>
      </c>
      <c r="Q2482" s="40" t="str">
        <f>IF(OR(T2482=0,RIGHT(T2482,1)=$W$1),"",COUNTIF($T$3:T2482,T2482))</f>
        <v/>
      </c>
      <c r="S2482" s="6">
        <f t="shared" si="388"/>
        <v>0</v>
      </c>
      <c r="T2482" s="36">
        <f t="shared" si="389"/>
        <v>0</v>
      </c>
      <c r="V2482" s="6">
        <f t="shared" si="390"/>
        <v>0</v>
      </c>
      <c r="Y2482" s="8">
        <f t="shared" si="391"/>
        <v>46023</v>
      </c>
    </row>
    <row r="2483" spans="2:25" ht="18.75" x14ac:dyDescent="0.3">
      <c r="B2483" s="6">
        <f t="shared" si="383"/>
        <v>0</v>
      </c>
      <c r="C2483" s="6">
        <f t="shared" si="384"/>
        <v>0</v>
      </c>
      <c r="D2483" s="6" t="str">
        <f t="shared" si="385"/>
        <v/>
      </c>
      <c r="E2483" s="35" t="str">
        <f t="shared" si="382"/>
        <v/>
      </c>
      <c r="F2483" s="31"/>
      <c r="G2483" s="29"/>
      <c r="H2483" s="78" t="str">
        <f t="shared" si="386"/>
        <v/>
      </c>
      <c r="I2483" s="25"/>
      <c r="J2483" s="25"/>
      <c r="K2483" s="26"/>
      <c r="L2483" s="26"/>
      <c r="M2483" s="37"/>
      <c r="N2483" s="27"/>
      <c r="O2483" s="30"/>
      <c r="P2483" s="39" t="str">
        <f t="shared" si="387"/>
        <v/>
      </c>
      <c r="Q2483" s="40" t="str">
        <f>IF(OR(T2483=0,RIGHT(T2483,1)=$W$1),"",COUNTIF($T$3:T2483,T2483))</f>
        <v/>
      </c>
      <c r="S2483" s="6">
        <f t="shared" si="388"/>
        <v>0</v>
      </c>
      <c r="T2483" s="36">
        <f t="shared" si="389"/>
        <v>0</v>
      </c>
      <c r="V2483" s="6">
        <f t="shared" si="390"/>
        <v>0</v>
      </c>
      <c r="Y2483" s="8">
        <f t="shared" si="391"/>
        <v>46023</v>
      </c>
    </row>
    <row r="2484" spans="2:25" ht="18.75" x14ac:dyDescent="0.3">
      <c r="B2484" s="6">
        <f t="shared" si="383"/>
        <v>0</v>
      </c>
      <c r="C2484" s="6">
        <f t="shared" si="384"/>
        <v>0</v>
      </c>
      <c r="D2484" s="6" t="str">
        <f t="shared" si="385"/>
        <v/>
      </c>
      <c r="E2484" s="35" t="str">
        <f t="shared" si="382"/>
        <v/>
      </c>
      <c r="F2484" s="31"/>
      <c r="G2484" s="29"/>
      <c r="H2484" s="78" t="str">
        <f t="shared" si="386"/>
        <v/>
      </c>
      <c r="I2484" s="25"/>
      <c r="J2484" s="25"/>
      <c r="K2484" s="26"/>
      <c r="L2484" s="26"/>
      <c r="M2484" s="37"/>
      <c r="N2484" s="27"/>
      <c r="O2484" s="30"/>
      <c r="P2484" s="39" t="str">
        <f t="shared" si="387"/>
        <v/>
      </c>
      <c r="Q2484" s="40" t="str">
        <f>IF(OR(T2484=0,RIGHT(T2484,1)=$W$1),"",COUNTIF($T$3:T2484,T2484))</f>
        <v/>
      </c>
      <c r="S2484" s="6">
        <f t="shared" si="388"/>
        <v>0</v>
      </c>
      <c r="T2484" s="36">
        <f t="shared" si="389"/>
        <v>0</v>
      </c>
      <c r="V2484" s="6">
        <f t="shared" si="390"/>
        <v>0</v>
      </c>
      <c r="Y2484" s="8">
        <f t="shared" si="391"/>
        <v>46023</v>
      </c>
    </row>
    <row r="2485" spans="2:25" ht="18.75" x14ac:dyDescent="0.3">
      <c r="B2485" s="6">
        <f t="shared" si="383"/>
        <v>0</v>
      </c>
      <c r="C2485" s="6">
        <f t="shared" si="384"/>
        <v>0</v>
      </c>
      <c r="D2485" s="6" t="str">
        <f t="shared" si="385"/>
        <v/>
      </c>
      <c r="E2485" s="35" t="str">
        <f t="shared" si="382"/>
        <v/>
      </c>
      <c r="F2485" s="31"/>
      <c r="G2485" s="29"/>
      <c r="H2485" s="78" t="str">
        <f t="shared" si="386"/>
        <v/>
      </c>
      <c r="I2485" s="25"/>
      <c r="J2485" s="25"/>
      <c r="K2485" s="26"/>
      <c r="L2485" s="26"/>
      <c r="M2485" s="37"/>
      <c r="N2485" s="27"/>
      <c r="O2485" s="30"/>
      <c r="P2485" s="39" t="str">
        <f t="shared" si="387"/>
        <v/>
      </c>
      <c r="Q2485" s="40" t="str">
        <f>IF(OR(T2485=0,RIGHT(T2485,1)=$W$1),"",COUNTIF($T$3:T2485,T2485))</f>
        <v/>
      </c>
      <c r="S2485" s="6">
        <f t="shared" si="388"/>
        <v>0</v>
      </c>
      <c r="T2485" s="36">
        <f t="shared" si="389"/>
        <v>0</v>
      </c>
      <c r="V2485" s="6">
        <f t="shared" si="390"/>
        <v>0</v>
      </c>
      <c r="Y2485" s="8">
        <f t="shared" si="391"/>
        <v>46023</v>
      </c>
    </row>
    <row r="2486" spans="2:25" ht="18.75" x14ac:dyDescent="0.3">
      <c r="B2486" s="6">
        <f t="shared" si="383"/>
        <v>0</v>
      </c>
      <c r="C2486" s="6">
        <f t="shared" si="384"/>
        <v>0</v>
      </c>
      <c r="D2486" s="6" t="str">
        <f t="shared" si="385"/>
        <v/>
      </c>
      <c r="E2486" s="35" t="str">
        <f t="shared" si="382"/>
        <v/>
      </c>
      <c r="F2486" s="31"/>
      <c r="G2486" s="29"/>
      <c r="H2486" s="78" t="str">
        <f t="shared" si="386"/>
        <v/>
      </c>
      <c r="I2486" s="25"/>
      <c r="J2486" s="25"/>
      <c r="K2486" s="26"/>
      <c r="L2486" s="26"/>
      <c r="M2486" s="37"/>
      <c r="N2486" s="27"/>
      <c r="O2486" s="30"/>
      <c r="P2486" s="39" t="str">
        <f t="shared" si="387"/>
        <v/>
      </c>
      <c r="Q2486" s="40" t="str">
        <f>IF(OR(T2486=0,RIGHT(T2486,1)=$W$1),"",COUNTIF($T$3:T2486,T2486))</f>
        <v/>
      </c>
      <c r="S2486" s="6">
        <f t="shared" si="388"/>
        <v>0</v>
      </c>
      <c r="T2486" s="36">
        <f t="shared" si="389"/>
        <v>0</v>
      </c>
      <c r="V2486" s="6">
        <f t="shared" si="390"/>
        <v>0</v>
      </c>
      <c r="Y2486" s="8">
        <f t="shared" si="391"/>
        <v>46023</v>
      </c>
    </row>
    <row r="2487" spans="2:25" ht="18.75" x14ac:dyDescent="0.3">
      <c r="B2487" s="6">
        <f t="shared" si="383"/>
        <v>0</v>
      </c>
      <c r="C2487" s="6">
        <f t="shared" si="384"/>
        <v>0</v>
      </c>
      <c r="D2487" s="6" t="str">
        <f t="shared" si="385"/>
        <v/>
      </c>
      <c r="E2487" s="35" t="str">
        <f t="shared" si="382"/>
        <v/>
      </c>
      <c r="F2487" s="31"/>
      <c r="G2487" s="29"/>
      <c r="H2487" s="78" t="str">
        <f t="shared" si="386"/>
        <v/>
      </c>
      <c r="I2487" s="25"/>
      <c r="J2487" s="25"/>
      <c r="K2487" s="26"/>
      <c r="L2487" s="26"/>
      <c r="M2487" s="37"/>
      <c r="N2487" s="27"/>
      <c r="O2487" s="30"/>
      <c r="P2487" s="39" t="str">
        <f t="shared" si="387"/>
        <v/>
      </c>
      <c r="Q2487" s="40" t="str">
        <f>IF(OR(T2487=0,RIGHT(T2487,1)=$W$1),"",COUNTIF($T$3:T2487,T2487))</f>
        <v/>
      </c>
      <c r="S2487" s="6">
        <f t="shared" si="388"/>
        <v>0</v>
      </c>
      <c r="T2487" s="36">
        <f t="shared" si="389"/>
        <v>0</v>
      </c>
      <c r="V2487" s="6">
        <f t="shared" si="390"/>
        <v>0</v>
      </c>
      <c r="Y2487" s="8">
        <f t="shared" si="391"/>
        <v>46023</v>
      </c>
    </row>
    <row r="2488" spans="2:25" ht="18.75" x14ac:dyDescent="0.3">
      <c r="B2488" s="6">
        <f t="shared" si="383"/>
        <v>0</v>
      </c>
      <c r="C2488" s="6">
        <f t="shared" si="384"/>
        <v>0</v>
      </c>
      <c r="D2488" s="6" t="str">
        <f t="shared" si="385"/>
        <v/>
      </c>
      <c r="E2488" s="35" t="str">
        <f t="shared" si="382"/>
        <v/>
      </c>
      <c r="F2488" s="31"/>
      <c r="G2488" s="29"/>
      <c r="H2488" s="78" t="str">
        <f t="shared" si="386"/>
        <v/>
      </c>
      <c r="I2488" s="25"/>
      <c r="J2488" s="25"/>
      <c r="K2488" s="26"/>
      <c r="L2488" s="26"/>
      <c r="M2488" s="37"/>
      <c r="N2488" s="27"/>
      <c r="O2488" s="30"/>
      <c r="P2488" s="39" t="str">
        <f t="shared" si="387"/>
        <v/>
      </c>
      <c r="Q2488" s="40" t="str">
        <f>IF(OR(T2488=0,RIGHT(T2488,1)=$W$1),"",COUNTIF($T$3:T2488,T2488))</f>
        <v/>
      </c>
      <c r="S2488" s="6">
        <f t="shared" si="388"/>
        <v>0</v>
      </c>
      <c r="T2488" s="36">
        <f t="shared" si="389"/>
        <v>0</v>
      </c>
      <c r="V2488" s="6">
        <f t="shared" si="390"/>
        <v>0</v>
      </c>
      <c r="Y2488" s="8">
        <f t="shared" si="391"/>
        <v>46023</v>
      </c>
    </row>
    <row r="2489" spans="2:25" ht="18.75" x14ac:dyDescent="0.3">
      <c r="B2489" s="6">
        <f t="shared" si="383"/>
        <v>0</v>
      </c>
      <c r="C2489" s="6">
        <f t="shared" si="384"/>
        <v>0</v>
      </c>
      <c r="D2489" s="6" t="str">
        <f t="shared" si="385"/>
        <v/>
      </c>
      <c r="E2489" s="35" t="str">
        <f t="shared" si="382"/>
        <v/>
      </c>
      <c r="F2489" s="31"/>
      <c r="G2489" s="29"/>
      <c r="H2489" s="78" t="str">
        <f t="shared" si="386"/>
        <v/>
      </c>
      <c r="I2489" s="25"/>
      <c r="J2489" s="25"/>
      <c r="K2489" s="26"/>
      <c r="L2489" s="26"/>
      <c r="M2489" s="37"/>
      <c r="N2489" s="27"/>
      <c r="O2489" s="30"/>
      <c r="P2489" s="39" t="str">
        <f t="shared" si="387"/>
        <v/>
      </c>
      <c r="Q2489" s="40" t="str">
        <f>IF(OR(T2489=0,RIGHT(T2489,1)=$W$1),"",COUNTIF($T$3:T2489,T2489))</f>
        <v/>
      </c>
      <c r="S2489" s="6">
        <f t="shared" si="388"/>
        <v>0</v>
      </c>
      <c r="T2489" s="36">
        <f t="shared" si="389"/>
        <v>0</v>
      </c>
      <c r="V2489" s="6">
        <f t="shared" si="390"/>
        <v>0</v>
      </c>
      <c r="Y2489" s="8">
        <f t="shared" si="391"/>
        <v>46023</v>
      </c>
    </row>
    <row r="2490" spans="2:25" ht="18.75" x14ac:dyDescent="0.3">
      <c r="B2490" s="6">
        <f t="shared" si="383"/>
        <v>0</v>
      </c>
      <c r="C2490" s="6">
        <f t="shared" si="384"/>
        <v>0</v>
      </c>
      <c r="D2490" s="6" t="str">
        <f t="shared" si="385"/>
        <v/>
      </c>
      <c r="E2490" s="35" t="str">
        <f t="shared" si="382"/>
        <v/>
      </c>
      <c r="F2490" s="31"/>
      <c r="G2490" s="29"/>
      <c r="H2490" s="78" t="str">
        <f t="shared" si="386"/>
        <v/>
      </c>
      <c r="I2490" s="25"/>
      <c r="J2490" s="25"/>
      <c r="K2490" s="26"/>
      <c r="L2490" s="26"/>
      <c r="M2490" s="37"/>
      <c r="N2490" s="27"/>
      <c r="O2490" s="30"/>
      <c r="P2490" s="39" t="str">
        <f t="shared" si="387"/>
        <v/>
      </c>
      <c r="Q2490" s="40" t="str">
        <f>IF(OR(T2490=0,RIGHT(T2490,1)=$W$1),"",COUNTIF($T$3:T2490,T2490))</f>
        <v/>
      </c>
      <c r="S2490" s="6">
        <f t="shared" si="388"/>
        <v>0</v>
      </c>
      <c r="T2490" s="36">
        <f t="shared" si="389"/>
        <v>0</v>
      </c>
      <c r="V2490" s="6">
        <f t="shared" si="390"/>
        <v>0</v>
      </c>
      <c r="Y2490" s="8">
        <f t="shared" si="391"/>
        <v>46023</v>
      </c>
    </row>
    <row r="2491" spans="2:25" ht="18.75" x14ac:dyDescent="0.3">
      <c r="B2491" s="6">
        <f t="shared" si="383"/>
        <v>0</v>
      </c>
      <c r="C2491" s="6">
        <f t="shared" si="384"/>
        <v>0</v>
      </c>
      <c r="D2491" s="6" t="str">
        <f t="shared" si="385"/>
        <v/>
      </c>
      <c r="E2491" s="35" t="str">
        <f t="shared" si="382"/>
        <v/>
      </c>
      <c r="F2491" s="31"/>
      <c r="G2491" s="29"/>
      <c r="H2491" s="78" t="str">
        <f t="shared" si="386"/>
        <v/>
      </c>
      <c r="I2491" s="25"/>
      <c r="J2491" s="25"/>
      <c r="K2491" s="26"/>
      <c r="L2491" s="26"/>
      <c r="M2491" s="37"/>
      <c r="N2491" s="27"/>
      <c r="O2491" s="30"/>
      <c r="P2491" s="39" t="str">
        <f t="shared" si="387"/>
        <v/>
      </c>
      <c r="Q2491" s="40" t="str">
        <f>IF(OR(T2491=0,RIGHT(T2491,1)=$W$1),"",COUNTIF($T$3:T2491,T2491))</f>
        <v/>
      </c>
      <c r="S2491" s="6">
        <f t="shared" si="388"/>
        <v>0</v>
      </c>
      <c r="T2491" s="36">
        <f t="shared" si="389"/>
        <v>0</v>
      </c>
      <c r="V2491" s="6">
        <f t="shared" si="390"/>
        <v>0</v>
      </c>
      <c r="Y2491" s="8">
        <f t="shared" si="391"/>
        <v>46023</v>
      </c>
    </row>
    <row r="2492" spans="2:25" ht="18.75" x14ac:dyDescent="0.3">
      <c r="B2492" s="6">
        <f t="shared" si="383"/>
        <v>0</v>
      </c>
      <c r="C2492" s="6">
        <f t="shared" si="384"/>
        <v>0</v>
      </c>
      <c r="D2492" s="6" t="str">
        <f t="shared" si="385"/>
        <v/>
      </c>
      <c r="E2492" s="35" t="str">
        <f t="shared" si="382"/>
        <v/>
      </c>
      <c r="F2492" s="31"/>
      <c r="G2492" s="29"/>
      <c r="H2492" s="78" t="str">
        <f t="shared" si="386"/>
        <v/>
      </c>
      <c r="I2492" s="25"/>
      <c r="J2492" s="25"/>
      <c r="K2492" s="26"/>
      <c r="L2492" s="26"/>
      <c r="M2492" s="37"/>
      <c r="N2492" s="27"/>
      <c r="O2492" s="30"/>
      <c r="P2492" s="39" t="str">
        <f t="shared" si="387"/>
        <v/>
      </c>
      <c r="Q2492" s="40" t="str">
        <f>IF(OR(T2492=0,RIGHT(T2492,1)=$W$1),"",COUNTIF($T$3:T2492,T2492))</f>
        <v/>
      </c>
      <c r="S2492" s="6">
        <f t="shared" si="388"/>
        <v>0</v>
      </c>
      <c r="T2492" s="36">
        <f t="shared" si="389"/>
        <v>0</v>
      </c>
      <c r="V2492" s="6">
        <f t="shared" si="390"/>
        <v>0</v>
      </c>
      <c r="Y2492" s="8">
        <f t="shared" si="391"/>
        <v>46023</v>
      </c>
    </row>
    <row r="2493" spans="2:25" ht="18.75" x14ac:dyDescent="0.3">
      <c r="B2493" s="6">
        <f t="shared" si="383"/>
        <v>0</v>
      </c>
      <c r="C2493" s="6">
        <f t="shared" si="384"/>
        <v>0</v>
      </c>
      <c r="D2493" s="6" t="str">
        <f t="shared" si="385"/>
        <v/>
      </c>
      <c r="E2493" s="35" t="str">
        <f t="shared" si="382"/>
        <v/>
      </c>
      <c r="F2493" s="31"/>
      <c r="G2493" s="29"/>
      <c r="H2493" s="78" t="str">
        <f t="shared" si="386"/>
        <v/>
      </c>
      <c r="I2493" s="25"/>
      <c r="J2493" s="25"/>
      <c r="K2493" s="26"/>
      <c r="L2493" s="26"/>
      <c r="M2493" s="37"/>
      <c r="N2493" s="27"/>
      <c r="O2493" s="30"/>
      <c r="P2493" s="39" t="str">
        <f t="shared" si="387"/>
        <v/>
      </c>
      <c r="Q2493" s="40" t="str">
        <f>IF(OR(T2493=0,RIGHT(T2493,1)=$W$1),"",COUNTIF($T$3:T2493,T2493))</f>
        <v/>
      </c>
      <c r="S2493" s="6">
        <f t="shared" si="388"/>
        <v>0</v>
      </c>
      <c r="T2493" s="36">
        <f t="shared" si="389"/>
        <v>0</v>
      </c>
      <c r="V2493" s="6">
        <f t="shared" si="390"/>
        <v>0</v>
      </c>
      <c r="Y2493" s="8">
        <f t="shared" si="391"/>
        <v>46023</v>
      </c>
    </row>
    <row r="2494" spans="2:25" ht="18.75" x14ac:dyDescent="0.3">
      <c r="B2494" s="6">
        <f t="shared" si="383"/>
        <v>0</v>
      </c>
      <c r="C2494" s="6">
        <f t="shared" si="384"/>
        <v>0</v>
      </c>
      <c r="D2494" s="6" t="str">
        <f t="shared" si="385"/>
        <v/>
      </c>
      <c r="E2494" s="35" t="str">
        <f t="shared" si="382"/>
        <v/>
      </c>
      <c r="F2494" s="31"/>
      <c r="G2494" s="29"/>
      <c r="H2494" s="78" t="str">
        <f t="shared" si="386"/>
        <v/>
      </c>
      <c r="I2494" s="25"/>
      <c r="J2494" s="25"/>
      <c r="K2494" s="26"/>
      <c r="L2494" s="26"/>
      <c r="M2494" s="37"/>
      <c r="N2494" s="27"/>
      <c r="O2494" s="30"/>
      <c r="P2494" s="39" t="str">
        <f t="shared" si="387"/>
        <v/>
      </c>
      <c r="Q2494" s="40" t="str">
        <f>IF(OR(T2494=0,RIGHT(T2494,1)=$W$1),"",COUNTIF($T$3:T2494,T2494))</f>
        <v/>
      </c>
      <c r="S2494" s="6">
        <f t="shared" si="388"/>
        <v>0</v>
      </c>
      <c r="T2494" s="36">
        <f t="shared" si="389"/>
        <v>0</v>
      </c>
      <c r="V2494" s="6">
        <f t="shared" si="390"/>
        <v>0</v>
      </c>
      <c r="Y2494" s="8">
        <f t="shared" si="391"/>
        <v>46023</v>
      </c>
    </row>
    <row r="2495" spans="2:25" ht="18.75" x14ac:dyDescent="0.3">
      <c r="B2495" s="6">
        <f t="shared" si="383"/>
        <v>0</v>
      </c>
      <c r="C2495" s="6">
        <f t="shared" si="384"/>
        <v>0</v>
      </c>
      <c r="D2495" s="6" t="str">
        <f t="shared" si="385"/>
        <v/>
      </c>
      <c r="E2495" s="35" t="str">
        <f t="shared" si="382"/>
        <v/>
      </c>
      <c r="F2495" s="31"/>
      <c r="G2495" s="29"/>
      <c r="H2495" s="78" t="str">
        <f t="shared" si="386"/>
        <v/>
      </c>
      <c r="I2495" s="25"/>
      <c r="J2495" s="25"/>
      <c r="K2495" s="26"/>
      <c r="L2495" s="26"/>
      <c r="M2495" s="37"/>
      <c r="N2495" s="27"/>
      <c r="O2495" s="30"/>
      <c r="P2495" s="39" t="str">
        <f t="shared" si="387"/>
        <v/>
      </c>
      <c r="Q2495" s="40" t="str">
        <f>IF(OR(T2495=0,RIGHT(T2495,1)=$W$1),"",COUNTIF($T$3:T2495,T2495))</f>
        <v/>
      </c>
      <c r="S2495" s="6">
        <f t="shared" si="388"/>
        <v>0</v>
      </c>
      <c r="T2495" s="36">
        <f t="shared" si="389"/>
        <v>0</v>
      </c>
      <c r="V2495" s="6">
        <f t="shared" si="390"/>
        <v>0</v>
      </c>
      <c r="Y2495" s="8">
        <f t="shared" si="391"/>
        <v>46023</v>
      </c>
    </row>
    <row r="2496" spans="2:25" ht="18.75" x14ac:dyDescent="0.3">
      <c r="B2496" s="6">
        <f t="shared" si="383"/>
        <v>0</v>
      </c>
      <c r="C2496" s="6">
        <f t="shared" si="384"/>
        <v>0</v>
      </c>
      <c r="D2496" s="6" t="str">
        <f t="shared" si="385"/>
        <v/>
      </c>
      <c r="E2496" s="35" t="str">
        <f t="shared" si="382"/>
        <v/>
      </c>
      <c r="F2496" s="31"/>
      <c r="G2496" s="29"/>
      <c r="H2496" s="78" t="str">
        <f t="shared" si="386"/>
        <v/>
      </c>
      <c r="I2496" s="25"/>
      <c r="J2496" s="25"/>
      <c r="K2496" s="26"/>
      <c r="L2496" s="26"/>
      <c r="M2496" s="37"/>
      <c r="N2496" s="27"/>
      <c r="O2496" s="30"/>
      <c r="P2496" s="39" t="str">
        <f t="shared" si="387"/>
        <v/>
      </c>
      <c r="Q2496" s="40" t="str">
        <f>IF(OR(T2496=0,RIGHT(T2496,1)=$W$1),"",COUNTIF($T$3:T2496,T2496))</f>
        <v/>
      </c>
      <c r="S2496" s="6">
        <f t="shared" si="388"/>
        <v>0</v>
      </c>
      <c r="T2496" s="36">
        <f t="shared" si="389"/>
        <v>0</v>
      </c>
      <c r="V2496" s="6">
        <f t="shared" si="390"/>
        <v>0</v>
      </c>
      <c r="Y2496" s="8">
        <f t="shared" si="391"/>
        <v>46023</v>
      </c>
    </row>
    <row r="2497" spans="2:25" ht="18.75" x14ac:dyDescent="0.3">
      <c r="B2497" s="6">
        <f t="shared" si="383"/>
        <v>0</v>
      </c>
      <c r="C2497" s="6">
        <f t="shared" si="384"/>
        <v>0</v>
      </c>
      <c r="D2497" s="6" t="str">
        <f t="shared" si="385"/>
        <v/>
      </c>
      <c r="E2497" s="35" t="str">
        <f t="shared" si="382"/>
        <v/>
      </c>
      <c r="F2497" s="31"/>
      <c r="G2497" s="29"/>
      <c r="H2497" s="78" t="str">
        <f t="shared" si="386"/>
        <v/>
      </c>
      <c r="I2497" s="25"/>
      <c r="J2497" s="25"/>
      <c r="K2497" s="26"/>
      <c r="L2497" s="26"/>
      <c r="M2497" s="37"/>
      <c r="N2497" s="27"/>
      <c r="O2497" s="30"/>
      <c r="P2497" s="39" t="str">
        <f t="shared" si="387"/>
        <v/>
      </c>
      <c r="Q2497" s="40" t="str">
        <f>IF(OR(T2497=0,RIGHT(T2497,1)=$W$1),"",COUNTIF($T$3:T2497,T2497))</f>
        <v/>
      </c>
      <c r="S2497" s="6">
        <f t="shared" si="388"/>
        <v>0</v>
      </c>
      <c r="T2497" s="36">
        <f t="shared" si="389"/>
        <v>0</v>
      </c>
      <c r="V2497" s="6">
        <f t="shared" si="390"/>
        <v>0</v>
      </c>
      <c r="Y2497" s="8">
        <f t="shared" si="391"/>
        <v>46023</v>
      </c>
    </row>
    <row r="2498" spans="2:25" ht="18.75" x14ac:dyDescent="0.3">
      <c r="B2498" s="6">
        <f t="shared" si="383"/>
        <v>0</v>
      </c>
      <c r="C2498" s="6">
        <f t="shared" si="384"/>
        <v>0</v>
      </c>
      <c r="D2498" s="6" t="str">
        <f t="shared" si="385"/>
        <v/>
      </c>
      <c r="E2498" s="35" t="str">
        <f t="shared" si="382"/>
        <v/>
      </c>
      <c r="F2498" s="31"/>
      <c r="G2498" s="29"/>
      <c r="H2498" s="78" t="str">
        <f t="shared" si="386"/>
        <v/>
      </c>
      <c r="I2498" s="25"/>
      <c r="J2498" s="25"/>
      <c r="K2498" s="26"/>
      <c r="L2498" s="26"/>
      <c r="M2498" s="37"/>
      <c r="N2498" s="27"/>
      <c r="O2498" s="30"/>
      <c r="P2498" s="39" t="str">
        <f t="shared" si="387"/>
        <v/>
      </c>
      <c r="Q2498" s="40" t="str">
        <f>IF(OR(T2498=0,RIGHT(T2498,1)=$W$1),"",COUNTIF($T$3:T2498,T2498))</f>
        <v/>
      </c>
      <c r="S2498" s="6">
        <f t="shared" si="388"/>
        <v>0</v>
      </c>
      <c r="T2498" s="36">
        <f t="shared" si="389"/>
        <v>0</v>
      </c>
      <c r="V2498" s="6">
        <f t="shared" si="390"/>
        <v>0</v>
      </c>
      <c r="Y2498" s="8">
        <f t="shared" si="391"/>
        <v>46023</v>
      </c>
    </row>
    <row r="2499" spans="2:25" ht="18.75" x14ac:dyDescent="0.3">
      <c r="B2499" s="6">
        <f t="shared" si="383"/>
        <v>0</v>
      </c>
      <c r="C2499" s="6">
        <f t="shared" si="384"/>
        <v>0</v>
      </c>
      <c r="D2499" s="6" t="str">
        <f t="shared" si="385"/>
        <v/>
      </c>
      <c r="E2499" s="35" t="str">
        <f t="shared" ref="E2499:E2562" si="392">IF(D2499&lt;&gt;"",D2499&amp;" - "&amp;YEAR(F2499),"")</f>
        <v/>
      </c>
      <c r="F2499" s="31"/>
      <c r="G2499" s="29"/>
      <c r="H2499" s="78" t="str">
        <f t="shared" si="386"/>
        <v/>
      </c>
      <c r="I2499" s="25"/>
      <c r="J2499" s="25"/>
      <c r="K2499" s="26"/>
      <c r="L2499" s="26"/>
      <c r="M2499" s="37"/>
      <c r="N2499" s="27"/>
      <c r="O2499" s="30"/>
      <c r="P2499" s="39" t="str">
        <f t="shared" si="387"/>
        <v/>
      </c>
      <c r="Q2499" s="40" t="str">
        <f>IF(OR(T2499=0,RIGHT(T2499,1)=$W$1),"",COUNTIF($T$3:T2499,T2499))</f>
        <v/>
      </c>
      <c r="S2499" s="6">
        <f t="shared" si="388"/>
        <v>0</v>
      </c>
      <c r="T2499" s="36">
        <f t="shared" si="389"/>
        <v>0</v>
      </c>
      <c r="V2499" s="6">
        <f t="shared" si="390"/>
        <v>0</v>
      </c>
      <c r="Y2499" s="8">
        <f t="shared" si="391"/>
        <v>46023</v>
      </c>
    </row>
    <row r="2500" spans="2:25" ht="18.75" x14ac:dyDescent="0.3">
      <c r="B2500" s="6">
        <f t="shared" ref="B2500:B2563" si="393">IF($B$1=YEAR(F2500),B2499+1,B2499)</f>
        <v>0</v>
      </c>
      <c r="C2500" s="6">
        <f t="shared" ref="C2500:C2563" si="394">IF(AND($C$1=K2500,$Y$1=YEAR(F2500)),C2499+1,C2499)</f>
        <v>0</v>
      </c>
      <c r="D2500" s="6" t="str">
        <f t="shared" ref="D2500:D2563" si="395">IF(F2500&lt;&gt;0,IF(YEAR(F2500)&lt;&gt;YEAR(F2499),1,IF(M2500=$AI$1,D2499,D2499+1)),"")</f>
        <v/>
      </c>
      <c r="E2500" s="35" t="str">
        <f t="shared" si="392"/>
        <v/>
      </c>
      <c r="F2500" s="31"/>
      <c r="G2500" s="29"/>
      <c r="H2500" s="78" t="str">
        <f t="shared" ref="H2500:H2563" si="396">IF(G2500&lt;&gt;"",F2500,"")</f>
        <v/>
      </c>
      <c r="I2500" s="25"/>
      <c r="J2500" s="25"/>
      <c r="K2500" s="26"/>
      <c r="L2500" s="26"/>
      <c r="M2500" s="37"/>
      <c r="N2500" s="27"/>
      <c r="O2500" s="30"/>
      <c r="P2500" s="39" t="str">
        <f t="shared" ref="P2500:P2563" si="397">IF(OR(T2500=0,RIGHT(T2500,1)=$W$1),"",VLOOKUP(K2500,$AD$1:$AK$15,5,FALSE))</f>
        <v/>
      </c>
      <c r="Q2500" s="40" t="str">
        <f>IF(OR(T2500=0,RIGHT(T2500,1)=$W$1),"",COUNTIF($T$3:T2500,T2500))</f>
        <v/>
      </c>
      <c r="S2500" s="6">
        <f t="shared" ref="S2500:S2563" si="398">IF(AND($C$1=K2500,$Y$1=YEAR(F2500)),C2500,0)</f>
        <v>0</v>
      </c>
      <c r="T2500" s="36">
        <f t="shared" ref="T2500:T2563" si="399">IF(F2500=0,0,YEAR(F2500)&amp;VLOOKUP(K2500,$AD$1:$AE$15,2,FALSE))</f>
        <v>0</v>
      </c>
      <c r="V2500" s="6">
        <f t="shared" ref="V2500:V2563" si="400">IF(AND(YEAR(F2500)=$Y$1,K2500=$C$1,L2500&amp;$V$1&lt;&gt;$V$1),L2500,IF(AND(YEAR(F2500)=$Y$1,K2500=$C$1),1,0))</f>
        <v>0</v>
      </c>
      <c r="Y2500" s="8">
        <f t="shared" ref="Y2500:Y2563" si="401">IF(M2500&lt;&gt;$AI$1,$Y$2,F2499)</f>
        <v>46023</v>
      </c>
    </row>
    <row r="2501" spans="2:25" ht="18.75" x14ac:dyDescent="0.3">
      <c r="B2501" s="6">
        <f t="shared" si="393"/>
        <v>0</v>
      </c>
      <c r="C2501" s="6">
        <f t="shared" si="394"/>
        <v>0</v>
      </c>
      <c r="D2501" s="6" t="str">
        <f t="shared" si="395"/>
        <v/>
      </c>
      <c r="E2501" s="35" t="str">
        <f t="shared" si="392"/>
        <v/>
      </c>
      <c r="F2501" s="31"/>
      <c r="G2501" s="29"/>
      <c r="H2501" s="78" t="str">
        <f t="shared" si="396"/>
        <v/>
      </c>
      <c r="I2501" s="25"/>
      <c r="J2501" s="25"/>
      <c r="K2501" s="26"/>
      <c r="L2501" s="26"/>
      <c r="M2501" s="37"/>
      <c r="N2501" s="27"/>
      <c r="O2501" s="30"/>
      <c r="P2501" s="39" t="str">
        <f t="shared" si="397"/>
        <v/>
      </c>
      <c r="Q2501" s="40" t="str">
        <f>IF(OR(T2501=0,RIGHT(T2501,1)=$W$1),"",COUNTIF($T$3:T2501,T2501))</f>
        <v/>
      </c>
      <c r="S2501" s="6">
        <f t="shared" si="398"/>
        <v>0</v>
      </c>
      <c r="T2501" s="36">
        <f t="shared" si="399"/>
        <v>0</v>
      </c>
      <c r="V2501" s="6">
        <f t="shared" si="400"/>
        <v>0</v>
      </c>
      <c r="Y2501" s="8">
        <f t="shared" si="401"/>
        <v>46023</v>
      </c>
    </row>
    <row r="2502" spans="2:25" ht="18.75" x14ac:dyDescent="0.3">
      <c r="B2502" s="6">
        <f t="shared" si="393"/>
        <v>0</v>
      </c>
      <c r="C2502" s="6">
        <f t="shared" si="394"/>
        <v>0</v>
      </c>
      <c r="D2502" s="6" t="str">
        <f t="shared" si="395"/>
        <v/>
      </c>
      <c r="E2502" s="35" t="str">
        <f t="shared" si="392"/>
        <v/>
      </c>
      <c r="F2502" s="31"/>
      <c r="G2502" s="29"/>
      <c r="H2502" s="78" t="str">
        <f t="shared" si="396"/>
        <v/>
      </c>
      <c r="I2502" s="25"/>
      <c r="J2502" s="25"/>
      <c r="K2502" s="26"/>
      <c r="L2502" s="26"/>
      <c r="M2502" s="37"/>
      <c r="N2502" s="27"/>
      <c r="O2502" s="30"/>
      <c r="P2502" s="39" t="str">
        <f t="shared" si="397"/>
        <v/>
      </c>
      <c r="Q2502" s="40" t="str">
        <f>IF(OR(T2502=0,RIGHT(T2502,1)=$W$1),"",COUNTIF($T$3:T2502,T2502))</f>
        <v/>
      </c>
      <c r="S2502" s="6">
        <f t="shared" si="398"/>
        <v>0</v>
      </c>
      <c r="T2502" s="36">
        <f t="shared" si="399"/>
        <v>0</v>
      </c>
      <c r="V2502" s="6">
        <f t="shared" si="400"/>
        <v>0</v>
      </c>
      <c r="Y2502" s="8">
        <f t="shared" si="401"/>
        <v>46023</v>
      </c>
    </row>
    <row r="2503" spans="2:25" ht="18.75" x14ac:dyDescent="0.3">
      <c r="B2503" s="6">
        <f t="shared" si="393"/>
        <v>0</v>
      </c>
      <c r="C2503" s="6">
        <f t="shared" si="394"/>
        <v>0</v>
      </c>
      <c r="D2503" s="6" t="str">
        <f t="shared" si="395"/>
        <v/>
      </c>
      <c r="E2503" s="35" t="str">
        <f t="shared" si="392"/>
        <v/>
      </c>
      <c r="F2503" s="31"/>
      <c r="G2503" s="29"/>
      <c r="H2503" s="78" t="str">
        <f t="shared" si="396"/>
        <v/>
      </c>
      <c r="I2503" s="25"/>
      <c r="J2503" s="25"/>
      <c r="K2503" s="26"/>
      <c r="L2503" s="26"/>
      <c r="M2503" s="37"/>
      <c r="N2503" s="27"/>
      <c r="O2503" s="30"/>
      <c r="P2503" s="39" t="str">
        <f t="shared" si="397"/>
        <v/>
      </c>
      <c r="Q2503" s="40" t="str">
        <f>IF(OR(T2503=0,RIGHT(T2503,1)=$W$1),"",COUNTIF($T$3:T2503,T2503))</f>
        <v/>
      </c>
      <c r="S2503" s="6">
        <f t="shared" si="398"/>
        <v>0</v>
      </c>
      <c r="T2503" s="36">
        <f t="shared" si="399"/>
        <v>0</v>
      </c>
      <c r="V2503" s="6">
        <f t="shared" si="400"/>
        <v>0</v>
      </c>
      <c r="Y2503" s="8">
        <f t="shared" si="401"/>
        <v>46023</v>
      </c>
    </row>
    <row r="2504" spans="2:25" ht="18.75" x14ac:dyDescent="0.3">
      <c r="B2504" s="6">
        <f t="shared" si="393"/>
        <v>0</v>
      </c>
      <c r="C2504" s="6">
        <f t="shared" si="394"/>
        <v>0</v>
      </c>
      <c r="D2504" s="6" t="str">
        <f t="shared" si="395"/>
        <v/>
      </c>
      <c r="E2504" s="35" t="str">
        <f t="shared" si="392"/>
        <v/>
      </c>
      <c r="F2504" s="31"/>
      <c r="G2504" s="29"/>
      <c r="H2504" s="78" t="str">
        <f t="shared" si="396"/>
        <v/>
      </c>
      <c r="I2504" s="25"/>
      <c r="J2504" s="25"/>
      <c r="K2504" s="26"/>
      <c r="L2504" s="26"/>
      <c r="M2504" s="37"/>
      <c r="N2504" s="27"/>
      <c r="O2504" s="30"/>
      <c r="P2504" s="39" t="str">
        <f t="shared" si="397"/>
        <v/>
      </c>
      <c r="Q2504" s="40" t="str">
        <f>IF(OR(T2504=0,RIGHT(T2504,1)=$W$1),"",COUNTIF($T$3:T2504,T2504))</f>
        <v/>
      </c>
      <c r="S2504" s="6">
        <f t="shared" si="398"/>
        <v>0</v>
      </c>
      <c r="T2504" s="36">
        <f t="shared" si="399"/>
        <v>0</v>
      </c>
      <c r="V2504" s="6">
        <f t="shared" si="400"/>
        <v>0</v>
      </c>
      <c r="Y2504" s="8">
        <f t="shared" si="401"/>
        <v>46023</v>
      </c>
    </row>
    <row r="2505" spans="2:25" ht="18.75" x14ac:dyDescent="0.3">
      <c r="B2505" s="6">
        <f t="shared" si="393"/>
        <v>0</v>
      </c>
      <c r="C2505" s="6">
        <f t="shared" si="394"/>
        <v>0</v>
      </c>
      <c r="D2505" s="6" t="str">
        <f t="shared" si="395"/>
        <v/>
      </c>
      <c r="E2505" s="35" t="str">
        <f t="shared" si="392"/>
        <v/>
      </c>
      <c r="F2505" s="31"/>
      <c r="G2505" s="29"/>
      <c r="H2505" s="78" t="str">
        <f t="shared" si="396"/>
        <v/>
      </c>
      <c r="I2505" s="25"/>
      <c r="J2505" s="25"/>
      <c r="K2505" s="26"/>
      <c r="L2505" s="26"/>
      <c r="M2505" s="37"/>
      <c r="N2505" s="27"/>
      <c r="O2505" s="30"/>
      <c r="P2505" s="39" t="str">
        <f t="shared" si="397"/>
        <v/>
      </c>
      <c r="Q2505" s="40" t="str">
        <f>IF(OR(T2505=0,RIGHT(T2505,1)=$W$1),"",COUNTIF($T$3:T2505,T2505))</f>
        <v/>
      </c>
      <c r="S2505" s="6">
        <f t="shared" si="398"/>
        <v>0</v>
      </c>
      <c r="T2505" s="36">
        <f t="shared" si="399"/>
        <v>0</v>
      </c>
      <c r="V2505" s="6">
        <f t="shared" si="400"/>
        <v>0</v>
      </c>
      <c r="Y2505" s="8">
        <f t="shared" si="401"/>
        <v>46023</v>
      </c>
    </row>
    <row r="2506" spans="2:25" ht="18.75" x14ac:dyDescent="0.3">
      <c r="B2506" s="6">
        <f t="shared" si="393"/>
        <v>0</v>
      </c>
      <c r="C2506" s="6">
        <f t="shared" si="394"/>
        <v>0</v>
      </c>
      <c r="D2506" s="6" t="str">
        <f t="shared" si="395"/>
        <v/>
      </c>
      <c r="E2506" s="35" t="str">
        <f t="shared" si="392"/>
        <v/>
      </c>
      <c r="F2506" s="31"/>
      <c r="G2506" s="29"/>
      <c r="H2506" s="78" t="str">
        <f t="shared" si="396"/>
        <v/>
      </c>
      <c r="I2506" s="25"/>
      <c r="J2506" s="25"/>
      <c r="K2506" s="26"/>
      <c r="L2506" s="26"/>
      <c r="M2506" s="37"/>
      <c r="N2506" s="27"/>
      <c r="O2506" s="30"/>
      <c r="P2506" s="39" t="str">
        <f t="shared" si="397"/>
        <v/>
      </c>
      <c r="Q2506" s="40" t="str">
        <f>IF(OR(T2506=0,RIGHT(T2506,1)=$W$1),"",COUNTIF($T$3:T2506,T2506))</f>
        <v/>
      </c>
      <c r="S2506" s="6">
        <f t="shared" si="398"/>
        <v>0</v>
      </c>
      <c r="T2506" s="36">
        <f t="shared" si="399"/>
        <v>0</v>
      </c>
      <c r="V2506" s="6">
        <f t="shared" si="400"/>
        <v>0</v>
      </c>
      <c r="Y2506" s="8">
        <f t="shared" si="401"/>
        <v>46023</v>
      </c>
    </row>
    <row r="2507" spans="2:25" ht="18.75" x14ac:dyDescent="0.3">
      <c r="B2507" s="6">
        <f t="shared" si="393"/>
        <v>0</v>
      </c>
      <c r="C2507" s="6">
        <f t="shared" si="394"/>
        <v>0</v>
      </c>
      <c r="D2507" s="6" t="str">
        <f t="shared" si="395"/>
        <v/>
      </c>
      <c r="E2507" s="35" t="str">
        <f t="shared" si="392"/>
        <v/>
      </c>
      <c r="F2507" s="31"/>
      <c r="G2507" s="29"/>
      <c r="H2507" s="78" t="str">
        <f t="shared" si="396"/>
        <v/>
      </c>
      <c r="I2507" s="25"/>
      <c r="J2507" s="25"/>
      <c r="K2507" s="26"/>
      <c r="L2507" s="26"/>
      <c r="M2507" s="37"/>
      <c r="N2507" s="27"/>
      <c r="O2507" s="30"/>
      <c r="P2507" s="39" t="str">
        <f t="shared" si="397"/>
        <v/>
      </c>
      <c r="Q2507" s="40" t="str">
        <f>IF(OR(T2507=0,RIGHT(T2507,1)=$W$1),"",COUNTIF($T$3:T2507,T2507))</f>
        <v/>
      </c>
      <c r="S2507" s="6">
        <f t="shared" si="398"/>
        <v>0</v>
      </c>
      <c r="T2507" s="36">
        <f t="shared" si="399"/>
        <v>0</v>
      </c>
      <c r="V2507" s="6">
        <f t="shared" si="400"/>
        <v>0</v>
      </c>
      <c r="Y2507" s="8">
        <f t="shared" si="401"/>
        <v>46023</v>
      </c>
    </row>
    <row r="2508" spans="2:25" ht="18.75" x14ac:dyDescent="0.3">
      <c r="B2508" s="6">
        <f t="shared" si="393"/>
        <v>0</v>
      </c>
      <c r="C2508" s="6">
        <f t="shared" si="394"/>
        <v>0</v>
      </c>
      <c r="D2508" s="6" t="str">
        <f t="shared" si="395"/>
        <v/>
      </c>
      <c r="E2508" s="35" t="str">
        <f t="shared" si="392"/>
        <v/>
      </c>
      <c r="F2508" s="31"/>
      <c r="G2508" s="29"/>
      <c r="H2508" s="78" t="str">
        <f t="shared" si="396"/>
        <v/>
      </c>
      <c r="I2508" s="25"/>
      <c r="J2508" s="25"/>
      <c r="K2508" s="26"/>
      <c r="L2508" s="26"/>
      <c r="M2508" s="37"/>
      <c r="N2508" s="27"/>
      <c r="O2508" s="30"/>
      <c r="P2508" s="39" t="str">
        <f t="shared" si="397"/>
        <v/>
      </c>
      <c r="Q2508" s="40" t="str">
        <f>IF(OR(T2508=0,RIGHT(T2508,1)=$W$1),"",COUNTIF($T$3:T2508,T2508))</f>
        <v/>
      </c>
      <c r="S2508" s="6">
        <f t="shared" si="398"/>
        <v>0</v>
      </c>
      <c r="T2508" s="36">
        <f t="shared" si="399"/>
        <v>0</v>
      </c>
      <c r="V2508" s="6">
        <f t="shared" si="400"/>
        <v>0</v>
      </c>
      <c r="Y2508" s="8">
        <f t="shared" si="401"/>
        <v>46023</v>
      </c>
    </row>
    <row r="2509" spans="2:25" ht="18.75" x14ac:dyDescent="0.3">
      <c r="B2509" s="6">
        <f t="shared" si="393"/>
        <v>0</v>
      </c>
      <c r="C2509" s="6">
        <f t="shared" si="394"/>
        <v>0</v>
      </c>
      <c r="D2509" s="6" t="str">
        <f t="shared" si="395"/>
        <v/>
      </c>
      <c r="E2509" s="35" t="str">
        <f t="shared" si="392"/>
        <v/>
      </c>
      <c r="F2509" s="31"/>
      <c r="G2509" s="29"/>
      <c r="H2509" s="78" t="str">
        <f t="shared" si="396"/>
        <v/>
      </c>
      <c r="I2509" s="25"/>
      <c r="J2509" s="25"/>
      <c r="K2509" s="26"/>
      <c r="L2509" s="26"/>
      <c r="M2509" s="37"/>
      <c r="N2509" s="27"/>
      <c r="O2509" s="30"/>
      <c r="P2509" s="39" t="str">
        <f t="shared" si="397"/>
        <v/>
      </c>
      <c r="Q2509" s="40" t="str">
        <f>IF(OR(T2509=0,RIGHT(T2509,1)=$W$1),"",COUNTIF($T$3:T2509,T2509))</f>
        <v/>
      </c>
      <c r="S2509" s="6">
        <f t="shared" si="398"/>
        <v>0</v>
      </c>
      <c r="T2509" s="36">
        <f t="shared" si="399"/>
        <v>0</v>
      </c>
      <c r="V2509" s="6">
        <f t="shared" si="400"/>
        <v>0</v>
      </c>
      <c r="Y2509" s="8">
        <f t="shared" si="401"/>
        <v>46023</v>
      </c>
    </row>
    <row r="2510" spans="2:25" ht="18.75" x14ac:dyDescent="0.3">
      <c r="B2510" s="6">
        <f t="shared" si="393"/>
        <v>0</v>
      </c>
      <c r="C2510" s="6">
        <f t="shared" si="394"/>
        <v>0</v>
      </c>
      <c r="D2510" s="6" t="str">
        <f t="shared" si="395"/>
        <v/>
      </c>
      <c r="E2510" s="35" t="str">
        <f t="shared" si="392"/>
        <v/>
      </c>
      <c r="F2510" s="31"/>
      <c r="G2510" s="29"/>
      <c r="H2510" s="78" t="str">
        <f t="shared" si="396"/>
        <v/>
      </c>
      <c r="I2510" s="25"/>
      <c r="J2510" s="25"/>
      <c r="K2510" s="26"/>
      <c r="L2510" s="26"/>
      <c r="M2510" s="37"/>
      <c r="N2510" s="27"/>
      <c r="O2510" s="30"/>
      <c r="P2510" s="39" t="str">
        <f t="shared" si="397"/>
        <v/>
      </c>
      <c r="Q2510" s="40" t="str">
        <f>IF(OR(T2510=0,RIGHT(T2510,1)=$W$1),"",COUNTIF($T$3:T2510,T2510))</f>
        <v/>
      </c>
      <c r="S2510" s="6">
        <f t="shared" si="398"/>
        <v>0</v>
      </c>
      <c r="T2510" s="36">
        <f t="shared" si="399"/>
        <v>0</v>
      </c>
      <c r="V2510" s="6">
        <f t="shared" si="400"/>
        <v>0</v>
      </c>
      <c r="Y2510" s="8">
        <f t="shared" si="401"/>
        <v>46023</v>
      </c>
    </row>
    <row r="2511" spans="2:25" ht="18.75" x14ac:dyDescent="0.3">
      <c r="B2511" s="6">
        <f t="shared" si="393"/>
        <v>0</v>
      </c>
      <c r="C2511" s="6">
        <f t="shared" si="394"/>
        <v>0</v>
      </c>
      <c r="D2511" s="6" t="str">
        <f t="shared" si="395"/>
        <v/>
      </c>
      <c r="E2511" s="35" t="str">
        <f t="shared" si="392"/>
        <v/>
      </c>
      <c r="F2511" s="31"/>
      <c r="G2511" s="29"/>
      <c r="H2511" s="78" t="str">
        <f t="shared" si="396"/>
        <v/>
      </c>
      <c r="I2511" s="25"/>
      <c r="J2511" s="25"/>
      <c r="K2511" s="26"/>
      <c r="L2511" s="26"/>
      <c r="M2511" s="37"/>
      <c r="N2511" s="27"/>
      <c r="O2511" s="30"/>
      <c r="P2511" s="39" t="str">
        <f t="shared" si="397"/>
        <v/>
      </c>
      <c r="Q2511" s="40" t="str">
        <f>IF(OR(T2511=0,RIGHT(T2511,1)=$W$1),"",COUNTIF($T$3:T2511,T2511))</f>
        <v/>
      </c>
      <c r="S2511" s="6">
        <f t="shared" si="398"/>
        <v>0</v>
      </c>
      <c r="T2511" s="36">
        <f t="shared" si="399"/>
        <v>0</v>
      </c>
      <c r="V2511" s="6">
        <f t="shared" si="400"/>
        <v>0</v>
      </c>
      <c r="Y2511" s="8">
        <f t="shared" si="401"/>
        <v>46023</v>
      </c>
    </row>
    <row r="2512" spans="2:25" ht="18.75" x14ac:dyDescent="0.3">
      <c r="B2512" s="6">
        <f t="shared" si="393"/>
        <v>0</v>
      </c>
      <c r="C2512" s="6">
        <f t="shared" si="394"/>
        <v>0</v>
      </c>
      <c r="D2512" s="6" t="str">
        <f t="shared" si="395"/>
        <v/>
      </c>
      <c r="E2512" s="35" t="str">
        <f t="shared" si="392"/>
        <v/>
      </c>
      <c r="F2512" s="31"/>
      <c r="G2512" s="29"/>
      <c r="H2512" s="78" t="str">
        <f t="shared" si="396"/>
        <v/>
      </c>
      <c r="I2512" s="25"/>
      <c r="J2512" s="25"/>
      <c r="K2512" s="26"/>
      <c r="L2512" s="26"/>
      <c r="M2512" s="37"/>
      <c r="N2512" s="27"/>
      <c r="O2512" s="30"/>
      <c r="P2512" s="39" t="str">
        <f t="shared" si="397"/>
        <v/>
      </c>
      <c r="Q2512" s="40" t="str">
        <f>IF(OR(T2512=0,RIGHT(T2512,1)=$W$1),"",COUNTIF($T$3:T2512,T2512))</f>
        <v/>
      </c>
      <c r="S2512" s="6">
        <f t="shared" si="398"/>
        <v>0</v>
      </c>
      <c r="T2512" s="36">
        <f t="shared" si="399"/>
        <v>0</v>
      </c>
      <c r="V2512" s="6">
        <f t="shared" si="400"/>
        <v>0</v>
      </c>
      <c r="Y2512" s="8">
        <f t="shared" si="401"/>
        <v>46023</v>
      </c>
    </row>
    <row r="2513" spans="2:25" ht="18.75" x14ac:dyDescent="0.3">
      <c r="B2513" s="6">
        <f t="shared" si="393"/>
        <v>0</v>
      </c>
      <c r="C2513" s="6">
        <f t="shared" si="394"/>
        <v>0</v>
      </c>
      <c r="D2513" s="6" t="str">
        <f t="shared" si="395"/>
        <v/>
      </c>
      <c r="E2513" s="35" t="str">
        <f t="shared" si="392"/>
        <v/>
      </c>
      <c r="F2513" s="31"/>
      <c r="G2513" s="29"/>
      <c r="H2513" s="78" t="str">
        <f t="shared" si="396"/>
        <v/>
      </c>
      <c r="I2513" s="25"/>
      <c r="J2513" s="25"/>
      <c r="K2513" s="26"/>
      <c r="L2513" s="26"/>
      <c r="M2513" s="37"/>
      <c r="N2513" s="27"/>
      <c r="O2513" s="30"/>
      <c r="P2513" s="39" t="str">
        <f t="shared" si="397"/>
        <v/>
      </c>
      <c r="Q2513" s="40" t="str">
        <f>IF(OR(T2513=0,RIGHT(T2513,1)=$W$1),"",COUNTIF($T$3:T2513,T2513))</f>
        <v/>
      </c>
      <c r="S2513" s="6">
        <f t="shared" si="398"/>
        <v>0</v>
      </c>
      <c r="T2513" s="36">
        <f t="shared" si="399"/>
        <v>0</v>
      </c>
      <c r="V2513" s="6">
        <f t="shared" si="400"/>
        <v>0</v>
      </c>
      <c r="Y2513" s="8">
        <f t="shared" si="401"/>
        <v>46023</v>
      </c>
    </row>
    <row r="2514" spans="2:25" ht="18.75" x14ac:dyDescent="0.3">
      <c r="B2514" s="6">
        <f t="shared" si="393"/>
        <v>0</v>
      </c>
      <c r="C2514" s="6">
        <f t="shared" si="394"/>
        <v>0</v>
      </c>
      <c r="D2514" s="6" t="str">
        <f t="shared" si="395"/>
        <v/>
      </c>
      <c r="E2514" s="35" t="str">
        <f t="shared" si="392"/>
        <v/>
      </c>
      <c r="F2514" s="31"/>
      <c r="G2514" s="29"/>
      <c r="H2514" s="78" t="str">
        <f t="shared" si="396"/>
        <v/>
      </c>
      <c r="I2514" s="25"/>
      <c r="J2514" s="25"/>
      <c r="K2514" s="26"/>
      <c r="L2514" s="26"/>
      <c r="M2514" s="37"/>
      <c r="N2514" s="27"/>
      <c r="O2514" s="30"/>
      <c r="P2514" s="39" t="str">
        <f t="shared" si="397"/>
        <v/>
      </c>
      <c r="Q2514" s="40" t="str">
        <f>IF(OR(T2514=0,RIGHT(T2514,1)=$W$1),"",COUNTIF($T$3:T2514,T2514))</f>
        <v/>
      </c>
      <c r="S2514" s="6">
        <f t="shared" si="398"/>
        <v>0</v>
      </c>
      <c r="T2514" s="36">
        <f t="shared" si="399"/>
        <v>0</v>
      </c>
      <c r="V2514" s="6">
        <f t="shared" si="400"/>
        <v>0</v>
      </c>
      <c r="Y2514" s="8">
        <f t="shared" si="401"/>
        <v>46023</v>
      </c>
    </row>
    <row r="2515" spans="2:25" ht="18.75" x14ac:dyDescent="0.3">
      <c r="B2515" s="6">
        <f t="shared" si="393"/>
        <v>0</v>
      </c>
      <c r="C2515" s="6">
        <f t="shared" si="394"/>
        <v>0</v>
      </c>
      <c r="D2515" s="6" t="str">
        <f t="shared" si="395"/>
        <v/>
      </c>
      <c r="E2515" s="35" t="str">
        <f t="shared" si="392"/>
        <v/>
      </c>
      <c r="F2515" s="31"/>
      <c r="G2515" s="29"/>
      <c r="H2515" s="78" t="str">
        <f t="shared" si="396"/>
        <v/>
      </c>
      <c r="I2515" s="25"/>
      <c r="J2515" s="25"/>
      <c r="K2515" s="26"/>
      <c r="L2515" s="26"/>
      <c r="M2515" s="37"/>
      <c r="N2515" s="27"/>
      <c r="O2515" s="30"/>
      <c r="P2515" s="39" t="str">
        <f t="shared" si="397"/>
        <v/>
      </c>
      <c r="Q2515" s="40" t="str">
        <f>IF(OR(T2515=0,RIGHT(T2515,1)=$W$1),"",COUNTIF($T$3:T2515,T2515))</f>
        <v/>
      </c>
      <c r="S2515" s="6">
        <f t="shared" si="398"/>
        <v>0</v>
      </c>
      <c r="T2515" s="36">
        <f t="shared" si="399"/>
        <v>0</v>
      </c>
      <c r="V2515" s="6">
        <f t="shared" si="400"/>
        <v>0</v>
      </c>
      <c r="Y2515" s="8">
        <f t="shared" si="401"/>
        <v>46023</v>
      </c>
    </row>
    <row r="2516" spans="2:25" ht="18.75" x14ac:dyDescent="0.3">
      <c r="B2516" s="6">
        <f t="shared" si="393"/>
        <v>0</v>
      </c>
      <c r="C2516" s="6">
        <f t="shared" si="394"/>
        <v>0</v>
      </c>
      <c r="D2516" s="6" t="str">
        <f t="shared" si="395"/>
        <v/>
      </c>
      <c r="E2516" s="35" t="str">
        <f t="shared" si="392"/>
        <v/>
      </c>
      <c r="F2516" s="31"/>
      <c r="G2516" s="29"/>
      <c r="H2516" s="78" t="str">
        <f t="shared" si="396"/>
        <v/>
      </c>
      <c r="I2516" s="25"/>
      <c r="J2516" s="25"/>
      <c r="K2516" s="26"/>
      <c r="L2516" s="26"/>
      <c r="M2516" s="37"/>
      <c r="N2516" s="27"/>
      <c r="O2516" s="30"/>
      <c r="P2516" s="39" t="str">
        <f t="shared" si="397"/>
        <v/>
      </c>
      <c r="Q2516" s="40" t="str">
        <f>IF(OR(T2516=0,RIGHT(T2516,1)=$W$1),"",COUNTIF($T$3:T2516,T2516))</f>
        <v/>
      </c>
      <c r="S2516" s="6">
        <f t="shared" si="398"/>
        <v>0</v>
      </c>
      <c r="T2516" s="36">
        <f t="shared" si="399"/>
        <v>0</v>
      </c>
      <c r="V2516" s="6">
        <f t="shared" si="400"/>
        <v>0</v>
      </c>
      <c r="Y2516" s="8">
        <f t="shared" si="401"/>
        <v>46023</v>
      </c>
    </row>
    <row r="2517" spans="2:25" ht="18.75" x14ac:dyDescent="0.3">
      <c r="B2517" s="6">
        <f t="shared" si="393"/>
        <v>0</v>
      </c>
      <c r="C2517" s="6">
        <f t="shared" si="394"/>
        <v>0</v>
      </c>
      <c r="D2517" s="6" t="str">
        <f t="shared" si="395"/>
        <v/>
      </c>
      <c r="E2517" s="35" t="str">
        <f t="shared" si="392"/>
        <v/>
      </c>
      <c r="F2517" s="31"/>
      <c r="G2517" s="29"/>
      <c r="H2517" s="78" t="str">
        <f t="shared" si="396"/>
        <v/>
      </c>
      <c r="I2517" s="25"/>
      <c r="J2517" s="25"/>
      <c r="K2517" s="26"/>
      <c r="L2517" s="26"/>
      <c r="M2517" s="37"/>
      <c r="N2517" s="27"/>
      <c r="O2517" s="30"/>
      <c r="P2517" s="39" t="str">
        <f t="shared" si="397"/>
        <v/>
      </c>
      <c r="Q2517" s="40" t="str">
        <f>IF(OR(T2517=0,RIGHT(T2517,1)=$W$1),"",COUNTIF($T$3:T2517,T2517))</f>
        <v/>
      </c>
      <c r="S2517" s="6">
        <f t="shared" si="398"/>
        <v>0</v>
      </c>
      <c r="T2517" s="36">
        <f t="shared" si="399"/>
        <v>0</v>
      </c>
      <c r="V2517" s="6">
        <f t="shared" si="400"/>
        <v>0</v>
      </c>
      <c r="Y2517" s="8">
        <f t="shared" si="401"/>
        <v>46023</v>
      </c>
    </row>
    <row r="2518" spans="2:25" ht="18.75" x14ac:dyDescent="0.3">
      <c r="B2518" s="6">
        <f t="shared" si="393"/>
        <v>0</v>
      </c>
      <c r="C2518" s="6">
        <f t="shared" si="394"/>
        <v>0</v>
      </c>
      <c r="D2518" s="6" t="str">
        <f t="shared" si="395"/>
        <v/>
      </c>
      <c r="E2518" s="35" t="str">
        <f t="shared" si="392"/>
        <v/>
      </c>
      <c r="F2518" s="31"/>
      <c r="G2518" s="29"/>
      <c r="H2518" s="78" t="str">
        <f t="shared" si="396"/>
        <v/>
      </c>
      <c r="I2518" s="25"/>
      <c r="J2518" s="25"/>
      <c r="K2518" s="26"/>
      <c r="L2518" s="26"/>
      <c r="M2518" s="37"/>
      <c r="N2518" s="27"/>
      <c r="O2518" s="30"/>
      <c r="P2518" s="39" t="str">
        <f t="shared" si="397"/>
        <v/>
      </c>
      <c r="Q2518" s="40" t="str">
        <f>IF(OR(T2518=0,RIGHT(T2518,1)=$W$1),"",COUNTIF($T$3:T2518,T2518))</f>
        <v/>
      </c>
      <c r="S2518" s="6">
        <f t="shared" si="398"/>
        <v>0</v>
      </c>
      <c r="T2518" s="36">
        <f t="shared" si="399"/>
        <v>0</v>
      </c>
      <c r="V2518" s="6">
        <f t="shared" si="400"/>
        <v>0</v>
      </c>
      <c r="Y2518" s="8">
        <f t="shared" si="401"/>
        <v>46023</v>
      </c>
    </row>
    <row r="2519" spans="2:25" ht="18.75" x14ac:dyDescent="0.3">
      <c r="B2519" s="6">
        <f t="shared" si="393"/>
        <v>0</v>
      </c>
      <c r="C2519" s="6">
        <f t="shared" si="394"/>
        <v>0</v>
      </c>
      <c r="D2519" s="6" t="str">
        <f t="shared" si="395"/>
        <v/>
      </c>
      <c r="E2519" s="35" t="str">
        <f t="shared" si="392"/>
        <v/>
      </c>
      <c r="F2519" s="31"/>
      <c r="G2519" s="29"/>
      <c r="H2519" s="78" t="str">
        <f t="shared" si="396"/>
        <v/>
      </c>
      <c r="I2519" s="25"/>
      <c r="J2519" s="25"/>
      <c r="K2519" s="26"/>
      <c r="L2519" s="26"/>
      <c r="M2519" s="37"/>
      <c r="N2519" s="27"/>
      <c r="O2519" s="30"/>
      <c r="P2519" s="39" t="str">
        <f t="shared" si="397"/>
        <v/>
      </c>
      <c r="Q2519" s="40" t="str">
        <f>IF(OR(T2519=0,RIGHT(T2519,1)=$W$1),"",COUNTIF($T$3:T2519,T2519))</f>
        <v/>
      </c>
      <c r="S2519" s="6">
        <f t="shared" si="398"/>
        <v>0</v>
      </c>
      <c r="T2519" s="36">
        <f t="shared" si="399"/>
        <v>0</v>
      </c>
      <c r="V2519" s="6">
        <f t="shared" si="400"/>
        <v>0</v>
      </c>
      <c r="Y2519" s="8">
        <f t="shared" si="401"/>
        <v>46023</v>
      </c>
    </row>
    <row r="2520" spans="2:25" ht="18.75" x14ac:dyDescent="0.3">
      <c r="B2520" s="6">
        <f t="shared" si="393"/>
        <v>0</v>
      </c>
      <c r="C2520" s="6">
        <f t="shared" si="394"/>
        <v>0</v>
      </c>
      <c r="D2520" s="6" t="str">
        <f t="shared" si="395"/>
        <v/>
      </c>
      <c r="E2520" s="35" t="str">
        <f t="shared" si="392"/>
        <v/>
      </c>
      <c r="F2520" s="31"/>
      <c r="G2520" s="29"/>
      <c r="H2520" s="78" t="str">
        <f t="shared" si="396"/>
        <v/>
      </c>
      <c r="I2520" s="25"/>
      <c r="J2520" s="25"/>
      <c r="K2520" s="26"/>
      <c r="L2520" s="26"/>
      <c r="M2520" s="37"/>
      <c r="N2520" s="27"/>
      <c r="O2520" s="30"/>
      <c r="P2520" s="39" t="str">
        <f t="shared" si="397"/>
        <v/>
      </c>
      <c r="Q2520" s="40" t="str">
        <f>IF(OR(T2520=0,RIGHT(T2520,1)=$W$1),"",COUNTIF($T$3:T2520,T2520))</f>
        <v/>
      </c>
      <c r="S2520" s="6">
        <f t="shared" si="398"/>
        <v>0</v>
      </c>
      <c r="T2520" s="36">
        <f t="shared" si="399"/>
        <v>0</v>
      </c>
      <c r="V2520" s="6">
        <f t="shared" si="400"/>
        <v>0</v>
      </c>
      <c r="Y2520" s="8">
        <f t="shared" si="401"/>
        <v>46023</v>
      </c>
    </row>
    <row r="2521" spans="2:25" ht="18.75" x14ac:dyDescent="0.3">
      <c r="B2521" s="6">
        <f t="shared" si="393"/>
        <v>0</v>
      </c>
      <c r="C2521" s="6">
        <f t="shared" si="394"/>
        <v>0</v>
      </c>
      <c r="D2521" s="6" t="str">
        <f t="shared" si="395"/>
        <v/>
      </c>
      <c r="E2521" s="35" t="str">
        <f t="shared" si="392"/>
        <v/>
      </c>
      <c r="F2521" s="31"/>
      <c r="G2521" s="29"/>
      <c r="H2521" s="78" t="str">
        <f t="shared" si="396"/>
        <v/>
      </c>
      <c r="I2521" s="25"/>
      <c r="J2521" s="25"/>
      <c r="K2521" s="26"/>
      <c r="L2521" s="26"/>
      <c r="M2521" s="37"/>
      <c r="N2521" s="27"/>
      <c r="O2521" s="30"/>
      <c r="P2521" s="39" t="str">
        <f t="shared" si="397"/>
        <v/>
      </c>
      <c r="Q2521" s="40" t="str">
        <f>IF(OR(T2521=0,RIGHT(T2521,1)=$W$1),"",COUNTIF($T$3:T2521,T2521))</f>
        <v/>
      </c>
      <c r="S2521" s="6">
        <f t="shared" si="398"/>
        <v>0</v>
      </c>
      <c r="T2521" s="36">
        <f t="shared" si="399"/>
        <v>0</v>
      </c>
      <c r="V2521" s="6">
        <f t="shared" si="400"/>
        <v>0</v>
      </c>
      <c r="Y2521" s="8">
        <f t="shared" si="401"/>
        <v>46023</v>
      </c>
    </row>
    <row r="2522" spans="2:25" ht="18.75" x14ac:dyDescent="0.3">
      <c r="B2522" s="6">
        <f t="shared" si="393"/>
        <v>0</v>
      </c>
      <c r="C2522" s="6">
        <f t="shared" si="394"/>
        <v>0</v>
      </c>
      <c r="D2522" s="6" t="str">
        <f t="shared" si="395"/>
        <v/>
      </c>
      <c r="E2522" s="35" t="str">
        <f t="shared" si="392"/>
        <v/>
      </c>
      <c r="F2522" s="31"/>
      <c r="G2522" s="29"/>
      <c r="H2522" s="78" t="str">
        <f t="shared" si="396"/>
        <v/>
      </c>
      <c r="I2522" s="25"/>
      <c r="J2522" s="25"/>
      <c r="K2522" s="26"/>
      <c r="L2522" s="26"/>
      <c r="M2522" s="37"/>
      <c r="N2522" s="27"/>
      <c r="O2522" s="30"/>
      <c r="P2522" s="39" t="str">
        <f t="shared" si="397"/>
        <v/>
      </c>
      <c r="Q2522" s="40" t="str">
        <f>IF(OR(T2522=0,RIGHT(T2522,1)=$W$1),"",COUNTIF($T$3:T2522,T2522))</f>
        <v/>
      </c>
      <c r="S2522" s="6">
        <f t="shared" si="398"/>
        <v>0</v>
      </c>
      <c r="T2522" s="36">
        <f t="shared" si="399"/>
        <v>0</v>
      </c>
      <c r="V2522" s="6">
        <f t="shared" si="400"/>
        <v>0</v>
      </c>
      <c r="Y2522" s="8">
        <f t="shared" si="401"/>
        <v>46023</v>
      </c>
    </row>
    <row r="2523" spans="2:25" ht="18.75" x14ac:dyDescent="0.3">
      <c r="B2523" s="6">
        <f t="shared" si="393"/>
        <v>0</v>
      </c>
      <c r="C2523" s="6">
        <f t="shared" si="394"/>
        <v>0</v>
      </c>
      <c r="D2523" s="6" t="str">
        <f t="shared" si="395"/>
        <v/>
      </c>
      <c r="E2523" s="35" t="str">
        <f t="shared" si="392"/>
        <v/>
      </c>
      <c r="F2523" s="31"/>
      <c r="G2523" s="29"/>
      <c r="H2523" s="78" t="str">
        <f t="shared" si="396"/>
        <v/>
      </c>
      <c r="I2523" s="25"/>
      <c r="J2523" s="25"/>
      <c r="K2523" s="26"/>
      <c r="L2523" s="26"/>
      <c r="M2523" s="37"/>
      <c r="N2523" s="27"/>
      <c r="O2523" s="30"/>
      <c r="P2523" s="39" t="str">
        <f t="shared" si="397"/>
        <v/>
      </c>
      <c r="Q2523" s="40" t="str">
        <f>IF(OR(T2523=0,RIGHT(T2523,1)=$W$1),"",COUNTIF($T$3:T2523,T2523))</f>
        <v/>
      </c>
      <c r="S2523" s="6">
        <f t="shared" si="398"/>
        <v>0</v>
      </c>
      <c r="T2523" s="36">
        <f t="shared" si="399"/>
        <v>0</v>
      </c>
      <c r="V2523" s="6">
        <f t="shared" si="400"/>
        <v>0</v>
      </c>
      <c r="Y2523" s="8">
        <f t="shared" si="401"/>
        <v>46023</v>
      </c>
    </row>
    <row r="2524" spans="2:25" ht="18.75" x14ac:dyDescent="0.3">
      <c r="B2524" s="6">
        <f t="shared" si="393"/>
        <v>0</v>
      </c>
      <c r="C2524" s="6">
        <f t="shared" si="394"/>
        <v>0</v>
      </c>
      <c r="D2524" s="6" t="str">
        <f t="shared" si="395"/>
        <v/>
      </c>
      <c r="E2524" s="35" t="str">
        <f t="shared" si="392"/>
        <v/>
      </c>
      <c r="F2524" s="31"/>
      <c r="G2524" s="29"/>
      <c r="H2524" s="78" t="str">
        <f t="shared" si="396"/>
        <v/>
      </c>
      <c r="I2524" s="25"/>
      <c r="J2524" s="25"/>
      <c r="K2524" s="26"/>
      <c r="L2524" s="26"/>
      <c r="M2524" s="37"/>
      <c r="N2524" s="27"/>
      <c r="O2524" s="30"/>
      <c r="P2524" s="39" t="str">
        <f t="shared" si="397"/>
        <v/>
      </c>
      <c r="Q2524" s="40" t="str">
        <f>IF(OR(T2524=0,RIGHT(T2524,1)=$W$1),"",COUNTIF($T$3:T2524,T2524))</f>
        <v/>
      </c>
      <c r="S2524" s="6">
        <f t="shared" si="398"/>
        <v>0</v>
      </c>
      <c r="T2524" s="36">
        <f t="shared" si="399"/>
        <v>0</v>
      </c>
      <c r="V2524" s="6">
        <f t="shared" si="400"/>
        <v>0</v>
      </c>
      <c r="Y2524" s="8">
        <f t="shared" si="401"/>
        <v>46023</v>
      </c>
    </row>
    <row r="2525" spans="2:25" ht="18.75" x14ac:dyDescent="0.3">
      <c r="B2525" s="6">
        <f t="shared" si="393"/>
        <v>0</v>
      </c>
      <c r="C2525" s="6">
        <f t="shared" si="394"/>
        <v>0</v>
      </c>
      <c r="D2525" s="6" t="str">
        <f t="shared" si="395"/>
        <v/>
      </c>
      <c r="E2525" s="35" t="str">
        <f t="shared" si="392"/>
        <v/>
      </c>
      <c r="F2525" s="31"/>
      <c r="G2525" s="29"/>
      <c r="H2525" s="78" t="str">
        <f t="shared" si="396"/>
        <v/>
      </c>
      <c r="I2525" s="25"/>
      <c r="J2525" s="25"/>
      <c r="K2525" s="26"/>
      <c r="L2525" s="26"/>
      <c r="M2525" s="37"/>
      <c r="N2525" s="27"/>
      <c r="O2525" s="30"/>
      <c r="P2525" s="39" t="str">
        <f t="shared" si="397"/>
        <v/>
      </c>
      <c r="Q2525" s="40" t="str">
        <f>IF(OR(T2525=0,RIGHT(T2525,1)=$W$1),"",COUNTIF($T$3:T2525,T2525))</f>
        <v/>
      </c>
      <c r="S2525" s="6">
        <f t="shared" si="398"/>
        <v>0</v>
      </c>
      <c r="T2525" s="36">
        <f t="shared" si="399"/>
        <v>0</v>
      </c>
      <c r="V2525" s="6">
        <f t="shared" si="400"/>
        <v>0</v>
      </c>
      <c r="Y2525" s="8">
        <f t="shared" si="401"/>
        <v>46023</v>
      </c>
    </row>
    <row r="2526" spans="2:25" ht="18.75" x14ac:dyDescent="0.3">
      <c r="B2526" s="6">
        <f t="shared" si="393"/>
        <v>0</v>
      </c>
      <c r="C2526" s="6">
        <f t="shared" si="394"/>
        <v>0</v>
      </c>
      <c r="D2526" s="6" t="str">
        <f t="shared" si="395"/>
        <v/>
      </c>
      <c r="E2526" s="35" t="str">
        <f t="shared" si="392"/>
        <v/>
      </c>
      <c r="F2526" s="31"/>
      <c r="G2526" s="29"/>
      <c r="H2526" s="78" t="str">
        <f t="shared" si="396"/>
        <v/>
      </c>
      <c r="I2526" s="25"/>
      <c r="J2526" s="25"/>
      <c r="K2526" s="26"/>
      <c r="L2526" s="26"/>
      <c r="M2526" s="37"/>
      <c r="N2526" s="27"/>
      <c r="O2526" s="30"/>
      <c r="P2526" s="39" t="str">
        <f t="shared" si="397"/>
        <v/>
      </c>
      <c r="Q2526" s="40" t="str">
        <f>IF(OR(T2526=0,RIGHT(T2526,1)=$W$1),"",COUNTIF($T$3:T2526,T2526))</f>
        <v/>
      </c>
      <c r="S2526" s="6">
        <f t="shared" si="398"/>
        <v>0</v>
      </c>
      <c r="T2526" s="36">
        <f t="shared" si="399"/>
        <v>0</v>
      </c>
      <c r="V2526" s="6">
        <f t="shared" si="400"/>
        <v>0</v>
      </c>
      <c r="Y2526" s="8">
        <f t="shared" si="401"/>
        <v>46023</v>
      </c>
    </row>
    <row r="2527" spans="2:25" ht="18.75" x14ac:dyDescent="0.3">
      <c r="B2527" s="6">
        <f t="shared" si="393"/>
        <v>0</v>
      </c>
      <c r="C2527" s="6">
        <f t="shared" si="394"/>
        <v>0</v>
      </c>
      <c r="D2527" s="6" t="str">
        <f t="shared" si="395"/>
        <v/>
      </c>
      <c r="E2527" s="35" t="str">
        <f t="shared" si="392"/>
        <v/>
      </c>
      <c r="F2527" s="31"/>
      <c r="G2527" s="29"/>
      <c r="H2527" s="78" t="str">
        <f t="shared" si="396"/>
        <v/>
      </c>
      <c r="I2527" s="25"/>
      <c r="J2527" s="25"/>
      <c r="K2527" s="26"/>
      <c r="L2527" s="26"/>
      <c r="M2527" s="37"/>
      <c r="N2527" s="27"/>
      <c r="O2527" s="30"/>
      <c r="P2527" s="39" t="str">
        <f t="shared" si="397"/>
        <v/>
      </c>
      <c r="Q2527" s="40" t="str">
        <f>IF(OR(T2527=0,RIGHT(T2527,1)=$W$1),"",COUNTIF($T$3:T2527,T2527))</f>
        <v/>
      </c>
      <c r="S2527" s="6">
        <f t="shared" si="398"/>
        <v>0</v>
      </c>
      <c r="T2527" s="36">
        <f t="shared" si="399"/>
        <v>0</v>
      </c>
      <c r="V2527" s="6">
        <f t="shared" si="400"/>
        <v>0</v>
      </c>
      <c r="Y2527" s="8">
        <f t="shared" si="401"/>
        <v>46023</v>
      </c>
    </row>
    <row r="2528" spans="2:25" ht="18.75" x14ac:dyDescent="0.3">
      <c r="B2528" s="6">
        <f t="shared" si="393"/>
        <v>0</v>
      </c>
      <c r="C2528" s="6">
        <f t="shared" si="394"/>
        <v>0</v>
      </c>
      <c r="D2528" s="6" t="str">
        <f t="shared" si="395"/>
        <v/>
      </c>
      <c r="E2528" s="35" t="str">
        <f t="shared" si="392"/>
        <v/>
      </c>
      <c r="F2528" s="31"/>
      <c r="G2528" s="29"/>
      <c r="H2528" s="78" t="str">
        <f t="shared" si="396"/>
        <v/>
      </c>
      <c r="I2528" s="25"/>
      <c r="J2528" s="25"/>
      <c r="K2528" s="26"/>
      <c r="L2528" s="26"/>
      <c r="M2528" s="37"/>
      <c r="N2528" s="27"/>
      <c r="O2528" s="30"/>
      <c r="P2528" s="39" t="str">
        <f t="shared" si="397"/>
        <v/>
      </c>
      <c r="Q2528" s="40" t="str">
        <f>IF(OR(T2528=0,RIGHT(T2528,1)=$W$1),"",COUNTIF($T$3:T2528,T2528))</f>
        <v/>
      </c>
      <c r="S2528" s="6">
        <f t="shared" si="398"/>
        <v>0</v>
      </c>
      <c r="T2528" s="36">
        <f t="shared" si="399"/>
        <v>0</v>
      </c>
      <c r="V2528" s="6">
        <f t="shared" si="400"/>
        <v>0</v>
      </c>
      <c r="Y2528" s="8">
        <f t="shared" si="401"/>
        <v>46023</v>
      </c>
    </row>
    <row r="2529" spans="2:25" ht="18.75" x14ac:dyDescent="0.3">
      <c r="B2529" s="6">
        <f t="shared" si="393"/>
        <v>0</v>
      </c>
      <c r="C2529" s="6">
        <f t="shared" si="394"/>
        <v>0</v>
      </c>
      <c r="D2529" s="6" t="str">
        <f t="shared" si="395"/>
        <v/>
      </c>
      <c r="E2529" s="35" t="str">
        <f t="shared" si="392"/>
        <v/>
      </c>
      <c r="F2529" s="31"/>
      <c r="G2529" s="29"/>
      <c r="H2529" s="78" t="str">
        <f t="shared" si="396"/>
        <v/>
      </c>
      <c r="I2529" s="25"/>
      <c r="J2529" s="25"/>
      <c r="K2529" s="26"/>
      <c r="L2529" s="26"/>
      <c r="M2529" s="37"/>
      <c r="N2529" s="27"/>
      <c r="O2529" s="30"/>
      <c r="P2529" s="39" t="str">
        <f t="shared" si="397"/>
        <v/>
      </c>
      <c r="Q2529" s="40" t="str">
        <f>IF(OR(T2529=0,RIGHT(T2529,1)=$W$1),"",COUNTIF($T$3:T2529,T2529))</f>
        <v/>
      </c>
      <c r="S2529" s="6">
        <f t="shared" si="398"/>
        <v>0</v>
      </c>
      <c r="T2529" s="36">
        <f t="shared" si="399"/>
        <v>0</v>
      </c>
      <c r="V2529" s="6">
        <f t="shared" si="400"/>
        <v>0</v>
      </c>
      <c r="Y2529" s="8">
        <f t="shared" si="401"/>
        <v>46023</v>
      </c>
    </row>
    <row r="2530" spans="2:25" ht="18.75" x14ac:dyDescent="0.3">
      <c r="B2530" s="6">
        <f t="shared" si="393"/>
        <v>0</v>
      </c>
      <c r="C2530" s="6">
        <f t="shared" si="394"/>
        <v>0</v>
      </c>
      <c r="D2530" s="6" t="str">
        <f t="shared" si="395"/>
        <v/>
      </c>
      <c r="E2530" s="35" t="str">
        <f t="shared" si="392"/>
        <v/>
      </c>
      <c r="F2530" s="31"/>
      <c r="G2530" s="29"/>
      <c r="H2530" s="78" t="str">
        <f t="shared" si="396"/>
        <v/>
      </c>
      <c r="I2530" s="25"/>
      <c r="J2530" s="25"/>
      <c r="K2530" s="26"/>
      <c r="L2530" s="26"/>
      <c r="M2530" s="37"/>
      <c r="N2530" s="27"/>
      <c r="O2530" s="30"/>
      <c r="P2530" s="39" t="str">
        <f t="shared" si="397"/>
        <v/>
      </c>
      <c r="Q2530" s="40" t="str">
        <f>IF(OR(T2530=0,RIGHT(T2530,1)=$W$1),"",COUNTIF($T$3:T2530,T2530))</f>
        <v/>
      </c>
      <c r="S2530" s="6">
        <f t="shared" si="398"/>
        <v>0</v>
      </c>
      <c r="T2530" s="36">
        <f t="shared" si="399"/>
        <v>0</v>
      </c>
      <c r="V2530" s="6">
        <f t="shared" si="400"/>
        <v>0</v>
      </c>
      <c r="Y2530" s="8">
        <f t="shared" si="401"/>
        <v>46023</v>
      </c>
    </row>
    <row r="2531" spans="2:25" ht="18.75" x14ac:dyDescent="0.3">
      <c r="B2531" s="6">
        <f t="shared" si="393"/>
        <v>0</v>
      </c>
      <c r="C2531" s="6">
        <f t="shared" si="394"/>
        <v>0</v>
      </c>
      <c r="D2531" s="6" t="str">
        <f t="shared" si="395"/>
        <v/>
      </c>
      <c r="E2531" s="35" t="str">
        <f t="shared" si="392"/>
        <v/>
      </c>
      <c r="F2531" s="31"/>
      <c r="G2531" s="29"/>
      <c r="H2531" s="78" t="str">
        <f t="shared" si="396"/>
        <v/>
      </c>
      <c r="I2531" s="25"/>
      <c r="J2531" s="25"/>
      <c r="K2531" s="26"/>
      <c r="L2531" s="26"/>
      <c r="M2531" s="37"/>
      <c r="N2531" s="27"/>
      <c r="O2531" s="30"/>
      <c r="P2531" s="39" t="str">
        <f t="shared" si="397"/>
        <v/>
      </c>
      <c r="Q2531" s="40" t="str">
        <f>IF(OR(T2531=0,RIGHT(T2531,1)=$W$1),"",COUNTIF($T$3:T2531,T2531))</f>
        <v/>
      </c>
      <c r="S2531" s="6">
        <f t="shared" si="398"/>
        <v>0</v>
      </c>
      <c r="T2531" s="36">
        <f t="shared" si="399"/>
        <v>0</v>
      </c>
      <c r="V2531" s="6">
        <f t="shared" si="400"/>
        <v>0</v>
      </c>
      <c r="Y2531" s="8">
        <f t="shared" si="401"/>
        <v>46023</v>
      </c>
    </row>
    <row r="2532" spans="2:25" ht="18.75" x14ac:dyDescent="0.3">
      <c r="B2532" s="6">
        <f t="shared" si="393"/>
        <v>0</v>
      </c>
      <c r="C2532" s="6">
        <f t="shared" si="394"/>
        <v>0</v>
      </c>
      <c r="D2532" s="6" t="str">
        <f t="shared" si="395"/>
        <v/>
      </c>
      <c r="E2532" s="35" t="str">
        <f t="shared" si="392"/>
        <v/>
      </c>
      <c r="F2532" s="31"/>
      <c r="G2532" s="29"/>
      <c r="H2532" s="78" t="str">
        <f t="shared" si="396"/>
        <v/>
      </c>
      <c r="I2532" s="25"/>
      <c r="J2532" s="25"/>
      <c r="K2532" s="26"/>
      <c r="L2532" s="26"/>
      <c r="M2532" s="37"/>
      <c r="N2532" s="27"/>
      <c r="O2532" s="30"/>
      <c r="P2532" s="39" t="str">
        <f t="shared" si="397"/>
        <v/>
      </c>
      <c r="Q2532" s="40" t="str">
        <f>IF(OR(T2532=0,RIGHT(T2532,1)=$W$1),"",COUNTIF($T$3:T2532,T2532))</f>
        <v/>
      </c>
      <c r="S2532" s="6">
        <f t="shared" si="398"/>
        <v>0</v>
      </c>
      <c r="T2532" s="36">
        <f t="shared" si="399"/>
        <v>0</v>
      </c>
      <c r="V2532" s="6">
        <f t="shared" si="400"/>
        <v>0</v>
      </c>
      <c r="Y2532" s="8">
        <f t="shared" si="401"/>
        <v>46023</v>
      </c>
    </row>
    <row r="2533" spans="2:25" ht="18.75" x14ac:dyDescent="0.3">
      <c r="B2533" s="6">
        <f t="shared" si="393"/>
        <v>0</v>
      </c>
      <c r="C2533" s="6">
        <f t="shared" si="394"/>
        <v>0</v>
      </c>
      <c r="D2533" s="6" t="str">
        <f t="shared" si="395"/>
        <v/>
      </c>
      <c r="E2533" s="35" t="str">
        <f t="shared" si="392"/>
        <v/>
      </c>
      <c r="F2533" s="31"/>
      <c r="G2533" s="29"/>
      <c r="H2533" s="78" t="str">
        <f t="shared" si="396"/>
        <v/>
      </c>
      <c r="I2533" s="25"/>
      <c r="J2533" s="25"/>
      <c r="K2533" s="26"/>
      <c r="L2533" s="26"/>
      <c r="M2533" s="37"/>
      <c r="N2533" s="27"/>
      <c r="O2533" s="30"/>
      <c r="P2533" s="39" t="str">
        <f t="shared" si="397"/>
        <v/>
      </c>
      <c r="Q2533" s="40" t="str">
        <f>IF(OR(T2533=0,RIGHT(T2533,1)=$W$1),"",COUNTIF($T$3:T2533,T2533))</f>
        <v/>
      </c>
      <c r="S2533" s="6">
        <f t="shared" si="398"/>
        <v>0</v>
      </c>
      <c r="T2533" s="36">
        <f t="shared" si="399"/>
        <v>0</v>
      </c>
      <c r="V2533" s="6">
        <f t="shared" si="400"/>
        <v>0</v>
      </c>
      <c r="Y2533" s="8">
        <f t="shared" si="401"/>
        <v>46023</v>
      </c>
    </row>
    <row r="2534" spans="2:25" ht="18.75" x14ac:dyDescent="0.3">
      <c r="B2534" s="6">
        <f t="shared" si="393"/>
        <v>0</v>
      </c>
      <c r="C2534" s="6">
        <f t="shared" si="394"/>
        <v>0</v>
      </c>
      <c r="D2534" s="6" t="str">
        <f t="shared" si="395"/>
        <v/>
      </c>
      <c r="E2534" s="35" t="str">
        <f t="shared" si="392"/>
        <v/>
      </c>
      <c r="F2534" s="31"/>
      <c r="G2534" s="29"/>
      <c r="H2534" s="78" t="str">
        <f t="shared" si="396"/>
        <v/>
      </c>
      <c r="I2534" s="25"/>
      <c r="J2534" s="25"/>
      <c r="K2534" s="26"/>
      <c r="L2534" s="26"/>
      <c r="M2534" s="37"/>
      <c r="N2534" s="27"/>
      <c r="O2534" s="30"/>
      <c r="P2534" s="39" t="str">
        <f t="shared" si="397"/>
        <v/>
      </c>
      <c r="Q2534" s="40" t="str">
        <f>IF(OR(T2534=0,RIGHT(T2534,1)=$W$1),"",COUNTIF($T$3:T2534,T2534))</f>
        <v/>
      </c>
      <c r="S2534" s="6">
        <f t="shared" si="398"/>
        <v>0</v>
      </c>
      <c r="T2534" s="36">
        <f t="shared" si="399"/>
        <v>0</v>
      </c>
      <c r="V2534" s="6">
        <f t="shared" si="400"/>
        <v>0</v>
      </c>
      <c r="Y2534" s="8">
        <f t="shared" si="401"/>
        <v>46023</v>
      </c>
    </row>
    <row r="2535" spans="2:25" ht="18.75" x14ac:dyDescent="0.3">
      <c r="B2535" s="6">
        <f t="shared" si="393"/>
        <v>0</v>
      </c>
      <c r="C2535" s="6">
        <f t="shared" si="394"/>
        <v>0</v>
      </c>
      <c r="D2535" s="6" t="str">
        <f t="shared" si="395"/>
        <v/>
      </c>
      <c r="E2535" s="35" t="str">
        <f t="shared" si="392"/>
        <v/>
      </c>
      <c r="F2535" s="31"/>
      <c r="G2535" s="29"/>
      <c r="H2535" s="78" t="str">
        <f t="shared" si="396"/>
        <v/>
      </c>
      <c r="I2535" s="25"/>
      <c r="J2535" s="25"/>
      <c r="K2535" s="26"/>
      <c r="L2535" s="26"/>
      <c r="M2535" s="37"/>
      <c r="N2535" s="27"/>
      <c r="O2535" s="30"/>
      <c r="P2535" s="39" t="str">
        <f t="shared" si="397"/>
        <v/>
      </c>
      <c r="Q2535" s="40" t="str">
        <f>IF(OR(T2535=0,RIGHT(T2535,1)=$W$1),"",COUNTIF($T$3:T2535,T2535))</f>
        <v/>
      </c>
      <c r="S2535" s="6">
        <f t="shared" si="398"/>
        <v>0</v>
      </c>
      <c r="T2535" s="36">
        <f t="shared" si="399"/>
        <v>0</v>
      </c>
      <c r="V2535" s="6">
        <f t="shared" si="400"/>
        <v>0</v>
      </c>
      <c r="Y2535" s="8">
        <f t="shared" si="401"/>
        <v>46023</v>
      </c>
    </row>
    <row r="2536" spans="2:25" ht="18.75" x14ac:dyDescent="0.3">
      <c r="B2536" s="6">
        <f t="shared" si="393"/>
        <v>0</v>
      </c>
      <c r="C2536" s="6">
        <f t="shared" si="394"/>
        <v>0</v>
      </c>
      <c r="D2536" s="6" t="str">
        <f t="shared" si="395"/>
        <v/>
      </c>
      <c r="E2536" s="35" t="str">
        <f t="shared" si="392"/>
        <v/>
      </c>
      <c r="F2536" s="31"/>
      <c r="G2536" s="29"/>
      <c r="H2536" s="78" t="str">
        <f t="shared" si="396"/>
        <v/>
      </c>
      <c r="I2536" s="25"/>
      <c r="J2536" s="25"/>
      <c r="K2536" s="26"/>
      <c r="L2536" s="26"/>
      <c r="M2536" s="37"/>
      <c r="N2536" s="27"/>
      <c r="O2536" s="30"/>
      <c r="P2536" s="39" t="str">
        <f t="shared" si="397"/>
        <v/>
      </c>
      <c r="Q2536" s="40" t="str">
        <f>IF(OR(T2536=0,RIGHT(T2536,1)=$W$1),"",COUNTIF($T$3:T2536,T2536))</f>
        <v/>
      </c>
      <c r="S2536" s="6">
        <f t="shared" si="398"/>
        <v>0</v>
      </c>
      <c r="T2536" s="36">
        <f t="shared" si="399"/>
        <v>0</v>
      </c>
      <c r="V2536" s="6">
        <f t="shared" si="400"/>
        <v>0</v>
      </c>
      <c r="Y2536" s="8">
        <f t="shared" si="401"/>
        <v>46023</v>
      </c>
    </row>
    <row r="2537" spans="2:25" ht="18.75" x14ac:dyDescent="0.3">
      <c r="B2537" s="6">
        <f t="shared" si="393"/>
        <v>0</v>
      </c>
      <c r="C2537" s="6">
        <f t="shared" si="394"/>
        <v>0</v>
      </c>
      <c r="D2537" s="6" t="str">
        <f t="shared" si="395"/>
        <v/>
      </c>
      <c r="E2537" s="35" t="str">
        <f t="shared" si="392"/>
        <v/>
      </c>
      <c r="F2537" s="31"/>
      <c r="G2537" s="29"/>
      <c r="H2537" s="78" t="str">
        <f t="shared" si="396"/>
        <v/>
      </c>
      <c r="I2537" s="25"/>
      <c r="J2537" s="25"/>
      <c r="K2537" s="26"/>
      <c r="L2537" s="26"/>
      <c r="M2537" s="37"/>
      <c r="N2537" s="27"/>
      <c r="O2537" s="30"/>
      <c r="P2537" s="39" t="str">
        <f t="shared" si="397"/>
        <v/>
      </c>
      <c r="Q2537" s="40" t="str">
        <f>IF(OR(T2537=0,RIGHT(T2537,1)=$W$1),"",COUNTIF($T$3:T2537,T2537))</f>
        <v/>
      </c>
      <c r="S2537" s="6">
        <f t="shared" si="398"/>
        <v>0</v>
      </c>
      <c r="T2537" s="36">
        <f t="shared" si="399"/>
        <v>0</v>
      </c>
      <c r="V2537" s="6">
        <f t="shared" si="400"/>
        <v>0</v>
      </c>
      <c r="Y2537" s="8">
        <f t="shared" si="401"/>
        <v>46023</v>
      </c>
    </row>
    <row r="2538" spans="2:25" ht="18.75" x14ac:dyDescent="0.3">
      <c r="B2538" s="6">
        <f t="shared" si="393"/>
        <v>0</v>
      </c>
      <c r="C2538" s="6">
        <f t="shared" si="394"/>
        <v>0</v>
      </c>
      <c r="D2538" s="6" t="str">
        <f t="shared" si="395"/>
        <v/>
      </c>
      <c r="E2538" s="35" t="str">
        <f t="shared" si="392"/>
        <v/>
      </c>
      <c r="F2538" s="31"/>
      <c r="G2538" s="29"/>
      <c r="H2538" s="78" t="str">
        <f t="shared" si="396"/>
        <v/>
      </c>
      <c r="I2538" s="25"/>
      <c r="J2538" s="25"/>
      <c r="K2538" s="26"/>
      <c r="L2538" s="26"/>
      <c r="M2538" s="37"/>
      <c r="N2538" s="27"/>
      <c r="O2538" s="30"/>
      <c r="P2538" s="39" t="str">
        <f t="shared" si="397"/>
        <v/>
      </c>
      <c r="Q2538" s="40" t="str">
        <f>IF(OR(T2538=0,RIGHT(T2538,1)=$W$1),"",COUNTIF($T$3:T2538,T2538))</f>
        <v/>
      </c>
      <c r="S2538" s="6">
        <f t="shared" si="398"/>
        <v>0</v>
      </c>
      <c r="T2538" s="36">
        <f t="shared" si="399"/>
        <v>0</v>
      </c>
      <c r="V2538" s="6">
        <f t="shared" si="400"/>
        <v>0</v>
      </c>
      <c r="Y2538" s="8">
        <f t="shared" si="401"/>
        <v>46023</v>
      </c>
    </row>
    <row r="2539" spans="2:25" ht="18.75" x14ac:dyDescent="0.3">
      <c r="B2539" s="6">
        <f t="shared" si="393"/>
        <v>0</v>
      </c>
      <c r="C2539" s="6">
        <f t="shared" si="394"/>
        <v>0</v>
      </c>
      <c r="D2539" s="6" t="str">
        <f t="shared" si="395"/>
        <v/>
      </c>
      <c r="E2539" s="35" t="str">
        <f t="shared" si="392"/>
        <v/>
      </c>
      <c r="F2539" s="31"/>
      <c r="G2539" s="29"/>
      <c r="H2539" s="78" t="str">
        <f t="shared" si="396"/>
        <v/>
      </c>
      <c r="I2539" s="25"/>
      <c r="J2539" s="25"/>
      <c r="K2539" s="26"/>
      <c r="L2539" s="26"/>
      <c r="M2539" s="37"/>
      <c r="N2539" s="27"/>
      <c r="O2539" s="30"/>
      <c r="P2539" s="39" t="str">
        <f t="shared" si="397"/>
        <v/>
      </c>
      <c r="Q2539" s="40" t="str">
        <f>IF(OR(T2539=0,RIGHT(T2539,1)=$W$1),"",COUNTIF($T$3:T2539,T2539))</f>
        <v/>
      </c>
      <c r="S2539" s="6">
        <f t="shared" si="398"/>
        <v>0</v>
      </c>
      <c r="T2539" s="36">
        <f t="shared" si="399"/>
        <v>0</v>
      </c>
      <c r="V2539" s="6">
        <f t="shared" si="400"/>
        <v>0</v>
      </c>
      <c r="Y2539" s="8">
        <f t="shared" si="401"/>
        <v>46023</v>
      </c>
    </row>
    <row r="2540" spans="2:25" ht="18.75" x14ac:dyDescent="0.3">
      <c r="B2540" s="6">
        <f t="shared" si="393"/>
        <v>0</v>
      </c>
      <c r="C2540" s="6">
        <f t="shared" si="394"/>
        <v>0</v>
      </c>
      <c r="D2540" s="6" t="str">
        <f t="shared" si="395"/>
        <v/>
      </c>
      <c r="E2540" s="35" t="str">
        <f t="shared" si="392"/>
        <v/>
      </c>
      <c r="F2540" s="31"/>
      <c r="G2540" s="29"/>
      <c r="H2540" s="78" t="str">
        <f t="shared" si="396"/>
        <v/>
      </c>
      <c r="I2540" s="25"/>
      <c r="J2540" s="25"/>
      <c r="K2540" s="26"/>
      <c r="L2540" s="26"/>
      <c r="M2540" s="37"/>
      <c r="N2540" s="27"/>
      <c r="O2540" s="30"/>
      <c r="P2540" s="39" t="str">
        <f t="shared" si="397"/>
        <v/>
      </c>
      <c r="Q2540" s="40" t="str">
        <f>IF(OR(T2540=0,RIGHT(T2540,1)=$W$1),"",COUNTIF($T$3:T2540,T2540))</f>
        <v/>
      </c>
      <c r="S2540" s="6">
        <f t="shared" si="398"/>
        <v>0</v>
      </c>
      <c r="T2540" s="36">
        <f t="shared" si="399"/>
        <v>0</v>
      </c>
      <c r="V2540" s="6">
        <f t="shared" si="400"/>
        <v>0</v>
      </c>
      <c r="Y2540" s="8">
        <f t="shared" si="401"/>
        <v>46023</v>
      </c>
    </row>
    <row r="2541" spans="2:25" ht="18.75" x14ac:dyDescent="0.3">
      <c r="B2541" s="6">
        <f t="shared" si="393"/>
        <v>0</v>
      </c>
      <c r="C2541" s="6">
        <f t="shared" si="394"/>
        <v>0</v>
      </c>
      <c r="D2541" s="6" t="str">
        <f t="shared" si="395"/>
        <v/>
      </c>
      <c r="E2541" s="35" t="str">
        <f t="shared" si="392"/>
        <v/>
      </c>
      <c r="F2541" s="31"/>
      <c r="G2541" s="29"/>
      <c r="H2541" s="78" t="str">
        <f t="shared" si="396"/>
        <v/>
      </c>
      <c r="I2541" s="25"/>
      <c r="J2541" s="25"/>
      <c r="K2541" s="26"/>
      <c r="L2541" s="26"/>
      <c r="M2541" s="37"/>
      <c r="N2541" s="27"/>
      <c r="O2541" s="30"/>
      <c r="P2541" s="39" t="str">
        <f t="shared" si="397"/>
        <v/>
      </c>
      <c r="Q2541" s="40" t="str">
        <f>IF(OR(T2541=0,RIGHT(T2541,1)=$W$1),"",COUNTIF($T$3:T2541,T2541))</f>
        <v/>
      </c>
      <c r="S2541" s="6">
        <f t="shared" si="398"/>
        <v>0</v>
      </c>
      <c r="T2541" s="36">
        <f t="shared" si="399"/>
        <v>0</v>
      </c>
      <c r="V2541" s="6">
        <f t="shared" si="400"/>
        <v>0</v>
      </c>
      <c r="Y2541" s="8">
        <f t="shared" si="401"/>
        <v>46023</v>
      </c>
    </row>
    <row r="2542" spans="2:25" ht="18.75" x14ac:dyDescent="0.3">
      <c r="B2542" s="6">
        <f t="shared" si="393"/>
        <v>0</v>
      </c>
      <c r="C2542" s="6">
        <f t="shared" si="394"/>
        <v>0</v>
      </c>
      <c r="D2542" s="6" t="str">
        <f t="shared" si="395"/>
        <v/>
      </c>
      <c r="E2542" s="35" t="str">
        <f t="shared" si="392"/>
        <v/>
      </c>
      <c r="F2542" s="31"/>
      <c r="G2542" s="29"/>
      <c r="H2542" s="78" t="str">
        <f t="shared" si="396"/>
        <v/>
      </c>
      <c r="I2542" s="25"/>
      <c r="J2542" s="25"/>
      <c r="K2542" s="26"/>
      <c r="L2542" s="26"/>
      <c r="M2542" s="37"/>
      <c r="N2542" s="27"/>
      <c r="O2542" s="30"/>
      <c r="P2542" s="39" t="str">
        <f t="shared" si="397"/>
        <v/>
      </c>
      <c r="Q2542" s="40" t="str">
        <f>IF(OR(T2542=0,RIGHT(T2542,1)=$W$1),"",COUNTIF($T$3:T2542,T2542))</f>
        <v/>
      </c>
      <c r="S2542" s="6">
        <f t="shared" si="398"/>
        <v>0</v>
      </c>
      <c r="T2542" s="36">
        <f t="shared" si="399"/>
        <v>0</v>
      </c>
      <c r="V2542" s="6">
        <f t="shared" si="400"/>
        <v>0</v>
      </c>
      <c r="Y2542" s="8">
        <f t="shared" si="401"/>
        <v>46023</v>
      </c>
    </row>
    <row r="2543" spans="2:25" ht="18.75" x14ac:dyDescent="0.3">
      <c r="B2543" s="6">
        <f t="shared" si="393"/>
        <v>0</v>
      </c>
      <c r="C2543" s="6">
        <f t="shared" si="394"/>
        <v>0</v>
      </c>
      <c r="D2543" s="6" t="str">
        <f t="shared" si="395"/>
        <v/>
      </c>
      <c r="E2543" s="35" t="str">
        <f t="shared" si="392"/>
        <v/>
      </c>
      <c r="F2543" s="31"/>
      <c r="G2543" s="29"/>
      <c r="H2543" s="78" t="str">
        <f t="shared" si="396"/>
        <v/>
      </c>
      <c r="I2543" s="25"/>
      <c r="J2543" s="25"/>
      <c r="K2543" s="26"/>
      <c r="L2543" s="26"/>
      <c r="M2543" s="37"/>
      <c r="N2543" s="27"/>
      <c r="O2543" s="30"/>
      <c r="P2543" s="39" t="str">
        <f t="shared" si="397"/>
        <v/>
      </c>
      <c r="Q2543" s="40" t="str">
        <f>IF(OR(T2543=0,RIGHT(T2543,1)=$W$1),"",COUNTIF($T$3:T2543,T2543))</f>
        <v/>
      </c>
      <c r="S2543" s="6">
        <f t="shared" si="398"/>
        <v>0</v>
      </c>
      <c r="T2543" s="36">
        <f t="shared" si="399"/>
        <v>0</v>
      </c>
      <c r="V2543" s="6">
        <f t="shared" si="400"/>
        <v>0</v>
      </c>
      <c r="Y2543" s="8">
        <f t="shared" si="401"/>
        <v>46023</v>
      </c>
    </row>
    <row r="2544" spans="2:25" ht="18.75" x14ac:dyDescent="0.3">
      <c r="B2544" s="6">
        <f t="shared" si="393"/>
        <v>0</v>
      </c>
      <c r="C2544" s="6">
        <f t="shared" si="394"/>
        <v>0</v>
      </c>
      <c r="D2544" s="6" t="str">
        <f t="shared" si="395"/>
        <v/>
      </c>
      <c r="E2544" s="35" t="str">
        <f t="shared" si="392"/>
        <v/>
      </c>
      <c r="F2544" s="31"/>
      <c r="G2544" s="29"/>
      <c r="H2544" s="78" t="str">
        <f t="shared" si="396"/>
        <v/>
      </c>
      <c r="I2544" s="25"/>
      <c r="J2544" s="25"/>
      <c r="K2544" s="26"/>
      <c r="L2544" s="26"/>
      <c r="M2544" s="37"/>
      <c r="N2544" s="27"/>
      <c r="O2544" s="30"/>
      <c r="P2544" s="39" t="str">
        <f t="shared" si="397"/>
        <v/>
      </c>
      <c r="Q2544" s="40" t="str">
        <f>IF(OR(T2544=0,RIGHT(T2544,1)=$W$1),"",COUNTIF($T$3:T2544,T2544))</f>
        <v/>
      </c>
      <c r="S2544" s="6">
        <f t="shared" si="398"/>
        <v>0</v>
      </c>
      <c r="T2544" s="36">
        <f t="shared" si="399"/>
        <v>0</v>
      </c>
      <c r="V2544" s="6">
        <f t="shared" si="400"/>
        <v>0</v>
      </c>
      <c r="Y2544" s="8">
        <f t="shared" si="401"/>
        <v>46023</v>
      </c>
    </row>
    <row r="2545" spans="2:25" ht="18.75" x14ac:dyDescent="0.3">
      <c r="B2545" s="6">
        <f t="shared" si="393"/>
        <v>0</v>
      </c>
      <c r="C2545" s="6">
        <f t="shared" si="394"/>
        <v>0</v>
      </c>
      <c r="D2545" s="6" t="str">
        <f t="shared" si="395"/>
        <v/>
      </c>
      <c r="E2545" s="35" t="str">
        <f t="shared" si="392"/>
        <v/>
      </c>
      <c r="F2545" s="31"/>
      <c r="G2545" s="29"/>
      <c r="H2545" s="78" t="str">
        <f t="shared" si="396"/>
        <v/>
      </c>
      <c r="I2545" s="25"/>
      <c r="J2545" s="25"/>
      <c r="K2545" s="26"/>
      <c r="L2545" s="26"/>
      <c r="M2545" s="37"/>
      <c r="N2545" s="27"/>
      <c r="O2545" s="30"/>
      <c r="P2545" s="39" t="str">
        <f t="shared" si="397"/>
        <v/>
      </c>
      <c r="Q2545" s="40" t="str">
        <f>IF(OR(T2545=0,RIGHT(T2545,1)=$W$1),"",COUNTIF($T$3:T2545,T2545))</f>
        <v/>
      </c>
      <c r="S2545" s="6">
        <f t="shared" si="398"/>
        <v>0</v>
      </c>
      <c r="T2545" s="36">
        <f t="shared" si="399"/>
        <v>0</v>
      </c>
      <c r="V2545" s="6">
        <f t="shared" si="400"/>
        <v>0</v>
      </c>
      <c r="Y2545" s="8">
        <f t="shared" si="401"/>
        <v>46023</v>
      </c>
    </row>
    <row r="2546" spans="2:25" ht="18.75" x14ac:dyDescent="0.3">
      <c r="B2546" s="6">
        <f t="shared" si="393"/>
        <v>0</v>
      </c>
      <c r="C2546" s="6">
        <f t="shared" si="394"/>
        <v>0</v>
      </c>
      <c r="D2546" s="6" t="str">
        <f t="shared" si="395"/>
        <v/>
      </c>
      <c r="E2546" s="35" t="str">
        <f t="shared" si="392"/>
        <v/>
      </c>
      <c r="F2546" s="31"/>
      <c r="G2546" s="29"/>
      <c r="H2546" s="78" t="str">
        <f t="shared" si="396"/>
        <v/>
      </c>
      <c r="I2546" s="25"/>
      <c r="J2546" s="25"/>
      <c r="K2546" s="26"/>
      <c r="L2546" s="26"/>
      <c r="M2546" s="37"/>
      <c r="N2546" s="27"/>
      <c r="O2546" s="30"/>
      <c r="P2546" s="39" t="str">
        <f t="shared" si="397"/>
        <v/>
      </c>
      <c r="Q2546" s="40" t="str">
        <f>IF(OR(T2546=0,RIGHT(T2546,1)=$W$1),"",COUNTIF($T$3:T2546,T2546))</f>
        <v/>
      </c>
      <c r="S2546" s="6">
        <f t="shared" si="398"/>
        <v>0</v>
      </c>
      <c r="T2546" s="36">
        <f t="shared" si="399"/>
        <v>0</v>
      </c>
      <c r="V2546" s="6">
        <f t="shared" si="400"/>
        <v>0</v>
      </c>
      <c r="Y2546" s="8">
        <f t="shared" si="401"/>
        <v>46023</v>
      </c>
    </row>
    <row r="2547" spans="2:25" ht="18.75" x14ac:dyDescent="0.3">
      <c r="B2547" s="6">
        <f t="shared" si="393"/>
        <v>0</v>
      </c>
      <c r="C2547" s="6">
        <f t="shared" si="394"/>
        <v>0</v>
      </c>
      <c r="D2547" s="6" t="str">
        <f t="shared" si="395"/>
        <v/>
      </c>
      <c r="E2547" s="35" t="str">
        <f t="shared" si="392"/>
        <v/>
      </c>
      <c r="F2547" s="31"/>
      <c r="G2547" s="29"/>
      <c r="H2547" s="78" t="str">
        <f t="shared" si="396"/>
        <v/>
      </c>
      <c r="I2547" s="25"/>
      <c r="J2547" s="25"/>
      <c r="K2547" s="26"/>
      <c r="L2547" s="26"/>
      <c r="M2547" s="37"/>
      <c r="N2547" s="27"/>
      <c r="O2547" s="30"/>
      <c r="P2547" s="39" t="str">
        <f t="shared" si="397"/>
        <v/>
      </c>
      <c r="Q2547" s="40" t="str">
        <f>IF(OR(T2547=0,RIGHT(T2547,1)=$W$1),"",COUNTIF($T$3:T2547,T2547))</f>
        <v/>
      </c>
      <c r="S2547" s="6">
        <f t="shared" si="398"/>
        <v>0</v>
      </c>
      <c r="T2547" s="36">
        <f t="shared" si="399"/>
        <v>0</v>
      </c>
      <c r="V2547" s="6">
        <f t="shared" si="400"/>
        <v>0</v>
      </c>
      <c r="Y2547" s="8">
        <f t="shared" si="401"/>
        <v>46023</v>
      </c>
    </row>
    <row r="2548" spans="2:25" ht="18.75" x14ac:dyDescent="0.3">
      <c r="B2548" s="6">
        <f t="shared" si="393"/>
        <v>0</v>
      </c>
      <c r="C2548" s="6">
        <f t="shared" si="394"/>
        <v>0</v>
      </c>
      <c r="D2548" s="6" t="str">
        <f t="shared" si="395"/>
        <v/>
      </c>
      <c r="E2548" s="35" t="str">
        <f t="shared" si="392"/>
        <v/>
      </c>
      <c r="F2548" s="31"/>
      <c r="G2548" s="29"/>
      <c r="H2548" s="78" t="str">
        <f t="shared" si="396"/>
        <v/>
      </c>
      <c r="I2548" s="25"/>
      <c r="J2548" s="25"/>
      <c r="K2548" s="26"/>
      <c r="L2548" s="26"/>
      <c r="M2548" s="37"/>
      <c r="N2548" s="27"/>
      <c r="O2548" s="30"/>
      <c r="P2548" s="39" t="str">
        <f t="shared" si="397"/>
        <v/>
      </c>
      <c r="Q2548" s="40" t="str">
        <f>IF(OR(T2548=0,RIGHT(T2548,1)=$W$1),"",COUNTIF($T$3:T2548,T2548))</f>
        <v/>
      </c>
      <c r="S2548" s="6">
        <f t="shared" si="398"/>
        <v>0</v>
      </c>
      <c r="T2548" s="36">
        <f t="shared" si="399"/>
        <v>0</v>
      </c>
      <c r="V2548" s="6">
        <f t="shared" si="400"/>
        <v>0</v>
      </c>
      <c r="Y2548" s="8">
        <f t="shared" si="401"/>
        <v>46023</v>
      </c>
    </row>
    <row r="2549" spans="2:25" ht="18.75" x14ac:dyDescent="0.3">
      <c r="B2549" s="6">
        <f t="shared" si="393"/>
        <v>0</v>
      </c>
      <c r="C2549" s="6">
        <f t="shared" si="394"/>
        <v>0</v>
      </c>
      <c r="D2549" s="6" t="str">
        <f t="shared" si="395"/>
        <v/>
      </c>
      <c r="E2549" s="35" t="str">
        <f t="shared" si="392"/>
        <v/>
      </c>
      <c r="F2549" s="31"/>
      <c r="G2549" s="29"/>
      <c r="H2549" s="78" t="str">
        <f t="shared" si="396"/>
        <v/>
      </c>
      <c r="I2549" s="25"/>
      <c r="J2549" s="25"/>
      <c r="K2549" s="26"/>
      <c r="L2549" s="26"/>
      <c r="M2549" s="37"/>
      <c r="N2549" s="27"/>
      <c r="O2549" s="30"/>
      <c r="P2549" s="39" t="str">
        <f t="shared" si="397"/>
        <v/>
      </c>
      <c r="Q2549" s="40" t="str">
        <f>IF(OR(T2549=0,RIGHT(T2549,1)=$W$1),"",COUNTIF($T$3:T2549,T2549))</f>
        <v/>
      </c>
      <c r="S2549" s="6">
        <f t="shared" si="398"/>
        <v>0</v>
      </c>
      <c r="T2549" s="36">
        <f t="shared" si="399"/>
        <v>0</v>
      </c>
      <c r="V2549" s="6">
        <f t="shared" si="400"/>
        <v>0</v>
      </c>
      <c r="Y2549" s="8">
        <f t="shared" si="401"/>
        <v>46023</v>
      </c>
    </row>
    <row r="2550" spans="2:25" ht="18.75" x14ac:dyDescent="0.3">
      <c r="B2550" s="6">
        <f t="shared" si="393"/>
        <v>0</v>
      </c>
      <c r="C2550" s="6">
        <f t="shared" si="394"/>
        <v>0</v>
      </c>
      <c r="D2550" s="6" t="str">
        <f t="shared" si="395"/>
        <v/>
      </c>
      <c r="E2550" s="35" t="str">
        <f t="shared" si="392"/>
        <v/>
      </c>
      <c r="F2550" s="31"/>
      <c r="G2550" s="29"/>
      <c r="H2550" s="78" t="str">
        <f t="shared" si="396"/>
        <v/>
      </c>
      <c r="I2550" s="25"/>
      <c r="J2550" s="25"/>
      <c r="K2550" s="26"/>
      <c r="L2550" s="26"/>
      <c r="M2550" s="37"/>
      <c r="N2550" s="27"/>
      <c r="O2550" s="30"/>
      <c r="P2550" s="39" t="str">
        <f t="shared" si="397"/>
        <v/>
      </c>
      <c r="Q2550" s="40" t="str">
        <f>IF(OR(T2550=0,RIGHT(T2550,1)=$W$1),"",COUNTIF($T$3:T2550,T2550))</f>
        <v/>
      </c>
      <c r="S2550" s="6">
        <f t="shared" si="398"/>
        <v>0</v>
      </c>
      <c r="T2550" s="36">
        <f t="shared" si="399"/>
        <v>0</v>
      </c>
      <c r="V2550" s="6">
        <f t="shared" si="400"/>
        <v>0</v>
      </c>
      <c r="Y2550" s="8">
        <f t="shared" si="401"/>
        <v>46023</v>
      </c>
    </row>
    <row r="2551" spans="2:25" ht="18.75" x14ac:dyDescent="0.3">
      <c r="B2551" s="6">
        <f t="shared" si="393"/>
        <v>0</v>
      </c>
      <c r="C2551" s="6">
        <f t="shared" si="394"/>
        <v>0</v>
      </c>
      <c r="D2551" s="6" t="str">
        <f t="shared" si="395"/>
        <v/>
      </c>
      <c r="E2551" s="35" t="str">
        <f t="shared" si="392"/>
        <v/>
      </c>
      <c r="F2551" s="31"/>
      <c r="G2551" s="29"/>
      <c r="H2551" s="78" t="str">
        <f t="shared" si="396"/>
        <v/>
      </c>
      <c r="I2551" s="25"/>
      <c r="J2551" s="25"/>
      <c r="K2551" s="26"/>
      <c r="L2551" s="26"/>
      <c r="M2551" s="37"/>
      <c r="N2551" s="27"/>
      <c r="O2551" s="30"/>
      <c r="P2551" s="39" t="str">
        <f t="shared" si="397"/>
        <v/>
      </c>
      <c r="Q2551" s="40" t="str">
        <f>IF(OR(T2551=0,RIGHT(T2551,1)=$W$1),"",COUNTIF($T$3:T2551,T2551))</f>
        <v/>
      </c>
      <c r="S2551" s="6">
        <f t="shared" si="398"/>
        <v>0</v>
      </c>
      <c r="T2551" s="36">
        <f t="shared" si="399"/>
        <v>0</v>
      </c>
      <c r="V2551" s="6">
        <f t="shared" si="400"/>
        <v>0</v>
      </c>
      <c r="Y2551" s="8">
        <f t="shared" si="401"/>
        <v>46023</v>
      </c>
    </row>
    <row r="2552" spans="2:25" ht="18.75" x14ac:dyDescent="0.3">
      <c r="B2552" s="6">
        <f t="shared" si="393"/>
        <v>0</v>
      </c>
      <c r="C2552" s="6">
        <f t="shared" si="394"/>
        <v>0</v>
      </c>
      <c r="D2552" s="6" t="str">
        <f t="shared" si="395"/>
        <v/>
      </c>
      <c r="E2552" s="35" t="str">
        <f t="shared" si="392"/>
        <v/>
      </c>
      <c r="F2552" s="31"/>
      <c r="G2552" s="29"/>
      <c r="H2552" s="78" t="str">
        <f t="shared" si="396"/>
        <v/>
      </c>
      <c r="I2552" s="25"/>
      <c r="J2552" s="25"/>
      <c r="K2552" s="26"/>
      <c r="L2552" s="26"/>
      <c r="M2552" s="37"/>
      <c r="N2552" s="27"/>
      <c r="O2552" s="30"/>
      <c r="P2552" s="39" t="str">
        <f t="shared" si="397"/>
        <v/>
      </c>
      <c r="Q2552" s="40" t="str">
        <f>IF(OR(T2552=0,RIGHT(T2552,1)=$W$1),"",COUNTIF($T$3:T2552,T2552))</f>
        <v/>
      </c>
      <c r="S2552" s="6">
        <f t="shared" si="398"/>
        <v>0</v>
      </c>
      <c r="T2552" s="36">
        <f t="shared" si="399"/>
        <v>0</v>
      </c>
      <c r="V2552" s="6">
        <f t="shared" si="400"/>
        <v>0</v>
      </c>
      <c r="Y2552" s="8">
        <f t="shared" si="401"/>
        <v>46023</v>
      </c>
    </row>
    <row r="2553" spans="2:25" ht="18.75" x14ac:dyDescent="0.3">
      <c r="B2553" s="6">
        <f t="shared" si="393"/>
        <v>0</v>
      </c>
      <c r="C2553" s="6">
        <f t="shared" si="394"/>
        <v>0</v>
      </c>
      <c r="D2553" s="6" t="str">
        <f t="shared" si="395"/>
        <v/>
      </c>
      <c r="E2553" s="35" t="str">
        <f t="shared" si="392"/>
        <v/>
      </c>
      <c r="F2553" s="31"/>
      <c r="G2553" s="29"/>
      <c r="H2553" s="78" t="str">
        <f t="shared" si="396"/>
        <v/>
      </c>
      <c r="I2553" s="25"/>
      <c r="J2553" s="25"/>
      <c r="K2553" s="26"/>
      <c r="L2553" s="26"/>
      <c r="M2553" s="37"/>
      <c r="N2553" s="27"/>
      <c r="O2553" s="30"/>
      <c r="P2553" s="39" t="str">
        <f t="shared" si="397"/>
        <v/>
      </c>
      <c r="Q2553" s="40" t="str">
        <f>IF(OR(T2553=0,RIGHT(T2553,1)=$W$1),"",COUNTIF($T$3:T2553,T2553))</f>
        <v/>
      </c>
      <c r="S2553" s="6">
        <f t="shared" si="398"/>
        <v>0</v>
      </c>
      <c r="T2553" s="36">
        <f t="shared" si="399"/>
        <v>0</v>
      </c>
      <c r="V2553" s="6">
        <f t="shared" si="400"/>
        <v>0</v>
      </c>
      <c r="Y2553" s="8">
        <f t="shared" si="401"/>
        <v>46023</v>
      </c>
    </row>
    <row r="2554" spans="2:25" ht="18.75" x14ac:dyDescent="0.3">
      <c r="B2554" s="6">
        <f t="shared" si="393"/>
        <v>0</v>
      </c>
      <c r="C2554" s="6">
        <f t="shared" si="394"/>
        <v>0</v>
      </c>
      <c r="D2554" s="6" t="str">
        <f t="shared" si="395"/>
        <v/>
      </c>
      <c r="E2554" s="35" t="str">
        <f t="shared" si="392"/>
        <v/>
      </c>
      <c r="F2554" s="31"/>
      <c r="G2554" s="29"/>
      <c r="H2554" s="78" t="str">
        <f t="shared" si="396"/>
        <v/>
      </c>
      <c r="I2554" s="25"/>
      <c r="J2554" s="25"/>
      <c r="K2554" s="26"/>
      <c r="L2554" s="26"/>
      <c r="M2554" s="37"/>
      <c r="N2554" s="27"/>
      <c r="O2554" s="30"/>
      <c r="P2554" s="39" t="str">
        <f t="shared" si="397"/>
        <v/>
      </c>
      <c r="Q2554" s="40" t="str">
        <f>IF(OR(T2554=0,RIGHT(T2554,1)=$W$1),"",COUNTIF($T$3:T2554,T2554))</f>
        <v/>
      </c>
      <c r="S2554" s="6">
        <f t="shared" si="398"/>
        <v>0</v>
      </c>
      <c r="T2554" s="36">
        <f t="shared" si="399"/>
        <v>0</v>
      </c>
      <c r="V2554" s="6">
        <f t="shared" si="400"/>
        <v>0</v>
      </c>
      <c r="Y2554" s="8">
        <f t="shared" si="401"/>
        <v>46023</v>
      </c>
    </row>
    <row r="2555" spans="2:25" ht="18.75" x14ac:dyDescent="0.3">
      <c r="B2555" s="6">
        <f t="shared" si="393"/>
        <v>0</v>
      </c>
      <c r="C2555" s="6">
        <f t="shared" si="394"/>
        <v>0</v>
      </c>
      <c r="D2555" s="6" t="str">
        <f t="shared" si="395"/>
        <v/>
      </c>
      <c r="E2555" s="35" t="str">
        <f t="shared" si="392"/>
        <v/>
      </c>
      <c r="F2555" s="31"/>
      <c r="G2555" s="29"/>
      <c r="H2555" s="78" t="str">
        <f t="shared" si="396"/>
        <v/>
      </c>
      <c r="I2555" s="25"/>
      <c r="J2555" s="25"/>
      <c r="K2555" s="26"/>
      <c r="L2555" s="26"/>
      <c r="M2555" s="37"/>
      <c r="N2555" s="27"/>
      <c r="O2555" s="30"/>
      <c r="P2555" s="39" t="str">
        <f t="shared" si="397"/>
        <v/>
      </c>
      <c r="Q2555" s="40" t="str">
        <f>IF(OR(T2555=0,RIGHT(T2555,1)=$W$1),"",COUNTIF($T$3:T2555,T2555))</f>
        <v/>
      </c>
      <c r="S2555" s="6">
        <f t="shared" si="398"/>
        <v>0</v>
      </c>
      <c r="T2555" s="36">
        <f t="shared" si="399"/>
        <v>0</v>
      </c>
      <c r="V2555" s="6">
        <f t="shared" si="400"/>
        <v>0</v>
      </c>
      <c r="Y2555" s="8">
        <f t="shared" si="401"/>
        <v>46023</v>
      </c>
    </row>
    <row r="2556" spans="2:25" ht="18.75" x14ac:dyDescent="0.3">
      <c r="B2556" s="6">
        <f t="shared" si="393"/>
        <v>0</v>
      </c>
      <c r="C2556" s="6">
        <f t="shared" si="394"/>
        <v>0</v>
      </c>
      <c r="D2556" s="6" t="str">
        <f t="shared" si="395"/>
        <v/>
      </c>
      <c r="E2556" s="35" t="str">
        <f t="shared" si="392"/>
        <v/>
      </c>
      <c r="F2556" s="31"/>
      <c r="G2556" s="29"/>
      <c r="H2556" s="78" t="str">
        <f t="shared" si="396"/>
        <v/>
      </c>
      <c r="I2556" s="25"/>
      <c r="J2556" s="25"/>
      <c r="K2556" s="26"/>
      <c r="L2556" s="26"/>
      <c r="M2556" s="37"/>
      <c r="N2556" s="27"/>
      <c r="O2556" s="30"/>
      <c r="P2556" s="39" t="str">
        <f t="shared" si="397"/>
        <v/>
      </c>
      <c r="Q2556" s="40" t="str">
        <f>IF(OR(T2556=0,RIGHT(T2556,1)=$W$1),"",COUNTIF($T$3:T2556,T2556))</f>
        <v/>
      </c>
      <c r="S2556" s="6">
        <f t="shared" si="398"/>
        <v>0</v>
      </c>
      <c r="T2556" s="36">
        <f t="shared" si="399"/>
        <v>0</v>
      </c>
      <c r="V2556" s="6">
        <f t="shared" si="400"/>
        <v>0</v>
      </c>
      <c r="Y2556" s="8">
        <f t="shared" si="401"/>
        <v>46023</v>
      </c>
    </row>
    <row r="2557" spans="2:25" ht="18.75" x14ac:dyDescent="0.3">
      <c r="B2557" s="6">
        <f t="shared" si="393"/>
        <v>0</v>
      </c>
      <c r="C2557" s="6">
        <f t="shared" si="394"/>
        <v>0</v>
      </c>
      <c r="D2557" s="6" t="str">
        <f t="shared" si="395"/>
        <v/>
      </c>
      <c r="E2557" s="35" t="str">
        <f t="shared" si="392"/>
        <v/>
      </c>
      <c r="F2557" s="31"/>
      <c r="G2557" s="29"/>
      <c r="H2557" s="78" t="str">
        <f t="shared" si="396"/>
        <v/>
      </c>
      <c r="I2557" s="25"/>
      <c r="J2557" s="25"/>
      <c r="K2557" s="26"/>
      <c r="L2557" s="26"/>
      <c r="M2557" s="37"/>
      <c r="N2557" s="27"/>
      <c r="O2557" s="30"/>
      <c r="P2557" s="39" t="str">
        <f t="shared" si="397"/>
        <v/>
      </c>
      <c r="Q2557" s="40" t="str">
        <f>IF(OR(T2557=0,RIGHT(T2557,1)=$W$1),"",COUNTIF($T$3:T2557,T2557))</f>
        <v/>
      </c>
      <c r="S2557" s="6">
        <f t="shared" si="398"/>
        <v>0</v>
      </c>
      <c r="T2557" s="36">
        <f t="shared" si="399"/>
        <v>0</v>
      </c>
      <c r="V2557" s="6">
        <f t="shared" si="400"/>
        <v>0</v>
      </c>
      <c r="Y2557" s="8">
        <f t="shared" si="401"/>
        <v>46023</v>
      </c>
    </row>
    <row r="2558" spans="2:25" ht="18.75" x14ac:dyDescent="0.3">
      <c r="B2558" s="6">
        <f t="shared" si="393"/>
        <v>0</v>
      </c>
      <c r="C2558" s="6">
        <f t="shared" si="394"/>
        <v>0</v>
      </c>
      <c r="D2558" s="6" t="str">
        <f t="shared" si="395"/>
        <v/>
      </c>
      <c r="E2558" s="35" t="str">
        <f t="shared" si="392"/>
        <v/>
      </c>
      <c r="F2558" s="31"/>
      <c r="G2558" s="29"/>
      <c r="H2558" s="78" t="str">
        <f t="shared" si="396"/>
        <v/>
      </c>
      <c r="I2558" s="25"/>
      <c r="J2558" s="25"/>
      <c r="K2558" s="26"/>
      <c r="L2558" s="26"/>
      <c r="M2558" s="37"/>
      <c r="N2558" s="27"/>
      <c r="O2558" s="30"/>
      <c r="P2558" s="39" t="str">
        <f t="shared" si="397"/>
        <v/>
      </c>
      <c r="Q2558" s="40" t="str">
        <f>IF(OR(T2558=0,RIGHT(T2558,1)=$W$1),"",COUNTIF($T$3:T2558,T2558))</f>
        <v/>
      </c>
      <c r="S2558" s="6">
        <f t="shared" si="398"/>
        <v>0</v>
      </c>
      <c r="T2558" s="36">
        <f t="shared" si="399"/>
        <v>0</v>
      </c>
      <c r="V2558" s="6">
        <f t="shared" si="400"/>
        <v>0</v>
      </c>
      <c r="Y2558" s="8">
        <f t="shared" si="401"/>
        <v>46023</v>
      </c>
    </row>
    <row r="2559" spans="2:25" ht="18.75" x14ac:dyDescent="0.3">
      <c r="B2559" s="6">
        <f t="shared" si="393"/>
        <v>0</v>
      </c>
      <c r="C2559" s="6">
        <f t="shared" si="394"/>
        <v>0</v>
      </c>
      <c r="D2559" s="6" t="str">
        <f t="shared" si="395"/>
        <v/>
      </c>
      <c r="E2559" s="35" t="str">
        <f t="shared" si="392"/>
        <v/>
      </c>
      <c r="F2559" s="31"/>
      <c r="G2559" s="29"/>
      <c r="H2559" s="78" t="str">
        <f t="shared" si="396"/>
        <v/>
      </c>
      <c r="I2559" s="25"/>
      <c r="J2559" s="25"/>
      <c r="K2559" s="26"/>
      <c r="L2559" s="26"/>
      <c r="M2559" s="37"/>
      <c r="N2559" s="27"/>
      <c r="O2559" s="30"/>
      <c r="P2559" s="39" t="str">
        <f t="shared" si="397"/>
        <v/>
      </c>
      <c r="Q2559" s="40" t="str">
        <f>IF(OR(T2559=0,RIGHT(T2559,1)=$W$1),"",COUNTIF($T$3:T2559,T2559))</f>
        <v/>
      </c>
      <c r="S2559" s="6">
        <f t="shared" si="398"/>
        <v>0</v>
      </c>
      <c r="T2559" s="36">
        <f t="shared" si="399"/>
        <v>0</v>
      </c>
      <c r="V2559" s="6">
        <f t="shared" si="400"/>
        <v>0</v>
      </c>
      <c r="Y2559" s="8">
        <f t="shared" si="401"/>
        <v>46023</v>
      </c>
    </row>
    <row r="2560" spans="2:25" ht="18.75" x14ac:dyDescent="0.3">
      <c r="B2560" s="6">
        <f t="shared" si="393"/>
        <v>0</v>
      </c>
      <c r="C2560" s="6">
        <f t="shared" si="394"/>
        <v>0</v>
      </c>
      <c r="D2560" s="6" t="str">
        <f t="shared" si="395"/>
        <v/>
      </c>
      <c r="E2560" s="35" t="str">
        <f t="shared" si="392"/>
        <v/>
      </c>
      <c r="F2560" s="31"/>
      <c r="G2560" s="29"/>
      <c r="H2560" s="78" t="str">
        <f t="shared" si="396"/>
        <v/>
      </c>
      <c r="I2560" s="25"/>
      <c r="J2560" s="25"/>
      <c r="K2560" s="26"/>
      <c r="L2560" s="26"/>
      <c r="M2560" s="37"/>
      <c r="N2560" s="27"/>
      <c r="O2560" s="30"/>
      <c r="P2560" s="39" t="str">
        <f t="shared" si="397"/>
        <v/>
      </c>
      <c r="Q2560" s="40" t="str">
        <f>IF(OR(T2560=0,RIGHT(T2560,1)=$W$1),"",COUNTIF($T$3:T2560,T2560))</f>
        <v/>
      </c>
      <c r="S2560" s="6">
        <f t="shared" si="398"/>
        <v>0</v>
      </c>
      <c r="T2560" s="36">
        <f t="shared" si="399"/>
        <v>0</v>
      </c>
      <c r="V2560" s="6">
        <f t="shared" si="400"/>
        <v>0</v>
      </c>
      <c r="Y2560" s="8">
        <f t="shared" si="401"/>
        <v>46023</v>
      </c>
    </row>
    <row r="2561" spans="2:25" ht="18.75" x14ac:dyDescent="0.3">
      <c r="B2561" s="6">
        <f t="shared" si="393"/>
        <v>0</v>
      </c>
      <c r="C2561" s="6">
        <f t="shared" si="394"/>
        <v>0</v>
      </c>
      <c r="D2561" s="6" t="str">
        <f t="shared" si="395"/>
        <v/>
      </c>
      <c r="E2561" s="35" t="str">
        <f t="shared" si="392"/>
        <v/>
      </c>
      <c r="F2561" s="31"/>
      <c r="G2561" s="29"/>
      <c r="H2561" s="78" t="str">
        <f t="shared" si="396"/>
        <v/>
      </c>
      <c r="I2561" s="25"/>
      <c r="J2561" s="25"/>
      <c r="K2561" s="26"/>
      <c r="L2561" s="26"/>
      <c r="M2561" s="37"/>
      <c r="N2561" s="27"/>
      <c r="O2561" s="30"/>
      <c r="P2561" s="39" t="str">
        <f t="shared" si="397"/>
        <v/>
      </c>
      <c r="Q2561" s="40" t="str">
        <f>IF(OR(T2561=0,RIGHT(T2561,1)=$W$1),"",COUNTIF($T$3:T2561,T2561))</f>
        <v/>
      </c>
      <c r="S2561" s="6">
        <f t="shared" si="398"/>
        <v>0</v>
      </c>
      <c r="T2561" s="36">
        <f t="shared" si="399"/>
        <v>0</v>
      </c>
      <c r="V2561" s="6">
        <f t="shared" si="400"/>
        <v>0</v>
      </c>
      <c r="Y2561" s="8">
        <f t="shared" si="401"/>
        <v>46023</v>
      </c>
    </row>
    <row r="2562" spans="2:25" ht="18.75" x14ac:dyDescent="0.3">
      <c r="B2562" s="6">
        <f t="shared" si="393"/>
        <v>0</v>
      </c>
      <c r="C2562" s="6">
        <f t="shared" si="394"/>
        <v>0</v>
      </c>
      <c r="D2562" s="6" t="str">
        <f t="shared" si="395"/>
        <v/>
      </c>
      <c r="E2562" s="35" t="str">
        <f t="shared" si="392"/>
        <v/>
      </c>
      <c r="F2562" s="31"/>
      <c r="G2562" s="29"/>
      <c r="H2562" s="78" t="str">
        <f t="shared" si="396"/>
        <v/>
      </c>
      <c r="I2562" s="25"/>
      <c r="J2562" s="25"/>
      <c r="K2562" s="26"/>
      <c r="L2562" s="26"/>
      <c r="M2562" s="37"/>
      <c r="N2562" s="27"/>
      <c r="O2562" s="30"/>
      <c r="P2562" s="39" t="str">
        <f t="shared" si="397"/>
        <v/>
      </c>
      <c r="Q2562" s="40" t="str">
        <f>IF(OR(T2562=0,RIGHT(T2562,1)=$W$1),"",COUNTIF($T$3:T2562,T2562))</f>
        <v/>
      </c>
      <c r="S2562" s="6">
        <f t="shared" si="398"/>
        <v>0</v>
      </c>
      <c r="T2562" s="36">
        <f t="shared" si="399"/>
        <v>0</v>
      </c>
      <c r="V2562" s="6">
        <f t="shared" si="400"/>
        <v>0</v>
      </c>
      <c r="Y2562" s="8">
        <f t="shared" si="401"/>
        <v>46023</v>
      </c>
    </row>
    <row r="2563" spans="2:25" ht="18.75" x14ac:dyDescent="0.3">
      <c r="B2563" s="6">
        <f t="shared" si="393"/>
        <v>0</v>
      </c>
      <c r="C2563" s="6">
        <f t="shared" si="394"/>
        <v>0</v>
      </c>
      <c r="D2563" s="6" t="str">
        <f t="shared" si="395"/>
        <v/>
      </c>
      <c r="E2563" s="35" t="str">
        <f t="shared" ref="E2563:E2626" si="402">IF(D2563&lt;&gt;"",D2563&amp;" - "&amp;YEAR(F2563),"")</f>
        <v/>
      </c>
      <c r="F2563" s="31"/>
      <c r="G2563" s="29"/>
      <c r="H2563" s="78" t="str">
        <f t="shared" si="396"/>
        <v/>
      </c>
      <c r="I2563" s="25"/>
      <c r="J2563" s="25"/>
      <c r="K2563" s="26"/>
      <c r="L2563" s="26"/>
      <c r="M2563" s="37"/>
      <c r="N2563" s="27"/>
      <c r="O2563" s="30"/>
      <c r="P2563" s="39" t="str">
        <f t="shared" si="397"/>
        <v/>
      </c>
      <c r="Q2563" s="40" t="str">
        <f>IF(OR(T2563=0,RIGHT(T2563,1)=$W$1),"",COUNTIF($T$3:T2563,T2563))</f>
        <v/>
      </c>
      <c r="S2563" s="6">
        <f t="shared" si="398"/>
        <v>0</v>
      </c>
      <c r="T2563" s="36">
        <f t="shared" si="399"/>
        <v>0</v>
      </c>
      <c r="V2563" s="6">
        <f t="shared" si="400"/>
        <v>0</v>
      </c>
      <c r="Y2563" s="8">
        <f t="shared" si="401"/>
        <v>46023</v>
      </c>
    </row>
    <row r="2564" spans="2:25" ht="18.75" x14ac:dyDescent="0.3">
      <c r="B2564" s="6">
        <f t="shared" ref="B2564:B2627" si="403">IF($B$1=YEAR(F2564),B2563+1,B2563)</f>
        <v>0</v>
      </c>
      <c r="C2564" s="6">
        <f t="shared" ref="C2564:C2627" si="404">IF(AND($C$1=K2564,$Y$1=YEAR(F2564)),C2563+1,C2563)</f>
        <v>0</v>
      </c>
      <c r="D2564" s="6" t="str">
        <f t="shared" ref="D2564:D2627" si="405">IF(F2564&lt;&gt;0,IF(YEAR(F2564)&lt;&gt;YEAR(F2563),1,IF(M2564=$AI$1,D2563,D2563+1)),"")</f>
        <v/>
      </c>
      <c r="E2564" s="35" t="str">
        <f t="shared" si="402"/>
        <v/>
      </c>
      <c r="F2564" s="31"/>
      <c r="G2564" s="29"/>
      <c r="H2564" s="78" t="str">
        <f t="shared" ref="H2564:H2627" si="406">IF(G2564&lt;&gt;"",F2564,"")</f>
        <v/>
      </c>
      <c r="I2564" s="25"/>
      <c r="J2564" s="25"/>
      <c r="K2564" s="26"/>
      <c r="L2564" s="26"/>
      <c r="M2564" s="37"/>
      <c r="N2564" s="27"/>
      <c r="O2564" s="30"/>
      <c r="P2564" s="39" t="str">
        <f t="shared" ref="P2564:P2627" si="407">IF(OR(T2564=0,RIGHT(T2564,1)=$W$1),"",VLOOKUP(K2564,$AD$1:$AK$15,5,FALSE))</f>
        <v/>
      </c>
      <c r="Q2564" s="40" t="str">
        <f>IF(OR(T2564=0,RIGHT(T2564,1)=$W$1),"",COUNTIF($T$3:T2564,T2564))</f>
        <v/>
      </c>
      <c r="S2564" s="6">
        <f t="shared" ref="S2564:S2627" si="408">IF(AND($C$1=K2564,$Y$1=YEAR(F2564)),C2564,0)</f>
        <v>0</v>
      </c>
      <c r="T2564" s="36">
        <f t="shared" ref="T2564:T2627" si="409">IF(F2564=0,0,YEAR(F2564)&amp;VLOOKUP(K2564,$AD$1:$AE$15,2,FALSE))</f>
        <v>0</v>
      </c>
      <c r="V2564" s="6">
        <f t="shared" ref="V2564:V2627" si="410">IF(AND(YEAR(F2564)=$Y$1,K2564=$C$1,L2564&amp;$V$1&lt;&gt;$V$1),L2564,IF(AND(YEAR(F2564)=$Y$1,K2564=$C$1),1,0))</f>
        <v>0</v>
      </c>
      <c r="Y2564" s="8">
        <f t="shared" ref="Y2564:Y2627" si="411">IF(M2564&lt;&gt;$AI$1,$Y$2,F2563)</f>
        <v>46023</v>
      </c>
    </row>
    <row r="2565" spans="2:25" ht="18.75" x14ac:dyDescent="0.3">
      <c r="B2565" s="6">
        <f t="shared" si="403"/>
        <v>0</v>
      </c>
      <c r="C2565" s="6">
        <f t="shared" si="404"/>
        <v>0</v>
      </c>
      <c r="D2565" s="6" t="str">
        <f t="shared" si="405"/>
        <v/>
      </c>
      <c r="E2565" s="35" t="str">
        <f t="shared" si="402"/>
        <v/>
      </c>
      <c r="F2565" s="31"/>
      <c r="G2565" s="29"/>
      <c r="H2565" s="78" t="str">
        <f t="shared" si="406"/>
        <v/>
      </c>
      <c r="I2565" s="25"/>
      <c r="J2565" s="25"/>
      <c r="K2565" s="26"/>
      <c r="L2565" s="26"/>
      <c r="M2565" s="37"/>
      <c r="N2565" s="27"/>
      <c r="O2565" s="30"/>
      <c r="P2565" s="39" t="str">
        <f t="shared" si="407"/>
        <v/>
      </c>
      <c r="Q2565" s="40" t="str">
        <f>IF(OR(T2565=0,RIGHT(T2565,1)=$W$1),"",COUNTIF($T$3:T2565,T2565))</f>
        <v/>
      </c>
      <c r="S2565" s="6">
        <f t="shared" si="408"/>
        <v>0</v>
      </c>
      <c r="T2565" s="36">
        <f t="shared" si="409"/>
        <v>0</v>
      </c>
      <c r="V2565" s="6">
        <f t="shared" si="410"/>
        <v>0</v>
      </c>
      <c r="Y2565" s="8">
        <f t="shared" si="411"/>
        <v>46023</v>
      </c>
    </row>
    <row r="2566" spans="2:25" ht="18.75" x14ac:dyDescent="0.3">
      <c r="B2566" s="6">
        <f t="shared" si="403"/>
        <v>0</v>
      </c>
      <c r="C2566" s="6">
        <f t="shared" si="404"/>
        <v>0</v>
      </c>
      <c r="D2566" s="6" t="str">
        <f t="shared" si="405"/>
        <v/>
      </c>
      <c r="E2566" s="35" t="str">
        <f t="shared" si="402"/>
        <v/>
      </c>
      <c r="F2566" s="31"/>
      <c r="G2566" s="29"/>
      <c r="H2566" s="78" t="str">
        <f t="shared" si="406"/>
        <v/>
      </c>
      <c r="I2566" s="25"/>
      <c r="J2566" s="25"/>
      <c r="K2566" s="26"/>
      <c r="L2566" s="26"/>
      <c r="M2566" s="37"/>
      <c r="N2566" s="27"/>
      <c r="O2566" s="30"/>
      <c r="P2566" s="39" t="str">
        <f t="shared" si="407"/>
        <v/>
      </c>
      <c r="Q2566" s="40" t="str">
        <f>IF(OR(T2566=0,RIGHT(T2566,1)=$W$1),"",COUNTIF($T$3:T2566,T2566))</f>
        <v/>
      </c>
      <c r="S2566" s="6">
        <f t="shared" si="408"/>
        <v>0</v>
      </c>
      <c r="T2566" s="36">
        <f t="shared" si="409"/>
        <v>0</v>
      </c>
      <c r="V2566" s="6">
        <f t="shared" si="410"/>
        <v>0</v>
      </c>
      <c r="Y2566" s="8">
        <f t="shared" si="411"/>
        <v>46023</v>
      </c>
    </row>
    <row r="2567" spans="2:25" ht="18.75" x14ac:dyDescent="0.3">
      <c r="B2567" s="6">
        <f t="shared" si="403"/>
        <v>0</v>
      </c>
      <c r="C2567" s="6">
        <f t="shared" si="404"/>
        <v>0</v>
      </c>
      <c r="D2567" s="6" t="str">
        <f t="shared" si="405"/>
        <v/>
      </c>
      <c r="E2567" s="35" t="str">
        <f t="shared" si="402"/>
        <v/>
      </c>
      <c r="F2567" s="31"/>
      <c r="G2567" s="29"/>
      <c r="H2567" s="78" t="str">
        <f t="shared" si="406"/>
        <v/>
      </c>
      <c r="I2567" s="25"/>
      <c r="J2567" s="25"/>
      <c r="K2567" s="26"/>
      <c r="L2567" s="26"/>
      <c r="M2567" s="37"/>
      <c r="N2567" s="27"/>
      <c r="O2567" s="30"/>
      <c r="P2567" s="39" t="str">
        <f t="shared" si="407"/>
        <v/>
      </c>
      <c r="Q2567" s="40" t="str">
        <f>IF(OR(T2567=0,RIGHT(T2567,1)=$W$1),"",COUNTIF($T$3:T2567,T2567))</f>
        <v/>
      </c>
      <c r="S2567" s="6">
        <f t="shared" si="408"/>
        <v>0</v>
      </c>
      <c r="T2567" s="36">
        <f t="shared" si="409"/>
        <v>0</v>
      </c>
      <c r="V2567" s="6">
        <f t="shared" si="410"/>
        <v>0</v>
      </c>
      <c r="Y2567" s="8">
        <f t="shared" si="411"/>
        <v>46023</v>
      </c>
    </row>
    <row r="2568" spans="2:25" ht="18.75" x14ac:dyDescent="0.3">
      <c r="B2568" s="6">
        <f t="shared" si="403"/>
        <v>0</v>
      </c>
      <c r="C2568" s="6">
        <f t="shared" si="404"/>
        <v>0</v>
      </c>
      <c r="D2568" s="6" t="str">
        <f t="shared" si="405"/>
        <v/>
      </c>
      <c r="E2568" s="35" t="str">
        <f t="shared" si="402"/>
        <v/>
      </c>
      <c r="F2568" s="31"/>
      <c r="G2568" s="29"/>
      <c r="H2568" s="78" t="str">
        <f t="shared" si="406"/>
        <v/>
      </c>
      <c r="I2568" s="25"/>
      <c r="J2568" s="25"/>
      <c r="K2568" s="26"/>
      <c r="L2568" s="26"/>
      <c r="M2568" s="37"/>
      <c r="N2568" s="27"/>
      <c r="O2568" s="30"/>
      <c r="P2568" s="39" t="str">
        <f t="shared" si="407"/>
        <v/>
      </c>
      <c r="Q2568" s="40" t="str">
        <f>IF(OR(T2568=0,RIGHT(T2568,1)=$W$1),"",COUNTIF($T$3:T2568,T2568))</f>
        <v/>
      </c>
      <c r="S2568" s="6">
        <f t="shared" si="408"/>
        <v>0</v>
      </c>
      <c r="T2568" s="36">
        <f t="shared" si="409"/>
        <v>0</v>
      </c>
      <c r="V2568" s="6">
        <f t="shared" si="410"/>
        <v>0</v>
      </c>
      <c r="Y2568" s="8">
        <f t="shared" si="411"/>
        <v>46023</v>
      </c>
    </row>
    <row r="2569" spans="2:25" ht="18.75" x14ac:dyDescent="0.3">
      <c r="B2569" s="6">
        <f t="shared" si="403"/>
        <v>0</v>
      </c>
      <c r="C2569" s="6">
        <f t="shared" si="404"/>
        <v>0</v>
      </c>
      <c r="D2569" s="6" t="str">
        <f t="shared" si="405"/>
        <v/>
      </c>
      <c r="E2569" s="35" t="str">
        <f t="shared" si="402"/>
        <v/>
      </c>
      <c r="F2569" s="31"/>
      <c r="G2569" s="29"/>
      <c r="H2569" s="78" t="str">
        <f t="shared" si="406"/>
        <v/>
      </c>
      <c r="I2569" s="25"/>
      <c r="J2569" s="25"/>
      <c r="K2569" s="26"/>
      <c r="L2569" s="26"/>
      <c r="M2569" s="37"/>
      <c r="N2569" s="27"/>
      <c r="O2569" s="30"/>
      <c r="P2569" s="39" t="str">
        <f t="shared" si="407"/>
        <v/>
      </c>
      <c r="Q2569" s="40" t="str">
        <f>IF(OR(T2569=0,RIGHT(T2569,1)=$W$1),"",COUNTIF($T$3:T2569,T2569))</f>
        <v/>
      </c>
      <c r="S2569" s="6">
        <f t="shared" si="408"/>
        <v>0</v>
      </c>
      <c r="T2569" s="36">
        <f t="shared" si="409"/>
        <v>0</v>
      </c>
      <c r="V2569" s="6">
        <f t="shared" si="410"/>
        <v>0</v>
      </c>
      <c r="Y2569" s="8">
        <f t="shared" si="411"/>
        <v>46023</v>
      </c>
    </row>
    <row r="2570" spans="2:25" ht="18.75" x14ac:dyDescent="0.3">
      <c r="B2570" s="6">
        <f t="shared" si="403"/>
        <v>0</v>
      </c>
      <c r="C2570" s="6">
        <f t="shared" si="404"/>
        <v>0</v>
      </c>
      <c r="D2570" s="6" t="str">
        <f t="shared" si="405"/>
        <v/>
      </c>
      <c r="E2570" s="35" t="str">
        <f t="shared" si="402"/>
        <v/>
      </c>
      <c r="F2570" s="31"/>
      <c r="G2570" s="29"/>
      <c r="H2570" s="78" t="str">
        <f t="shared" si="406"/>
        <v/>
      </c>
      <c r="I2570" s="25"/>
      <c r="J2570" s="25"/>
      <c r="K2570" s="26"/>
      <c r="L2570" s="26"/>
      <c r="M2570" s="37"/>
      <c r="N2570" s="27"/>
      <c r="O2570" s="30"/>
      <c r="P2570" s="39" t="str">
        <f t="shared" si="407"/>
        <v/>
      </c>
      <c r="Q2570" s="40" t="str">
        <f>IF(OR(T2570=0,RIGHT(T2570,1)=$W$1),"",COUNTIF($T$3:T2570,T2570))</f>
        <v/>
      </c>
      <c r="S2570" s="6">
        <f t="shared" si="408"/>
        <v>0</v>
      </c>
      <c r="T2570" s="36">
        <f t="shared" si="409"/>
        <v>0</v>
      </c>
      <c r="V2570" s="6">
        <f t="shared" si="410"/>
        <v>0</v>
      </c>
      <c r="Y2570" s="8">
        <f t="shared" si="411"/>
        <v>46023</v>
      </c>
    </row>
    <row r="2571" spans="2:25" ht="18.75" x14ac:dyDescent="0.3">
      <c r="B2571" s="6">
        <f t="shared" si="403"/>
        <v>0</v>
      </c>
      <c r="C2571" s="6">
        <f t="shared" si="404"/>
        <v>0</v>
      </c>
      <c r="D2571" s="6" t="str">
        <f t="shared" si="405"/>
        <v/>
      </c>
      <c r="E2571" s="35" t="str">
        <f t="shared" si="402"/>
        <v/>
      </c>
      <c r="F2571" s="31"/>
      <c r="G2571" s="29"/>
      <c r="H2571" s="78" t="str">
        <f t="shared" si="406"/>
        <v/>
      </c>
      <c r="I2571" s="25"/>
      <c r="J2571" s="25"/>
      <c r="K2571" s="26"/>
      <c r="L2571" s="26"/>
      <c r="M2571" s="37"/>
      <c r="N2571" s="27"/>
      <c r="O2571" s="30"/>
      <c r="P2571" s="39" t="str">
        <f t="shared" si="407"/>
        <v/>
      </c>
      <c r="Q2571" s="40" t="str">
        <f>IF(OR(T2571=0,RIGHT(T2571,1)=$W$1),"",COUNTIF($T$3:T2571,T2571))</f>
        <v/>
      </c>
      <c r="S2571" s="6">
        <f t="shared" si="408"/>
        <v>0</v>
      </c>
      <c r="T2571" s="36">
        <f t="shared" si="409"/>
        <v>0</v>
      </c>
      <c r="V2571" s="6">
        <f t="shared" si="410"/>
        <v>0</v>
      </c>
      <c r="Y2571" s="8">
        <f t="shared" si="411"/>
        <v>46023</v>
      </c>
    </row>
    <row r="2572" spans="2:25" ht="18.75" x14ac:dyDescent="0.3">
      <c r="B2572" s="6">
        <f t="shared" si="403"/>
        <v>0</v>
      </c>
      <c r="C2572" s="6">
        <f t="shared" si="404"/>
        <v>0</v>
      </c>
      <c r="D2572" s="6" t="str">
        <f t="shared" si="405"/>
        <v/>
      </c>
      <c r="E2572" s="35" t="str">
        <f t="shared" si="402"/>
        <v/>
      </c>
      <c r="F2572" s="31"/>
      <c r="G2572" s="29"/>
      <c r="H2572" s="78" t="str">
        <f t="shared" si="406"/>
        <v/>
      </c>
      <c r="I2572" s="25"/>
      <c r="J2572" s="25"/>
      <c r="K2572" s="26"/>
      <c r="L2572" s="26"/>
      <c r="M2572" s="37"/>
      <c r="N2572" s="27"/>
      <c r="O2572" s="30"/>
      <c r="P2572" s="39" t="str">
        <f t="shared" si="407"/>
        <v/>
      </c>
      <c r="Q2572" s="40" t="str">
        <f>IF(OR(T2572=0,RIGHT(T2572,1)=$W$1),"",COUNTIF($T$3:T2572,T2572))</f>
        <v/>
      </c>
      <c r="S2572" s="6">
        <f t="shared" si="408"/>
        <v>0</v>
      </c>
      <c r="T2572" s="36">
        <f t="shared" si="409"/>
        <v>0</v>
      </c>
      <c r="V2572" s="6">
        <f t="shared" si="410"/>
        <v>0</v>
      </c>
      <c r="Y2572" s="8">
        <f t="shared" si="411"/>
        <v>46023</v>
      </c>
    </row>
    <row r="2573" spans="2:25" ht="18.75" x14ac:dyDescent="0.3">
      <c r="B2573" s="6">
        <f t="shared" si="403"/>
        <v>0</v>
      </c>
      <c r="C2573" s="6">
        <f t="shared" si="404"/>
        <v>0</v>
      </c>
      <c r="D2573" s="6" t="str">
        <f t="shared" si="405"/>
        <v/>
      </c>
      <c r="E2573" s="35" t="str">
        <f t="shared" si="402"/>
        <v/>
      </c>
      <c r="F2573" s="31"/>
      <c r="G2573" s="29"/>
      <c r="H2573" s="78" t="str">
        <f t="shared" si="406"/>
        <v/>
      </c>
      <c r="I2573" s="25"/>
      <c r="J2573" s="25"/>
      <c r="K2573" s="26"/>
      <c r="L2573" s="26"/>
      <c r="M2573" s="37"/>
      <c r="N2573" s="27"/>
      <c r="O2573" s="30"/>
      <c r="P2573" s="39" t="str">
        <f t="shared" si="407"/>
        <v/>
      </c>
      <c r="Q2573" s="40" t="str">
        <f>IF(OR(T2573=0,RIGHT(T2573,1)=$W$1),"",COUNTIF($T$3:T2573,T2573))</f>
        <v/>
      </c>
      <c r="S2573" s="6">
        <f t="shared" si="408"/>
        <v>0</v>
      </c>
      <c r="T2573" s="36">
        <f t="shared" si="409"/>
        <v>0</v>
      </c>
      <c r="V2573" s="6">
        <f t="shared" si="410"/>
        <v>0</v>
      </c>
      <c r="Y2573" s="8">
        <f t="shared" si="411"/>
        <v>46023</v>
      </c>
    </row>
    <row r="2574" spans="2:25" ht="18.75" x14ac:dyDescent="0.3">
      <c r="B2574" s="6">
        <f t="shared" si="403"/>
        <v>0</v>
      </c>
      <c r="C2574" s="6">
        <f t="shared" si="404"/>
        <v>0</v>
      </c>
      <c r="D2574" s="6" t="str">
        <f t="shared" si="405"/>
        <v/>
      </c>
      <c r="E2574" s="35" t="str">
        <f t="shared" si="402"/>
        <v/>
      </c>
      <c r="F2574" s="31"/>
      <c r="G2574" s="29"/>
      <c r="H2574" s="78" t="str">
        <f t="shared" si="406"/>
        <v/>
      </c>
      <c r="I2574" s="25"/>
      <c r="J2574" s="25"/>
      <c r="K2574" s="26"/>
      <c r="L2574" s="26"/>
      <c r="M2574" s="37"/>
      <c r="N2574" s="27"/>
      <c r="O2574" s="30"/>
      <c r="P2574" s="39" t="str">
        <f t="shared" si="407"/>
        <v/>
      </c>
      <c r="Q2574" s="40" t="str">
        <f>IF(OR(T2574=0,RIGHT(T2574,1)=$W$1),"",COUNTIF($T$3:T2574,T2574))</f>
        <v/>
      </c>
      <c r="S2574" s="6">
        <f t="shared" si="408"/>
        <v>0</v>
      </c>
      <c r="T2574" s="36">
        <f t="shared" si="409"/>
        <v>0</v>
      </c>
      <c r="V2574" s="6">
        <f t="shared" si="410"/>
        <v>0</v>
      </c>
      <c r="Y2574" s="8">
        <f t="shared" si="411"/>
        <v>46023</v>
      </c>
    </row>
    <row r="2575" spans="2:25" ht="18.75" x14ac:dyDescent="0.3">
      <c r="B2575" s="6">
        <f t="shared" si="403"/>
        <v>0</v>
      </c>
      <c r="C2575" s="6">
        <f t="shared" si="404"/>
        <v>0</v>
      </c>
      <c r="D2575" s="6" t="str">
        <f t="shared" si="405"/>
        <v/>
      </c>
      <c r="E2575" s="35" t="str">
        <f t="shared" si="402"/>
        <v/>
      </c>
      <c r="F2575" s="31"/>
      <c r="G2575" s="29"/>
      <c r="H2575" s="78" t="str">
        <f t="shared" si="406"/>
        <v/>
      </c>
      <c r="I2575" s="25"/>
      <c r="J2575" s="25"/>
      <c r="K2575" s="26"/>
      <c r="L2575" s="26"/>
      <c r="M2575" s="37"/>
      <c r="N2575" s="27"/>
      <c r="O2575" s="30"/>
      <c r="P2575" s="39" t="str">
        <f t="shared" si="407"/>
        <v/>
      </c>
      <c r="Q2575" s="40" t="str">
        <f>IF(OR(T2575=0,RIGHT(T2575,1)=$W$1),"",COUNTIF($T$3:T2575,T2575))</f>
        <v/>
      </c>
      <c r="S2575" s="6">
        <f t="shared" si="408"/>
        <v>0</v>
      </c>
      <c r="T2575" s="36">
        <f t="shared" si="409"/>
        <v>0</v>
      </c>
      <c r="V2575" s="6">
        <f t="shared" si="410"/>
        <v>0</v>
      </c>
      <c r="Y2575" s="8">
        <f t="shared" si="411"/>
        <v>46023</v>
      </c>
    </row>
    <row r="2576" spans="2:25" ht="18.75" x14ac:dyDescent="0.3">
      <c r="B2576" s="6">
        <f t="shared" si="403"/>
        <v>0</v>
      </c>
      <c r="C2576" s="6">
        <f t="shared" si="404"/>
        <v>0</v>
      </c>
      <c r="D2576" s="6" t="str">
        <f t="shared" si="405"/>
        <v/>
      </c>
      <c r="E2576" s="35" t="str">
        <f t="shared" si="402"/>
        <v/>
      </c>
      <c r="F2576" s="31"/>
      <c r="G2576" s="29"/>
      <c r="H2576" s="78" t="str">
        <f t="shared" si="406"/>
        <v/>
      </c>
      <c r="I2576" s="25"/>
      <c r="J2576" s="25"/>
      <c r="K2576" s="26"/>
      <c r="L2576" s="26"/>
      <c r="M2576" s="37"/>
      <c r="N2576" s="27"/>
      <c r="O2576" s="30"/>
      <c r="P2576" s="39" t="str">
        <f t="shared" si="407"/>
        <v/>
      </c>
      <c r="Q2576" s="40" t="str">
        <f>IF(OR(T2576=0,RIGHT(T2576,1)=$W$1),"",COUNTIF($T$3:T2576,T2576))</f>
        <v/>
      </c>
      <c r="S2576" s="6">
        <f t="shared" si="408"/>
        <v>0</v>
      </c>
      <c r="T2576" s="36">
        <f t="shared" si="409"/>
        <v>0</v>
      </c>
      <c r="V2576" s="6">
        <f t="shared" si="410"/>
        <v>0</v>
      </c>
      <c r="Y2576" s="8">
        <f t="shared" si="411"/>
        <v>46023</v>
      </c>
    </row>
    <row r="2577" spans="2:25" ht="18.75" x14ac:dyDescent="0.3">
      <c r="B2577" s="6">
        <f t="shared" si="403"/>
        <v>0</v>
      </c>
      <c r="C2577" s="6">
        <f t="shared" si="404"/>
        <v>0</v>
      </c>
      <c r="D2577" s="6" t="str">
        <f t="shared" si="405"/>
        <v/>
      </c>
      <c r="E2577" s="35" t="str">
        <f t="shared" si="402"/>
        <v/>
      </c>
      <c r="F2577" s="31"/>
      <c r="G2577" s="29"/>
      <c r="H2577" s="78" t="str">
        <f t="shared" si="406"/>
        <v/>
      </c>
      <c r="I2577" s="25"/>
      <c r="J2577" s="25"/>
      <c r="K2577" s="26"/>
      <c r="L2577" s="26"/>
      <c r="M2577" s="37"/>
      <c r="N2577" s="27"/>
      <c r="O2577" s="30"/>
      <c r="P2577" s="39" t="str">
        <f t="shared" si="407"/>
        <v/>
      </c>
      <c r="Q2577" s="40" t="str">
        <f>IF(OR(T2577=0,RIGHT(T2577,1)=$W$1),"",COUNTIF($T$3:T2577,T2577))</f>
        <v/>
      </c>
      <c r="S2577" s="6">
        <f t="shared" si="408"/>
        <v>0</v>
      </c>
      <c r="T2577" s="36">
        <f t="shared" si="409"/>
        <v>0</v>
      </c>
      <c r="V2577" s="6">
        <f t="shared" si="410"/>
        <v>0</v>
      </c>
      <c r="Y2577" s="8">
        <f t="shared" si="411"/>
        <v>46023</v>
      </c>
    </row>
    <row r="2578" spans="2:25" ht="18.75" x14ac:dyDescent="0.3">
      <c r="B2578" s="6">
        <f t="shared" si="403"/>
        <v>0</v>
      </c>
      <c r="C2578" s="6">
        <f t="shared" si="404"/>
        <v>0</v>
      </c>
      <c r="D2578" s="6" t="str">
        <f t="shared" si="405"/>
        <v/>
      </c>
      <c r="E2578" s="35" t="str">
        <f t="shared" si="402"/>
        <v/>
      </c>
      <c r="F2578" s="31"/>
      <c r="G2578" s="29"/>
      <c r="H2578" s="78" t="str">
        <f t="shared" si="406"/>
        <v/>
      </c>
      <c r="I2578" s="25"/>
      <c r="J2578" s="25"/>
      <c r="K2578" s="26"/>
      <c r="L2578" s="26"/>
      <c r="M2578" s="37"/>
      <c r="N2578" s="27"/>
      <c r="O2578" s="30"/>
      <c r="P2578" s="39" t="str">
        <f t="shared" si="407"/>
        <v/>
      </c>
      <c r="Q2578" s="40" t="str">
        <f>IF(OR(T2578=0,RIGHT(T2578,1)=$W$1),"",COUNTIF($T$3:T2578,T2578))</f>
        <v/>
      </c>
      <c r="S2578" s="6">
        <f t="shared" si="408"/>
        <v>0</v>
      </c>
      <c r="T2578" s="36">
        <f t="shared" si="409"/>
        <v>0</v>
      </c>
      <c r="V2578" s="6">
        <f t="shared" si="410"/>
        <v>0</v>
      </c>
      <c r="Y2578" s="8">
        <f t="shared" si="411"/>
        <v>46023</v>
      </c>
    </row>
    <row r="2579" spans="2:25" ht="18.75" x14ac:dyDescent="0.3">
      <c r="B2579" s="6">
        <f t="shared" si="403"/>
        <v>0</v>
      </c>
      <c r="C2579" s="6">
        <f t="shared" si="404"/>
        <v>0</v>
      </c>
      <c r="D2579" s="6" t="str">
        <f t="shared" si="405"/>
        <v/>
      </c>
      <c r="E2579" s="35" t="str">
        <f t="shared" si="402"/>
        <v/>
      </c>
      <c r="F2579" s="31"/>
      <c r="G2579" s="29"/>
      <c r="H2579" s="78" t="str">
        <f t="shared" si="406"/>
        <v/>
      </c>
      <c r="I2579" s="25"/>
      <c r="J2579" s="25"/>
      <c r="K2579" s="26"/>
      <c r="L2579" s="26"/>
      <c r="M2579" s="37"/>
      <c r="N2579" s="27"/>
      <c r="O2579" s="30"/>
      <c r="P2579" s="39" t="str">
        <f t="shared" si="407"/>
        <v/>
      </c>
      <c r="Q2579" s="40" t="str">
        <f>IF(OR(T2579=0,RIGHT(T2579,1)=$W$1),"",COUNTIF($T$3:T2579,T2579))</f>
        <v/>
      </c>
      <c r="S2579" s="6">
        <f t="shared" si="408"/>
        <v>0</v>
      </c>
      <c r="T2579" s="36">
        <f t="shared" si="409"/>
        <v>0</v>
      </c>
      <c r="V2579" s="6">
        <f t="shared" si="410"/>
        <v>0</v>
      </c>
      <c r="Y2579" s="8">
        <f t="shared" si="411"/>
        <v>46023</v>
      </c>
    </row>
    <row r="2580" spans="2:25" ht="18.75" x14ac:dyDescent="0.3">
      <c r="B2580" s="6">
        <f t="shared" si="403"/>
        <v>0</v>
      </c>
      <c r="C2580" s="6">
        <f t="shared" si="404"/>
        <v>0</v>
      </c>
      <c r="D2580" s="6" t="str">
        <f t="shared" si="405"/>
        <v/>
      </c>
      <c r="E2580" s="35" t="str">
        <f t="shared" si="402"/>
        <v/>
      </c>
      <c r="F2580" s="31"/>
      <c r="G2580" s="29"/>
      <c r="H2580" s="78" t="str">
        <f t="shared" si="406"/>
        <v/>
      </c>
      <c r="I2580" s="25"/>
      <c r="J2580" s="25"/>
      <c r="K2580" s="26"/>
      <c r="L2580" s="26"/>
      <c r="M2580" s="37"/>
      <c r="N2580" s="27"/>
      <c r="O2580" s="30"/>
      <c r="P2580" s="39" t="str">
        <f t="shared" si="407"/>
        <v/>
      </c>
      <c r="Q2580" s="40" t="str">
        <f>IF(OR(T2580=0,RIGHT(T2580,1)=$W$1),"",COUNTIF($T$3:T2580,T2580))</f>
        <v/>
      </c>
      <c r="S2580" s="6">
        <f t="shared" si="408"/>
        <v>0</v>
      </c>
      <c r="T2580" s="36">
        <f t="shared" si="409"/>
        <v>0</v>
      </c>
      <c r="V2580" s="6">
        <f t="shared" si="410"/>
        <v>0</v>
      </c>
      <c r="Y2580" s="8">
        <f t="shared" si="411"/>
        <v>46023</v>
      </c>
    </row>
    <row r="2581" spans="2:25" ht="18.75" x14ac:dyDescent="0.3">
      <c r="B2581" s="6">
        <f t="shared" si="403"/>
        <v>0</v>
      </c>
      <c r="C2581" s="6">
        <f t="shared" si="404"/>
        <v>0</v>
      </c>
      <c r="D2581" s="6" t="str">
        <f t="shared" si="405"/>
        <v/>
      </c>
      <c r="E2581" s="35" t="str">
        <f t="shared" si="402"/>
        <v/>
      </c>
      <c r="F2581" s="31"/>
      <c r="G2581" s="29"/>
      <c r="H2581" s="78" t="str">
        <f t="shared" si="406"/>
        <v/>
      </c>
      <c r="I2581" s="25"/>
      <c r="J2581" s="25"/>
      <c r="K2581" s="26"/>
      <c r="L2581" s="26"/>
      <c r="M2581" s="37"/>
      <c r="N2581" s="27"/>
      <c r="O2581" s="30"/>
      <c r="P2581" s="39" t="str">
        <f t="shared" si="407"/>
        <v/>
      </c>
      <c r="Q2581" s="40" t="str">
        <f>IF(OR(T2581=0,RIGHT(T2581,1)=$W$1),"",COUNTIF($T$3:T2581,T2581))</f>
        <v/>
      </c>
      <c r="S2581" s="6">
        <f t="shared" si="408"/>
        <v>0</v>
      </c>
      <c r="T2581" s="36">
        <f t="shared" si="409"/>
        <v>0</v>
      </c>
      <c r="V2581" s="6">
        <f t="shared" si="410"/>
        <v>0</v>
      </c>
      <c r="Y2581" s="8">
        <f t="shared" si="411"/>
        <v>46023</v>
      </c>
    </row>
    <row r="2582" spans="2:25" ht="18.75" x14ac:dyDescent="0.3">
      <c r="B2582" s="6">
        <f t="shared" si="403"/>
        <v>0</v>
      </c>
      <c r="C2582" s="6">
        <f t="shared" si="404"/>
        <v>0</v>
      </c>
      <c r="D2582" s="6" t="str">
        <f t="shared" si="405"/>
        <v/>
      </c>
      <c r="E2582" s="35" t="str">
        <f t="shared" si="402"/>
        <v/>
      </c>
      <c r="F2582" s="31"/>
      <c r="G2582" s="29"/>
      <c r="H2582" s="78" t="str">
        <f t="shared" si="406"/>
        <v/>
      </c>
      <c r="I2582" s="25"/>
      <c r="J2582" s="25"/>
      <c r="K2582" s="26"/>
      <c r="L2582" s="26"/>
      <c r="M2582" s="37"/>
      <c r="N2582" s="27"/>
      <c r="O2582" s="30"/>
      <c r="P2582" s="39" t="str">
        <f t="shared" si="407"/>
        <v/>
      </c>
      <c r="Q2582" s="40" t="str">
        <f>IF(OR(T2582=0,RIGHT(T2582,1)=$W$1),"",COUNTIF($T$3:T2582,T2582))</f>
        <v/>
      </c>
      <c r="S2582" s="6">
        <f t="shared" si="408"/>
        <v>0</v>
      </c>
      <c r="T2582" s="36">
        <f t="shared" si="409"/>
        <v>0</v>
      </c>
      <c r="V2582" s="6">
        <f t="shared" si="410"/>
        <v>0</v>
      </c>
      <c r="Y2582" s="8">
        <f t="shared" si="411"/>
        <v>46023</v>
      </c>
    </row>
    <row r="2583" spans="2:25" ht="18.75" x14ac:dyDescent="0.3">
      <c r="B2583" s="6">
        <f t="shared" si="403"/>
        <v>0</v>
      </c>
      <c r="C2583" s="6">
        <f t="shared" si="404"/>
        <v>0</v>
      </c>
      <c r="D2583" s="6" t="str">
        <f t="shared" si="405"/>
        <v/>
      </c>
      <c r="E2583" s="35" t="str">
        <f t="shared" si="402"/>
        <v/>
      </c>
      <c r="F2583" s="31"/>
      <c r="G2583" s="29"/>
      <c r="H2583" s="78" t="str">
        <f t="shared" si="406"/>
        <v/>
      </c>
      <c r="I2583" s="25"/>
      <c r="J2583" s="25"/>
      <c r="K2583" s="26"/>
      <c r="L2583" s="26"/>
      <c r="M2583" s="37"/>
      <c r="N2583" s="27"/>
      <c r="O2583" s="30"/>
      <c r="P2583" s="39" t="str">
        <f t="shared" si="407"/>
        <v/>
      </c>
      <c r="Q2583" s="40" t="str">
        <f>IF(OR(T2583=0,RIGHT(T2583,1)=$W$1),"",COUNTIF($T$3:T2583,T2583))</f>
        <v/>
      </c>
      <c r="S2583" s="6">
        <f t="shared" si="408"/>
        <v>0</v>
      </c>
      <c r="T2583" s="36">
        <f t="shared" si="409"/>
        <v>0</v>
      </c>
      <c r="V2583" s="6">
        <f t="shared" si="410"/>
        <v>0</v>
      </c>
      <c r="Y2583" s="8">
        <f t="shared" si="411"/>
        <v>46023</v>
      </c>
    </row>
    <row r="2584" spans="2:25" ht="18.75" x14ac:dyDescent="0.3">
      <c r="B2584" s="6">
        <f t="shared" si="403"/>
        <v>0</v>
      </c>
      <c r="C2584" s="6">
        <f t="shared" si="404"/>
        <v>0</v>
      </c>
      <c r="D2584" s="6" t="str">
        <f t="shared" si="405"/>
        <v/>
      </c>
      <c r="E2584" s="35" t="str">
        <f t="shared" si="402"/>
        <v/>
      </c>
      <c r="F2584" s="31"/>
      <c r="G2584" s="29"/>
      <c r="H2584" s="78" t="str">
        <f t="shared" si="406"/>
        <v/>
      </c>
      <c r="I2584" s="25"/>
      <c r="J2584" s="25"/>
      <c r="K2584" s="26"/>
      <c r="L2584" s="26"/>
      <c r="M2584" s="37"/>
      <c r="N2584" s="27"/>
      <c r="O2584" s="30"/>
      <c r="P2584" s="39" t="str">
        <f t="shared" si="407"/>
        <v/>
      </c>
      <c r="Q2584" s="40" t="str">
        <f>IF(OR(T2584=0,RIGHT(T2584,1)=$W$1),"",COUNTIF($T$3:T2584,T2584))</f>
        <v/>
      </c>
      <c r="S2584" s="6">
        <f t="shared" si="408"/>
        <v>0</v>
      </c>
      <c r="T2584" s="36">
        <f t="shared" si="409"/>
        <v>0</v>
      </c>
      <c r="V2584" s="6">
        <f t="shared" si="410"/>
        <v>0</v>
      </c>
      <c r="Y2584" s="8">
        <f t="shared" si="411"/>
        <v>46023</v>
      </c>
    </row>
    <row r="2585" spans="2:25" ht="18.75" x14ac:dyDescent="0.3">
      <c r="B2585" s="6">
        <f t="shared" si="403"/>
        <v>0</v>
      </c>
      <c r="C2585" s="6">
        <f t="shared" si="404"/>
        <v>0</v>
      </c>
      <c r="D2585" s="6" t="str">
        <f t="shared" si="405"/>
        <v/>
      </c>
      <c r="E2585" s="35" t="str">
        <f t="shared" si="402"/>
        <v/>
      </c>
      <c r="F2585" s="31"/>
      <c r="G2585" s="29"/>
      <c r="H2585" s="78" t="str">
        <f t="shared" si="406"/>
        <v/>
      </c>
      <c r="I2585" s="25"/>
      <c r="J2585" s="25"/>
      <c r="K2585" s="26"/>
      <c r="L2585" s="26"/>
      <c r="M2585" s="37"/>
      <c r="N2585" s="27"/>
      <c r="O2585" s="30"/>
      <c r="P2585" s="39" t="str">
        <f t="shared" si="407"/>
        <v/>
      </c>
      <c r="Q2585" s="40" t="str">
        <f>IF(OR(T2585=0,RIGHT(T2585,1)=$W$1),"",COUNTIF($T$3:T2585,T2585))</f>
        <v/>
      </c>
      <c r="S2585" s="6">
        <f t="shared" si="408"/>
        <v>0</v>
      </c>
      <c r="T2585" s="36">
        <f t="shared" si="409"/>
        <v>0</v>
      </c>
      <c r="V2585" s="6">
        <f t="shared" si="410"/>
        <v>0</v>
      </c>
      <c r="Y2585" s="8">
        <f t="shared" si="411"/>
        <v>46023</v>
      </c>
    </row>
    <row r="2586" spans="2:25" ht="18.75" x14ac:dyDescent="0.3">
      <c r="B2586" s="6">
        <f t="shared" si="403"/>
        <v>0</v>
      </c>
      <c r="C2586" s="6">
        <f t="shared" si="404"/>
        <v>0</v>
      </c>
      <c r="D2586" s="6" t="str">
        <f t="shared" si="405"/>
        <v/>
      </c>
      <c r="E2586" s="35" t="str">
        <f t="shared" si="402"/>
        <v/>
      </c>
      <c r="F2586" s="31"/>
      <c r="G2586" s="29"/>
      <c r="H2586" s="78" t="str">
        <f t="shared" si="406"/>
        <v/>
      </c>
      <c r="I2586" s="25"/>
      <c r="J2586" s="25"/>
      <c r="K2586" s="26"/>
      <c r="L2586" s="26"/>
      <c r="M2586" s="37"/>
      <c r="N2586" s="27"/>
      <c r="O2586" s="30"/>
      <c r="P2586" s="39" t="str">
        <f t="shared" si="407"/>
        <v/>
      </c>
      <c r="Q2586" s="40" t="str">
        <f>IF(OR(T2586=0,RIGHT(T2586,1)=$W$1),"",COUNTIF($T$3:T2586,T2586))</f>
        <v/>
      </c>
      <c r="S2586" s="6">
        <f t="shared" si="408"/>
        <v>0</v>
      </c>
      <c r="T2586" s="36">
        <f t="shared" si="409"/>
        <v>0</v>
      </c>
      <c r="V2586" s="6">
        <f t="shared" si="410"/>
        <v>0</v>
      </c>
      <c r="Y2586" s="8">
        <f t="shared" si="411"/>
        <v>46023</v>
      </c>
    </row>
    <row r="2587" spans="2:25" ht="18.75" x14ac:dyDescent="0.3">
      <c r="B2587" s="6">
        <f t="shared" si="403"/>
        <v>0</v>
      </c>
      <c r="C2587" s="6">
        <f t="shared" si="404"/>
        <v>0</v>
      </c>
      <c r="D2587" s="6" t="str">
        <f t="shared" si="405"/>
        <v/>
      </c>
      <c r="E2587" s="35" t="str">
        <f t="shared" si="402"/>
        <v/>
      </c>
      <c r="F2587" s="31"/>
      <c r="G2587" s="29"/>
      <c r="H2587" s="78" t="str">
        <f t="shared" si="406"/>
        <v/>
      </c>
      <c r="I2587" s="25"/>
      <c r="J2587" s="25"/>
      <c r="K2587" s="26"/>
      <c r="L2587" s="26"/>
      <c r="M2587" s="37"/>
      <c r="N2587" s="27"/>
      <c r="O2587" s="30"/>
      <c r="P2587" s="39" t="str">
        <f t="shared" si="407"/>
        <v/>
      </c>
      <c r="Q2587" s="40" t="str">
        <f>IF(OR(T2587=0,RIGHT(T2587,1)=$W$1),"",COUNTIF($T$3:T2587,T2587))</f>
        <v/>
      </c>
      <c r="S2587" s="6">
        <f t="shared" si="408"/>
        <v>0</v>
      </c>
      <c r="T2587" s="36">
        <f t="shared" si="409"/>
        <v>0</v>
      </c>
      <c r="V2587" s="6">
        <f t="shared" si="410"/>
        <v>0</v>
      </c>
      <c r="Y2587" s="8">
        <f t="shared" si="411"/>
        <v>46023</v>
      </c>
    </row>
    <row r="2588" spans="2:25" ht="18.75" x14ac:dyDescent="0.3">
      <c r="B2588" s="6">
        <f t="shared" si="403"/>
        <v>0</v>
      </c>
      <c r="C2588" s="6">
        <f t="shared" si="404"/>
        <v>0</v>
      </c>
      <c r="D2588" s="6" t="str">
        <f t="shared" si="405"/>
        <v/>
      </c>
      <c r="E2588" s="35" t="str">
        <f t="shared" si="402"/>
        <v/>
      </c>
      <c r="F2588" s="31"/>
      <c r="G2588" s="29"/>
      <c r="H2588" s="78" t="str">
        <f t="shared" si="406"/>
        <v/>
      </c>
      <c r="I2588" s="25"/>
      <c r="J2588" s="25"/>
      <c r="K2588" s="26"/>
      <c r="L2588" s="26"/>
      <c r="M2588" s="37"/>
      <c r="N2588" s="27"/>
      <c r="O2588" s="30"/>
      <c r="P2588" s="39" t="str">
        <f t="shared" si="407"/>
        <v/>
      </c>
      <c r="Q2588" s="40" t="str">
        <f>IF(OR(T2588=0,RIGHT(T2588,1)=$W$1),"",COUNTIF($T$3:T2588,T2588))</f>
        <v/>
      </c>
      <c r="S2588" s="6">
        <f t="shared" si="408"/>
        <v>0</v>
      </c>
      <c r="T2588" s="36">
        <f t="shared" si="409"/>
        <v>0</v>
      </c>
      <c r="V2588" s="6">
        <f t="shared" si="410"/>
        <v>0</v>
      </c>
      <c r="Y2588" s="8">
        <f t="shared" si="411"/>
        <v>46023</v>
      </c>
    </row>
    <row r="2589" spans="2:25" ht="18.75" x14ac:dyDescent="0.3">
      <c r="B2589" s="6">
        <f t="shared" si="403"/>
        <v>0</v>
      </c>
      <c r="C2589" s="6">
        <f t="shared" si="404"/>
        <v>0</v>
      </c>
      <c r="D2589" s="6" t="str">
        <f t="shared" si="405"/>
        <v/>
      </c>
      <c r="E2589" s="35" t="str">
        <f t="shared" si="402"/>
        <v/>
      </c>
      <c r="F2589" s="31"/>
      <c r="G2589" s="29"/>
      <c r="H2589" s="78" t="str">
        <f t="shared" si="406"/>
        <v/>
      </c>
      <c r="I2589" s="25"/>
      <c r="J2589" s="25"/>
      <c r="K2589" s="26"/>
      <c r="L2589" s="26"/>
      <c r="M2589" s="37"/>
      <c r="N2589" s="27"/>
      <c r="O2589" s="30"/>
      <c r="P2589" s="39" t="str">
        <f t="shared" si="407"/>
        <v/>
      </c>
      <c r="Q2589" s="40" t="str">
        <f>IF(OR(T2589=0,RIGHT(T2589,1)=$W$1),"",COUNTIF($T$3:T2589,T2589))</f>
        <v/>
      </c>
      <c r="S2589" s="6">
        <f t="shared" si="408"/>
        <v>0</v>
      </c>
      <c r="T2589" s="36">
        <f t="shared" si="409"/>
        <v>0</v>
      </c>
      <c r="V2589" s="6">
        <f t="shared" si="410"/>
        <v>0</v>
      </c>
      <c r="Y2589" s="8">
        <f t="shared" si="411"/>
        <v>46023</v>
      </c>
    </row>
    <row r="2590" spans="2:25" ht="18.75" x14ac:dyDescent="0.3">
      <c r="B2590" s="6">
        <f t="shared" si="403"/>
        <v>0</v>
      </c>
      <c r="C2590" s="6">
        <f t="shared" si="404"/>
        <v>0</v>
      </c>
      <c r="D2590" s="6" t="str">
        <f t="shared" si="405"/>
        <v/>
      </c>
      <c r="E2590" s="35" t="str">
        <f t="shared" si="402"/>
        <v/>
      </c>
      <c r="F2590" s="31"/>
      <c r="G2590" s="29"/>
      <c r="H2590" s="78" t="str">
        <f t="shared" si="406"/>
        <v/>
      </c>
      <c r="I2590" s="25"/>
      <c r="J2590" s="25"/>
      <c r="K2590" s="26"/>
      <c r="L2590" s="26"/>
      <c r="M2590" s="37"/>
      <c r="N2590" s="27"/>
      <c r="O2590" s="30"/>
      <c r="P2590" s="39" t="str">
        <f t="shared" si="407"/>
        <v/>
      </c>
      <c r="Q2590" s="40" t="str">
        <f>IF(OR(T2590=0,RIGHT(T2590,1)=$W$1),"",COUNTIF($T$3:T2590,T2590))</f>
        <v/>
      </c>
      <c r="S2590" s="6">
        <f t="shared" si="408"/>
        <v>0</v>
      </c>
      <c r="T2590" s="36">
        <f t="shared" si="409"/>
        <v>0</v>
      </c>
      <c r="V2590" s="6">
        <f t="shared" si="410"/>
        <v>0</v>
      </c>
      <c r="Y2590" s="8">
        <f t="shared" si="411"/>
        <v>46023</v>
      </c>
    </row>
    <row r="2591" spans="2:25" ht="18.75" x14ac:dyDescent="0.3">
      <c r="B2591" s="6">
        <f t="shared" si="403"/>
        <v>0</v>
      </c>
      <c r="C2591" s="6">
        <f t="shared" si="404"/>
        <v>0</v>
      </c>
      <c r="D2591" s="6" t="str">
        <f t="shared" si="405"/>
        <v/>
      </c>
      <c r="E2591" s="35" t="str">
        <f t="shared" si="402"/>
        <v/>
      </c>
      <c r="F2591" s="31"/>
      <c r="G2591" s="29"/>
      <c r="H2591" s="78" t="str">
        <f t="shared" si="406"/>
        <v/>
      </c>
      <c r="I2591" s="25"/>
      <c r="J2591" s="25"/>
      <c r="K2591" s="26"/>
      <c r="L2591" s="26"/>
      <c r="M2591" s="37"/>
      <c r="N2591" s="27"/>
      <c r="O2591" s="30"/>
      <c r="P2591" s="39" t="str">
        <f t="shared" si="407"/>
        <v/>
      </c>
      <c r="Q2591" s="40" t="str">
        <f>IF(OR(T2591=0,RIGHT(T2591,1)=$W$1),"",COUNTIF($T$3:T2591,T2591))</f>
        <v/>
      </c>
      <c r="S2591" s="6">
        <f t="shared" si="408"/>
        <v>0</v>
      </c>
      <c r="T2591" s="36">
        <f t="shared" si="409"/>
        <v>0</v>
      </c>
      <c r="V2591" s="6">
        <f t="shared" si="410"/>
        <v>0</v>
      </c>
      <c r="Y2591" s="8">
        <f t="shared" si="411"/>
        <v>46023</v>
      </c>
    </row>
    <row r="2592" spans="2:25" ht="18.75" x14ac:dyDescent="0.3">
      <c r="B2592" s="6">
        <f t="shared" si="403"/>
        <v>0</v>
      </c>
      <c r="C2592" s="6">
        <f t="shared" si="404"/>
        <v>0</v>
      </c>
      <c r="D2592" s="6" t="str">
        <f t="shared" si="405"/>
        <v/>
      </c>
      <c r="E2592" s="35" t="str">
        <f t="shared" si="402"/>
        <v/>
      </c>
      <c r="F2592" s="31"/>
      <c r="G2592" s="29"/>
      <c r="H2592" s="78" t="str">
        <f t="shared" si="406"/>
        <v/>
      </c>
      <c r="I2592" s="25"/>
      <c r="J2592" s="25"/>
      <c r="K2592" s="26"/>
      <c r="L2592" s="26"/>
      <c r="M2592" s="37"/>
      <c r="N2592" s="27"/>
      <c r="O2592" s="30"/>
      <c r="P2592" s="39" t="str">
        <f t="shared" si="407"/>
        <v/>
      </c>
      <c r="Q2592" s="40" t="str">
        <f>IF(OR(T2592=0,RIGHT(T2592,1)=$W$1),"",COUNTIF($T$3:T2592,T2592))</f>
        <v/>
      </c>
      <c r="S2592" s="6">
        <f t="shared" si="408"/>
        <v>0</v>
      </c>
      <c r="T2592" s="36">
        <f t="shared" si="409"/>
        <v>0</v>
      </c>
      <c r="V2592" s="6">
        <f t="shared" si="410"/>
        <v>0</v>
      </c>
      <c r="Y2592" s="8">
        <f t="shared" si="411"/>
        <v>46023</v>
      </c>
    </row>
    <row r="2593" spans="2:25" ht="18.75" x14ac:dyDescent="0.3">
      <c r="B2593" s="6">
        <f t="shared" si="403"/>
        <v>0</v>
      </c>
      <c r="C2593" s="6">
        <f t="shared" si="404"/>
        <v>0</v>
      </c>
      <c r="D2593" s="6" t="str">
        <f t="shared" si="405"/>
        <v/>
      </c>
      <c r="E2593" s="35" t="str">
        <f t="shared" si="402"/>
        <v/>
      </c>
      <c r="F2593" s="31"/>
      <c r="G2593" s="29"/>
      <c r="H2593" s="78" t="str">
        <f t="shared" si="406"/>
        <v/>
      </c>
      <c r="I2593" s="25"/>
      <c r="J2593" s="25"/>
      <c r="K2593" s="26"/>
      <c r="L2593" s="26"/>
      <c r="M2593" s="37"/>
      <c r="N2593" s="27"/>
      <c r="O2593" s="30"/>
      <c r="P2593" s="39" t="str">
        <f t="shared" si="407"/>
        <v/>
      </c>
      <c r="Q2593" s="40" t="str">
        <f>IF(OR(T2593=0,RIGHT(T2593,1)=$W$1),"",COUNTIF($T$3:T2593,T2593))</f>
        <v/>
      </c>
      <c r="S2593" s="6">
        <f t="shared" si="408"/>
        <v>0</v>
      </c>
      <c r="T2593" s="36">
        <f t="shared" si="409"/>
        <v>0</v>
      </c>
      <c r="V2593" s="6">
        <f t="shared" si="410"/>
        <v>0</v>
      </c>
      <c r="Y2593" s="8">
        <f t="shared" si="411"/>
        <v>46023</v>
      </c>
    </row>
    <row r="2594" spans="2:25" ht="18.75" x14ac:dyDescent="0.3">
      <c r="B2594" s="6">
        <f t="shared" si="403"/>
        <v>0</v>
      </c>
      <c r="C2594" s="6">
        <f t="shared" si="404"/>
        <v>0</v>
      </c>
      <c r="D2594" s="6" t="str">
        <f t="shared" si="405"/>
        <v/>
      </c>
      <c r="E2594" s="35" t="str">
        <f t="shared" si="402"/>
        <v/>
      </c>
      <c r="F2594" s="31"/>
      <c r="G2594" s="29"/>
      <c r="H2594" s="78" t="str">
        <f t="shared" si="406"/>
        <v/>
      </c>
      <c r="I2594" s="25"/>
      <c r="J2594" s="25"/>
      <c r="K2594" s="26"/>
      <c r="L2594" s="26"/>
      <c r="M2594" s="37"/>
      <c r="N2594" s="27"/>
      <c r="O2594" s="30"/>
      <c r="P2594" s="39" t="str">
        <f t="shared" si="407"/>
        <v/>
      </c>
      <c r="Q2594" s="40" t="str">
        <f>IF(OR(T2594=0,RIGHT(T2594,1)=$W$1),"",COUNTIF($T$3:T2594,T2594))</f>
        <v/>
      </c>
      <c r="S2594" s="6">
        <f t="shared" si="408"/>
        <v>0</v>
      </c>
      <c r="T2594" s="36">
        <f t="shared" si="409"/>
        <v>0</v>
      </c>
      <c r="V2594" s="6">
        <f t="shared" si="410"/>
        <v>0</v>
      </c>
      <c r="Y2594" s="8">
        <f t="shared" si="411"/>
        <v>46023</v>
      </c>
    </row>
    <row r="2595" spans="2:25" ht="18.75" x14ac:dyDescent="0.3">
      <c r="B2595" s="6">
        <f t="shared" si="403"/>
        <v>0</v>
      </c>
      <c r="C2595" s="6">
        <f t="shared" si="404"/>
        <v>0</v>
      </c>
      <c r="D2595" s="6" t="str">
        <f t="shared" si="405"/>
        <v/>
      </c>
      <c r="E2595" s="35" t="str">
        <f t="shared" si="402"/>
        <v/>
      </c>
      <c r="F2595" s="31"/>
      <c r="G2595" s="29"/>
      <c r="H2595" s="78" t="str">
        <f t="shared" si="406"/>
        <v/>
      </c>
      <c r="I2595" s="25"/>
      <c r="J2595" s="25"/>
      <c r="K2595" s="26"/>
      <c r="L2595" s="26"/>
      <c r="M2595" s="37"/>
      <c r="N2595" s="27"/>
      <c r="O2595" s="30"/>
      <c r="P2595" s="39" t="str">
        <f t="shared" si="407"/>
        <v/>
      </c>
      <c r="Q2595" s="40" t="str">
        <f>IF(OR(T2595=0,RIGHT(T2595,1)=$W$1),"",COUNTIF($T$3:T2595,T2595))</f>
        <v/>
      </c>
      <c r="S2595" s="6">
        <f t="shared" si="408"/>
        <v>0</v>
      </c>
      <c r="T2595" s="36">
        <f t="shared" si="409"/>
        <v>0</v>
      </c>
      <c r="V2595" s="6">
        <f t="shared" si="410"/>
        <v>0</v>
      </c>
      <c r="Y2595" s="8">
        <f t="shared" si="411"/>
        <v>46023</v>
      </c>
    </row>
    <row r="2596" spans="2:25" ht="18.75" x14ac:dyDescent="0.3">
      <c r="B2596" s="6">
        <f t="shared" si="403"/>
        <v>0</v>
      </c>
      <c r="C2596" s="6">
        <f t="shared" si="404"/>
        <v>0</v>
      </c>
      <c r="D2596" s="6" t="str">
        <f t="shared" si="405"/>
        <v/>
      </c>
      <c r="E2596" s="35" t="str">
        <f t="shared" si="402"/>
        <v/>
      </c>
      <c r="F2596" s="31"/>
      <c r="G2596" s="29"/>
      <c r="H2596" s="78" t="str">
        <f t="shared" si="406"/>
        <v/>
      </c>
      <c r="I2596" s="25"/>
      <c r="J2596" s="25"/>
      <c r="K2596" s="26"/>
      <c r="L2596" s="26"/>
      <c r="M2596" s="37"/>
      <c r="N2596" s="27"/>
      <c r="O2596" s="30"/>
      <c r="P2596" s="39" t="str">
        <f t="shared" si="407"/>
        <v/>
      </c>
      <c r="Q2596" s="40" t="str">
        <f>IF(OR(T2596=0,RIGHT(T2596,1)=$W$1),"",COUNTIF($T$3:T2596,T2596))</f>
        <v/>
      </c>
      <c r="S2596" s="6">
        <f t="shared" si="408"/>
        <v>0</v>
      </c>
      <c r="T2596" s="36">
        <f t="shared" si="409"/>
        <v>0</v>
      </c>
      <c r="V2596" s="6">
        <f t="shared" si="410"/>
        <v>0</v>
      </c>
      <c r="Y2596" s="8">
        <f t="shared" si="411"/>
        <v>46023</v>
      </c>
    </row>
    <row r="2597" spans="2:25" ht="18.75" x14ac:dyDescent="0.3">
      <c r="B2597" s="6">
        <f t="shared" si="403"/>
        <v>0</v>
      </c>
      <c r="C2597" s="6">
        <f t="shared" si="404"/>
        <v>0</v>
      </c>
      <c r="D2597" s="6" t="str">
        <f t="shared" si="405"/>
        <v/>
      </c>
      <c r="E2597" s="35" t="str">
        <f t="shared" si="402"/>
        <v/>
      </c>
      <c r="F2597" s="31"/>
      <c r="G2597" s="29"/>
      <c r="H2597" s="78" t="str">
        <f t="shared" si="406"/>
        <v/>
      </c>
      <c r="I2597" s="25"/>
      <c r="J2597" s="25"/>
      <c r="K2597" s="26"/>
      <c r="L2597" s="26"/>
      <c r="M2597" s="37"/>
      <c r="N2597" s="27"/>
      <c r="O2597" s="30"/>
      <c r="P2597" s="39" t="str">
        <f t="shared" si="407"/>
        <v/>
      </c>
      <c r="Q2597" s="40" t="str">
        <f>IF(OR(T2597=0,RIGHT(T2597,1)=$W$1),"",COUNTIF($T$3:T2597,T2597))</f>
        <v/>
      </c>
      <c r="S2597" s="6">
        <f t="shared" si="408"/>
        <v>0</v>
      </c>
      <c r="T2597" s="36">
        <f t="shared" si="409"/>
        <v>0</v>
      </c>
      <c r="V2597" s="6">
        <f t="shared" si="410"/>
        <v>0</v>
      </c>
      <c r="Y2597" s="8">
        <f t="shared" si="411"/>
        <v>46023</v>
      </c>
    </row>
    <row r="2598" spans="2:25" ht="18.75" x14ac:dyDescent="0.3">
      <c r="B2598" s="6">
        <f t="shared" si="403"/>
        <v>0</v>
      </c>
      <c r="C2598" s="6">
        <f t="shared" si="404"/>
        <v>0</v>
      </c>
      <c r="D2598" s="6" t="str">
        <f t="shared" si="405"/>
        <v/>
      </c>
      <c r="E2598" s="35" t="str">
        <f t="shared" si="402"/>
        <v/>
      </c>
      <c r="F2598" s="31"/>
      <c r="G2598" s="29"/>
      <c r="H2598" s="78" t="str">
        <f t="shared" si="406"/>
        <v/>
      </c>
      <c r="I2598" s="25"/>
      <c r="J2598" s="25"/>
      <c r="K2598" s="26"/>
      <c r="L2598" s="26"/>
      <c r="M2598" s="37"/>
      <c r="N2598" s="27"/>
      <c r="O2598" s="30"/>
      <c r="P2598" s="39" t="str">
        <f t="shared" si="407"/>
        <v/>
      </c>
      <c r="Q2598" s="40" t="str">
        <f>IF(OR(T2598=0,RIGHT(T2598,1)=$W$1),"",COUNTIF($T$3:T2598,T2598))</f>
        <v/>
      </c>
      <c r="S2598" s="6">
        <f t="shared" si="408"/>
        <v>0</v>
      </c>
      <c r="T2598" s="36">
        <f t="shared" si="409"/>
        <v>0</v>
      </c>
      <c r="V2598" s="6">
        <f t="shared" si="410"/>
        <v>0</v>
      </c>
      <c r="Y2598" s="8">
        <f t="shared" si="411"/>
        <v>46023</v>
      </c>
    </row>
    <row r="2599" spans="2:25" ht="18.75" x14ac:dyDescent="0.3">
      <c r="B2599" s="6">
        <f t="shared" si="403"/>
        <v>0</v>
      </c>
      <c r="C2599" s="6">
        <f t="shared" si="404"/>
        <v>0</v>
      </c>
      <c r="D2599" s="6" t="str">
        <f t="shared" si="405"/>
        <v/>
      </c>
      <c r="E2599" s="35" t="str">
        <f t="shared" si="402"/>
        <v/>
      </c>
      <c r="F2599" s="31"/>
      <c r="G2599" s="29"/>
      <c r="H2599" s="78" t="str">
        <f t="shared" si="406"/>
        <v/>
      </c>
      <c r="I2599" s="25"/>
      <c r="J2599" s="25"/>
      <c r="K2599" s="26"/>
      <c r="L2599" s="26"/>
      <c r="M2599" s="37"/>
      <c r="N2599" s="27"/>
      <c r="O2599" s="30"/>
      <c r="P2599" s="39" t="str">
        <f t="shared" si="407"/>
        <v/>
      </c>
      <c r="Q2599" s="40" t="str">
        <f>IF(OR(T2599=0,RIGHT(T2599,1)=$W$1),"",COUNTIF($T$3:T2599,T2599))</f>
        <v/>
      </c>
      <c r="S2599" s="6">
        <f t="shared" si="408"/>
        <v>0</v>
      </c>
      <c r="T2599" s="36">
        <f t="shared" si="409"/>
        <v>0</v>
      </c>
      <c r="V2599" s="6">
        <f t="shared" si="410"/>
        <v>0</v>
      </c>
      <c r="Y2599" s="8">
        <f t="shared" si="411"/>
        <v>46023</v>
      </c>
    </row>
    <row r="2600" spans="2:25" ht="18.75" x14ac:dyDescent="0.3">
      <c r="B2600" s="6">
        <f t="shared" si="403"/>
        <v>0</v>
      </c>
      <c r="C2600" s="6">
        <f t="shared" si="404"/>
        <v>0</v>
      </c>
      <c r="D2600" s="6" t="str">
        <f t="shared" si="405"/>
        <v/>
      </c>
      <c r="E2600" s="35" t="str">
        <f t="shared" si="402"/>
        <v/>
      </c>
      <c r="F2600" s="31"/>
      <c r="G2600" s="29"/>
      <c r="H2600" s="78" t="str">
        <f t="shared" si="406"/>
        <v/>
      </c>
      <c r="I2600" s="25"/>
      <c r="J2600" s="25"/>
      <c r="K2600" s="26"/>
      <c r="L2600" s="26"/>
      <c r="M2600" s="37"/>
      <c r="N2600" s="27"/>
      <c r="O2600" s="30"/>
      <c r="P2600" s="39" t="str">
        <f t="shared" si="407"/>
        <v/>
      </c>
      <c r="Q2600" s="40" t="str">
        <f>IF(OR(T2600=0,RIGHT(T2600,1)=$W$1),"",COUNTIF($T$3:T2600,T2600))</f>
        <v/>
      </c>
      <c r="S2600" s="6">
        <f t="shared" si="408"/>
        <v>0</v>
      </c>
      <c r="T2600" s="36">
        <f t="shared" si="409"/>
        <v>0</v>
      </c>
      <c r="V2600" s="6">
        <f t="shared" si="410"/>
        <v>0</v>
      </c>
      <c r="Y2600" s="8">
        <f t="shared" si="411"/>
        <v>46023</v>
      </c>
    </row>
    <row r="2601" spans="2:25" ht="18.75" x14ac:dyDescent="0.3">
      <c r="B2601" s="6">
        <f t="shared" si="403"/>
        <v>0</v>
      </c>
      <c r="C2601" s="6">
        <f t="shared" si="404"/>
        <v>0</v>
      </c>
      <c r="D2601" s="6" t="str">
        <f t="shared" si="405"/>
        <v/>
      </c>
      <c r="E2601" s="35" t="str">
        <f t="shared" si="402"/>
        <v/>
      </c>
      <c r="F2601" s="31"/>
      <c r="G2601" s="29"/>
      <c r="H2601" s="78" t="str">
        <f t="shared" si="406"/>
        <v/>
      </c>
      <c r="I2601" s="25"/>
      <c r="J2601" s="25"/>
      <c r="K2601" s="26"/>
      <c r="L2601" s="26"/>
      <c r="M2601" s="37"/>
      <c r="N2601" s="27"/>
      <c r="O2601" s="30"/>
      <c r="P2601" s="39" t="str">
        <f t="shared" si="407"/>
        <v/>
      </c>
      <c r="Q2601" s="40" t="str">
        <f>IF(OR(T2601=0,RIGHT(T2601,1)=$W$1),"",COUNTIF($T$3:T2601,T2601))</f>
        <v/>
      </c>
      <c r="S2601" s="6">
        <f t="shared" si="408"/>
        <v>0</v>
      </c>
      <c r="T2601" s="36">
        <f t="shared" si="409"/>
        <v>0</v>
      </c>
      <c r="V2601" s="6">
        <f t="shared" si="410"/>
        <v>0</v>
      </c>
      <c r="Y2601" s="8">
        <f t="shared" si="411"/>
        <v>46023</v>
      </c>
    </row>
    <row r="2602" spans="2:25" ht="18.75" x14ac:dyDescent="0.3">
      <c r="B2602" s="6">
        <f t="shared" si="403"/>
        <v>0</v>
      </c>
      <c r="C2602" s="6">
        <f t="shared" si="404"/>
        <v>0</v>
      </c>
      <c r="D2602" s="6" t="str">
        <f t="shared" si="405"/>
        <v/>
      </c>
      <c r="E2602" s="35" t="str">
        <f t="shared" si="402"/>
        <v/>
      </c>
      <c r="F2602" s="31"/>
      <c r="G2602" s="29"/>
      <c r="H2602" s="78" t="str">
        <f t="shared" si="406"/>
        <v/>
      </c>
      <c r="I2602" s="25"/>
      <c r="J2602" s="25"/>
      <c r="K2602" s="26"/>
      <c r="L2602" s="26"/>
      <c r="M2602" s="37"/>
      <c r="N2602" s="27"/>
      <c r="O2602" s="30"/>
      <c r="P2602" s="39" t="str">
        <f t="shared" si="407"/>
        <v/>
      </c>
      <c r="Q2602" s="40" t="str">
        <f>IF(OR(T2602=0,RIGHT(T2602,1)=$W$1),"",COUNTIF($T$3:T2602,T2602))</f>
        <v/>
      </c>
      <c r="S2602" s="6">
        <f t="shared" si="408"/>
        <v>0</v>
      </c>
      <c r="T2602" s="36">
        <f t="shared" si="409"/>
        <v>0</v>
      </c>
      <c r="V2602" s="6">
        <f t="shared" si="410"/>
        <v>0</v>
      </c>
      <c r="Y2602" s="8">
        <f t="shared" si="411"/>
        <v>46023</v>
      </c>
    </row>
    <row r="2603" spans="2:25" ht="18.75" x14ac:dyDescent="0.3">
      <c r="B2603" s="6">
        <f t="shared" si="403"/>
        <v>0</v>
      </c>
      <c r="C2603" s="6">
        <f t="shared" si="404"/>
        <v>0</v>
      </c>
      <c r="D2603" s="6" t="str">
        <f t="shared" si="405"/>
        <v/>
      </c>
      <c r="E2603" s="35" t="str">
        <f t="shared" si="402"/>
        <v/>
      </c>
      <c r="F2603" s="31"/>
      <c r="G2603" s="29"/>
      <c r="H2603" s="78" t="str">
        <f t="shared" si="406"/>
        <v/>
      </c>
      <c r="I2603" s="25"/>
      <c r="J2603" s="25"/>
      <c r="K2603" s="26"/>
      <c r="L2603" s="26"/>
      <c r="M2603" s="37"/>
      <c r="N2603" s="27"/>
      <c r="O2603" s="30"/>
      <c r="P2603" s="39" t="str">
        <f t="shared" si="407"/>
        <v/>
      </c>
      <c r="Q2603" s="40" t="str">
        <f>IF(OR(T2603=0,RIGHT(T2603,1)=$W$1),"",COUNTIF($T$3:T2603,T2603))</f>
        <v/>
      </c>
      <c r="S2603" s="6">
        <f t="shared" si="408"/>
        <v>0</v>
      </c>
      <c r="T2603" s="36">
        <f t="shared" si="409"/>
        <v>0</v>
      </c>
      <c r="V2603" s="6">
        <f t="shared" si="410"/>
        <v>0</v>
      </c>
      <c r="Y2603" s="8">
        <f t="shared" si="411"/>
        <v>46023</v>
      </c>
    </row>
    <row r="2604" spans="2:25" ht="18.75" x14ac:dyDescent="0.3">
      <c r="B2604" s="6">
        <f t="shared" si="403"/>
        <v>0</v>
      </c>
      <c r="C2604" s="6">
        <f t="shared" si="404"/>
        <v>0</v>
      </c>
      <c r="D2604" s="6" t="str">
        <f t="shared" si="405"/>
        <v/>
      </c>
      <c r="E2604" s="35" t="str">
        <f t="shared" si="402"/>
        <v/>
      </c>
      <c r="F2604" s="31"/>
      <c r="G2604" s="29"/>
      <c r="H2604" s="78" t="str">
        <f t="shared" si="406"/>
        <v/>
      </c>
      <c r="I2604" s="25"/>
      <c r="J2604" s="25"/>
      <c r="K2604" s="26"/>
      <c r="L2604" s="26"/>
      <c r="M2604" s="37"/>
      <c r="N2604" s="27"/>
      <c r="O2604" s="30"/>
      <c r="P2604" s="39" t="str">
        <f t="shared" si="407"/>
        <v/>
      </c>
      <c r="Q2604" s="40" t="str">
        <f>IF(OR(T2604=0,RIGHT(T2604,1)=$W$1),"",COUNTIF($T$3:T2604,T2604))</f>
        <v/>
      </c>
      <c r="S2604" s="6">
        <f t="shared" si="408"/>
        <v>0</v>
      </c>
      <c r="T2604" s="36">
        <f t="shared" si="409"/>
        <v>0</v>
      </c>
      <c r="V2604" s="6">
        <f t="shared" si="410"/>
        <v>0</v>
      </c>
      <c r="Y2604" s="8">
        <f t="shared" si="411"/>
        <v>46023</v>
      </c>
    </row>
    <row r="2605" spans="2:25" ht="18.75" x14ac:dyDescent="0.3">
      <c r="B2605" s="6">
        <f t="shared" si="403"/>
        <v>0</v>
      </c>
      <c r="C2605" s="6">
        <f t="shared" si="404"/>
        <v>0</v>
      </c>
      <c r="D2605" s="6" t="str">
        <f t="shared" si="405"/>
        <v/>
      </c>
      <c r="E2605" s="35" t="str">
        <f t="shared" si="402"/>
        <v/>
      </c>
      <c r="F2605" s="31"/>
      <c r="G2605" s="29"/>
      <c r="H2605" s="78" t="str">
        <f t="shared" si="406"/>
        <v/>
      </c>
      <c r="I2605" s="25"/>
      <c r="J2605" s="25"/>
      <c r="K2605" s="26"/>
      <c r="L2605" s="26"/>
      <c r="M2605" s="37"/>
      <c r="N2605" s="27"/>
      <c r="O2605" s="30"/>
      <c r="P2605" s="39" t="str">
        <f t="shared" si="407"/>
        <v/>
      </c>
      <c r="Q2605" s="40" t="str">
        <f>IF(OR(T2605=0,RIGHT(T2605,1)=$W$1),"",COUNTIF($T$3:T2605,T2605))</f>
        <v/>
      </c>
      <c r="S2605" s="6">
        <f t="shared" si="408"/>
        <v>0</v>
      </c>
      <c r="T2605" s="36">
        <f t="shared" si="409"/>
        <v>0</v>
      </c>
      <c r="V2605" s="6">
        <f t="shared" si="410"/>
        <v>0</v>
      </c>
      <c r="Y2605" s="8">
        <f t="shared" si="411"/>
        <v>46023</v>
      </c>
    </row>
    <row r="2606" spans="2:25" ht="18.75" x14ac:dyDescent="0.3">
      <c r="B2606" s="6">
        <f t="shared" si="403"/>
        <v>0</v>
      </c>
      <c r="C2606" s="6">
        <f t="shared" si="404"/>
        <v>0</v>
      </c>
      <c r="D2606" s="6" t="str">
        <f t="shared" si="405"/>
        <v/>
      </c>
      <c r="E2606" s="35" t="str">
        <f t="shared" si="402"/>
        <v/>
      </c>
      <c r="F2606" s="31"/>
      <c r="G2606" s="29"/>
      <c r="H2606" s="78" t="str">
        <f t="shared" si="406"/>
        <v/>
      </c>
      <c r="I2606" s="25"/>
      <c r="J2606" s="25"/>
      <c r="K2606" s="26"/>
      <c r="L2606" s="26"/>
      <c r="M2606" s="37"/>
      <c r="N2606" s="27"/>
      <c r="O2606" s="30"/>
      <c r="P2606" s="39" t="str">
        <f t="shared" si="407"/>
        <v/>
      </c>
      <c r="Q2606" s="40" t="str">
        <f>IF(OR(T2606=0,RIGHT(T2606,1)=$W$1),"",COUNTIF($T$3:T2606,T2606))</f>
        <v/>
      </c>
      <c r="S2606" s="6">
        <f t="shared" si="408"/>
        <v>0</v>
      </c>
      <c r="T2606" s="36">
        <f t="shared" si="409"/>
        <v>0</v>
      </c>
      <c r="V2606" s="6">
        <f t="shared" si="410"/>
        <v>0</v>
      </c>
      <c r="Y2606" s="8">
        <f t="shared" si="411"/>
        <v>46023</v>
      </c>
    </row>
    <row r="2607" spans="2:25" ht="18.75" x14ac:dyDescent="0.3">
      <c r="B2607" s="6">
        <f t="shared" si="403"/>
        <v>0</v>
      </c>
      <c r="C2607" s="6">
        <f t="shared" si="404"/>
        <v>0</v>
      </c>
      <c r="D2607" s="6" t="str">
        <f t="shared" si="405"/>
        <v/>
      </c>
      <c r="E2607" s="35" t="str">
        <f t="shared" si="402"/>
        <v/>
      </c>
      <c r="F2607" s="31"/>
      <c r="G2607" s="29"/>
      <c r="H2607" s="78" t="str">
        <f t="shared" si="406"/>
        <v/>
      </c>
      <c r="I2607" s="25"/>
      <c r="J2607" s="25"/>
      <c r="K2607" s="26"/>
      <c r="L2607" s="26"/>
      <c r="M2607" s="37"/>
      <c r="N2607" s="27"/>
      <c r="O2607" s="30"/>
      <c r="P2607" s="39" t="str">
        <f t="shared" si="407"/>
        <v/>
      </c>
      <c r="Q2607" s="40" t="str">
        <f>IF(OR(T2607=0,RIGHT(T2607,1)=$W$1),"",COUNTIF($T$3:T2607,T2607))</f>
        <v/>
      </c>
      <c r="S2607" s="6">
        <f t="shared" si="408"/>
        <v>0</v>
      </c>
      <c r="T2607" s="36">
        <f t="shared" si="409"/>
        <v>0</v>
      </c>
      <c r="V2607" s="6">
        <f t="shared" si="410"/>
        <v>0</v>
      </c>
      <c r="Y2607" s="8">
        <f t="shared" si="411"/>
        <v>46023</v>
      </c>
    </row>
    <row r="2608" spans="2:25" ht="18.75" x14ac:dyDescent="0.3">
      <c r="B2608" s="6">
        <f t="shared" si="403"/>
        <v>0</v>
      </c>
      <c r="C2608" s="6">
        <f t="shared" si="404"/>
        <v>0</v>
      </c>
      <c r="D2608" s="6" t="str">
        <f t="shared" si="405"/>
        <v/>
      </c>
      <c r="E2608" s="35" t="str">
        <f t="shared" si="402"/>
        <v/>
      </c>
      <c r="F2608" s="31"/>
      <c r="G2608" s="29"/>
      <c r="H2608" s="78" t="str">
        <f t="shared" si="406"/>
        <v/>
      </c>
      <c r="I2608" s="25"/>
      <c r="J2608" s="25"/>
      <c r="K2608" s="26"/>
      <c r="L2608" s="26"/>
      <c r="M2608" s="37"/>
      <c r="N2608" s="27"/>
      <c r="O2608" s="30"/>
      <c r="P2608" s="39" t="str">
        <f t="shared" si="407"/>
        <v/>
      </c>
      <c r="Q2608" s="40" t="str">
        <f>IF(OR(T2608=0,RIGHT(T2608,1)=$W$1),"",COUNTIF($T$3:T2608,T2608))</f>
        <v/>
      </c>
      <c r="S2608" s="6">
        <f t="shared" si="408"/>
        <v>0</v>
      </c>
      <c r="T2608" s="36">
        <f t="shared" si="409"/>
        <v>0</v>
      </c>
      <c r="V2608" s="6">
        <f t="shared" si="410"/>
        <v>0</v>
      </c>
      <c r="Y2608" s="8">
        <f t="shared" si="411"/>
        <v>46023</v>
      </c>
    </row>
    <row r="2609" spans="2:25" ht="18.75" x14ac:dyDescent="0.3">
      <c r="B2609" s="6">
        <f t="shared" si="403"/>
        <v>0</v>
      </c>
      <c r="C2609" s="6">
        <f t="shared" si="404"/>
        <v>0</v>
      </c>
      <c r="D2609" s="6" t="str">
        <f t="shared" si="405"/>
        <v/>
      </c>
      <c r="E2609" s="35" t="str">
        <f t="shared" si="402"/>
        <v/>
      </c>
      <c r="F2609" s="31"/>
      <c r="G2609" s="29"/>
      <c r="H2609" s="78" t="str">
        <f t="shared" si="406"/>
        <v/>
      </c>
      <c r="I2609" s="25"/>
      <c r="J2609" s="25"/>
      <c r="K2609" s="26"/>
      <c r="L2609" s="26"/>
      <c r="M2609" s="37"/>
      <c r="N2609" s="27"/>
      <c r="O2609" s="30"/>
      <c r="P2609" s="39" t="str">
        <f t="shared" si="407"/>
        <v/>
      </c>
      <c r="Q2609" s="40" t="str">
        <f>IF(OR(T2609=0,RIGHT(T2609,1)=$W$1),"",COUNTIF($T$3:T2609,T2609))</f>
        <v/>
      </c>
      <c r="S2609" s="6">
        <f t="shared" si="408"/>
        <v>0</v>
      </c>
      <c r="T2609" s="36">
        <f t="shared" si="409"/>
        <v>0</v>
      </c>
      <c r="V2609" s="6">
        <f t="shared" si="410"/>
        <v>0</v>
      </c>
      <c r="Y2609" s="8">
        <f t="shared" si="411"/>
        <v>46023</v>
      </c>
    </row>
    <row r="2610" spans="2:25" ht="18.75" x14ac:dyDescent="0.3">
      <c r="B2610" s="6">
        <f t="shared" si="403"/>
        <v>0</v>
      </c>
      <c r="C2610" s="6">
        <f t="shared" si="404"/>
        <v>0</v>
      </c>
      <c r="D2610" s="6" t="str">
        <f t="shared" si="405"/>
        <v/>
      </c>
      <c r="E2610" s="35" t="str">
        <f t="shared" si="402"/>
        <v/>
      </c>
      <c r="F2610" s="31"/>
      <c r="G2610" s="29"/>
      <c r="H2610" s="78" t="str">
        <f t="shared" si="406"/>
        <v/>
      </c>
      <c r="I2610" s="25"/>
      <c r="J2610" s="25"/>
      <c r="K2610" s="26"/>
      <c r="L2610" s="26"/>
      <c r="M2610" s="37"/>
      <c r="N2610" s="27"/>
      <c r="O2610" s="30"/>
      <c r="P2610" s="39" t="str">
        <f t="shared" si="407"/>
        <v/>
      </c>
      <c r="Q2610" s="40" t="str">
        <f>IF(OR(T2610=0,RIGHT(T2610,1)=$W$1),"",COUNTIF($T$3:T2610,T2610))</f>
        <v/>
      </c>
      <c r="S2610" s="6">
        <f t="shared" si="408"/>
        <v>0</v>
      </c>
      <c r="T2610" s="36">
        <f t="shared" si="409"/>
        <v>0</v>
      </c>
      <c r="V2610" s="6">
        <f t="shared" si="410"/>
        <v>0</v>
      </c>
      <c r="Y2610" s="8">
        <f t="shared" si="411"/>
        <v>46023</v>
      </c>
    </row>
    <row r="2611" spans="2:25" ht="18.75" x14ac:dyDescent="0.3">
      <c r="B2611" s="6">
        <f t="shared" si="403"/>
        <v>0</v>
      </c>
      <c r="C2611" s="6">
        <f t="shared" si="404"/>
        <v>0</v>
      </c>
      <c r="D2611" s="6" t="str">
        <f t="shared" si="405"/>
        <v/>
      </c>
      <c r="E2611" s="35" t="str">
        <f t="shared" si="402"/>
        <v/>
      </c>
      <c r="F2611" s="31"/>
      <c r="G2611" s="29"/>
      <c r="H2611" s="78" t="str">
        <f t="shared" si="406"/>
        <v/>
      </c>
      <c r="I2611" s="25"/>
      <c r="J2611" s="25"/>
      <c r="K2611" s="26"/>
      <c r="L2611" s="26"/>
      <c r="M2611" s="37"/>
      <c r="N2611" s="27"/>
      <c r="O2611" s="30"/>
      <c r="P2611" s="39" t="str">
        <f t="shared" si="407"/>
        <v/>
      </c>
      <c r="Q2611" s="40" t="str">
        <f>IF(OR(T2611=0,RIGHT(T2611,1)=$W$1),"",COUNTIF($T$3:T2611,T2611))</f>
        <v/>
      </c>
      <c r="S2611" s="6">
        <f t="shared" si="408"/>
        <v>0</v>
      </c>
      <c r="T2611" s="36">
        <f t="shared" si="409"/>
        <v>0</v>
      </c>
      <c r="V2611" s="6">
        <f t="shared" si="410"/>
        <v>0</v>
      </c>
      <c r="Y2611" s="8">
        <f t="shared" si="411"/>
        <v>46023</v>
      </c>
    </row>
    <row r="2612" spans="2:25" ht="18.75" x14ac:dyDescent="0.3">
      <c r="B2612" s="6">
        <f t="shared" si="403"/>
        <v>0</v>
      </c>
      <c r="C2612" s="6">
        <f t="shared" si="404"/>
        <v>0</v>
      </c>
      <c r="D2612" s="6" t="str">
        <f t="shared" si="405"/>
        <v/>
      </c>
      <c r="E2612" s="35" t="str">
        <f t="shared" si="402"/>
        <v/>
      </c>
      <c r="F2612" s="31"/>
      <c r="G2612" s="29"/>
      <c r="H2612" s="78" t="str">
        <f t="shared" si="406"/>
        <v/>
      </c>
      <c r="I2612" s="25"/>
      <c r="J2612" s="25"/>
      <c r="K2612" s="26"/>
      <c r="L2612" s="26"/>
      <c r="M2612" s="37"/>
      <c r="N2612" s="27"/>
      <c r="O2612" s="30"/>
      <c r="P2612" s="39" t="str">
        <f t="shared" si="407"/>
        <v/>
      </c>
      <c r="Q2612" s="40" t="str">
        <f>IF(OR(T2612=0,RIGHT(T2612,1)=$W$1),"",COUNTIF($T$3:T2612,T2612))</f>
        <v/>
      </c>
      <c r="S2612" s="6">
        <f t="shared" si="408"/>
        <v>0</v>
      </c>
      <c r="T2612" s="36">
        <f t="shared" si="409"/>
        <v>0</v>
      </c>
      <c r="V2612" s="6">
        <f t="shared" si="410"/>
        <v>0</v>
      </c>
      <c r="Y2612" s="8">
        <f t="shared" si="411"/>
        <v>46023</v>
      </c>
    </row>
    <row r="2613" spans="2:25" ht="18.75" x14ac:dyDescent="0.3">
      <c r="B2613" s="6">
        <f t="shared" si="403"/>
        <v>0</v>
      </c>
      <c r="C2613" s="6">
        <f t="shared" si="404"/>
        <v>0</v>
      </c>
      <c r="D2613" s="6" t="str">
        <f t="shared" si="405"/>
        <v/>
      </c>
      <c r="E2613" s="35" t="str">
        <f t="shared" si="402"/>
        <v/>
      </c>
      <c r="F2613" s="31"/>
      <c r="G2613" s="29"/>
      <c r="H2613" s="78" t="str">
        <f t="shared" si="406"/>
        <v/>
      </c>
      <c r="I2613" s="25"/>
      <c r="J2613" s="25"/>
      <c r="K2613" s="26"/>
      <c r="L2613" s="26"/>
      <c r="M2613" s="37"/>
      <c r="N2613" s="27"/>
      <c r="O2613" s="30"/>
      <c r="P2613" s="39" t="str">
        <f t="shared" si="407"/>
        <v/>
      </c>
      <c r="Q2613" s="40" t="str">
        <f>IF(OR(T2613=0,RIGHT(T2613,1)=$W$1),"",COUNTIF($T$3:T2613,T2613))</f>
        <v/>
      </c>
      <c r="S2613" s="6">
        <f t="shared" si="408"/>
        <v>0</v>
      </c>
      <c r="T2613" s="36">
        <f t="shared" si="409"/>
        <v>0</v>
      </c>
      <c r="V2613" s="6">
        <f t="shared" si="410"/>
        <v>0</v>
      </c>
      <c r="Y2613" s="8">
        <f t="shared" si="411"/>
        <v>46023</v>
      </c>
    </row>
    <row r="2614" spans="2:25" ht="18.75" x14ac:dyDescent="0.3">
      <c r="B2614" s="6">
        <f t="shared" si="403"/>
        <v>0</v>
      </c>
      <c r="C2614" s="6">
        <f t="shared" si="404"/>
        <v>0</v>
      </c>
      <c r="D2614" s="6" t="str">
        <f t="shared" si="405"/>
        <v/>
      </c>
      <c r="E2614" s="35" t="str">
        <f t="shared" si="402"/>
        <v/>
      </c>
      <c r="F2614" s="31"/>
      <c r="G2614" s="29"/>
      <c r="H2614" s="78" t="str">
        <f t="shared" si="406"/>
        <v/>
      </c>
      <c r="I2614" s="25"/>
      <c r="J2614" s="25"/>
      <c r="K2614" s="26"/>
      <c r="L2614" s="26"/>
      <c r="M2614" s="37"/>
      <c r="N2614" s="27"/>
      <c r="O2614" s="30"/>
      <c r="P2614" s="39" t="str">
        <f t="shared" si="407"/>
        <v/>
      </c>
      <c r="Q2614" s="40" t="str">
        <f>IF(OR(T2614=0,RIGHT(T2614,1)=$W$1),"",COUNTIF($T$3:T2614,T2614))</f>
        <v/>
      </c>
      <c r="S2614" s="6">
        <f t="shared" si="408"/>
        <v>0</v>
      </c>
      <c r="T2614" s="36">
        <f t="shared" si="409"/>
        <v>0</v>
      </c>
      <c r="V2614" s="6">
        <f t="shared" si="410"/>
        <v>0</v>
      </c>
      <c r="Y2614" s="8">
        <f t="shared" si="411"/>
        <v>46023</v>
      </c>
    </row>
    <row r="2615" spans="2:25" ht="18.75" x14ac:dyDescent="0.3">
      <c r="B2615" s="6">
        <f t="shared" si="403"/>
        <v>0</v>
      </c>
      <c r="C2615" s="6">
        <f t="shared" si="404"/>
        <v>0</v>
      </c>
      <c r="D2615" s="6" t="str">
        <f t="shared" si="405"/>
        <v/>
      </c>
      <c r="E2615" s="35" t="str">
        <f t="shared" si="402"/>
        <v/>
      </c>
      <c r="F2615" s="31"/>
      <c r="G2615" s="29"/>
      <c r="H2615" s="78" t="str">
        <f t="shared" si="406"/>
        <v/>
      </c>
      <c r="I2615" s="25"/>
      <c r="J2615" s="25"/>
      <c r="K2615" s="26"/>
      <c r="L2615" s="26"/>
      <c r="M2615" s="37"/>
      <c r="N2615" s="27"/>
      <c r="O2615" s="30"/>
      <c r="P2615" s="39" t="str">
        <f t="shared" si="407"/>
        <v/>
      </c>
      <c r="Q2615" s="40" t="str">
        <f>IF(OR(T2615=0,RIGHT(T2615,1)=$W$1),"",COUNTIF($T$3:T2615,T2615))</f>
        <v/>
      </c>
      <c r="S2615" s="6">
        <f t="shared" si="408"/>
        <v>0</v>
      </c>
      <c r="T2615" s="36">
        <f t="shared" si="409"/>
        <v>0</v>
      </c>
      <c r="V2615" s="6">
        <f t="shared" si="410"/>
        <v>0</v>
      </c>
      <c r="Y2615" s="8">
        <f t="shared" si="411"/>
        <v>46023</v>
      </c>
    </row>
    <row r="2616" spans="2:25" ht="18.75" x14ac:dyDescent="0.3">
      <c r="B2616" s="6">
        <f t="shared" si="403"/>
        <v>0</v>
      </c>
      <c r="C2616" s="6">
        <f t="shared" si="404"/>
        <v>0</v>
      </c>
      <c r="D2616" s="6" t="str">
        <f t="shared" si="405"/>
        <v/>
      </c>
      <c r="E2616" s="35" t="str">
        <f t="shared" si="402"/>
        <v/>
      </c>
      <c r="F2616" s="31"/>
      <c r="G2616" s="29"/>
      <c r="H2616" s="78" t="str">
        <f t="shared" si="406"/>
        <v/>
      </c>
      <c r="I2616" s="25"/>
      <c r="J2616" s="25"/>
      <c r="K2616" s="26"/>
      <c r="L2616" s="26"/>
      <c r="M2616" s="37"/>
      <c r="N2616" s="27"/>
      <c r="O2616" s="30"/>
      <c r="P2616" s="39" t="str">
        <f t="shared" si="407"/>
        <v/>
      </c>
      <c r="Q2616" s="40" t="str">
        <f>IF(OR(T2616=0,RIGHT(T2616,1)=$W$1),"",COUNTIF($T$3:T2616,T2616))</f>
        <v/>
      </c>
      <c r="S2616" s="6">
        <f t="shared" si="408"/>
        <v>0</v>
      </c>
      <c r="T2616" s="36">
        <f t="shared" si="409"/>
        <v>0</v>
      </c>
      <c r="V2616" s="6">
        <f t="shared" si="410"/>
        <v>0</v>
      </c>
      <c r="Y2616" s="8">
        <f t="shared" si="411"/>
        <v>46023</v>
      </c>
    </row>
    <row r="2617" spans="2:25" ht="18.75" x14ac:dyDescent="0.3">
      <c r="B2617" s="6">
        <f t="shared" si="403"/>
        <v>0</v>
      </c>
      <c r="C2617" s="6">
        <f t="shared" si="404"/>
        <v>0</v>
      </c>
      <c r="D2617" s="6" t="str">
        <f t="shared" si="405"/>
        <v/>
      </c>
      <c r="E2617" s="35" t="str">
        <f t="shared" si="402"/>
        <v/>
      </c>
      <c r="F2617" s="31"/>
      <c r="G2617" s="29"/>
      <c r="H2617" s="78" t="str">
        <f t="shared" si="406"/>
        <v/>
      </c>
      <c r="I2617" s="25"/>
      <c r="J2617" s="25"/>
      <c r="K2617" s="26"/>
      <c r="L2617" s="26"/>
      <c r="M2617" s="37"/>
      <c r="N2617" s="27"/>
      <c r="O2617" s="30"/>
      <c r="P2617" s="39" t="str">
        <f t="shared" si="407"/>
        <v/>
      </c>
      <c r="Q2617" s="40" t="str">
        <f>IF(OR(T2617=0,RIGHT(T2617,1)=$W$1),"",COUNTIF($T$3:T2617,T2617))</f>
        <v/>
      </c>
      <c r="S2617" s="6">
        <f t="shared" si="408"/>
        <v>0</v>
      </c>
      <c r="T2617" s="36">
        <f t="shared" si="409"/>
        <v>0</v>
      </c>
      <c r="V2617" s="6">
        <f t="shared" si="410"/>
        <v>0</v>
      </c>
      <c r="Y2617" s="8">
        <f t="shared" si="411"/>
        <v>46023</v>
      </c>
    </row>
    <row r="2618" spans="2:25" ht="18.75" x14ac:dyDescent="0.3">
      <c r="B2618" s="6">
        <f t="shared" si="403"/>
        <v>0</v>
      </c>
      <c r="C2618" s="6">
        <f t="shared" si="404"/>
        <v>0</v>
      </c>
      <c r="D2618" s="6" t="str">
        <f t="shared" si="405"/>
        <v/>
      </c>
      <c r="E2618" s="35" t="str">
        <f t="shared" si="402"/>
        <v/>
      </c>
      <c r="F2618" s="31"/>
      <c r="G2618" s="29"/>
      <c r="H2618" s="78" t="str">
        <f t="shared" si="406"/>
        <v/>
      </c>
      <c r="I2618" s="25"/>
      <c r="J2618" s="25"/>
      <c r="K2618" s="26"/>
      <c r="L2618" s="26"/>
      <c r="M2618" s="37"/>
      <c r="N2618" s="27"/>
      <c r="O2618" s="30"/>
      <c r="P2618" s="39" t="str">
        <f t="shared" si="407"/>
        <v/>
      </c>
      <c r="Q2618" s="40" t="str">
        <f>IF(OR(T2618=0,RIGHT(T2618,1)=$W$1),"",COUNTIF($T$3:T2618,T2618))</f>
        <v/>
      </c>
      <c r="S2618" s="6">
        <f t="shared" si="408"/>
        <v>0</v>
      </c>
      <c r="T2618" s="36">
        <f t="shared" si="409"/>
        <v>0</v>
      </c>
      <c r="V2618" s="6">
        <f t="shared" si="410"/>
        <v>0</v>
      </c>
      <c r="Y2618" s="8">
        <f t="shared" si="411"/>
        <v>46023</v>
      </c>
    </row>
    <row r="2619" spans="2:25" ht="18.75" x14ac:dyDescent="0.3">
      <c r="B2619" s="6">
        <f t="shared" si="403"/>
        <v>0</v>
      </c>
      <c r="C2619" s="6">
        <f t="shared" si="404"/>
        <v>0</v>
      </c>
      <c r="D2619" s="6" t="str">
        <f t="shared" si="405"/>
        <v/>
      </c>
      <c r="E2619" s="35" t="str">
        <f t="shared" si="402"/>
        <v/>
      </c>
      <c r="F2619" s="31"/>
      <c r="G2619" s="29"/>
      <c r="H2619" s="78" t="str">
        <f t="shared" si="406"/>
        <v/>
      </c>
      <c r="I2619" s="25"/>
      <c r="J2619" s="25"/>
      <c r="K2619" s="26"/>
      <c r="L2619" s="26"/>
      <c r="M2619" s="37"/>
      <c r="N2619" s="27"/>
      <c r="O2619" s="30"/>
      <c r="P2619" s="39" t="str">
        <f t="shared" si="407"/>
        <v/>
      </c>
      <c r="Q2619" s="40" t="str">
        <f>IF(OR(T2619=0,RIGHT(T2619,1)=$W$1),"",COUNTIF($T$3:T2619,T2619))</f>
        <v/>
      </c>
      <c r="S2619" s="6">
        <f t="shared" si="408"/>
        <v>0</v>
      </c>
      <c r="T2619" s="36">
        <f t="shared" si="409"/>
        <v>0</v>
      </c>
      <c r="V2619" s="6">
        <f t="shared" si="410"/>
        <v>0</v>
      </c>
      <c r="Y2619" s="8">
        <f t="shared" si="411"/>
        <v>46023</v>
      </c>
    </row>
    <row r="2620" spans="2:25" ht="18.75" x14ac:dyDescent="0.3">
      <c r="B2620" s="6">
        <f t="shared" si="403"/>
        <v>0</v>
      </c>
      <c r="C2620" s="6">
        <f t="shared" si="404"/>
        <v>0</v>
      </c>
      <c r="D2620" s="6" t="str">
        <f t="shared" si="405"/>
        <v/>
      </c>
      <c r="E2620" s="35" t="str">
        <f t="shared" si="402"/>
        <v/>
      </c>
      <c r="F2620" s="31"/>
      <c r="G2620" s="29"/>
      <c r="H2620" s="78" t="str">
        <f t="shared" si="406"/>
        <v/>
      </c>
      <c r="I2620" s="25"/>
      <c r="J2620" s="25"/>
      <c r="K2620" s="26"/>
      <c r="L2620" s="26"/>
      <c r="M2620" s="37"/>
      <c r="N2620" s="27"/>
      <c r="O2620" s="30"/>
      <c r="P2620" s="39" t="str">
        <f t="shared" si="407"/>
        <v/>
      </c>
      <c r="Q2620" s="40" t="str">
        <f>IF(OR(T2620=0,RIGHT(T2620,1)=$W$1),"",COUNTIF($T$3:T2620,T2620))</f>
        <v/>
      </c>
      <c r="S2620" s="6">
        <f t="shared" si="408"/>
        <v>0</v>
      </c>
      <c r="T2620" s="36">
        <f t="shared" si="409"/>
        <v>0</v>
      </c>
      <c r="V2620" s="6">
        <f t="shared" si="410"/>
        <v>0</v>
      </c>
      <c r="Y2620" s="8">
        <f t="shared" si="411"/>
        <v>46023</v>
      </c>
    </row>
    <row r="2621" spans="2:25" ht="18.75" x14ac:dyDescent="0.3">
      <c r="B2621" s="6">
        <f t="shared" si="403"/>
        <v>0</v>
      </c>
      <c r="C2621" s="6">
        <f t="shared" si="404"/>
        <v>0</v>
      </c>
      <c r="D2621" s="6" t="str">
        <f t="shared" si="405"/>
        <v/>
      </c>
      <c r="E2621" s="35" t="str">
        <f t="shared" si="402"/>
        <v/>
      </c>
      <c r="F2621" s="31"/>
      <c r="G2621" s="29"/>
      <c r="H2621" s="78" t="str">
        <f t="shared" si="406"/>
        <v/>
      </c>
      <c r="I2621" s="25"/>
      <c r="J2621" s="25"/>
      <c r="K2621" s="26"/>
      <c r="L2621" s="26"/>
      <c r="M2621" s="37"/>
      <c r="N2621" s="27"/>
      <c r="O2621" s="30"/>
      <c r="P2621" s="39" t="str">
        <f t="shared" si="407"/>
        <v/>
      </c>
      <c r="Q2621" s="40" t="str">
        <f>IF(OR(T2621=0,RIGHT(T2621,1)=$W$1),"",COUNTIF($T$3:T2621,T2621))</f>
        <v/>
      </c>
      <c r="S2621" s="6">
        <f t="shared" si="408"/>
        <v>0</v>
      </c>
      <c r="T2621" s="36">
        <f t="shared" si="409"/>
        <v>0</v>
      </c>
      <c r="V2621" s="6">
        <f t="shared" si="410"/>
        <v>0</v>
      </c>
      <c r="Y2621" s="8">
        <f t="shared" si="411"/>
        <v>46023</v>
      </c>
    </row>
    <row r="2622" spans="2:25" ht="18.75" x14ac:dyDescent="0.3">
      <c r="B2622" s="6">
        <f t="shared" si="403"/>
        <v>0</v>
      </c>
      <c r="C2622" s="6">
        <f t="shared" si="404"/>
        <v>0</v>
      </c>
      <c r="D2622" s="6" t="str">
        <f t="shared" si="405"/>
        <v/>
      </c>
      <c r="E2622" s="35" t="str">
        <f t="shared" si="402"/>
        <v/>
      </c>
      <c r="F2622" s="31"/>
      <c r="G2622" s="29"/>
      <c r="H2622" s="78" t="str">
        <f t="shared" si="406"/>
        <v/>
      </c>
      <c r="I2622" s="25"/>
      <c r="J2622" s="25"/>
      <c r="K2622" s="26"/>
      <c r="L2622" s="26"/>
      <c r="M2622" s="37"/>
      <c r="N2622" s="27"/>
      <c r="O2622" s="30"/>
      <c r="P2622" s="39" t="str">
        <f t="shared" si="407"/>
        <v/>
      </c>
      <c r="Q2622" s="40" t="str">
        <f>IF(OR(T2622=0,RIGHT(T2622,1)=$W$1),"",COUNTIF($T$3:T2622,T2622))</f>
        <v/>
      </c>
      <c r="S2622" s="6">
        <f t="shared" si="408"/>
        <v>0</v>
      </c>
      <c r="T2622" s="36">
        <f t="shared" si="409"/>
        <v>0</v>
      </c>
      <c r="V2622" s="6">
        <f t="shared" si="410"/>
        <v>0</v>
      </c>
      <c r="Y2622" s="8">
        <f t="shared" si="411"/>
        <v>46023</v>
      </c>
    </row>
    <row r="2623" spans="2:25" ht="18.75" x14ac:dyDescent="0.3">
      <c r="B2623" s="6">
        <f t="shared" si="403"/>
        <v>0</v>
      </c>
      <c r="C2623" s="6">
        <f t="shared" si="404"/>
        <v>0</v>
      </c>
      <c r="D2623" s="6" t="str">
        <f t="shared" si="405"/>
        <v/>
      </c>
      <c r="E2623" s="35" t="str">
        <f t="shared" si="402"/>
        <v/>
      </c>
      <c r="F2623" s="31"/>
      <c r="G2623" s="29"/>
      <c r="H2623" s="78" t="str">
        <f t="shared" si="406"/>
        <v/>
      </c>
      <c r="I2623" s="25"/>
      <c r="J2623" s="25"/>
      <c r="K2623" s="26"/>
      <c r="L2623" s="26"/>
      <c r="M2623" s="37"/>
      <c r="N2623" s="27"/>
      <c r="O2623" s="30"/>
      <c r="P2623" s="39" t="str">
        <f t="shared" si="407"/>
        <v/>
      </c>
      <c r="Q2623" s="40" t="str">
        <f>IF(OR(T2623=0,RIGHT(T2623,1)=$W$1),"",COUNTIF($T$3:T2623,T2623))</f>
        <v/>
      </c>
      <c r="S2623" s="6">
        <f t="shared" si="408"/>
        <v>0</v>
      </c>
      <c r="T2623" s="36">
        <f t="shared" si="409"/>
        <v>0</v>
      </c>
      <c r="V2623" s="6">
        <f t="shared" si="410"/>
        <v>0</v>
      </c>
      <c r="Y2623" s="8">
        <f t="shared" si="411"/>
        <v>46023</v>
      </c>
    </row>
    <row r="2624" spans="2:25" ht="18.75" x14ac:dyDescent="0.3">
      <c r="B2624" s="6">
        <f t="shared" si="403"/>
        <v>0</v>
      </c>
      <c r="C2624" s="6">
        <f t="shared" si="404"/>
        <v>0</v>
      </c>
      <c r="D2624" s="6" t="str">
        <f t="shared" si="405"/>
        <v/>
      </c>
      <c r="E2624" s="35" t="str">
        <f t="shared" si="402"/>
        <v/>
      </c>
      <c r="F2624" s="31"/>
      <c r="G2624" s="29"/>
      <c r="H2624" s="78" t="str">
        <f t="shared" si="406"/>
        <v/>
      </c>
      <c r="I2624" s="25"/>
      <c r="J2624" s="25"/>
      <c r="K2624" s="26"/>
      <c r="L2624" s="26"/>
      <c r="M2624" s="37"/>
      <c r="N2624" s="27"/>
      <c r="O2624" s="30"/>
      <c r="P2624" s="39" t="str">
        <f t="shared" si="407"/>
        <v/>
      </c>
      <c r="Q2624" s="40" t="str">
        <f>IF(OR(T2624=0,RIGHT(T2624,1)=$W$1),"",COUNTIF($T$3:T2624,T2624))</f>
        <v/>
      </c>
      <c r="S2624" s="6">
        <f t="shared" si="408"/>
        <v>0</v>
      </c>
      <c r="T2624" s="36">
        <f t="shared" si="409"/>
        <v>0</v>
      </c>
      <c r="V2624" s="6">
        <f t="shared" si="410"/>
        <v>0</v>
      </c>
      <c r="Y2624" s="8">
        <f t="shared" si="411"/>
        <v>46023</v>
      </c>
    </row>
    <row r="2625" spans="2:25" ht="18.75" x14ac:dyDescent="0.3">
      <c r="B2625" s="6">
        <f t="shared" si="403"/>
        <v>0</v>
      </c>
      <c r="C2625" s="6">
        <f t="shared" si="404"/>
        <v>0</v>
      </c>
      <c r="D2625" s="6" t="str">
        <f t="shared" si="405"/>
        <v/>
      </c>
      <c r="E2625" s="35" t="str">
        <f t="shared" si="402"/>
        <v/>
      </c>
      <c r="F2625" s="31"/>
      <c r="G2625" s="29"/>
      <c r="H2625" s="78" t="str">
        <f t="shared" si="406"/>
        <v/>
      </c>
      <c r="I2625" s="25"/>
      <c r="J2625" s="25"/>
      <c r="K2625" s="26"/>
      <c r="L2625" s="26"/>
      <c r="M2625" s="37"/>
      <c r="N2625" s="27"/>
      <c r="O2625" s="30"/>
      <c r="P2625" s="39" t="str">
        <f t="shared" si="407"/>
        <v/>
      </c>
      <c r="Q2625" s="40" t="str">
        <f>IF(OR(T2625=0,RIGHT(T2625,1)=$W$1),"",COUNTIF($T$3:T2625,T2625))</f>
        <v/>
      </c>
      <c r="S2625" s="6">
        <f t="shared" si="408"/>
        <v>0</v>
      </c>
      <c r="T2625" s="36">
        <f t="shared" si="409"/>
        <v>0</v>
      </c>
      <c r="V2625" s="6">
        <f t="shared" si="410"/>
        <v>0</v>
      </c>
      <c r="Y2625" s="8">
        <f t="shared" si="411"/>
        <v>46023</v>
      </c>
    </row>
    <row r="2626" spans="2:25" ht="18.75" x14ac:dyDescent="0.3">
      <c r="B2626" s="6">
        <f t="shared" si="403"/>
        <v>0</v>
      </c>
      <c r="C2626" s="6">
        <f t="shared" si="404"/>
        <v>0</v>
      </c>
      <c r="D2626" s="6" t="str">
        <f t="shared" si="405"/>
        <v/>
      </c>
      <c r="E2626" s="35" t="str">
        <f t="shared" si="402"/>
        <v/>
      </c>
      <c r="F2626" s="31"/>
      <c r="G2626" s="29"/>
      <c r="H2626" s="78" t="str">
        <f t="shared" si="406"/>
        <v/>
      </c>
      <c r="I2626" s="25"/>
      <c r="J2626" s="25"/>
      <c r="K2626" s="26"/>
      <c r="L2626" s="26"/>
      <c r="M2626" s="37"/>
      <c r="N2626" s="27"/>
      <c r="O2626" s="30"/>
      <c r="P2626" s="39" t="str">
        <f t="shared" si="407"/>
        <v/>
      </c>
      <c r="Q2626" s="40" t="str">
        <f>IF(OR(T2626=0,RIGHT(T2626,1)=$W$1),"",COUNTIF($T$3:T2626,T2626))</f>
        <v/>
      </c>
      <c r="S2626" s="6">
        <f t="shared" si="408"/>
        <v>0</v>
      </c>
      <c r="T2626" s="36">
        <f t="shared" si="409"/>
        <v>0</v>
      </c>
      <c r="V2626" s="6">
        <f t="shared" si="410"/>
        <v>0</v>
      </c>
      <c r="Y2626" s="8">
        <f t="shared" si="411"/>
        <v>46023</v>
      </c>
    </row>
    <row r="2627" spans="2:25" ht="18.75" x14ac:dyDescent="0.3">
      <c r="B2627" s="6">
        <f t="shared" si="403"/>
        <v>0</v>
      </c>
      <c r="C2627" s="6">
        <f t="shared" si="404"/>
        <v>0</v>
      </c>
      <c r="D2627" s="6" t="str">
        <f t="shared" si="405"/>
        <v/>
      </c>
      <c r="E2627" s="35" t="str">
        <f t="shared" ref="E2627:E2690" si="412">IF(D2627&lt;&gt;"",D2627&amp;" - "&amp;YEAR(F2627),"")</f>
        <v/>
      </c>
      <c r="F2627" s="31"/>
      <c r="G2627" s="29"/>
      <c r="H2627" s="78" t="str">
        <f t="shared" si="406"/>
        <v/>
      </c>
      <c r="I2627" s="25"/>
      <c r="J2627" s="25"/>
      <c r="K2627" s="26"/>
      <c r="L2627" s="26"/>
      <c r="M2627" s="37"/>
      <c r="N2627" s="27"/>
      <c r="O2627" s="30"/>
      <c r="P2627" s="39" t="str">
        <f t="shared" si="407"/>
        <v/>
      </c>
      <c r="Q2627" s="40" t="str">
        <f>IF(OR(T2627=0,RIGHT(T2627,1)=$W$1),"",COUNTIF($T$3:T2627,T2627))</f>
        <v/>
      </c>
      <c r="S2627" s="6">
        <f t="shared" si="408"/>
        <v>0</v>
      </c>
      <c r="T2627" s="36">
        <f t="shared" si="409"/>
        <v>0</v>
      </c>
      <c r="V2627" s="6">
        <f t="shared" si="410"/>
        <v>0</v>
      </c>
      <c r="Y2627" s="8">
        <f t="shared" si="411"/>
        <v>46023</v>
      </c>
    </row>
    <row r="2628" spans="2:25" ht="18.75" x14ac:dyDescent="0.3">
      <c r="B2628" s="6">
        <f t="shared" ref="B2628:B2691" si="413">IF($B$1=YEAR(F2628),B2627+1,B2627)</f>
        <v>0</v>
      </c>
      <c r="C2628" s="6">
        <f t="shared" ref="C2628:C2691" si="414">IF(AND($C$1=K2628,$Y$1=YEAR(F2628)),C2627+1,C2627)</f>
        <v>0</v>
      </c>
      <c r="D2628" s="6" t="str">
        <f t="shared" ref="D2628:D2691" si="415">IF(F2628&lt;&gt;0,IF(YEAR(F2628)&lt;&gt;YEAR(F2627),1,IF(M2628=$AI$1,D2627,D2627+1)),"")</f>
        <v/>
      </c>
      <c r="E2628" s="35" t="str">
        <f t="shared" si="412"/>
        <v/>
      </c>
      <c r="F2628" s="31"/>
      <c r="G2628" s="29"/>
      <c r="H2628" s="78" t="str">
        <f t="shared" ref="H2628:H2691" si="416">IF(G2628&lt;&gt;"",F2628,"")</f>
        <v/>
      </c>
      <c r="I2628" s="25"/>
      <c r="J2628" s="25"/>
      <c r="K2628" s="26"/>
      <c r="L2628" s="26"/>
      <c r="M2628" s="37"/>
      <c r="N2628" s="27"/>
      <c r="O2628" s="30"/>
      <c r="P2628" s="39" t="str">
        <f t="shared" ref="P2628:P2691" si="417">IF(OR(T2628=0,RIGHT(T2628,1)=$W$1),"",VLOOKUP(K2628,$AD$1:$AK$15,5,FALSE))</f>
        <v/>
      </c>
      <c r="Q2628" s="40" t="str">
        <f>IF(OR(T2628=0,RIGHT(T2628,1)=$W$1),"",COUNTIF($T$3:T2628,T2628))</f>
        <v/>
      </c>
      <c r="S2628" s="6">
        <f t="shared" ref="S2628:S2691" si="418">IF(AND($C$1=K2628,$Y$1=YEAR(F2628)),C2628,0)</f>
        <v>0</v>
      </c>
      <c r="T2628" s="36">
        <f t="shared" ref="T2628:T2691" si="419">IF(F2628=0,0,YEAR(F2628)&amp;VLOOKUP(K2628,$AD$1:$AE$15,2,FALSE))</f>
        <v>0</v>
      </c>
      <c r="V2628" s="6">
        <f t="shared" ref="V2628:V2691" si="420">IF(AND(YEAR(F2628)=$Y$1,K2628=$C$1,L2628&amp;$V$1&lt;&gt;$V$1),L2628,IF(AND(YEAR(F2628)=$Y$1,K2628=$C$1),1,0))</f>
        <v>0</v>
      </c>
      <c r="Y2628" s="8">
        <f t="shared" ref="Y2628:Y2691" si="421">IF(M2628&lt;&gt;$AI$1,$Y$2,F2627)</f>
        <v>46023</v>
      </c>
    </row>
    <row r="2629" spans="2:25" ht="18.75" x14ac:dyDescent="0.3">
      <c r="B2629" s="6">
        <f t="shared" si="413"/>
        <v>0</v>
      </c>
      <c r="C2629" s="6">
        <f t="shared" si="414"/>
        <v>0</v>
      </c>
      <c r="D2629" s="6" t="str">
        <f t="shared" si="415"/>
        <v/>
      </c>
      <c r="E2629" s="35" t="str">
        <f t="shared" si="412"/>
        <v/>
      </c>
      <c r="F2629" s="31"/>
      <c r="G2629" s="29"/>
      <c r="H2629" s="78" t="str">
        <f t="shared" si="416"/>
        <v/>
      </c>
      <c r="I2629" s="25"/>
      <c r="J2629" s="25"/>
      <c r="K2629" s="26"/>
      <c r="L2629" s="26"/>
      <c r="M2629" s="37"/>
      <c r="N2629" s="27"/>
      <c r="O2629" s="30"/>
      <c r="P2629" s="39" t="str">
        <f t="shared" si="417"/>
        <v/>
      </c>
      <c r="Q2629" s="40" t="str">
        <f>IF(OR(T2629=0,RIGHT(T2629,1)=$W$1),"",COUNTIF($T$3:T2629,T2629))</f>
        <v/>
      </c>
      <c r="S2629" s="6">
        <f t="shared" si="418"/>
        <v>0</v>
      </c>
      <c r="T2629" s="36">
        <f t="shared" si="419"/>
        <v>0</v>
      </c>
      <c r="V2629" s="6">
        <f t="shared" si="420"/>
        <v>0</v>
      </c>
      <c r="Y2629" s="8">
        <f t="shared" si="421"/>
        <v>46023</v>
      </c>
    </row>
    <row r="2630" spans="2:25" ht="18.75" x14ac:dyDescent="0.3">
      <c r="B2630" s="6">
        <f t="shared" si="413"/>
        <v>0</v>
      </c>
      <c r="C2630" s="6">
        <f t="shared" si="414"/>
        <v>0</v>
      </c>
      <c r="D2630" s="6" t="str">
        <f t="shared" si="415"/>
        <v/>
      </c>
      <c r="E2630" s="35" t="str">
        <f t="shared" si="412"/>
        <v/>
      </c>
      <c r="F2630" s="31"/>
      <c r="G2630" s="29"/>
      <c r="H2630" s="78" t="str">
        <f t="shared" si="416"/>
        <v/>
      </c>
      <c r="I2630" s="25"/>
      <c r="J2630" s="25"/>
      <c r="K2630" s="26"/>
      <c r="L2630" s="26"/>
      <c r="M2630" s="37"/>
      <c r="N2630" s="27"/>
      <c r="O2630" s="30"/>
      <c r="P2630" s="39" t="str">
        <f t="shared" si="417"/>
        <v/>
      </c>
      <c r="Q2630" s="40" t="str">
        <f>IF(OR(T2630=0,RIGHT(T2630,1)=$W$1),"",COUNTIF($T$3:T2630,T2630))</f>
        <v/>
      </c>
      <c r="S2630" s="6">
        <f t="shared" si="418"/>
        <v>0</v>
      </c>
      <c r="T2630" s="36">
        <f t="shared" si="419"/>
        <v>0</v>
      </c>
      <c r="V2630" s="6">
        <f t="shared" si="420"/>
        <v>0</v>
      </c>
      <c r="Y2630" s="8">
        <f t="shared" si="421"/>
        <v>46023</v>
      </c>
    </row>
    <row r="2631" spans="2:25" ht="18.75" x14ac:dyDescent="0.3">
      <c r="B2631" s="6">
        <f t="shared" si="413"/>
        <v>0</v>
      </c>
      <c r="C2631" s="6">
        <f t="shared" si="414"/>
        <v>0</v>
      </c>
      <c r="D2631" s="6" t="str">
        <f t="shared" si="415"/>
        <v/>
      </c>
      <c r="E2631" s="35" t="str">
        <f t="shared" si="412"/>
        <v/>
      </c>
      <c r="F2631" s="31"/>
      <c r="G2631" s="29"/>
      <c r="H2631" s="78" t="str">
        <f t="shared" si="416"/>
        <v/>
      </c>
      <c r="I2631" s="25"/>
      <c r="J2631" s="25"/>
      <c r="K2631" s="26"/>
      <c r="L2631" s="26"/>
      <c r="M2631" s="37"/>
      <c r="N2631" s="27"/>
      <c r="O2631" s="30"/>
      <c r="P2631" s="39" t="str">
        <f t="shared" si="417"/>
        <v/>
      </c>
      <c r="Q2631" s="40" t="str">
        <f>IF(OR(T2631=0,RIGHT(T2631,1)=$W$1),"",COUNTIF($T$3:T2631,T2631))</f>
        <v/>
      </c>
      <c r="S2631" s="6">
        <f t="shared" si="418"/>
        <v>0</v>
      </c>
      <c r="T2631" s="36">
        <f t="shared" si="419"/>
        <v>0</v>
      </c>
      <c r="V2631" s="6">
        <f t="shared" si="420"/>
        <v>0</v>
      </c>
      <c r="Y2631" s="8">
        <f t="shared" si="421"/>
        <v>46023</v>
      </c>
    </row>
    <row r="2632" spans="2:25" ht="18.75" x14ac:dyDescent="0.3">
      <c r="B2632" s="6">
        <f t="shared" si="413"/>
        <v>0</v>
      </c>
      <c r="C2632" s="6">
        <f t="shared" si="414"/>
        <v>0</v>
      </c>
      <c r="D2632" s="6" t="str">
        <f t="shared" si="415"/>
        <v/>
      </c>
      <c r="E2632" s="35" t="str">
        <f t="shared" si="412"/>
        <v/>
      </c>
      <c r="F2632" s="31"/>
      <c r="G2632" s="29"/>
      <c r="H2632" s="78" t="str">
        <f t="shared" si="416"/>
        <v/>
      </c>
      <c r="I2632" s="25"/>
      <c r="J2632" s="25"/>
      <c r="K2632" s="26"/>
      <c r="L2632" s="26"/>
      <c r="M2632" s="37"/>
      <c r="N2632" s="27"/>
      <c r="O2632" s="30"/>
      <c r="P2632" s="39" t="str">
        <f t="shared" si="417"/>
        <v/>
      </c>
      <c r="Q2632" s="40" t="str">
        <f>IF(OR(T2632=0,RIGHT(T2632,1)=$W$1),"",COUNTIF($T$3:T2632,T2632))</f>
        <v/>
      </c>
      <c r="S2632" s="6">
        <f t="shared" si="418"/>
        <v>0</v>
      </c>
      <c r="T2632" s="36">
        <f t="shared" si="419"/>
        <v>0</v>
      </c>
      <c r="V2632" s="6">
        <f t="shared" si="420"/>
        <v>0</v>
      </c>
      <c r="Y2632" s="8">
        <f t="shared" si="421"/>
        <v>46023</v>
      </c>
    </row>
    <row r="2633" spans="2:25" ht="18.75" x14ac:dyDescent="0.3">
      <c r="B2633" s="6">
        <f t="shared" si="413"/>
        <v>0</v>
      </c>
      <c r="C2633" s="6">
        <f t="shared" si="414"/>
        <v>0</v>
      </c>
      <c r="D2633" s="6" t="str">
        <f t="shared" si="415"/>
        <v/>
      </c>
      <c r="E2633" s="35" t="str">
        <f t="shared" si="412"/>
        <v/>
      </c>
      <c r="F2633" s="31"/>
      <c r="G2633" s="29"/>
      <c r="H2633" s="78" t="str">
        <f t="shared" si="416"/>
        <v/>
      </c>
      <c r="I2633" s="25"/>
      <c r="J2633" s="25"/>
      <c r="K2633" s="26"/>
      <c r="L2633" s="26"/>
      <c r="M2633" s="37"/>
      <c r="N2633" s="27"/>
      <c r="O2633" s="30"/>
      <c r="P2633" s="39" t="str">
        <f t="shared" si="417"/>
        <v/>
      </c>
      <c r="Q2633" s="40" t="str">
        <f>IF(OR(T2633=0,RIGHT(T2633,1)=$W$1),"",COUNTIF($T$3:T2633,T2633))</f>
        <v/>
      </c>
      <c r="S2633" s="6">
        <f t="shared" si="418"/>
        <v>0</v>
      </c>
      <c r="T2633" s="36">
        <f t="shared" si="419"/>
        <v>0</v>
      </c>
      <c r="V2633" s="6">
        <f t="shared" si="420"/>
        <v>0</v>
      </c>
      <c r="Y2633" s="8">
        <f t="shared" si="421"/>
        <v>46023</v>
      </c>
    </row>
    <row r="2634" spans="2:25" ht="18.75" x14ac:dyDescent="0.3">
      <c r="B2634" s="6">
        <f t="shared" si="413"/>
        <v>0</v>
      </c>
      <c r="C2634" s="6">
        <f t="shared" si="414"/>
        <v>0</v>
      </c>
      <c r="D2634" s="6" t="str">
        <f t="shared" si="415"/>
        <v/>
      </c>
      <c r="E2634" s="35" t="str">
        <f t="shared" si="412"/>
        <v/>
      </c>
      <c r="F2634" s="31"/>
      <c r="G2634" s="29"/>
      <c r="H2634" s="78" t="str">
        <f t="shared" si="416"/>
        <v/>
      </c>
      <c r="I2634" s="25"/>
      <c r="J2634" s="25"/>
      <c r="K2634" s="26"/>
      <c r="L2634" s="26"/>
      <c r="M2634" s="37"/>
      <c r="N2634" s="27"/>
      <c r="O2634" s="30"/>
      <c r="P2634" s="39" t="str">
        <f t="shared" si="417"/>
        <v/>
      </c>
      <c r="Q2634" s="40" t="str">
        <f>IF(OR(T2634=0,RIGHT(T2634,1)=$W$1),"",COUNTIF($T$3:T2634,T2634))</f>
        <v/>
      </c>
      <c r="S2634" s="6">
        <f t="shared" si="418"/>
        <v>0</v>
      </c>
      <c r="T2634" s="36">
        <f t="shared" si="419"/>
        <v>0</v>
      </c>
      <c r="V2634" s="6">
        <f t="shared" si="420"/>
        <v>0</v>
      </c>
      <c r="Y2634" s="8">
        <f t="shared" si="421"/>
        <v>46023</v>
      </c>
    </row>
    <row r="2635" spans="2:25" ht="18.75" x14ac:dyDescent="0.3">
      <c r="B2635" s="6">
        <f t="shared" si="413"/>
        <v>0</v>
      </c>
      <c r="C2635" s="6">
        <f t="shared" si="414"/>
        <v>0</v>
      </c>
      <c r="D2635" s="6" t="str">
        <f t="shared" si="415"/>
        <v/>
      </c>
      <c r="E2635" s="35" t="str">
        <f t="shared" si="412"/>
        <v/>
      </c>
      <c r="F2635" s="31"/>
      <c r="G2635" s="29"/>
      <c r="H2635" s="78" t="str">
        <f t="shared" si="416"/>
        <v/>
      </c>
      <c r="I2635" s="25"/>
      <c r="J2635" s="25"/>
      <c r="K2635" s="26"/>
      <c r="L2635" s="26"/>
      <c r="M2635" s="37"/>
      <c r="N2635" s="27"/>
      <c r="O2635" s="30"/>
      <c r="P2635" s="39" t="str">
        <f t="shared" si="417"/>
        <v/>
      </c>
      <c r="Q2635" s="40" t="str">
        <f>IF(OR(T2635=0,RIGHT(T2635,1)=$W$1),"",COUNTIF($T$3:T2635,T2635))</f>
        <v/>
      </c>
      <c r="S2635" s="6">
        <f t="shared" si="418"/>
        <v>0</v>
      </c>
      <c r="T2635" s="36">
        <f t="shared" si="419"/>
        <v>0</v>
      </c>
      <c r="V2635" s="6">
        <f t="shared" si="420"/>
        <v>0</v>
      </c>
      <c r="Y2635" s="8">
        <f t="shared" si="421"/>
        <v>46023</v>
      </c>
    </row>
    <row r="2636" spans="2:25" ht="18.75" x14ac:dyDescent="0.3">
      <c r="B2636" s="6">
        <f t="shared" si="413"/>
        <v>0</v>
      </c>
      <c r="C2636" s="6">
        <f t="shared" si="414"/>
        <v>0</v>
      </c>
      <c r="D2636" s="6" t="str">
        <f t="shared" si="415"/>
        <v/>
      </c>
      <c r="E2636" s="35" t="str">
        <f t="shared" si="412"/>
        <v/>
      </c>
      <c r="F2636" s="31"/>
      <c r="G2636" s="29"/>
      <c r="H2636" s="78" t="str">
        <f t="shared" si="416"/>
        <v/>
      </c>
      <c r="I2636" s="25"/>
      <c r="J2636" s="25"/>
      <c r="K2636" s="26"/>
      <c r="L2636" s="26"/>
      <c r="M2636" s="37"/>
      <c r="N2636" s="27"/>
      <c r="O2636" s="30"/>
      <c r="P2636" s="39" t="str">
        <f t="shared" si="417"/>
        <v/>
      </c>
      <c r="Q2636" s="40" t="str">
        <f>IF(OR(T2636=0,RIGHT(T2636,1)=$W$1),"",COUNTIF($T$3:T2636,T2636))</f>
        <v/>
      </c>
      <c r="S2636" s="6">
        <f t="shared" si="418"/>
        <v>0</v>
      </c>
      <c r="T2636" s="36">
        <f t="shared" si="419"/>
        <v>0</v>
      </c>
      <c r="V2636" s="6">
        <f t="shared" si="420"/>
        <v>0</v>
      </c>
      <c r="Y2636" s="8">
        <f t="shared" si="421"/>
        <v>46023</v>
      </c>
    </row>
    <row r="2637" spans="2:25" ht="18.75" x14ac:dyDescent="0.3">
      <c r="B2637" s="6">
        <f t="shared" si="413"/>
        <v>0</v>
      </c>
      <c r="C2637" s="6">
        <f t="shared" si="414"/>
        <v>0</v>
      </c>
      <c r="D2637" s="6" t="str">
        <f t="shared" si="415"/>
        <v/>
      </c>
      <c r="E2637" s="35" t="str">
        <f t="shared" si="412"/>
        <v/>
      </c>
      <c r="F2637" s="31"/>
      <c r="G2637" s="29"/>
      <c r="H2637" s="78" t="str">
        <f t="shared" si="416"/>
        <v/>
      </c>
      <c r="I2637" s="25"/>
      <c r="J2637" s="25"/>
      <c r="K2637" s="26"/>
      <c r="L2637" s="26"/>
      <c r="M2637" s="37"/>
      <c r="N2637" s="27"/>
      <c r="O2637" s="30"/>
      <c r="P2637" s="39" t="str">
        <f t="shared" si="417"/>
        <v/>
      </c>
      <c r="Q2637" s="40" t="str">
        <f>IF(OR(T2637=0,RIGHT(T2637,1)=$W$1),"",COUNTIF($T$3:T2637,T2637))</f>
        <v/>
      </c>
      <c r="S2637" s="6">
        <f t="shared" si="418"/>
        <v>0</v>
      </c>
      <c r="T2637" s="36">
        <f t="shared" si="419"/>
        <v>0</v>
      </c>
      <c r="V2637" s="6">
        <f t="shared" si="420"/>
        <v>0</v>
      </c>
      <c r="Y2637" s="8">
        <f t="shared" si="421"/>
        <v>46023</v>
      </c>
    </row>
    <row r="2638" spans="2:25" ht="18.75" x14ac:dyDescent="0.3">
      <c r="B2638" s="6">
        <f t="shared" si="413"/>
        <v>0</v>
      </c>
      <c r="C2638" s="6">
        <f t="shared" si="414"/>
        <v>0</v>
      </c>
      <c r="D2638" s="6" t="str">
        <f t="shared" si="415"/>
        <v/>
      </c>
      <c r="E2638" s="35" t="str">
        <f t="shared" si="412"/>
        <v/>
      </c>
      <c r="F2638" s="31"/>
      <c r="G2638" s="29"/>
      <c r="H2638" s="78" t="str">
        <f t="shared" si="416"/>
        <v/>
      </c>
      <c r="I2638" s="25"/>
      <c r="J2638" s="25"/>
      <c r="K2638" s="26"/>
      <c r="L2638" s="26"/>
      <c r="M2638" s="37"/>
      <c r="N2638" s="27"/>
      <c r="O2638" s="30"/>
      <c r="P2638" s="39" t="str">
        <f t="shared" si="417"/>
        <v/>
      </c>
      <c r="Q2638" s="40" t="str">
        <f>IF(OR(T2638=0,RIGHT(T2638,1)=$W$1),"",COUNTIF($T$3:T2638,T2638))</f>
        <v/>
      </c>
      <c r="S2638" s="6">
        <f t="shared" si="418"/>
        <v>0</v>
      </c>
      <c r="T2638" s="36">
        <f t="shared" si="419"/>
        <v>0</v>
      </c>
      <c r="V2638" s="6">
        <f t="shared" si="420"/>
        <v>0</v>
      </c>
      <c r="Y2638" s="8">
        <f t="shared" si="421"/>
        <v>46023</v>
      </c>
    </row>
    <row r="2639" spans="2:25" ht="18.75" x14ac:dyDescent="0.3">
      <c r="B2639" s="6">
        <f t="shared" si="413"/>
        <v>0</v>
      </c>
      <c r="C2639" s="6">
        <f t="shared" si="414"/>
        <v>0</v>
      </c>
      <c r="D2639" s="6" t="str">
        <f t="shared" si="415"/>
        <v/>
      </c>
      <c r="E2639" s="35" t="str">
        <f t="shared" si="412"/>
        <v/>
      </c>
      <c r="F2639" s="31"/>
      <c r="G2639" s="29"/>
      <c r="H2639" s="78" t="str">
        <f t="shared" si="416"/>
        <v/>
      </c>
      <c r="I2639" s="25"/>
      <c r="J2639" s="25"/>
      <c r="K2639" s="26"/>
      <c r="L2639" s="26"/>
      <c r="M2639" s="37"/>
      <c r="N2639" s="27"/>
      <c r="O2639" s="30"/>
      <c r="P2639" s="39" t="str">
        <f t="shared" si="417"/>
        <v/>
      </c>
      <c r="Q2639" s="40" t="str">
        <f>IF(OR(T2639=0,RIGHT(T2639,1)=$W$1),"",COUNTIF($T$3:T2639,T2639))</f>
        <v/>
      </c>
      <c r="S2639" s="6">
        <f t="shared" si="418"/>
        <v>0</v>
      </c>
      <c r="T2639" s="36">
        <f t="shared" si="419"/>
        <v>0</v>
      </c>
      <c r="V2639" s="6">
        <f t="shared" si="420"/>
        <v>0</v>
      </c>
      <c r="Y2639" s="8">
        <f t="shared" si="421"/>
        <v>46023</v>
      </c>
    </row>
    <row r="2640" spans="2:25" ht="18.75" x14ac:dyDescent="0.3">
      <c r="B2640" s="6">
        <f t="shared" si="413"/>
        <v>0</v>
      </c>
      <c r="C2640" s="6">
        <f t="shared" si="414"/>
        <v>0</v>
      </c>
      <c r="D2640" s="6" t="str">
        <f t="shared" si="415"/>
        <v/>
      </c>
      <c r="E2640" s="35" t="str">
        <f t="shared" si="412"/>
        <v/>
      </c>
      <c r="F2640" s="31"/>
      <c r="G2640" s="29"/>
      <c r="H2640" s="78" t="str">
        <f t="shared" si="416"/>
        <v/>
      </c>
      <c r="I2640" s="25"/>
      <c r="J2640" s="25"/>
      <c r="K2640" s="26"/>
      <c r="L2640" s="26"/>
      <c r="M2640" s="37"/>
      <c r="N2640" s="27"/>
      <c r="O2640" s="30"/>
      <c r="P2640" s="39" t="str">
        <f t="shared" si="417"/>
        <v/>
      </c>
      <c r="Q2640" s="40" t="str">
        <f>IF(OR(T2640=0,RIGHT(T2640,1)=$W$1),"",COUNTIF($T$3:T2640,T2640))</f>
        <v/>
      </c>
      <c r="S2640" s="6">
        <f t="shared" si="418"/>
        <v>0</v>
      </c>
      <c r="T2640" s="36">
        <f t="shared" si="419"/>
        <v>0</v>
      </c>
      <c r="V2640" s="6">
        <f t="shared" si="420"/>
        <v>0</v>
      </c>
      <c r="Y2640" s="8">
        <f t="shared" si="421"/>
        <v>46023</v>
      </c>
    </row>
    <row r="2641" spans="2:25" ht="18.75" x14ac:dyDescent="0.3">
      <c r="B2641" s="6">
        <f t="shared" si="413"/>
        <v>0</v>
      </c>
      <c r="C2641" s="6">
        <f t="shared" si="414"/>
        <v>0</v>
      </c>
      <c r="D2641" s="6" t="str">
        <f t="shared" si="415"/>
        <v/>
      </c>
      <c r="E2641" s="35" t="str">
        <f t="shared" si="412"/>
        <v/>
      </c>
      <c r="F2641" s="31"/>
      <c r="G2641" s="29"/>
      <c r="H2641" s="78" t="str">
        <f t="shared" si="416"/>
        <v/>
      </c>
      <c r="I2641" s="25"/>
      <c r="J2641" s="25"/>
      <c r="K2641" s="26"/>
      <c r="L2641" s="26"/>
      <c r="M2641" s="37"/>
      <c r="N2641" s="27"/>
      <c r="O2641" s="30"/>
      <c r="P2641" s="39" t="str">
        <f t="shared" si="417"/>
        <v/>
      </c>
      <c r="Q2641" s="40" t="str">
        <f>IF(OR(T2641=0,RIGHT(T2641,1)=$W$1),"",COUNTIF($T$3:T2641,T2641))</f>
        <v/>
      </c>
      <c r="S2641" s="6">
        <f t="shared" si="418"/>
        <v>0</v>
      </c>
      <c r="T2641" s="36">
        <f t="shared" si="419"/>
        <v>0</v>
      </c>
      <c r="V2641" s="6">
        <f t="shared" si="420"/>
        <v>0</v>
      </c>
      <c r="Y2641" s="8">
        <f t="shared" si="421"/>
        <v>46023</v>
      </c>
    </row>
    <row r="2642" spans="2:25" ht="18.75" x14ac:dyDescent="0.3">
      <c r="B2642" s="6">
        <f t="shared" si="413"/>
        <v>0</v>
      </c>
      <c r="C2642" s="6">
        <f t="shared" si="414"/>
        <v>0</v>
      </c>
      <c r="D2642" s="6" t="str">
        <f t="shared" si="415"/>
        <v/>
      </c>
      <c r="E2642" s="35" t="str">
        <f t="shared" si="412"/>
        <v/>
      </c>
      <c r="F2642" s="31"/>
      <c r="G2642" s="29"/>
      <c r="H2642" s="78" t="str">
        <f t="shared" si="416"/>
        <v/>
      </c>
      <c r="I2642" s="25"/>
      <c r="J2642" s="25"/>
      <c r="K2642" s="26"/>
      <c r="L2642" s="26"/>
      <c r="M2642" s="37"/>
      <c r="N2642" s="27"/>
      <c r="O2642" s="30"/>
      <c r="P2642" s="39" t="str">
        <f t="shared" si="417"/>
        <v/>
      </c>
      <c r="Q2642" s="40" t="str">
        <f>IF(OR(T2642=0,RIGHT(T2642,1)=$W$1),"",COUNTIF($T$3:T2642,T2642))</f>
        <v/>
      </c>
      <c r="S2642" s="6">
        <f t="shared" si="418"/>
        <v>0</v>
      </c>
      <c r="T2642" s="36">
        <f t="shared" si="419"/>
        <v>0</v>
      </c>
      <c r="V2642" s="6">
        <f t="shared" si="420"/>
        <v>0</v>
      </c>
      <c r="Y2642" s="8">
        <f t="shared" si="421"/>
        <v>46023</v>
      </c>
    </row>
    <row r="2643" spans="2:25" ht="18.75" x14ac:dyDescent="0.3">
      <c r="B2643" s="6">
        <f t="shared" si="413"/>
        <v>0</v>
      </c>
      <c r="C2643" s="6">
        <f t="shared" si="414"/>
        <v>0</v>
      </c>
      <c r="D2643" s="6" t="str">
        <f t="shared" si="415"/>
        <v/>
      </c>
      <c r="E2643" s="35" t="str">
        <f t="shared" si="412"/>
        <v/>
      </c>
      <c r="F2643" s="31"/>
      <c r="G2643" s="29"/>
      <c r="H2643" s="78" t="str">
        <f t="shared" si="416"/>
        <v/>
      </c>
      <c r="I2643" s="25"/>
      <c r="J2643" s="25"/>
      <c r="K2643" s="26"/>
      <c r="L2643" s="26"/>
      <c r="M2643" s="37"/>
      <c r="N2643" s="27"/>
      <c r="O2643" s="30"/>
      <c r="P2643" s="39" t="str">
        <f t="shared" si="417"/>
        <v/>
      </c>
      <c r="Q2643" s="40" t="str">
        <f>IF(OR(T2643=0,RIGHT(T2643,1)=$W$1),"",COUNTIF($T$3:T2643,T2643))</f>
        <v/>
      </c>
      <c r="S2643" s="6">
        <f t="shared" si="418"/>
        <v>0</v>
      </c>
      <c r="T2643" s="36">
        <f t="shared" si="419"/>
        <v>0</v>
      </c>
      <c r="V2643" s="6">
        <f t="shared" si="420"/>
        <v>0</v>
      </c>
      <c r="Y2643" s="8">
        <f t="shared" si="421"/>
        <v>46023</v>
      </c>
    </row>
    <row r="2644" spans="2:25" ht="18.75" x14ac:dyDescent="0.3">
      <c r="B2644" s="6">
        <f t="shared" si="413"/>
        <v>0</v>
      </c>
      <c r="C2644" s="6">
        <f t="shared" si="414"/>
        <v>0</v>
      </c>
      <c r="D2644" s="6" t="str">
        <f t="shared" si="415"/>
        <v/>
      </c>
      <c r="E2644" s="35" t="str">
        <f t="shared" si="412"/>
        <v/>
      </c>
      <c r="F2644" s="31"/>
      <c r="G2644" s="29"/>
      <c r="H2644" s="78" t="str">
        <f t="shared" si="416"/>
        <v/>
      </c>
      <c r="I2644" s="25"/>
      <c r="J2644" s="25"/>
      <c r="K2644" s="26"/>
      <c r="L2644" s="26"/>
      <c r="M2644" s="37"/>
      <c r="N2644" s="27"/>
      <c r="O2644" s="30"/>
      <c r="P2644" s="39" t="str">
        <f t="shared" si="417"/>
        <v/>
      </c>
      <c r="Q2644" s="40" t="str">
        <f>IF(OR(T2644=0,RIGHT(T2644,1)=$W$1),"",COUNTIF($T$3:T2644,T2644))</f>
        <v/>
      </c>
      <c r="S2644" s="6">
        <f t="shared" si="418"/>
        <v>0</v>
      </c>
      <c r="T2644" s="36">
        <f t="shared" si="419"/>
        <v>0</v>
      </c>
      <c r="V2644" s="6">
        <f t="shared" si="420"/>
        <v>0</v>
      </c>
      <c r="Y2644" s="8">
        <f t="shared" si="421"/>
        <v>46023</v>
      </c>
    </row>
    <row r="2645" spans="2:25" ht="18.75" x14ac:dyDescent="0.3">
      <c r="B2645" s="6">
        <f t="shared" si="413"/>
        <v>0</v>
      </c>
      <c r="C2645" s="6">
        <f t="shared" si="414"/>
        <v>0</v>
      </c>
      <c r="D2645" s="6" t="str">
        <f t="shared" si="415"/>
        <v/>
      </c>
      <c r="E2645" s="35" t="str">
        <f t="shared" si="412"/>
        <v/>
      </c>
      <c r="F2645" s="31"/>
      <c r="G2645" s="29"/>
      <c r="H2645" s="78" t="str">
        <f t="shared" si="416"/>
        <v/>
      </c>
      <c r="I2645" s="25"/>
      <c r="J2645" s="25"/>
      <c r="K2645" s="26"/>
      <c r="L2645" s="26"/>
      <c r="M2645" s="37"/>
      <c r="N2645" s="27"/>
      <c r="O2645" s="30"/>
      <c r="P2645" s="39" t="str">
        <f t="shared" si="417"/>
        <v/>
      </c>
      <c r="Q2645" s="40" t="str">
        <f>IF(OR(T2645=0,RIGHT(T2645,1)=$W$1),"",COUNTIF($T$3:T2645,T2645))</f>
        <v/>
      </c>
      <c r="S2645" s="6">
        <f t="shared" si="418"/>
        <v>0</v>
      </c>
      <c r="T2645" s="36">
        <f t="shared" si="419"/>
        <v>0</v>
      </c>
      <c r="V2645" s="6">
        <f t="shared" si="420"/>
        <v>0</v>
      </c>
      <c r="Y2645" s="8">
        <f t="shared" si="421"/>
        <v>46023</v>
      </c>
    </row>
    <row r="2646" spans="2:25" ht="18.75" x14ac:dyDescent="0.3">
      <c r="B2646" s="6">
        <f t="shared" si="413"/>
        <v>0</v>
      </c>
      <c r="C2646" s="6">
        <f t="shared" si="414"/>
        <v>0</v>
      </c>
      <c r="D2646" s="6" t="str">
        <f t="shared" si="415"/>
        <v/>
      </c>
      <c r="E2646" s="35" t="str">
        <f t="shared" si="412"/>
        <v/>
      </c>
      <c r="F2646" s="31"/>
      <c r="G2646" s="29"/>
      <c r="H2646" s="78" t="str">
        <f t="shared" si="416"/>
        <v/>
      </c>
      <c r="I2646" s="25"/>
      <c r="J2646" s="25"/>
      <c r="K2646" s="26"/>
      <c r="L2646" s="26"/>
      <c r="M2646" s="37"/>
      <c r="N2646" s="27"/>
      <c r="O2646" s="30"/>
      <c r="P2646" s="39" t="str">
        <f t="shared" si="417"/>
        <v/>
      </c>
      <c r="Q2646" s="40" t="str">
        <f>IF(OR(T2646=0,RIGHT(T2646,1)=$W$1),"",COUNTIF($T$3:T2646,T2646))</f>
        <v/>
      </c>
      <c r="S2646" s="6">
        <f t="shared" si="418"/>
        <v>0</v>
      </c>
      <c r="T2646" s="36">
        <f t="shared" si="419"/>
        <v>0</v>
      </c>
      <c r="V2646" s="6">
        <f t="shared" si="420"/>
        <v>0</v>
      </c>
      <c r="Y2646" s="8">
        <f t="shared" si="421"/>
        <v>46023</v>
      </c>
    </row>
    <row r="2647" spans="2:25" ht="18.75" x14ac:dyDescent="0.3">
      <c r="B2647" s="6">
        <f t="shared" si="413"/>
        <v>0</v>
      </c>
      <c r="C2647" s="6">
        <f t="shared" si="414"/>
        <v>0</v>
      </c>
      <c r="D2647" s="6" t="str">
        <f t="shared" si="415"/>
        <v/>
      </c>
      <c r="E2647" s="35" t="str">
        <f t="shared" si="412"/>
        <v/>
      </c>
      <c r="F2647" s="31"/>
      <c r="G2647" s="29"/>
      <c r="H2647" s="78" t="str">
        <f t="shared" si="416"/>
        <v/>
      </c>
      <c r="I2647" s="25"/>
      <c r="J2647" s="25"/>
      <c r="K2647" s="26"/>
      <c r="L2647" s="26"/>
      <c r="M2647" s="37"/>
      <c r="N2647" s="27"/>
      <c r="O2647" s="30"/>
      <c r="P2647" s="39" t="str">
        <f t="shared" si="417"/>
        <v/>
      </c>
      <c r="Q2647" s="40" t="str">
        <f>IF(OR(T2647=0,RIGHT(T2647,1)=$W$1),"",COUNTIF($T$3:T2647,T2647))</f>
        <v/>
      </c>
      <c r="S2647" s="6">
        <f t="shared" si="418"/>
        <v>0</v>
      </c>
      <c r="T2647" s="36">
        <f t="shared" si="419"/>
        <v>0</v>
      </c>
      <c r="V2647" s="6">
        <f t="shared" si="420"/>
        <v>0</v>
      </c>
      <c r="Y2647" s="8">
        <f t="shared" si="421"/>
        <v>46023</v>
      </c>
    </row>
    <row r="2648" spans="2:25" ht="18.75" x14ac:dyDescent="0.3">
      <c r="B2648" s="6">
        <f t="shared" si="413"/>
        <v>0</v>
      </c>
      <c r="C2648" s="6">
        <f t="shared" si="414"/>
        <v>0</v>
      </c>
      <c r="D2648" s="6" t="str">
        <f t="shared" si="415"/>
        <v/>
      </c>
      <c r="E2648" s="35" t="str">
        <f t="shared" si="412"/>
        <v/>
      </c>
      <c r="F2648" s="31"/>
      <c r="G2648" s="29"/>
      <c r="H2648" s="78" t="str">
        <f t="shared" si="416"/>
        <v/>
      </c>
      <c r="I2648" s="25"/>
      <c r="J2648" s="25"/>
      <c r="K2648" s="26"/>
      <c r="L2648" s="26"/>
      <c r="M2648" s="37"/>
      <c r="N2648" s="27"/>
      <c r="O2648" s="30"/>
      <c r="P2648" s="39" t="str">
        <f t="shared" si="417"/>
        <v/>
      </c>
      <c r="Q2648" s="40" t="str">
        <f>IF(OR(T2648=0,RIGHT(T2648,1)=$W$1),"",COUNTIF($T$3:T2648,T2648))</f>
        <v/>
      </c>
      <c r="S2648" s="6">
        <f t="shared" si="418"/>
        <v>0</v>
      </c>
      <c r="T2648" s="36">
        <f t="shared" si="419"/>
        <v>0</v>
      </c>
      <c r="V2648" s="6">
        <f t="shared" si="420"/>
        <v>0</v>
      </c>
      <c r="Y2648" s="8">
        <f t="shared" si="421"/>
        <v>46023</v>
      </c>
    </row>
    <row r="2649" spans="2:25" ht="18.75" x14ac:dyDescent="0.3">
      <c r="B2649" s="6">
        <f t="shared" si="413"/>
        <v>0</v>
      </c>
      <c r="C2649" s="6">
        <f t="shared" si="414"/>
        <v>0</v>
      </c>
      <c r="D2649" s="6" t="str">
        <f t="shared" si="415"/>
        <v/>
      </c>
      <c r="E2649" s="35" t="str">
        <f t="shared" si="412"/>
        <v/>
      </c>
      <c r="F2649" s="31"/>
      <c r="G2649" s="29"/>
      <c r="H2649" s="78" t="str">
        <f t="shared" si="416"/>
        <v/>
      </c>
      <c r="I2649" s="25"/>
      <c r="J2649" s="25"/>
      <c r="K2649" s="26"/>
      <c r="L2649" s="26"/>
      <c r="M2649" s="37"/>
      <c r="N2649" s="27"/>
      <c r="O2649" s="30"/>
      <c r="P2649" s="39" t="str">
        <f t="shared" si="417"/>
        <v/>
      </c>
      <c r="Q2649" s="40" t="str">
        <f>IF(OR(T2649=0,RIGHT(T2649,1)=$W$1),"",COUNTIF($T$3:T2649,T2649))</f>
        <v/>
      </c>
      <c r="S2649" s="6">
        <f t="shared" si="418"/>
        <v>0</v>
      </c>
      <c r="T2649" s="36">
        <f t="shared" si="419"/>
        <v>0</v>
      </c>
      <c r="V2649" s="6">
        <f t="shared" si="420"/>
        <v>0</v>
      </c>
      <c r="Y2649" s="8">
        <f t="shared" si="421"/>
        <v>46023</v>
      </c>
    </row>
    <row r="2650" spans="2:25" ht="18.75" x14ac:dyDescent="0.3">
      <c r="B2650" s="6">
        <f t="shared" si="413"/>
        <v>0</v>
      </c>
      <c r="C2650" s="6">
        <f t="shared" si="414"/>
        <v>0</v>
      </c>
      <c r="D2650" s="6" t="str">
        <f t="shared" si="415"/>
        <v/>
      </c>
      <c r="E2650" s="35" t="str">
        <f t="shared" si="412"/>
        <v/>
      </c>
      <c r="F2650" s="31"/>
      <c r="G2650" s="29"/>
      <c r="H2650" s="78" t="str">
        <f t="shared" si="416"/>
        <v/>
      </c>
      <c r="I2650" s="25"/>
      <c r="J2650" s="25"/>
      <c r="K2650" s="26"/>
      <c r="L2650" s="26"/>
      <c r="M2650" s="37"/>
      <c r="N2650" s="27"/>
      <c r="O2650" s="30"/>
      <c r="P2650" s="39" t="str">
        <f t="shared" si="417"/>
        <v/>
      </c>
      <c r="Q2650" s="40" t="str">
        <f>IF(OR(T2650=0,RIGHT(T2650,1)=$W$1),"",COUNTIF($T$3:T2650,T2650))</f>
        <v/>
      </c>
      <c r="S2650" s="6">
        <f t="shared" si="418"/>
        <v>0</v>
      </c>
      <c r="T2650" s="36">
        <f t="shared" si="419"/>
        <v>0</v>
      </c>
      <c r="V2650" s="6">
        <f t="shared" si="420"/>
        <v>0</v>
      </c>
      <c r="Y2650" s="8">
        <f t="shared" si="421"/>
        <v>46023</v>
      </c>
    </row>
    <row r="2651" spans="2:25" ht="18.75" x14ac:dyDescent="0.3">
      <c r="B2651" s="6">
        <f t="shared" si="413"/>
        <v>0</v>
      </c>
      <c r="C2651" s="6">
        <f t="shared" si="414"/>
        <v>0</v>
      </c>
      <c r="D2651" s="6" t="str">
        <f t="shared" si="415"/>
        <v/>
      </c>
      <c r="E2651" s="35" t="str">
        <f t="shared" si="412"/>
        <v/>
      </c>
      <c r="F2651" s="31"/>
      <c r="G2651" s="29"/>
      <c r="H2651" s="78" t="str">
        <f t="shared" si="416"/>
        <v/>
      </c>
      <c r="I2651" s="25"/>
      <c r="J2651" s="25"/>
      <c r="K2651" s="26"/>
      <c r="L2651" s="26"/>
      <c r="M2651" s="37"/>
      <c r="N2651" s="27"/>
      <c r="O2651" s="30"/>
      <c r="P2651" s="39" t="str">
        <f t="shared" si="417"/>
        <v/>
      </c>
      <c r="Q2651" s="40" t="str">
        <f>IF(OR(T2651=0,RIGHT(T2651,1)=$W$1),"",COUNTIF($T$3:T2651,T2651))</f>
        <v/>
      </c>
      <c r="S2651" s="6">
        <f t="shared" si="418"/>
        <v>0</v>
      </c>
      <c r="T2651" s="36">
        <f t="shared" si="419"/>
        <v>0</v>
      </c>
      <c r="V2651" s="6">
        <f t="shared" si="420"/>
        <v>0</v>
      </c>
      <c r="Y2651" s="8">
        <f t="shared" si="421"/>
        <v>46023</v>
      </c>
    </row>
    <row r="2652" spans="2:25" ht="18.75" x14ac:dyDescent="0.3">
      <c r="B2652" s="6">
        <f t="shared" si="413"/>
        <v>0</v>
      </c>
      <c r="C2652" s="6">
        <f t="shared" si="414"/>
        <v>0</v>
      </c>
      <c r="D2652" s="6" t="str">
        <f t="shared" si="415"/>
        <v/>
      </c>
      <c r="E2652" s="35" t="str">
        <f t="shared" si="412"/>
        <v/>
      </c>
      <c r="F2652" s="31"/>
      <c r="G2652" s="29"/>
      <c r="H2652" s="78" t="str">
        <f t="shared" si="416"/>
        <v/>
      </c>
      <c r="I2652" s="25"/>
      <c r="J2652" s="25"/>
      <c r="K2652" s="26"/>
      <c r="L2652" s="26"/>
      <c r="M2652" s="37"/>
      <c r="N2652" s="27"/>
      <c r="O2652" s="30"/>
      <c r="P2652" s="39" t="str">
        <f t="shared" si="417"/>
        <v/>
      </c>
      <c r="Q2652" s="40" t="str">
        <f>IF(OR(T2652=0,RIGHT(T2652,1)=$W$1),"",COUNTIF($T$3:T2652,T2652))</f>
        <v/>
      </c>
      <c r="S2652" s="6">
        <f t="shared" si="418"/>
        <v>0</v>
      </c>
      <c r="T2652" s="36">
        <f t="shared" si="419"/>
        <v>0</v>
      </c>
      <c r="V2652" s="6">
        <f t="shared" si="420"/>
        <v>0</v>
      </c>
      <c r="Y2652" s="8">
        <f t="shared" si="421"/>
        <v>46023</v>
      </c>
    </row>
    <row r="2653" spans="2:25" ht="18.75" x14ac:dyDescent="0.3">
      <c r="B2653" s="6">
        <f t="shared" si="413"/>
        <v>0</v>
      </c>
      <c r="C2653" s="6">
        <f t="shared" si="414"/>
        <v>0</v>
      </c>
      <c r="D2653" s="6" t="str">
        <f t="shared" si="415"/>
        <v/>
      </c>
      <c r="E2653" s="35" t="str">
        <f t="shared" si="412"/>
        <v/>
      </c>
      <c r="F2653" s="31"/>
      <c r="G2653" s="29"/>
      <c r="H2653" s="78" t="str">
        <f t="shared" si="416"/>
        <v/>
      </c>
      <c r="I2653" s="25"/>
      <c r="J2653" s="25"/>
      <c r="K2653" s="26"/>
      <c r="L2653" s="26"/>
      <c r="M2653" s="37"/>
      <c r="N2653" s="27"/>
      <c r="O2653" s="30"/>
      <c r="P2653" s="39" t="str">
        <f t="shared" si="417"/>
        <v/>
      </c>
      <c r="Q2653" s="40" t="str">
        <f>IF(OR(T2653=0,RIGHT(T2653,1)=$W$1),"",COUNTIF($T$3:T2653,T2653))</f>
        <v/>
      </c>
      <c r="S2653" s="6">
        <f t="shared" si="418"/>
        <v>0</v>
      </c>
      <c r="T2653" s="36">
        <f t="shared" si="419"/>
        <v>0</v>
      </c>
      <c r="V2653" s="6">
        <f t="shared" si="420"/>
        <v>0</v>
      </c>
      <c r="Y2653" s="8">
        <f t="shared" si="421"/>
        <v>46023</v>
      </c>
    </row>
    <row r="2654" spans="2:25" ht="18.75" x14ac:dyDescent="0.3">
      <c r="B2654" s="6">
        <f t="shared" si="413"/>
        <v>0</v>
      </c>
      <c r="C2654" s="6">
        <f t="shared" si="414"/>
        <v>0</v>
      </c>
      <c r="D2654" s="6" t="str">
        <f t="shared" si="415"/>
        <v/>
      </c>
      <c r="E2654" s="35" t="str">
        <f t="shared" si="412"/>
        <v/>
      </c>
      <c r="F2654" s="31"/>
      <c r="G2654" s="29"/>
      <c r="H2654" s="78" t="str">
        <f t="shared" si="416"/>
        <v/>
      </c>
      <c r="I2654" s="25"/>
      <c r="J2654" s="25"/>
      <c r="K2654" s="26"/>
      <c r="L2654" s="26"/>
      <c r="M2654" s="37"/>
      <c r="N2654" s="27"/>
      <c r="O2654" s="30"/>
      <c r="P2654" s="39" t="str">
        <f t="shared" si="417"/>
        <v/>
      </c>
      <c r="Q2654" s="40" t="str">
        <f>IF(OR(T2654=0,RIGHT(T2654,1)=$W$1),"",COUNTIF($T$3:T2654,T2654))</f>
        <v/>
      </c>
      <c r="S2654" s="6">
        <f t="shared" si="418"/>
        <v>0</v>
      </c>
      <c r="T2654" s="36">
        <f t="shared" si="419"/>
        <v>0</v>
      </c>
      <c r="V2654" s="6">
        <f t="shared" si="420"/>
        <v>0</v>
      </c>
      <c r="Y2654" s="8">
        <f t="shared" si="421"/>
        <v>46023</v>
      </c>
    </row>
    <row r="2655" spans="2:25" ht="18.75" x14ac:dyDescent="0.3">
      <c r="B2655" s="6">
        <f t="shared" si="413"/>
        <v>0</v>
      </c>
      <c r="C2655" s="6">
        <f t="shared" si="414"/>
        <v>0</v>
      </c>
      <c r="D2655" s="6" t="str">
        <f t="shared" si="415"/>
        <v/>
      </c>
      <c r="E2655" s="35" t="str">
        <f t="shared" si="412"/>
        <v/>
      </c>
      <c r="F2655" s="31"/>
      <c r="G2655" s="29"/>
      <c r="H2655" s="78" t="str">
        <f t="shared" si="416"/>
        <v/>
      </c>
      <c r="I2655" s="25"/>
      <c r="J2655" s="25"/>
      <c r="K2655" s="26"/>
      <c r="L2655" s="26"/>
      <c r="M2655" s="37"/>
      <c r="N2655" s="27"/>
      <c r="O2655" s="30"/>
      <c r="P2655" s="39" t="str">
        <f t="shared" si="417"/>
        <v/>
      </c>
      <c r="Q2655" s="40" t="str">
        <f>IF(OR(T2655=0,RIGHT(T2655,1)=$W$1),"",COUNTIF($T$3:T2655,T2655))</f>
        <v/>
      </c>
      <c r="S2655" s="6">
        <f t="shared" si="418"/>
        <v>0</v>
      </c>
      <c r="T2655" s="36">
        <f t="shared" si="419"/>
        <v>0</v>
      </c>
      <c r="V2655" s="6">
        <f t="shared" si="420"/>
        <v>0</v>
      </c>
      <c r="Y2655" s="8">
        <f t="shared" si="421"/>
        <v>46023</v>
      </c>
    </row>
    <row r="2656" spans="2:25" ht="18.75" x14ac:dyDescent="0.3">
      <c r="B2656" s="6">
        <f t="shared" si="413"/>
        <v>0</v>
      </c>
      <c r="C2656" s="6">
        <f t="shared" si="414"/>
        <v>0</v>
      </c>
      <c r="D2656" s="6" t="str">
        <f t="shared" si="415"/>
        <v/>
      </c>
      <c r="E2656" s="35" t="str">
        <f t="shared" si="412"/>
        <v/>
      </c>
      <c r="F2656" s="31"/>
      <c r="G2656" s="29"/>
      <c r="H2656" s="78" t="str">
        <f t="shared" si="416"/>
        <v/>
      </c>
      <c r="I2656" s="25"/>
      <c r="J2656" s="25"/>
      <c r="K2656" s="26"/>
      <c r="L2656" s="26"/>
      <c r="M2656" s="37"/>
      <c r="N2656" s="27"/>
      <c r="O2656" s="30"/>
      <c r="P2656" s="39" t="str">
        <f t="shared" si="417"/>
        <v/>
      </c>
      <c r="Q2656" s="40" t="str">
        <f>IF(OR(T2656=0,RIGHT(T2656,1)=$W$1),"",COUNTIF($T$3:T2656,T2656))</f>
        <v/>
      </c>
      <c r="S2656" s="6">
        <f t="shared" si="418"/>
        <v>0</v>
      </c>
      <c r="T2656" s="36">
        <f t="shared" si="419"/>
        <v>0</v>
      </c>
      <c r="V2656" s="6">
        <f t="shared" si="420"/>
        <v>0</v>
      </c>
      <c r="Y2656" s="8">
        <f t="shared" si="421"/>
        <v>46023</v>
      </c>
    </row>
    <row r="2657" spans="2:25" ht="18.75" x14ac:dyDescent="0.3">
      <c r="B2657" s="6">
        <f t="shared" si="413"/>
        <v>0</v>
      </c>
      <c r="C2657" s="6">
        <f t="shared" si="414"/>
        <v>0</v>
      </c>
      <c r="D2657" s="6" t="str">
        <f t="shared" si="415"/>
        <v/>
      </c>
      <c r="E2657" s="35" t="str">
        <f t="shared" si="412"/>
        <v/>
      </c>
      <c r="F2657" s="31"/>
      <c r="G2657" s="29"/>
      <c r="H2657" s="78" t="str">
        <f t="shared" si="416"/>
        <v/>
      </c>
      <c r="I2657" s="25"/>
      <c r="J2657" s="25"/>
      <c r="K2657" s="26"/>
      <c r="L2657" s="26"/>
      <c r="M2657" s="37"/>
      <c r="N2657" s="27"/>
      <c r="O2657" s="30"/>
      <c r="P2657" s="39" t="str">
        <f t="shared" si="417"/>
        <v/>
      </c>
      <c r="Q2657" s="40" t="str">
        <f>IF(OR(T2657=0,RIGHT(T2657,1)=$W$1),"",COUNTIF($T$3:T2657,T2657))</f>
        <v/>
      </c>
      <c r="S2657" s="6">
        <f t="shared" si="418"/>
        <v>0</v>
      </c>
      <c r="T2657" s="36">
        <f t="shared" si="419"/>
        <v>0</v>
      </c>
      <c r="V2657" s="6">
        <f t="shared" si="420"/>
        <v>0</v>
      </c>
      <c r="Y2657" s="8">
        <f t="shared" si="421"/>
        <v>46023</v>
      </c>
    </row>
    <row r="2658" spans="2:25" ht="18.75" x14ac:dyDescent="0.3">
      <c r="B2658" s="6">
        <f t="shared" si="413"/>
        <v>0</v>
      </c>
      <c r="C2658" s="6">
        <f t="shared" si="414"/>
        <v>0</v>
      </c>
      <c r="D2658" s="6" t="str">
        <f t="shared" si="415"/>
        <v/>
      </c>
      <c r="E2658" s="35" t="str">
        <f t="shared" si="412"/>
        <v/>
      </c>
      <c r="F2658" s="31"/>
      <c r="G2658" s="29"/>
      <c r="H2658" s="78" t="str">
        <f t="shared" si="416"/>
        <v/>
      </c>
      <c r="I2658" s="25"/>
      <c r="J2658" s="25"/>
      <c r="K2658" s="26"/>
      <c r="L2658" s="26"/>
      <c r="M2658" s="37"/>
      <c r="N2658" s="27"/>
      <c r="O2658" s="30"/>
      <c r="P2658" s="39" t="str">
        <f t="shared" si="417"/>
        <v/>
      </c>
      <c r="Q2658" s="40" t="str">
        <f>IF(OR(T2658=0,RIGHT(T2658,1)=$W$1),"",COUNTIF($T$3:T2658,T2658))</f>
        <v/>
      </c>
      <c r="S2658" s="6">
        <f t="shared" si="418"/>
        <v>0</v>
      </c>
      <c r="T2658" s="36">
        <f t="shared" si="419"/>
        <v>0</v>
      </c>
      <c r="V2658" s="6">
        <f t="shared" si="420"/>
        <v>0</v>
      </c>
      <c r="Y2658" s="8">
        <f t="shared" si="421"/>
        <v>46023</v>
      </c>
    </row>
    <row r="2659" spans="2:25" ht="18.75" x14ac:dyDescent="0.3">
      <c r="B2659" s="6">
        <f t="shared" si="413"/>
        <v>0</v>
      </c>
      <c r="C2659" s="6">
        <f t="shared" si="414"/>
        <v>0</v>
      </c>
      <c r="D2659" s="6" t="str">
        <f t="shared" si="415"/>
        <v/>
      </c>
      <c r="E2659" s="35" t="str">
        <f t="shared" si="412"/>
        <v/>
      </c>
      <c r="F2659" s="31"/>
      <c r="G2659" s="29"/>
      <c r="H2659" s="78" t="str">
        <f t="shared" si="416"/>
        <v/>
      </c>
      <c r="I2659" s="25"/>
      <c r="J2659" s="25"/>
      <c r="K2659" s="26"/>
      <c r="L2659" s="26"/>
      <c r="M2659" s="37"/>
      <c r="N2659" s="27"/>
      <c r="O2659" s="30"/>
      <c r="P2659" s="39" t="str">
        <f t="shared" si="417"/>
        <v/>
      </c>
      <c r="Q2659" s="40" t="str">
        <f>IF(OR(T2659=0,RIGHT(T2659,1)=$W$1),"",COUNTIF($T$3:T2659,T2659))</f>
        <v/>
      </c>
      <c r="S2659" s="6">
        <f t="shared" si="418"/>
        <v>0</v>
      </c>
      <c r="T2659" s="36">
        <f t="shared" si="419"/>
        <v>0</v>
      </c>
      <c r="V2659" s="6">
        <f t="shared" si="420"/>
        <v>0</v>
      </c>
      <c r="Y2659" s="8">
        <f t="shared" si="421"/>
        <v>46023</v>
      </c>
    </row>
    <row r="2660" spans="2:25" ht="18.75" x14ac:dyDescent="0.3">
      <c r="B2660" s="6">
        <f t="shared" si="413"/>
        <v>0</v>
      </c>
      <c r="C2660" s="6">
        <f t="shared" si="414"/>
        <v>0</v>
      </c>
      <c r="D2660" s="6" t="str">
        <f t="shared" si="415"/>
        <v/>
      </c>
      <c r="E2660" s="35" t="str">
        <f t="shared" si="412"/>
        <v/>
      </c>
      <c r="F2660" s="31"/>
      <c r="G2660" s="29"/>
      <c r="H2660" s="78" t="str">
        <f t="shared" si="416"/>
        <v/>
      </c>
      <c r="I2660" s="25"/>
      <c r="J2660" s="25"/>
      <c r="K2660" s="26"/>
      <c r="L2660" s="26"/>
      <c r="M2660" s="37"/>
      <c r="N2660" s="27"/>
      <c r="O2660" s="30"/>
      <c r="P2660" s="39" t="str">
        <f t="shared" si="417"/>
        <v/>
      </c>
      <c r="Q2660" s="40" t="str">
        <f>IF(OR(T2660=0,RIGHT(T2660,1)=$W$1),"",COUNTIF($T$3:T2660,T2660))</f>
        <v/>
      </c>
      <c r="S2660" s="6">
        <f t="shared" si="418"/>
        <v>0</v>
      </c>
      <c r="T2660" s="36">
        <f t="shared" si="419"/>
        <v>0</v>
      </c>
      <c r="V2660" s="6">
        <f t="shared" si="420"/>
        <v>0</v>
      </c>
      <c r="Y2660" s="8">
        <f t="shared" si="421"/>
        <v>46023</v>
      </c>
    </row>
    <row r="2661" spans="2:25" ht="18.75" x14ac:dyDescent="0.3">
      <c r="B2661" s="6">
        <f t="shared" si="413"/>
        <v>0</v>
      </c>
      <c r="C2661" s="6">
        <f t="shared" si="414"/>
        <v>0</v>
      </c>
      <c r="D2661" s="6" t="str">
        <f t="shared" si="415"/>
        <v/>
      </c>
      <c r="E2661" s="35" t="str">
        <f t="shared" si="412"/>
        <v/>
      </c>
      <c r="F2661" s="31"/>
      <c r="G2661" s="29"/>
      <c r="H2661" s="78" t="str">
        <f t="shared" si="416"/>
        <v/>
      </c>
      <c r="I2661" s="25"/>
      <c r="J2661" s="25"/>
      <c r="K2661" s="26"/>
      <c r="L2661" s="26"/>
      <c r="M2661" s="37"/>
      <c r="N2661" s="27"/>
      <c r="O2661" s="30"/>
      <c r="P2661" s="39" t="str">
        <f t="shared" si="417"/>
        <v/>
      </c>
      <c r="Q2661" s="40" t="str">
        <f>IF(OR(T2661=0,RIGHT(T2661,1)=$W$1),"",COUNTIF($T$3:T2661,T2661))</f>
        <v/>
      </c>
      <c r="S2661" s="6">
        <f t="shared" si="418"/>
        <v>0</v>
      </c>
      <c r="T2661" s="36">
        <f t="shared" si="419"/>
        <v>0</v>
      </c>
      <c r="V2661" s="6">
        <f t="shared" si="420"/>
        <v>0</v>
      </c>
      <c r="Y2661" s="8">
        <f t="shared" si="421"/>
        <v>46023</v>
      </c>
    </row>
    <row r="2662" spans="2:25" ht="18.75" x14ac:dyDescent="0.3">
      <c r="B2662" s="6">
        <f t="shared" si="413"/>
        <v>0</v>
      </c>
      <c r="C2662" s="6">
        <f t="shared" si="414"/>
        <v>0</v>
      </c>
      <c r="D2662" s="6" t="str">
        <f t="shared" si="415"/>
        <v/>
      </c>
      <c r="E2662" s="35" t="str">
        <f t="shared" si="412"/>
        <v/>
      </c>
      <c r="F2662" s="31"/>
      <c r="G2662" s="29"/>
      <c r="H2662" s="78" t="str">
        <f t="shared" si="416"/>
        <v/>
      </c>
      <c r="I2662" s="25"/>
      <c r="J2662" s="25"/>
      <c r="K2662" s="26"/>
      <c r="L2662" s="26"/>
      <c r="M2662" s="37"/>
      <c r="N2662" s="27"/>
      <c r="O2662" s="30"/>
      <c r="P2662" s="39" t="str">
        <f t="shared" si="417"/>
        <v/>
      </c>
      <c r="Q2662" s="40" t="str">
        <f>IF(OR(T2662=0,RIGHT(T2662,1)=$W$1),"",COUNTIF($T$3:T2662,T2662))</f>
        <v/>
      </c>
      <c r="S2662" s="6">
        <f t="shared" si="418"/>
        <v>0</v>
      </c>
      <c r="T2662" s="36">
        <f t="shared" si="419"/>
        <v>0</v>
      </c>
      <c r="V2662" s="6">
        <f t="shared" si="420"/>
        <v>0</v>
      </c>
      <c r="Y2662" s="8">
        <f t="shared" si="421"/>
        <v>46023</v>
      </c>
    </row>
    <row r="2663" spans="2:25" ht="18.75" x14ac:dyDescent="0.3">
      <c r="B2663" s="6">
        <f t="shared" si="413"/>
        <v>0</v>
      </c>
      <c r="C2663" s="6">
        <f t="shared" si="414"/>
        <v>0</v>
      </c>
      <c r="D2663" s="6" t="str">
        <f t="shared" si="415"/>
        <v/>
      </c>
      <c r="E2663" s="35" t="str">
        <f t="shared" si="412"/>
        <v/>
      </c>
      <c r="F2663" s="31"/>
      <c r="G2663" s="29"/>
      <c r="H2663" s="78" t="str">
        <f t="shared" si="416"/>
        <v/>
      </c>
      <c r="I2663" s="25"/>
      <c r="J2663" s="25"/>
      <c r="K2663" s="26"/>
      <c r="L2663" s="26"/>
      <c r="M2663" s="37"/>
      <c r="N2663" s="27"/>
      <c r="O2663" s="30"/>
      <c r="P2663" s="39" t="str">
        <f t="shared" si="417"/>
        <v/>
      </c>
      <c r="Q2663" s="40" t="str">
        <f>IF(OR(T2663=0,RIGHT(T2663,1)=$W$1),"",COUNTIF($T$3:T2663,T2663))</f>
        <v/>
      </c>
      <c r="S2663" s="6">
        <f t="shared" si="418"/>
        <v>0</v>
      </c>
      <c r="T2663" s="36">
        <f t="shared" si="419"/>
        <v>0</v>
      </c>
      <c r="V2663" s="6">
        <f t="shared" si="420"/>
        <v>0</v>
      </c>
      <c r="Y2663" s="8">
        <f t="shared" si="421"/>
        <v>46023</v>
      </c>
    </row>
    <row r="2664" spans="2:25" ht="18.75" x14ac:dyDescent="0.3">
      <c r="B2664" s="6">
        <f t="shared" si="413"/>
        <v>0</v>
      </c>
      <c r="C2664" s="6">
        <f t="shared" si="414"/>
        <v>0</v>
      </c>
      <c r="D2664" s="6" t="str">
        <f t="shared" si="415"/>
        <v/>
      </c>
      <c r="E2664" s="35" t="str">
        <f t="shared" si="412"/>
        <v/>
      </c>
      <c r="F2664" s="31"/>
      <c r="G2664" s="29"/>
      <c r="H2664" s="78" t="str">
        <f t="shared" si="416"/>
        <v/>
      </c>
      <c r="I2664" s="25"/>
      <c r="J2664" s="25"/>
      <c r="K2664" s="26"/>
      <c r="L2664" s="26"/>
      <c r="M2664" s="37"/>
      <c r="N2664" s="27"/>
      <c r="O2664" s="30"/>
      <c r="P2664" s="39" t="str">
        <f t="shared" si="417"/>
        <v/>
      </c>
      <c r="Q2664" s="40" t="str">
        <f>IF(OR(T2664=0,RIGHT(T2664,1)=$W$1),"",COUNTIF($T$3:T2664,T2664))</f>
        <v/>
      </c>
      <c r="S2664" s="6">
        <f t="shared" si="418"/>
        <v>0</v>
      </c>
      <c r="T2664" s="36">
        <f t="shared" si="419"/>
        <v>0</v>
      </c>
      <c r="V2664" s="6">
        <f t="shared" si="420"/>
        <v>0</v>
      </c>
      <c r="Y2664" s="8">
        <f t="shared" si="421"/>
        <v>46023</v>
      </c>
    </row>
    <row r="2665" spans="2:25" ht="18.75" x14ac:dyDescent="0.3">
      <c r="B2665" s="6">
        <f t="shared" si="413"/>
        <v>0</v>
      </c>
      <c r="C2665" s="6">
        <f t="shared" si="414"/>
        <v>0</v>
      </c>
      <c r="D2665" s="6" t="str">
        <f t="shared" si="415"/>
        <v/>
      </c>
      <c r="E2665" s="35" t="str">
        <f t="shared" si="412"/>
        <v/>
      </c>
      <c r="F2665" s="31"/>
      <c r="G2665" s="29"/>
      <c r="H2665" s="78" t="str">
        <f t="shared" si="416"/>
        <v/>
      </c>
      <c r="I2665" s="25"/>
      <c r="J2665" s="25"/>
      <c r="K2665" s="26"/>
      <c r="L2665" s="26"/>
      <c r="M2665" s="37"/>
      <c r="N2665" s="27"/>
      <c r="O2665" s="30"/>
      <c r="P2665" s="39" t="str">
        <f t="shared" si="417"/>
        <v/>
      </c>
      <c r="Q2665" s="40" t="str">
        <f>IF(OR(T2665=0,RIGHT(T2665,1)=$W$1),"",COUNTIF($T$3:T2665,T2665))</f>
        <v/>
      </c>
      <c r="S2665" s="6">
        <f t="shared" si="418"/>
        <v>0</v>
      </c>
      <c r="T2665" s="36">
        <f t="shared" si="419"/>
        <v>0</v>
      </c>
      <c r="V2665" s="6">
        <f t="shared" si="420"/>
        <v>0</v>
      </c>
      <c r="Y2665" s="8">
        <f t="shared" si="421"/>
        <v>46023</v>
      </c>
    </row>
    <row r="2666" spans="2:25" ht="18.75" x14ac:dyDescent="0.3">
      <c r="B2666" s="6">
        <f t="shared" si="413"/>
        <v>0</v>
      </c>
      <c r="C2666" s="6">
        <f t="shared" si="414"/>
        <v>0</v>
      </c>
      <c r="D2666" s="6" t="str">
        <f t="shared" si="415"/>
        <v/>
      </c>
      <c r="E2666" s="35" t="str">
        <f t="shared" si="412"/>
        <v/>
      </c>
      <c r="F2666" s="31"/>
      <c r="G2666" s="29"/>
      <c r="H2666" s="78" t="str">
        <f t="shared" si="416"/>
        <v/>
      </c>
      <c r="I2666" s="25"/>
      <c r="J2666" s="25"/>
      <c r="K2666" s="26"/>
      <c r="L2666" s="26"/>
      <c r="M2666" s="37"/>
      <c r="N2666" s="27"/>
      <c r="O2666" s="30"/>
      <c r="P2666" s="39" t="str">
        <f t="shared" si="417"/>
        <v/>
      </c>
      <c r="Q2666" s="40" t="str">
        <f>IF(OR(T2666=0,RIGHT(T2666,1)=$W$1),"",COUNTIF($T$3:T2666,T2666))</f>
        <v/>
      </c>
      <c r="S2666" s="6">
        <f t="shared" si="418"/>
        <v>0</v>
      </c>
      <c r="T2666" s="36">
        <f t="shared" si="419"/>
        <v>0</v>
      </c>
      <c r="V2666" s="6">
        <f t="shared" si="420"/>
        <v>0</v>
      </c>
      <c r="Y2666" s="8">
        <f t="shared" si="421"/>
        <v>46023</v>
      </c>
    </row>
    <row r="2667" spans="2:25" ht="18.75" x14ac:dyDescent="0.3">
      <c r="B2667" s="6">
        <f t="shared" si="413"/>
        <v>0</v>
      </c>
      <c r="C2667" s="6">
        <f t="shared" si="414"/>
        <v>0</v>
      </c>
      <c r="D2667" s="6" t="str">
        <f t="shared" si="415"/>
        <v/>
      </c>
      <c r="E2667" s="35" t="str">
        <f t="shared" si="412"/>
        <v/>
      </c>
      <c r="F2667" s="31"/>
      <c r="G2667" s="29"/>
      <c r="H2667" s="78" t="str">
        <f t="shared" si="416"/>
        <v/>
      </c>
      <c r="I2667" s="25"/>
      <c r="J2667" s="25"/>
      <c r="K2667" s="26"/>
      <c r="L2667" s="26"/>
      <c r="M2667" s="37"/>
      <c r="N2667" s="27"/>
      <c r="O2667" s="30"/>
      <c r="P2667" s="39" t="str">
        <f t="shared" si="417"/>
        <v/>
      </c>
      <c r="Q2667" s="40" t="str">
        <f>IF(OR(T2667=0,RIGHT(T2667,1)=$W$1),"",COUNTIF($T$3:T2667,T2667))</f>
        <v/>
      </c>
      <c r="S2667" s="6">
        <f t="shared" si="418"/>
        <v>0</v>
      </c>
      <c r="T2667" s="36">
        <f t="shared" si="419"/>
        <v>0</v>
      </c>
      <c r="V2667" s="6">
        <f t="shared" si="420"/>
        <v>0</v>
      </c>
      <c r="Y2667" s="8">
        <f t="shared" si="421"/>
        <v>46023</v>
      </c>
    </row>
    <row r="2668" spans="2:25" ht="18.75" x14ac:dyDescent="0.3">
      <c r="B2668" s="6">
        <f t="shared" si="413"/>
        <v>0</v>
      </c>
      <c r="C2668" s="6">
        <f t="shared" si="414"/>
        <v>0</v>
      </c>
      <c r="D2668" s="6" t="str">
        <f t="shared" si="415"/>
        <v/>
      </c>
      <c r="E2668" s="35" t="str">
        <f t="shared" si="412"/>
        <v/>
      </c>
      <c r="F2668" s="31"/>
      <c r="G2668" s="29"/>
      <c r="H2668" s="78" t="str">
        <f t="shared" si="416"/>
        <v/>
      </c>
      <c r="I2668" s="25"/>
      <c r="J2668" s="25"/>
      <c r="K2668" s="26"/>
      <c r="L2668" s="26"/>
      <c r="M2668" s="37"/>
      <c r="N2668" s="27"/>
      <c r="O2668" s="30"/>
      <c r="P2668" s="39" t="str">
        <f t="shared" si="417"/>
        <v/>
      </c>
      <c r="Q2668" s="40" t="str">
        <f>IF(OR(T2668=0,RIGHT(T2668,1)=$W$1),"",COUNTIF($T$3:T2668,T2668))</f>
        <v/>
      </c>
      <c r="S2668" s="6">
        <f t="shared" si="418"/>
        <v>0</v>
      </c>
      <c r="T2668" s="36">
        <f t="shared" si="419"/>
        <v>0</v>
      </c>
      <c r="V2668" s="6">
        <f t="shared" si="420"/>
        <v>0</v>
      </c>
      <c r="Y2668" s="8">
        <f t="shared" si="421"/>
        <v>46023</v>
      </c>
    </row>
    <row r="2669" spans="2:25" ht="18.75" x14ac:dyDescent="0.3">
      <c r="B2669" s="6">
        <f t="shared" si="413"/>
        <v>0</v>
      </c>
      <c r="C2669" s="6">
        <f t="shared" si="414"/>
        <v>0</v>
      </c>
      <c r="D2669" s="6" t="str">
        <f t="shared" si="415"/>
        <v/>
      </c>
      <c r="E2669" s="35" t="str">
        <f t="shared" si="412"/>
        <v/>
      </c>
      <c r="F2669" s="31"/>
      <c r="G2669" s="29"/>
      <c r="H2669" s="78" t="str">
        <f t="shared" si="416"/>
        <v/>
      </c>
      <c r="I2669" s="25"/>
      <c r="J2669" s="25"/>
      <c r="K2669" s="26"/>
      <c r="L2669" s="26"/>
      <c r="M2669" s="37"/>
      <c r="N2669" s="27"/>
      <c r="O2669" s="30"/>
      <c r="P2669" s="39" t="str">
        <f t="shared" si="417"/>
        <v/>
      </c>
      <c r="Q2669" s="40" t="str">
        <f>IF(OR(T2669=0,RIGHT(T2669,1)=$W$1),"",COUNTIF($T$3:T2669,T2669))</f>
        <v/>
      </c>
      <c r="S2669" s="6">
        <f t="shared" si="418"/>
        <v>0</v>
      </c>
      <c r="T2669" s="36">
        <f t="shared" si="419"/>
        <v>0</v>
      </c>
      <c r="V2669" s="6">
        <f t="shared" si="420"/>
        <v>0</v>
      </c>
      <c r="Y2669" s="8">
        <f t="shared" si="421"/>
        <v>46023</v>
      </c>
    </row>
    <row r="2670" spans="2:25" ht="18.75" x14ac:dyDescent="0.3">
      <c r="B2670" s="6">
        <f t="shared" si="413"/>
        <v>0</v>
      </c>
      <c r="C2670" s="6">
        <f t="shared" si="414"/>
        <v>0</v>
      </c>
      <c r="D2670" s="6" t="str">
        <f t="shared" si="415"/>
        <v/>
      </c>
      <c r="E2670" s="35" t="str">
        <f t="shared" si="412"/>
        <v/>
      </c>
      <c r="F2670" s="31"/>
      <c r="G2670" s="29"/>
      <c r="H2670" s="78" t="str">
        <f t="shared" si="416"/>
        <v/>
      </c>
      <c r="I2670" s="25"/>
      <c r="J2670" s="25"/>
      <c r="K2670" s="26"/>
      <c r="L2670" s="26"/>
      <c r="M2670" s="37"/>
      <c r="N2670" s="27"/>
      <c r="O2670" s="30"/>
      <c r="P2670" s="39" t="str">
        <f t="shared" si="417"/>
        <v/>
      </c>
      <c r="Q2670" s="40" t="str">
        <f>IF(OR(T2670=0,RIGHT(T2670,1)=$W$1),"",COUNTIF($T$3:T2670,T2670))</f>
        <v/>
      </c>
      <c r="S2670" s="6">
        <f t="shared" si="418"/>
        <v>0</v>
      </c>
      <c r="T2670" s="36">
        <f t="shared" si="419"/>
        <v>0</v>
      </c>
      <c r="V2670" s="6">
        <f t="shared" si="420"/>
        <v>0</v>
      </c>
      <c r="Y2670" s="8">
        <f t="shared" si="421"/>
        <v>46023</v>
      </c>
    </row>
    <row r="2671" spans="2:25" ht="18.75" x14ac:dyDescent="0.3">
      <c r="B2671" s="6">
        <f t="shared" si="413"/>
        <v>0</v>
      </c>
      <c r="C2671" s="6">
        <f t="shared" si="414"/>
        <v>0</v>
      </c>
      <c r="D2671" s="6" t="str">
        <f t="shared" si="415"/>
        <v/>
      </c>
      <c r="E2671" s="35" t="str">
        <f t="shared" si="412"/>
        <v/>
      </c>
      <c r="F2671" s="31"/>
      <c r="G2671" s="29"/>
      <c r="H2671" s="78" t="str">
        <f t="shared" si="416"/>
        <v/>
      </c>
      <c r="I2671" s="25"/>
      <c r="J2671" s="25"/>
      <c r="K2671" s="26"/>
      <c r="L2671" s="26"/>
      <c r="M2671" s="37"/>
      <c r="N2671" s="27"/>
      <c r="O2671" s="30"/>
      <c r="P2671" s="39" t="str">
        <f t="shared" si="417"/>
        <v/>
      </c>
      <c r="Q2671" s="40" t="str">
        <f>IF(OR(T2671=0,RIGHT(T2671,1)=$W$1),"",COUNTIF($T$3:T2671,T2671))</f>
        <v/>
      </c>
      <c r="S2671" s="6">
        <f t="shared" si="418"/>
        <v>0</v>
      </c>
      <c r="T2671" s="36">
        <f t="shared" si="419"/>
        <v>0</v>
      </c>
      <c r="V2671" s="6">
        <f t="shared" si="420"/>
        <v>0</v>
      </c>
      <c r="Y2671" s="8">
        <f t="shared" si="421"/>
        <v>46023</v>
      </c>
    </row>
    <row r="2672" spans="2:25" ht="18.75" x14ac:dyDescent="0.3">
      <c r="B2672" s="6">
        <f t="shared" si="413"/>
        <v>0</v>
      </c>
      <c r="C2672" s="6">
        <f t="shared" si="414"/>
        <v>0</v>
      </c>
      <c r="D2672" s="6" t="str">
        <f t="shared" si="415"/>
        <v/>
      </c>
      <c r="E2672" s="35" t="str">
        <f t="shared" si="412"/>
        <v/>
      </c>
      <c r="F2672" s="31"/>
      <c r="G2672" s="29"/>
      <c r="H2672" s="78" t="str">
        <f t="shared" si="416"/>
        <v/>
      </c>
      <c r="I2672" s="25"/>
      <c r="J2672" s="25"/>
      <c r="K2672" s="26"/>
      <c r="L2672" s="26"/>
      <c r="M2672" s="37"/>
      <c r="N2672" s="27"/>
      <c r="O2672" s="30"/>
      <c r="P2672" s="39" t="str">
        <f t="shared" si="417"/>
        <v/>
      </c>
      <c r="Q2672" s="40" t="str">
        <f>IF(OR(T2672=0,RIGHT(T2672,1)=$W$1),"",COUNTIF($T$3:T2672,T2672))</f>
        <v/>
      </c>
      <c r="S2672" s="6">
        <f t="shared" si="418"/>
        <v>0</v>
      </c>
      <c r="T2672" s="36">
        <f t="shared" si="419"/>
        <v>0</v>
      </c>
      <c r="V2672" s="6">
        <f t="shared" si="420"/>
        <v>0</v>
      </c>
      <c r="Y2672" s="8">
        <f t="shared" si="421"/>
        <v>46023</v>
      </c>
    </row>
    <row r="2673" spans="2:25" ht="18.75" x14ac:dyDescent="0.3">
      <c r="B2673" s="6">
        <f t="shared" si="413"/>
        <v>0</v>
      </c>
      <c r="C2673" s="6">
        <f t="shared" si="414"/>
        <v>0</v>
      </c>
      <c r="D2673" s="6" t="str">
        <f t="shared" si="415"/>
        <v/>
      </c>
      <c r="E2673" s="35" t="str">
        <f t="shared" si="412"/>
        <v/>
      </c>
      <c r="F2673" s="31"/>
      <c r="G2673" s="29"/>
      <c r="H2673" s="78" t="str">
        <f t="shared" si="416"/>
        <v/>
      </c>
      <c r="I2673" s="25"/>
      <c r="J2673" s="25"/>
      <c r="K2673" s="26"/>
      <c r="L2673" s="26"/>
      <c r="M2673" s="37"/>
      <c r="N2673" s="27"/>
      <c r="O2673" s="30"/>
      <c r="P2673" s="39" t="str">
        <f t="shared" si="417"/>
        <v/>
      </c>
      <c r="Q2673" s="40" t="str">
        <f>IF(OR(T2673=0,RIGHT(T2673,1)=$W$1),"",COUNTIF($T$3:T2673,T2673))</f>
        <v/>
      </c>
      <c r="S2673" s="6">
        <f t="shared" si="418"/>
        <v>0</v>
      </c>
      <c r="T2673" s="36">
        <f t="shared" si="419"/>
        <v>0</v>
      </c>
      <c r="V2673" s="6">
        <f t="shared" si="420"/>
        <v>0</v>
      </c>
      <c r="Y2673" s="8">
        <f t="shared" si="421"/>
        <v>46023</v>
      </c>
    </row>
    <row r="2674" spans="2:25" ht="18.75" x14ac:dyDescent="0.3">
      <c r="B2674" s="6">
        <f t="shared" si="413"/>
        <v>0</v>
      </c>
      <c r="C2674" s="6">
        <f t="shared" si="414"/>
        <v>0</v>
      </c>
      <c r="D2674" s="6" t="str">
        <f t="shared" si="415"/>
        <v/>
      </c>
      <c r="E2674" s="35" t="str">
        <f t="shared" si="412"/>
        <v/>
      </c>
      <c r="F2674" s="31"/>
      <c r="G2674" s="29"/>
      <c r="H2674" s="78" t="str">
        <f t="shared" si="416"/>
        <v/>
      </c>
      <c r="I2674" s="25"/>
      <c r="J2674" s="25"/>
      <c r="K2674" s="26"/>
      <c r="L2674" s="26"/>
      <c r="M2674" s="37"/>
      <c r="N2674" s="27"/>
      <c r="O2674" s="30"/>
      <c r="P2674" s="39" t="str">
        <f t="shared" si="417"/>
        <v/>
      </c>
      <c r="Q2674" s="40" t="str">
        <f>IF(OR(T2674=0,RIGHT(T2674,1)=$W$1),"",COUNTIF($T$3:T2674,T2674))</f>
        <v/>
      </c>
      <c r="S2674" s="6">
        <f t="shared" si="418"/>
        <v>0</v>
      </c>
      <c r="T2674" s="36">
        <f t="shared" si="419"/>
        <v>0</v>
      </c>
      <c r="V2674" s="6">
        <f t="shared" si="420"/>
        <v>0</v>
      </c>
      <c r="Y2674" s="8">
        <f t="shared" si="421"/>
        <v>46023</v>
      </c>
    </row>
    <row r="2675" spans="2:25" ht="18.75" x14ac:dyDescent="0.3">
      <c r="B2675" s="6">
        <f t="shared" si="413"/>
        <v>0</v>
      </c>
      <c r="C2675" s="6">
        <f t="shared" si="414"/>
        <v>0</v>
      </c>
      <c r="D2675" s="6" t="str">
        <f t="shared" si="415"/>
        <v/>
      </c>
      <c r="E2675" s="35" t="str">
        <f t="shared" si="412"/>
        <v/>
      </c>
      <c r="F2675" s="31"/>
      <c r="G2675" s="29"/>
      <c r="H2675" s="78" t="str">
        <f t="shared" si="416"/>
        <v/>
      </c>
      <c r="I2675" s="25"/>
      <c r="J2675" s="25"/>
      <c r="K2675" s="26"/>
      <c r="L2675" s="26"/>
      <c r="M2675" s="37"/>
      <c r="N2675" s="27"/>
      <c r="O2675" s="30"/>
      <c r="P2675" s="39" t="str">
        <f t="shared" si="417"/>
        <v/>
      </c>
      <c r="Q2675" s="40" t="str">
        <f>IF(OR(T2675=0,RIGHT(T2675,1)=$W$1),"",COUNTIF($T$3:T2675,T2675))</f>
        <v/>
      </c>
      <c r="S2675" s="6">
        <f t="shared" si="418"/>
        <v>0</v>
      </c>
      <c r="T2675" s="36">
        <f t="shared" si="419"/>
        <v>0</v>
      </c>
      <c r="V2675" s="6">
        <f t="shared" si="420"/>
        <v>0</v>
      </c>
      <c r="Y2675" s="8">
        <f t="shared" si="421"/>
        <v>46023</v>
      </c>
    </row>
    <row r="2676" spans="2:25" ht="18.75" x14ac:dyDescent="0.3">
      <c r="B2676" s="6">
        <f t="shared" si="413"/>
        <v>0</v>
      </c>
      <c r="C2676" s="6">
        <f t="shared" si="414"/>
        <v>0</v>
      </c>
      <c r="D2676" s="6" t="str">
        <f t="shared" si="415"/>
        <v/>
      </c>
      <c r="E2676" s="35" t="str">
        <f t="shared" si="412"/>
        <v/>
      </c>
      <c r="F2676" s="31"/>
      <c r="G2676" s="29"/>
      <c r="H2676" s="78" t="str">
        <f t="shared" si="416"/>
        <v/>
      </c>
      <c r="I2676" s="25"/>
      <c r="J2676" s="25"/>
      <c r="K2676" s="26"/>
      <c r="L2676" s="26"/>
      <c r="M2676" s="37"/>
      <c r="N2676" s="27"/>
      <c r="O2676" s="30"/>
      <c r="P2676" s="39" t="str">
        <f t="shared" si="417"/>
        <v/>
      </c>
      <c r="Q2676" s="40" t="str">
        <f>IF(OR(T2676=0,RIGHT(T2676,1)=$W$1),"",COUNTIF($T$3:T2676,T2676))</f>
        <v/>
      </c>
      <c r="S2676" s="6">
        <f t="shared" si="418"/>
        <v>0</v>
      </c>
      <c r="T2676" s="36">
        <f t="shared" si="419"/>
        <v>0</v>
      </c>
      <c r="V2676" s="6">
        <f t="shared" si="420"/>
        <v>0</v>
      </c>
      <c r="Y2676" s="8">
        <f t="shared" si="421"/>
        <v>46023</v>
      </c>
    </row>
    <row r="2677" spans="2:25" ht="18.75" x14ac:dyDescent="0.3">
      <c r="B2677" s="6">
        <f t="shared" si="413"/>
        <v>0</v>
      </c>
      <c r="C2677" s="6">
        <f t="shared" si="414"/>
        <v>0</v>
      </c>
      <c r="D2677" s="6" t="str">
        <f t="shared" si="415"/>
        <v/>
      </c>
      <c r="E2677" s="35" t="str">
        <f t="shared" si="412"/>
        <v/>
      </c>
      <c r="F2677" s="31"/>
      <c r="G2677" s="29"/>
      <c r="H2677" s="78" t="str">
        <f t="shared" si="416"/>
        <v/>
      </c>
      <c r="I2677" s="25"/>
      <c r="J2677" s="25"/>
      <c r="K2677" s="26"/>
      <c r="L2677" s="26"/>
      <c r="M2677" s="37"/>
      <c r="N2677" s="27"/>
      <c r="O2677" s="30"/>
      <c r="P2677" s="39" t="str">
        <f t="shared" si="417"/>
        <v/>
      </c>
      <c r="Q2677" s="40" t="str">
        <f>IF(OR(T2677=0,RIGHT(T2677,1)=$W$1),"",COUNTIF($T$3:T2677,T2677))</f>
        <v/>
      </c>
      <c r="S2677" s="6">
        <f t="shared" si="418"/>
        <v>0</v>
      </c>
      <c r="T2677" s="36">
        <f t="shared" si="419"/>
        <v>0</v>
      </c>
      <c r="V2677" s="6">
        <f t="shared" si="420"/>
        <v>0</v>
      </c>
      <c r="Y2677" s="8">
        <f t="shared" si="421"/>
        <v>46023</v>
      </c>
    </row>
    <row r="2678" spans="2:25" ht="18.75" x14ac:dyDescent="0.3">
      <c r="B2678" s="6">
        <f t="shared" si="413"/>
        <v>0</v>
      </c>
      <c r="C2678" s="6">
        <f t="shared" si="414"/>
        <v>0</v>
      </c>
      <c r="D2678" s="6" t="str">
        <f t="shared" si="415"/>
        <v/>
      </c>
      <c r="E2678" s="35" t="str">
        <f t="shared" si="412"/>
        <v/>
      </c>
      <c r="F2678" s="31"/>
      <c r="G2678" s="29"/>
      <c r="H2678" s="78" t="str">
        <f t="shared" si="416"/>
        <v/>
      </c>
      <c r="I2678" s="25"/>
      <c r="J2678" s="25"/>
      <c r="K2678" s="26"/>
      <c r="L2678" s="26"/>
      <c r="M2678" s="37"/>
      <c r="N2678" s="27"/>
      <c r="O2678" s="30"/>
      <c r="P2678" s="39" t="str">
        <f t="shared" si="417"/>
        <v/>
      </c>
      <c r="Q2678" s="40" t="str">
        <f>IF(OR(T2678=0,RIGHT(T2678,1)=$W$1),"",COUNTIF($T$3:T2678,T2678))</f>
        <v/>
      </c>
      <c r="S2678" s="6">
        <f t="shared" si="418"/>
        <v>0</v>
      </c>
      <c r="T2678" s="36">
        <f t="shared" si="419"/>
        <v>0</v>
      </c>
      <c r="V2678" s="6">
        <f t="shared" si="420"/>
        <v>0</v>
      </c>
      <c r="Y2678" s="8">
        <f t="shared" si="421"/>
        <v>46023</v>
      </c>
    </row>
    <row r="2679" spans="2:25" ht="18.75" x14ac:dyDescent="0.3">
      <c r="B2679" s="6">
        <f t="shared" si="413"/>
        <v>0</v>
      </c>
      <c r="C2679" s="6">
        <f t="shared" si="414"/>
        <v>0</v>
      </c>
      <c r="D2679" s="6" t="str">
        <f t="shared" si="415"/>
        <v/>
      </c>
      <c r="E2679" s="35" t="str">
        <f t="shared" si="412"/>
        <v/>
      </c>
      <c r="F2679" s="31"/>
      <c r="G2679" s="29"/>
      <c r="H2679" s="78" t="str">
        <f t="shared" si="416"/>
        <v/>
      </c>
      <c r="I2679" s="25"/>
      <c r="J2679" s="25"/>
      <c r="K2679" s="26"/>
      <c r="L2679" s="26"/>
      <c r="M2679" s="37"/>
      <c r="N2679" s="27"/>
      <c r="O2679" s="30"/>
      <c r="P2679" s="39" t="str">
        <f t="shared" si="417"/>
        <v/>
      </c>
      <c r="Q2679" s="40" t="str">
        <f>IF(OR(T2679=0,RIGHT(T2679,1)=$W$1),"",COUNTIF($T$3:T2679,T2679))</f>
        <v/>
      </c>
      <c r="S2679" s="6">
        <f t="shared" si="418"/>
        <v>0</v>
      </c>
      <c r="T2679" s="36">
        <f t="shared" si="419"/>
        <v>0</v>
      </c>
      <c r="V2679" s="6">
        <f t="shared" si="420"/>
        <v>0</v>
      </c>
      <c r="Y2679" s="8">
        <f t="shared" si="421"/>
        <v>46023</v>
      </c>
    </row>
    <row r="2680" spans="2:25" ht="18.75" x14ac:dyDescent="0.3">
      <c r="B2680" s="6">
        <f t="shared" si="413"/>
        <v>0</v>
      </c>
      <c r="C2680" s="6">
        <f t="shared" si="414"/>
        <v>0</v>
      </c>
      <c r="D2680" s="6" t="str">
        <f t="shared" si="415"/>
        <v/>
      </c>
      <c r="E2680" s="35" t="str">
        <f t="shared" si="412"/>
        <v/>
      </c>
      <c r="F2680" s="31"/>
      <c r="G2680" s="29"/>
      <c r="H2680" s="78" t="str">
        <f t="shared" si="416"/>
        <v/>
      </c>
      <c r="I2680" s="25"/>
      <c r="J2680" s="25"/>
      <c r="K2680" s="26"/>
      <c r="L2680" s="26"/>
      <c r="M2680" s="37"/>
      <c r="N2680" s="27"/>
      <c r="O2680" s="30"/>
      <c r="P2680" s="39" t="str">
        <f t="shared" si="417"/>
        <v/>
      </c>
      <c r="Q2680" s="40" t="str">
        <f>IF(OR(T2680=0,RIGHT(T2680,1)=$W$1),"",COUNTIF($T$3:T2680,T2680))</f>
        <v/>
      </c>
      <c r="S2680" s="6">
        <f t="shared" si="418"/>
        <v>0</v>
      </c>
      <c r="T2680" s="36">
        <f t="shared" si="419"/>
        <v>0</v>
      </c>
      <c r="V2680" s="6">
        <f t="shared" si="420"/>
        <v>0</v>
      </c>
      <c r="Y2680" s="8">
        <f t="shared" si="421"/>
        <v>46023</v>
      </c>
    </row>
    <row r="2681" spans="2:25" ht="18.75" x14ac:dyDescent="0.3">
      <c r="B2681" s="6">
        <f t="shared" si="413"/>
        <v>0</v>
      </c>
      <c r="C2681" s="6">
        <f t="shared" si="414"/>
        <v>0</v>
      </c>
      <c r="D2681" s="6" t="str">
        <f t="shared" si="415"/>
        <v/>
      </c>
      <c r="E2681" s="35" t="str">
        <f t="shared" si="412"/>
        <v/>
      </c>
      <c r="F2681" s="31"/>
      <c r="G2681" s="29"/>
      <c r="H2681" s="78" t="str">
        <f t="shared" si="416"/>
        <v/>
      </c>
      <c r="I2681" s="25"/>
      <c r="J2681" s="25"/>
      <c r="K2681" s="26"/>
      <c r="L2681" s="26"/>
      <c r="M2681" s="37"/>
      <c r="N2681" s="27"/>
      <c r="O2681" s="30"/>
      <c r="P2681" s="39" t="str">
        <f t="shared" si="417"/>
        <v/>
      </c>
      <c r="Q2681" s="40" t="str">
        <f>IF(OR(T2681=0,RIGHT(T2681,1)=$W$1),"",COUNTIF($T$3:T2681,T2681))</f>
        <v/>
      </c>
      <c r="S2681" s="6">
        <f t="shared" si="418"/>
        <v>0</v>
      </c>
      <c r="T2681" s="36">
        <f t="shared" si="419"/>
        <v>0</v>
      </c>
      <c r="V2681" s="6">
        <f t="shared" si="420"/>
        <v>0</v>
      </c>
      <c r="Y2681" s="8">
        <f t="shared" si="421"/>
        <v>46023</v>
      </c>
    </row>
    <row r="2682" spans="2:25" ht="18.75" x14ac:dyDescent="0.3">
      <c r="B2682" s="6">
        <f t="shared" si="413"/>
        <v>0</v>
      </c>
      <c r="C2682" s="6">
        <f t="shared" si="414"/>
        <v>0</v>
      </c>
      <c r="D2682" s="6" t="str">
        <f t="shared" si="415"/>
        <v/>
      </c>
      <c r="E2682" s="35" t="str">
        <f t="shared" si="412"/>
        <v/>
      </c>
      <c r="F2682" s="31"/>
      <c r="G2682" s="29"/>
      <c r="H2682" s="78" t="str">
        <f t="shared" si="416"/>
        <v/>
      </c>
      <c r="I2682" s="25"/>
      <c r="J2682" s="25"/>
      <c r="K2682" s="26"/>
      <c r="L2682" s="26"/>
      <c r="M2682" s="37"/>
      <c r="N2682" s="27"/>
      <c r="O2682" s="30"/>
      <c r="P2682" s="39" t="str">
        <f t="shared" si="417"/>
        <v/>
      </c>
      <c r="Q2682" s="40" t="str">
        <f>IF(OR(T2682=0,RIGHT(T2682,1)=$W$1),"",COUNTIF($T$3:T2682,T2682))</f>
        <v/>
      </c>
      <c r="S2682" s="6">
        <f t="shared" si="418"/>
        <v>0</v>
      </c>
      <c r="T2682" s="36">
        <f t="shared" si="419"/>
        <v>0</v>
      </c>
      <c r="V2682" s="6">
        <f t="shared" si="420"/>
        <v>0</v>
      </c>
      <c r="Y2682" s="8">
        <f t="shared" si="421"/>
        <v>46023</v>
      </c>
    </row>
    <row r="2683" spans="2:25" ht="18.75" x14ac:dyDescent="0.3">
      <c r="B2683" s="6">
        <f t="shared" si="413"/>
        <v>0</v>
      </c>
      <c r="C2683" s="6">
        <f t="shared" si="414"/>
        <v>0</v>
      </c>
      <c r="D2683" s="6" t="str">
        <f t="shared" si="415"/>
        <v/>
      </c>
      <c r="E2683" s="35" t="str">
        <f t="shared" si="412"/>
        <v/>
      </c>
      <c r="F2683" s="31"/>
      <c r="G2683" s="29"/>
      <c r="H2683" s="78" t="str">
        <f t="shared" si="416"/>
        <v/>
      </c>
      <c r="I2683" s="25"/>
      <c r="J2683" s="25"/>
      <c r="K2683" s="26"/>
      <c r="L2683" s="26"/>
      <c r="M2683" s="37"/>
      <c r="N2683" s="27"/>
      <c r="O2683" s="30"/>
      <c r="P2683" s="39" t="str">
        <f t="shared" si="417"/>
        <v/>
      </c>
      <c r="Q2683" s="40" t="str">
        <f>IF(OR(T2683=0,RIGHT(T2683,1)=$W$1),"",COUNTIF($T$3:T2683,T2683))</f>
        <v/>
      </c>
      <c r="S2683" s="6">
        <f t="shared" si="418"/>
        <v>0</v>
      </c>
      <c r="T2683" s="36">
        <f t="shared" si="419"/>
        <v>0</v>
      </c>
      <c r="V2683" s="6">
        <f t="shared" si="420"/>
        <v>0</v>
      </c>
      <c r="Y2683" s="8">
        <f t="shared" si="421"/>
        <v>46023</v>
      </c>
    </row>
    <row r="2684" spans="2:25" ht="18.75" x14ac:dyDescent="0.3">
      <c r="B2684" s="6">
        <f t="shared" si="413"/>
        <v>0</v>
      </c>
      <c r="C2684" s="6">
        <f t="shared" si="414"/>
        <v>0</v>
      </c>
      <c r="D2684" s="6" t="str">
        <f t="shared" si="415"/>
        <v/>
      </c>
      <c r="E2684" s="35" t="str">
        <f t="shared" si="412"/>
        <v/>
      </c>
      <c r="F2684" s="31"/>
      <c r="G2684" s="29"/>
      <c r="H2684" s="78" t="str">
        <f t="shared" si="416"/>
        <v/>
      </c>
      <c r="I2684" s="25"/>
      <c r="J2684" s="25"/>
      <c r="K2684" s="26"/>
      <c r="L2684" s="26"/>
      <c r="M2684" s="37"/>
      <c r="N2684" s="27"/>
      <c r="O2684" s="30"/>
      <c r="P2684" s="39" t="str">
        <f t="shared" si="417"/>
        <v/>
      </c>
      <c r="Q2684" s="40" t="str">
        <f>IF(OR(T2684=0,RIGHT(T2684,1)=$W$1),"",COUNTIF($T$3:T2684,T2684))</f>
        <v/>
      </c>
      <c r="S2684" s="6">
        <f t="shared" si="418"/>
        <v>0</v>
      </c>
      <c r="T2684" s="36">
        <f t="shared" si="419"/>
        <v>0</v>
      </c>
      <c r="V2684" s="6">
        <f t="shared" si="420"/>
        <v>0</v>
      </c>
      <c r="Y2684" s="8">
        <f t="shared" si="421"/>
        <v>46023</v>
      </c>
    </row>
    <row r="2685" spans="2:25" ht="18.75" x14ac:dyDescent="0.3">
      <c r="B2685" s="6">
        <f t="shared" si="413"/>
        <v>0</v>
      </c>
      <c r="C2685" s="6">
        <f t="shared" si="414"/>
        <v>0</v>
      </c>
      <c r="D2685" s="6" t="str">
        <f t="shared" si="415"/>
        <v/>
      </c>
      <c r="E2685" s="35" t="str">
        <f t="shared" si="412"/>
        <v/>
      </c>
      <c r="F2685" s="31"/>
      <c r="G2685" s="29"/>
      <c r="H2685" s="78" t="str">
        <f t="shared" si="416"/>
        <v/>
      </c>
      <c r="I2685" s="25"/>
      <c r="J2685" s="25"/>
      <c r="K2685" s="26"/>
      <c r="L2685" s="26"/>
      <c r="M2685" s="37"/>
      <c r="N2685" s="27"/>
      <c r="O2685" s="30"/>
      <c r="P2685" s="39" t="str">
        <f t="shared" si="417"/>
        <v/>
      </c>
      <c r="Q2685" s="40" t="str">
        <f>IF(OR(T2685=0,RIGHT(T2685,1)=$W$1),"",COUNTIF($T$3:T2685,T2685))</f>
        <v/>
      </c>
      <c r="S2685" s="6">
        <f t="shared" si="418"/>
        <v>0</v>
      </c>
      <c r="T2685" s="36">
        <f t="shared" si="419"/>
        <v>0</v>
      </c>
      <c r="V2685" s="6">
        <f t="shared" si="420"/>
        <v>0</v>
      </c>
      <c r="Y2685" s="8">
        <f t="shared" si="421"/>
        <v>46023</v>
      </c>
    </row>
    <row r="2686" spans="2:25" ht="18.75" x14ac:dyDescent="0.3">
      <c r="B2686" s="6">
        <f t="shared" si="413"/>
        <v>0</v>
      </c>
      <c r="C2686" s="6">
        <f t="shared" si="414"/>
        <v>0</v>
      </c>
      <c r="D2686" s="6" t="str">
        <f t="shared" si="415"/>
        <v/>
      </c>
      <c r="E2686" s="35" t="str">
        <f t="shared" si="412"/>
        <v/>
      </c>
      <c r="F2686" s="31"/>
      <c r="G2686" s="29"/>
      <c r="H2686" s="78" t="str">
        <f t="shared" si="416"/>
        <v/>
      </c>
      <c r="I2686" s="25"/>
      <c r="J2686" s="25"/>
      <c r="K2686" s="26"/>
      <c r="L2686" s="26"/>
      <c r="M2686" s="37"/>
      <c r="N2686" s="27"/>
      <c r="O2686" s="30"/>
      <c r="P2686" s="39" t="str">
        <f t="shared" si="417"/>
        <v/>
      </c>
      <c r="Q2686" s="40" t="str">
        <f>IF(OR(T2686=0,RIGHT(T2686,1)=$W$1),"",COUNTIF($T$3:T2686,T2686))</f>
        <v/>
      </c>
      <c r="S2686" s="6">
        <f t="shared" si="418"/>
        <v>0</v>
      </c>
      <c r="T2686" s="36">
        <f t="shared" si="419"/>
        <v>0</v>
      </c>
      <c r="V2686" s="6">
        <f t="shared" si="420"/>
        <v>0</v>
      </c>
      <c r="Y2686" s="8">
        <f t="shared" si="421"/>
        <v>46023</v>
      </c>
    </row>
    <row r="2687" spans="2:25" ht="18.75" x14ac:dyDescent="0.3">
      <c r="B2687" s="6">
        <f t="shared" si="413"/>
        <v>0</v>
      </c>
      <c r="C2687" s="6">
        <f t="shared" si="414"/>
        <v>0</v>
      </c>
      <c r="D2687" s="6" t="str">
        <f t="shared" si="415"/>
        <v/>
      </c>
      <c r="E2687" s="35" t="str">
        <f t="shared" si="412"/>
        <v/>
      </c>
      <c r="F2687" s="31"/>
      <c r="G2687" s="29"/>
      <c r="H2687" s="78" t="str">
        <f t="shared" si="416"/>
        <v/>
      </c>
      <c r="I2687" s="25"/>
      <c r="J2687" s="25"/>
      <c r="K2687" s="26"/>
      <c r="L2687" s="26"/>
      <c r="M2687" s="37"/>
      <c r="N2687" s="27"/>
      <c r="O2687" s="30"/>
      <c r="P2687" s="39" t="str">
        <f t="shared" si="417"/>
        <v/>
      </c>
      <c r="Q2687" s="40" t="str">
        <f>IF(OR(T2687=0,RIGHT(T2687,1)=$W$1),"",COUNTIF($T$3:T2687,T2687))</f>
        <v/>
      </c>
      <c r="S2687" s="6">
        <f t="shared" si="418"/>
        <v>0</v>
      </c>
      <c r="T2687" s="36">
        <f t="shared" si="419"/>
        <v>0</v>
      </c>
      <c r="V2687" s="6">
        <f t="shared" si="420"/>
        <v>0</v>
      </c>
      <c r="Y2687" s="8">
        <f t="shared" si="421"/>
        <v>46023</v>
      </c>
    </row>
    <row r="2688" spans="2:25" ht="18.75" x14ac:dyDescent="0.3">
      <c r="B2688" s="6">
        <f t="shared" si="413"/>
        <v>0</v>
      </c>
      <c r="C2688" s="6">
        <f t="shared" si="414"/>
        <v>0</v>
      </c>
      <c r="D2688" s="6" t="str">
        <f t="shared" si="415"/>
        <v/>
      </c>
      <c r="E2688" s="35" t="str">
        <f t="shared" si="412"/>
        <v/>
      </c>
      <c r="F2688" s="31"/>
      <c r="G2688" s="29"/>
      <c r="H2688" s="78" t="str">
        <f t="shared" si="416"/>
        <v/>
      </c>
      <c r="I2688" s="25"/>
      <c r="J2688" s="25"/>
      <c r="K2688" s="26"/>
      <c r="L2688" s="26"/>
      <c r="M2688" s="37"/>
      <c r="N2688" s="27"/>
      <c r="O2688" s="30"/>
      <c r="P2688" s="39" t="str">
        <f t="shared" si="417"/>
        <v/>
      </c>
      <c r="Q2688" s="40" t="str">
        <f>IF(OR(T2688=0,RIGHT(T2688,1)=$W$1),"",COUNTIF($T$3:T2688,T2688))</f>
        <v/>
      </c>
      <c r="S2688" s="6">
        <f t="shared" si="418"/>
        <v>0</v>
      </c>
      <c r="T2688" s="36">
        <f t="shared" si="419"/>
        <v>0</v>
      </c>
      <c r="V2688" s="6">
        <f t="shared" si="420"/>
        <v>0</v>
      </c>
      <c r="Y2688" s="8">
        <f t="shared" si="421"/>
        <v>46023</v>
      </c>
    </row>
    <row r="2689" spans="2:25" ht="18.75" x14ac:dyDescent="0.3">
      <c r="B2689" s="6">
        <f t="shared" si="413"/>
        <v>0</v>
      </c>
      <c r="C2689" s="6">
        <f t="shared" si="414"/>
        <v>0</v>
      </c>
      <c r="D2689" s="6" t="str">
        <f t="shared" si="415"/>
        <v/>
      </c>
      <c r="E2689" s="35" t="str">
        <f t="shared" si="412"/>
        <v/>
      </c>
      <c r="F2689" s="31"/>
      <c r="G2689" s="29"/>
      <c r="H2689" s="78" t="str">
        <f t="shared" si="416"/>
        <v/>
      </c>
      <c r="I2689" s="25"/>
      <c r="J2689" s="25"/>
      <c r="K2689" s="26"/>
      <c r="L2689" s="26"/>
      <c r="M2689" s="37"/>
      <c r="N2689" s="27"/>
      <c r="O2689" s="30"/>
      <c r="P2689" s="39" t="str">
        <f t="shared" si="417"/>
        <v/>
      </c>
      <c r="Q2689" s="40" t="str">
        <f>IF(OR(T2689=0,RIGHT(T2689,1)=$W$1),"",COUNTIF($T$3:T2689,T2689))</f>
        <v/>
      </c>
      <c r="S2689" s="6">
        <f t="shared" si="418"/>
        <v>0</v>
      </c>
      <c r="T2689" s="36">
        <f t="shared" si="419"/>
        <v>0</v>
      </c>
      <c r="V2689" s="6">
        <f t="shared" si="420"/>
        <v>0</v>
      </c>
      <c r="Y2689" s="8">
        <f t="shared" si="421"/>
        <v>46023</v>
      </c>
    </row>
    <row r="2690" spans="2:25" ht="18.75" x14ac:dyDescent="0.3">
      <c r="B2690" s="6">
        <f t="shared" si="413"/>
        <v>0</v>
      </c>
      <c r="C2690" s="6">
        <f t="shared" si="414"/>
        <v>0</v>
      </c>
      <c r="D2690" s="6" t="str">
        <f t="shared" si="415"/>
        <v/>
      </c>
      <c r="E2690" s="35" t="str">
        <f t="shared" si="412"/>
        <v/>
      </c>
      <c r="F2690" s="31"/>
      <c r="G2690" s="29"/>
      <c r="H2690" s="78" t="str">
        <f t="shared" si="416"/>
        <v/>
      </c>
      <c r="I2690" s="25"/>
      <c r="J2690" s="25"/>
      <c r="K2690" s="26"/>
      <c r="L2690" s="26"/>
      <c r="M2690" s="37"/>
      <c r="N2690" s="27"/>
      <c r="O2690" s="30"/>
      <c r="P2690" s="39" t="str">
        <f t="shared" si="417"/>
        <v/>
      </c>
      <c r="Q2690" s="40" t="str">
        <f>IF(OR(T2690=0,RIGHT(T2690,1)=$W$1),"",COUNTIF($T$3:T2690,T2690))</f>
        <v/>
      </c>
      <c r="S2690" s="6">
        <f t="shared" si="418"/>
        <v>0</v>
      </c>
      <c r="T2690" s="36">
        <f t="shared" si="419"/>
        <v>0</v>
      </c>
      <c r="V2690" s="6">
        <f t="shared" si="420"/>
        <v>0</v>
      </c>
      <c r="Y2690" s="8">
        <f t="shared" si="421"/>
        <v>46023</v>
      </c>
    </row>
    <row r="2691" spans="2:25" ht="18.75" x14ac:dyDescent="0.3">
      <c r="B2691" s="6">
        <f t="shared" si="413"/>
        <v>0</v>
      </c>
      <c r="C2691" s="6">
        <f t="shared" si="414"/>
        <v>0</v>
      </c>
      <c r="D2691" s="6" t="str">
        <f t="shared" si="415"/>
        <v/>
      </c>
      <c r="E2691" s="35" t="str">
        <f t="shared" ref="E2691:E2754" si="422">IF(D2691&lt;&gt;"",D2691&amp;" - "&amp;YEAR(F2691),"")</f>
        <v/>
      </c>
      <c r="F2691" s="31"/>
      <c r="G2691" s="29"/>
      <c r="H2691" s="78" t="str">
        <f t="shared" si="416"/>
        <v/>
      </c>
      <c r="I2691" s="25"/>
      <c r="J2691" s="25"/>
      <c r="K2691" s="26"/>
      <c r="L2691" s="26"/>
      <c r="M2691" s="37"/>
      <c r="N2691" s="27"/>
      <c r="O2691" s="30"/>
      <c r="P2691" s="39" t="str">
        <f t="shared" si="417"/>
        <v/>
      </c>
      <c r="Q2691" s="40" t="str">
        <f>IF(OR(T2691=0,RIGHT(T2691,1)=$W$1),"",COUNTIF($T$3:T2691,T2691))</f>
        <v/>
      </c>
      <c r="S2691" s="6">
        <f t="shared" si="418"/>
        <v>0</v>
      </c>
      <c r="T2691" s="36">
        <f t="shared" si="419"/>
        <v>0</v>
      </c>
      <c r="V2691" s="6">
        <f t="shared" si="420"/>
        <v>0</v>
      </c>
      <c r="Y2691" s="8">
        <f t="shared" si="421"/>
        <v>46023</v>
      </c>
    </row>
    <row r="2692" spans="2:25" ht="18.75" x14ac:dyDescent="0.3">
      <c r="B2692" s="6">
        <f t="shared" ref="B2692:B2755" si="423">IF($B$1=YEAR(F2692),B2691+1,B2691)</f>
        <v>0</v>
      </c>
      <c r="C2692" s="6">
        <f t="shared" ref="C2692:C2755" si="424">IF(AND($C$1=K2692,$Y$1=YEAR(F2692)),C2691+1,C2691)</f>
        <v>0</v>
      </c>
      <c r="D2692" s="6" t="str">
        <f t="shared" ref="D2692:D2755" si="425">IF(F2692&lt;&gt;0,IF(YEAR(F2692)&lt;&gt;YEAR(F2691),1,IF(M2692=$AI$1,D2691,D2691+1)),"")</f>
        <v/>
      </c>
      <c r="E2692" s="35" t="str">
        <f t="shared" si="422"/>
        <v/>
      </c>
      <c r="F2692" s="31"/>
      <c r="G2692" s="29"/>
      <c r="H2692" s="78" t="str">
        <f t="shared" ref="H2692:H2755" si="426">IF(G2692&lt;&gt;"",F2692,"")</f>
        <v/>
      </c>
      <c r="I2692" s="25"/>
      <c r="J2692" s="25"/>
      <c r="K2692" s="26"/>
      <c r="L2692" s="26"/>
      <c r="M2692" s="37"/>
      <c r="N2692" s="27"/>
      <c r="O2692" s="30"/>
      <c r="P2692" s="39" t="str">
        <f t="shared" ref="P2692:P2755" si="427">IF(OR(T2692=0,RIGHT(T2692,1)=$W$1),"",VLOOKUP(K2692,$AD$1:$AK$15,5,FALSE))</f>
        <v/>
      </c>
      <c r="Q2692" s="40" t="str">
        <f>IF(OR(T2692=0,RIGHT(T2692,1)=$W$1),"",COUNTIF($T$3:T2692,T2692))</f>
        <v/>
      </c>
      <c r="S2692" s="6">
        <f t="shared" ref="S2692:S2755" si="428">IF(AND($C$1=K2692,$Y$1=YEAR(F2692)),C2692,0)</f>
        <v>0</v>
      </c>
      <c r="T2692" s="36">
        <f t="shared" ref="T2692:T2755" si="429">IF(F2692=0,0,YEAR(F2692)&amp;VLOOKUP(K2692,$AD$1:$AE$15,2,FALSE))</f>
        <v>0</v>
      </c>
      <c r="V2692" s="6">
        <f t="shared" ref="V2692:V2755" si="430">IF(AND(YEAR(F2692)=$Y$1,K2692=$C$1,L2692&amp;$V$1&lt;&gt;$V$1),L2692,IF(AND(YEAR(F2692)=$Y$1,K2692=$C$1),1,0))</f>
        <v>0</v>
      </c>
      <c r="Y2692" s="8">
        <f t="shared" ref="Y2692:Y2755" si="431">IF(M2692&lt;&gt;$AI$1,$Y$2,F2691)</f>
        <v>46023</v>
      </c>
    </row>
    <row r="2693" spans="2:25" ht="18.75" x14ac:dyDescent="0.3">
      <c r="B2693" s="6">
        <f t="shared" si="423"/>
        <v>0</v>
      </c>
      <c r="C2693" s="6">
        <f t="shared" si="424"/>
        <v>0</v>
      </c>
      <c r="D2693" s="6" t="str">
        <f t="shared" si="425"/>
        <v/>
      </c>
      <c r="E2693" s="35" t="str">
        <f t="shared" si="422"/>
        <v/>
      </c>
      <c r="F2693" s="31"/>
      <c r="G2693" s="29"/>
      <c r="H2693" s="78" t="str">
        <f t="shared" si="426"/>
        <v/>
      </c>
      <c r="I2693" s="25"/>
      <c r="J2693" s="25"/>
      <c r="K2693" s="26"/>
      <c r="L2693" s="26"/>
      <c r="M2693" s="37"/>
      <c r="N2693" s="27"/>
      <c r="O2693" s="30"/>
      <c r="P2693" s="39" t="str">
        <f t="shared" si="427"/>
        <v/>
      </c>
      <c r="Q2693" s="40" t="str">
        <f>IF(OR(T2693=0,RIGHT(T2693,1)=$W$1),"",COUNTIF($T$3:T2693,T2693))</f>
        <v/>
      </c>
      <c r="S2693" s="6">
        <f t="shared" si="428"/>
        <v>0</v>
      </c>
      <c r="T2693" s="36">
        <f t="shared" si="429"/>
        <v>0</v>
      </c>
      <c r="V2693" s="6">
        <f t="shared" si="430"/>
        <v>0</v>
      </c>
      <c r="Y2693" s="8">
        <f t="shared" si="431"/>
        <v>46023</v>
      </c>
    </row>
    <row r="2694" spans="2:25" ht="18.75" x14ac:dyDescent="0.3">
      <c r="B2694" s="6">
        <f t="shared" si="423"/>
        <v>0</v>
      </c>
      <c r="C2694" s="6">
        <f t="shared" si="424"/>
        <v>0</v>
      </c>
      <c r="D2694" s="6" t="str">
        <f t="shared" si="425"/>
        <v/>
      </c>
      <c r="E2694" s="35" t="str">
        <f t="shared" si="422"/>
        <v/>
      </c>
      <c r="F2694" s="31"/>
      <c r="G2694" s="29"/>
      <c r="H2694" s="78" t="str">
        <f t="shared" si="426"/>
        <v/>
      </c>
      <c r="I2694" s="25"/>
      <c r="J2694" s="25"/>
      <c r="K2694" s="26"/>
      <c r="L2694" s="26"/>
      <c r="M2694" s="37"/>
      <c r="N2694" s="27"/>
      <c r="O2694" s="30"/>
      <c r="P2694" s="39" t="str">
        <f t="shared" si="427"/>
        <v/>
      </c>
      <c r="Q2694" s="40" t="str">
        <f>IF(OR(T2694=0,RIGHT(T2694,1)=$W$1),"",COUNTIF($T$3:T2694,T2694))</f>
        <v/>
      </c>
      <c r="S2694" s="6">
        <f t="shared" si="428"/>
        <v>0</v>
      </c>
      <c r="T2694" s="36">
        <f t="shared" si="429"/>
        <v>0</v>
      </c>
      <c r="V2694" s="6">
        <f t="shared" si="430"/>
        <v>0</v>
      </c>
      <c r="Y2694" s="8">
        <f t="shared" si="431"/>
        <v>46023</v>
      </c>
    </row>
    <row r="2695" spans="2:25" ht="18.75" x14ac:dyDescent="0.3">
      <c r="B2695" s="6">
        <f t="shared" si="423"/>
        <v>0</v>
      </c>
      <c r="C2695" s="6">
        <f t="shared" si="424"/>
        <v>0</v>
      </c>
      <c r="D2695" s="6" t="str">
        <f t="shared" si="425"/>
        <v/>
      </c>
      <c r="E2695" s="35" t="str">
        <f t="shared" si="422"/>
        <v/>
      </c>
      <c r="F2695" s="31"/>
      <c r="G2695" s="29"/>
      <c r="H2695" s="78" t="str">
        <f t="shared" si="426"/>
        <v/>
      </c>
      <c r="I2695" s="25"/>
      <c r="J2695" s="25"/>
      <c r="K2695" s="26"/>
      <c r="L2695" s="26"/>
      <c r="M2695" s="37"/>
      <c r="N2695" s="27"/>
      <c r="O2695" s="30"/>
      <c r="P2695" s="39" t="str">
        <f t="shared" si="427"/>
        <v/>
      </c>
      <c r="Q2695" s="40" t="str">
        <f>IF(OR(T2695=0,RIGHT(T2695,1)=$W$1),"",COUNTIF($T$3:T2695,T2695))</f>
        <v/>
      </c>
      <c r="S2695" s="6">
        <f t="shared" si="428"/>
        <v>0</v>
      </c>
      <c r="T2695" s="36">
        <f t="shared" si="429"/>
        <v>0</v>
      </c>
      <c r="V2695" s="6">
        <f t="shared" si="430"/>
        <v>0</v>
      </c>
      <c r="Y2695" s="8">
        <f t="shared" si="431"/>
        <v>46023</v>
      </c>
    </row>
    <row r="2696" spans="2:25" ht="18.75" x14ac:dyDescent="0.3">
      <c r="B2696" s="6">
        <f t="shared" si="423"/>
        <v>0</v>
      </c>
      <c r="C2696" s="6">
        <f t="shared" si="424"/>
        <v>0</v>
      </c>
      <c r="D2696" s="6" t="str">
        <f t="shared" si="425"/>
        <v/>
      </c>
      <c r="E2696" s="35" t="str">
        <f t="shared" si="422"/>
        <v/>
      </c>
      <c r="F2696" s="31"/>
      <c r="G2696" s="29"/>
      <c r="H2696" s="78" t="str">
        <f t="shared" si="426"/>
        <v/>
      </c>
      <c r="I2696" s="25"/>
      <c r="J2696" s="25"/>
      <c r="K2696" s="26"/>
      <c r="L2696" s="26"/>
      <c r="M2696" s="37"/>
      <c r="N2696" s="27"/>
      <c r="O2696" s="30"/>
      <c r="P2696" s="39" t="str">
        <f t="shared" si="427"/>
        <v/>
      </c>
      <c r="Q2696" s="40" t="str">
        <f>IF(OR(T2696=0,RIGHT(T2696,1)=$W$1),"",COUNTIF($T$3:T2696,T2696))</f>
        <v/>
      </c>
      <c r="S2696" s="6">
        <f t="shared" si="428"/>
        <v>0</v>
      </c>
      <c r="T2696" s="36">
        <f t="shared" si="429"/>
        <v>0</v>
      </c>
      <c r="V2696" s="6">
        <f t="shared" si="430"/>
        <v>0</v>
      </c>
      <c r="Y2696" s="8">
        <f t="shared" si="431"/>
        <v>46023</v>
      </c>
    </row>
    <row r="2697" spans="2:25" ht="18.75" x14ac:dyDescent="0.3">
      <c r="B2697" s="6">
        <f t="shared" si="423"/>
        <v>0</v>
      </c>
      <c r="C2697" s="6">
        <f t="shared" si="424"/>
        <v>0</v>
      </c>
      <c r="D2697" s="6" t="str">
        <f t="shared" si="425"/>
        <v/>
      </c>
      <c r="E2697" s="35" t="str">
        <f t="shared" si="422"/>
        <v/>
      </c>
      <c r="F2697" s="31"/>
      <c r="G2697" s="29"/>
      <c r="H2697" s="78" t="str">
        <f t="shared" si="426"/>
        <v/>
      </c>
      <c r="I2697" s="25"/>
      <c r="J2697" s="25"/>
      <c r="K2697" s="26"/>
      <c r="L2697" s="26"/>
      <c r="M2697" s="37"/>
      <c r="N2697" s="27"/>
      <c r="O2697" s="30"/>
      <c r="P2697" s="39" t="str">
        <f t="shared" si="427"/>
        <v/>
      </c>
      <c r="Q2697" s="40" t="str">
        <f>IF(OR(T2697=0,RIGHT(T2697,1)=$W$1),"",COUNTIF($T$3:T2697,T2697))</f>
        <v/>
      </c>
      <c r="S2697" s="6">
        <f t="shared" si="428"/>
        <v>0</v>
      </c>
      <c r="T2697" s="36">
        <f t="shared" si="429"/>
        <v>0</v>
      </c>
      <c r="V2697" s="6">
        <f t="shared" si="430"/>
        <v>0</v>
      </c>
      <c r="Y2697" s="8">
        <f t="shared" si="431"/>
        <v>46023</v>
      </c>
    </row>
    <row r="2698" spans="2:25" ht="18.75" x14ac:dyDescent="0.3">
      <c r="B2698" s="6">
        <f t="shared" si="423"/>
        <v>0</v>
      </c>
      <c r="C2698" s="6">
        <f t="shared" si="424"/>
        <v>0</v>
      </c>
      <c r="D2698" s="6" t="str">
        <f t="shared" si="425"/>
        <v/>
      </c>
      <c r="E2698" s="35" t="str">
        <f t="shared" si="422"/>
        <v/>
      </c>
      <c r="F2698" s="31"/>
      <c r="G2698" s="29"/>
      <c r="H2698" s="78" t="str">
        <f t="shared" si="426"/>
        <v/>
      </c>
      <c r="I2698" s="25"/>
      <c r="J2698" s="25"/>
      <c r="K2698" s="26"/>
      <c r="L2698" s="26"/>
      <c r="M2698" s="37"/>
      <c r="N2698" s="27"/>
      <c r="O2698" s="30"/>
      <c r="P2698" s="39" t="str">
        <f t="shared" si="427"/>
        <v/>
      </c>
      <c r="Q2698" s="40" t="str">
        <f>IF(OR(T2698=0,RIGHT(T2698,1)=$W$1),"",COUNTIF($T$3:T2698,T2698))</f>
        <v/>
      </c>
      <c r="S2698" s="6">
        <f t="shared" si="428"/>
        <v>0</v>
      </c>
      <c r="T2698" s="36">
        <f t="shared" si="429"/>
        <v>0</v>
      </c>
      <c r="V2698" s="6">
        <f t="shared" si="430"/>
        <v>0</v>
      </c>
      <c r="Y2698" s="8">
        <f t="shared" si="431"/>
        <v>46023</v>
      </c>
    </row>
    <row r="2699" spans="2:25" ht="18.75" x14ac:dyDescent="0.3">
      <c r="B2699" s="6">
        <f t="shared" si="423"/>
        <v>0</v>
      </c>
      <c r="C2699" s="6">
        <f t="shared" si="424"/>
        <v>0</v>
      </c>
      <c r="D2699" s="6" t="str">
        <f t="shared" si="425"/>
        <v/>
      </c>
      <c r="E2699" s="35" t="str">
        <f t="shared" si="422"/>
        <v/>
      </c>
      <c r="F2699" s="31"/>
      <c r="G2699" s="29"/>
      <c r="H2699" s="78" t="str">
        <f t="shared" si="426"/>
        <v/>
      </c>
      <c r="I2699" s="25"/>
      <c r="J2699" s="25"/>
      <c r="K2699" s="26"/>
      <c r="L2699" s="26"/>
      <c r="M2699" s="37"/>
      <c r="N2699" s="27"/>
      <c r="O2699" s="30"/>
      <c r="P2699" s="39" t="str">
        <f t="shared" si="427"/>
        <v/>
      </c>
      <c r="Q2699" s="40" t="str">
        <f>IF(OR(T2699=0,RIGHT(T2699,1)=$W$1),"",COUNTIF($T$3:T2699,T2699))</f>
        <v/>
      </c>
      <c r="S2699" s="6">
        <f t="shared" si="428"/>
        <v>0</v>
      </c>
      <c r="T2699" s="36">
        <f t="shared" si="429"/>
        <v>0</v>
      </c>
      <c r="V2699" s="6">
        <f t="shared" si="430"/>
        <v>0</v>
      </c>
      <c r="Y2699" s="8">
        <f t="shared" si="431"/>
        <v>46023</v>
      </c>
    </row>
    <row r="2700" spans="2:25" ht="18.75" x14ac:dyDescent="0.3">
      <c r="B2700" s="6">
        <f t="shared" si="423"/>
        <v>0</v>
      </c>
      <c r="C2700" s="6">
        <f t="shared" si="424"/>
        <v>0</v>
      </c>
      <c r="D2700" s="6" t="str">
        <f t="shared" si="425"/>
        <v/>
      </c>
      <c r="E2700" s="35" t="str">
        <f t="shared" si="422"/>
        <v/>
      </c>
      <c r="F2700" s="31"/>
      <c r="G2700" s="29"/>
      <c r="H2700" s="78" t="str">
        <f t="shared" si="426"/>
        <v/>
      </c>
      <c r="I2700" s="25"/>
      <c r="J2700" s="25"/>
      <c r="K2700" s="26"/>
      <c r="L2700" s="26"/>
      <c r="M2700" s="37"/>
      <c r="N2700" s="27"/>
      <c r="O2700" s="30"/>
      <c r="P2700" s="39" t="str">
        <f t="shared" si="427"/>
        <v/>
      </c>
      <c r="Q2700" s="40" t="str">
        <f>IF(OR(T2700=0,RIGHT(T2700,1)=$W$1),"",COUNTIF($T$3:T2700,T2700))</f>
        <v/>
      </c>
      <c r="S2700" s="6">
        <f t="shared" si="428"/>
        <v>0</v>
      </c>
      <c r="T2700" s="36">
        <f t="shared" si="429"/>
        <v>0</v>
      </c>
      <c r="V2700" s="6">
        <f t="shared" si="430"/>
        <v>0</v>
      </c>
      <c r="Y2700" s="8">
        <f t="shared" si="431"/>
        <v>46023</v>
      </c>
    </row>
    <row r="2701" spans="2:25" ht="18.75" x14ac:dyDescent="0.3">
      <c r="B2701" s="6">
        <f t="shared" si="423"/>
        <v>0</v>
      </c>
      <c r="C2701" s="6">
        <f t="shared" si="424"/>
        <v>0</v>
      </c>
      <c r="D2701" s="6" t="str">
        <f t="shared" si="425"/>
        <v/>
      </c>
      <c r="E2701" s="35" t="str">
        <f t="shared" si="422"/>
        <v/>
      </c>
      <c r="F2701" s="31"/>
      <c r="G2701" s="29"/>
      <c r="H2701" s="78" t="str">
        <f t="shared" si="426"/>
        <v/>
      </c>
      <c r="I2701" s="25"/>
      <c r="J2701" s="25"/>
      <c r="K2701" s="26"/>
      <c r="L2701" s="26"/>
      <c r="M2701" s="37"/>
      <c r="N2701" s="27"/>
      <c r="O2701" s="30"/>
      <c r="P2701" s="39" t="str">
        <f t="shared" si="427"/>
        <v/>
      </c>
      <c r="Q2701" s="40" t="str">
        <f>IF(OR(T2701=0,RIGHT(T2701,1)=$W$1),"",COUNTIF($T$3:T2701,T2701))</f>
        <v/>
      </c>
      <c r="S2701" s="6">
        <f t="shared" si="428"/>
        <v>0</v>
      </c>
      <c r="T2701" s="36">
        <f t="shared" si="429"/>
        <v>0</v>
      </c>
      <c r="V2701" s="6">
        <f t="shared" si="430"/>
        <v>0</v>
      </c>
      <c r="Y2701" s="8">
        <f t="shared" si="431"/>
        <v>46023</v>
      </c>
    </row>
    <row r="2702" spans="2:25" ht="18.75" x14ac:dyDescent="0.3">
      <c r="B2702" s="6">
        <f t="shared" si="423"/>
        <v>0</v>
      </c>
      <c r="C2702" s="6">
        <f t="shared" si="424"/>
        <v>0</v>
      </c>
      <c r="D2702" s="6" t="str">
        <f t="shared" si="425"/>
        <v/>
      </c>
      <c r="E2702" s="35" t="str">
        <f t="shared" si="422"/>
        <v/>
      </c>
      <c r="F2702" s="31"/>
      <c r="G2702" s="29"/>
      <c r="H2702" s="78" t="str">
        <f t="shared" si="426"/>
        <v/>
      </c>
      <c r="I2702" s="25"/>
      <c r="J2702" s="25"/>
      <c r="K2702" s="26"/>
      <c r="L2702" s="26"/>
      <c r="M2702" s="37"/>
      <c r="N2702" s="27"/>
      <c r="O2702" s="30"/>
      <c r="P2702" s="39" t="str">
        <f t="shared" si="427"/>
        <v/>
      </c>
      <c r="Q2702" s="40" t="str">
        <f>IF(OR(T2702=0,RIGHT(T2702,1)=$W$1),"",COUNTIF($T$3:T2702,T2702))</f>
        <v/>
      </c>
      <c r="S2702" s="6">
        <f t="shared" si="428"/>
        <v>0</v>
      </c>
      <c r="T2702" s="36">
        <f t="shared" si="429"/>
        <v>0</v>
      </c>
      <c r="V2702" s="6">
        <f t="shared" si="430"/>
        <v>0</v>
      </c>
      <c r="Y2702" s="8">
        <f t="shared" si="431"/>
        <v>46023</v>
      </c>
    </row>
    <row r="2703" spans="2:25" ht="18.75" x14ac:dyDescent="0.3">
      <c r="B2703" s="6">
        <f t="shared" si="423"/>
        <v>0</v>
      </c>
      <c r="C2703" s="6">
        <f t="shared" si="424"/>
        <v>0</v>
      </c>
      <c r="D2703" s="6" t="str">
        <f t="shared" si="425"/>
        <v/>
      </c>
      <c r="E2703" s="35" t="str">
        <f t="shared" si="422"/>
        <v/>
      </c>
      <c r="F2703" s="31"/>
      <c r="G2703" s="29"/>
      <c r="H2703" s="78" t="str">
        <f t="shared" si="426"/>
        <v/>
      </c>
      <c r="I2703" s="25"/>
      <c r="J2703" s="25"/>
      <c r="K2703" s="26"/>
      <c r="L2703" s="26"/>
      <c r="M2703" s="37"/>
      <c r="N2703" s="27"/>
      <c r="O2703" s="30"/>
      <c r="P2703" s="39" t="str">
        <f t="shared" si="427"/>
        <v/>
      </c>
      <c r="Q2703" s="40" t="str">
        <f>IF(OR(T2703=0,RIGHT(T2703,1)=$W$1),"",COUNTIF($T$3:T2703,T2703))</f>
        <v/>
      </c>
      <c r="S2703" s="6">
        <f t="shared" si="428"/>
        <v>0</v>
      </c>
      <c r="T2703" s="36">
        <f t="shared" si="429"/>
        <v>0</v>
      </c>
      <c r="V2703" s="6">
        <f t="shared" si="430"/>
        <v>0</v>
      </c>
      <c r="Y2703" s="8">
        <f t="shared" si="431"/>
        <v>46023</v>
      </c>
    </row>
    <row r="2704" spans="2:25" ht="18.75" x14ac:dyDescent="0.3">
      <c r="B2704" s="6">
        <f t="shared" si="423"/>
        <v>0</v>
      </c>
      <c r="C2704" s="6">
        <f t="shared" si="424"/>
        <v>0</v>
      </c>
      <c r="D2704" s="6" t="str">
        <f t="shared" si="425"/>
        <v/>
      </c>
      <c r="E2704" s="35" t="str">
        <f t="shared" si="422"/>
        <v/>
      </c>
      <c r="F2704" s="31"/>
      <c r="G2704" s="29"/>
      <c r="H2704" s="78" t="str">
        <f t="shared" si="426"/>
        <v/>
      </c>
      <c r="I2704" s="25"/>
      <c r="J2704" s="25"/>
      <c r="K2704" s="26"/>
      <c r="L2704" s="26"/>
      <c r="M2704" s="37"/>
      <c r="N2704" s="27"/>
      <c r="O2704" s="30"/>
      <c r="P2704" s="39" t="str">
        <f t="shared" si="427"/>
        <v/>
      </c>
      <c r="Q2704" s="40" t="str">
        <f>IF(OR(T2704=0,RIGHT(T2704,1)=$W$1),"",COUNTIF($T$3:T2704,T2704))</f>
        <v/>
      </c>
      <c r="S2704" s="6">
        <f t="shared" si="428"/>
        <v>0</v>
      </c>
      <c r="T2704" s="36">
        <f t="shared" si="429"/>
        <v>0</v>
      </c>
      <c r="V2704" s="6">
        <f t="shared" si="430"/>
        <v>0</v>
      </c>
      <c r="Y2704" s="8">
        <f t="shared" si="431"/>
        <v>46023</v>
      </c>
    </row>
    <row r="2705" spans="2:25" ht="18.75" x14ac:dyDescent="0.3">
      <c r="B2705" s="6">
        <f t="shared" si="423"/>
        <v>0</v>
      </c>
      <c r="C2705" s="6">
        <f t="shared" si="424"/>
        <v>0</v>
      </c>
      <c r="D2705" s="6" t="str">
        <f t="shared" si="425"/>
        <v/>
      </c>
      <c r="E2705" s="35" t="str">
        <f t="shared" si="422"/>
        <v/>
      </c>
      <c r="F2705" s="31"/>
      <c r="G2705" s="29"/>
      <c r="H2705" s="78" t="str">
        <f t="shared" si="426"/>
        <v/>
      </c>
      <c r="I2705" s="25"/>
      <c r="J2705" s="25"/>
      <c r="K2705" s="26"/>
      <c r="L2705" s="26"/>
      <c r="M2705" s="37"/>
      <c r="N2705" s="27"/>
      <c r="O2705" s="30"/>
      <c r="P2705" s="39" t="str">
        <f t="shared" si="427"/>
        <v/>
      </c>
      <c r="Q2705" s="40" t="str">
        <f>IF(OR(T2705=0,RIGHT(T2705,1)=$W$1),"",COUNTIF($T$3:T2705,T2705))</f>
        <v/>
      </c>
      <c r="S2705" s="6">
        <f t="shared" si="428"/>
        <v>0</v>
      </c>
      <c r="T2705" s="36">
        <f t="shared" si="429"/>
        <v>0</v>
      </c>
      <c r="V2705" s="6">
        <f t="shared" si="430"/>
        <v>0</v>
      </c>
      <c r="Y2705" s="8">
        <f t="shared" si="431"/>
        <v>46023</v>
      </c>
    </row>
    <row r="2706" spans="2:25" ht="18.75" x14ac:dyDescent="0.3">
      <c r="B2706" s="6">
        <f t="shared" si="423"/>
        <v>0</v>
      </c>
      <c r="C2706" s="6">
        <f t="shared" si="424"/>
        <v>0</v>
      </c>
      <c r="D2706" s="6" t="str">
        <f t="shared" si="425"/>
        <v/>
      </c>
      <c r="E2706" s="35" t="str">
        <f t="shared" si="422"/>
        <v/>
      </c>
      <c r="F2706" s="31"/>
      <c r="G2706" s="29"/>
      <c r="H2706" s="78" t="str">
        <f t="shared" si="426"/>
        <v/>
      </c>
      <c r="I2706" s="25"/>
      <c r="J2706" s="25"/>
      <c r="K2706" s="26"/>
      <c r="L2706" s="26"/>
      <c r="M2706" s="37"/>
      <c r="N2706" s="27"/>
      <c r="O2706" s="30"/>
      <c r="P2706" s="39" t="str">
        <f t="shared" si="427"/>
        <v/>
      </c>
      <c r="Q2706" s="40" t="str">
        <f>IF(OR(T2706=0,RIGHT(T2706,1)=$W$1),"",COUNTIF($T$3:T2706,T2706))</f>
        <v/>
      </c>
      <c r="S2706" s="6">
        <f t="shared" si="428"/>
        <v>0</v>
      </c>
      <c r="T2706" s="36">
        <f t="shared" si="429"/>
        <v>0</v>
      </c>
      <c r="V2706" s="6">
        <f t="shared" si="430"/>
        <v>0</v>
      </c>
      <c r="Y2706" s="8">
        <f t="shared" si="431"/>
        <v>46023</v>
      </c>
    </row>
    <row r="2707" spans="2:25" ht="18.75" x14ac:dyDescent="0.3">
      <c r="B2707" s="6">
        <f t="shared" si="423"/>
        <v>0</v>
      </c>
      <c r="C2707" s="6">
        <f t="shared" si="424"/>
        <v>0</v>
      </c>
      <c r="D2707" s="6" t="str">
        <f t="shared" si="425"/>
        <v/>
      </c>
      <c r="E2707" s="35" t="str">
        <f t="shared" si="422"/>
        <v/>
      </c>
      <c r="F2707" s="31"/>
      <c r="G2707" s="29"/>
      <c r="H2707" s="78" t="str">
        <f t="shared" si="426"/>
        <v/>
      </c>
      <c r="I2707" s="25"/>
      <c r="J2707" s="25"/>
      <c r="K2707" s="26"/>
      <c r="L2707" s="26"/>
      <c r="M2707" s="37"/>
      <c r="N2707" s="27"/>
      <c r="O2707" s="30"/>
      <c r="P2707" s="39" t="str">
        <f t="shared" si="427"/>
        <v/>
      </c>
      <c r="Q2707" s="40" t="str">
        <f>IF(OR(T2707=0,RIGHT(T2707,1)=$W$1),"",COUNTIF($T$3:T2707,T2707))</f>
        <v/>
      </c>
      <c r="S2707" s="6">
        <f t="shared" si="428"/>
        <v>0</v>
      </c>
      <c r="T2707" s="36">
        <f t="shared" si="429"/>
        <v>0</v>
      </c>
      <c r="V2707" s="6">
        <f t="shared" si="430"/>
        <v>0</v>
      </c>
      <c r="Y2707" s="8">
        <f t="shared" si="431"/>
        <v>46023</v>
      </c>
    </row>
    <row r="2708" spans="2:25" ht="18.75" x14ac:dyDescent="0.3">
      <c r="B2708" s="6">
        <f t="shared" si="423"/>
        <v>0</v>
      </c>
      <c r="C2708" s="6">
        <f t="shared" si="424"/>
        <v>0</v>
      </c>
      <c r="D2708" s="6" t="str">
        <f t="shared" si="425"/>
        <v/>
      </c>
      <c r="E2708" s="35" t="str">
        <f t="shared" si="422"/>
        <v/>
      </c>
      <c r="F2708" s="31"/>
      <c r="G2708" s="29"/>
      <c r="H2708" s="78" t="str">
        <f t="shared" si="426"/>
        <v/>
      </c>
      <c r="I2708" s="25"/>
      <c r="J2708" s="25"/>
      <c r="K2708" s="26"/>
      <c r="L2708" s="26"/>
      <c r="M2708" s="37"/>
      <c r="N2708" s="27"/>
      <c r="O2708" s="30"/>
      <c r="P2708" s="39" t="str">
        <f t="shared" si="427"/>
        <v/>
      </c>
      <c r="Q2708" s="40" t="str">
        <f>IF(OR(T2708=0,RIGHT(T2708,1)=$W$1),"",COUNTIF($T$3:T2708,T2708))</f>
        <v/>
      </c>
      <c r="S2708" s="6">
        <f t="shared" si="428"/>
        <v>0</v>
      </c>
      <c r="T2708" s="36">
        <f t="shared" si="429"/>
        <v>0</v>
      </c>
      <c r="V2708" s="6">
        <f t="shared" si="430"/>
        <v>0</v>
      </c>
      <c r="Y2708" s="8">
        <f t="shared" si="431"/>
        <v>46023</v>
      </c>
    </row>
    <row r="2709" spans="2:25" ht="18.75" x14ac:dyDescent="0.3">
      <c r="B2709" s="6">
        <f t="shared" si="423"/>
        <v>0</v>
      </c>
      <c r="C2709" s="6">
        <f t="shared" si="424"/>
        <v>0</v>
      </c>
      <c r="D2709" s="6" t="str">
        <f t="shared" si="425"/>
        <v/>
      </c>
      <c r="E2709" s="35" t="str">
        <f t="shared" si="422"/>
        <v/>
      </c>
      <c r="F2709" s="31"/>
      <c r="G2709" s="29"/>
      <c r="H2709" s="78" t="str">
        <f t="shared" si="426"/>
        <v/>
      </c>
      <c r="I2709" s="25"/>
      <c r="J2709" s="25"/>
      <c r="K2709" s="26"/>
      <c r="L2709" s="26"/>
      <c r="M2709" s="37"/>
      <c r="N2709" s="27"/>
      <c r="O2709" s="30"/>
      <c r="P2709" s="39" t="str">
        <f t="shared" si="427"/>
        <v/>
      </c>
      <c r="Q2709" s="40" t="str">
        <f>IF(OR(T2709=0,RIGHT(T2709,1)=$W$1),"",COUNTIF($T$3:T2709,T2709))</f>
        <v/>
      </c>
      <c r="S2709" s="6">
        <f t="shared" si="428"/>
        <v>0</v>
      </c>
      <c r="T2709" s="36">
        <f t="shared" si="429"/>
        <v>0</v>
      </c>
      <c r="V2709" s="6">
        <f t="shared" si="430"/>
        <v>0</v>
      </c>
      <c r="Y2709" s="8">
        <f t="shared" si="431"/>
        <v>46023</v>
      </c>
    </row>
    <row r="2710" spans="2:25" ht="18.75" x14ac:dyDescent="0.3">
      <c r="B2710" s="6">
        <f t="shared" si="423"/>
        <v>0</v>
      </c>
      <c r="C2710" s="6">
        <f t="shared" si="424"/>
        <v>0</v>
      </c>
      <c r="D2710" s="6" t="str">
        <f t="shared" si="425"/>
        <v/>
      </c>
      <c r="E2710" s="35" t="str">
        <f t="shared" si="422"/>
        <v/>
      </c>
      <c r="F2710" s="31"/>
      <c r="G2710" s="29"/>
      <c r="H2710" s="78" t="str">
        <f t="shared" si="426"/>
        <v/>
      </c>
      <c r="I2710" s="25"/>
      <c r="J2710" s="25"/>
      <c r="K2710" s="26"/>
      <c r="L2710" s="26"/>
      <c r="M2710" s="37"/>
      <c r="N2710" s="27"/>
      <c r="O2710" s="30"/>
      <c r="P2710" s="39" t="str">
        <f t="shared" si="427"/>
        <v/>
      </c>
      <c r="Q2710" s="40" t="str">
        <f>IF(OR(T2710=0,RIGHT(T2710,1)=$W$1),"",COUNTIF($T$3:T2710,T2710))</f>
        <v/>
      </c>
      <c r="S2710" s="6">
        <f t="shared" si="428"/>
        <v>0</v>
      </c>
      <c r="T2710" s="36">
        <f t="shared" si="429"/>
        <v>0</v>
      </c>
      <c r="V2710" s="6">
        <f t="shared" si="430"/>
        <v>0</v>
      </c>
      <c r="Y2710" s="8">
        <f t="shared" si="431"/>
        <v>46023</v>
      </c>
    </row>
    <row r="2711" spans="2:25" ht="18.75" x14ac:dyDescent="0.3">
      <c r="B2711" s="6">
        <f t="shared" si="423"/>
        <v>0</v>
      </c>
      <c r="C2711" s="6">
        <f t="shared" si="424"/>
        <v>0</v>
      </c>
      <c r="D2711" s="6" t="str">
        <f t="shared" si="425"/>
        <v/>
      </c>
      <c r="E2711" s="35" t="str">
        <f t="shared" si="422"/>
        <v/>
      </c>
      <c r="F2711" s="31"/>
      <c r="G2711" s="29"/>
      <c r="H2711" s="78" t="str">
        <f t="shared" si="426"/>
        <v/>
      </c>
      <c r="I2711" s="25"/>
      <c r="J2711" s="25"/>
      <c r="K2711" s="26"/>
      <c r="L2711" s="26"/>
      <c r="M2711" s="37"/>
      <c r="N2711" s="27"/>
      <c r="O2711" s="30"/>
      <c r="P2711" s="39" t="str">
        <f t="shared" si="427"/>
        <v/>
      </c>
      <c r="Q2711" s="40" t="str">
        <f>IF(OR(T2711=0,RIGHT(T2711,1)=$W$1),"",COUNTIF($T$3:T2711,T2711))</f>
        <v/>
      </c>
      <c r="S2711" s="6">
        <f t="shared" si="428"/>
        <v>0</v>
      </c>
      <c r="T2711" s="36">
        <f t="shared" si="429"/>
        <v>0</v>
      </c>
      <c r="V2711" s="6">
        <f t="shared" si="430"/>
        <v>0</v>
      </c>
      <c r="Y2711" s="8">
        <f t="shared" si="431"/>
        <v>46023</v>
      </c>
    </row>
    <row r="2712" spans="2:25" ht="18.75" x14ac:dyDescent="0.3">
      <c r="B2712" s="6">
        <f t="shared" si="423"/>
        <v>0</v>
      </c>
      <c r="C2712" s="6">
        <f t="shared" si="424"/>
        <v>0</v>
      </c>
      <c r="D2712" s="6" t="str">
        <f t="shared" si="425"/>
        <v/>
      </c>
      <c r="E2712" s="35" t="str">
        <f t="shared" si="422"/>
        <v/>
      </c>
      <c r="F2712" s="31"/>
      <c r="G2712" s="29"/>
      <c r="H2712" s="78" t="str">
        <f t="shared" si="426"/>
        <v/>
      </c>
      <c r="I2712" s="25"/>
      <c r="J2712" s="25"/>
      <c r="K2712" s="26"/>
      <c r="L2712" s="26"/>
      <c r="M2712" s="37"/>
      <c r="N2712" s="27"/>
      <c r="O2712" s="30"/>
      <c r="P2712" s="39" t="str">
        <f t="shared" si="427"/>
        <v/>
      </c>
      <c r="Q2712" s="40" t="str">
        <f>IF(OR(T2712=0,RIGHT(T2712,1)=$W$1),"",COUNTIF($T$3:T2712,T2712))</f>
        <v/>
      </c>
      <c r="S2712" s="6">
        <f t="shared" si="428"/>
        <v>0</v>
      </c>
      <c r="T2712" s="36">
        <f t="shared" si="429"/>
        <v>0</v>
      </c>
      <c r="V2712" s="6">
        <f t="shared" si="430"/>
        <v>0</v>
      </c>
      <c r="Y2712" s="8">
        <f t="shared" si="431"/>
        <v>46023</v>
      </c>
    </row>
    <row r="2713" spans="2:25" ht="18.75" x14ac:dyDescent="0.3">
      <c r="B2713" s="6">
        <f t="shared" si="423"/>
        <v>0</v>
      </c>
      <c r="C2713" s="6">
        <f t="shared" si="424"/>
        <v>0</v>
      </c>
      <c r="D2713" s="6" t="str">
        <f t="shared" si="425"/>
        <v/>
      </c>
      <c r="E2713" s="35" t="str">
        <f t="shared" si="422"/>
        <v/>
      </c>
      <c r="F2713" s="31"/>
      <c r="G2713" s="29"/>
      <c r="H2713" s="78" t="str">
        <f t="shared" si="426"/>
        <v/>
      </c>
      <c r="I2713" s="25"/>
      <c r="J2713" s="25"/>
      <c r="K2713" s="26"/>
      <c r="L2713" s="26"/>
      <c r="M2713" s="37"/>
      <c r="N2713" s="27"/>
      <c r="O2713" s="30"/>
      <c r="P2713" s="39" t="str">
        <f t="shared" si="427"/>
        <v/>
      </c>
      <c r="Q2713" s="40" t="str">
        <f>IF(OR(T2713=0,RIGHT(T2713,1)=$W$1),"",COUNTIF($T$3:T2713,T2713))</f>
        <v/>
      </c>
      <c r="S2713" s="6">
        <f t="shared" si="428"/>
        <v>0</v>
      </c>
      <c r="T2713" s="36">
        <f t="shared" si="429"/>
        <v>0</v>
      </c>
      <c r="V2713" s="6">
        <f t="shared" si="430"/>
        <v>0</v>
      </c>
      <c r="Y2713" s="8">
        <f t="shared" si="431"/>
        <v>46023</v>
      </c>
    </row>
    <row r="2714" spans="2:25" ht="18.75" x14ac:dyDescent="0.3">
      <c r="B2714" s="6">
        <f t="shared" si="423"/>
        <v>0</v>
      </c>
      <c r="C2714" s="6">
        <f t="shared" si="424"/>
        <v>0</v>
      </c>
      <c r="D2714" s="6" t="str">
        <f t="shared" si="425"/>
        <v/>
      </c>
      <c r="E2714" s="35" t="str">
        <f t="shared" si="422"/>
        <v/>
      </c>
      <c r="F2714" s="31"/>
      <c r="G2714" s="29"/>
      <c r="H2714" s="78" t="str">
        <f t="shared" si="426"/>
        <v/>
      </c>
      <c r="I2714" s="25"/>
      <c r="J2714" s="25"/>
      <c r="K2714" s="26"/>
      <c r="L2714" s="26"/>
      <c r="M2714" s="37"/>
      <c r="N2714" s="27"/>
      <c r="O2714" s="30"/>
      <c r="P2714" s="39" t="str">
        <f t="shared" si="427"/>
        <v/>
      </c>
      <c r="Q2714" s="40" t="str">
        <f>IF(OR(T2714=0,RIGHT(T2714,1)=$W$1),"",COUNTIF($T$3:T2714,T2714))</f>
        <v/>
      </c>
      <c r="S2714" s="6">
        <f t="shared" si="428"/>
        <v>0</v>
      </c>
      <c r="T2714" s="36">
        <f t="shared" si="429"/>
        <v>0</v>
      </c>
      <c r="V2714" s="6">
        <f t="shared" si="430"/>
        <v>0</v>
      </c>
      <c r="Y2714" s="8">
        <f t="shared" si="431"/>
        <v>46023</v>
      </c>
    </row>
    <row r="2715" spans="2:25" ht="18.75" x14ac:dyDescent="0.3">
      <c r="B2715" s="6">
        <f t="shared" si="423"/>
        <v>0</v>
      </c>
      <c r="C2715" s="6">
        <f t="shared" si="424"/>
        <v>0</v>
      </c>
      <c r="D2715" s="6" t="str">
        <f t="shared" si="425"/>
        <v/>
      </c>
      <c r="E2715" s="35" t="str">
        <f t="shared" si="422"/>
        <v/>
      </c>
      <c r="F2715" s="31"/>
      <c r="G2715" s="29"/>
      <c r="H2715" s="78" t="str">
        <f t="shared" si="426"/>
        <v/>
      </c>
      <c r="I2715" s="25"/>
      <c r="J2715" s="25"/>
      <c r="K2715" s="26"/>
      <c r="L2715" s="26"/>
      <c r="M2715" s="37"/>
      <c r="N2715" s="27"/>
      <c r="O2715" s="30"/>
      <c r="P2715" s="39" t="str">
        <f t="shared" si="427"/>
        <v/>
      </c>
      <c r="Q2715" s="40" t="str">
        <f>IF(OR(T2715=0,RIGHT(T2715,1)=$W$1),"",COUNTIF($T$3:T2715,T2715))</f>
        <v/>
      </c>
      <c r="S2715" s="6">
        <f t="shared" si="428"/>
        <v>0</v>
      </c>
      <c r="T2715" s="36">
        <f t="shared" si="429"/>
        <v>0</v>
      </c>
      <c r="V2715" s="6">
        <f t="shared" si="430"/>
        <v>0</v>
      </c>
      <c r="Y2715" s="8">
        <f t="shared" si="431"/>
        <v>46023</v>
      </c>
    </row>
    <row r="2716" spans="2:25" ht="18.75" x14ac:dyDescent="0.3">
      <c r="B2716" s="6">
        <f t="shared" si="423"/>
        <v>0</v>
      </c>
      <c r="C2716" s="6">
        <f t="shared" si="424"/>
        <v>0</v>
      </c>
      <c r="D2716" s="6" t="str">
        <f t="shared" si="425"/>
        <v/>
      </c>
      <c r="E2716" s="35" t="str">
        <f t="shared" si="422"/>
        <v/>
      </c>
      <c r="F2716" s="31"/>
      <c r="G2716" s="29"/>
      <c r="H2716" s="78" t="str">
        <f t="shared" si="426"/>
        <v/>
      </c>
      <c r="I2716" s="25"/>
      <c r="J2716" s="25"/>
      <c r="K2716" s="26"/>
      <c r="L2716" s="26"/>
      <c r="M2716" s="37"/>
      <c r="N2716" s="27"/>
      <c r="O2716" s="30"/>
      <c r="P2716" s="39" t="str">
        <f t="shared" si="427"/>
        <v/>
      </c>
      <c r="Q2716" s="40" t="str">
        <f>IF(OR(T2716=0,RIGHT(T2716,1)=$W$1),"",COUNTIF($T$3:T2716,T2716))</f>
        <v/>
      </c>
      <c r="S2716" s="6">
        <f t="shared" si="428"/>
        <v>0</v>
      </c>
      <c r="T2716" s="36">
        <f t="shared" si="429"/>
        <v>0</v>
      </c>
      <c r="V2716" s="6">
        <f t="shared" si="430"/>
        <v>0</v>
      </c>
      <c r="Y2716" s="8">
        <f t="shared" si="431"/>
        <v>46023</v>
      </c>
    </row>
    <row r="2717" spans="2:25" ht="18.75" x14ac:dyDescent="0.3">
      <c r="B2717" s="6">
        <f t="shared" si="423"/>
        <v>0</v>
      </c>
      <c r="C2717" s="6">
        <f t="shared" si="424"/>
        <v>0</v>
      </c>
      <c r="D2717" s="6" t="str">
        <f t="shared" si="425"/>
        <v/>
      </c>
      <c r="E2717" s="35" t="str">
        <f t="shared" si="422"/>
        <v/>
      </c>
      <c r="F2717" s="31"/>
      <c r="G2717" s="29"/>
      <c r="H2717" s="78" t="str">
        <f t="shared" si="426"/>
        <v/>
      </c>
      <c r="I2717" s="25"/>
      <c r="J2717" s="25"/>
      <c r="K2717" s="26"/>
      <c r="L2717" s="26"/>
      <c r="M2717" s="37"/>
      <c r="N2717" s="27"/>
      <c r="O2717" s="30"/>
      <c r="P2717" s="39" t="str">
        <f t="shared" si="427"/>
        <v/>
      </c>
      <c r="Q2717" s="40" t="str">
        <f>IF(OR(T2717=0,RIGHT(T2717,1)=$W$1),"",COUNTIF($T$3:T2717,T2717))</f>
        <v/>
      </c>
      <c r="S2717" s="6">
        <f t="shared" si="428"/>
        <v>0</v>
      </c>
      <c r="T2717" s="36">
        <f t="shared" si="429"/>
        <v>0</v>
      </c>
      <c r="V2717" s="6">
        <f t="shared" si="430"/>
        <v>0</v>
      </c>
      <c r="Y2717" s="8">
        <f t="shared" si="431"/>
        <v>46023</v>
      </c>
    </row>
    <row r="2718" spans="2:25" ht="18.75" x14ac:dyDescent="0.3">
      <c r="B2718" s="6">
        <f t="shared" si="423"/>
        <v>0</v>
      </c>
      <c r="C2718" s="6">
        <f t="shared" si="424"/>
        <v>0</v>
      </c>
      <c r="D2718" s="6" t="str">
        <f t="shared" si="425"/>
        <v/>
      </c>
      <c r="E2718" s="35" t="str">
        <f t="shared" si="422"/>
        <v/>
      </c>
      <c r="F2718" s="31"/>
      <c r="G2718" s="29"/>
      <c r="H2718" s="78" t="str">
        <f t="shared" si="426"/>
        <v/>
      </c>
      <c r="I2718" s="25"/>
      <c r="J2718" s="25"/>
      <c r="K2718" s="26"/>
      <c r="L2718" s="26"/>
      <c r="M2718" s="37"/>
      <c r="N2718" s="27"/>
      <c r="O2718" s="30"/>
      <c r="P2718" s="39" t="str">
        <f t="shared" si="427"/>
        <v/>
      </c>
      <c r="Q2718" s="40" t="str">
        <f>IF(OR(T2718=0,RIGHT(T2718,1)=$W$1),"",COUNTIF($T$3:T2718,T2718))</f>
        <v/>
      </c>
      <c r="S2718" s="6">
        <f t="shared" si="428"/>
        <v>0</v>
      </c>
      <c r="T2718" s="36">
        <f t="shared" si="429"/>
        <v>0</v>
      </c>
      <c r="V2718" s="6">
        <f t="shared" si="430"/>
        <v>0</v>
      </c>
      <c r="Y2718" s="8">
        <f t="shared" si="431"/>
        <v>46023</v>
      </c>
    </row>
    <row r="2719" spans="2:25" ht="18.75" x14ac:dyDescent="0.3">
      <c r="B2719" s="6">
        <f t="shared" si="423"/>
        <v>0</v>
      </c>
      <c r="C2719" s="6">
        <f t="shared" si="424"/>
        <v>0</v>
      </c>
      <c r="D2719" s="6" t="str">
        <f t="shared" si="425"/>
        <v/>
      </c>
      <c r="E2719" s="35" t="str">
        <f t="shared" si="422"/>
        <v/>
      </c>
      <c r="F2719" s="31"/>
      <c r="G2719" s="29"/>
      <c r="H2719" s="78" t="str">
        <f t="shared" si="426"/>
        <v/>
      </c>
      <c r="I2719" s="25"/>
      <c r="J2719" s="25"/>
      <c r="K2719" s="26"/>
      <c r="L2719" s="26"/>
      <c r="M2719" s="37"/>
      <c r="N2719" s="27"/>
      <c r="O2719" s="30"/>
      <c r="P2719" s="39" t="str">
        <f t="shared" si="427"/>
        <v/>
      </c>
      <c r="Q2719" s="40" t="str">
        <f>IF(OR(T2719=0,RIGHT(T2719,1)=$W$1),"",COUNTIF($T$3:T2719,T2719))</f>
        <v/>
      </c>
      <c r="S2719" s="6">
        <f t="shared" si="428"/>
        <v>0</v>
      </c>
      <c r="T2719" s="36">
        <f t="shared" si="429"/>
        <v>0</v>
      </c>
      <c r="V2719" s="6">
        <f t="shared" si="430"/>
        <v>0</v>
      </c>
      <c r="Y2719" s="8">
        <f t="shared" si="431"/>
        <v>46023</v>
      </c>
    </row>
    <row r="2720" spans="2:25" ht="18.75" x14ac:dyDescent="0.3">
      <c r="B2720" s="6">
        <f t="shared" si="423"/>
        <v>0</v>
      </c>
      <c r="C2720" s="6">
        <f t="shared" si="424"/>
        <v>0</v>
      </c>
      <c r="D2720" s="6" t="str">
        <f t="shared" si="425"/>
        <v/>
      </c>
      <c r="E2720" s="35" t="str">
        <f t="shared" si="422"/>
        <v/>
      </c>
      <c r="F2720" s="31"/>
      <c r="G2720" s="29"/>
      <c r="H2720" s="78" t="str">
        <f t="shared" si="426"/>
        <v/>
      </c>
      <c r="I2720" s="25"/>
      <c r="J2720" s="25"/>
      <c r="K2720" s="26"/>
      <c r="L2720" s="26"/>
      <c r="M2720" s="37"/>
      <c r="N2720" s="27"/>
      <c r="O2720" s="30"/>
      <c r="P2720" s="39" t="str">
        <f t="shared" si="427"/>
        <v/>
      </c>
      <c r="Q2720" s="40" t="str">
        <f>IF(OR(T2720=0,RIGHT(T2720,1)=$W$1),"",COUNTIF($T$3:T2720,T2720))</f>
        <v/>
      </c>
      <c r="S2720" s="6">
        <f t="shared" si="428"/>
        <v>0</v>
      </c>
      <c r="T2720" s="36">
        <f t="shared" si="429"/>
        <v>0</v>
      </c>
      <c r="V2720" s="6">
        <f t="shared" si="430"/>
        <v>0</v>
      </c>
      <c r="Y2720" s="8">
        <f t="shared" si="431"/>
        <v>46023</v>
      </c>
    </row>
    <row r="2721" spans="2:25" ht="18.75" x14ac:dyDescent="0.3">
      <c r="B2721" s="6">
        <f t="shared" si="423"/>
        <v>0</v>
      </c>
      <c r="C2721" s="6">
        <f t="shared" si="424"/>
        <v>0</v>
      </c>
      <c r="D2721" s="6" t="str">
        <f t="shared" si="425"/>
        <v/>
      </c>
      <c r="E2721" s="35" t="str">
        <f t="shared" si="422"/>
        <v/>
      </c>
      <c r="F2721" s="31"/>
      <c r="G2721" s="29"/>
      <c r="H2721" s="78" t="str">
        <f t="shared" si="426"/>
        <v/>
      </c>
      <c r="I2721" s="25"/>
      <c r="J2721" s="25"/>
      <c r="K2721" s="26"/>
      <c r="L2721" s="26"/>
      <c r="M2721" s="37"/>
      <c r="N2721" s="27"/>
      <c r="O2721" s="30"/>
      <c r="P2721" s="39" t="str">
        <f t="shared" si="427"/>
        <v/>
      </c>
      <c r="Q2721" s="40" t="str">
        <f>IF(OR(T2721=0,RIGHT(T2721,1)=$W$1),"",COUNTIF($T$3:T2721,T2721))</f>
        <v/>
      </c>
      <c r="S2721" s="6">
        <f t="shared" si="428"/>
        <v>0</v>
      </c>
      <c r="T2721" s="36">
        <f t="shared" si="429"/>
        <v>0</v>
      </c>
      <c r="V2721" s="6">
        <f t="shared" si="430"/>
        <v>0</v>
      </c>
      <c r="Y2721" s="8">
        <f t="shared" si="431"/>
        <v>46023</v>
      </c>
    </row>
    <row r="2722" spans="2:25" ht="18.75" x14ac:dyDescent="0.3">
      <c r="B2722" s="6">
        <f t="shared" si="423"/>
        <v>0</v>
      </c>
      <c r="C2722" s="6">
        <f t="shared" si="424"/>
        <v>0</v>
      </c>
      <c r="D2722" s="6" t="str">
        <f t="shared" si="425"/>
        <v/>
      </c>
      <c r="E2722" s="35" t="str">
        <f t="shared" si="422"/>
        <v/>
      </c>
      <c r="F2722" s="31"/>
      <c r="G2722" s="29"/>
      <c r="H2722" s="78" t="str">
        <f t="shared" si="426"/>
        <v/>
      </c>
      <c r="I2722" s="25"/>
      <c r="J2722" s="25"/>
      <c r="K2722" s="26"/>
      <c r="L2722" s="26"/>
      <c r="M2722" s="37"/>
      <c r="N2722" s="27"/>
      <c r="O2722" s="30"/>
      <c r="P2722" s="39" t="str">
        <f t="shared" si="427"/>
        <v/>
      </c>
      <c r="Q2722" s="40" t="str">
        <f>IF(OR(T2722=0,RIGHT(T2722,1)=$W$1),"",COUNTIF($T$3:T2722,T2722))</f>
        <v/>
      </c>
      <c r="S2722" s="6">
        <f t="shared" si="428"/>
        <v>0</v>
      </c>
      <c r="T2722" s="36">
        <f t="shared" si="429"/>
        <v>0</v>
      </c>
      <c r="V2722" s="6">
        <f t="shared" si="430"/>
        <v>0</v>
      </c>
      <c r="Y2722" s="8">
        <f t="shared" si="431"/>
        <v>46023</v>
      </c>
    </row>
    <row r="2723" spans="2:25" ht="18.75" x14ac:dyDescent="0.3">
      <c r="B2723" s="6">
        <f t="shared" si="423"/>
        <v>0</v>
      </c>
      <c r="C2723" s="6">
        <f t="shared" si="424"/>
        <v>0</v>
      </c>
      <c r="D2723" s="6" t="str">
        <f t="shared" si="425"/>
        <v/>
      </c>
      <c r="E2723" s="35" t="str">
        <f t="shared" si="422"/>
        <v/>
      </c>
      <c r="F2723" s="31"/>
      <c r="G2723" s="29"/>
      <c r="H2723" s="78" t="str">
        <f t="shared" si="426"/>
        <v/>
      </c>
      <c r="I2723" s="25"/>
      <c r="J2723" s="25"/>
      <c r="K2723" s="26"/>
      <c r="L2723" s="26"/>
      <c r="M2723" s="37"/>
      <c r="N2723" s="27"/>
      <c r="O2723" s="30"/>
      <c r="P2723" s="39" t="str">
        <f t="shared" si="427"/>
        <v/>
      </c>
      <c r="Q2723" s="40" t="str">
        <f>IF(OR(T2723=0,RIGHT(T2723,1)=$W$1),"",COUNTIF($T$3:T2723,T2723))</f>
        <v/>
      </c>
      <c r="S2723" s="6">
        <f t="shared" si="428"/>
        <v>0</v>
      </c>
      <c r="T2723" s="36">
        <f t="shared" si="429"/>
        <v>0</v>
      </c>
      <c r="V2723" s="6">
        <f t="shared" si="430"/>
        <v>0</v>
      </c>
      <c r="Y2723" s="8">
        <f t="shared" si="431"/>
        <v>46023</v>
      </c>
    </row>
    <row r="2724" spans="2:25" ht="18.75" x14ac:dyDescent="0.3">
      <c r="B2724" s="6">
        <f t="shared" si="423"/>
        <v>0</v>
      </c>
      <c r="C2724" s="6">
        <f t="shared" si="424"/>
        <v>0</v>
      </c>
      <c r="D2724" s="6" t="str">
        <f t="shared" si="425"/>
        <v/>
      </c>
      <c r="E2724" s="35" t="str">
        <f t="shared" si="422"/>
        <v/>
      </c>
      <c r="F2724" s="31"/>
      <c r="G2724" s="29"/>
      <c r="H2724" s="78" t="str">
        <f t="shared" si="426"/>
        <v/>
      </c>
      <c r="I2724" s="25"/>
      <c r="J2724" s="25"/>
      <c r="K2724" s="26"/>
      <c r="L2724" s="26"/>
      <c r="M2724" s="37"/>
      <c r="N2724" s="27"/>
      <c r="O2724" s="30"/>
      <c r="P2724" s="39" t="str">
        <f t="shared" si="427"/>
        <v/>
      </c>
      <c r="Q2724" s="40" t="str">
        <f>IF(OR(T2724=0,RIGHT(T2724,1)=$W$1),"",COUNTIF($T$3:T2724,T2724))</f>
        <v/>
      </c>
      <c r="S2724" s="6">
        <f t="shared" si="428"/>
        <v>0</v>
      </c>
      <c r="T2724" s="36">
        <f t="shared" si="429"/>
        <v>0</v>
      </c>
      <c r="V2724" s="6">
        <f t="shared" si="430"/>
        <v>0</v>
      </c>
      <c r="Y2724" s="8">
        <f t="shared" si="431"/>
        <v>46023</v>
      </c>
    </row>
    <row r="2725" spans="2:25" ht="18.75" x14ac:dyDescent="0.3">
      <c r="B2725" s="6">
        <f t="shared" si="423"/>
        <v>0</v>
      </c>
      <c r="C2725" s="6">
        <f t="shared" si="424"/>
        <v>0</v>
      </c>
      <c r="D2725" s="6" t="str">
        <f t="shared" si="425"/>
        <v/>
      </c>
      <c r="E2725" s="35" t="str">
        <f t="shared" si="422"/>
        <v/>
      </c>
      <c r="F2725" s="31"/>
      <c r="G2725" s="29"/>
      <c r="H2725" s="78" t="str">
        <f t="shared" si="426"/>
        <v/>
      </c>
      <c r="I2725" s="25"/>
      <c r="J2725" s="25"/>
      <c r="K2725" s="26"/>
      <c r="L2725" s="26"/>
      <c r="M2725" s="37"/>
      <c r="N2725" s="27"/>
      <c r="O2725" s="30"/>
      <c r="P2725" s="39" t="str">
        <f t="shared" si="427"/>
        <v/>
      </c>
      <c r="Q2725" s="40" t="str">
        <f>IF(OR(T2725=0,RIGHT(T2725,1)=$W$1),"",COUNTIF($T$3:T2725,T2725))</f>
        <v/>
      </c>
      <c r="S2725" s="6">
        <f t="shared" si="428"/>
        <v>0</v>
      </c>
      <c r="T2725" s="36">
        <f t="shared" si="429"/>
        <v>0</v>
      </c>
      <c r="V2725" s="6">
        <f t="shared" si="430"/>
        <v>0</v>
      </c>
      <c r="Y2725" s="8">
        <f t="shared" si="431"/>
        <v>46023</v>
      </c>
    </row>
    <row r="2726" spans="2:25" ht="18.75" x14ac:dyDescent="0.3">
      <c r="B2726" s="6">
        <f t="shared" si="423"/>
        <v>0</v>
      </c>
      <c r="C2726" s="6">
        <f t="shared" si="424"/>
        <v>0</v>
      </c>
      <c r="D2726" s="6" t="str">
        <f t="shared" si="425"/>
        <v/>
      </c>
      <c r="E2726" s="35" t="str">
        <f t="shared" si="422"/>
        <v/>
      </c>
      <c r="F2726" s="31"/>
      <c r="G2726" s="29"/>
      <c r="H2726" s="78" t="str">
        <f t="shared" si="426"/>
        <v/>
      </c>
      <c r="I2726" s="25"/>
      <c r="J2726" s="25"/>
      <c r="K2726" s="26"/>
      <c r="L2726" s="26"/>
      <c r="M2726" s="37"/>
      <c r="N2726" s="27"/>
      <c r="O2726" s="30"/>
      <c r="P2726" s="39" t="str">
        <f t="shared" si="427"/>
        <v/>
      </c>
      <c r="Q2726" s="40" t="str">
        <f>IF(OR(T2726=0,RIGHT(T2726,1)=$W$1),"",COUNTIF($T$3:T2726,T2726))</f>
        <v/>
      </c>
      <c r="S2726" s="6">
        <f t="shared" si="428"/>
        <v>0</v>
      </c>
      <c r="T2726" s="36">
        <f t="shared" si="429"/>
        <v>0</v>
      </c>
      <c r="V2726" s="6">
        <f t="shared" si="430"/>
        <v>0</v>
      </c>
      <c r="Y2726" s="8">
        <f t="shared" si="431"/>
        <v>46023</v>
      </c>
    </row>
    <row r="2727" spans="2:25" ht="18.75" x14ac:dyDescent="0.3">
      <c r="B2727" s="6">
        <f t="shared" si="423"/>
        <v>0</v>
      </c>
      <c r="C2727" s="6">
        <f t="shared" si="424"/>
        <v>0</v>
      </c>
      <c r="D2727" s="6" t="str">
        <f t="shared" si="425"/>
        <v/>
      </c>
      <c r="E2727" s="35" t="str">
        <f t="shared" si="422"/>
        <v/>
      </c>
      <c r="F2727" s="31"/>
      <c r="G2727" s="29"/>
      <c r="H2727" s="78" t="str">
        <f t="shared" si="426"/>
        <v/>
      </c>
      <c r="I2727" s="25"/>
      <c r="J2727" s="25"/>
      <c r="K2727" s="26"/>
      <c r="L2727" s="26"/>
      <c r="M2727" s="37"/>
      <c r="N2727" s="27"/>
      <c r="O2727" s="30"/>
      <c r="P2727" s="39" t="str">
        <f t="shared" si="427"/>
        <v/>
      </c>
      <c r="Q2727" s="40" t="str">
        <f>IF(OR(T2727=0,RIGHT(T2727,1)=$W$1),"",COUNTIF($T$3:T2727,T2727))</f>
        <v/>
      </c>
      <c r="S2727" s="6">
        <f t="shared" si="428"/>
        <v>0</v>
      </c>
      <c r="T2727" s="36">
        <f t="shared" si="429"/>
        <v>0</v>
      </c>
      <c r="V2727" s="6">
        <f t="shared" si="430"/>
        <v>0</v>
      </c>
      <c r="Y2727" s="8">
        <f t="shared" si="431"/>
        <v>46023</v>
      </c>
    </row>
    <row r="2728" spans="2:25" ht="18.75" x14ac:dyDescent="0.3">
      <c r="B2728" s="6">
        <f t="shared" si="423"/>
        <v>0</v>
      </c>
      <c r="C2728" s="6">
        <f t="shared" si="424"/>
        <v>0</v>
      </c>
      <c r="D2728" s="6" t="str">
        <f t="shared" si="425"/>
        <v/>
      </c>
      <c r="E2728" s="35" t="str">
        <f t="shared" si="422"/>
        <v/>
      </c>
      <c r="F2728" s="31"/>
      <c r="G2728" s="29"/>
      <c r="H2728" s="78" t="str">
        <f t="shared" si="426"/>
        <v/>
      </c>
      <c r="I2728" s="25"/>
      <c r="J2728" s="25"/>
      <c r="K2728" s="26"/>
      <c r="L2728" s="26"/>
      <c r="M2728" s="37"/>
      <c r="N2728" s="27"/>
      <c r="O2728" s="30"/>
      <c r="P2728" s="39" t="str">
        <f t="shared" si="427"/>
        <v/>
      </c>
      <c r="Q2728" s="40" t="str">
        <f>IF(OR(T2728=0,RIGHT(T2728,1)=$W$1),"",COUNTIF($T$3:T2728,T2728))</f>
        <v/>
      </c>
      <c r="S2728" s="6">
        <f t="shared" si="428"/>
        <v>0</v>
      </c>
      <c r="T2728" s="36">
        <f t="shared" si="429"/>
        <v>0</v>
      </c>
      <c r="V2728" s="6">
        <f t="shared" si="430"/>
        <v>0</v>
      </c>
      <c r="Y2728" s="8">
        <f t="shared" si="431"/>
        <v>46023</v>
      </c>
    </row>
    <row r="2729" spans="2:25" ht="18.75" x14ac:dyDescent="0.3">
      <c r="B2729" s="6">
        <f t="shared" si="423"/>
        <v>0</v>
      </c>
      <c r="C2729" s="6">
        <f t="shared" si="424"/>
        <v>0</v>
      </c>
      <c r="D2729" s="6" t="str">
        <f t="shared" si="425"/>
        <v/>
      </c>
      <c r="E2729" s="35" t="str">
        <f t="shared" si="422"/>
        <v/>
      </c>
      <c r="F2729" s="31"/>
      <c r="G2729" s="29"/>
      <c r="H2729" s="78" t="str">
        <f t="shared" si="426"/>
        <v/>
      </c>
      <c r="I2729" s="25"/>
      <c r="J2729" s="25"/>
      <c r="K2729" s="26"/>
      <c r="L2729" s="26"/>
      <c r="M2729" s="37"/>
      <c r="N2729" s="27"/>
      <c r="O2729" s="30"/>
      <c r="P2729" s="39" t="str">
        <f t="shared" si="427"/>
        <v/>
      </c>
      <c r="Q2729" s="40" t="str">
        <f>IF(OR(T2729=0,RIGHT(T2729,1)=$W$1),"",COUNTIF($T$3:T2729,T2729))</f>
        <v/>
      </c>
      <c r="S2729" s="6">
        <f t="shared" si="428"/>
        <v>0</v>
      </c>
      <c r="T2729" s="36">
        <f t="shared" si="429"/>
        <v>0</v>
      </c>
      <c r="V2729" s="6">
        <f t="shared" si="430"/>
        <v>0</v>
      </c>
      <c r="Y2729" s="8">
        <f t="shared" si="431"/>
        <v>46023</v>
      </c>
    </row>
    <row r="2730" spans="2:25" ht="18.75" x14ac:dyDescent="0.3">
      <c r="B2730" s="6">
        <f t="shared" si="423"/>
        <v>0</v>
      </c>
      <c r="C2730" s="6">
        <f t="shared" si="424"/>
        <v>0</v>
      </c>
      <c r="D2730" s="6" t="str">
        <f t="shared" si="425"/>
        <v/>
      </c>
      <c r="E2730" s="35" t="str">
        <f t="shared" si="422"/>
        <v/>
      </c>
      <c r="F2730" s="31"/>
      <c r="G2730" s="29"/>
      <c r="H2730" s="78" t="str">
        <f t="shared" si="426"/>
        <v/>
      </c>
      <c r="I2730" s="25"/>
      <c r="J2730" s="25"/>
      <c r="K2730" s="26"/>
      <c r="L2730" s="26"/>
      <c r="M2730" s="37"/>
      <c r="N2730" s="27"/>
      <c r="O2730" s="30"/>
      <c r="P2730" s="39" t="str">
        <f t="shared" si="427"/>
        <v/>
      </c>
      <c r="Q2730" s="40" t="str">
        <f>IF(OR(T2730=0,RIGHT(T2730,1)=$W$1),"",COUNTIF($T$3:T2730,T2730))</f>
        <v/>
      </c>
      <c r="S2730" s="6">
        <f t="shared" si="428"/>
        <v>0</v>
      </c>
      <c r="T2730" s="36">
        <f t="shared" si="429"/>
        <v>0</v>
      </c>
      <c r="V2730" s="6">
        <f t="shared" si="430"/>
        <v>0</v>
      </c>
      <c r="Y2730" s="8">
        <f t="shared" si="431"/>
        <v>46023</v>
      </c>
    </row>
    <row r="2731" spans="2:25" ht="18.75" x14ac:dyDescent="0.3">
      <c r="B2731" s="6">
        <f t="shared" si="423"/>
        <v>0</v>
      </c>
      <c r="C2731" s="6">
        <f t="shared" si="424"/>
        <v>0</v>
      </c>
      <c r="D2731" s="6" t="str">
        <f t="shared" si="425"/>
        <v/>
      </c>
      <c r="E2731" s="35" t="str">
        <f t="shared" si="422"/>
        <v/>
      </c>
      <c r="F2731" s="31"/>
      <c r="G2731" s="29"/>
      <c r="H2731" s="78" t="str">
        <f t="shared" si="426"/>
        <v/>
      </c>
      <c r="I2731" s="25"/>
      <c r="J2731" s="25"/>
      <c r="K2731" s="26"/>
      <c r="L2731" s="26"/>
      <c r="M2731" s="37"/>
      <c r="N2731" s="27"/>
      <c r="O2731" s="30"/>
      <c r="P2731" s="39" t="str">
        <f t="shared" si="427"/>
        <v/>
      </c>
      <c r="Q2731" s="40" t="str">
        <f>IF(OR(T2731=0,RIGHT(T2731,1)=$W$1),"",COUNTIF($T$3:T2731,T2731))</f>
        <v/>
      </c>
      <c r="S2731" s="6">
        <f t="shared" si="428"/>
        <v>0</v>
      </c>
      <c r="T2731" s="36">
        <f t="shared" si="429"/>
        <v>0</v>
      </c>
      <c r="V2731" s="6">
        <f t="shared" si="430"/>
        <v>0</v>
      </c>
      <c r="Y2731" s="8">
        <f t="shared" si="431"/>
        <v>46023</v>
      </c>
    </row>
    <row r="2732" spans="2:25" ht="18.75" x14ac:dyDescent="0.3">
      <c r="B2732" s="6">
        <f t="shared" si="423"/>
        <v>0</v>
      </c>
      <c r="C2732" s="6">
        <f t="shared" si="424"/>
        <v>0</v>
      </c>
      <c r="D2732" s="6" t="str">
        <f t="shared" si="425"/>
        <v/>
      </c>
      <c r="E2732" s="35" t="str">
        <f t="shared" si="422"/>
        <v/>
      </c>
      <c r="F2732" s="31"/>
      <c r="G2732" s="29"/>
      <c r="H2732" s="78" t="str">
        <f t="shared" si="426"/>
        <v/>
      </c>
      <c r="I2732" s="25"/>
      <c r="J2732" s="25"/>
      <c r="K2732" s="26"/>
      <c r="L2732" s="26"/>
      <c r="M2732" s="37"/>
      <c r="N2732" s="27"/>
      <c r="O2732" s="30"/>
      <c r="P2732" s="39" t="str">
        <f t="shared" si="427"/>
        <v/>
      </c>
      <c r="Q2732" s="40" t="str">
        <f>IF(OR(T2732=0,RIGHT(T2732,1)=$W$1),"",COUNTIF($T$3:T2732,T2732))</f>
        <v/>
      </c>
      <c r="S2732" s="6">
        <f t="shared" si="428"/>
        <v>0</v>
      </c>
      <c r="T2732" s="36">
        <f t="shared" si="429"/>
        <v>0</v>
      </c>
      <c r="V2732" s="6">
        <f t="shared" si="430"/>
        <v>0</v>
      </c>
      <c r="Y2732" s="8">
        <f t="shared" si="431"/>
        <v>46023</v>
      </c>
    </row>
    <row r="2733" spans="2:25" ht="18.75" x14ac:dyDescent="0.3">
      <c r="B2733" s="6">
        <f t="shared" si="423"/>
        <v>0</v>
      </c>
      <c r="C2733" s="6">
        <f t="shared" si="424"/>
        <v>0</v>
      </c>
      <c r="D2733" s="6" t="str">
        <f t="shared" si="425"/>
        <v/>
      </c>
      <c r="E2733" s="35" t="str">
        <f t="shared" si="422"/>
        <v/>
      </c>
      <c r="F2733" s="31"/>
      <c r="G2733" s="29"/>
      <c r="H2733" s="78" t="str">
        <f t="shared" si="426"/>
        <v/>
      </c>
      <c r="I2733" s="25"/>
      <c r="J2733" s="25"/>
      <c r="K2733" s="26"/>
      <c r="L2733" s="26"/>
      <c r="M2733" s="37"/>
      <c r="N2733" s="27"/>
      <c r="O2733" s="30"/>
      <c r="P2733" s="39" t="str">
        <f t="shared" si="427"/>
        <v/>
      </c>
      <c r="Q2733" s="40" t="str">
        <f>IF(OR(T2733=0,RIGHT(T2733,1)=$W$1),"",COUNTIF($T$3:T2733,T2733))</f>
        <v/>
      </c>
      <c r="S2733" s="6">
        <f t="shared" si="428"/>
        <v>0</v>
      </c>
      <c r="T2733" s="36">
        <f t="shared" si="429"/>
        <v>0</v>
      </c>
      <c r="V2733" s="6">
        <f t="shared" si="430"/>
        <v>0</v>
      </c>
      <c r="Y2733" s="8">
        <f t="shared" si="431"/>
        <v>46023</v>
      </c>
    </row>
    <row r="2734" spans="2:25" ht="18.75" x14ac:dyDescent="0.3">
      <c r="B2734" s="6">
        <f t="shared" si="423"/>
        <v>0</v>
      </c>
      <c r="C2734" s="6">
        <f t="shared" si="424"/>
        <v>0</v>
      </c>
      <c r="D2734" s="6" t="str">
        <f t="shared" si="425"/>
        <v/>
      </c>
      <c r="E2734" s="35" t="str">
        <f t="shared" si="422"/>
        <v/>
      </c>
      <c r="F2734" s="31"/>
      <c r="G2734" s="29"/>
      <c r="H2734" s="78" t="str">
        <f t="shared" si="426"/>
        <v/>
      </c>
      <c r="I2734" s="25"/>
      <c r="J2734" s="25"/>
      <c r="K2734" s="26"/>
      <c r="L2734" s="26"/>
      <c r="M2734" s="37"/>
      <c r="N2734" s="27"/>
      <c r="O2734" s="30"/>
      <c r="P2734" s="39" t="str">
        <f t="shared" si="427"/>
        <v/>
      </c>
      <c r="Q2734" s="40" t="str">
        <f>IF(OR(T2734=0,RIGHT(T2734,1)=$W$1),"",COUNTIF($T$3:T2734,T2734))</f>
        <v/>
      </c>
      <c r="S2734" s="6">
        <f t="shared" si="428"/>
        <v>0</v>
      </c>
      <c r="T2734" s="36">
        <f t="shared" si="429"/>
        <v>0</v>
      </c>
      <c r="V2734" s="6">
        <f t="shared" si="430"/>
        <v>0</v>
      </c>
      <c r="Y2734" s="8">
        <f t="shared" si="431"/>
        <v>46023</v>
      </c>
    </row>
    <row r="2735" spans="2:25" ht="18.75" x14ac:dyDescent="0.3">
      <c r="B2735" s="6">
        <f t="shared" si="423"/>
        <v>0</v>
      </c>
      <c r="C2735" s="6">
        <f t="shared" si="424"/>
        <v>0</v>
      </c>
      <c r="D2735" s="6" t="str">
        <f t="shared" si="425"/>
        <v/>
      </c>
      <c r="E2735" s="35" t="str">
        <f t="shared" si="422"/>
        <v/>
      </c>
      <c r="F2735" s="31"/>
      <c r="G2735" s="29"/>
      <c r="H2735" s="78" t="str">
        <f t="shared" si="426"/>
        <v/>
      </c>
      <c r="I2735" s="25"/>
      <c r="J2735" s="25"/>
      <c r="K2735" s="26"/>
      <c r="L2735" s="26"/>
      <c r="M2735" s="37"/>
      <c r="N2735" s="27"/>
      <c r="O2735" s="30"/>
      <c r="P2735" s="39" t="str">
        <f t="shared" si="427"/>
        <v/>
      </c>
      <c r="Q2735" s="40" t="str">
        <f>IF(OR(T2735=0,RIGHT(T2735,1)=$W$1),"",COUNTIF($T$3:T2735,T2735))</f>
        <v/>
      </c>
      <c r="S2735" s="6">
        <f t="shared" si="428"/>
        <v>0</v>
      </c>
      <c r="T2735" s="36">
        <f t="shared" si="429"/>
        <v>0</v>
      </c>
      <c r="V2735" s="6">
        <f t="shared" si="430"/>
        <v>0</v>
      </c>
      <c r="Y2735" s="8">
        <f t="shared" si="431"/>
        <v>46023</v>
      </c>
    </row>
    <row r="2736" spans="2:25" ht="18.75" x14ac:dyDescent="0.3">
      <c r="B2736" s="6">
        <f t="shared" si="423"/>
        <v>0</v>
      </c>
      <c r="C2736" s="6">
        <f t="shared" si="424"/>
        <v>0</v>
      </c>
      <c r="D2736" s="6" t="str">
        <f t="shared" si="425"/>
        <v/>
      </c>
      <c r="E2736" s="35" t="str">
        <f t="shared" si="422"/>
        <v/>
      </c>
      <c r="F2736" s="31"/>
      <c r="G2736" s="29"/>
      <c r="H2736" s="78" t="str">
        <f t="shared" si="426"/>
        <v/>
      </c>
      <c r="I2736" s="25"/>
      <c r="J2736" s="25"/>
      <c r="K2736" s="26"/>
      <c r="L2736" s="26"/>
      <c r="M2736" s="37"/>
      <c r="N2736" s="27"/>
      <c r="O2736" s="30"/>
      <c r="P2736" s="39" t="str">
        <f t="shared" si="427"/>
        <v/>
      </c>
      <c r="Q2736" s="40" t="str">
        <f>IF(OR(T2736=0,RIGHT(T2736,1)=$W$1),"",COUNTIF($T$3:T2736,T2736))</f>
        <v/>
      </c>
      <c r="S2736" s="6">
        <f t="shared" si="428"/>
        <v>0</v>
      </c>
      <c r="T2736" s="36">
        <f t="shared" si="429"/>
        <v>0</v>
      </c>
      <c r="V2736" s="6">
        <f t="shared" si="430"/>
        <v>0</v>
      </c>
      <c r="Y2736" s="8">
        <f t="shared" si="431"/>
        <v>46023</v>
      </c>
    </row>
    <row r="2737" spans="2:25" ht="18.75" x14ac:dyDescent="0.3">
      <c r="B2737" s="6">
        <f t="shared" si="423"/>
        <v>0</v>
      </c>
      <c r="C2737" s="6">
        <f t="shared" si="424"/>
        <v>0</v>
      </c>
      <c r="D2737" s="6" t="str">
        <f t="shared" si="425"/>
        <v/>
      </c>
      <c r="E2737" s="35" t="str">
        <f t="shared" si="422"/>
        <v/>
      </c>
      <c r="F2737" s="31"/>
      <c r="G2737" s="29"/>
      <c r="H2737" s="78" t="str">
        <f t="shared" si="426"/>
        <v/>
      </c>
      <c r="I2737" s="25"/>
      <c r="J2737" s="25"/>
      <c r="K2737" s="26"/>
      <c r="L2737" s="26"/>
      <c r="M2737" s="37"/>
      <c r="N2737" s="27"/>
      <c r="O2737" s="30"/>
      <c r="P2737" s="39" t="str">
        <f t="shared" si="427"/>
        <v/>
      </c>
      <c r="Q2737" s="40" t="str">
        <f>IF(OR(T2737=0,RIGHT(T2737,1)=$W$1),"",COUNTIF($T$3:T2737,T2737))</f>
        <v/>
      </c>
      <c r="S2737" s="6">
        <f t="shared" si="428"/>
        <v>0</v>
      </c>
      <c r="T2737" s="36">
        <f t="shared" si="429"/>
        <v>0</v>
      </c>
      <c r="V2737" s="6">
        <f t="shared" si="430"/>
        <v>0</v>
      </c>
      <c r="Y2737" s="8">
        <f t="shared" si="431"/>
        <v>46023</v>
      </c>
    </row>
    <row r="2738" spans="2:25" ht="18.75" x14ac:dyDescent="0.3">
      <c r="B2738" s="6">
        <f t="shared" si="423"/>
        <v>0</v>
      </c>
      <c r="C2738" s="6">
        <f t="shared" si="424"/>
        <v>0</v>
      </c>
      <c r="D2738" s="6" t="str">
        <f t="shared" si="425"/>
        <v/>
      </c>
      <c r="E2738" s="35" t="str">
        <f t="shared" si="422"/>
        <v/>
      </c>
      <c r="F2738" s="31"/>
      <c r="G2738" s="29"/>
      <c r="H2738" s="78" t="str">
        <f t="shared" si="426"/>
        <v/>
      </c>
      <c r="I2738" s="25"/>
      <c r="J2738" s="25"/>
      <c r="K2738" s="26"/>
      <c r="L2738" s="26"/>
      <c r="M2738" s="37"/>
      <c r="N2738" s="27"/>
      <c r="O2738" s="30"/>
      <c r="P2738" s="39" t="str">
        <f t="shared" si="427"/>
        <v/>
      </c>
      <c r="Q2738" s="40" t="str">
        <f>IF(OR(T2738=0,RIGHT(T2738,1)=$W$1),"",COUNTIF($T$3:T2738,T2738))</f>
        <v/>
      </c>
      <c r="S2738" s="6">
        <f t="shared" si="428"/>
        <v>0</v>
      </c>
      <c r="T2738" s="36">
        <f t="shared" si="429"/>
        <v>0</v>
      </c>
      <c r="V2738" s="6">
        <f t="shared" si="430"/>
        <v>0</v>
      </c>
      <c r="Y2738" s="8">
        <f t="shared" si="431"/>
        <v>46023</v>
      </c>
    </row>
    <row r="2739" spans="2:25" ht="18.75" x14ac:dyDescent="0.3">
      <c r="B2739" s="6">
        <f t="shared" si="423"/>
        <v>0</v>
      </c>
      <c r="C2739" s="6">
        <f t="shared" si="424"/>
        <v>0</v>
      </c>
      <c r="D2739" s="6" t="str">
        <f t="shared" si="425"/>
        <v/>
      </c>
      <c r="E2739" s="35" t="str">
        <f t="shared" si="422"/>
        <v/>
      </c>
      <c r="F2739" s="31"/>
      <c r="G2739" s="29"/>
      <c r="H2739" s="78" t="str">
        <f t="shared" si="426"/>
        <v/>
      </c>
      <c r="I2739" s="25"/>
      <c r="J2739" s="25"/>
      <c r="K2739" s="26"/>
      <c r="L2739" s="26"/>
      <c r="M2739" s="37"/>
      <c r="N2739" s="27"/>
      <c r="O2739" s="30"/>
      <c r="P2739" s="39" t="str">
        <f t="shared" si="427"/>
        <v/>
      </c>
      <c r="Q2739" s="40" t="str">
        <f>IF(OR(T2739=0,RIGHT(T2739,1)=$W$1),"",COUNTIF($T$3:T2739,T2739))</f>
        <v/>
      </c>
      <c r="S2739" s="6">
        <f t="shared" si="428"/>
        <v>0</v>
      </c>
      <c r="T2739" s="36">
        <f t="shared" si="429"/>
        <v>0</v>
      </c>
      <c r="V2739" s="6">
        <f t="shared" si="430"/>
        <v>0</v>
      </c>
      <c r="Y2739" s="8">
        <f t="shared" si="431"/>
        <v>46023</v>
      </c>
    </row>
    <row r="2740" spans="2:25" ht="18.75" x14ac:dyDescent="0.3">
      <c r="B2740" s="6">
        <f t="shared" si="423"/>
        <v>0</v>
      </c>
      <c r="C2740" s="6">
        <f t="shared" si="424"/>
        <v>0</v>
      </c>
      <c r="D2740" s="6" t="str">
        <f t="shared" si="425"/>
        <v/>
      </c>
      <c r="E2740" s="35" t="str">
        <f t="shared" si="422"/>
        <v/>
      </c>
      <c r="F2740" s="31"/>
      <c r="G2740" s="29"/>
      <c r="H2740" s="78" t="str">
        <f t="shared" si="426"/>
        <v/>
      </c>
      <c r="I2740" s="25"/>
      <c r="J2740" s="25"/>
      <c r="K2740" s="26"/>
      <c r="L2740" s="26"/>
      <c r="M2740" s="37"/>
      <c r="N2740" s="27"/>
      <c r="O2740" s="30"/>
      <c r="P2740" s="39" t="str">
        <f t="shared" si="427"/>
        <v/>
      </c>
      <c r="Q2740" s="40" t="str">
        <f>IF(OR(T2740=0,RIGHT(T2740,1)=$W$1),"",COUNTIF($T$3:T2740,T2740))</f>
        <v/>
      </c>
      <c r="S2740" s="6">
        <f t="shared" si="428"/>
        <v>0</v>
      </c>
      <c r="T2740" s="36">
        <f t="shared" si="429"/>
        <v>0</v>
      </c>
      <c r="V2740" s="6">
        <f t="shared" si="430"/>
        <v>0</v>
      </c>
      <c r="Y2740" s="8">
        <f t="shared" si="431"/>
        <v>46023</v>
      </c>
    </row>
    <row r="2741" spans="2:25" ht="18.75" x14ac:dyDescent="0.3">
      <c r="B2741" s="6">
        <f t="shared" si="423"/>
        <v>0</v>
      </c>
      <c r="C2741" s="6">
        <f t="shared" si="424"/>
        <v>0</v>
      </c>
      <c r="D2741" s="6" t="str">
        <f t="shared" si="425"/>
        <v/>
      </c>
      <c r="E2741" s="35" t="str">
        <f t="shared" si="422"/>
        <v/>
      </c>
      <c r="F2741" s="31"/>
      <c r="G2741" s="29"/>
      <c r="H2741" s="78" t="str">
        <f t="shared" si="426"/>
        <v/>
      </c>
      <c r="I2741" s="25"/>
      <c r="J2741" s="25"/>
      <c r="K2741" s="26"/>
      <c r="L2741" s="26"/>
      <c r="M2741" s="37"/>
      <c r="N2741" s="27"/>
      <c r="O2741" s="30"/>
      <c r="P2741" s="39" t="str">
        <f t="shared" si="427"/>
        <v/>
      </c>
      <c r="Q2741" s="40" t="str">
        <f>IF(OR(T2741=0,RIGHT(T2741,1)=$W$1),"",COUNTIF($T$3:T2741,T2741))</f>
        <v/>
      </c>
      <c r="S2741" s="6">
        <f t="shared" si="428"/>
        <v>0</v>
      </c>
      <c r="T2741" s="36">
        <f t="shared" si="429"/>
        <v>0</v>
      </c>
      <c r="V2741" s="6">
        <f t="shared" si="430"/>
        <v>0</v>
      </c>
      <c r="Y2741" s="8">
        <f t="shared" si="431"/>
        <v>46023</v>
      </c>
    </row>
    <row r="2742" spans="2:25" ht="18.75" x14ac:dyDescent="0.3">
      <c r="B2742" s="6">
        <f t="shared" si="423"/>
        <v>0</v>
      </c>
      <c r="C2742" s="6">
        <f t="shared" si="424"/>
        <v>0</v>
      </c>
      <c r="D2742" s="6" t="str">
        <f t="shared" si="425"/>
        <v/>
      </c>
      <c r="E2742" s="35" t="str">
        <f t="shared" si="422"/>
        <v/>
      </c>
      <c r="F2742" s="31"/>
      <c r="G2742" s="29"/>
      <c r="H2742" s="78" t="str">
        <f t="shared" si="426"/>
        <v/>
      </c>
      <c r="I2742" s="25"/>
      <c r="J2742" s="25"/>
      <c r="K2742" s="26"/>
      <c r="L2742" s="26"/>
      <c r="M2742" s="37"/>
      <c r="N2742" s="27"/>
      <c r="O2742" s="30"/>
      <c r="P2742" s="39" t="str">
        <f t="shared" si="427"/>
        <v/>
      </c>
      <c r="Q2742" s="40" t="str">
        <f>IF(OR(T2742=0,RIGHT(T2742,1)=$W$1),"",COUNTIF($T$3:T2742,T2742))</f>
        <v/>
      </c>
      <c r="S2742" s="6">
        <f t="shared" si="428"/>
        <v>0</v>
      </c>
      <c r="T2742" s="36">
        <f t="shared" si="429"/>
        <v>0</v>
      </c>
      <c r="V2742" s="6">
        <f t="shared" si="430"/>
        <v>0</v>
      </c>
      <c r="Y2742" s="8">
        <f t="shared" si="431"/>
        <v>46023</v>
      </c>
    </row>
    <row r="2743" spans="2:25" ht="18.75" x14ac:dyDescent="0.3">
      <c r="B2743" s="6">
        <f t="shared" si="423"/>
        <v>0</v>
      </c>
      <c r="C2743" s="6">
        <f t="shared" si="424"/>
        <v>0</v>
      </c>
      <c r="D2743" s="6" t="str">
        <f t="shared" si="425"/>
        <v/>
      </c>
      <c r="E2743" s="35" t="str">
        <f t="shared" si="422"/>
        <v/>
      </c>
      <c r="F2743" s="31"/>
      <c r="G2743" s="29"/>
      <c r="H2743" s="78" t="str">
        <f t="shared" si="426"/>
        <v/>
      </c>
      <c r="I2743" s="25"/>
      <c r="J2743" s="25"/>
      <c r="K2743" s="26"/>
      <c r="L2743" s="26"/>
      <c r="M2743" s="37"/>
      <c r="N2743" s="27"/>
      <c r="O2743" s="30"/>
      <c r="P2743" s="39" t="str">
        <f t="shared" si="427"/>
        <v/>
      </c>
      <c r="Q2743" s="40" t="str">
        <f>IF(OR(T2743=0,RIGHT(T2743,1)=$W$1),"",COUNTIF($T$3:T2743,T2743))</f>
        <v/>
      </c>
      <c r="S2743" s="6">
        <f t="shared" si="428"/>
        <v>0</v>
      </c>
      <c r="T2743" s="36">
        <f t="shared" si="429"/>
        <v>0</v>
      </c>
      <c r="V2743" s="6">
        <f t="shared" si="430"/>
        <v>0</v>
      </c>
      <c r="Y2743" s="8">
        <f t="shared" si="431"/>
        <v>46023</v>
      </c>
    </row>
    <row r="2744" spans="2:25" ht="18.75" x14ac:dyDescent="0.3">
      <c r="B2744" s="6">
        <f t="shared" si="423"/>
        <v>0</v>
      </c>
      <c r="C2744" s="6">
        <f t="shared" si="424"/>
        <v>0</v>
      </c>
      <c r="D2744" s="6" t="str">
        <f t="shared" si="425"/>
        <v/>
      </c>
      <c r="E2744" s="35" t="str">
        <f t="shared" si="422"/>
        <v/>
      </c>
      <c r="F2744" s="31"/>
      <c r="G2744" s="29"/>
      <c r="H2744" s="78" t="str">
        <f t="shared" si="426"/>
        <v/>
      </c>
      <c r="I2744" s="25"/>
      <c r="J2744" s="25"/>
      <c r="K2744" s="26"/>
      <c r="L2744" s="26"/>
      <c r="M2744" s="37"/>
      <c r="N2744" s="27"/>
      <c r="O2744" s="30"/>
      <c r="P2744" s="39" t="str">
        <f t="shared" si="427"/>
        <v/>
      </c>
      <c r="Q2744" s="40" t="str">
        <f>IF(OR(T2744=0,RIGHT(T2744,1)=$W$1),"",COUNTIF($T$3:T2744,T2744))</f>
        <v/>
      </c>
      <c r="S2744" s="6">
        <f t="shared" si="428"/>
        <v>0</v>
      </c>
      <c r="T2744" s="36">
        <f t="shared" si="429"/>
        <v>0</v>
      </c>
      <c r="V2744" s="6">
        <f t="shared" si="430"/>
        <v>0</v>
      </c>
      <c r="Y2744" s="8">
        <f t="shared" si="431"/>
        <v>46023</v>
      </c>
    </row>
    <row r="2745" spans="2:25" ht="18.75" x14ac:dyDescent="0.3">
      <c r="B2745" s="6">
        <f t="shared" si="423"/>
        <v>0</v>
      </c>
      <c r="C2745" s="6">
        <f t="shared" si="424"/>
        <v>0</v>
      </c>
      <c r="D2745" s="6" t="str">
        <f t="shared" si="425"/>
        <v/>
      </c>
      <c r="E2745" s="35" t="str">
        <f t="shared" si="422"/>
        <v/>
      </c>
      <c r="F2745" s="31"/>
      <c r="G2745" s="29"/>
      <c r="H2745" s="78" t="str">
        <f t="shared" si="426"/>
        <v/>
      </c>
      <c r="I2745" s="25"/>
      <c r="J2745" s="25"/>
      <c r="K2745" s="26"/>
      <c r="L2745" s="26"/>
      <c r="M2745" s="37"/>
      <c r="N2745" s="27"/>
      <c r="O2745" s="30"/>
      <c r="P2745" s="39" t="str">
        <f t="shared" si="427"/>
        <v/>
      </c>
      <c r="Q2745" s="40" t="str">
        <f>IF(OR(T2745=0,RIGHT(T2745,1)=$W$1),"",COUNTIF($T$3:T2745,T2745))</f>
        <v/>
      </c>
      <c r="S2745" s="6">
        <f t="shared" si="428"/>
        <v>0</v>
      </c>
      <c r="T2745" s="36">
        <f t="shared" si="429"/>
        <v>0</v>
      </c>
      <c r="V2745" s="6">
        <f t="shared" si="430"/>
        <v>0</v>
      </c>
      <c r="Y2745" s="8">
        <f t="shared" si="431"/>
        <v>46023</v>
      </c>
    </row>
    <row r="2746" spans="2:25" ht="18.75" x14ac:dyDescent="0.3">
      <c r="B2746" s="6">
        <f t="shared" si="423"/>
        <v>0</v>
      </c>
      <c r="C2746" s="6">
        <f t="shared" si="424"/>
        <v>0</v>
      </c>
      <c r="D2746" s="6" t="str">
        <f t="shared" si="425"/>
        <v/>
      </c>
      <c r="E2746" s="35" t="str">
        <f t="shared" si="422"/>
        <v/>
      </c>
      <c r="F2746" s="31"/>
      <c r="G2746" s="29"/>
      <c r="H2746" s="78" t="str">
        <f t="shared" si="426"/>
        <v/>
      </c>
      <c r="I2746" s="25"/>
      <c r="J2746" s="25"/>
      <c r="K2746" s="26"/>
      <c r="L2746" s="26"/>
      <c r="M2746" s="37"/>
      <c r="N2746" s="27"/>
      <c r="O2746" s="30"/>
      <c r="P2746" s="39" t="str">
        <f t="shared" si="427"/>
        <v/>
      </c>
      <c r="Q2746" s="40" t="str">
        <f>IF(OR(T2746=0,RIGHT(T2746,1)=$W$1),"",COUNTIF($T$3:T2746,T2746))</f>
        <v/>
      </c>
      <c r="S2746" s="6">
        <f t="shared" si="428"/>
        <v>0</v>
      </c>
      <c r="T2746" s="36">
        <f t="shared" si="429"/>
        <v>0</v>
      </c>
      <c r="V2746" s="6">
        <f t="shared" si="430"/>
        <v>0</v>
      </c>
      <c r="Y2746" s="8">
        <f t="shared" si="431"/>
        <v>46023</v>
      </c>
    </row>
    <row r="2747" spans="2:25" ht="18.75" x14ac:dyDescent="0.3">
      <c r="B2747" s="6">
        <f t="shared" si="423"/>
        <v>0</v>
      </c>
      <c r="C2747" s="6">
        <f t="shared" si="424"/>
        <v>0</v>
      </c>
      <c r="D2747" s="6" t="str">
        <f t="shared" si="425"/>
        <v/>
      </c>
      <c r="E2747" s="35" t="str">
        <f t="shared" si="422"/>
        <v/>
      </c>
      <c r="F2747" s="31"/>
      <c r="G2747" s="29"/>
      <c r="H2747" s="78" t="str">
        <f t="shared" si="426"/>
        <v/>
      </c>
      <c r="I2747" s="25"/>
      <c r="J2747" s="25"/>
      <c r="K2747" s="26"/>
      <c r="L2747" s="26"/>
      <c r="M2747" s="37"/>
      <c r="N2747" s="27"/>
      <c r="O2747" s="30"/>
      <c r="P2747" s="39" t="str">
        <f t="shared" si="427"/>
        <v/>
      </c>
      <c r="Q2747" s="40" t="str">
        <f>IF(OR(T2747=0,RIGHT(T2747,1)=$W$1),"",COUNTIF($T$3:T2747,T2747))</f>
        <v/>
      </c>
      <c r="S2747" s="6">
        <f t="shared" si="428"/>
        <v>0</v>
      </c>
      <c r="T2747" s="36">
        <f t="shared" si="429"/>
        <v>0</v>
      </c>
      <c r="V2747" s="6">
        <f t="shared" si="430"/>
        <v>0</v>
      </c>
      <c r="Y2747" s="8">
        <f t="shared" si="431"/>
        <v>46023</v>
      </c>
    </row>
    <row r="2748" spans="2:25" ht="18.75" x14ac:dyDescent="0.3">
      <c r="B2748" s="6">
        <f t="shared" si="423"/>
        <v>0</v>
      </c>
      <c r="C2748" s="6">
        <f t="shared" si="424"/>
        <v>0</v>
      </c>
      <c r="D2748" s="6" t="str">
        <f t="shared" si="425"/>
        <v/>
      </c>
      <c r="E2748" s="35" t="str">
        <f t="shared" si="422"/>
        <v/>
      </c>
      <c r="F2748" s="31"/>
      <c r="G2748" s="29"/>
      <c r="H2748" s="78" t="str">
        <f t="shared" si="426"/>
        <v/>
      </c>
      <c r="I2748" s="25"/>
      <c r="J2748" s="25"/>
      <c r="K2748" s="26"/>
      <c r="L2748" s="26"/>
      <c r="M2748" s="37"/>
      <c r="N2748" s="27"/>
      <c r="O2748" s="30"/>
      <c r="P2748" s="39" t="str">
        <f t="shared" si="427"/>
        <v/>
      </c>
      <c r="Q2748" s="40" t="str">
        <f>IF(OR(T2748=0,RIGHT(T2748,1)=$W$1),"",COUNTIF($T$3:T2748,T2748))</f>
        <v/>
      </c>
      <c r="S2748" s="6">
        <f t="shared" si="428"/>
        <v>0</v>
      </c>
      <c r="T2748" s="36">
        <f t="shared" si="429"/>
        <v>0</v>
      </c>
      <c r="V2748" s="6">
        <f t="shared" si="430"/>
        <v>0</v>
      </c>
      <c r="Y2748" s="8">
        <f t="shared" si="431"/>
        <v>46023</v>
      </c>
    </row>
    <row r="2749" spans="2:25" ht="18.75" x14ac:dyDescent="0.3">
      <c r="B2749" s="6">
        <f t="shared" si="423"/>
        <v>0</v>
      </c>
      <c r="C2749" s="6">
        <f t="shared" si="424"/>
        <v>0</v>
      </c>
      <c r="D2749" s="6" t="str">
        <f t="shared" si="425"/>
        <v/>
      </c>
      <c r="E2749" s="35" t="str">
        <f t="shared" si="422"/>
        <v/>
      </c>
      <c r="F2749" s="31"/>
      <c r="G2749" s="29"/>
      <c r="H2749" s="78" t="str">
        <f t="shared" si="426"/>
        <v/>
      </c>
      <c r="I2749" s="25"/>
      <c r="J2749" s="25"/>
      <c r="K2749" s="26"/>
      <c r="L2749" s="26"/>
      <c r="M2749" s="37"/>
      <c r="N2749" s="27"/>
      <c r="O2749" s="30"/>
      <c r="P2749" s="39" t="str">
        <f t="shared" si="427"/>
        <v/>
      </c>
      <c r="Q2749" s="40" t="str">
        <f>IF(OR(T2749=0,RIGHT(T2749,1)=$W$1),"",COUNTIF($T$3:T2749,T2749))</f>
        <v/>
      </c>
      <c r="S2749" s="6">
        <f t="shared" si="428"/>
        <v>0</v>
      </c>
      <c r="T2749" s="36">
        <f t="shared" si="429"/>
        <v>0</v>
      </c>
      <c r="V2749" s="6">
        <f t="shared" si="430"/>
        <v>0</v>
      </c>
      <c r="Y2749" s="8">
        <f t="shared" si="431"/>
        <v>46023</v>
      </c>
    </row>
    <row r="2750" spans="2:25" ht="18.75" x14ac:dyDescent="0.3">
      <c r="B2750" s="6">
        <f t="shared" si="423"/>
        <v>0</v>
      </c>
      <c r="C2750" s="6">
        <f t="shared" si="424"/>
        <v>0</v>
      </c>
      <c r="D2750" s="6" t="str">
        <f t="shared" si="425"/>
        <v/>
      </c>
      <c r="E2750" s="35" t="str">
        <f t="shared" si="422"/>
        <v/>
      </c>
      <c r="F2750" s="31"/>
      <c r="G2750" s="29"/>
      <c r="H2750" s="78" t="str">
        <f t="shared" si="426"/>
        <v/>
      </c>
      <c r="I2750" s="25"/>
      <c r="J2750" s="25"/>
      <c r="K2750" s="26"/>
      <c r="L2750" s="26"/>
      <c r="M2750" s="37"/>
      <c r="N2750" s="27"/>
      <c r="O2750" s="30"/>
      <c r="P2750" s="39" t="str">
        <f t="shared" si="427"/>
        <v/>
      </c>
      <c r="Q2750" s="40" t="str">
        <f>IF(OR(T2750=0,RIGHT(T2750,1)=$W$1),"",COUNTIF($T$3:T2750,T2750))</f>
        <v/>
      </c>
      <c r="S2750" s="6">
        <f t="shared" si="428"/>
        <v>0</v>
      </c>
      <c r="T2750" s="36">
        <f t="shared" si="429"/>
        <v>0</v>
      </c>
      <c r="V2750" s="6">
        <f t="shared" si="430"/>
        <v>0</v>
      </c>
      <c r="Y2750" s="8">
        <f t="shared" si="431"/>
        <v>46023</v>
      </c>
    </row>
    <row r="2751" spans="2:25" ht="18.75" x14ac:dyDescent="0.3">
      <c r="B2751" s="6">
        <f t="shared" si="423"/>
        <v>0</v>
      </c>
      <c r="C2751" s="6">
        <f t="shared" si="424"/>
        <v>0</v>
      </c>
      <c r="D2751" s="6" t="str">
        <f t="shared" si="425"/>
        <v/>
      </c>
      <c r="E2751" s="35" t="str">
        <f t="shared" si="422"/>
        <v/>
      </c>
      <c r="F2751" s="31"/>
      <c r="G2751" s="29"/>
      <c r="H2751" s="78" t="str">
        <f t="shared" si="426"/>
        <v/>
      </c>
      <c r="I2751" s="25"/>
      <c r="J2751" s="25"/>
      <c r="K2751" s="26"/>
      <c r="L2751" s="26"/>
      <c r="M2751" s="37"/>
      <c r="N2751" s="27"/>
      <c r="O2751" s="30"/>
      <c r="P2751" s="39" t="str">
        <f t="shared" si="427"/>
        <v/>
      </c>
      <c r="Q2751" s="40" t="str">
        <f>IF(OR(T2751=0,RIGHT(T2751,1)=$W$1),"",COUNTIF($T$3:T2751,T2751))</f>
        <v/>
      </c>
      <c r="S2751" s="6">
        <f t="shared" si="428"/>
        <v>0</v>
      </c>
      <c r="T2751" s="36">
        <f t="shared" si="429"/>
        <v>0</v>
      </c>
      <c r="V2751" s="6">
        <f t="shared" si="430"/>
        <v>0</v>
      </c>
      <c r="Y2751" s="8">
        <f t="shared" si="431"/>
        <v>46023</v>
      </c>
    </row>
    <row r="2752" spans="2:25" ht="18.75" x14ac:dyDescent="0.3">
      <c r="B2752" s="6">
        <f t="shared" si="423"/>
        <v>0</v>
      </c>
      <c r="C2752" s="6">
        <f t="shared" si="424"/>
        <v>0</v>
      </c>
      <c r="D2752" s="6" t="str">
        <f t="shared" si="425"/>
        <v/>
      </c>
      <c r="E2752" s="35" t="str">
        <f t="shared" si="422"/>
        <v/>
      </c>
      <c r="F2752" s="31"/>
      <c r="G2752" s="29"/>
      <c r="H2752" s="78" t="str">
        <f t="shared" si="426"/>
        <v/>
      </c>
      <c r="I2752" s="25"/>
      <c r="J2752" s="25"/>
      <c r="K2752" s="26"/>
      <c r="L2752" s="26"/>
      <c r="M2752" s="37"/>
      <c r="N2752" s="27"/>
      <c r="O2752" s="30"/>
      <c r="P2752" s="39" t="str">
        <f t="shared" si="427"/>
        <v/>
      </c>
      <c r="Q2752" s="40" t="str">
        <f>IF(OR(T2752=0,RIGHT(T2752,1)=$W$1),"",COUNTIF($T$3:T2752,T2752))</f>
        <v/>
      </c>
      <c r="S2752" s="6">
        <f t="shared" si="428"/>
        <v>0</v>
      </c>
      <c r="T2752" s="36">
        <f t="shared" si="429"/>
        <v>0</v>
      </c>
      <c r="V2752" s="6">
        <f t="shared" si="430"/>
        <v>0</v>
      </c>
      <c r="Y2752" s="8">
        <f t="shared" si="431"/>
        <v>46023</v>
      </c>
    </row>
    <row r="2753" spans="2:25" ht="18.75" x14ac:dyDescent="0.3">
      <c r="B2753" s="6">
        <f t="shared" si="423"/>
        <v>0</v>
      </c>
      <c r="C2753" s="6">
        <f t="shared" si="424"/>
        <v>0</v>
      </c>
      <c r="D2753" s="6" t="str">
        <f t="shared" si="425"/>
        <v/>
      </c>
      <c r="E2753" s="35" t="str">
        <f t="shared" si="422"/>
        <v/>
      </c>
      <c r="F2753" s="31"/>
      <c r="G2753" s="29"/>
      <c r="H2753" s="78" t="str">
        <f t="shared" si="426"/>
        <v/>
      </c>
      <c r="I2753" s="25"/>
      <c r="J2753" s="25"/>
      <c r="K2753" s="26"/>
      <c r="L2753" s="26"/>
      <c r="M2753" s="37"/>
      <c r="N2753" s="27"/>
      <c r="O2753" s="30"/>
      <c r="P2753" s="39" t="str">
        <f t="shared" si="427"/>
        <v/>
      </c>
      <c r="Q2753" s="40" t="str">
        <f>IF(OR(T2753=0,RIGHT(T2753,1)=$W$1),"",COUNTIF($T$3:T2753,T2753))</f>
        <v/>
      </c>
      <c r="S2753" s="6">
        <f t="shared" si="428"/>
        <v>0</v>
      </c>
      <c r="T2753" s="36">
        <f t="shared" si="429"/>
        <v>0</v>
      </c>
      <c r="V2753" s="6">
        <f t="shared" si="430"/>
        <v>0</v>
      </c>
      <c r="Y2753" s="8">
        <f t="shared" si="431"/>
        <v>46023</v>
      </c>
    </row>
    <row r="2754" spans="2:25" ht="18.75" x14ac:dyDescent="0.3">
      <c r="B2754" s="6">
        <f t="shared" si="423"/>
        <v>0</v>
      </c>
      <c r="C2754" s="6">
        <f t="shared" si="424"/>
        <v>0</v>
      </c>
      <c r="D2754" s="6" t="str">
        <f t="shared" si="425"/>
        <v/>
      </c>
      <c r="E2754" s="35" t="str">
        <f t="shared" si="422"/>
        <v/>
      </c>
      <c r="F2754" s="31"/>
      <c r="G2754" s="29"/>
      <c r="H2754" s="78" t="str">
        <f t="shared" si="426"/>
        <v/>
      </c>
      <c r="I2754" s="25"/>
      <c r="J2754" s="25"/>
      <c r="K2754" s="26"/>
      <c r="L2754" s="26"/>
      <c r="M2754" s="37"/>
      <c r="N2754" s="27"/>
      <c r="O2754" s="30"/>
      <c r="P2754" s="39" t="str">
        <f t="shared" si="427"/>
        <v/>
      </c>
      <c r="Q2754" s="40" t="str">
        <f>IF(OR(T2754=0,RIGHT(T2754,1)=$W$1),"",COUNTIF($T$3:T2754,T2754))</f>
        <v/>
      </c>
      <c r="S2754" s="6">
        <f t="shared" si="428"/>
        <v>0</v>
      </c>
      <c r="T2754" s="36">
        <f t="shared" si="429"/>
        <v>0</v>
      </c>
      <c r="V2754" s="6">
        <f t="shared" si="430"/>
        <v>0</v>
      </c>
      <c r="Y2754" s="8">
        <f t="shared" si="431"/>
        <v>46023</v>
      </c>
    </row>
    <row r="2755" spans="2:25" ht="18.75" x14ac:dyDescent="0.3">
      <c r="B2755" s="6">
        <f t="shared" si="423"/>
        <v>0</v>
      </c>
      <c r="C2755" s="6">
        <f t="shared" si="424"/>
        <v>0</v>
      </c>
      <c r="D2755" s="6" t="str">
        <f t="shared" si="425"/>
        <v/>
      </c>
      <c r="E2755" s="35" t="str">
        <f t="shared" ref="E2755:E2818" si="432">IF(D2755&lt;&gt;"",D2755&amp;" - "&amp;YEAR(F2755),"")</f>
        <v/>
      </c>
      <c r="F2755" s="31"/>
      <c r="G2755" s="29"/>
      <c r="H2755" s="78" t="str">
        <f t="shared" si="426"/>
        <v/>
      </c>
      <c r="I2755" s="25"/>
      <c r="J2755" s="25"/>
      <c r="K2755" s="26"/>
      <c r="L2755" s="26"/>
      <c r="M2755" s="37"/>
      <c r="N2755" s="27"/>
      <c r="O2755" s="30"/>
      <c r="P2755" s="39" t="str">
        <f t="shared" si="427"/>
        <v/>
      </c>
      <c r="Q2755" s="40" t="str">
        <f>IF(OR(T2755=0,RIGHT(T2755,1)=$W$1),"",COUNTIF($T$3:T2755,T2755))</f>
        <v/>
      </c>
      <c r="S2755" s="6">
        <f t="shared" si="428"/>
        <v>0</v>
      </c>
      <c r="T2755" s="36">
        <f t="shared" si="429"/>
        <v>0</v>
      </c>
      <c r="V2755" s="6">
        <f t="shared" si="430"/>
        <v>0</v>
      </c>
      <c r="Y2755" s="8">
        <f t="shared" si="431"/>
        <v>46023</v>
      </c>
    </row>
    <row r="2756" spans="2:25" ht="18.75" x14ac:dyDescent="0.3">
      <c r="B2756" s="6">
        <f t="shared" ref="B2756:B2819" si="433">IF($B$1=YEAR(F2756),B2755+1,B2755)</f>
        <v>0</v>
      </c>
      <c r="C2756" s="6">
        <f t="shared" ref="C2756:C2819" si="434">IF(AND($C$1=K2756,$Y$1=YEAR(F2756)),C2755+1,C2755)</f>
        <v>0</v>
      </c>
      <c r="D2756" s="6" t="str">
        <f t="shared" ref="D2756:D2819" si="435">IF(F2756&lt;&gt;0,IF(YEAR(F2756)&lt;&gt;YEAR(F2755),1,IF(M2756=$AI$1,D2755,D2755+1)),"")</f>
        <v/>
      </c>
      <c r="E2756" s="35" t="str">
        <f t="shared" si="432"/>
        <v/>
      </c>
      <c r="F2756" s="31"/>
      <c r="G2756" s="29"/>
      <c r="H2756" s="78" t="str">
        <f t="shared" ref="H2756:H2819" si="436">IF(G2756&lt;&gt;"",F2756,"")</f>
        <v/>
      </c>
      <c r="I2756" s="25"/>
      <c r="J2756" s="25"/>
      <c r="K2756" s="26"/>
      <c r="L2756" s="26"/>
      <c r="M2756" s="37"/>
      <c r="N2756" s="27"/>
      <c r="O2756" s="30"/>
      <c r="P2756" s="39" t="str">
        <f t="shared" ref="P2756:P2819" si="437">IF(OR(T2756=0,RIGHT(T2756,1)=$W$1),"",VLOOKUP(K2756,$AD$1:$AK$15,5,FALSE))</f>
        <v/>
      </c>
      <c r="Q2756" s="40" t="str">
        <f>IF(OR(T2756=0,RIGHT(T2756,1)=$W$1),"",COUNTIF($T$3:T2756,T2756))</f>
        <v/>
      </c>
      <c r="S2756" s="6">
        <f t="shared" ref="S2756:S2819" si="438">IF(AND($C$1=K2756,$Y$1=YEAR(F2756)),C2756,0)</f>
        <v>0</v>
      </c>
      <c r="T2756" s="36">
        <f t="shared" ref="T2756:T2819" si="439">IF(F2756=0,0,YEAR(F2756)&amp;VLOOKUP(K2756,$AD$1:$AE$15,2,FALSE))</f>
        <v>0</v>
      </c>
      <c r="V2756" s="6">
        <f t="shared" ref="V2756:V2819" si="440">IF(AND(YEAR(F2756)=$Y$1,K2756=$C$1,L2756&amp;$V$1&lt;&gt;$V$1),L2756,IF(AND(YEAR(F2756)=$Y$1,K2756=$C$1),1,0))</f>
        <v>0</v>
      </c>
      <c r="Y2756" s="8">
        <f t="shared" ref="Y2756:Y2819" si="441">IF(M2756&lt;&gt;$AI$1,$Y$2,F2755)</f>
        <v>46023</v>
      </c>
    </row>
    <row r="2757" spans="2:25" ht="18.75" x14ac:dyDescent="0.3">
      <c r="B2757" s="6">
        <f t="shared" si="433"/>
        <v>0</v>
      </c>
      <c r="C2757" s="6">
        <f t="shared" si="434"/>
        <v>0</v>
      </c>
      <c r="D2757" s="6" t="str">
        <f t="shared" si="435"/>
        <v/>
      </c>
      <c r="E2757" s="35" t="str">
        <f t="shared" si="432"/>
        <v/>
      </c>
      <c r="F2757" s="31"/>
      <c r="G2757" s="29"/>
      <c r="H2757" s="78" t="str">
        <f t="shared" si="436"/>
        <v/>
      </c>
      <c r="I2757" s="25"/>
      <c r="J2757" s="25"/>
      <c r="K2757" s="26"/>
      <c r="L2757" s="26"/>
      <c r="M2757" s="37"/>
      <c r="N2757" s="27"/>
      <c r="O2757" s="30"/>
      <c r="P2757" s="39" t="str">
        <f t="shared" si="437"/>
        <v/>
      </c>
      <c r="Q2757" s="40" t="str">
        <f>IF(OR(T2757=0,RIGHT(T2757,1)=$W$1),"",COUNTIF($T$3:T2757,T2757))</f>
        <v/>
      </c>
      <c r="S2757" s="6">
        <f t="shared" si="438"/>
        <v>0</v>
      </c>
      <c r="T2757" s="36">
        <f t="shared" si="439"/>
        <v>0</v>
      </c>
      <c r="V2757" s="6">
        <f t="shared" si="440"/>
        <v>0</v>
      </c>
      <c r="Y2757" s="8">
        <f t="shared" si="441"/>
        <v>46023</v>
      </c>
    </row>
    <row r="2758" spans="2:25" ht="18.75" x14ac:dyDescent="0.3">
      <c r="B2758" s="6">
        <f t="shared" si="433"/>
        <v>0</v>
      </c>
      <c r="C2758" s="6">
        <f t="shared" si="434"/>
        <v>0</v>
      </c>
      <c r="D2758" s="6" t="str">
        <f t="shared" si="435"/>
        <v/>
      </c>
      <c r="E2758" s="35" t="str">
        <f t="shared" si="432"/>
        <v/>
      </c>
      <c r="F2758" s="31"/>
      <c r="G2758" s="29"/>
      <c r="H2758" s="78" t="str">
        <f t="shared" si="436"/>
        <v/>
      </c>
      <c r="I2758" s="25"/>
      <c r="J2758" s="25"/>
      <c r="K2758" s="26"/>
      <c r="L2758" s="26"/>
      <c r="M2758" s="37"/>
      <c r="N2758" s="27"/>
      <c r="O2758" s="30"/>
      <c r="P2758" s="39" t="str">
        <f t="shared" si="437"/>
        <v/>
      </c>
      <c r="Q2758" s="40" t="str">
        <f>IF(OR(T2758=0,RIGHT(T2758,1)=$W$1),"",COUNTIF($T$3:T2758,T2758))</f>
        <v/>
      </c>
      <c r="S2758" s="6">
        <f t="shared" si="438"/>
        <v>0</v>
      </c>
      <c r="T2758" s="36">
        <f t="shared" si="439"/>
        <v>0</v>
      </c>
      <c r="V2758" s="6">
        <f t="shared" si="440"/>
        <v>0</v>
      </c>
      <c r="Y2758" s="8">
        <f t="shared" si="441"/>
        <v>46023</v>
      </c>
    </row>
    <row r="2759" spans="2:25" ht="18.75" x14ac:dyDescent="0.3">
      <c r="B2759" s="6">
        <f t="shared" si="433"/>
        <v>0</v>
      </c>
      <c r="C2759" s="6">
        <f t="shared" si="434"/>
        <v>0</v>
      </c>
      <c r="D2759" s="6" t="str">
        <f t="shared" si="435"/>
        <v/>
      </c>
      <c r="E2759" s="35" t="str">
        <f t="shared" si="432"/>
        <v/>
      </c>
      <c r="F2759" s="31"/>
      <c r="G2759" s="29"/>
      <c r="H2759" s="78" t="str">
        <f t="shared" si="436"/>
        <v/>
      </c>
      <c r="I2759" s="25"/>
      <c r="J2759" s="25"/>
      <c r="K2759" s="26"/>
      <c r="L2759" s="26"/>
      <c r="M2759" s="37"/>
      <c r="N2759" s="27"/>
      <c r="O2759" s="30"/>
      <c r="P2759" s="39" t="str">
        <f t="shared" si="437"/>
        <v/>
      </c>
      <c r="Q2759" s="40" t="str">
        <f>IF(OR(T2759=0,RIGHT(T2759,1)=$W$1),"",COUNTIF($T$3:T2759,T2759))</f>
        <v/>
      </c>
      <c r="S2759" s="6">
        <f t="shared" si="438"/>
        <v>0</v>
      </c>
      <c r="T2759" s="36">
        <f t="shared" si="439"/>
        <v>0</v>
      </c>
      <c r="V2759" s="6">
        <f t="shared" si="440"/>
        <v>0</v>
      </c>
      <c r="Y2759" s="8">
        <f t="shared" si="441"/>
        <v>46023</v>
      </c>
    </row>
    <row r="2760" spans="2:25" ht="18.75" x14ac:dyDescent="0.3">
      <c r="B2760" s="6">
        <f t="shared" si="433"/>
        <v>0</v>
      </c>
      <c r="C2760" s="6">
        <f t="shared" si="434"/>
        <v>0</v>
      </c>
      <c r="D2760" s="6" t="str">
        <f t="shared" si="435"/>
        <v/>
      </c>
      <c r="E2760" s="35" t="str">
        <f t="shared" si="432"/>
        <v/>
      </c>
      <c r="F2760" s="31"/>
      <c r="G2760" s="29"/>
      <c r="H2760" s="78" t="str">
        <f t="shared" si="436"/>
        <v/>
      </c>
      <c r="I2760" s="25"/>
      <c r="J2760" s="25"/>
      <c r="K2760" s="26"/>
      <c r="L2760" s="26"/>
      <c r="M2760" s="37"/>
      <c r="N2760" s="27"/>
      <c r="O2760" s="30"/>
      <c r="P2760" s="39" t="str">
        <f t="shared" si="437"/>
        <v/>
      </c>
      <c r="Q2760" s="40" t="str">
        <f>IF(OR(T2760=0,RIGHT(T2760,1)=$W$1),"",COUNTIF($T$3:T2760,T2760))</f>
        <v/>
      </c>
      <c r="S2760" s="6">
        <f t="shared" si="438"/>
        <v>0</v>
      </c>
      <c r="T2760" s="36">
        <f t="shared" si="439"/>
        <v>0</v>
      </c>
      <c r="V2760" s="6">
        <f t="shared" si="440"/>
        <v>0</v>
      </c>
      <c r="Y2760" s="8">
        <f t="shared" si="441"/>
        <v>46023</v>
      </c>
    </row>
    <row r="2761" spans="2:25" ht="18.75" x14ac:dyDescent="0.3">
      <c r="B2761" s="6">
        <f t="shared" si="433"/>
        <v>0</v>
      </c>
      <c r="C2761" s="6">
        <f t="shared" si="434"/>
        <v>0</v>
      </c>
      <c r="D2761" s="6" t="str">
        <f t="shared" si="435"/>
        <v/>
      </c>
      <c r="E2761" s="35" t="str">
        <f t="shared" si="432"/>
        <v/>
      </c>
      <c r="F2761" s="31"/>
      <c r="G2761" s="29"/>
      <c r="H2761" s="78" t="str">
        <f t="shared" si="436"/>
        <v/>
      </c>
      <c r="I2761" s="25"/>
      <c r="J2761" s="25"/>
      <c r="K2761" s="26"/>
      <c r="L2761" s="26"/>
      <c r="M2761" s="37"/>
      <c r="N2761" s="27"/>
      <c r="O2761" s="30"/>
      <c r="P2761" s="39" t="str">
        <f t="shared" si="437"/>
        <v/>
      </c>
      <c r="Q2761" s="40" t="str">
        <f>IF(OR(T2761=0,RIGHT(T2761,1)=$W$1),"",COUNTIF($T$3:T2761,T2761))</f>
        <v/>
      </c>
      <c r="S2761" s="6">
        <f t="shared" si="438"/>
        <v>0</v>
      </c>
      <c r="T2761" s="36">
        <f t="shared" si="439"/>
        <v>0</v>
      </c>
      <c r="V2761" s="6">
        <f t="shared" si="440"/>
        <v>0</v>
      </c>
      <c r="Y2761" s="8">
        <f t="shared" si="441"/>
        <v>46023</v>
      </c>
    </row>
    <row r="2762" spans="2:25" ht="18.75" x14ac:dyDescent="0.3">
      <c r="B2762" s="6">
        <f t="shared" si="433"/>
        <v>0</v>
      </c>
      <c r="C2762" s="6">
        <f t="shared" si="434"/>
        <v>0</v>
      </c>
      <c r="D2762" s="6" t="str">
        <f t="shared" si="435"/>
        <v/>
      </c>
      <c r="E2762" s="35" t="str">
        <f t="shared" si="432"/>
        <v/>
      </c>
      <c r="F2762" s="31"/>
      <c r="G2762" s="29"/>
      <c r="H2762" s="78" t="str">
        <f t="shared" si="436"/>
        <v/>
      </c>
      <c r="I2762" s="25"/>
      <c r="J2762" s="25"/>
      <c r="K2762" s="26"/>
      <c r="L2762" s="26"/>
      <c r="M2762" s="37"/>
      <c r="N2762" s="27"/>
      <c r="O2762" s="30"/>
      <c r="P2762" s="39" t="str">
        <f t="shared" si="437"/>
        <v/>
      </c>
      <c r="Q2762" s="40" t="str">
        <f>IF(OR(T2762=0,RIGHT(T2762,1)=$W$1),"",COUNTIF($T$3:T2762,T2762))</f>
        <v/>
      </c>
      <c r="S2762" s="6">
        <f t="shared" si="438"/>
        <v>0</v>
      </c>
      <c r="T2762" s="36">
        <f t="shared" si="439"/>
        <v>0</v>
      </c>
      <c r="V2762" s="6">
        <f t="shared" si="440"/>
        <v>0</v>
      </c>
      <c r="Y2762" s="8">
        <f t="shared" si="441"/>
        <v>46023</v>
      </c>
    </row>
    <row r="2763" spans="2:25" ht="18.75" x14ac:dyDescent="0.3">
      <c r="B2763" s="6">
        <f t="shared" si="433"/>
        <v>0</v>
      </c>
      <c r="C2763" s="6">
        <f t="shared" si="434"/>
        <v>0</v>
      </c>
      <c r="D2763" s="6" t="str">
        <f t="shared" si="435"/>
        <v/>
      </c>
      <c r="E2763" s="35" t="str">
        <f t="shared" si="432"/>
        <v/>
      </c>
      <c r="F2763" s="31"/>
      <c r="G2763" s="29"/>
      <c r="H2763" s="78" t="str">
        <f t="shared" si="436"/>
        <v/>
      </c>
      <c r="I2763" s="25"/>
      <c r="J2763" s="25"/>
      <c r="K2763" s="26"/>
      <c r="L2763" s="26"/>
      <c r="M2763" s="37"/>
      <c r="N2763" s="27"/>
      <c r="O2763" s="30"/>
      <c r="P2763" s="39" t="str">
        <f t="shared" si="437"/>
        <v/>
      </c>
      <c r="Q2763" s="40" t="str">
        <f>IF(OR(T2763=0,RIGHT(T2763,1)=$W$1),"",COUNTIF($T$3:T2763,T2763))</f>
        <v/>
      </c>
      <c r="S2763" s="6">
        <f t="shared" si="438"/>
        <v>0</v>
      </c>
      <c r="T2763" s="36">
        <f t="shared" si="439"/>
        <v>0</v>
      </c>
      <c r="V2763" s="6">
        <f t="shared" si="440"/>
        <v>0</v>
      </c>
      <c r="Y2763" s="8">
        <f t="shared" si="441"/>
        <v>46023</v>
      </c>
    </row>
    <row r="2764" spans="2:25" ht="18.75" x14ac:dyDescent="0.3">
      <c r="B2764" s="6">
        <f t="shared" si="433"/>
        <v>0</v>
      </c>
      <c r="C2764" s="6">
        <f t="shared" si="434"/>
        <v>0</v>
      </c>
      <c r="D2764" s="6" t="str">
        <f t="shared" si="435"/>
        <v/>
      </c>
      <c r="E2764" s="35" t="str">
        <f t="shared" si="432"/>
        <v/>
      </c>
      <c r="F2764" s="31"/>
      <c r="G2764" s="29"/>
      <c r="H2764" s="78" t="str">
        <f t="shared" si="436"/>
        <v/>
      </c>
      <c r="I2764" s="25"/>
      <c r="J2764" s="25"/>
      <c r="K2764" s="26"/>
      <c r="L2764" s="26"/>
      <c r="M2764" s="37"/>
      <c r="N2764" s="27"/>
      <c r="O2764" s="30"/>
      <c r="P2764" s="39" t="str">
        <f t="shared" si="437"/>
        <v/>
      </c>
      <c r="Q2764" s="40" t="str">
        <f>IF(OR(T2764=0,RIGHT(T2764,1)=$W$1),"",COUNTIF($T$3:T2764,T2764))</f>
        <v/>
      </c>
      <c r="S2764" s="6">
        <f t="shared" si="438"/>
        <v>0</v>
      </c>
      <c r="T2764" s="36">
        <f t="shared" si="439"/>
        <v>0</v>
      </c>
      <c r="V2764" s="6">
        <f t="shared" si="440"/>
        <v>0</v>
      </c>
      <c r="Y2764" s="8">
        <f t="shared" si="441"/>
        <v>46023</v>
      </c>
    </row>
    <row r="2765" spans="2:25" ht="18.75" x14ac:dyDescent="0.3">
      <c r="B2765" s="6">
        <f t="shared" si="433"/>
        <v>0</v>
      </c>
      <c r="C2765" s="6">
        <f t="shared" si="434"/>
        <v>0</v>
      </c>
      <c r="D2765" s="6" t="str">
        <f t="shared" si="435"/>
        <v/>
      </c>
      <c r="E2765" s="35" t="str">
        <f t="shared" si="432"/>
        <v/>
      </c>
      <c r="F2765" s="31"/>
      <c r="G2765" s="29"/>
      <c r="H2765" s="78" t="str">
        <f t="shared" si="436"/>
        <v/>
      </c>
      <c r="I2765" s="25"/>
      <c r="J2765" s="25"/>
      <c r="K2765" s="26"/>
      <c r="L2765" s="26"/>
      <c r="M2765" s="37"/>
      <c r="N2765" s="27"/>
      <c r="O2765" s="30"/>
      <c r="P2765" s="39" t="str">
        <f t="shared" si="437"/>
        <v/>
      </c>
      <c r="Q2765" s="40" t="str">
        <f>IF(OR(T2765=0,RIGHT(T2765,1)=$W$1),"",COUNTIF($T$3:T2765,T2765))</f>
        <v/>
      </c>
      <c r="S2765" s="6">
        <f t="shared" si="438"/>
        <v>0</v>
      </c>
      <c r="T2765" s="36">
        <f t="shared" si="439"/>
        <v>0</v>
      </c>
      <c r="V2765" s="6">
        <f t="shared" si="440"/>
        <v>0</v>
      </c>
      <c r="Y2765" s="8">
        <f t="shared" si="441"/>
        <v>46023</v>
      </c>
    </row>
    <row r="2766" spans="2:25" ht="18.75" x14ac:dyDescent="0.3">
      <c r="B2766" s="6">
        <f t="shared" si="433"/>
        <v>0</v>
      </c>
      <c r="C2766" s="6">
        <f t="shared" si="434"/>
        <v>0</v>
      </c>
      <c r="D2766" s="6" t="str">
        <f t="shared" si="435"/>
        <v/>
      </c>
      <c r="E2766" s="35" t="str">
        <f t="shared" si="432"/>
        <v/>
      </c>
      <c r="F2766" s="31"/>
      <c r="G2766" s="29"/>
      <c r="H2766" s="78" t="str">
        <f t="shared" si="436"/>
        <v/>
      </c>
      <c r="I2766" s="25"/>
      <c r="J2766" s="25"/>
      <c r="K2766" s="26"/>
      <c r="L2766" s="26"/>
      <c r="M2766" s="37"/>
      <c r="N2766" s="27"/>
      <c r="O2766" s="30"/>
      <c r="P2766" s="39" t="str">
        <f t="shared" si="437"/>
        <v/>
      </c>
      <c r="Q2766" s="40" t="str">
        <f>IF(OR(T2766=0,RIGHT(T2766,1)=$W$1),"",COUNTIF($T$3:T2766,T2766))</f>
        <v/>
      </c>
      <c r="S2766" s="6">
        <f t="shared" si="438"/>
        <v>0</v>
      </c>
      <c r="T2766" s="36">
        <f t="shared" si="439"/>
        <v>0</v>
      </c>
      <c r="V2766" s="6">
        <f t="shared" si="440"/>
        <v>0</v>
      </c>
      <c r="Y2766" s="8">
        <f t="shared" si="441"/>
        <v>46023</v>
      </c>
    </row>
    <row r="2767" spans="2:25" ht="18.75" x14ac:dyDescent="0.3">
      <c r="B2767" s="6">
        <f t="shared" si="433"/>
        <v>0</v>
      </c>
      <c r="C2767" s="6">
        <f t="shared" si="434"/>
        <v>0</v>
      </c>
      <c r="D2767" s="6" t="str">
        <f t="shared" si="435"/>
        <v/>
      </c>
      <c r="E2767" s="35" t="str">
        <f t="shared" si="432"/>
        <v/>
      </c>
      <c r="F2767" s="31"/>
      <c r="G2767" s="29"/>
      <c r="H2767" s="78" t="str">
        <f t="shared" si="436"/>
        <v/>
      </c>
      <c r="I2767" s="25"/>
      <c r="J2767" s="25"/>
      <c r="K2767" s="26"/>
      <c r="L2767" s="26"/>
      <c r="M2767" s="37"/>
      <c r="N2767" s="27"/>
      <c r="O2767" s="30"/>
      <c r="P2767" s="39" t="str">
        <f t="shared" si="437"/>
        <v/>
      </c>
      <c r="Q2767" s="40" t="str">
        <f>IF(OR(T2767=0,RIGHT(T2767,1)=$W$1),"",COUNTIF($T$3:T2767,T2767))</f>
        <v/>
      </c>
      <c r="S2767" s="6">
        <f t="shared" si="438"/>
        <v>0</v>
      </c>
      <c r="T2767" s="36">
        <f t="shared" si="439"/>
        <v>0</v>
      </c>
      <c r="V2767" s="6">
        <f t="shared" si="440"/>
        <v>0</v>
      </c>
      <c r="Y2767" s="8">
        <f t="shared" si="441"/>
        <v>46023</v>
      </c>
    </row>
    <row r="2768" spans="2:25" ht="18.75" x14ac:dyDescent="0.3">
      <c r="B2768" s="6">
        <f t="shared" si="433"/>
        <v>0</v>
      </c>
      <c r="C2768" s="6">
        <f t="shared" si="434"/>
        <v>0</v>
      </c>
      <c r="D2768" s="6" t="str">
        <f t="shared" si="435"/>
        <v/>
      </c>
      <c r="E2768" s="35" t="str">
        <f t="shared" si="432"/>
        <v/>
      </c>
      <c r="F2768" s="31"/>
      <c r="G2768" s="29"/>
      <c r="H2768" s="78" t="str">
        <f t="shared" si="436"/>
        <v/>
      </c>
      <c r="I2768" s="25"/>
      <c r="J2768" s="25"/>
      <c r="K2768" s="26"/>
      <c r="L2768" s="26"/>
      <c r="M2768" s="37"/>
      <c r="N2768" s="27"/>
      <c r="O2768" s="30"/>
      <c r="P2768" s="39" t="str">
        <f t="shared" si="437"/>
        <v/>
      </c>
      <c r="Q2768" s="40" t="str">
        <f>IF(OR(T2768=0,RIGHT(T2768,1)=$W$1),"",COUNTIF($T$3:T2768,T2768))</f>
        <v/>
      </c>
      <c r="S2768" s="6">
        <f t="shared" si="438"/>
        <v>0</v>
      </c>
      <c r="T2768" s="36">
        <f t="shared" si="439"/>
        <v>0</v>
      </c>
      <c r="V2768" s="6">
        <f t="shared" si="440"/>
        <v>0</v>
      </c>
      <c r="Y2768" s="8">
        <f t="shared" si="441"/>
        <v>46023</v>
      </c>
    </row>
    <row r="2769" spans="2:25" ht="18.75" x14ac:dyDescent="0.3">
      <c r="B2769" s="6">
        <f t="shared" si="433"/>
        <v>0</v>
      </c>
      <c r="C2769" s="6">
        <f t="shared" si="434"/>
        <v>0</v>
      </c>
      <c r="D2769" s="6" t="str">
        <f t="shared" si="435"/>
        <v/>
      </c>
      <c r="E2769" s="35" t="str">
        <f t="shared" si="432"/>
        <v/>
      </c>
      <c r="F2769" s="31"/>
      <c r="G2769" s="29"/>
      <c r="H2769" s="78" t="str">
        <f t="shared" si="436"/>
        <v/>
      </c>
      <c r="I2769" s="25"/>
      <c r="J2769" s="25"/>
      <c r="K2769" s="26"/>
      <c r="L2769" s="26"/>
      <c r="M2769" s="37"/>
      <c r="N2769" s="27"/>
      <c r="O2769" s="30"/>
      <c r="P2769" s="39" t="str">
        <f t="shared" si="437"/>
        <v/>
      </c>
      <c r="Q2769" s="40" t="str">
        <f>IF(OR(T2769=0,RIGHT(T2769,1)=$W$1),"",COUNTIF($T$3:T2769,T2769))</f>
        <v/>
      </c>
      <c r="S2769" s="6">
        <f t="shared" si="438"/>
        <v>0</v>
      </c>
      <c r="T2769" s="36">
        <f t="shared" si="439"/>
        <v>0</v>
      </c>
      <c r="V2769" s="6">
        <f t="shared" si="440"/>
        <v>0</v>
      </c>
      <c r="Y2769" s="8">
        <f t="shared" si="441"/>
        <v>46023</v>
      </c>
    </row>
    <row r="2770" spans="2:25" ht="18.75" x14ac:dyDescent="0.3">
      <c r="B2770" s="6">
        <f t="shared" si="433"/>
        <v>0</v>
      </c>
      <c r="C2770" s="6">
        <f t="shared" si="434"/>
        <v>0</v>
      </c>
      <c r="D2770" s="6" t="str">
        <f t="shared" si="435"/>
        <v/>
      </c>
      <c r="E2770" s="35" t="str">
        <f t="shared" si="432"/>
        <v/>
      </c>
      <c r="F2770" s="31"/>
      <c r="G2770" s="29"/>
      <c r="H2770" s="78" t="str">
        <f t="shared" si="436"/>
        <v/>
      </c>
      <c r="I2770" s="25"/>
      <c r="J2770" s="25"/>
      <c r="K2770" s="26"/>
      <c r="L2770" s="26"/>
      <c r="M2770" s="37"/>
      <c r="N2770" s="27"/>
      <c r="O2770" s="30"/>
      <c r="P2770" s="39" t="str">
        <f t="shared" si="437"/>
        <v/>
      </c>
      <c r="Q2770" s="40" t="str">
        <f>IF(OR(T2770=0,RIGHT(T2770,1)=$W$1),"",COUNTIF($T$3:T2770,T2770))</f>
        <v/>
      </c>
      <c r="S2770" s="6">
        <f t="shared" si="438"/>
        <v>0</v>
      </c>
      <c r="T2770" s="36">
        <f t="shared" si="439"/>
        <v>0</v>
      </c>
      <c r="V2770" s="6">
        <f t="shared" si="440"/>
        <v>0</v>
      </c>
      <c r="Y2770" s="8">
        <f t="shared" si="441"/>
        <v>46023</v>
      </c>
    </row>
    <row r="2771" spans="2:25" ht="18.75" x14ac:dyDescent="0.3">
      <c r="B2771" s="6">
        <f t="shared" si="433"/>
        <v>0</v>
      </c>
      <c r="C2771" s="6">
        <f t="shared" si="434"/>
        <v>0</v>
      </c>
      <c r="D2771" s="6" t="str">
        <f t="shared" si="435"/>
        <v/>
      </c>
      <c r="E2771" s="35" t="str">
        <f t="shared" si="432"/>
        <v/>
      </c>
      <c r="F2771" s="31"/>
      <c r="G2771" s="29"/>
      <c r="H2771" s="78" t="str">
        <f t="shared" si="436"/>
        <v/>
      </c>
      <c r="I2771" s="25"/>
      <c r="J2771" s="25"/>
      <c r="K2771" s="26"/>
      <c r="L2771" s="26"/>
      <c r="M2771" s="37"/>
      <c r="N2771" s="27"/>
      <c r="O2771" s="30"/>
      <c r="P2771" s="39" t="str">
        <f t="shared" si="437"/>
        <v/>
      </c>
      <c r="Q2771" s="40" t="str">
        <f>IF(OR(T2771=0,RIGHT(T2771,1)=$W$1),"",COUNTIF($T$3:T2771,T2771))</f>
        <v/>
      </c>
      <c r="S2771" s="6">
        <f t="shared" si="438"/>
        <v>0</v>
      </c>
      <c r="T2771" s="36">
        <f t="shared" si="439"/>
        <v>0</v>
      </c>
      <c r="V2771" s="6">
        <f t="shared" si="440"/>
        <v>0</v>
      </c>
      <c r="Y2771" s="8">
        <f t="shared" si="441"/>
        <v>46023</v>
      </c>
    </row>
    <row r="2772" spans="2:25" ht="18.75" x14ac:dyDescent="0.3">
      <c r="B2772" s="6">
        <f t="shared" si="433"/>
        <v>0</v>
      </c>
      <c r="C2772" s="6">
        <f t="shared" si="434"/>
        <v>0</v>
      </c>
      <c r="D2772" s="6" t="str">
        <f t="shared" si="435"/>
        <v/>
      </c>
      <c r="E2772" s="35" t="str">
        <f t="shared" si="432"/>
        <v/>
      </c>
      <c r="F2772" s="31"/>
      <c r="G2772" s="29"/>
      <c r="H2772" s="78" t="str">
        <f t="shared" si="436"/>
        <v/>
      </c>
      <c r="I2772" s="25"/>
      <c r="J2772" s="25"/>
      <c r="K2772" s="26"/>
      <c r="L2772" s="26"/>
      <c r="M2772" s="37"/>
      <c r="N2772" s="27"/>
      <c r="O2772" s="30"/>
      <c r="P2772" s="39" t="str">
        <f t="shared" si="437"/>
        <v/>
      </c>
      <c r="Q2772" s="40" t="str">
        <f>IF(OR(T2772=0,RIGHT(T2772,1)=$W$1),"",COUNTIF($T$3:T2772,T2772))</f>
        <v/>
      </c>
      <c r="S2772" s="6">
        <f t="shared" si="438"/>
        <v>0</v>
      </c>
      <c r="T2772" s="36">
        <f t="shared" si="439"/>
        <v>0</v>
      </c>
      <c r="V2772" s="6">
        <f t="shared" si="440"/>
        <v>0</v>
      </c>
      <c r="Y2772" s="8">
        <f t="shared" si="441"/>
        <v>46023</v>
      </c>
    </row>
    <row r="2773" spans="2:25" ht="18.75" x14ac:dyDescent="0.3">
      <c r="B2773" s="6">
        <f t="shared" si="433"/>
        <v>0</v>
      </c>
      <c r="C2773" s="6">
        <f t="shared" si="434"/>
        <v>0</v>
      </c>
      <c r="D2773" s="6" t="str">
        <f t="shared" si="435"/>
        <v/>
      </c>
      <c r="E2773" s="35" t="str">
        <f t="shared" si="432"/>
        <v/>
      </c>
      <c r="F2773" s="31"/>
      <c r="G2773" s="29"/>
      <c r="H2773" s="78" t="str">
        <f t="shared" si="436"/>
        <v/>
      </c>
      <c r="I2773" s="25"/>
      <c r="J2773" s="25"/>
      <c r="K2773" s="26"/>
      <c r="L2773" s="26"/>
      <c r="M2773" s="37"/>
      <c r="N2773" s="27"/>
      <c r="O2773" s="30"/>
      <c r="P2773" s="39" t="str">
        <f t="shared" si="437"/>
        <v/>
      </c>
      <c r="Q2773" s="40" t="str">
        <f>IF(OR(T2773=0,RIGHT(T2773,1)=$W$1),"",COUNTIF($T$3:T2773,T2773))</f>
        <v/>
      </c>
      <c r="S2773" s="6">
        <f t="shared" si="438"/>
        <v>0</v>
      </c>
      <c r="T2773" s="36">
        <f t="shared" si="439"/>
        <v>0</v>
      </c>
      <c r="V2773" s="6">
        <f t="shared" si="440"/>
        <v>0</v>
      </c>
      <c r="Y2773" s="8">
        <f t="shared" si="441"/>
        <v>46023</v>
      </c>
    </row>
    <row r="2774" spans="2:25" ht="18.75" x14ac:dyDescent="0.3">
      <c r="B2774" s="6">
        <f t="shared" si="433"/>
        <v>0</v>
      </c>
      <c r="C2774" s="6">
        <f t="shared" si="434"/>
        <v>0</v>
      </c>
      <c r="D2774" s="6" t="str">
        <f t="shared" si="435"/>
        <v/>
      </c>
      <c r="E2774" s="35" t="str">
        <f t="shared" si="432"/>
        <v/>
      </c>
      <c r="F2774" s="31"/>
      <c r="G2774" s="29"/>
      <c r="H2774" s="78" t="str">
        <f t="shared" si="436"/>
        <v/>
      </c>
      <c r="I2774" s="25"/>
      <c r="J2774" s="25"/>
      <c r="K2774" s="26"/>
      <c r="L2774" s="26"/>
      <c r="M2774" s="37"/>
      <c r="N2774" s="27"/>
      <c r="O2774" s="30"/>
      <c r="P2774" s="39" t="str">
        <f t="shared" si="437"/>
        <v/>
      </c>
      <c r="Q2774" s="40" t="str">
        <f>IF(OR(T2774=0,RIGHT(T2774,1)=$W$1),"",COUNTIF($T$3:T2774,T2774))</f>
        <v/>
      </c>
      <c r="S2774" s="6">
        <f t="shared" si="438"/>
        <v>0</v>
      </c>
      <c r="T2774" s="36">
        <f t="shared" si="439"/>
        <v>0</v>
      </c>
      <c r="V2774" s="6">
        <f t="shared" si="440"/>
        <v>0</v>
      </c>
      <c r="Y2774" s="8">
        <f t="shared" si="441"/>
        <v>46023</v>
      </c>
    </row>
    <row r="2775" spans="2:25" ht="18.75" x14ac:dyDescent="0.3">
      <c r="B2775" s="6">
        <f t="shared" si="433"/>
        <v>0</v>
      </c>
      <c r="C2775" s="6">
        <f t="shared" si="434"/>
        <v>0</v>
      </c>
      <c r="D2775" s="6" t="str">
        <f t="shared" si="435"/>
        <v/>
      </c>
      <c r="E2775" s="35" t="str">
        <f t="shared" si="432"/>
        <v/>
      </c>
      <c r="F2775" s="31"/>
      <c r="G2775" s="29"/>
      <c r="H2775" s="78" t="str">
        <f t="shared" si="436"/>
        <v/>
      </c>
      <c r="I2775" s="25"/>
      <c r="J2775" s="25"/>
      <c r="K2775" s="26"/>
      <c r="L2775" s="26"/>
      <c r="M2775" s="37"/>
      <c r="N2775" s="27"/>
      <c r="O2775" s="30"/>
      <c r="P2775" s="39" t="str">
        <f t="shared" si="437"/>
        <v/>
      </c>
      <c r="Q2775" s="40" t="str">
        <f>IF(OR(T2775=0,RIGHT(T2775,1)=$W$1),"",COUNTIF($T$3:T2775,T2775))</f>
        <v/>
      </c>
      <c r="S2775" s="6">
        <f t="shared" si="438"/>
        <v>0</v>
      </c>
      <c r="T2775" s="36">
        <f t="shared" si="439"/>
        <v>0</v>
      </c>
      <c r="V2775" s="6">
        <f t="shared" si="440"/>
        <v>0</v>
      </c>
      <c r="Y2775" s="8">
        <f t="shared" si="441"/>
        <v>46023</v>
      </c>
    </row>
    <row r="2776" spans="2:25" ht="18.75" x14ac:dyDescent="0.3">
      <c r="B2776" s="6">
        <f t="shared" si="433"/>
        <v>0</v>
      </c>
      <c r="C2776" s="6">
        <f t="shared" si="434"/>
        <v>0</v>
      </c>
      <c r="D2776" s="6" t="str">
        <f t="shared" si="435"/>
        <v/>
      </c>
      <c r="E2776" s="35" t="str">
        <f t="shared" si="432"/>
        <v/>
      </c>
      <c r="F2776" s="31"/>
      <c r="G2776" s="29"/>
      <c r="H2776" s="78" t="str">
        <f t="shared" si="436"/>
        <v/>
      </c>
      <c r="I2776" s="25"/>
      <c r="J2776" s="25"/>
      <c r="K2776" s="26"/>
      <c r="L2776" s="26"/>
      <c r="M2776" s="37"/>
      <c r="N2776" s="27"/>
      <c r="O2776" s="30"/>
      <c r="P2776" s="39" t="str">
        <f t="shared" si="437"/>
        <v/>
      </c>
      <c r="Q2776" s="40" t="str">
        <f>IF(OR(T2776=0,RIGHT(T2776,1)=$W$1),"",COUNTIF($T$3:T2776,T2776))</f>
        <v/>
      </c>
      <c r="S2776" s="6">
        <f t="shared" si="438"/>
        <v>0</v>
      </c>
      <c r="T2776" s="36">
        <f t="shared" si="439"/>
        <v>0</v>
      </c>
      <c r="V2776" s="6">
        <f t="shared" si="440"/>
        <v>0</v>
      </c>
      <c r="Y2776" s="8">
        <f t="shared" si="441"/>
        <v>46023</v>
      </c>
    </row>
    <row r="2777" spans="2:25" ht="18.75" x14ac:dyDescent="0.3">
      <c r="B2777" s="6">
        <f t="shared" si="433"/>
        <v>0</v>
      </c>
      <c r="C2777" s="6">
        <f t="shared" si="434"/>
        <v>0</v>
      </c>
      <c r="D2777" s="6" t="str">
        <f t="shared" si="435"/>
        <v/>
      </c>
      <c r="E2777" s="35" t="str">
        <f t="shared" si="432"/>
        <v/>
      </c>
      <c r="F2777" s="31"/>
      <c r="G2777" s="29"/>
      <c r="H2777" s="78" t="str">
        <f t="shared" si="436"/>
        <v/>
      </c>
      <c r="I2777" s="25"/>
      <c r="J2777" s="25"/>
      <c r="K2777" s="26"/>
      <c r="L2777" s="26"/>
      <c r="M2777" s="37"/>
      <c r="N2777" s="27"/>
      <c r="O2777" s="30"/>
      <c r="P2777" s="39" t="str">
        <f t="shared" si="437"/>
        <v/>
      </c>
      <c r="Q2777" s="40" t="str">
        <f>IF(OR(T2777=0,RIGHT(T2777,1)=$W$1),"",COUNTIF($T$3:T2777,T2777))</f>
        <v/>
      </c>
      <c r="S2777" s="6">
        <f t="shared" si="438"/>
        <v>0</v>
      </c>
      <c r="T2777" s="36">
        <f t="shared" si="439"/>
        <v>0</v>
      </c>
      <c r="V2777" s="6">
        <f t="shared" si="440"/>
        <v>0</v>
      </c>
      <c r="Y2777" s="8">
        <f t="shared" si="441"/>
        <v>46023</v>
      </c>
    </row>
    <row r="2778" spans="2:25" ht="18.75" x14ac:dyDescent="0.3">
      <c r="B2778" s="6">
        <f t="shared" si="433"/>
        <v>0</v>
      </c>
      <c r="C2778" s="6">
        <f t="shared" si="434"/>
        <v>0</v>
      </c>
      <c r="D2778" s="6" t="str">
        <f t="shared" si="435"/>
        <v/>
      </c>
      <c r="E2778" s="35" t="str">
        <f t="shared" si="432"/>
        <v/>
      </c>
      <c r="F2778" s="31"/>
      <c r="G2778" s="29"/>
      <c r="H2778" s="78" t="str">
        <f t="shared" si="436"/>
        <v/>
      </c>
      <c r="I2778" s="25"/>
      <c r="J2778" s="25"/>
      <c r="K2778" s="26"/>
      <c r="L2778" s="26"/>
      <c r="M2778" s="37"/>
      <c r="N2778" s="27"/>
      <c r="O2778" s="30"/>
      <c r="P2778" s="39" t="str">
        <f t="shared" si="437"/>
        <v/>
      </c>
      <c r="Q2778" s="40" t="str">
        <f>IF(OR(T2778=0,RIGHT(T2778,1)=$W$1),"",COUNTIF($T$3:T2778,T2778))</f>
        <v/>
      </c>
      <c r="S2778" s="6">
        <f t="shared" si="438"/>
        <v>0</v>
      </c>
      <c r="T2778" s="36">
        <f t="shared" si="439"/>
        <v>0</v>
      </c>
      <c r="V2778" s="6">
        <f t="shared" si="440"/>
        <v>0</v>
      </c>
      <c r="Y2778" s="8">
        <f t="shared" si="441"/>
        <v>46023</v>
      </c>
    </row>
    <row r="2779" spans="2:25" ht="18.75" x14ac:dyDescent="0.3">
      <c r="B2779" s="6">
        <f t="shared" si="433"/>
        <v>0</v>
      </c>
      <c r="C2779" s="6">
        <f t="shared" si="434"/>
        <v>0</v>
      </c>
      <c r="D2779" s="6" t="str">
        <f t="shared" si="435"/>
        <v/>
      </c>
      <c r="E2779" s="35" t="str">
        <f t="shared" si="432"/>
        <v/>
      </c>
      <c r="F2779" s="31"/>
      <c r="G2779" s="29"/>
      <c r="H2779" s="78" t="str">
        <f t="shared" si="436"/>
        <v/>
      </c>
      <c r="I2779" s="25"/>
      <c r="J2779" s="25"/>
      <c r="K2779" s="26"/>
      <c r="L2779" s="26"/>
      <c r="M2779" s="37"/>
      <c r="N2779" s="27"/>
      <c r="O2779" s="30"/>
      <c r="P2779" s="39" t="str">
        <f t="shared" si="437"/>
        <v/>
      </c>
      <c r="Q2779" s="40" t="str">
        <f>IF(OR(T2779=0,RIGHT(T2779,1)=$W$1),"",COUNTIF($T$3:T2779,T2779))</f>
        <v/>
      </c>
      <c r="S2779" s="6">
        <f t="shared" si="438"/>
        <v>0</v>
      </c>
      <c r="T2779" s="36">
        <f t="shared" si="439"/>
        <v>0</v>
      </c>
      <c r="V2779" s="6">
        <f t="shared" si="440"/>
        <v>0</v>
      </c>
      <c r="Y2779" s="8">
        <f t="shared" si="441"/>
        <v>46023</v>
      </c>
    </row>
    <row r="2780" spans="2:25" ht="18.75" x14ac:dyDescent="0.3">
      <c r="B2780" s="6">
        <f t="shared" si="433"/>
        <v>0</v>
      </c>
      <c r="C2780" s="6">
        <f t="shared" si="434"/>
        <v>0</v>
      </c>
      <c r="D2780" s="6" t="str">
        <f t="shared" si="435"/>
        <v/>
      </c>
      <c r="E2780" s="35" t="str">
        <f t="shared" si="432"/>
        <v/>
      </c>
      <c r="F2780" s="31"/>
      <c r="G2780" s="29"/>
      <c r="H2780" s="78" t="str">
        <f t="shared" si="436"/>
        <v/>
      </c>
      <c r="I2780" s="25"/>
      <c r="J2780" s="25"/>
      <c r="K2780" s="26"/>
      <c r="L2780" s="26"/>
      <c r="M2780" s="37"/>
      <c r="N2780" s="27"/>
      <c r="O2780" s="30"/>
      <c r="P2780" s="39" t="str">
        <f t="shared" si="437"/>
        <v/>
      </c>
      <c r="Q2780" s="40" t="str">
        <f>IF(OR(T2780=0,RIGHT(T2780,1)=$W$1),"",COUNTIF($T$3:T2780,T2780))</f>
        <v/>
      </c>
      <c r="S2780" s="6">
        <f t="shared" si="438"/>
        <v>0</v>
      </c>
      <c r="T2780" s="36">
        <f t="shared" si="439"/>
        <v>0</v>
      </c>
      <c r="V2780" s="6">
        <f t="shared" si="440"/>
        <v>0</v>
      </c>
      <c r="Y2780" s="8">
        <f t="shared" si="441"/>
        <v>46023</v>
      </c>
    </row>
    <row r="2781" spans="2:25" ht="18.75" x14ac:dyDescent="0.3">
      <c r="B2781" s="6">
        <f t="shared" si="433"/>
        <v>0</v>
      </c>
      <c r="C2781" s="6">
        <f t="shared" si="434"/>
        <v>0</v>
      </c>
      <c r="D2781" s="6" t="str">
        <f t="shared" si="435"/>
        <v/>
      </c>
      <c r="E2781" s="35" t="str">
        <f t="shared" si="432"/>
        <v/>
      </c>
      <c r="F2781" s="31"/>
      <c r="G2781" s="29"/>
      <c r="H2781" s="78" t="str">
        <f t="shared" si="436"/>
        <v/>
      </c>
      <c r="I2781" s="25"/>
      <c r="J2781" s="25"/>
      <c r="K2781" s="26"/>
      <c r="L2781" s="26"/>
      <c r="M2781" s="37"/>
      <c r="N2781" s="27"/>
      <c r="O2781" s="30"/>
      <c r="P2781" s="39" t="str">
        <f t="shared" si="437"/>
        <v/>
      </c>
      <c r="Q2781" s="40" t="str">
        <f>IF(OR(T2781=0,RIGHT(T2781,1)=$W$1),"",COUNTIF($T$3:T2781,T2781))</f>
        <v/>
      </c>
      <c r="S2781" s="6">
        <f t="shared" si="438"/>
        <v>0</v>
      </c>
      <c r="T2781" s="36">
        <f t="shared" si="439"/>
        <v>0</v>
      </c>
      <c r="V2781" s="6">
        <f t="shared" si="440"/>
        <v>0</v>
      </c>
      <c r="Y2781" s="8">
        <f t="shared" si="441"/>
        <v>46023</v>
      </c>
    </row>
    <row r="2782" spans="2:25" ht="18.75" x14ac:dyDescent="0.3">
      <c r="B2782" s="6">
        <f t="shared" si="433"/>
        <v>0</v>
      </c>
      <c r="C2782" s="6">
        <f t="shared" si="434"/>
        <v>0</v>
      </c>
      <c r="D2782" s="6" t="str">
        <f t="shared" si="435"/>
        <v/>
      </c>
      <c r="E2782" s="35" t="str">
        <f t="shared" si="432"/>
        <v/>
      </c>
      <c r="F2782" s="31"/>
      <c r="G2782" s="29"/>
      <c r="H2782" s="78" t="str">
        <f t="shared" si="436"/>
        <v/>
      </c>
      <c r="I2782" s="25"/>
      <c r="J2782" s="25"/>
      <c r="K2782" s="26"/>
      <c r="L2782" s="26"/>
      <c r="M2782" s="37"/>
      <c r="N2782" s="27"/>
      <c r="O2782" s="30"/>
      <c r="P2782" s="39" t="str">
        <f t="shared" si="437"/>
        <v/>
      </c>
      <c r="Q2782" s="40" t="str">
        <f>IF(OR(T2782=0,RIGHT(T2782,1)=$W$1),"",COUNTIF($T$3:T2782,T2782))</f>
        <v/>
      </c>
      <c r="S2782" s="6">
        <f t="shared" si="438"/>
        <v>0</v>
      </c>
      <c r="T2782" s="36">
        <f t="shared" si="439"/>
        <v>0</v>
      </c>
      <c r="V2782" s="6">
        <f t="shared" si="440"/>
        <v>0</v>
      </c>
      <c r="Y2782" s="8">
        <f t="shared" si="441"/>
        <v>46023</v>
      </c>
    </row>
    <row r="2783" spans="2:25" ht="18.75" x14ac:dyDescent="0.3">
      <c r="B2783" s="6">
        <f t="shared" si="433"/>
        <v>0</v>
      </c>
      <c r="C2783" s="6">
        <f t="shared" si="434"/>
        <v>0</v>
      </c>
      <c r="D2783" s="6" t="str">
        <f t="shared" si="435"/>
        <v/>
      </c>
      <c r="E2783" s="35" t="str">
        <f t="shared" si="432"/>
        <v/>
      </c>
      <c r="F2783" s="31"/>
      <c r="G2783" s="29"/>
      <c r="H2783" s="78" t="str">
        <f t="shared" si="436"/>
        <v/>
      </c>
      <c r="I2783" s="25"/>
      <c r="J2783" s="25"/>
      <c r="K2783" s="26"/>
      <c r="L2783" s="26"/>
      <c r="M2783" s="37"/>
      <c r="N2783" s="27"/>
      <c r="O2783" s="30"/>
      <c r="P2783" s="39" t="str">
        <f t="shared" si="437"/>
        <v/>
      </c>
      <c r="Q2783" s="40" t="str">
        <f>IF(OR(T2783=0,RIGHT(T2783,1)=$W$1),"",COUNTIF($T$3:T2783,T2783))</f>
        <v/>
      </c>
      <c r="S2783" s="6">
        <f t="shared" si="438"/>
        <v>0</v>
      </c>
      <c r="T2783" s="36">
        <f t="shared" si="439"/>
        <v>0</v>
      </c>
      <c r="V2783" s="6">
        <f t="shared" si="440"/>
        <v>0</v>
      </c>
      <c r="Y2783" s="8">
        <f t="shared" si="441"/>
        <v>46023</v>
      </c>
    </row>
    <row r="2784" spans="2:25" ht="18.75" x14ac:dyDescent="0.3">
      <c r="B2784" s="6">
        <f t="shared" si="433"/>
        <v>0</v>
      </c>
      <c r="C2784" s="6">
        <f t="shared" si="434"/>
        <v>0</v>
      </c>
      <c r="D2784" s="6" t="str">
        <f t="shared" si="435"/>
        <v/>
      </c>
      <c r="E2784" s="35" t="str">
        <f t="shared" si="432"/>
        <v/>
      </c>
      <c r="F2784" s="31"/>
      <c r="G2784" s="29"/>
      <c r="H2784" s="78" t="str">
        <f t="shared" si="436"/>
        <v/>
      </c>
      <c r="I2784" s="25"/>
      <c r="J2784" s="25"/>
      <c r="K2784" s="26"/>
      <c r="L2784" s="26"/>
      <c r="M2784" s="37"/>
      <c r="N2784" s="27"/>
      <c r="O2784" s="30"/>
      <c r="P2784" s="39" t="str">
        <f t="shared" si="437"/>
        <v/>
      </c>
      <c r="Q2784" s="40" t="str">
        <f>IF(OR(T2784=0,RIGHT(T2784,1)=$W$1),"",COUNTIF($T$3:T2784,T2784))</f>
        <v/>
      </c>
      <c r="S2784" s="6">
        <f t="shared" si="438"/>
        <v>0</v>
      </c>
      <c r="T2784" s="36">
        <f t="shared" si="439"/>
        <v>0</v>
      </c>
      <c r="V2784" s="6">
        <f t="shared" si="440"/>
        <v>0</v>
      </c>
      <c r="Y2784" s="8">
        <f t="shared" si="441"/>
        <v>46023</v>
      </c>
    </row>
    <row r="2785" spans="2:25" ht="18.75" x14ac:dyDescent="0.3">
      <c r="B2785" s="6">
        <f t="shared" si="433"/>
        <v>0</v>
      </c>
      <c r="C2785" s="6">
        <f t="shared" si="434"/>
        <v>0</v>
      </c>
      <c r="D2785" s="6" t="str">
        <f t="shared" si="435"/>
        <v/>
      </c>
      <c r="E2785" s="35" t="str">
        <f t="shared" si="432"/>
        <v/>
      </c>
      <c r="F2785" s="31"/>
      <c r="G2785" s="29"/>
      <c r="H2785" s="78" t="str">
        <f t="shared" si="436"/>
        <v/>
      </c>
      <c r="I2785" s="25"/>
      <c r="J2785" s="25"/>
      <c r="K2785" s="26"/>
      <c r="L2785" s="26"/>
      <c r="M2785" s="37"/>
      <c r="N2785" s="27"/>
      <c r="O2785" s="30"/>
      <c r="P2785" s="39" t="str">
        <f t="shared" si="437"/>
        <v/>
      </c>
      <c r="Q2785" s="40" t="str">
        <f>IF(OR(T2785=0,RIGHT(T2785,1)=$W$1),"",COUNTIF($T$3:T2785,T2785))</f>
        <v/>
      </c>
      <c r="S2785" s="6">
        <f t="shared" si="438"/>
        <v>0</v>
      </c>
      <c r="T2785" s="36">
        <f t="shared" si="439"/>
        <v>0</v>
      </c>
      <c r="V2785" s="6">
        <f t="shared" si="440"/>
        <v>0</v>
      </c>
      <c r="Y2785" s="8">
        <f t="shared" si="441"/>
        <v>46023</v>
      </c>
    </row>
    <row r="2786" spans="2:25" ht="18.75" x14ac:dyDescent="0.3">
      <c r="B2786" s="6">
        <f t="shared" si="433"/>
        <v>0</v>
      </c>
      <c r="C2786" s="6">
        <f t="shared" si="434"/>
        <v>0</v>
      </c>
      <c r="D2786" s="6" t="str">
        <f t="shared" si="435"/>
        <v/>
      </c>
      <c r="E2786" s="35" t="str">
        <f t="shared" si="432"/>
        <v/>
      </c>
      <c r="F2786" s="31"/>
      <c r="G2786" s="29"/>
      <c r="H2786" s="78" t="str">
        <f t="shared" si="436"/>
        <v/>
      </c>
      <c r="I2786" s="25"/>
      <c r="J2786" s="25"/>
      <c r="K2786" s="26"/>
      <c r="L2786" s="26"/>
      <c r="M2786" s="37"/>
      <c r="N2786" s="27"/>
      <c r="O2786" s="30"/>
      <c r="P2786" s="39" t="str">
        <f t="shared" si="437"/>
        <v/>
      </c>
      <c r="Q2786" s="40" t="str">
        <f>IF(OR(T2786=0,RIGHT(T2786,1)=$W$1),"",COUNTIF($T$3:T2786,T2786))</f>
        <v/>
      </c>
      <c r="S2786" s="6">
        <f t="shared" si="438"/>
        <v>0</v>
      </c>
      <c r="T2786" s="36">
        <f t="shared" si="439"/>
        <v>0</v>
      </c>
      <c r="V2786" s="6">
        <f t="shared" si="440"/>
        <v>0</v>
      </c>
      <c r="Y2786" s="8">
        <f t="shared" si="441"/>
        <v>46023</v>
      </c>
    </row>
    <row r="2787" spans="2:25" ht="18.75" x14ac:dyDescent="0.3">
      <c r="B2787" s="6">
        <f t="shared" si="433"/>
        <v>0</v>
      </c>
      <c r="C2787" s="6">
        <f t="shared" si="434"/>
        <v>0</v>
      </c>
      <c r="D2787" s="6" t="str">
        <f t="shared" si="435"/>
        <v/>
      </c>
      <c r="E2787" s="35" t="str">
        <f t="shared" si="432"/>
        <v/>
      </c>
      <c r="F2787" s="31"/>
      <c r="G2787" s="29"/>
      <c r="H2787" s="78" t="str">
        <f t="shared" si="436"/>
        <v/>
      </c>
      <c r="I2787" s="25"/>
      <c r="J2787" s="25"/>
      <c r="K2787" s="26"/>
      <c r="L2787" s="26"/>
      <c r="M2787" s="37"/>
      <c r="N2787" s="27"/>
      <c r="O2787" s="30"/>
      <c r="P2787" s="39" t="str">
        <f t="shared" si="437"/>
        <v/>
      </c>
      <c r="Q2787" s="40" t="str">
        <f>IF(OR(T2787=0,RIGHT(T2787,1)=$W$1),"",COUNTIF($T$3:T2787,T2787))</f>
        <v/>
      </c>
      <c r="S2787" s="6">
        <f t="shared" si="438"/>
        <v>0</v>
      </c>
      <c r="T2787" s="36">
        <f t="shared" si="439"/>
        <v>0</v>
      </c>
      <c r="V2787" s="6">
        <f t="shared" si="440"/>
        <v>0</v>
      </c>
      <c r="Y2787" s="8">
        <f t="shared" si="441"/>
        <v>46023</v>
      </c>
    </row>
    <row r="2788" spans="2:25" ht="18.75" x14ac:dyDescent="0.3">
      <c r="B2788" s="6">
        <f t="shared" si="433"/>
        <v>0</v>
      </c>
      <c r="C2788" s="6">
        <f t="shared" si="434"/>
        <v>0</v>
      </c>
      <c r="D2788" s="6" t="str">
        <f t="shared" si="435"/>
        <v/>
      </c>
      <c r="E2788" s="35" t="str">
        <f t="shared" si="432"/>
        <v/>
      </c>
      <c r="F2788" s="31"/>
      <c r="G2788" s="29"/>
      <c r="H2788" s="78" t="str">
        <f t="shared" si="436"/>
        <v/>
      </c>
      <c r="I2788" s="25"/>
      <c r="J2788" s="25"/>
      <c r="K2788" s="26"/>
      <c r="L2788" s="26"/>
      <c r="M2788" s="37"/>
      <c r="N2788" s="27"/>
      <c r="O2788" s="30"/>
      <c r="P2788" s="39" t="str">
        <f t="shared" si="437"/>
        <v/>
      </c>
      <c r="Q2788" s="40" t="str">
        <f>IF(OR(T2788=0,RIGHT(T2788,1)=$W$1),"",COUNTIF($T$3:T2788,T2788))</f>
        <v/>
      </c>
      <c r="S2788" s="6">
        <f t="shared" si="438"/>
        <v>0</v>
      </c>
      <c r="T2788" s="36">
        <f t="shared" si="439"/>
        <v>0</v>
      </c>
      <c r="V2788" s="6">
        <f t="shared" si="440"/>
        <v>0</v>
      </c>
      <c r="Y2788" s="8">
        <f t="shared" si="441"/>
        <v>46023</v>
      </c>
    </row>
    <row r="2789" spans="2:25" ht="18.75" x14ac:dyDescent="0.3">
      <c r="B2789" s="6">
        <f t="shared" si="433"/>
        <v>0</v>
      </c>
      <c r="C2789" s="6">
        <f t="shared" si="434"/>
        <v>0</v>
      </c>
      <c r="D2789" s="6" t="str">
        <f t="shared" si="435"/>
        <v/>
      </c>
      <c r="E2789" s="35" t="str">
        <f t="shared" si="432"/>
        <v/>
      </c>
      <c r="F2789" s="31"/>
      <c r="G2789" s="29"/>
      <c r="H2789" s="78" t="str">
        <f t="shared" si="436"/>
        <v/>
      </c>
      <c r="I2789" s="25"/>
      <c r="J2789" s="25"/>
      <c r="K2789" s="26"/>
      <c r="L2789" s="26"/>
      <c r="M2789" s="37"/>
      <c r="N2789" s="27"/>
      <c r="O2789" s="30"/>
      <c r="P2789" s="39" t="str">
        <f t="shared" si="437"/>
        <v/>
      </c>
      <c r="Q2789" s="40" t="str">
        <f>IF(OR(T2789=0,RIGHT(T2789,1)=$W$1),"",COUNTIF($T$3:T2789,T2789))</f>
        <v/>
      </c>
      <c r="S2789" s="6">
        <f t="shared" si="438"/>
        <v>0</v>
      </c>
      <c r="T2789" s="36">
        <f t="shared" si="439"/>
        <v>0</v>
      </c>
      <c r="V2789" s="6">
        <f t="shared" si="440"/>
        <v>0</v>
      </c>
      <c r="Y2789" s="8">
        <f t="shared" si="441"/>
        <v>46023</v>
      </c>
    </row>
    <row r="2790" spans="2:25" ht="18.75" x14ac:dyDescent="0.3">
      <c r="B2790" s="6">
        <f t="shared" si="433"/>
        <v>0</v>
      </c>
      <c r="C2790" s="6">
        <f t="shared" si="434"/>
        <v>0</v>
      </c>
      <c r="D2790" s="6" t="str">
        <f t="shared" si="435"/>
        <v/>
      </c>
      <c r="E2790" s="35" t="str">
        <f t="shared" si="432"/>
        <v/>
      </c>
      <c r="F2790" s="31"/>
      <c r="G2790" s="29"/>
      <c r="H2790" s="78" t="str">
        <f t="shared" si="436"/>
        <v/>
      </c>
      <c r="I2790" s="25"/>
      <c r="J2790" s="25"/>
      <c r="K2790" s="26"/>
      <c r="L2790" s="26"/>
      <c r="M2790" s="37"/>
      <c r="N2790" s="27"/>
      <c r="O2790" s="30"/>
      <c r="P2790" s="39" t="str">
        <f t="shared" si="437"/>
        <v/>
      </c>
      <c r="Q2790" s="40" t="str">
        <f>IF(OR(T2790=0,RIGHT(T2790,1)=$W$1),"",COUNTIF($T$3:T2790,T2790))</f>
        <v/>
      </c>
      <c r="S2790" s="6">
        <f t="shared" si="438"/>
        <v>0</v>
      </c>
      <c r="T2790" s="36">
        <f t="shared" si="439"/>
        <v>0</v>
      </c>
      <c r="V2790" s="6">
        <f t="shared" si="440"/>
        <v>0</v>
      </c>
      <c r="Y2790" s="8">
        <f t="shared" si="441"/>
        <v>46023</v>
      </c>
    </row>
    <row r="2791" spans="2:25" ht="18.75" x14ac:dyDescent="0.3">
      <c r="B2791" s="6">
        <f t="shared" si="433"/>
        <v>0</v>
      </c>
      <c r="C2791" s="6">
        <f t="shared" si="434"/>
        <v>0</v>
      </c>
      <c r="D2791" s="6" t="str">
        <f t="shared" si="435"/>
        <v/>
      </c>
      <c r="E2791" s="35" t="str">
        <f t="shared" si="432"/>
        <v/>
      </c>
      <c r="F2791" s="31"/>
      <c r="G2791" s="29"/>
      <c r="H2791" s="78" t="str">
        <f t="shared" si="436"/>
        <v/>
      </c>
      <c r="I2791" s="25"/>
      <c r="J2791" s="25"/>
      <c r="K2791" s="26"/>
      <c r="L2791" s="26"/>
      <c r="M2791" s="37"/>
      <c r="N2791" s="27"/>
      <c r="O2791" s="30"/>
      <c r="P2791" s="39" t="str">
        <f t="shared" si="437"/>
        <v/>
      </c>
      <c r="Q2791" s="40" t="str">
        <f>IF(OR(T2791=0,RIGHT(T2791,1)=$W$1),"",COUNTIF($T$3:T2791,T2791))</f>
        <v/>
      </c>
      <c r="S2791" s="6">
        <f t="shared" si="438"/>
        <v>0</v>
      </c>
      <c r="T2791" s="36">
        <f t="shared" si="439"/>
        <v>0</v>
      </c>
      <c r="V2791" s="6">
        <f t="shared" si="440"/>
        <v>0</v>
      </c>
      <c r="Y2791" s="8">
        <f t="shared" si="441"/>
        <v>46023</v>
      </c>
    </row>
    <row r="2792" spans="2:25" ht="18.75" x14ac:dyDescent="0.3">
      <c r="B2792" s="6">
        <f t="shared" si="433"/>
        <v>0</v>
      </c>
      <c r="C2792" s="6">
        <f t="shared" si="434"/>
        <v>0</v>
      </c>
      <c r="D2792" s="6" t="str">
        <f t="shared" si="435"/>
        <v/>
      </c>
      <c r="E2792" s="35" t="str">
        <f t="shared" si="432"/>
        <v/>
      </c>
      <c r="F2792" s="31"/>
      <c r="G2792" s="29"/>
      <c r="H2792" s="78" t="str">
        <f t="shared" si="436"/>
        <v/>
      </c>
      <c r="I2792" s="25"/>
      <c r="J2792" s="25"/>
      <c r="K2792" s="26"/>
      <c r="L2792" s="26"/>
      <c r="M2792" s="37"/>
      <c r="N2792" s="27"/>
      <c r="O2792" s="30"/>
      <c r="P2792" s="39" t="str">
        <f t="shared" si="437"/>
        <v/>
      </c>
      <c r="Q2792" s="40" t="str">
        <f>IF(OR(T2792=0,RIGHT(T2792,1)=$W$1),"",COUNTIF($T$3:T2792,T2792))</f>
        <v/>
      </c>
      <c r="S2792" s="6">
        <f t="shared" si="438"/>
        <v>0</v>
      </c>
      <c r="T2792" s="36">
        <f t="shared" si="439"/>
        <v>0</v>
      </c>
      <c r="V2792" s="6">
        <f t="shared" si="440"/>
        <v>0</v>
      </c>
      <c r="Y2792" s="8">
        <f t="shared" si="441"/>
        <v>46023</v>
      </c>
    </row>
    <row r="2793" spans="2:25" ht="18.75" x14ac:dyDescent="0.3">
      <c r="B2793" s="6">
        <f t="shared" si="433"/>
        <v>0</v>
      </c>
      <c r="C2793" s="6">
        <f t="shared" si="434"/>
        <v>0</v>
      </c>
      <c r="D2793" s="6" t="str">
        <f t="shared" si="435"/>
        <v/>
      </c>
      <c r="E2793" s="35" t="str">
        <f t="shared" si="432"/>
        <v/>
      </c>
      <c r="F2793" s="31"/>
      <c r="G2793" s="29"/>
      <c r="H2793" s="78" t="str">
        <f t="shared" si="436"/>
        <v/>
      </c>
      <c r="I2793" s="25"/>
      <c r="J2793" s="25"/>
      <c r="K2793" s="26"/>
      <c r="L2793" s="26"/>
      <c r="M2793" s="37"/>
      <c r="N2793" s="27"/>
      <c r="O2793" s="30"/>
      <c r="P2793" s="39" t="str">
        <f t="shared" si="437"/>
        <v/>
      </c>
      <c r="Q2793" s="40" t="str">
        <f>IF(OR(T2793=0,RIGHT(T2793,1)=$W$1),"",COUNTIF($T$3:T2793,T2793))</f>
        <v/>
      </c>
      <c r="S2793" s="6">
        <f t="shared" si="438"/>
        <v>0</v>
      </c>
      <c r="T2793" s="36">
        <f t="shared" si="439"/>
        <v>0</v>
      </c>
      <c r="V2793" s="6">
        <f t="shared" si="440"/>
        <v>0</v>
      </c>
      <c r="Y2793" s="8">
        <f t="shared" si="441"/>
        <v>46023</v>
      </c>
    </row>
    <row r="2794" spans="2:25" ht="18.75" x14ac:dyDescent="0.3">
      <c r="B2794" s="6">
        <f t="shared" si="433"/>
        <v>0</v>
      </c>
      <c r="C2794" s="6">
        <f t="shared" si="434"/>
        <v>0</v>
      </c>
      <c r="D2794" s="6" t="str">
        <f t="shared" si="435"/>
        <v/>
      </c>
      <c r="E2794" s="35" t="str">
        <f t="shared" si="432"/>
        <v/>
      </c>
      <c r="F2794" s="31"/>
      <c r="G2794" s="29"/>
      <c r="H2794" s="78" t="str">
        <f t="shared" si="436"/>
        <v/>
      </c>
      <c r="I2794" s="25"/>
      <c r="J2794" s="25"/>
      <c r="K2794" s="26"/>
      <c r="L2794" s="26"/>
      <c r="M2794" s="37"/>
      <c r="N2794" s="27"/>
      <c r="O2794" s="30"/>
      <c r="P2794" s="39" t="str">
        <f t="shared" si="437"/>
        <v/>
      </c>
      <c r="Q2794" s="40" t="str">
        <f>IF(OR(T2794=0,RIGHT(T2794,1)=$W$1),"",COUNTIF($T$3:T2794,T2794))</f>
        <v/>
      </c>
      <c r="S2794" s="6">
        <f t="shared" si="438"/>
        <v>0</v>
      </c>
      <c r="T2794" s="36">
        <f t="shared" si="439"/>
        <v>0</v>
      </c>
      <c r="V2794" s="6">
        <f t="shared" si="440"/>
        <v>0</v>
      </c>
      <c r="Y2794" s="8">
        <f t="shared" si="441"/>
        <v>46023</v>
      </c>
    </row>
    <row r="2795" spans="2:25" ht="18.75" x14ac:dyDescent="0.3">
      <c r="B2795" s="6">
        <f t="shared" si="433"/>
        <v>0</v>
      </c>
      <c r="C2795" s="6">
        <f t="shared" si="434"/>
        <v>0</v>
      </c>
      <c r="D2795" s="6" t="str">
        <f t="shared" si="435"/>
        <v/>
      </c>
      <c r="E2795" s="35" t="str">
        <f t="shared" si="432"/>
        <v/>
      </c>
      <c r="F2795" s="31"/>
      <c r="G2795" s="29"/>
      <c r="H2795" s="78" t="str">
        <f t="shared" si="436"/>
        <v/>
      </c>
      <c r="I2795" s="25"/>
      <c r="J2795" s="25"/>
      <c r="K2795" s="26"/>
      <c r="L2795" s="26"/>
      <c r="M2795" s="37"/>
      <c r="N2795" s="27"/>
      <c r="O2795" s="30"/>
      <c r="P2795" s="39" t="str">
        <f t="shared" si="437"/>
        <v/>
      </c>
      <c r="Q2795" s="40" t="str">
        <f>IF(OR(T2795=0,RIGHT(T2795,1)=$W$1),"",COUNTIF($T$3:T2795,T2795))</f>
        <v/>
      </c>
      <c r="S2795" s="6">
        <f t="shared" si="438"/>
        <v>0</v>
      </c>
      <c r="T2795" s="36">
        <f t="shared" si="439"/>
        <v>0</v>
      </c>
      <c r="V2795" s="6">
        <f t="shared" si="440"/>
        <v>0</v>
      </c>
      <c r="Y2795" s="8">
        <f t="shared" si="441"/>
        <v>46023</v>
      </c>
    </row>
    <row r="2796" spans="2:25" ht="18.75" x14ac:dyDescent="0.3">
      <c r="B2796" s="6">
        <f t="shared" si="433"/>
        <v>0</v>
      </c>
      <c r="C2796" s="6">
        <f t="shared" si="434"/>
        <v>0</v>
      </c>
      <c r="D2796" s="6" t="str">
        <f t="shared" si="435"/>
        <v/>
      </c>
      <c r="E2796" s="35" t="str">
        <f t="shared" si="432"/>
        <v/>
      </c>
      <c r="F2796" s="31"/>
      <c r="G2796" s="29"/>
      <c r="H2796" s="78" t="str">
        <f t="shared" si="436"/>
        <v/>
      </c>
      <c r="I2796" s="25"/>
      <c r="J2796" s="25"/>
      <c r="K2796" s="26"/>
      <c r="L2796" s="26"/>
      <c r="M2796" s="37"/>
      <c r="N2796" s="27"/>
      <c r="O2796" s="30"/>
      <c r="P2796" s="39" t="str">
        <f t="shared" si="437"/>
        <v/>
      </c>
      <c r="Q2796" s="40" t="str">
        <f>IF(OR(T2796=0,RIGHT(T2796,1)=$W$1),"",COUNTIF($T$3:T2796,T2796))</f>
        <v/>
      </c>
      <c r="S2796" s="6">
        <f t="shared" si="438"/>
        <v>0</v>
      </c>
      <c r="T2796" s="36">
        <f t="shared" si="439"/>
        <v>0</v>
      </c>
      <c r="V2796" s="6">
        <f t="shared" si="440"/>
        <v>0</v>
      </c>
      <c r="Y2796" s="8">
        <f t="shared" si="441"/>
        <v>46023</v>
      </c>
    </row>
    <row r="2797" spans="2:25" ht="18.75" x14ac:dyDescent="0.3">
      <c r="B2797" s="6">
        <f t="shared" si="433"/>
        <v>0</v>
      </c>
      <c r="C2797" s="6">
        <f t="shared" si="434"/>
        <v>0</v>
      </c>
      <c r="D2797" s="6" t="str">
        <f t="shared" si="435"/>
        <v/>
      </c>
      <c r="E2797" s="35" t="str">
        <f t="shared" si="432"/>
        <v/>
      </c>
      <c r="F2797" s="31"/>
      <c r="G2797" s="29"/>
      <c r="H2797" s="78" t="str">
        <f t="shared" si="436"/>
        <v/>
      </c>
      <c r="I2797" s="25"/>
      <c r="J2797" s="25"/>
      <c r="K2797" s="26"/>
      <c r="L2797" s="26"/>
      <c r="M2797" s="37"/>
      <c r="N2797" s="27"/>
      <c r="O2797" s="30"/>
      <c r="P2797" s="39" t="str">
        <f t="shared" si="437"/>
        <v/>
      </c>
      <c r="Q2797" s="40" t="str">
        <f>IF(OR(T2797=0,RIGHT(T2797,1)=$W$1),"",COUNTIF($T$3:T2797,T2797))</f>
        <v/>
      </c>
      <c r="S2797" s="6">
        <f t="shared" si="438"/>
        <v>0</v>
      </c>
      <c r="T2797" s="36">
        <f t="shared" si="439"/>
        <v>0</v>
      </c>
      <c r="V2797" s="6">
        <f t="shared" si="440"/>
        <v>0</v>
      </c>
      <c r="Y2797" s="8">
        <f t="shared" si="441"/>
        <v>46023</v>
      </c>
    </row>
    <row r="2798" spans="2:25" ht="18.75" x14ac:dyDescent="0.3">
      <c r="B2798" s="6">
        <f t="shared" si="433"/>
        <v>0</v>
      </c>
      <c r="C2798" s="6">
        <f t="shared" si="434"/>
        <v>0</v>
      </c>
      <c r="D2798" s="6" t="str">
        <f t="shared" si="435"/>
        <v/>
      </c>
      <c r="E2798" s="35" t="str">
        <f t="shared" si="432"/>
        <v/>
      </c>
      <c r="F2798" s="31"/>
      <c r="G2798" s="29"/>
      <c r="H2798" s="78" t="str">
        <f t="shared" si="436"/>
        <v/>
      </c>
      <c r="I2798" s="25"/>
      <c r="J2798" s="25"/>
      <c r="K2798" s="26"/>
      <c r="L2798" s="26"/>
      <c r="M2798" s="37"/>
      <c r="N2798" s="27"/>
      <c r="O2798" s="30"/>
      <c r="P2798" s="39" t="str">
        <f t="shared" si="437"/>
        <v/>
      </c>
      <c r="Q2798" s="40" t="str">
        <f>IF(OR(T2798=0,RIGHT(T2798,1)=$W$1),"",COUNTIF($T$3:T2798,T2798))</f>
        <v/>
      </c>
      <c r="S2798" s="6">
        <f t="shared" si="438"/>
        <v>0</v>
      </c>
      <c r="T2798" s="36">
        <f t="shared" si="439"/>
        <v>0</v>
      </c>
      <c r="V2798" s="6">
        <f t="shared" si="440"/>
        <v>0</v>
      </c>
      <c r="Y2798" s="8">
        <f t="shared" si="441"/>
        <v>46023</v>
      </c>
    </row>
    <row r="2799" spans="2:25" ht="18.75" x14ac:dyDescent="0.3">
      <c r="B2799" s="6">
        <f t="shared" si="433"/>
        <v>0</v>
      </c>
      <c r="C2799" s="6">
        <f t="shared" si="434"/>
        <v>0</v>
      </c>
      <c r="D2799" s="6" t="str">
        <f t="shared" si="435"/>
        <v/>
      </c>
      <c r="E2799" s="35" t="str">
        <f t="shared" si="432"/>
        <v/>
      </c>
      <c r="F2799" s="31"/>
      <c r="G2799" s="29"/>
      <c r="H2799" s="78" t="str">
        <f t="shared" si="436"/>
        <v/>
      </c>
      <c r="I2799" s="25"/>
      <c r="J2799" s="25"/>
      <c r="K2799" s="26"/>
      <c r="L2799" s="26"/>
      <c r="M2799" s="37"/>
      <c r="N2799" s="27"/>
      <c r="O2799" s="30"/>
      <c r="P2799" s="39" t="str">
        <f t="shared" si="437"/>
        <v/>
      </c>
      <c r="Q2799" s="40" t="str">
        <f>IF(OR(T2799=0,RIGHT(T2799,1)=$W$1),"",COUNTIF($T$3:T2799,T2799))</f>
        <v/>
      </c>
      <c r="S2799" s="6">
        <f t="shared" si="438"/>
        <v>0</v>
      </c>
      <c r="T2799" s="36">
        <f t="shared" si="439"/>
        <v>0</v>
      </c>
      <c r="V2799" s="6">
        <f t="shared" si="440"/>
        <v>0</v>
      </c>
      <c r="Y2799" s="8">
        <f t="shared" si="441"/>
        <v>46023</v>
      </c>
    </row>
    <row r="2800" spans="2:25" ht="18.75" x14ac:dyDescent="0.3">
      <c r="B2800" s="6">
        <f t="shared" si="433"/>
        <v>0</v>
      </c>
      <c r="C2800" s="6">
        <f t="shared" si="434"/>
        <v>0</v>
      </c>
      <c r="D2800" s="6" t="str">
        <f t="shared" si="435"/>
        <v/>
      </c>
      <c r="E2800" s="35" t="str">
        <f t="shared" si="432"/>
        <v/>
      </c>
      <c r="F2800" s="31"/>
      <c r="G2800" s="29"/>
      <c r="H2800" s="78" t="str">
        <f t="shared" si="436"/>
        <v/>
      </c>
      <c r="I2800" s="25"/>
      <c r="J2800" s="25"/>
      <c r="K2800" s="26"/>
      <c r="L2800" s="26"/>
      <c r="M2800" s="37"/>
      <c r="N2800" s="27"/>
      <c r="O2800" s="30"/>
      <c r="P2800" s="39" t="str">
        <f t="shared" si="437"/>
        <v/>
      </c>
      <c r="Q2800" s="40" t="str">
        <f>IF(OR(T2800=0,RIGHT(T2800,1)=$W$1),"",COUNTIF($T$3:T2800,T2800))</f>
        <v/>
      </c>
      <c r="S2800" s="6">
        <f t="shared" si="438"/>
        <v>0</v>
      </c>
      <c r="T2800" s="36">
        <f t="shared" si="439"/>
        <v>0</v>
      </c>
      <c r="V2800" s="6">
        <f t="shared" si="440"/>
        <v>0</v>
      </c>
      <c r="Y2800" s="8">
        <f t="shared" si="441"/>
        <v>46023</v>
      </c>
    </row>
    <row r="2801" spans="2:25" ht="18.75" x14ac:dyDescent="0.3">
      <c r="B2801" s="6">
        <f t="shared" si="433"/>
        <v>0</v>
      </c>
      <c r="C2801" s="6">
        <f t="shared" si="434"/>
        <v>0</v>
      </c>
      <c r="D2801" s="6" t="str">
        <f t="shared" si="435"/>
        <v/>
      </c>
      <c r="E2801" s="35" t="str">
        <f t="shared" si="432"/>
        <v/>
      </c>
      <c r="F2801" s="31"/>
      <c r="G2801" s="29"/>
      <c r="H2801" s="78" t="str">
        <f t="shared" si="436"/>
        <v/>
      </c>
      <c r="I2801" s="25"/>
      <c r="J2801" s="25"/>
      <c r="K2801" s="26"/>
      <c r="L2801" s="26"/>
      <c r="M2801" s="37"/>
      <c r="N2801" s="27"/>
      <c r="O2801" s="30"/>
      <c r="P2801" s="39" t="str">
        <f t="shared" si="437"/>
        <v/>
      </c>
      <c r="Q2801" s="40" t="str">
        <f>IF(OR(T2801=0,RIGHT(T2801,1)=$W$1),"",COUNTIF($T$3:T2801,T2801))</f>
        <v/>
      </c>
      <c r="S2801" s="6">
        <f t="shared" si="438"/>
        <v>0</v>
      </c>
      <c r="T2801" s="36">
        <f t="shared" si="439"/>
        <v>0</v>
      </c>
      <c r="V2801" s="6">
        <f t="shared" si="440"/>
        <v>0</v>
      </c>
      <c r="Y2801" s="8">
        <f t="shared" si="441"/>
        <v>46023</v>
      </c>
    </row>
    <row r="2802" spans="2:25" ht="18.75" x14ac:dyDescent="0.3">
      <c r="B2802" s="6">
        <f t="shared" si="433"/>
        <v>0</v>
      </c>
      <c r="C2802" s="6">
        <f t="shared" si="434"/>
        <v>0</v>
      </c>
      <c r="D2802" s="6" t="str">
        <f t="shared" si="435"/>
        <v/>
      </c>
      <c r="E2802" s="35" t="str">
        <f t="shared" si="432"/>
        <v/>
      </c>
      <c r="F2802" s="31"/>
      <c r="G2802" s="29"/>
      <c r="H2802" s="78" t="str">
        <f t="shared" si="436"/>
        <v/>
      </c>
      <c r="I2802" s="25"/>
      <c r="J2802" s="25"/>
      <c r="K2802" s="26"/>
      <c r="L2802" s="26"/>
      <c r="M2802" s="37"/>
      <c r="N2802" s="27"/>
      <c r="O2802" s="30"/>
      <c r="P2802" s="39" t="str">
        <f t="shared" si="437"/>
        <v/>
      </c>
      <c r="Q2802" s="40" t="str">
        <f>IF(OR(T2802=0,RIGHT(T2802,1)=$W$1),"",COUNTIF($T$3:T2802,T2802))</f>
        <v/>
      </c>
      <c r="S2802" s="6">
        <f t="shared" si="438"/>
        <v>0</v>
      </c>
      <c r="T2802" s="36">
        <f t="shared" si="439"/>
        <v>0</v>
      </c>
      <c r="V2802" s="6">
        <f t="shared" si="440"/>
        <v>0</v>
      </c>
      <c r="Y2802" s="8">
        <f t="shared" si="441"/>
        <v>46023</v>
      </c>
    </row>
    <row r="2803" spans="2:25" ht="18.75" x14ac:dyDescent="0.3">
      <c r="B2803" s="6">
        <f t="shared" si="433"/>
        <v>0</v>
      </c>
      <c r="C2803" s="6">
        <f t="shared" si="434"/>
        <v>0</v>
      </c>
      <c r="D2803" s="6" t="str">
        <f t="shared" si="435"/>
        <v/>
      </c>
      <c r="E2803" s="35" t="str">
        <f t="shared" si="432"/>
        <v/>
      </c>
      <c r="F2803" s="31"/>
      <c r="G2803" s="29"/>
      <c r="H2803" s="78" t="str">
        <f t="shared" si="436"/>
        <v/>
      </c>
      <c r="I2803" s="25"/>
      <c r="J2803" s="25"/>
      <c r="K2803" s="26"/>
      <c r="L2803" s="26"/>
      <c r="M2803" s="37"/>
      <c r="N2803" s="27"/>
      <c r="O2803" s="30"/>
      <c r="P2803" s="39" t="str">
        <f t="shared" si="437"/>
        <v/>
      </c>
      <c r="Q2803" s="40" t="str">
        <f>IF(OR(T2803=0,RIGHT(T2803,1)=$W$1),"",COUNTIF($T$3:T2803,T2803))</f>
        <v/>
      </c>
      <c r="S2803" s="6">
        <f t="shared" si="438"/>
        <v>0</v>
      </c>
      <c r="T2803" s="36">
        <f t="shared" si="439"/>
        <v>0</v>
      </c>
      <c r="V2803" s="6">
        <f t="shared" si="440"/>
        <v>0</v>
      </c>
      <c r="Y2803" s="8">
        <f t="shared" si="441"/>
        <v>46023</v>
      </c>
    </row>
    <row r="2804" spans="2:25" ht="18.75" x14ac:dyDescent="0.3">
      <c r="B2804" s="6">
        <f t="shared" si="433"/>
        <v>0</v>
      </c>
      <c r="C2804" s="6">
        <f t="shared" si="434"/>
        <v>0</v>
      </c>
      <c r="D2804" s="6" t="str">
        <f t="shared" si="435"/>
        <v/>
      </c>
      <c r="E2804" s="35" t="str">
        <f t="shared" si="432"/>
        <v/>
      </c>
      <c r="F2804" s="31"/>
      <c r="G2804" s="29"/>
      <c r="H2804" s="78" t="str">
        <f t="shared" si="436"/>
        <v/>
      </c>
      <c r="I2804" s="25"/>
      <c r="J2804" s="25"/>
      <c r="K2804" s="26"/>
      <c r="L2804" s="26"/>
      <c r="M2804" s="37"/>
      <c r="N2804" s="27"/>
      <c r="O2804" s="30"/>
      <c r="P2804" s="39" t="str">
        <f t="shared" si="437"/>
        <v/>
      </c>
      <c r="Q2804" s="40" t="str">
        <f>IF(OR(T2804=0,RIGHT(T2804,1)=$W$1),"",COUNTIF($T$3:T2804,T2804))</f>
        <v/>
      </c>
      <c r="S2804" s="6">
        <f t="shared" si="438"/>
        <v>0</v>
      </c>
      <c r="T2804" s="36">
        <f t="shared" si="439"/>
        <v>0</v>
      </c>
      <c r="V2804" s="6">
        <f t="shared" si="440"/>
        <v>0</v>
      </c>
      <c r="Y2804" s="8">
        <f t="shared" si="441"/>
        <v>46023</v>
      </c>
    </row>
    <row r="2805" spans="2:25" ht="18.75" x14ac:dyDescent="0.3">
      <c r="B2805" s="6">
        <f t="shared" si="433"/>
        <v>0</v>
      </c>
      <c r="C2805" s="6">
        <f t="shared" si="434"/>
        <v>0</v>
      </c>
      <c r="D2805" s="6" t="str">
        <f t="shared" si="435"/>
        <v/>
      </c>
      <c r="E2805" s="35" t="str">
        <f t="shared" si="432"/>
        <v/>
      </c>
      <c r="F2805" s="31"/>
      <c r="G2805" s="29"/>
      <c r="H2805" s="78" t="str">
        <f t="shared" si="436"/>
        <v/>
      </c>
      <c r="I2805" s="25"/>
      <c r="J2805" s="25"/>
      <c r="K2805" s="26"/>
      <c r="L2805" s="26"/>
      <c r="M2805" s="37"/>
      <c r="N2805" s="27"/>
      <c r="O2805" s="30"/>
      <c r="P2805" s="39" t="str">
        <f t="shared" si="437"/>
        <v/>
      </c>
      <c r="Q2805" s="40" t="str">
        <f>IF(OR(T2805=0,RIGHT(T2805,1)=$W$1),"",COUNTIF($T$3:T2805,T2805))</f>
        <v/>
      </c>
      <c r="S2805" s="6">
        <f t="shared" si="438"/>
        <v>0</v>
      </c>
      <c r="T2805" s="36">
        <f t="shared" si="439"/>
        <v>0</v>
      </c>
      <c r="V2805" s="6">
        <f t="shared" si="440"/>
        <v>0</v>
      </c>
      <c r="Y2805" s="8">
        <f t="shared" si="441"/>
        <v>46023</v>
      </c>
    </row>
    <row r="2806" spans="2:25" ht="18.75" x14ac:dyDescent="0.3">
      <c r="B2806" s="6">
        <f t="shared" si="433"/>
        <v>0</v>
      </c>
      <c r="C2806" s="6">
        <f t="shared" si="434"/>
        <v>0</v>
      </c>
      <c r="D2806" s="6" t="str">
        <f t="shared" si="435"/>
        <v/>
      </c>
      <c r="E2806" s="35" t="str">
        <f t="shared" si="432"/>
        <v/>
      </c>
      <c r="F2806" s="31"/>
      <c r="G2806" s="29"/>
      <c r="H2806" s="78" t="str">
        <f t="shared" si="436"/>
        <v/>
      </c>
      <c r="I2806" s="25"/>
      <c r="J2806" s="25"/>
      <c r="K2806" s="26"/>
      <c r="L2806" s="26"/>
      <c r="M2806" s="37"/>
      <c r="N2806" s="27"/>
      <c r="O2806" s="30"/>
      <c r="P2806" s="39" t="str">
        <f t="shared" si="437"/>
        <v/>
      </c>
      <c r="Q2806" s="40" t="str">
        <f>IF(OR(T2806=0,RIGHT(T2806,1)=$W$1),"",COUNTIF($T$3:T2806,T2806))</f>
        <v/>
      </c>
      <c r="S2806" s="6">
        <f t="shared" si="438"/>
        <v>0</v>
      </c>
      <c r="T2806" s="36">
        <f t="shared" si="439"/>
        <v>0</v>
      </c>
      <c r="V2806" s="6">
        <f t="shared" si="440"/>
        <v>0</v>
      </c>
      <c r="Y2806" s="8">
        <f t="shared" si="441"/>
        <v>46023</v>
      </c>
    </row>
    <row r="2807" spans="2:25" ht="18.75" x14ac:dyDescent="0.3">
      <c r="B2807" s="6">
        <f t="shared" si="433"/>
        <v>0</v>
      </c>
      <c r="C2807" s="6">
        <f t="shared" si="434"/>
        <v>0</v>
      </c>
      <c r="D2807" s="6" t="str">
        <f t="shared" si="435"/>
        <v/>
      </c>
      <c r="E2807" s="35" t="str">
        <f t="shared" si="432"/>
        <v/>
      </c>
      <c r="F2807" s="31"/>
      <c r="G2807" s="29"/>
      <c r="H2807" s="78" t="str">
        <f t="shared" si="436"/>
        <v/>
      </c>
      <c r="I2807" s="25"/>
      <c r="J2807" s="25"/>
      <c r="K2807" s="26"/>
      <c r="L2807" s="26"/>
      <c r="M2807" s="37"/>
      <c r="N2807" s="27"/>
      <c r="O2807" s="30"/>
      <c r="P2807" s="39" t="str">
        <f t="shared" si="437"/>
        <v/>
      </c>
      <c r="Q2807" s="40" t="str">
        <f>IF(OR(T2807=0,RIGHT(T2807,1)=$W$1),"",COUNTIF($T$3:T2807,T2807))</f>
        <v/>
      </c>
      <c r="S2807" s="6">
        <f t="shared" si="438"/>
        <v>0</v>
      </c>
      <c r="T2807" s="36">
        <f t="shared" si="439"/>
        <v>0</v>
      </c>
      <c r="V2807" s="6">
        <f t="shared" si="440"/>
        <v>0</v>
      </c>
      <c r="Y2807" s="8">
        <f t="shared" si="441"/>
        <v>46023</v>
      </c>
    </row>
    <row r="2808" spans="2:25" ht="18.75" x14ac:dyDescent="0.3">
      <c r="B2808" s="6">
        <f t="shared" si="433"/>
        <v>0</v>
      </c>
      <c r="C2808" s="6">
        <f t="shared" si="434"/>
        <v>0</v>
      </c>
      <c r="D2808" s="6" t="str">
        <f t="shared" si="435"/>
        <v/>
      </c>
      <c r="E2808" s="35" t="str">
        <f t="shared" si="432"/>
        <v/>
      </c>
      <c r="F2808" s="31"/>
      <c r="G2808" s="29"/>
      <c r="H2808" s="78" t="str">
        <f t="shared" si="436"/>
        <v/>
      </c>
      <c r="I2808" s="25"/>
      <c r="J2808" s="25"/>
      <c r="K2808" s="26"/>
      <c r="L2808" s="26"/>
      <c r="M2808" s="37"/>
      <c r="N2808" s="27"/>
      <c r="O2808" s="30"/>
      <c r="P2808" s="39" t="str">
        <f t="shared" si="437"/>
        <v/>
      </c>
      <c r="Q2808" s="40" t="str">
        <f>IF(OR(T2808=0,RIGHT(T2808,1)=$W$1),"",COUNTIF($T$3:T2808,T2808))</f>
        <v/>
      </c>
      <c r="S2808" s="6">
        <f t="shared" si="438"/>
        <v>0</v>
      </c>
      <c r="T2808" s="36">
        <f t="shared" si="439"/>
        <v>0</v>
      </c>
      <c r="V2808" s="6">
        <f t="shared" si="440"/>
        <v>0</v>
      </c>
      <c r="Y2808" s="8">
        <f t="shared" si="441"/>
        <v>46023</v>
      </c>
    </row>
    <row r="2809" spans="2:25" ht="18.75" x14ac:dyDescent="0.3">
      <c r="B2809" s="6">
        <f t="shared" si="433"/>
        <v>0</v>
      </c>
      <c r="C2809" s="6">
        <f t="shared" si="434"/>
        <v>0</v>
      </c>
      <c r="D2809" s="6" t="str">
        <f t="shared" si="435"/>
        <v/>
      </c>
      <c r="E2809" s="35" t="str">
        <f t="shared" si="432"/>
        <v/>
      </c>
      <c r="F2809" s="31"/>
      <c r="G2809" s="29"/>
      <c r="H2809" s="78" t="str">
        <f t="shared" si="436"/>
        <v/>
      </c>
      <c r="I2809" s="25"/>
      <c r="J2809" s="25"/>
      <c r="K2809" s="26"/>
      <c r="L2809" s="26"/>
      <c r="M2809" s="37"/>
      <c r="N2809" s="27"/>
      <c r="O2809" s="30"/>
      <c r="P2809" s="39" t="str">
        <f t="shared" si="437"/>
        <v/>
      </c>
      <c r="Q2809" s="40" t="str">
        <f>IF(OR(T2809=0,RIGHT(T2809,1)=$W$1),"",COUNTIF($T$3:T2809,T2809))</f>
        <v/>
      </c>
      <c r="S2809" s="6">
        <f t="shared" si="438"/>
        <v>0</v>
      </c>
      <c r="T2809" s="36">
        <f t="shared" si="439"/>
        <v>0</v>
      </c>
      <c r="V2809" s="6">
        <f t="shared" si="440"/>
        <v>0</v>
      </c>
      <c r="Y2809" s="8">
        <f t="shared" si="441"/>
        <v>46023</v>
      </c>
    </row>
    <row r="2810" spans="2:25" ht="18.75" x14ac:dyDescent="0.3">
      <c r="B2810" s="6">
        <f t="shared" si="433"/>
        <v>0</v>
      </c>
      <c r="C2810" s="6">
        <f t="shared" si="434"/>
        <v>0</v>
      </c>
      <c r="D2810" s="6" t="str">
        <f t="shared" si="435"/>
        <v/>
      </c>
      <c r="E2810" s="35" t="str">
        <f t="shared" si="432"/>
        <v/>
      </c>
      <c r="F2810" s="31"/>
      <c r="G2810" s="29"/>
      <c r="H2810" s="78" t="str">
        <f t="shared" si="436"/>
        <v/>
      </c>
      <c r="I2810" s="25"/>
      <c r="J2810" s="25"/>
      <c r="K2810" s="26"/>
      <c r="L2810" s="26"/>
      <c r="M2810" s="37"/>
      <c r="N2810" s="27"/>
      <c r="O2810" s="30"/>
      <c r="P2810" s="39" t="str">
        <f t="shared" si="437"/>
        <v/>
      </c>
      <c r="Q2810" s="40" t="str">
        <f>IF(OR(T2810=0,RIGHT(T2810,1)=$W$1),"",COUNTIF($T$3:T2810,T2810))</f>
        <v/>
      </c>
      <c r="S2810" s="6">
        <f t="shared" si="438"/>
        <v>0</v>
      </c>
      <c r="T2810" s="36">
        <f t="shared" si="439"/>
        <v>0</v>
      </c>
      <c r="V2810" s="6">
        <f t="shared" si="440"/>
        <v>0</v>
      </c>
      <c r="Y2810" s="8">
        <f t="shared" si="441"/>
        <v>46023</v>
      </c>
    </row>
    <row r="2811" spans="2:25" ht="18.75" x14ac:dyDescent="0.3">
      <c r="B2811" s="6">
        <f t="shared" si="433"/>
        <v>0</v>
      </c>
      <c r="C2811" s="6">
        <f t="shared" si="434"/>
        <v>0</v>
      </c>
      <c r="D2811" s="6" t="str">
        <f t="shared" si="435"/>
        <v/>
      </c>
      <c r="E2811" s="35" t="str">
        <f t="shared" si="432"/>
        <v/>
      </c>
      <c r="F2811" s="31"/>
      <c r="G2811" s="29"/>
      <c r="H2811" s="78" t="str">
        <f t="shared" si="436"/>
        <v/>
      </c>
      <c r="I2811" s="25"/>
      <c r="J2811" s="25"/>
      <c r="K2811" s="26"/>
      <c r="L2811" s="26"/>
      <c r="M2811" s="37"/>
      <c r="N2811" s="27"/>
      <c r="O2811" s="30"/>
      <c r="P2811" s="39" t="str">
        <f t="shared" si="437"/>
        <v/>
      </c>
      <c r="Q2811" s="40" t="str">
        <f>IF(OR(T2811=0,RIGHT(T2811,1)=$W$1),"",COUNTIF($T$3:T2811,T2811))</f>
        <v/>
      </c>
      <c r="S2811" s="6">
        <f t="shared" si="438"/>
        <v>0</v>
      </c>
      <c r="T2811" s="36">
        <f t="shared" si="439"/>
        <v>0</v>
      </c>
      <c r="V2811" s="6">
        <f t="shared" si="440"/>
        <v>0</v>
      </c>
      <c r="Y2811" s="8">
        <f t="shared" si="441"/>
        <v>46023</v>
      </c>
    </row>
    <row r="2812" spans="2:25" ht="18.75" x14ac:dyDescent="0.3">
      <c r="B2812" s="6">
        <f t="shared" si="433"/>
        <v>0</v>
      </c>
      <c r="C2812" s="6">
        <f t="shared" si="434"/>
        <v>0</v>
      </c>
      <c r="D2812" s="6" t="str">
        <f t="shared" si="435"/>
        <v/>
      </c>
      <c r="E2812" s="35" t="str">
        <f t="shared" si="432"/>
        <v/>
      </c>
      <c r="F2812" s="31"/>
      <c r="G2812" s="29"/>
      <c r="H2812" s="78" t="str">
        <f t="shared" si="436"/>
        <v/>
      </c>
      <c r="I2812" s="25"/>
      <c r="J2812" s="25"/>
      <c r="K2812" s="26"/>
      <c r="L2812" s="26"/>
      <c r="M2812" s="37"/>
      <c r="N2812" s="27"/>
      <c r="O2812" s="30"/>
      <c r="P2812" s="39" t="str">
        <f t="shared" si="437"/>
        <v/>
      </c>
      <c r="Q2812" s="40" t="str">
        <f>IF(OR(T2812=0,RIGHT(T2812,1)=$W$1),"",COUNTIF($T$3:T2812,T2812))</f>
        <v/>
      </c>
      <c r="S2812" s="6">
        <f t="shared" si="438"/>
        <v>0</v>
      </c>
      <c r="T2812" s="36">
        <f t="shared" si="439"/>
        <v>0</v>
      </c>
      <c r="V2812" s="6">
        <f t="shared" si="440"/>
        <v>0</v>
      </c>
      <c r="Y2812" s="8">
        <f t="shared" si="441"/>
        <v>46023</v>
      </c>
    </row>
    <row r="2813" spans="2:25" ht="18.75" x14ac:dyDescent="0.3">
      <c r="B2813" s="6">
        <f t="shared" si="433"/>
        <v>0</v>
      </c>
      <c r="C2813" s="6">
        <f t="shared" si="434"/>
        <v>0</v>
      </c>
      <c r="D2813" s="6" t="str">
        <f t="shared" si="435"/>
        <v/>
      </c>
      <c r="E2813" s="35" t="str">
        <f t="shared" si="432"/>
        <v/>
      </c>
      <c r="F2813" s="31"/>
      <c r="G2813" s="29"/>
      <c r="H2813" s="78" t="str">
        <f t="shared" si="436"/>
        <v/>
      </c>
      <c r="I2813" s="25"/>
      <c r="J2813" s="25"/>
      <c r="K2813" s="26"/>
      <c r="L2813" s="26"/>
      <c r="M2813" s="37"/>
      <c r="N2813" s="27"/>
      <c r="O2813" s="30"/>
      <c r="P2813" s="39" t="str">
        <f t="shared" si="437"/>
        <v/>
      </c>
      <c r="Q2813" s="40" t="str">
        <f>IF(OR(T2813=0,RIGHT(T2813,1)=$W$1),"",COUNTIF($T$3:T2813,T2813))</f>
        <v/>
      </c>
      <c r="S2813" s="6">
        <f t="shared" si="438"/>
        <v>0</v>
      </c>
      <c r="T2813" s="36">
        <f t="shared" si="439"/>
        <v>0</v>
      </c>
      <c r="V2813" s="6">
        <f t="shared" si="440"/>
        <v>0</v>
      </c>
      <c r="Y2813" s="8">
        <f t="shared" si="441"/>
        <v>46023</v>
      </c>
    </row>
    <row r="2814" spans="2:25" ht="18.75" x14ac:dyDescent="0.3">
      <c r="B2814" s="6">
        <f t="shared" si="433"/>
        <v>0</v>
      </c>
      <c r="C2814" s="6">
        <f t="shared" si="434"/>
        <v>0</v>
      </c>
      <c r="D2814" s="6" t="str">
        <f t="shared" si="435"/>
        <v/>
      </c>
      <c r="E2814" s="35" t="str">
        <f t="shared" si="432"/>
        <v/>
      </c>
      <c r="F2814" s="31"/>
      <c r="G2814" s="29"/>
      <c r="H2814" s="78" t="str">
        <f t="shared" si="436"/>
        <v/>
      </c>
      <c r="I2814" s="25"/>
      <c r="J2814" s="25"/>
      <c r="K2814" s="26"/>
      <c r="L2814" s="26"/>
      <c r="M2814" s="37"/>
      <c r="N2814" s="27"/>
      <c r="O2814" s="30"/>
      <c r="P2814" s="39" t="str">
        <f t="shared" si="437"/>
        <v/>
      </c>
      <c r="Q2814" s="40" t="str">
        <f>IF(OR(T2814=0,RIGHT(T2814,1)=$W$1),"",COUNTIF($T$3:T2814,T2814))</f>
        <v/>
      </c>
      <c r="S2814" s="6">
        <f t="shared" si="438"/>
        <v>0</v>
      </c>
      <c r="T2814" s="36">
        <f t="shared" si="439"/>
        <v>0</v>
      </c>
      <c r="V2814" s="6">
        <f t="shared" si="440"/>
        <v>0</v>
      </c>
      <c r="Y2814" s="8">
        <f t="shared" si="441"/>
        <v>46023</v>
      </c>
    </row>
    <row r="2815" spans="2:25" ht="18.75" x14ac:dyDescent="0.3">
      <c r="B2815" s="6">
        <f t="shared" si="433"/>
        <v>0</v>
      </c>
      <c r="C2815" s="6">
        <f t="shared" si="434"/>
        <v>0</v>
      </c>
      <c r="D2815" s="6" t="str">
        <f t="shared" si="435"/>
        <v/>
      </c>
      <c r="E2815" s="35" t="str">
        <f t="shared" si="432"/>
        <v/>
      </c>
      <c r="F2815" s="31"/>
      <c r="G2815" s="29"/>
      <c r="H2815" s="78" t="str">
        <f t="shared" si="436"/>
        <v/>
      </c>
      <c r="I2815" s="25"/>
      <c r="J2815" s="25"/>
      <c r="K2815" s="26"/>
      <c r="L2815" s="26"/>
      <c r="M2815" s="37"/>
      <c r="N2815" s="27"/>
      <c r="O2815" s="30"/>
      <c r="P2815" s="39" t="str">
        <f t="shared" si="437"/>
        <v/>
      </c>
      <c r="Q2815" s="40" t="str">
        <f>IF(OR(T2815=0,RIGHT(T2815,1)=$W$1),"",COUNTIF($T$3:T2815,T2815))</f>
        <v/>
      </c>
      <c r="S2815" s="6">
        <f t="shared" si="438"/>
        <v>0</v>
      </c>
      <c r="T2815" s="36">
        <f t="shared" si="439"/>
        <v>0</v>
      </c>
      <c r="V2815" s="6">
        <f t="shared" si="440"/>
        <v>0</v>
      </c>
      <c r="Y2815" s="8">
        <f t="shared" si="441"/>
        <v>46023</v>
      </c>
    </row>
    <row r="2816" spans="2:25" ht="18.75" x14ac:dyDescent="0.3">
      <c r="B2816" s="6">
        <f t="shared" si="433"/>
        <v>0</v>
      </c>
      <c r="C2816" s="6">
        <f t="shared" si="434"/>
        <v>0</v>
      </c>
      <c r="D2816" s="6" t="str">
        <f t="shared" si="435"/>
        <v/>
      </c>
      <c r="E2816" s="35" t="str">
        <f t="shared" si="432"/>
        <v/>
      </c>
      <c r="F2816" s="31"/>
      <c r="G2816" s="29"/>
      <c r="H2816" s="78" t="str">
        <f t="shared" si="436"/>
        <v/>
      </c>
      <c r="I2816" s="25"/>
      <c r="J2816" s="25"/>
      <c r="K2816" s="26"/>
      <c r="L2816" s="26"/>
      <c r="M2816" s="37"/>
      <c r="N2816" s="27"/>
      <c r="O2816" s="30"/>
      <c r="P2816" s="39" t="str">
        <f t="shared" si="437"/>
        <v/>
      </c>
      <c r="Q2816" s="40" t="str">
        <f>IF(OR(T2816=0,RIGHT(T2816,1)=$W$1),"",COUNTIF($T$3:T2816,T2816))</f>
        <v/>
      </c>
      <c r="S2816" s="6">
        <f t="shared" si="438"/>
        <v>0</v>
      </c>
      <c r="T2816" s="36">
        <f t="shared" si="439"/>
        <v>0</v>
      </c>
      <c r="V2816" s="6">
        <f t="shared" si="440"/>
        <v>0</v>
      </c>
      <c r="Y2816" s="8">
        <f t="shared" si="441"/>
        <v>46023</v>
      </c>
    </row>
    <row r="2817" spans="2:25" ht="18.75" x14ac:dyDescent="0.3">
      <c r="B2817" s="6">
        <f t="shared" si="433"/>
        <v>0</v>
      </c>
      <c r="C2817" s="6">
        <f t="shared" si="434"/>
        <v>0</v>
      </c>
      <c r="D2817" s="6" t="str">
        <f t="shared" si="435"/>
        <v/>
      </c>
      <c r="E2817" s="35" t="str">
        <f t="shared" si="432"/>
        <v/>
      </c>
      <c r="F2817" s="31"/>
      <c r="G2817" s="29"/>
      <c r="H2817" s="78" t="str">
        <f t="shared" si="436"/>
        <v/>
      </c>
      <c r="I2817" s="25"/>
      <c r="J2817" s="25"/>
      <c r="K2817" s="26"/>
      <c r="L2817" s="26"/>
      <c r="M2817" s="37"/>
      <c r="N2817" s="27"/>
      <c r="O2817" s="30"/>
      <c r="P2817" s="39" t="str">
        <f t="shared" si="437"/>
        <v/>
      </c>
      <c r="Q2817" s="40" t="str">
        <f>IF(OR(T2817=0,RIGHT(T2817,1)=$W$1),"",COUNTIF($T$3:T2817,T2817))</f>
        <v/>
      </c>
      <c r="S2817" s="6">
        <f t="shared" si="438"/>
        <v>0</v>
      </c>
      <c r="T2817" s="36">
        <f t="shared" si="439"/>
        <v>0</v>
      </c>
      <c r="V2817" s="6">
        <f t="shared" si="440"/>
        <v>0</v>
      </c>
      <c r="Y2817" s="8">
        <f t="shared" si="441"/>
        <v>46023</v>
      </c>
    </row>
    <row r="2818" spans="2:25" ht="18.75" x14ac:dyDescent="0.3">
      <c r="B2818" s="6">
        <f t="shared" si="433"/>
        <v>0</v>
      </c>
      <c r="C2818" s="6">
        <f t="shared" si="434"/>
        <v>0</v>
      </c>
      <c r="D2818" s="6" t="str">
        <f t="shared" si="435"/>
        <v/>
      </c>
      <c r="E2818" s="35" t="str">
        <f t="shared" si="432"/>
        <v/>
      </c>
      <c r="F2818" s="31"/>
      <c r="G2818" s="29"/>
      <c r="H2818" s="78" t="str">
        <f t="shared" si="436"/>
        <v/>
      </c>
      <c r="I2818" s="25"/>
      <c r="J2818" s="25"/>
      <c r="K2818" s="26"/>
      <c r="L2818" s="26"/>
      <c r="M2818" s="37"/>
      <c r="N2818" s="27"/>
      <c r="O2818" s="30"/>
      <c r="P2818" s="39" t="str">
        <f t="shared" si="437"/>
        <v/>
      </c>
      <c r="Q2818" s="40" t="str">
        <f>IF(OR(T2818=0,RIGHT(T2818,1)=$W$1),"",COUNTIF($T$3:T2818,T2818))</f>
        <v/>
      </c>
      <c r="S2818" s="6">
        <f t="shared" si="438"/>
        <v>0</v>
      </c>
      <c r="T2818" s="36">
        <f t="shared" si="439"/>
        <v>0</v>
      </c>
      <c r="V2818" s="6">
        <f t="shared" si="440"/>
        <v>0</v>
      </c>
      <c r="Y2818" s="8">
        <f t="shared" si="441"/>
        <v>46023</v>
      </c>
    </row>
    <row r="2819" spans="2:25" ht="18.75" x14ac:dyDescent="0.3">
      <c r="B2819" s="6">
        <f t="shared" si="433"/>
        <v>0</v>
      </c>
      <c r="C2819" s="6">
        <f t="shared" si="434"/>
        <v>0</v>
      </c>
      <c r="D2819" s="6" t="str">
        <f t="shared" si="435"/>
        <v/>
      </c>
      <c r="E2819" s="35" t="str">
        <f t="shared" ref="E2819:E2882" si="442">IF(D2819&lt;&gt;"",D2819&amp;" - "&amp;YEAR(F2819),"")</f>
        <v/>
      </c>
      <c r="F2819" s="31"/>
      <c r="G2819" s="29"/>
      <c r="H2819" s="78" t="str">
        <f t="shared" si="436"/>
        <v/>
      </c>
      <c r="I2819" s="25"/>
      <c r="J2819" s="25"/>
      <c r="K2819" s="26"/>
      <c r="L2819" s="26"/>
      <c r="M2819" s="37"/>
      <c r="N2819" s="27"/>
      <c r="O2819" s="30"/>
      <c r="P2819" s="39" t="str">
        <f t="shared" si="437"/>
        <v/>
      </c>
      <c r="Q2819" s="40" t="str">
        <f>IF(OR(T2819=0,RIGHT(T2819,1)=$W$1),"",COUNTIF($T$3:T2819,T2819))</f>
        <v/>
      </c>
      <c r="S2819" s="6">
        <f t="shared" si="438"/>
        <v>0</v>
      </c>
      <c r="T2819" s="36">
        <f t="shared" si="439"/>
        <v>0</v>
      </c>
      <c r="V2819" s="6">
        <f t="shared" si="440"/>
        <v>0</v>
      </c>
      <c r="Y2819" s="8">
        <f t="shared" si="441"/>
        <v>46023</v>
      </c>
    </row>
    <row r="2820" spans="2:25" ht="18.75" x14ac:dyDescent="0.3">
      <c r="B2820" s="6">
        <f t="shared" ref="B2820:B2883" si="443">IF($B$1=YEAR(F2820),B2819+1,B2819)</f>
        <v>0</v>
      </c>
      <c r="C2820" s="6">
        <f t="shared" ref="C2820:C2883" si="444">IF(AND($C$1=K2820,$Y$1=YEAR(F2820)),C2819+1,C2819)</f>
        <v>0</v>
      </c>
      <c r="D2820" s="6" t="str">
        <f t="shared" ref="D2820:D2883" si="445">IF(F2820&lt;&gt;0,IF(YEAR(F2820)&lt;&gt;YEAR(F2819),1,IF(M2820=$AI$1,D2819,D2819+1)),"")</f>
        <v/>
      </c>
      <c r="E2820" s="35" t="str">
        <f t="shared" si="442"/>
        <v/>
      </c>
      <c r="F2820" s="31"/>
      <c r="G2820" s="29"/>
      <c r="H2820" s="78" t="str">
        <f t="shared" ref="H2820:H2883" si="446">IF(G2820&lt;&gt;"",F2820,"")</f>
        <v/>
      </c>
      <c r="I2820" s="25"/>
      <c r="J2820" s="25"/>
      <c r="K2820" s="26"/>
      <c r="L2820" s="26"/>
      <c r="M2820" s="37"/>
      <c r="N2820" s="27"/>
      <c r="O2820" s="30"/>
      <c r="P2820" s="39" t="str">
        <f t="shared" ref="P2820:P2883" si="447">IF(OR(T2820=0,RIGHT(T2820,1)=$W$1),"",VLOOKUP(K2820,$AD$1:$AK$15,5,FALSE))</f>
        <v/>
      </c>
      <c r="Q2820" s="40" t="str">
        <f>IF(OR(T2820=0,RIGHT(T2820,1)=$W$1),"",COUNTIF($T$3:T2820,T2820))</f>
        <v/>
      </c>
      <c r="S2820" s="6">
        <f t="shared" ref="S2820:S2883" si="448">IF(AND($C$1=K2820,$Y$1=YEAR(F2820)),C2820,0)</f>
        <v>0</v>
      </c>
      <c r="T2820" s="36">
        <f t="shared" ref="T2820:T2883" si="449">IF(F2820=0,0,YEAR(F2820)&amp;VLOOKUP(K2820,$AD$1:$AE$15,2,FALSE))</f>
        <v>0</v>
      </c>
      <c r="V2820" s="6">
        <f t="shared" ref="V2820:V2883" si="450">IF(AND(YEAR(F2820)=$Y$1,K2820=$C$1,L2820&amp;$V$1&lt;&gt;$V$1),L2820,IF(AND(YEAR(F2820)=$Y$1,K2820=$C$1),1,0))</f>
        <v>0</v>
      </c>
      <c r="Y2820" s="8">
        <f t="shared" ref="Y2820:Y2883" si="451">IF(M2820&lt;&gt;$AI$1,$Y$2,F2819)</f>
        <v>46023</v>
      </c>
    </row>
    <row r="2821" spans="2:25" ht="18.75" x14ac:dyDescent="0.3">
      <c r="B2821" s="6">
        <f t="shared" si="443"/>
        <v>0</v>
      </c>
      <c r="C2821" s="6">
        <f t="shared" si="444"/>
        <v>0</v>
      </c>
      <c r="D2821" s="6" t="str">
        <f t="shared" si="445"/>
        <v/>
      </c>
      <c r="E2821" s="35" t="str">
        <f t="shared" si="442"/>
        <v/>
      </c>
      <c r="F2821" s="31"/>
      <c r="G2821" s="29"/>
      <c r="H2821" s="78" t="str">
        <f t="shared" si="446"/>
        <v/>
      </c>
      <c r="I2821" s="25"/>
      <c r="J2821" s="25"/>
      <c r="K2821" s="26"/>
      <c r="L2821" s="26"/>
      <c r="M2821" s="37"/>
      <c r="N2821" s="27"/>
      <c r="O2821" s="30"/>
      <c r="P2821" s="39" t="str">
        <f t="shared" si="447"/>
        <v/>
      </c>
      <c r="Q2821" s="40" t="str">
        <f>IF(OR(T2821=0,RIGHT(T2821,1)=$W$1),"",COUNTIF($T$3:T2821,T2821))</f>
        <v/>
      </c>
      <c r="S2821" s="6">
        <f t="shared" si="448"/>
        <v>0</v>
      </c>
      <c r="T2821" s="36">
        <f t="shared" si="449"/>
        <v>0</v>
      </c>
      <c r="V2821" s="6">
        <f t="shared" si="450"/>
        <v>0</v>
      </c>
      <c r="Y2821" s="8">
        <f t="shared" si="451"/>
        <v>46023</v>
      </c>
    </row>
    <row r="2822" spans="2:25" ht="18.75" x14ac:dyDescent="0.3">
      <c r="B2822" s="6">
        <f t="shared" si="443"/>
        <v>0</v>
      </c>
      <c r="C2822" s="6">
        <f t="shared" si="444"/>
        <v>0</v>
      </c>
      <c r="D2822" s="6" t="str">
        <f t="shared" si="445"/>
        <v/>
      </c>
      <c r="E2822" s="35" t="str">
        <f t="shared" si="442"/>
        <v/>
      </c>
      <c r="F2822" s="31"/>
      <c r="G2822" s="29"/>
      <c r="H2822" s="78" t="str">
        <f t="shared" si="446"/>
        <v/>
      </c>
      <c r="I2822" s="25"/>
      <c r="J2822" s="25"/>
      <c r="K2822" s="26"/>
      <c r="L2822" s="26"/>
      <c r="M2822" s="37"/>
      <c r="N2822" s="27"/>
      <c r="O2822" s="30"/>
      <c r="P2822" s="39" t="str">
        <f t="shared" si="447"/>
        <v/>
      </c>
      <c r="Q2822" s="40" t="str">
        <f>IF(OR(T2822=0,RIGHT(T2822,1)=$W$1),"",COUNTIF($T$3:T2822,T2822))</f>
        <v/>
      </c>
      <c r="S2822" s="6">
        <f t="shared" si="448"/>
        <v>0</v>
      </c>
      <c r="T2822" s="36">
        <f t="shared" si="449"/>
        <v>0</v>
      </c>
      <c r="V2822" s="6">
        <f t="shared" si="450"/>
        <v>0</v>
      </c>
      <c r="Y2822" s="8">
        <f t="shared" si="451"/>
        <v>46023</v>
      </c>
    </row>
    <row r="2823" spans="2:25" ht="18.75" x14ac:dyDescent="0.3">
      <c r="B2823" s="6">
        <f t="shared" si="443"/>
        <v>0</v>
      </c>
      <c r="C2823" s="6">
        <f t="shared" si="444"/>
        <v>0</v>
      </c>
      <c r="D2823" s="6" t="str">
        <f t="shared" si="445"/>
        <v/>
      </c>
      <c r="E2823" s="35" t="str">
        <f t="shared" si="442"/>
        <v/>
      </c>
      <c r="F2823" s="31"/>
      <c r="G2823" s="29"/>
      <c r="H2823" s="78" t="str">
        <f t="shared" si="446"/>
        <v/>
      </c>
      <c r="I2823" s="25"/>
      <c r="J2823" s="25"/>
      <c r="K2823" s="26"/>
      <c r="L2823" s="26"/>
      <c r="M2823" s="37"/>
      <c r="N2823" s="27"/>
      <c r="O2823" s="30"/>
      <c r="P2823" s="39" t="str">
        <f t="shared" si="447"/>
        <v/>
      </c>
      <c r="Q2823" s="40" t="str">
        <f>IF(OR(T2823=0,RIGHT(T2823,1)=$W$1),"",COUNTIF($T$3:T2823,T2823))</f>
        <v/>
      </c>
      <c r="S2823" s="6">
        <f t="shared" si="448"/>
        <v>0</v>
      </c>
      <c r="T2823" s="36">
        <f t="shared" si="449"/>
        <v>0</v>
      </c>
      <c r="V2823" s="6">
        <f t="shared" si="450"/>
        <v>0</v>
      </c>
      <c r="Y2823" s="8">
        <f t="shared" si="451"/>
        <v>46023</v>
      </c>
    </row>
    <row r="2824" spans="2:25" ht="18.75" x14ac:dyDescent="0.3">
      <c r="B2824" s="6">
        <f t="shared" si="443"/>
        <v>0</v>
      </c>
      <c r="C2824" s="6">
        <f t="shared" si="444"/>
        <v>0</v>
      </c>
      <c r="D2824" s="6" t="str">
        <f t="shared" si="445"/>
        <v/>
      </c>
      <c r="E2824" s="35" t="str">
        <f t="shared" si="442"/>
        <v/>
      </c>
      <c r="F2824" s="31"/>
      <c r="G2824" s="29"/>
      <c r="H2824" s="78" t="str">
        <f t="shared" si="446"/>
        <v/>
      </c>
      <c r="I2824" s="25"/>
      <c r="J2824" s="25"/>
      <c r="K2824" s="26"/>
      <c r="L2824" s="26"/>
      <c r="M2824" s="37"/>
      <c r="N2824" s="27"/>
      <c r="O2824" s="30"/>
      <c r="P2824" s="39" t="str">
        <f t="shared" si="447"/>
        <v/>
      </c>
      <c r="Q2824" s="40" t="str">
        <f>IF(OR(T2824=0,RIGHT(T2824,1)=$W$1),"",COUNTIF($T$3:T2824,T2824))</f>
        <v/>
      </c>
      <c r="S2824" s="6">
        <f t="shared" si="448"/>
        <v>0</v>
      </c>
      <c r="T2824" s="36">
        <f t="shared" si="449"/>
        <v>0</v>
      </c>
      <c r="V2824" s="6">
        <f t="shared" si="450"/>
        <v>0</v>
      </c>
      <c r="Y2824" s="8">
        <f t="shared" si="451"/>
        <v>46023</v>
      </c>
    </row>
    <row r="2825" spans="2:25" ht="18.75" x14ac:dyDescent="0.3">
      <c r="B2825" s="6">
        <f t="shared" si="443"/>
        <v>0</v>
      </c>
      <c r="C2825" s="6">
        <f t="shared" si="444"/>
        <v>0</v>
      </c>
      <c r="D2825" s="6" t="str">
        <f t="shared" si="445"/>
        <v/>
      </c>
      <c r="E2825" s="35" t="str">
        <f t="shared" si="442"/>
        <v/>
      </c>
      <c r="F2825" s="31"/>
      <c r="G2825" s="29"/>
      <c r="H2825" s="78" t="str">
        <f t="shared" si="446"/>
        <v/>
      </c>
      <c r="I2825" s="25"/>
      <c r="J2825" s="25"/>
      <c r="K2825" s="26"/>
      <c r="L2825" s="26"/>
      <c r="M2825" s="37"/>
      <c r="N2825" s="27"/>
      <c r="O2825" s="30"/>
      <c r="P2825" s="39" t="str">
        <f t="shared" si="447"/>
        <v/>
      </c>
      <c r="Q2825" s="40" t="str">
        <f>IF(OR(T2825=0,RIGHT(T2825,1)=$W$1),"",COUNTIF($T$3:T2825,T2825))</f>
        <v/>
      </c>
      <c r="S2825" s="6">
        <f t="shared" si="448"/>
        <v>0</v>
      </c>
      <c r="T2825" s="36">
        <f t="shared" si="449"/>
        <v>0</v>
      </c>
      <c r="V2825" s="6">
        <f t="shared" si="450"/>
        <v>0</v>
      </c>
      <c r="Y2825" s="8">
        <f t="shared" si="451"/>
        <v>46023</v>
      </c>
    </row>
    <row r="2826" spans="2:25" ht="18.75" x14ac:dyDescent="0.3">
      <c r="B2826" s="6">
        <f t="shared" si="443"/>
        <v>0</v>
      </c>
      <c r="C2826" s="6">
        <f t="shared" si="444"/>
        <v>0</v>
      </c>
      <c r="D2826" s="6" t="str">
        <f t="shared" si="445"/>
        <v/>
      </c>
      <c r="E2826" s="35" t="str">
        <f t="shared" si="442"/>
        <v/>
      </c>
      <c r="F2826" s="31"/>
      <c r="G2826" s="29"/>
      <c r="H2826" s="78" t="str">
        <f t="shared" si="446"/>
        <v/>
      </c>
      <c r="I2826" s="25"/>
      <c r="J2826" s="25"/>
      <c r="K2826" s="26"/>
      <c r="L2826" s="26"/>
      <c r="M2826" s="37"/>
      <c r="N2826" s="27"/>
      <c r="O2826" s="30"/>
      <c r="P2826" s="39" t="str">
        <f t="shared" si="447"/>
        <v/>
      </c>
      <c r="Q2826" s="40" t="str">
        <f>IF(OR(T2826=0,RIGHT(T2826,1)=$W$1),"",COUNTIF($T$3:T2826,T2826))</f>
        <v/>
      </c>
      <c r="S2826" s="6">
        <f t="shared" si="448"/>
        <v>0</v>
      </c>
      <c r="T2826" s="36">
        <f t="shared" si="449"/>
        <v>0</v>
      </c>
      <c r="V2826" s="6">
        <f t="shared" si="450"/>
        <v>0</v>
      </c>
      <c r="Y2826" s="8">
        <f t="shared" si="451"/>
        <v>46023</v>
      </c>
    </row>
    <row r="2827" spans="2:25" ht="18.75" x14ac:dyDescent="0.3">
      <c r="B2827" s="6">
        <f t="shared" si="443"/>
        <v>0</v>
      </c>
      <c r="C2827" s="6">
        <f t="shared" si="444"/>
        <v>0</v>
      </c>
      <c r="D2827" s="6" t="str">
        <f t="shared" si="445"/>
        <v/>
      </c>
      <c r="E2827" s="35" t="str">
        <f t="shared" si="442"/>
        <v/>
      </c>
      <c r="F2827" s="31"/>
      <c r="G2827" s="29"/>
      <c r="H2827" s="78" t="str">
        <f t="shared" si="446"/>
        <v/>
      </c>
      <c r="I2827" s="25"/>
      <c r="J2827" s="25"/>
      <c r="K2827" s="26"/>
      <c r="L2827" s="26"/>
      <c r="M2827" s="37"/>
      <c r="N2827" s="27"/>
      <c r="O2827" s="30"/>
      <c r="P2827" s="39" t="str">
        <f t="shared" si="447"/>
        <v/>
      </c>
      <c r="Q2827" s="40" t="str">
        <f>IF(OR(T2827=0,RIGHT(T2827,1)=$W$1),"",COUNTIF($T$3:T2827,T2827))</f>
        <v/>
      </c>
      <c r="S2827" s="6">
        <f t="shared" si="448"/>
        <v>0</v>
      </c>
      <c r="T2827" s="36">
        <f t="shared" si="449"/>
        <v>0</v>
      </c>
      <c r="V2827" s="6">
        <f t="shared" si="450"/>
        <v>0</v>
      </c>
      <c r="Y2827" s="8">
        <f t="shared" si="451"/>
        <v>46023</v>
      </c>
    </row>
    <row r="2828" spans="2:25" ht="18.75" x14ac:dyDescent="0.3">
      <c r="B2828" s="6">
        <f t="shared" si="443"/>
        <v>0</v>
      </c>
      <c r="C2828" s="6">
        <f t="shared" si="444"/>
        <v>0</v>
      </c>
      <c r="D2828" s="6" t="str">
        <f t="shared" si="445"/>
        <v/>
      </c>
      <c r="E2828" s="35" t="str">
        <f t="shared" si="442"/>
        <v/>
      </c>
      <c r="F2828" s="31"/>
      <c r="G2828" s="29"/>
      <c r="H2828" s="78" t="str">
        <f t="shared" si="446"/>
        <v/>
      </c>
      <c r="I2828" s="25"/>
      <c r="J2828" s="25"/>
      <c r="K2828" s="26"/>
      <c r="L2828" s="26"/>
      <c r="M2828" s="37"/>
      <c r="N2828" s="27"/>
      <c r="O2828" s="30"/>
      <c r="P2828" s="39" t="str">
        <f t="shared" si="447"/>
        <v/>
      </c>
      <c r="Q2828" s="40" t="str">
        <f>IF(OR(T2828=0,RIGHT(T2828,1)=$W$1),"",COUNTIF($T$3:T2828,T2828))</f>
        <v/>
      </c>
      <c r="S2828" s="6">
        <f t="shared" si="448"/>
        <v>0</v>
      </c>
      <c r="T2828" s="36">
        <f t="shared" si="449"/>
        <v>0</v>
      </c>
      <c r="V2828" s="6">
        <f t="shared" si="450"/>
        <v>0</v>
      </c>
      <c r="Y2828" s="8">
        <f t="shared" si="451"/>
        <v>46023</v>
      </c>
    </row>
    <row r="2829" spans="2:25" ht="18.75" x14ac:dyDescent="0.3">
      <c r="B2829" s="6">
        <f t="shared" si="443"/>
        <v>0</v>
      </c>
      <c r="C2829" s="6">
        <f t="shared" si="444"/>
        <v>0</v>
      </c>
      <c r="D2829" s="6" t="str">
        <f t="shared" si="445"/>
        <v/>
      </c>
      <c r="E2829" s="35" t="str">
        <f t="shared" si="442"/>
        <v/>
      </c>
      <c r="F2829" s="31"/>
      <c r="G2829" s="29"/>
      <c r="H2829" s="78" t="str">
        <f t="shared" si="446"/>
        <v/>
      </c>
      <c r="I2829" s="25"/>
      <c r="J2829" s="25"/>
      <c r="K2829" s="26"/>
      <c r="L2829" s="26"/>
      <c r="M2829" s="37"/>
      <c r="N2829" s="27"/>
      <c r="O2829" s="30"/>
      <c r="P2829" s="39" t="str">
        <f t="shared" si="447"/>
        <v/>
      </c>
      <c r="Q2829" s="40" t="str">
        <f>IF(OR(T2829=0,RIGHT(T2829,1)=$W$1),"",COUNTIF($T$3:T2829,T2829))</f>
        <v/>
      </c>
      <c r="S2829" s="6">
        <f t="shared" si="448"/>
        <v>0</v>
      </c>
      <c r="T2829" s="36">
        <f t="shared" si="449"/>
        <v>0</v>
      </c>
      <c r="V2829" s="6">
        <f t="shared" si="450"/>
        <v>0</v>
      </c>
      <c r="Y2829" s="8">
        <f t="shared" si="451"/>
        <v>46023</v>
      </c>
    </row>
    <row r="2830" spans="2:25" ht="18.75" x14ac:dyDescent="0.3">
      <c r="B2830" s="6">
        <f t="shared" si="443"/>
        <v>0</v>
      </c>
      <c r="C2830" s="6">
        <f t="shared" si="444"/>
        <v>0</v>
      </c>
      <c r="D2830" s="6" t="str">
        <f t="shared" si="445"/>
        <v/>
      </c>
      <c r="E2830" s="35" t="str">
        <f t="shared" si="442"/>
        <v/>
      </c>
      <c r="F2830" s="31"/>
      <c r="G2830" s="29"/>
      <c r="H2830" s="78" t="str">
        <f t="shared" si="446"/>
        <v/>
      </c>
      <c r="I2830" s="25"/>
      <c r="J2830" s="25"/>
      <c r="K2830" s="26"/>
      <c r="L2830" s="26"/>
      <c r="M2830" s="37"/>
      <c r="N2830" s="27"/>
      <c r="O2830" s="30"/>
      <c r="P2830" s="39" t="str">
        <f t="shared" si="447"/>
        <v/>
      </c>
      <c r="Q2830" s="40" t="str">
        <f>IF(OR(T2830=0,RIGHT(T2830,1)=$W$1),"",COUNTIF($T$3:T2830,T2830))</f>
        <v/>
      </c>
      <c r="S2830" s="6">
        <f t="shared" si="448"/>
        <v>0</v>
      </c>
      <c r="T2830" s="36">
        <f t="shared" si="449"/>
        <v>0</v>
      </c>
      <c r="V2830" s="6">
        <f t="shared" si="450"/>
        <v>0</v>
      </c>
      <c r="Y2830" s="8">
        <f t="shared" si="451"/>
        <v>46023</v>
      </c>
    </row>
    <row r="2831" spans="2:25" ht="18.75" x14ac:dyDescent="0.3">
      <c r="B2831" s="6">
        <f t="shared" si="443"/>
        <v>0</v>
      </c>
      <c r="C2831" s="6">
        <f t="shared" si="444"/>
        <v>0</v>
      </c>
      <c r="D2831" s="6" t="str">
        <f t="shared" si="445"/>
        <v/>
      </c>
      <c r="E2831" s="35" t="str">
        <f t="shared" si="442"/>
        <v/>
      </c>
      <c r="F2831" s="31"/>
      <c r="G2831" s="29"/>
      <c r="H2831" s="78" t="str">
        <f t="shared" si="446"/>
        <v/>
      </c>
      <c r="I2831" s="25"/>
      <c r="J2831" s="25"/>
      <c r="K2831" s="26"/>
      <c r="L2831" s="26"/>
      <c r="M2831" s="37"/>
      <c r="N2831" s="27"/>
      <c r="O2831" s="30"/>
      <c r="P2831" s="39" t="str">
        <f t="shared" si="447"/>
        <v/>
      </c>
      <c r="Q2831" s="40" t="str">
        <f>IF(OR(T2831=0,RIGHT(T2831,1)=$W$1),"",COUNTIF($T$3:T2831,T2831))</f>
        <v/>
      </c>
      <c r="S2831" s="6">
        <f t="shared" si="448"/>
        <v>0</v>
      </c>
      <c r="T2831" s="36">
        <f t="shared" si="449"/>
        <v>0</v>
      </c>
      <c r="V2831" s="6">
        <f t="shared" si="450"/>
        <v>0</v>
      </c>
      <c r="Y2831" s="8">
        <f t="shared" si="451"/>
        <v>46023</v>
      </c>
    </row>
    <row r="2832" spans="2:25" ht="18.75" x14ac:dyDescent="0.3">
      <c r="B2832" s="6">
        <f t="shared" si="443"/>
        <v>0</v>
      </c>
      <c r="C2832" s="6">
        <f t="shared" si="444"/>
        <v>0</v>
      </c>
      <c r="D2832" s="6" t="str">
        <f t="shared" si="445"/>
        <v/>
      </c>
      <c r="E2832" s="35" t="str">
        <f t="shared" si="442"/>
        <v/>
      </c>
      <c r="F2832" s="31"/>
      <c r="G2832" s="29"/>
      <c r="H2832" s="78" t="str">
        <f t="shared" si="446"/>
        <v/>
      </c>
      <c r="I2832" s="25"/>
      <c r="J2832" s="25"/>
      <c r="K2832" s="26"/>
      <c r="L2832" s="26"/>
      <c r="M2832" s="37"/>
      <c r="N2832" s="27"/>
      <c r="O2832" s="30"/>
      <c r="P2832" s="39" t="str">
        <f t="shared" si="447"/>
        <v/>
      </c>
      <c r="Q2832" s="40" t="str">
        <f>IF(OR(T2832=0,RIGHT(T2832,1)=$W$1),"",COUNTIF($T$3:T2832,T2832))</f>
        <v/>
      </c>
      <c r="S2832" s="6">
        <f t="shared" si="448"/>
        <v>0</v>
      </c>
      <c r="T2832" s="36">
        <f t="shared" si="449"/>
        <v>0</v>
      </c>
      <c r="V2832" s="6">
        <f t="shared" si="450"/>
        <v>0</v>
      </c>
      <c r="Y2832" s="8">
        <f t="shared" si="451"/>
        <v>46023</v>
      </c>
    </row>
    <row r="2833" spans="2:25" ht="18.75" x14ac:dyDescent="0.3">
      <c r="B2833" s="6">
        <f t="shared" si="443"/>
        <v>0</v>
      </c>
      <c r="C2833" s="6">
        <f t="shared" si="444"/>
        <v>0</v>
      </c>
      <c r="D2833" s="6" t="str">
        <f t="shared" si="445"/>
        <v/>
      </c>
      <c r="E2833" s="35" t="str">
        <f t="shared" si="442"/>
        <v/>
      </c>
      <c r="F2833" s="31"/>
      <c r="G2833" s="29"/>
      <c r="H2833" s="78" t="str">
        <f t="shared" si="446"/>
        <v/>
      </c>
      <c r="I2833" s="25"/>
      <c r="J2833" s="25"/>
      <c r="K2833" s="26"/>
      <c r="L2833" s="26"/>
      <c r="M2833" s="37"/>
      <c r="N2833" s="27"/>
      <c r="O2833" s="30"/>
      <c r="P2833" s="39" t="str">
        <f t="shared" si="447"/>
        <v/>
      </c>
      <c r="Q2833" s="40" t="str">
        <f>IF(OR(T2833=0,RIGHT(T2833,1)=$W$1),"",COUNTIF($T$3:T2833,T2833))</f>
        <v/>
      </c>
      <c r="S2833" s="6">
        <f t="shared" si="448"/>
        <v>0</v>
      </c>
      <c r="T2833" s="36">
        <f t="shared" si="449"/>
        <v>0</v>
      </c>
      <c r="V2833" s="6">
        <f t="shared" si="450"/>
        <v>0</v>
      </c>
      <c r="Y2833" s="8">
        <f t="shared" si="451"/>
        <v>46023</v>
      </c>
    </row>
    <row r="2834" spans="2:25" ht="18.75" x14ac:dyDescent="0.3">
      <c r="B2834" s="6">
        <f t="shared" si="443"/>
        <v>0</v>
      </c>
      <c r="C2834" s="6">
        <f t="shared" si="444"/>
        <v>0</v>
      </c>
      <c r="D2834" s="6" t="str">
        <f t="shared" si="445"/>
        <v/>
      </c>
      <c r="E2834" s="35" t="str">
        <f t="shared" si="442"/>
        <v/>
      </c>
      <c r="F2834" s="31"/>
      <c r="G2834" s="29"/>
      <c r="H2834" s="78" t="str">
        <f t="shared" si="446"/>
        <v/>
      </c>
      <c r="I2834" s="25"/>
      <c r="J2834" s="25"/>
      <c r="K2834" s="26"/>
      <c r="L2834" s="26"/>
      <c r="M2834" s="37"/>
      <c r="N2834" s="27"/>
      <c r="O2834" s="30"/>
      <c r="P2834" s="39" t="str">
        <f t="shared" si="447"/>
        <v/>
      </c>
      <c r="Q2834" s="40" t="str">
        <f>IF(OR(T2834=0,RIGHT(T2834,1)=$W$1),"",COUNTIF($T$3:T2834,T2834))</f>
        <v/>
      </c>
      <c r="S2834" s="6">
        <f t="shared" si="448"/>
        <v>0</v>
      </c>
      <c r="T2834" s="36">
        <f t="shared" si="449"/>
        <v>0</v>
      </c>
      <c r="V2834" s="6">
        <f t="shared" si="450"/>
        <v>0</v>
      </c>
      <c r="Y2834" s="8">
        <f t="shared" si="451"/>
        <v>46023</v>
      </c>
    </row>
    <row r="2835" spans="2:25" ht="18.75" x14ac:dyDescent="0.3">
      <c r="B2835" s="6">
        <f t="shared" si="443"/>
        <v>0</v>
      </c>
      <c r="C2835" s="6">
        <f t="shared" si="444"/>
        <v>0</v>
      </c>
      <c r="D2835" s="6" t="str">
        <f t="shared" si="445"/>
        <v/>
      </c>
      <c r="E2835" s="35" t="str">
        <f t="shared" si="442"/>
        <v/>
      </c>
      <c r="F2835" s="31"/>
      <c r="G2835" s="29"/>
      <c r="H2835" s="78" t="str">
        <f t="shared" si="446"/>
        <v/>
      </c>
      <c r="I2835" s="25"/>
      <c r="J2835" s="25"/>
      <c r="K2835" s="26"/>
      <c r="L2835" s="26"/>
      <c r="M2835" s="37"/>
      <c r="N2835" s="27"/>
      <c r="O2835" s="30"/>
      <c r="P2835" s="39" t="str">
        <f t="shared" si="447"/>
        <v/>
      </c>
      <c r="Q2835" s="40" t="str">
        <f>IF(OR(T2835=0,RIGHT(T2835,1)=$W$1),"",COUNTIF($T$3:T2835,T2835))</f>
        <v/>
      </c>
      <c r="S2835" s="6">
        <f t="shared" si="448"/>
        <v>0</v>
      </c>
      <c r="T2835" s="36">
        <f t="shared" si="449"/>
        <v>0</v>
      </c>
      <c r="V2835" s="6">
        <f t="shared" si="450"/>
        <v>0</v>
      </c>
      <c r="Y2835" s="8">
        <f t="shared" si="451"/>
        <v>46023</v>
      </c>
    </row>
    <row r="2836" spans="2:25" ht="18.75" x14ac:dyDescent="0.3">
      <c r="B2836" s="6">
        <f t="shared" si="443"/>
        <v>0</v>
      </c>
      <c r="C2836" s="6">
        <f t="shared" si="444"/>
        <v>0</v>
      </c>
      <c r="D2836" s="6" t="str">
        <f t="shared" si="445"/>
        <v/>
      </c>
      <c r="E2836" s="35" t="str">
        <f t="shared" si="442"/>
        <v/>
      </c>
      <c r="F2836" s="31"/>
      <c r="G2836" s="29"/>
      <c r="H2836" s="78" t="str">
        <f t="shared" si="446"/>
        <v/>
      </c>
      <c r="I2836" s="25"/>
      <c r="J2836" s="25"/>
      <c r="K2836" s="26"/>
      <c r="L2836" s="26"/>
      <c r="M2836" s="37"/>
      <c r="N2836" s="27"/>
      <c r="O2836" s="30"/>
      <c r="P2836" s="39" t="str">
        <f t="shared" si="447"/>
        <v/>
      </c>
      <c r="Q2836" s="40" t="str">
        <f>IF(OR(T2836=0,RIGHT(T2836,1)=$W$1),"",COUNTIF($T$3:T2836,T2836))</f>
        <v/>
      </c>
      <c r="S2836" s="6">
        <f t="shared" si="448"/>
        <v>0</v>
      </c>
      <c r="T2836" s="36">
        <f t="shared" si="449"/>
        <v>0</v>
      </c>
      <c r="V2836" s="6">
        <f t="shared" si="450"/>
        <v>0</v>
      </c>
      <c r="Y2836" s="8">
        <f t="shared" si="451"/>
        <v>46023</v>
      </c>
    </row>
    <row r="2837" spans="2:25" ht="18.75" x14ac:dyDescent="0.3">
      <c r="B2837" s="6">
        <f t="shared" si="443"/>
        <v>0</v>
      </c>
      <c r="C2837" s="6">
        <f t="shared" si="444"/>
        <v>0</v>
      </c>
      <c r="D2837" s="6" t="str">
        <f t="shared" si="445"/>
        <v/>
      </c>
      <c r="E2837" s="35" t="str">
        <f t="shared" si="442"/>
        <v/>
      </c>
      <c r="F2837" s="31"/>
      <c r="G2837" s="29"/>
      <c r="H2837" s="78" t="str">
        <f t="shared" si="446"/>
        <v/>
      </c>
      <c r="I2837" s="25"/>
      <c r="J2837" s="25"/>
      <c r="K2837" s="26"/>
      <c r="L2837" s="26"/>
      <c r="M2837" s="37"/>
      <c r="N2837" s="27"/>
      <c r="O2837" s="30"/>
      <c r="P2837" s="39" t="str">
        <f t="shared" si="447"/>
        <v/>
      </c>
      <c r="Q2837" s="40" t="str">
        <f>IF(OR(T2837=0,RIGHT(T2837,1)=$W$1),"",COUNTIF($T$3:T2837,T2837))</f>
        <v/>
      </c>
      <c r="S2837" s="6">
        <f t="shared" si="448"/>
        <v>0</v>
      </c>
      <c r="T2837" s="36">
        <f t="shared" si="449"/>
        <v>0</v>
      </c>
      <c r="V2837" s="6">
        <f t="shared" si="450"/>
        <v>0</v>
      </c>
      <c r="Y2837" s="8">
        <f t="shared" si="451"/>
        <v>46023</v>
      </c>
    </row>
    <row r="2838" spans="2:25" ht="18.75" x14ac:dyDescent="0.3">
      <c r="B2838" s="6">
        <f t="shared" si="443"/>
        <v>0</v>
      </c>
      <c r="C2838" s="6">
        <f t="shared" si="444"/>
        <v>0</v>
      </c>
      <c r="D2838" s="6" t="str">
        <f t="shared" si="445"/>
        <v/>
      </c>
      <c r="E2838" s="35" t="str">
        <f t="shared" si="442"/>
        <v/>
      </c>
      <c r="F2838" s="31"/>
      <c r="G2838" s="29"/>
      <c r="H2838" s="78" t="str">
        <f t="shared" si="446"/>
        <v/>
      </c>
      <c r="I2838" s="25"/>
      <c r="J2838" s="25"/>
      <c r="K2838" s="26"/>
      <c r="L2838" s="26"/>
      <c r="M2838" s="37"/>
      <c r="N2838" s="27"/>
      <c r="O2838" s="30"/>
      <c r="P2838" s="39" t="str">
        <f t="shared" si="447"/>
        <v/>
      </c>
      <c r="Q2838" s="40" t="str">
        <f>IF(OR(T2838=0,RIGHT(T2838,1)=$W$1),"",COUNTIF($T$3:T2838,T2838))</f>
        <v/>
      </c>
      <c r="S2838" s="6">
        <f t="shared" si="448"/>
        <v>0</v>
      </c>
      <c r="T2838" s="36">
        <f t="shared" si="449"/>
        <v>0</v>
      </c>
      <c r="V2838" s="6">
        <f t="shared" si="450"/>
        <v>0</v>
      </c>
      <c r="Y2838" s="8">
        <f t="shared" si="451"/>
        <v>46023</v>
      </c>
    </row>
    <row r="2839" spans="2:25" ht="18.75" x14ac:dyDescent="0.3">
      <c r="B2839" s="6">
        <f t="shared" si="443"/>
        <v>0</v>
      </c>
      <c r="C2839" s="6">
        <f t="shared" si="444"/>
        <v>0</v>
      </c>
      <c r="D2839" s="6" t="str">
        <f t="shared" si="445"/>
        <v/>
      </c>
      <c r="E2839" s="35" t="str">
        <f t="shared" si="442"/>
        <v/>
      </c>
      <c r="F2839" s="31"/>
      <c r="G2839" s="29"/>
      <c r="H2839" s="78" t="str">
        <f t="shared" si="446"/>
        <v/>
      </c>
      <c r="I2839" s="25"/>
      <c r="J2839" s="25"/>
      <c r="K2839" s="26"/>
      <c r="L2839" s="26"/>
      <c r="M2839" s="37"/>
      <c r="N2839" s="27"/>
      <c r="O2839" s="30"/>
      <c r="P2839" s="39" t="str">
        <f t="shared" si="447"/>
        <v/>
      </c>
      <c r="Q2839" s="40" t="str">
        <f>IF(OR(T2839=0,RIGHT(T2839,1)=$W$1),"",COUNTIF($T$3:T2839,T2839))</f>
        <v/>
      </c>
      <c r="S2839" s="6">
        <f t="shared" si="448"/>
        <v>0</v>
      </c>
      <c r="T2839" s="36">
        <f t="shared" si="449"/>
        <v>0</v>
      </c>
      <c r="V2839" s="6">
        <f t="shared" si="450"/>
        <v>0</v>
      </c>
      <c r="Y2839" s="8">
        <f t="shared" si="451"/>
        <v>46023</v>
      </c>
    </row>
    <row r="2840" spans="2:25" ht="18.75" x14ac:dyDescent="0.3">
      <c r="B2840" s="6">
        <f t="shared" si="443"/>
        <v>0</v>
      </c>
      <c r="C2840" s="6">
        <f t="shared" si="444"/>
        <v>0</v>
      </c>
      <c r="D2840" s="6" t="str">
        <f t="shared" si="445"/>
        <v/>
      </c>
      <c r="E2840" s="35" t="str">
        <f t="shared" si="442"/>
        <v/>
      </c>
      <c r="F2840" s="31"/>
      <c r="G2840" s="29"/>
      <c r="H2840" s="78" t="str">
        <f t="shared" si="446"/>
        <v/>
      </c>
      <c r="I2840" s="25"/>
      <c r="J2840" s="25"/>
      <c r="K2840" s="26"/>
      <c r="L2840" s="26"/>
      <c r="M2840" s="37"/>
      <c r="N2840" s="27"/>
      <c r="O2840" s="30"/>
      <c r="P2840" s="39" t="str">
        <f t="shared" si="447"/>
        <v/>
      </c>
      <c r="Q2840" s="40" t="str">
        <f>IF(OR(T2840=0,RIGHT(T2840,1)=$W$1),"",COUNTIF($T$3:T2840,T2840))</f>
        <v/>
      </c>
      <c r="S2840" s="6">
        <f t="shared" si="448"/>
        <v>0</v>
      </c>
      <c r="T2840" s="36">
        <f t="shared" si="449"/>
        <v>0</v>
      </c>
      <c r="V2840" s="6">
        <f t="shared" si="450"/>
        <v>0</v>
      </c>
      <c r="Y2840" s="8">
        <f t="shared" si="451"/>
        <v>46023</v>
      </c>
    </row>
    <row r="2841" spans="2:25" ht="18.75" x14ac:dyDescent="0.3">
      <c r="B2841" s="6">
        <f t="shared" si="443"/>
        <v>0</v>
      </c>
      <c r="C2841" s="6">
        <f t="shared" si="444"/>
        <v>0</v>
      </c>
      <c r="D2841" s="6" t="str">
        <f t="shared" si="445"/>
        <v/>
      </c>
      <c r="E2841" s="35" t="str">
        <f t="shared" si="442"/>
        <v/>
      </c>
      <c r="F2841" s="31"/>
      <c r="G2841" s="29"/>
      <c r="H2841" s="78" t="str">
        <f t="shared" si="446"/>
        <v/>
      </c>
      <c r="I2841" s="25"/>
      <c r="J2841" s="25"/>
      <c r="K2841" s="26"/>
      <c r="L2841" s="26"/>
      <c r="M2841" s="37"/>
      <c r="N2841" s="27"/>
      <c r="O2841" s="30"/>
      <c r="P2841" s="39" t="str">
        <f t="shared" si="447"/>
        <v/>
      </c>
      <c r="Q2841" s="40" t="str">
        <f>IF(OR(T2841=0,RIGHT(T2841,1)=$W$1),"",COUNTIF($T$3:T2841,T2841))</f>
        <v/>
      </c>
      <c r="S2841" s="6">
        <f t="shared" si="448"/>
        <v>0</v>
      </c>
      <c r="T2841" s="36">
        <f t="shared" si="449"/>
        <v>0</v>
      </c>
      <c r="V2841" s="6">
        <f t="shared" si="450"/>
        <v>0</v>
      </c>
      <c r="Y2841" s="8">
        <f t="shared" si="451"/>
        <v>46023</v>
      </c>
    </row>
    <row r="2842" spans="2:25" ht="18.75" x14ac:dyDescent="0.3">
      <c r="B2842" s="6">
        <f t="shared" si="443"/>
        <v>0</v>
      </c>
      <c r="C2842" s="6">
        <f t="shared" si="444"/>
        <v>0</v>
      </c>
      <c r="D2842" s="6" t="str">
        <f t="shared" si="445"/>
        <v/>
      </c>
      <c r="E2842" s="35" t="str">
        <f t="shared" si="442"/>
        <v/>
      </c>
      <c r="F2842" s="31"/>
      <c r="G2842" s="29"/>
      <c r="H2842" s="78" t="str">
        <f t="shared" si="446"/>
        <v/>
      </c>
      <c r="I2842" s="25"/>
      <c r="J2842" s="25"/>
      <c r="K2842" s="26"/>
      <c r="L2842" s="26"/>
      <c r="M2842" s="37"/>
      <c r="N2842" s="27"/>
      <c r="O2842" s="30"/>
      <c r="P2842" s="39" t="str">
        <f t="shared" si="447"/>
        <v/>
      </c>
      <c r="Q2842" s="40" t="str">
        <f>IF(OR(T2842=0,RIGHT(T2842,1)=$W$1),"",COUNTIF($T$3:T2842,T2842))</f>
        <v/>
      </c>
      <c r="S2842" s="6">
        <f t="shared" si="448"/>
        <v>0</v>
      </c>
      <c r="T2842" s="36">
        <f t="shared" si="449"/>
        <v>0</v>
      </c>
      <c r="V2842" s="6">
        <f t="shared" si="450"/>
        <v>0</v>
      </c>
      <c r="Y2842" s="8">
        <f t="shared" si="451"/>
        <v>46023</v>
      </c>
    </row>
    <row r="2843" spans="2:25" ht="18.75" x14ac:dyDescent="0.3">
      <c r="B2843" s="6">
        <f t="shared" si="443"/>
        <v>0</v>
      </c>
      <c r="C2843" s="6">
        <f t="shared" si="444"/>
        <v>0</v>
      </c>
      <c r="D2843" s="6" t="str">
        <f t="shared" si="445"/>
        <v/>
      </c>
      <c r="E2843" s="35" t="str">
        <f t="shared" si="442"/>
        <v/>
      </c>
      <c r="F2843" s="31"/>
      <c r="G2843" s="29"/>
      <c r="H2843" s="78" t="str">
        <f t="shared" si="446"/>
        <v/>
      </c>
      <c r="I2843" s="25"/>
      <c r="J2843" s="25"/>
      <c r="K2843" s="26"/>
      <c r="L2843" s="26"/>
      <c r="M2843" s="37"/>
      <c r="N2843" s="27"/>
      <c r="O2843" s="30"/>
      <c r="P2843" s="39" t="str">
        <f t="shared" si="447"/>
        <v/>
      </c>
      <c r="Q2843" s="40" t="str">
        <f>IF(OR(T2843=0,RIGHT(T2843,1)=$W$1),"",COUNTIF($T$3:T2843,T2843))</f>
        <v/>
      </c>
      <c r="S2843" s="6">
        <f t="shared" si="448"/>
        <v>0</v>
      </c>
      <c r="T2843" s="36">
        <f t="shared" si="449"/>
        <v>0</v>
      </c>
      <c r="V2843" s="6">
        <f t="shared" si="450"/>
        <v>0</v>
      </c>
      <c r="Y2843" s="8">
        <f t="shared" si="451"/>
        <v>46023</v>
      </c>
    </row>
    <row r="2844" spans="2:25" ht="18.75" x14ac:dyDescent="0.3">
      <c r="B2844" s="6">
        <f t="shared" si="443"/>
        <v>0</v>
      </c>
      <c r="C2844" s="6">
        <f t="shared" si="444"/>
        <v>0</v>
      </c>
      <c r="D2844" s="6" t="str">
        <f t="shared" si="445"/>
        <v/>
      </c>
      <c r="E2844" s="35" t="str">
        <f t="shared" si="442"/>
        <v/>
      </c>
      <c r="F2844" s="31"/>
      <c r="G2844" s="29"/>
      <c r="H2844" s="78" t="str">
        <f t="shared" si="446"/>
        <v/>
      </c>
      <c r="I2844" s="25"/>
      <c r="J2844" s="25"/>
      <c r="K2844" s="26"/>
      <c r="L2844" s="26"/>
      <c r="M2844" s="37"/>
      <c r="N2844" s="27"/>
      <c r="O2844" s="30"/>
      <c r="P2844" s="39" t="str">
        <f t="shared" si="447"/>
        <v/>
      </c>
      <c r="Q2844" s="40" t="str">
        <f>IF(OR(T2844=0,RIGHT(T2844,1)=$W$1),"",COUNTIF($T$3:T2844,T2844))</f>
        <v/>
      </c>
      <c r="S2844" s="6">
        <f t="shared" si="448"/>
        <v>0</v>
      </c>
      <c r="T2844" s="36">
        <f t="shared" si="449"/>
        <v>0</v>
      </c>
      <c r="V2844" s="6">
        <f t="shared" si="450"/>
        <v>0</v>
      </c>
      <c r="Y2844" s="8">
        <f t="shared" si="451"/>
        <v>46023</v>
      </c>
    </row>
    <row r="2845" spans="2:25" ht="18.75" x14ac:dyDescent="0.3">
      <c r="B2845" s="6">
        <f t="shared" si="443"/>
        <v>0</v>
      </c>
      <c r="C2845" s="6">
        <f t="shared" si="444"/>
        <v>0</v>
      </c>
      <c r="D2845" s="6" t="str">
        <f t="shared" si="445"/>
        <v/>
      </c>
      <c r="E2845" s="35" t="str">
        <f t="shared" si="442"/>
        <v/>
      </c>
      <c r="F2845" s="31"/>
      <c r="G2845" s="29"/>
      <c r="H2845" s="78" t="str">
        <f t="shared" si="446"/>
        <v/>
      </c>
      <c r="I2845" s="25"/>
      <c r="J2845" s="25"/>
      <c r="K2845" s="26"/>
      <c r="L2845" s="26"/>
      <c r="M2845" s="37"/>
      <c r="N2845" s="27"/>
      <c r="O2845" s="30"/>
      <c r="P2845" s="39" t="str">
        <f t="shared" si="447"/>
        <v/>
      </c>
      <c r="Q2845" s="40" t="str">
        <f>IF(OR(T2845=0,RIGHT(T2845,1)=$W$1),"",COUNTIF($T$3:T2845,T2845))</f>
        <v/>
      </c>
      <c r="S2845" s="6">
        <f t="shared" si="448"/>
        <v>0</v>
      </c>
      <c r="T2845" s="36">
        <f t="shared" si="449"/>
        <v>0</v>
      </c>
      <c r="V2845" s="6">
        <f t="shared" si="450"/>
        <v>0</v>
      </c>
      <c r="Y2845" s="8">
        <f t="shared" si="451"/>
        <v>46023</v>
      </c>
    </row>
    <row r="2846" spans="2:25" ht="18.75" x14ac:dyDescent="0.3">
      <c r="B2846" s="6">
        <f t="shared" si="443"/>
        <v>0</v>
      </c>
      <c r="C2846" s="6">
        <f t="shared" si="444"/>
        <v>0</v>
      </c>
      <c r="D2846" s="6" t="str">
        <f t="shared" si="445"/>
        <v/>
      </c>
      <c r="E2846" s="35" t="str">
        <f t="shared" si="442"/>
        <v/>
      </c>
      <c r="F2846" s="31"/>
      <c r="G2846" s="29"/>
      <c r="H2846" s="78" t="str">
        <f t="shared" si="446"/>
        <v/>
      </c>
      <c r="I2846" s="25"/>
      <c r="J2846" s="25"/>
      <c r="K2846" s="26"/>
      <c r="L2846" s="26"/>
      <c r="M2846" s="37"/>
      <c r="N2846" s="27"/>
      <c r="O2846" s="30"/>
      <c r="P2846" s="39" t="str">
        <f t="shared" si="447"/>
        <v/>
      </c>
      <c r="Q2846" s="40" t="str">
        <f>IF(OR(T2846=0,RIGHT(T2846,1)=$W$1),"",COUNTIF($T$3:T2846,T2846))</f>
        <v/>
      </c>
      <c r="S2846" s="6">
        <f t="shared" si="448"/>
        <v>0</v>
      </c>
      <c r="T2846" s="36">
        <f t="shared" si="449"/>
        <v>0</v>
      </c>
      <c r="V2846" s="6">
        <f t="shared" si="450"/>
        <v>0</v>
      </c>
      <c r="Y2846" s="8">
        <f t="shared" si="451"/>
        <v>46023</v>
      </c>
    </row>
    <row r="2847" spans="2:25" ht="18.75" x14ac:dyDescent="0.3">
      <c r="B2847" s="6">
        <f t="shared" si="443"/>
        <v>0</v>
      </c>
      <c r="C2847" s="6">
        <f t="shared" si="444"/>
        <v>0</v>
      </c>
      <c r="D2847" s="6" t="str">
        <f t="shared" si="445"/>
        <v/>
      </c>
      <c r="E2847" s="35" t="str">
        <f t="shared" si="442"/>
        <v/>
      </c>
      <c r="F2847" s="31"/>
      <c r="G2847" s="29"/>
      <c r="H2847" s="78" t="str">
        <f t="shared" si="446"/>
        <v/>
      </c>
      <c r="I2847" s="25"/>
      <c r="J2847" s="25"/>
      <c r="K2847" s="26"/>
      <c r="L2847" s="26"/>
      <c r="M2847" s="37"/>
      <c r="N2847" s="27"/>
      <c r="O2847" s="30"/>
      <c r="P2847" s="39" t="str">
        <f t="shared" si="447"/>
        <v/>
      </c>
      <c r="Q2847" s="40" t="str">
        <f>IF(OR(T2847=0,RIGHT(T2847,1)=$W$1),"",COUNTIF($T$3:T2847,T2847))</f>
        <v/>
      </c>
      <c r="S2847" s="6">
        <f t="shared" si="448"/>
        <v>0</v>
      </c>
      <c r="T2847" s="36">
        <f t="shared" si="449"/>
        <v>0</v>
      </c>
      <c r="V2847" s="6">
        <f t="shared" si="450"/>
        <v>0</v>
      </c>
      <c r="Y2847" s="8">
        <f t="shared" si="451"/>
        <v>46023</v>
      </c>
    </row>
    <row r="2848" spans="2:25" ht="18.75" x14ac:dyDescent="0.3">
      <c r="B2848" s="6">
        <f t="shared" si="443"/>
        <v>0</v>
      </c>
      <c r="C2848" s="6">
        <f t="shared" si="444"/>
        <v>0</v>
      </c>
      <c r="D2848" s="6" t="str">
        <f t="shared" si="445"/>
        <v/>
      </c>
      <c r="E2848" s="35" t="str">
        <f t="shared" si="442"/>
        <v/>
      </c>
      <c r="F2848" s="31"/>
      <c r="G2848" s="29"/>
      <c r="H2848" s="78" t="str">
        <f t="shared" si="446"/>
        <v/>
      </c>
      <c r="I2848" s="25"/>
      <c r="J2848" s="25"/>
      <c r="K2848" s="26"/>
      <c r="L2848" s="26"/>
      <c r="M2848" s="37"/>
      <c r="N2848" s="27"/>
      <c r="O2848" s="30"/>
      <c r="P2848" s="39" t="str">
        <f t="shared" si="447"/>
        <v/>
      </c>
      <c r="Q2848" s="40" t="str">
        <f>IF(OR(T2848=0,RIGHT(T2848,1)=$W$1),"",COUNTIF($T$3:T2848,T2848))</f>
        <v/>
      </c>
      <c r="S2848" s="6">
        <f t="shared" si="448"/>
        <v>0</v>
      </c>
      <c r="T2848" s="36">
        <f t="shared" si="449"/>
        <v>0</v>
      </c>
      <c r="V2848" s="6">
        <f t="shared" si="450"/>
        <v>0</v>
      </c>
      <c r="Y2848" s="8">
        <f t="shared" si="451"/>
        <v>46023</v>
      </c>
    </row>
    <row r="2849" spans="2:25" ht="18.75" x14ac:dyDescent="0.3">
      <c r="B2849" s="6">
        <f t="shared" si="443"/>
        <v>0</v>
      </c>
      <c r="C2849" s="6">
        <f t="shared" si="444"/>
        <v>0</v>
      </c>
      <c r="D2849" s="6" t="str">
        <f t="shared" si="445"/>
        <v/>
      </c>
      <c r="E2849" s="35" t="str">
        <f t="shared" si="442"/>
        <v/>
      </c>
      <c r="F2849" s="31"/>
      <c r="G2849" s="29"/>
      <c r="H2849" s="78" t="str">
        <f t="shared" si="446"/>
        <v/>
      </c>
      <c r="I2849" s="25"/>
      <c r="J2849" s="25"/>
      <c r="K2849" s="26"/>
      <c r="L2849" s="26"/>
      <c r="M2849" s="37"/>
      <c r="N2849" s="27"/>
      <c r="O2849" s="30"/>
      <c r="P2849" s="39" t="str">
        <f t="shared" si="447"/>
        <v/>
      </c>
      <c r="Q2849" s="40" t="str">
        <f>IF(OR(T2849=0,RIGHT(T2849,1)=$W$1),"",COUNTIF($T$3:T2849,T2849))</f>
        <v/>
      </c>
      <c r="S2849" s="6">
        <f t="shared" si="448"/>
        <v>0</v>
      </c>
      <c r="T2849" s="36">
        <f t="shared" si="449"/>
        <v>0</v>
      </c>
      <c r="V2849" s="6">
        <f t="shared" si="450"/>
        <v>0</v>
      </c>
      <c r="Y2849" s="8">
        <f t="shared" si="451"/>
        <v>46023</v>
      </c>
    </row>
    <row r="2850" spans="2:25" ht="18.75" x14ac:dyDescent="0.3">
      <c r="B2850" s="6">
        <f t="shared" si="443"/>
        <v>0</v>
      </c>
      <c r="C2850" s="6">
        <f t="shared" si="444"/>
        <v>0</v>
      </c>
      <c r="D2850" s="6" t="str">
        <f t="shared" si="445"/>
        <v/>
      </c>
      <c r="E2850" s="35" t="str">
        <f t="shared" si="442"/>
        <v/>
      </c>
      <c r="F2850" s="31"/>
      <c r="G2850" s="29"/>
      <c r="H2850" s="78" t="str">
        <f t="shared" si="446"/>
        <v/>
      </c>
      <c r="I2850" s="25"/>
      <c r="J2850" s="25"/>
      <c r="K2850" s="26"/>
      <c r="L2850" s="26"/>
      <c r="M2850" s="37"/>
      <c r="N2850" s="27"/>
      <c r="O2850" s="30"/>
      <c r="P2850" s="39" t="str">
        <f t="shared" si="447"/>
        <v/>
      </c>
      <c r="Q2850" s="40" t="str">
        <f>IF(OR(T2850=0,RIGHT(T2850,1)=$W$1),"",COUNTIF($T$3:T2850,T2850))</f>
        <v/>
      </c>
      <c r="S2850" s="6">
        <f t="shared" si="448"/>
        <v>0</v>
      </c>
      <c r="T2850" s="36">
        <f t="shared" si="449"/>
        <v>0</v>
      </c>
      <c r="V2850" s="6">
        <f t="shared" si="450"/>
        <v>0</v>
      </c>
      <c r="Y2850" s="8">
        <f t="shared" si="451"/>
        <v>46023</v>
      </c>
    </row>
    <row r="2851" spans="2:25" ht="18.75" x14ac:dyDescent="0.3">
      <c r="B2851" s="6">
        <f t="shared" si="443"/>
        <v>0</v>
      </c>
      <c r="C2851" s="6">
        <f t="shared" si="444"/>
        <v>0</v>
      </c>
      <c r="D2851" s="6" t="str">
        <f t="shared" si="445"/>
        <v/>
      </c>
      <c r="E2851" s="35" t="str">
        <f t="shared" si="442"/>
        <v/>
      </c>
      <c r="F2851" s="31"/>
      <c r="G2851" s="29"/>
      <c r="H2851" s="78" t="str">
        <f t="shared" si="446"/>
        <v/>
      </c>
      <c r="I2851" s="25"/>
      <c r="J2851" s="25"/>
      <c r="K2851" s="26"/>
      <c r="L2851" s="26"/>
      <c r="M2851" s="37"/>
      <c r="N2851" s="27"/>
      <c r="O2851" s="30"/>
      <c r="P2851" s="39" t="str">
        <f t="shared" si="447"/>
        <v/>
      </c>
      <c r="Q2851" s="40" t="str">
        <f>IF(OR(T2851=0,RIGHT(T2851,1)=$W$1),"",COUNTIF($T$3:T2851,T2851))</f>
        <v/>
      </c>
      <c r="S2851" s="6">
        <f t="shared" si="448"/>
        <v>0</v>
      </c>
      <c r="T2851" s="36">
        <f t="shared" si="449"/>
        <v>0</v>
      </c>
      <c r="V2851" s="6">
        <f t="shared" si="450"/>
        <v>0</v>
      </c>
      <c r="Y2851" s="8">
        <f t="shared" si="451"/>
        <v>46023</v>
      </c>
    </row>
    <row r="2852" spans="2:25" ht="18.75" x14ac:dyDescent="0.3">
      <c r="B2852" s="6">
        <f t="shared" si="443"/>
        <v>0</v>
      </c>
      <c r="C2852" s="6">
        <f t="shared" si="444"/>
        <v>0</v>
      </c>
      <c r="D2852" s="6" t="str">
        <f t="shared" si="445"/>
        <v/>
      </c>
      <c r="E2852" s="35" t="str">
        <f t="shared" si="442"/>
        <v/>
      </c>
      <c r="F2852" s="31"/>
      <c r="G2852" s="29"/>
      <c r="H2852" s="78" t="str">
        <f t="shared" si="446"/>
        <v/>
      </c>
      <c r="I2852" s="25"/>
      <c r="J2852" s="25"/>
      <c r="K2852" s="26"/>
      <c r="L2852" s="26"/>
      <c r="M2852" s="37"/>
      <c r="N2852" s="27"/>
      <c r="O2852" s="30"/>
      <c r="P2852" s="39" t="str">
        <f t="shared" si="447"/>
        <v/>
      </c>
      <c r="Q2852" s="40" t="str">
        <f>IF(OR(T2852=0,RIGHT(T2852,1)=$W$1),"",COUNTIF($T$3:T2852,T2852))</f>
        <v/>
      </c>
      <c r="S2852" s="6">
        <f t="shared" si="448"/>
        <v>0</v>
      </c>
      <c r="T2852" s="36">
        <f t="shared" si="449"/>
        <v>0</v>
      </c>
      <c r="V2852" s="6">
        <f t="shared" si="450"/>
        <v>0</v>
      </c>
      <c r="Y2852" s="8">
        <f t="shared" si="451"/>
        <v>46023</v>
      </c>
    </row>
    <row r="2853" spans="2:25" ht="18.75" x14ac:dyDescent="0.3">
      <c r="B2853" s="6">
        <f t="shared" si="443"/>
        <v>0</v>
      </c>
      <c r="C2853" s="6">
        <f t="shared" si="444"/>
        <v>0</v>
      </c>
      <c r="D2853" s="6" t="str">
        <f t="shared" si="445"/>
        <v/>
      </c>
      <c r="E2853" s="35" t="str">
        <f t="shared" si="442"/>
        <v/>
      </c>
      <c r="F2853" s="31"/>
      <c r="G2853" s="29"/>
      <c r="H2853" s="78" t="str">
        <f t="shared" si="446"/>
        <v/>
      </c>
      <c r="I2853" s="25"/>
      <c r="J2853" s="25"/>
      <c r="K2853" s="26"/>
      <c r="L2853" s="26"/>
      <c r="M2853" s="37"/>
      <c r="N2853" s="27"/>
      <c r="O2853" s="30"/>
      <c r="P2853" s="39" t="str">
        <f t="shared" si="447"/>
        <v/>
      </c>
      <c r="Q2853" s="40" t="str">
        <f>IF(OR(T2853=0,RIGHT(T2853,1)=$W$1),"",COUNTIF($T$3:T2853,T2853))</f>
        <v/>
      </c>
      <c r="S2853" s="6">
        <f t="shared" si="448"/>
        <v>0</v>
      </c>
      <c r="T2853" s="36">
        <f t="shared" si="449"/>
        <v>0</v>
      </c>
      <c r="V2853" s="6">
        <f t="shared" si="450"/>
        <v>0</v>
      </c>
      <c r="Y2853" s="8">
        <f t="shared" si="451"/>
        <v>46023</v>
      </c>
    </row>
    <row r="2854" spans="2:25" ht="18.75" x14ac:dyDescent="0.3">
      <c r="B2854" s="6">
        <f t="shared" si="443"/>
        <v>0</v>
      </c>
      <c r="C2854" s="6">
        <f t="shared" si="444"/>
        <v>0</v>
      </c>
      <c r="D2854" s="6" t="str">
        <f t="shared" si="445"/>
        <v/>
      </c>
      <c r="E2854" s="35" t="str">
        <f t="shared" si="442"/>
        <v/>
      </c>
      <c r="F2854" s="31"/>
      <c r="G2854" s="29"/>
      <c r="H2854" s="78" t="str">
        <f t="shared" si="446"/>
        <v/>
      </c>
      <c r="I2854" s="25"/>
      <c r="J2854" s="25"/>
      <c r="K2854" s="26"/>
      <c r="L2854" s="26"/>
      <c r="M2854" s="37"/>
      <c r="N2854" s="27"/>
      <c r="O2854" s="30"/>
      <c r="P2854" s="39" t="str">
        <f t="shared" si="447"/>
        <v/>
      </c>
      <c r="Q2854" s="40" t="str">
        <f>IF(OR(T2854=0,RIGHT(T2854,1)=$W$1),"",COUNTIF($T$3:T2854,T2854))</f>
        <v/>
      </c>
      <c r="S2854" s="6">
        <f t="shared" si="448"/>
        <v>0</v>
      </c>
      <c r="T2854" s="36">
        <f t="shared" si="449"/>
        <v>0</v>
      </c>
      <c r="V2854" s="6">
        <f t="shared" si="450"/>
        <v>0</v>
      </c>
      <c r="Y2854" s="8">
        <f t="shared" si="451"/>
        <v>46023</v>
      </c>
    </row>
    <row r="2855" spans="2:25" ht="18.75" x14ac:dyDescent="0.3">
      <c r="B2855" s="6">
        <f t="shared" si="443"/>
        <v>0</v>
      </c>
      <c r="C2855" s="6">
        <f t="shared" si="444"/>
        <v>0</v>
      </c>
      <c r="D2855" s="6" t="str">
        <f t="shared" si="445"/>
        <v/>
      </c>
      <c r="E2855" s="35" t="str">
        <f t="shared" si="442"/>
        <v/>
      </c>
      <c r="F2855" s="31"/>
      <c r="G2855" s="29"/>
      <c r="H2855" s="78" t="str">
        <f t="shared" si="446"/>
        <v/>
      </c>
      <c r="I2855" s="25"/>
      <c r="J2855" s="25"/>
      <c r="K2855" s="26"/>
      <c r="L2855" s="26"/>
      <c r="M2855" s="37"/>
      <c r="N2855" s="27"/>
      <c r="O2855" s="30"/>
      <c r="P2855" s="39" t="str">
        <f t="shared" si="447"/>
        <v/>
      </c>
      <c r="Q2855" s="40" t="str">
        <f>IF(OR(T2855=0,RIGHT(T2855,1)=$W$1),"",COUNTIF($T$3:T2855,T2855))</f>
        <v/>
      </c>
      <c r="S2855" s="6">
        <f t="shared" si="448"/>
        <v>0</v>
      </c>
      <c r="T2855" s="36">
        <f t="shared" si="449"/>
        <v>0</v>
      </c>
      <c r="V2855" s="6">
        <f t="shared" si="450"/>
        <v>0</v>
      </c>
      <c r="Y2855" s="8">
        <f t="shared" si="451"/>
        <v>46023</v>
      </c>
    </row>
    <row r="2856" spans="2:25" ht="18.75" x14ac:dyDescent="0.3">
      <c r="B2856" s="6">
        <f t="shared" si="443"/>
        <v>0</v>
      </c>
      <c r="C2856" s="6">
        <f t="shared" si="444"/>
        <v>0</v>
      </c>
      <c r="D2856" s="6" t="str">
        <f t="shared" si="445"/>
        <v/>
      </c>
      <c r="E2856" s="35" t="str">
        <f t="shared" si="442"/>
        <v/>
      </c>
      <c r="F2856" s="31"/>
      <c r="G2856" s="29"/>
      <c r="H2856" s="78" t="str">
        <f t="shared" si="446"/>
        <v/>
      </c>
      <c r="I2856" s="25"/>
      <c r="J2856" s="25"/>
      <c r="K2856" s="26"/>
      <c r="L2856" s="26"/>
      <c r="M2856" s="37"/>
      <c r="N2856" s="27"/>
      <c r="O2856" s="30"/>
      <c r="P2856" s="39" t="str">
        <f t="shared" si="447"/>
        <v/>
      </c>
      <c r="Q2856" s="40" t="str">
        <f>IF(OR(T2856=0,RIGHT(T2856,1)=$W$1),"",COUNTIF($T$3:T2856,T2856))</f>
        <v/>
      </c>
      <c r="S2856" s="6">
        <f t="shared" si="448"/>
        <v>0</v>
      </c>
      <c r="T2856" s="36">
        <f t="shared" si="449"/>
        <v>0</v>
      </c>
      <c r="V2856" s="6">
        <f t="shared" si="450"/>
        <v>0</v>
      </c>
      <c r="Y2856" s="8">
        <f t="shared" si="451"/>
        <v>46023</v>
      </c>
    </row>
    <row r="2857" spans="2:25" ht="18.75" x14ac:dyDescent="0.3">
      <c r="B2857" s="6">
        <f t="shared" si="443"/>
        <v>0</v>
      </c>
      <c r="C2857" s="6">
        <f t="shared" si="444"/>
        <v>0</v>
      </c>
      <c r="D2857" s="6" t="str">
        <f t="shared" si="445"/>
        <v/>
      </c>
      <c r="E2857" s="35" t="str">
        <f t="shared" si="442"/>
        <v/>
      </c>
      <c r="F2857" s="31"/>
      <c r="G2857" s="29"/>
      <c r="H2857" s="78" t="str">
        <f t="shared" si="446"/>
        <v/>
      </c>
      <c r="I2857" s="25"/>
      <c r="J2857" s="25"/>
      <c r="K2857" s="26"/>
      <c r="L2857" s="26"/>
      <c r="M2857" s="37"/>
      <c r="N2857" s="27"/>
      <c r="O2857" s="30"/>
      <c r="P2857" s="39" t="str">
        <f t="shared" si="447"/>
        <v/>
      </c>
      <c r="Q2857" s="40" t="str">
        <f>IF(OR(T2857=0,RIGHT(T2857,1)=$W$1),"",COUNTIF($T$3:T2857,T2857))</f>
        <v/>
      </c>
      <c r="S2857" s="6">
        <f t="shared" si="448"/>
        <v>0</v>
      </c>
      <c r="T2857" s="36">
        <f t="shared" si="449"/>
        <v>0</v>
      </c>
      <c r="V2857" s="6">
        <f t="shared" si="450"/>
        <v>0</v>
      </c>
      <c r="Y2857" s="8">
        <f t="shared" si="451"/>
        <v>46023</v>
      </c>
    </row>
    <row r="2858" spans="2:25" ht="18.75" x14ac:dyDescent="0.3">
      <c r="B2858" s="6">
        <f t="shared" si="443"/>
        <v>0</v>
      </c>
      <c r="C2858" s="6">
        <f t="shared" si="444"/>
        <v>0</v>
      </c>
      <c r="D2858" s="6" t="str">
        <f t="shared" si="445"/>
        <v/>
      </c>
      <c r="E2858" s="35" t="str">
        <f t="shared" si="442"/>
        <v/>
      </c>
      <c r="F2858" s="31"/>
      <c r="G2858" s="29"/>
      <c r="H2858" s="78" t="str">
        <f t="shared" si="446"/>
        <v/>
      </c>
      <c r="I2858" s="25"/>
      <c r="J2858" s="25"/>
      <c r="K2858" s="26"/>
      <c r="L2858" s="26"/>
      <c r="M2858" s="37"/>
      <c r="N2858" s="27"/>
      <c r="O2858" s="30"/>
      <c r="P2858" s="39" t="str">
        <f t="shared" si="447"/>
        <v/>
      </c>
      <c r="Q2858" s="40" t="str">
        <f>IF(OR(T2858=0,RIGHT(T2858,1)=$W$1),"",COUNTIF($T$3:T2858,T2858))</f>
        <v/>
      </c>
      <c r="S2858" s="6">
        <f t="shared" si="448"/>
        <v>0</v>
      </c>
      <c r="T2858" s="36">
        <f t="shared" si="449"/>
        <v>0</v>
      </c>
      <c r="V2858" s="6">
        <f t="shared" si="450"/>
        <v>0</v>
      </c>
      <c r="Y2858" s="8">
        <f t="shared" si="451"/>
        <v>46023</v>
      </c>
    </row>
    <row r="2859" spans="2:25" ht="18.75" x14ac:dyDescent="0.3">
      <c r="B2859" s="6">
        <f t="shared" si="443"/>
        <v>0</v>
      </c>
      <c r="C2859" s="6">
        <f t="shared" si="444"/>
        <v>0</v>
      </c>
      <c r="D2859" s="6" t="str">
        <f t="shared" si="445"/>
        <v/>
      </c>
      <c r="E2859" s="35" t="str">
        <f t="shared" si="442"/>
        <v/>
      </c>
      <c r="F2859" s="31"/>
      <c r="G2859" s="29"/>
      <c r="H2859" s="78" t="str">
        <f t="shared" si="446"/>
        <v/>
      </c>
      <c r="I2859" s="25"/>
      <c r="J2859" s="25"/>
      <c r="K2859" s="26"/>
      <c r="L2859" s="26"/>
      <c r="M2859" s="37"/>
      <c r="N2859" s="27"/>
      <c r="O2859" s="30"/>
      <c r="P2859" s="39" t="str">
        <f t="shared" si="447"/>
        <v/>
      </c>
      <c r="Q2859" s="40" t="str">
        <f>IF(OR(T2859=0,RIGHT(T2859,1)=$W$1),"",COUNTIF($T$3:T2859,T2859))</f>
        <v/>
      </c>
      <c r="S2859" s="6">
        <f t="shared" si="448"/>
        <v>0</v>
      </c>
      <c r="T2859" s="36">
        <f t="shared" si="449"/>
        <v>0</v>
      </c>
      <c r="V2859" s="6">
        <f t="shared" si="450"/>
        <v>0</v>
      </c>
      <c r="Y2859" s="8">
        <f t="shared" si="451"/>
        <v>46023</v>
      </c>
    </row>
    <row r="2860" spans="2:25" ht="18.75" x14ac:dyDescent="0.3">
      <c r="B2860" s="6">
        <f t="shared" si="443"/>
        <v>0</v>
      </c>
      <c r="C2860" s="6">
        <f t="shared" si="444"/>
        <v>0</v>
      </c>
      <c r="D2860" s="6" t="str">
        <f t="shared" si="445"/>
        <v/>
      </c>
      <c r="E2860" s="35" t="str">
        <f t="shared" si="442"/>
        <v/>
      </c>
      <c r="F2860" s="31"/>
      <c r="G2860" s="29"/>
      <c r="H2860" s="78" t="str">
        <f t="shared" si="446"/>
        <v/>
      </c>
      <c r="I2860" s="25"/>
      <c r="J2860" s="25"/>
      <c r="K2860" s="26"/>
      <c r="L2860" s="26"/>
      <c r="M2860" s="37"/>
      <c r="N2860" s="27"/>
      <c r="O2860" s="30"/>
      <c r="P2860" s="39" t="str">
        <f t="shared" si="447"/>
        <v/>
      </c>
      <c r="Q2860" s="40" t="str">
        <f>IF(OR(T2860=0,RIGHT(T2860,1)=$W$1),"",COUNTIF($T$3:T2860,T2860))</f>
        <v/>
      </c>
      <c r="S2860" s="6">
        <f t="shared" si="448"/>
        <v>0</v>
      </c>
      <c r="T2860" s="36">
        <f t="shared" si="449"/>
        <v>0</v>
      </c>
      <c r="V2860" s="6">
        <f t="shared" si="450"/>
        <v>0</v>
      </c>
      <c r="Y2860" s="8">
        <f t="shared" si="451"/>
        <v>46023</v>
      </c>
    </row>
    <row r="2861" spans="2:25" ht="18.75" x14ac:dyDescent="0.3">
      <c r="B2861" s="6">
        <f t="shared" si="443"/>
        <v>0</v>
      </c>
      <c r="C2861" s="6">
        <f t="shared" si="444"/>
        <v>0</v>
      </c>
      <c r="D2861" s="6" t="str">
        <f t="shared" si="445"/>
        <v/>
      </c>
      <c r="E2861" s="35" t="str">
        <f t="shared" si="442"/>
        <v/>
      </c>
      <c r="F2861" s="31"/>
      <c r="G2861" s="29"/>
      <c r="H2861" s="78" t="str">
        <f t="shared" si="446"/>
        <v/>
      </c>
      <c r="I2861" s="25"/>
      <c r="J2861" s="25"/>
      <c r="K2861" s="26"/>
      <c r="L2861" s="26"/>
      <c r="M2861" s="37"/>
      <c r="N2861" s="27"/>
      <c r="O2861" s="30"/>
      <c r="P2861" s="39" t="str">
        <f t="shared" si="447"/>
        <v/>
      </c>
      <c r="Q2861" s="40" t="str">
        <f>IF(OR(T2861=0,RIGHT(T2861,1)=$W$1),"",COUNTIF($T$3:T2861,T2861))</f>
        <v/>
      </c>
      <c r="S2861" s="6">
        <f t="shared" si="448"/>
        <v>0</v>
      </c>
      <c r="T2861" s="36">
        <f t="shared" si="449"/>
        <v>0</v>
      </c>
      <c r="V2861" s="6">
        <f t="shared" si="450"/>
        <v>0</v>
      </c>
      <c r="Y2861" s="8">
        <f t="shared" si="451"/>
        <v>46023</v>
      </c>
    </row>
    <row r="2862" spans="2:25" ht="18.75" x14ac:dyDescent="0.3">
      <c r="B2862" s="6">
        <f t="shared" si="443"/>
        <v>0</v>
      </c>
      <c r="C2862" s="6">
        <f t="shared" si="444"/>
        <v>0</v>
      </c>
      <c r="D2862" s="6" t="str">
        <f t="shared" si="445"/>
        <v/>
      </c>
      <c r="E2862" s="35" t="str">
        <f t="shared" si="442"/>
        <v/>
      </c>
      <c r="F2862" s="31"/>
      <c r="G2862" s="29"/>
      <c r="H2862" s="78" t="str">
        <f t="shared" si="446"/>
        <v/>
      </c>
      <c r="I2862" s="25"/>
      <c r="J2862" s="25"/>
      <c r="K2862" s="26"/>
      <c r="L2862" s="26"/>
      <c r="M2862" s="37"/>
      <c r="N2862" s="27"/>
      <c r="O2862" s="30"/>
      <c r="P2862" s="39" t="str">
        <f t="shared" si="447"/>
        <v/>
      </c>
      <c r="Q2862" s="40" t="str">
        <f>IF(OR(T2862=0,RIGHT(T2862,1)=$W$1),"",COUNTIF($T$3:T2862,T2862))</f>
        <v/>
      </c>
      <c r="S2862" s="6">
        <f t="shared" si="448"/>
        <v>0</v>
      </c>
      <c r="T2862" s="36">
        <f t="shared" si="449"/>
        <v>0</v>
      </c>
      <c r="V2862" s="6">
        <f t="shared" si="450"/>
        <v>0</v>
      </c>
      <c r="Y2862" s="8">
        <f t="shared" si="451"/>
        <v>46023</v>
      </c>
    </row>
    <row r="2863" spans="2:25" ht="18.75" x14ac:dyDescent="0.3">
      <c r="B2863" s="6">
        <f t="shared" si="443"/>
        <v>0</v>
      </c>
      <c r="C2863" s="6">
        <f t="shared" si="444"/>
        <v>0</v>
      </c>
      <c r="D2863" s="6" t="str">
        <f t="shared" si="445"/>
        <v/>
      </c>
      <c r="E2863" s="35" t="str">
        <f t="shared" si="442"/>
        <v/>
      </c>
      <c r="F2863" s="31"/>
      <c r="G2863" s="29"/>
      <c r="H2863" s="78" t="str">
        <f t="shared" si="446"/>
        <v/>
      </c>
      <c r="I2863" s="25"/>
      <c r="J2863" s="25"/>
      <c r="K2863" s="26"/>
      <c r="L2863" s="26"/>
      <c r="M2863" s="37"/>
      <c r="N2863" s="27"/>
      <c r="O2863" s="30"/>
      <c r="P2863" s="39" t="str">
        <f t="shared" si="447"/>
        <v/>
      </c>
      <c r="Q2863" s="40" t="str">
        <f>IF(OR(T2863=0,RIGHT(T2863,1)=$W$1),"",COUNTIF($T$3:T2863,T2863))</f>
        <v/>
      </c>
      <c r="S2863" s="6">
        <f t="shared" si="448"/>
        <v>0</v>
      </c>
      <c r="T2863" s="36">
        <f t="shared" si="449"/>
        <v>0</v>
      </c>
      <c r="V2863" s="6">
        <f t="shared" si="450"/>
        <v>0</v>
      </c>
      <c r="Y2863" s="8">
        <f t="shared" si="451"/>
        <v>46023</v>
      </c>
    </row>
    <row r="2864" spans="2:25" ht="18.75" x14ac:dyDescent="0.3">
      <c r="B2864" s="6">
        <f t="shared" si="443"/>
        <v>0</v>
      </c>
      <c r="C2864" s="6">
        <f t="shared" si="444"/>
        <v>0</v>
      </c>
      <c r="D2864" s="6" t="str">
        <f t="shared" si="445"/>
        <v/>
      </c>
      <c r="E2864" s="35" t="str">
        <f t="shared" si="442"/>
        <v/>
      </c>
      <c r="F2864" s="31"/>
      <c r="G2864" s="29"/>
      <c r="H2864" s="78" t="str">
        <f t="shared" si="446"/>
        <v/>
      </c>
      <c r="I2864" s="25"/>
      <c r="J2864" s="25"/>
      <c r="K2864" s="26"/>
      <c r="L2864" s="26"/>
      <c r="M2864" s="37"/>
      <c r="N2864" s="27"/>
      <c r="O2864" s="30"/>
      <c r="P2864" s="39" t="str">
        <f t="shared" si="447"/>
        <v/>
      </c>
      <c r="Q2864" s="40" t="str">
        <f>IF(OR(T2864=0,RIGHT(T2864,1)=$W$1),"",COUNTIF($T$3:T2864,T2864))</f>
        <v/>
      </c>
      <c r="S2864" s="6">
        <f t="shared" si="448"/>
        <v>0</v>
      </c>
      <c r="T2864" s="36">
        <f t="shared" si="449"/>
        <v>0</v>
      </c>
      <c r="V2864" s="6">
        <f t="shared" si="450"/>
        <v>0</v>
      </c>
      <c r="Y2864" s="8">
        <f t="shared" si="451"/>
        <v>46023</v>
      </c>
    </row>
    <row r="2865" spans="2:25" ht="18.75" x14ac:dyDescent="0.3">
      <c r="B2865" s="6">
        <f t="shared" si="443"/>
        <v>0</v>
      </c>
      <c r="C2865" s="6">
        <f t="shared" si="444"/>
        <v>0</v>
      </c>
      <c r="D2865" s="6" t="str">
        <f t="shared" si="445"/>
        <v/>
      </c>
      <c r="E2865" s="35" t="str">
        <f t="shared" si="442"/>
        <v/>
      </c>
      <c r="F2865" s="31"/>
      <c r="G2865" s="29"/>
      <c r="H2865" s="78" t="str">
        <f t="shared" si="446"/>
        <v/>
      </c>
      <c r="I2865" s="25"/>
      <c r="J2865" s="25"/>
      <c r="K2865" s="26"/>
      <c r="L2865" s="26"/>
      <c r="M2865" s="37"/>
      <c r="N2865" s="27"/>
      <c r="O2865" s="30"/>
      <c r="P2865" s="39" t="str">
        <f t="shared" si="447"/>
        <v/>
      </c>
      <c r="Q2865" s="40" t="str">
        <f>IF(OR(T2865=0,RIGHT(T2865,1)=$W$1),"",COUNTIF($T$3:T2865,T2865))</f>
        <v/>
      </c>
      <c r="S2865" s="6">
        <f t="shared" si="448"/>
        <v>0</v>
      </c>
      <c r="T2865" s="36">
        <f t="shared" si="449"/>
        <v>0</v>
      </c>
      <c r="V2865" s="6">
        <f t="shared" si="450"/>
        <v>0</v>
      </c>
      <c r="Y2865" s="8">
        <f t="shared" si="451"/>
        <v>46023</v>
      </c>
    </row>
    <row r="2866" spans="2:25" ht="18.75" x14ac:dyDescent="0.3">
      <c r="B2866" s="6">
        <f t="shared" si="443"/>
        <v>0</v>
      </c>
      <c r="C2866" s="6">
        <f t="shared" si="444"/>
        <v>0</v>
      </c>
      <c r="D2866" s="6" t="str">
        <f t="shared" si="445"/>
        <v/>
      </c>
      <c r="E2866" s="35" t="str">
        <f t="shared" si="442"/>
        <v/>
      </c>
      <c r="F2866" s="31"/>
      <c r="G2866" s="29"/>
      <c r="H2866" s="78" t="str">
        <f t="shared" si="446"/>
        <v/>
      </c>
      <c r="I2866" s="25"/>
      <c r="J2866" s="25"/>
      <c r="K2866" s="26"/>
      <c r="L2866" s="26"/>
      <c r="M2866" s="37"/>
      <c r="N2866" s="27"/>
      <c r="O2866" s="30"/>
      <c r="P2866" s="39" t="str">
        <f t="shared" si="447"/>
        <v/>
      </c>
      <c r="Q2866" s="40" t="str">
        <f>IF(OR(T2866=0,RIGHT(T2866,1)=$W$1),"",COUNTIF($T$3:T2866,T2866))</f>
        <v/>
      </c>
      <c r="S2866" s="6">
        <f t="shared" si="448"/>
        <v>0</v>
      </c>
      <c r="T2866" s="36">
        <f t="shared" si="449"/>
        <v>0</v>
      </c>
      <c r="V2866" s="6">
        <f t="shared" si="450"/>
        <v>0</v>
      </c>
      <c r="Y2866" s="8">
        <f t="shared" si="451"/>
        <v>46023</v>
      </c>
    </row>
    <row r="2867" spans="2:25" ht="18.75" x14ac:dyDescent="0.3">
      <c r="B2867" s="6">
        <f t="shared" si="443"/>
        <v>0</v>
      </c>
      <c r="C2867" s="6">
        <f t="shared" si="444"/>
        <v>0</v>
      </c>
      <c r="D2867" s="6" t="str">
        <f t="shared" si="445"/>
        <v/>
      </c>
      <c r="E2867" s="35" t="str">
        <f t="shared" si="442"/>
        <v/>
      </c>
      <c r="F2867" s="31"/>
      <c r="G2867" s="29"/>
      <c r="H2867" s="78" t="str">
        <f t="shared" si="446"/>
        <v/>
      </c>
      <c r="I2867" s="25"/>
      <c r="J2867" s="25"/>
      <c r="K2867" s="26"/>
      <c r="L2867" s="26"/>
      <c r="M2867" s="37"/>
      <c r="N2867" s="27"/>
      <c r="O2867" s="30"/>
      <c r="P2867" s="39" t="str">
        <f t="shared" si="447"/>
        <v/>
      </c>
      <c r="Q2867" s="40" t="str">
        <f>IF(OR(T2867=0,RIGHT(T2867,1)=$W$1),"",COUNTIF($T$3:T2867,T2867))</f>
        <v/>
      </c>
      <c r="S2867" s="6">
        <f t="shared" si="448"/>
        <v>0</v>
      </c>
      <c r="T2867" s="36">
        <f t="shared" si="449"/>
        <v>0</v>
      </c>
      <c r="V2867" s="6">
        <f t="shared" si="450"/>
        <v>0</v>
      </c>
      <c r="Y2867" s="8">
        <f t="shared" si="451"/>
        <v>46023</v>
      </c>
    </row>
    <row r="2868" spans="2:25" ht="18.75" x14ac:dyDescent="0.3">
      <c r="B2868" s="6">
        <f t="shared" si="443"/>
        <v>0</v>
      </c>
      <c r="C2868" s="6">
        <f t="shared" si="444"/>
        <v>0</v>
      </c>
      <c r="D2868" s="6" t="str">
        <f t="shared" si="445"/>
        <v/>
      </c>
      <c r="E2868" s="35" t="str">
        <f t="shared" si="442"/>
        <v/>
      </c>
      <c r="F2868" s="31"/>
      <c r="G2868" s="29"/>
      <c r="H2868" s="78" t="str">
        <f t="shared" si="446"/>
        <v/>
      </c>
      <c r="I2868" s="25"/>
      <c r="J2868" s="25"/>
      <c r="K2868" s="26"/>
      <c r="L2868" s="26"/>
      <c r="M2868" s="37"/>
      <c r="N2868" s="27"/>
      <c r="O2868" s="30"/>
      <c r="P2868" s="39" t="str">
        <f t="shared" si="447"/>
        <v/>
      </c>
      <c r="Q2868" s="40" t="str">
        <f>IF(OR(T2868=0,RIGHT(T2868,1)=$W$1),"",COUNTIF($T$3:T2868,T2868))</f>
        <v/>
      </c>
      <c r="S2868" s="6">
        <f t="shared" si="448"/>
        <v>0</v>
      </c>
      <c r="T2868" s="36">
        <f t="shared" si="449"/>
        <v>0</v>
      </c>
      <c r="V2868" s="6">
        <f t="shared" si="450"/>
        <v>0</v>
      </c>
      <c r="Y2868" s="8">
        <f t="shared" si="451"/>
        <v>46023</v>
      </c>
    </row>
    <row r="2869" spans="2:25" ht="18.75" x14ac:dyDescent="0.3">
      <c r="B2869" s="6">
        <f t="shared" si="443"/>
        <v>0</v>
      </c>
      <c r="C2869" s="6">
        <f t="shared" si="444"/>
        <v>0</v>
      </c>
      <c r="D2869" s="6" t="str">
        <f t="shared" si="445"/>
        <v/>
      </c>
      <c r="E2869" s="35" t="str">
        <f t="shared" si="442"/>
        <v/>
      </c>
      <c r="F2869" s="31"/>
      <c r="G2869" s="29"/>
      <c r="H2869" s="78" t="str">
        <f t="shared" si="446"/>
        <v/>
      </c>
      <c r="I2869" s="25"/>
      <c r="J2869" s="25"/>
      <c r="K2869" s="26"/>
      <c r="L2869" s="26"/>
      <c r="M2869" s="37"/>
      <c r="N2869" s="27"/>
      <c r="O2869" s="30"/>
      <c r="P2869" s="39" t="str">
        <f t="shared" si="447"/>
        <v/>
      </c>
      <c r="Q2869" s="40" t="str">
        <f>IF(OR(T2869=0,RIGHT(T2869,1)=$W$1),"",COUNTIF($T$3:T2869,T2869))</f>
        <v/>
      </c>
      <c r="S2869" s="6">
        <f t="shared" si="448"/>
        <v>0</v>
      </c>
      <c r="T2869" s="36">
        <f t="shared" si="449"/>
        <v>0</v>
      </c>
      <c r="V2869" s="6">
        <f t="shared" si="450"/>
        <v>0</v>
      </c>
      <c r="Y2869" s="8">
        <f t="shared" si="451"/>
        <v>46023</v>
      </c>
    </row>
    <row r="2870" spans="2:25" ht="18.75" x14ac:dyDescent="0.3">
      <c r="B2870" s="6">
        <f t="shared" si="443"/>
        <v>0</v>
      </c>
      <c r="C2870" s="6">
        <f t="shared" si="444"/>
        <v>0</v>
      </c>
      <c r="D2870" s="6" t="str">
        <f t="shared" si="445"/>
        <v/>
      </c>
      <c r="E2870" s="35" t="str">
        <f t="shared" si="442"/>
        <v/>
      </c>
      <c r="F2870" s="31"/>
      <c r="G2870" s="29"/>
      <c r="H2870" s="78" t="str">
        <f t="shared" si="446"/>
        <v/>
      </c>
      <c r="I2870" s="25"/>
      <c r="J2870" s="25"/>
      <c r="K2870" s="26"/>
      <c r="L2870" s="26"/>
      <c r="M2870" s="37"/>
      <c r="N2870" s="27"/>
      <c r="O2870" s="30"/>
      <c r="P2870" s="39" t="str">
        <f t="shared" si="447"/>
        <v/>
      </c>
      <c r="Q2870" s="40" t="str">
        <f>IF(OR(T2870=0,RIGHT(T2870,1)=$W$1),"",COUNTIF($T$3:T2870,T2870))</f>
        <v/>
      </c>
      <c r="S2870" s="6">
        <f t="shared" si="448"/>
        <v>0</v>
      </c>
      <c r="T2870" s="36">
        <f t="shared" si="449"/>
        <v>0</v>
      </c>
      <c r="V2870" s="6">
        <f t="shared" si="450"/>
        <v>0</v>
      </c>
      <c r="Y2870" s="8">
        <f t="shared" si="451"/>
        <v>46023</v>
      </c>
    </row>
    <row r="2871" spans="2:25" ht="18.75" x14ac:dyDescent="0.3">
      <c r="B2871" s="6">
        <f t="shared" si="443"/>
        <v>0</v>
      </c>
      <c r="C2871" s="6">
        <f t="shared" si="444"/>
        <v>0</v>
      </c>
      <c r="D2871" s="6" t="str">
        <f t="shared" si="445"/>
        <v/>
      </c>
      <c r="E2871" s="35" t="str">
        <f t="shared" si="442"/>
        <v/>
      </c>
      <c r="F2871" s="31"/>
      <c r="G2871" s="29"/>
      <c r="H2871" s="78" t="str">
        <f t="shared" si="446"/>
        <v/>
      </c>
      <c r="I2871" s="25"/>
      <c r="J2871" s="25"/>
      <c r="K2871" s="26"/>
      <c r="L2871" s="26"/>
      <c r="M2871" s="37"/>
      <c r="N2871" s="27"/>
      <c r="O2871" s="30"/>
      <c r="P2871" s="39" t="str">
        <f t="shared" si="447"/>
        <v/>
      </c>
      <c r="Q2871" s="40" t="str">
        <f>IF(OR(T2871=0,RIGHT(T2871,1)=$W$1),"",COUNTIF($T$3:T2871,T2871))</f>
        <v/>
      </c>
      <c r="S2871" s="6">
        <f t="shared" si="448"/>
        <v>0</v>
      </c>
      <c r="T2871" s="36">
        <f t="shared" si="449"/>
        <v>0</v>
      </c>
      <c r="V2871" s="6">
        <f t="shared" si="450"/>
        <v>0</v>
      </c>
      <c r="Y2871" s="8">
        <f t="shared" si="451"/>
        <v>46023</v>
      </c>
    </row>
    <row r="2872" spans="2:25" ht="18.75" x14ac:dyDescent="0.3">
      <c r="B2872" s="6">
        <f t="shared" si="443"/>
        <v>0</v>
      </c>
      <c r="C2872" s="6">
        <f t="shared" si="444"/>
        <v>0</v>
      </c>
      <c r="D2872" s="6" t="str">
        <f t="shared" si="445"/>
        <v/>
      </c>
      <c r="E2872" s="35" t="str">
        <f t="shared" si="442"/>
        <v/>
      </c>
      <c r="F2872" s="31"/>
      <c r="G2872" s="29"/>
      <c r="H2872" s="78" t="str">
        <f t="shared" si="446"/>
        <v/>
      </c>
      <c r="I2872" s="25"/>
      <c r="J2872" s="25"/>
      <c r="K2872" s="26"/>
      <c r="L2872" s="26"/>
      <c r="M2872" s="37"/>
      <c r="N2872" s="27"/>
      <c r="O2872" s="30"/>
      <c r="P2872" s="39" t="str">
        <f t="shared" si="447"/>
        <v/>
      </c>
      <c r="Q2872" s="40" t="str">
        <f>IF(OR(T2872=0,RIGHT(T2872,1)=$W$1),"",COUNTIF($T$3:T2872,T2872))</f>
        <v/>
      </c>
      <c r="S2872" s="6">
        <f t="shared" si="448"/>
        <v>0</v>
      </c>
      <c r="T2872" s="36">
        <f t="shared" si="449"/>
        <v>0</v>
      </c>
      <c r="V2872" s="6">
        <f t="shared" si="450"/>
        <v>0</v>
      </c>
      <c r="Y2872" s="8">
        <f t="shared" si="451"/>
        <v>46023</v>
      </c>
    </row>
    <row r="2873" spans="2:25" ht="18.75" x14ac:dyDescent="0.3">
      <c r="B2873" s="6">
        <f t="shared" si="443"/>
        <v>0</v>
      </c>
      <c r="C2873" s="6">
        <f t="shared" si="444"/>
        <v>0</v>
      </c>
      <c r="D2873" s="6" t="str">
        <f t="shared" si="445"/>
        <v/>
      </c>
      <c r="E2873" s="35" t="str">
        <f t="shared" si="442"/>
        <v/>
      </c>
      <c r="F2873" s="31"/>
      <c r="G2873" s="29"/>
      <c r="H2873" s="78" t="str">
        <f t="shared" si="446"/>
        <v/>
      </c>
      <c r="I2873" s="25"/>
      <c r="J2873" s="25"/>
      <c r="K2873" s="26"/>
      <c r="L2873" s="26"/>
      <c r="M2873" s="37"/>
      <c r="N2873" s="27"/>
      <c r="O2873" s="30"/>
      <c r="P2873" s="39" t="str">
        <f t="shared" si="447"/>
        <v/>
      </c>
      <c r="Q2873" s="40" t="str">
        <f>IF(OR(T2873=0,RIGHT(T2873,1)=$W$1),"",COUNTIF($T$3:T2873,T2873))</f>
        <v/>
      </c>
      <c r="S2873" s="6">
        <f t="shared" si="448"/>
        <v>0</v>
      </c>
      <c r="T2873" s="36">
        <f t="shared" si="449"/>
        <v>0</v>
      </c>
      <c r="V2873" s="6">
        <f t="shared" si="450"/>
        <v>0</v>
      </c>
      <c r="Y2873" s="8">
        <f t="shared" si="451"/>
        <v>46023</v>
      </c>
    </row>
    <row r="2874" spans="2:25" ht="18.75" x14ac:dyDescent="0.3">
      <c r="B2874" s="6">
        <f t="shared" si="443"/>
        <v>0</v>
      </c>
      <c r="C2874" s="6">
        <f t="shared" si="444"/>
        <v>0</v>
      </c>
      <c r="D2874" s="6" t="str">
        <f t="shared" si="445"/>
        <v/>
      </c>
      <c r="E2874" s="35" t="str">
        <f t="shared" si="442"/>
        <v/>
      </c>
      <c r="F2874" s="31"/>
      <c r="G2874" s="29"/>
      <c r="H2874" s="78" t="str">
        <f t="shared" si="446"/>
        <v/>
      </c>
      <c r="I2874" s="25"/>
      <c r="J2874" s="25"/>
      <c r="K2874" s="26"/>
      <c r="L2874" s="26"/>
      <c r="M2874" s="37"/>
      <c r="N2874" s="27"/>
      <c r="O2874" s="30"/>
      <c r="P2874" s="39" t="str">
        <f t="shared" si="447"/>
        <v/>
      </c>
      <c r="Q2874" s="40" t="str">
        <f>IF(OR(T2874=0,RIGHT(T2874,1)=$W$1),"",COUNTIF($T$3:T2874,T2874))</f>
        <v/>
      </c>
      <c r="S2874" s="6">
        <f t="shared" si="448"/>
        <v>0</v>
      </c>
      <c r="T2874" s="36">
        <f t="shared" si="449"/>
        <v>0</v>
      </c>
      <c r="V2874" s="6">
        <f t="shared" si="450"/>
        <v>0</v>
      </c>
      <c r="Y2874" s="8">
        <f t="shared" si="451"/>
        <v>46023</v>
      </c>
    </row>
    <row r="2875" spans="2:25" ht="18.75" x14ac:dyDescent="0.3">
      <c r="B2875" s="6">
        <f t="shared" si="443"/>
        <v>0</v>
      </c>
      <c r="C2875" s="6">
        <f t="shared" si="444"/>
        <v>0</v>
      </c>
      <c r="D2875" s="6" t="str">
        <f t="shared" si="445"/>
        <v/>
      </c>
      <c r="E2875" s="35" t="str">
        <f t="shared" si="442"/>
        <v/>
      </c>
      <c r="F2875" s="31"/>
      <c r="G2875" s="29"/>
      <c r="H2875" s="78" t="str">
        <f t="shared" si="446"/>
        <v/>
      </c>
      <c r="I2875" s="25"/>
      <c r="J2875" s="25"/>
      <c r="K2875" s="26"/>
      <c r="L2875" s="26"/>
      <c r="M2875" s="37"/>
      <c r="N2875" s="27"/>
      <c r="O2875" s="30"/>
      <c r="P2875" s="39" t="str">
        <f t="shared" si="447"/>
        <v/>
      </c>
      <c r="Q2875" s="40" t="str">
        <f>IF(OR(T2875=0,RIGHT(T2875,1)=$W$1),"",COUNTIF($T$3:T2875,T2875))</f>
        <v/>
      </c>
      <c r="S2875" s="6">
        <f t="shared" si="448"/>
        <v>0</v>
      </c>
      <c r="T2875" s="36">
        <f t="shared" si="449"/>
        <v>0</v>
      </c>
      <c r="V2875" s="6">
        <f t="shared" si="450"/>
        <v>0</v>
      </c>
      <c r="Y2875" s="8">
        <f t="shared" si="451"/>
        <v>46023</v>
      </c>
    </row>
    <row r="2876" spans="2:25" ht="18.75" x14ac:dyDescent="0.3">
      <c r="B2876" s="6">
        <f t="shared" si="443"/>
        <v>0</v>
      </c>
      <c r="C2876" s="6">
        <f t="shared" si="444"/>
        <v>0</v>
      </c>
      <c r="D2876" s="6" t="str">
        <f t="shared" si="445"/>
        <v/>
      </c>
      <c r="E2876" s="35" t="str">
        <f t="shared" si="442"/>
        <v/>
      </c>
      <c r="F2876" s="31"/>
      <c r="G2876" s="29"/>
      <c r="H2876" s="78" t="str">
        <f t="shared" si="446"/>
        <v/>
      </c>
      <c r="I2876" s="25"/>
      <c r="J2876" s="25"/>
      <c r="K2876" s="26"/>
      <c r="L2876" s="26"/>
      <c r="M2876" s="37"/>
      <c r="N2876" s="27"/>
      <c r="O2876" s="30"/>
      <c r="P2876" s="39" t="str">
        <f t="shared" si="447"/>
        <v/>
      </c>
      <c r="Q2876" s="40" t="str">
        <f>IF(OR(T2876=0,RIGHT(T2876,1)=$W$1),"",COUNTIF($T$3:T2876,T2876))</f>
        <v/>
      </c>
      <c r="S2876" s="6">
        <f t="shared" si="448"/>
        <v>0</v>
      </c>
      <c r="T2876" s="36">
        <f t="shared" si="449"/>
        <v>0</v>
      </c>
      <c r="V2876" s="6">
        <f t="shared" si="450"/>
        <v>0</v>
      </c>
      <c r="Y2876" s="8">
        <f t="shared" si="451"/>
        <v>46023</v>
      </c>
    </row>
    <row r="2877" spans="2:25" ht="18.75" x14ac:dyDescent="0.3">
      <c r="B2877" s="6">
        <f t="shared" si="443"/>
        <v>0</v>
      </c>
      <c r="C2877" s="6">
        <f t="shared" si="444"/>
        <v>0</v>
      </c>
      <c r="D2877" s="6" t="str">
        <f t="shared" si="445"/>
        <v/>
      </c>
      <c r="E2877" s="35" t="str">
        <f t="shared" si="442"/>
        <v/>
      </c>
      <c r="F2877" s="31"/>
      <c r="G2877" s="29"/>
      <c r="H2877" s="78" t="str">
        <f t="shared" si="446"/>
        <v/>
      </c>
      <c r="I2877" s="25"/>
      <c r="J2877" s="25"/>
      <c r="K2877" s="26"/>
      <c r="L2877" s="26"/>
      <c r="M2877" s="37"/>
      <c r="N2877" s="27"/>
      <c r="O2877" s="30"/>
      <c r="P2877" s="39" t="str">
        <f t="shared" si="447"/>
        <v/>
      </c>
      <c r="Q2877" s="40" t="str">
        <f>IF(OR(T2877=0,RIGHT(T2877,1)=$W$1),"",COUNTIF($T$3:T2877,T2877))</f>
        <v/>
      </c>
      <c r="S2877" s="6">
        <f t="shared" si="448"/>
        <v>0</v>
      </c>
      <c r="T2877" s="36">
        <f t="shared" si="449"/>
        <v>0</v>
      </c>
      <c r="V2877" s="6">
        <f t="shared" si="450"/>
        <v>0</v>
      </c>
      <c r="Y2877" s="8">
        <f t="shared" si="451"/>
        <v>46023</v>
      </c>
    </row>
    <row r="2878" spans="2:25" ht="18.75" x14ac:dyDescent="0.3">
      <c r="B2878" s="6">
        <f t="shared" si="443"/>
        <v>0</v>
      </c>
      <c r="C2878" s="6">
        <f t="shared" si="444"/>
        <v>0</v>
      </c>
      <c r="D2878" s="6" t="str">
        <f t="shared" si="445"/>
        <v/>
      </c>
      <c r="E2878" s="35" t="str">
        <f t="shared" si="442"/>
        <v/>
      </c>
      <c r="F2878" s="31"/>
      <c r="G2878" s="29"/>
      <c r="H2878" s="78" t="str">
        <f t="shared" si="446"/>
        <v/>
      </c>
      <c r="I2878" s="25"/>
      <c r="J2878" s="25"/>
      <c r="K2878" s="26"/>
      <c r="L2878" s="26"/>
      <c r="M2878" s="37"/>
      <c r="N2878" s="27"/>
      <c r="O2878" s="30"/>
      <c r="P2878" s="39" t="str">
        <f t="shared" si="447"/>
        <v/>
      </c>
      <c r="Q2878" s="40" t="str">
        <f>IF(OR(T2878=0,RIGHT(T2878,1)=$W$1),"",COUNTIF($T$3:T2878,T2878))</f>
        <v/>
      </c>
      <c r="S2878" s="6">
        <f t="shared" si="448"/>
        <v>0</v>
      </c>
      <c r="T2878" s="36">
        <f t="shared" si="449"/>
        <v>0</v>
      </c>
      <c r="V2878" s="6">
        <f t="shared" si="450"/>
        <v>0</v>
      </c>
      <c r="Y2878" s="8">
        <f t="shared" si="451"/>
        <v>46023</v>
      </c>
    </row>
    <row r="2879" spans="2:25" ht="18.75" x14ac:dyDescent="0.3">
      <c r="B2879" s="6">
        <f t="shared" si="443"/>
        <v>0</v>
      </c>
      <c r="C2879" s="6">
        <f t="shared" si="444"/>
        <v>0</v>
      </c>
      <c r="D2879" s="6" t="str">
        <f t="shared" si="445"/>
        <v/>
      </c>
      <c r="E2879" s="35" t="str">
        <f t="shared" si="442"/>
        <v/>
      </c>
      <c r="F2879" s="31"/>
      <c r="G2879" s="29"/>
      <c r="H2879" s="78" t="str">
        <f t="shared" si="446"/>
        <v/>
      </c>
      <c r="I2879" s="25"/>
      <c r="J2879" s="25"/>
      <c r="K2879" s="26"/>
      <c r="L2879" s="26"/>
      <c r="M2879" s="37"/>
      <c r="N2879" s="27"/>
      <c r="O2879" s="30"/>
      <c r="P2879" s="39" t="str">
        <f t="shared" si="447"/>
        <v/>
      </c>
      <c r="Q2879" s="40" t="str">
        <f>IF(OR(T2879=0,RIGHT(T2879,1)=$W$1),"",COUNTIF($T$3:T2879,T2879))</f>
        <v/>
      </c>
      <c r="S2879" s="6">
        <f t="shared" si="448"/>
        <v>0</v>
      </c>
      <c r="T2879" s="36">
        <f t="shared" si="449"/>
        <v>0</v>
      </c>
      <c r="V2879" s="6">
        <f t="shared" si="450"/>
        <v>0</v>
      </c>
      <c r="Y2879" s="8">
        <f t="shared" si="451"/>
        <v>46023</v>
      </c>
    </row>
    <row r="2880" spans="2:25" ht="18.75" x14ac:dyDescent="0.3">
      <c r="B2880" s="6">
        <f t="shared" si="443"/>
        <v>0</v>
      </c>
      <c r="C2880" s="6">
        <f t="shared" si="444"/>
        <v>0</v>
      </c>
      <c r="D2880" s="6" t="str">
        <f t="shared" si="445"/>
        <v/>
      </c>
      <c r="E2880" s="35" t="str">
        <f t="shared" si="442"/>
        <v/>
      </c>
      <c r="F2880" s="31"/>
      <c r="G2880" s="29"/>
      <c r="H2880" s="78" t="str">
        <f t="shared" si="446"/>
        <v/>
      </c>
      <c r="I2880" s="25"/>
      <c r="J2880" s="25"/>
      <c r="K2880" s="26"/>
      <c r="L2880" s="26"/>
      <c r="M2880" s="37"/>
      <c r="N2880" s="27"/>
      <c r="O2880" s="30"/>
      <c r="P2880" s="39" t="str">
        <f t="shared" si="447"/>
        <v/>
      </c>
      <c r="Q2880" s="40" t="str">
        <f>IF(OR(T2880=0,RIGHT(T2880,1)=$W$1),"",COUNTIF($T$3:T2880,T2880))</f>
        <v/>
      </c>
      <c r="S2880" s="6">
        <f t="shared" si="448"/>
        <v>0</v>
      </c>
      <c r="T2880" s="36">
        <f t="shared" si="449"/>
        <v>0</v>
      </c>
      <c r="V2880" s="6">
        <f t="shared" si="450"/>
        <v>0</v>
      </c>
      <c r="Y2880" s="8">
        <f t="shared" si="451"/>
        <v>46023</v>
      </c>
    </row>
    <row r="2881" spans="2:25" ht="18.75" x14ac:dyDescent="0.3">
      <c r="B2881" s="6">
        <f t="shared" si="443"/>
        <v>0</v>
      </c>
      <c r="C2881" s="6">
        <f t="shared" si="444"/>
        <v>0</v>
      </c>
      <c r="D2881" s="6" t="str">
        <f t="shared" si="445"/>
        <v/>
      </c>
      <c r="E2881" s="35" t="str">
        <f t="shared" si="442"/>
        <v/>
      </c>
      <c r="F2881" s="31"/>
      <c r="G2881" s="29"/>
      <c r="H2881" s="78" t="str">
        <f t="shared" si="446"/>
        <v/>
      </c>
      <c r="I2881" s="25"/>
      <c r="J2881" s="25"/>
      <c r="K2881" s="26"/>
      <c r="L2881" s="26"/>
      <c r="M2881" s="37"/>
      <c r="N2881" s="27"/>
      <c r="O2881" s="30"/>
      <c r="P2881" s="39" t="str">
        <f t="shared" si="447"/>
        <v/>
      </c>
      <c r="Q2881" s="40" t="str">
        <f>IF(OR(T2881=0,RIGHT(T2881,1)=$W$1),"",COUNTIF($T$3:T2881,T2881))</f>
        <v/>
      </c>
      <c r="S2881" s="6">
        <f t="shared" si="448"/>
        <v>0</v>
      </c>
      <c r="T2881" s="36">
        <f t="shared" si="449"/>
        <v>0</v>
      </c>
      <c r="V2881" s="6">
        <f t="shared" si="450"/>
        <v>0</v>
      </c>
      <c r="Y2881" s="8">
        <f t="shared" si="451"/>
        <v>46023</v>
      </c>
    </row>
    <row r="2882" spans="2:25" ht="18.75" x14ac:dyDescent="0.3">
      <c r="B2882" s="6">
        <f t="shared" si="443"/>
        <v>0</v>
      </c>
      <c r="C2882" s="6">
        <f t="shared" si="444"/>
        <v>0</v>
      </c>
      <c r="D2882" s="6" t="str">
        <f t="shared" si="445"/>
        <v/>
      </c>
      <c r="E2882" s="35" t="str">
        <f t="shared" si="442"/>
        <v/>
      </c>
      <c r="F2882" s="31"/>
      <c r="G2882" s="29"/>
      <c r="H2882" s="78" t="str">
        <f t="shared" si="446"/>
        <v/>
      </c>
      <c r="I2882" s="25"/>
      <c r="J2882" s="25"/>
      <c r="K2882" s="26"/>
      <c r="L2882" s="26"/>
      <c r="M2882" s="37"/>
      <c r="N2882" s="27"/>
      <c r="O2882" s="30"/>
      <c r="P2882" s="39" t="str">
        <f t="shared" si="447"/>
        <v/>
      </c>
      <c r="Q2882" s="40" t="str">
        <f>IF(OR(T2882=0,RIGHT(T2882,1)=$W$1),"",COUNTIF($T$3:T2882,T2882))</f>
        <v/>
      </c>
      <c r="S2882" s="6">
        <f t="shared" si="448"/>
        <v>0</v>
      </c>
      <c r="T2882" s="36">
        <f t="shared" si="449"/>
        <v>0</v>
      </c>
      <c r="V2882" s="6">
        <f t="shared" si="450"/>
        <v>0</v>
      </c>
      <c r="Y2882" s="8">
        <f t="shared" si="451"/>
        <v>46023</v>
      </c>
    </row>
    <row r="2883" spans="2:25" ht="18.75" x14ac:dyDescent="0.3">
      <c r="B2883" s="6">
        <f t="shared" si="443"/>
        <v>0</v>
      </c>
      <c r="C2883" s="6">
        <f t="shared" si="444"/>
        <v>0</v>
      </c>
      <c r="D2883" s="6" t="str">
        <f t="shared" si="445"/>
        <v/>
      </c>
      <c r="E2883" s="35" t="str">
        <f t="shared" ref="E2883:E2946" si="452">IF(D2883&lt;&gt;"",D2883&amp;" - "&amp;YEAR(F2883),"")</f>
        <v/>
      </c>
      <c r="F2883" s="31"/>
      <c r="G2883" s="29"/>
      <c r="H2883" s="78" t="str">
        <f t="shared" si="446"/>
        <v/>
      </c>
      <c r="I2883" s="25"/>
      <c r="J2883" s="25"/>
      <c r="K2883" s="26"/>
      <c r="L2883" s="26"/>
      <c r="M2883" s="37"/>
      <c r="N2883" s="27"/>
      <c r="O2883" s="30"/>
      <c r="P2883" s="39" t="str">
        <f t="shared" si="447"/>
        <v/>
      </c>
      <c r="Q2883" s="40" t="str">
        <f>IF(OR(T2883=0,RIGHT(T2883,1)=$W$1),"",COUNTIF($T$3:T2883,T2883))</f>
        <v/>
      </c>
      <c r="S2883" s="6">
        <f t="shared" si="448"/>
        <v>0</v>
      </c>
      <c r="T2883" s="36">
        <f t="shared" si="449"/>
        <v>0</v>
      </c>
      <c r="V2883" s="6">
        <f t="shared" si="450"/>
        <v>0</v>
      </c>
      <c r="Y2883" s="8">
        <f t="shared" si="451"/>
        <v>46023</v>
      </c>
    </row>
    <row r="2884" spans="2:25" ht="18.75" x14ac:dyDescent="0.3">
      <c r="B2884" s="6">
        <f t="shared" ref="B2884:B2947" si="453">IF($B$1=YEAR(F2884),B2883+1,B2883)</f>
        <v>0</v>
      </c>
      <c r="C2884" s="6">
        <f t="shared" ref="C2884:C2947" si="454">IF(AND($C$1=K2884,$Y$1=YEAR(F2884)),C2883+1,C2883)</f>
        <v>0</v>
      </c>
      <c r="D2884" s="6" t="str">
        <f t="shared" ref="D2884:D2947" si="455">IF(F2884&lt;&gt;0,IF(YEAR(F2884)&lt;&gt;YEAR(F2883),1,IF(M2884=$AI$1,D2883,D2883+1)),"")</f>
        <v/>
      </c>
      <c r="E2884" s="35" t="str">
        <f t="shared" si="452"/>
        <v/>
      </c>
      <c r="F2884" s="31"/>
      <c r="G2884" s="29"/>
      <c r="H2884" s="78" t="str">
        <f t="shared" ref="H2884:H2947" si="456">IF(G2884&lt;&gt;"",F2884,"")</f>
        <v/>
      </c>
      <c r="I2884" s="25"/>
      <c r="J2884" s="25"/>
      <c r="K2884" s="26"/>
      <c r="L2884" s="26"/>
      <c r="M2884" s="37"/>
      <c r="N2884" s="27"/>
      <c r="O2884" s="30"/>
      <c r="P2884" s="39" t="str">
        <f t="shared" ref="P2884:P2947" si="457">IF(OR(T2884=0,RIGHT(T2884,1)=$W$1),"",VLOOKUP(K2884,$AD$1:$AK$15,5,FALSE))</f>
        <v/>
      </c>
      <c r="Q2884" s="40" t="str">
        <f>IF(OR(T2884=0,RIGHT(T2884,1)=$W$1),"",COUNTIF($T$3:T2884,T2884))</f>
        <v/>
      </c>
      <c r="S2884" s="6">
        <f t="shared" ref="S2884:S2947" si="458">IF(AND($C$1=K2884,$Y$1=YEAR(F2884)),C2884,0)</f>
        <v>0</v>
      </c>
      <c r="T2884" s="36">
        <f t="shared" ref="T2884:T2947" si="459">IF(F2884=0,0,YEAR(F2884)&amp;VLOOKUP(K2884,$AD$1:$AE$15,2,FALSE))</f>
        <v>0</v>
      </c>
      <c r="V2884" s="6">
        <f t="shared" ref="V2884:V2947" si="460">IF(AND(YEAR(F2884)=$Y$1,K2884=$C$1,L2884&amp;$V$1&lt;&gt;$V$1),L2884,IF(AND(YEAR(F2884)=$Y$1,K2884=$C$1),1,0))</f>
        <v>0</v>
      </c>
      <c r="Y2884" s="8">
        <f t="shared" ref="Y2884:Y2947" si="461">IF(M2884&lt;&gt;$AI$1,$Y$2,F2883)</f>
        <v>46023</v>
      </c>
    </row>
    <row r="2885" spans="2:25" ht="18.75" x14ac:dyDescent="0.3">
      <c r="B2885" s="6">
        <f t="shared" si="453"/>
        <v>0</v>
      </c>
      <c r="C2885" s="6">
        <f t="shared" si="454"/>
        <v>0</v>
      </c>
      <c r="D2885" s="6" t="str">
        <f t="shared" si="455"/>
        <v/>
      </c>
      <c r="E2885" s="35" t="str">
        <f t="shared" si="452"/>
        <v/>
      </c>
      <c r="F2885" s="31"/>
      <c r="G2885" s="29"/>
      <c r="H2885" s="78" t="str">
        <f t="shared" si="456"/>
        <v/>
      </c>
      <c r="I2885" s="25"/>
      <c r="J2885" s="25"/>
      <c r="K2885" s="26"/>
      <c r="L2885" s="26"/>
      <c r="M2885" s="37"/>
      <c r="N2885" s="27"/>
      <c r="O2885" s="30"/>
      <c r="P2885" s="39" t="str">
        <f t="shared" si="457"/>
        <v/>
      </c>
      <c r="Q2885" s="40" t="str">
        <f>IF(OR(T2885=0,RIGHT(T2885,1)=$W$1),"",COUNTIF($T$3:T2885,T2885))</f>
        <v/>
      </c>
      <c r="S2885" s="6">
        <f t="shared" si="458"/>
        <v>0</v>
      </c>
      <c r="T2885" s="36">
        <f t="shared" si="459"/>
        <v>0</v>
      </c>
      <c r="V2885" s="6">
        <f t="shared" si="460"/>
        <v>0</v>
      </c>
      <c r="Y2885" s="8">
        <f t="shared" si="461"/>
        <v>46023</v>
      </c>
    </row>
    <row r="2886" spans="2:25" ht="18.75" x14ac:dyDescent="0.3">
      <c r="B2886" s="6">
        <f t="shared" si="453"/>
        <v>0</v>
      </c>
      <c r="C2886" s="6">
        <f t="shared" si="454"/>
        <v>0</v>
      </c>
      <c r="D2886" s="6" t="str">
        <f t="shared" si="455"/>
        <v/>
      </c>
      <c r="E2886" s="35" t="str">
        <f t="shared" si="452"/>
        <v/>
      </c>
      <c r="F2886" s="31"/>
      <c r="G2886" s="29"/>
      <c r="H2886" s="78" t="str">
        <f t="shared" si="456"/>
        <v/>
      </c>
      <c r="I2886" s="25"/>
      <c r="J2886" s="25"/>
      <c r="K2886" s="26"/>
      <c r="L2886" s="26"/>
      <c r="M2886" s="37"/>
      <c r="N2886" s="27"/>
      <c r="O2886" s="30"/>
      <c r="P2886" s="39" t="str">
        <f t="shared" si="457"/>
        <v/>
      </c>
      <c r="Q2886" s="40" t="str">
        <f>IF(OR(T2886=0,RIGHT(T2886,1)=$W$1),"",COUNTIF($T$3:T2886,T2886))</f>
        <v/>
      </c>
      <c r="S2886" s="6">
        <f t="shared" si="458"/>
        <v>0</v>
      </c>
      <c r="T2886" s="36">
        <f t="shared" si="459"/>
        <v>0</v>
      </c>
      <c r="V2886" s="6">
        <f t="shared" si="460"/>
        <v>0</v>
      </c>
      <c r="Y2886" s="8">
        <f t="shared" si="461"/>
        <v>46023</v>
      </c>
    </row>
    <row r="2887" spans="2:25" ht="18.75" x14ac:dyDescent="0.3">
      <c r="B2887" s="6">
        <f t="shared" si="453"/>
        <v>0</v>
      </c>
      <c r="C2887" s="6">
        <f t="shared" si="454"/>
        <v>0</v>
      </c>
      <c r="D2887" s="6" t="str">
        <f t="shared" si="455"/>
        <v/>
      </c>
      <c r="E2887" s="35" t="str">
        <f t="shared" si="452"/>
        <v/>
      </c>
      <c r="F2887" s="31"/>
      <c r="G2887" s="29"/>
      <c r="H2887" s="78" t="str">
        <f t="shared" si="456"/>
        <v/>
      </c>
      <c r="I2887" s="25"/>
      <c r="J2887" s="25"/>
      <c r="K2887" s="26"/>
      <c r="L2887" s="26"/>
      <c r="M2887" s="37"/>
      <c r="N2887" s="27"/>
      <c r="O2887" s="30"/>
      <c r="P2887" s="39" t="str">
        <f t="shared" si="457"/>
        <v/>
      </c>
      <c r="Q2887" s="40" t="str">
        <f>IF(OR(T2887=0,RIGHT(T2887,1)=$W$1),"",COUNTIF($T$3:T2887,T2887))</f>
        <v/>
      </c>
      <c r="S2887" s="6">
        <f t="shared" si="458"/>
        <v>0</v>
      </c>
      <c r="T2887" s="36">
        <f t="shared" si="459"/>
        <v>0</v>
      </c>
      <c r="V2887" s="6">
        <f t="shared" si="460"/>
        <v>0</v>
      </c>
      <c r="Y2887" s="8">
        <f t="shared" si="461"/>
        <v>46023</v>
      </c>
    </row>
    <row r="2888" spans="2:25" ht="18.75" x14ac:dyDescent="0.3">
      <c r="B2888" s="6">
        <f t="shared" si="453"/>
        <v>0</v>
      </c>
      <c r="C2888" s="6">
        <f t="shared" si="454"/>
        <v>0</v>
      </c>
      <c r="D2888" s="6" t="str">
        <f t="shared" si="455"/>
        <v/>
      </c>
      <c r="E2888" s="35" t="str">
        <f t="shared" si="452"/>
        <v/>
      </c>
      <c r="F2888" s="31"/>
      <c r="G2888" s="29"/>
      <c r="H2888" s="78" t="str">
        <f t="shared" si="456"/>
        <v/>
      </c>
      <c r="I2888" s="25"/>
      <c r="J2888" s="25"/>
      <c r="K2888" s="26"/>
      <c r="L2888" s="26"/>
      <c r="M2888" s="37"/>
      <c r="N2888" s="27"/>
      <c r="O2888" s="30"/>
      <c r="P2888" s="39" t="str">
        <f t="shared" si="457"/>
        <v/>
      </c>
      <c r="Q2888" s="40" t="str">
        <f>IF(OR(T2888=0,RIGHT(T2888,1)=$W$1),"",COUNTIF($T$3:T2888,T2888))</f>
        <v/>
      </c>
      <c r="S2888" s="6">
        <f t="shared" si="458"/>
        <v>0</v>
      </c>
      <c r="T2888" s="36">
        <f t="shared" si="459"/>
        <v>0</v>
      </c>
      <c r="V2888" s="6">
        <f t="shared" si="460"/>
        <v>0</v>
      </c>
      <c r="Y2888" s="8">
        <f t="shared" si="461"/>
        <v>46023</v>
      </c>
    </row>
    <row r="2889" spans="2:25" ht="18.75" x14ac:dyDescent="0.3">
      <c r="B2889" s="6">
        <f t="shared" si="453"/>
        <v>0</v>
      </c>
      <c r="C2889" s="6">
        <f t="shared" si="454"/>
        <v>0</v>
      </c>
      <c r="D2889" s="6" t="str">
        <f t="shared" si="455"/>
        <v/>
      </c>
      <c r="E2889" s="35" t="str">
        <f t="shared" si="452"/>
        <v/>
      </c>
      <c r="F2889" s="31"/>
      <c r="G2889" s="29"/>
      <c r="H2889" s="78" t="str">
        <f t="shared" si="456"/>
        <v/>
      </c>
      <c r="I2889" s="25"/>
      <c r="J2889" s="25"/>
      <c r="K2889" s="26"/>
      <c r="L2889" s="26"/>
      <c r="M2889" s="37"/>
      <c r="N2889" s="27"/>
      <c r="O2889" s="30"/>
      <c r="P2889" s="39" t="str">
        <f t="shared" si="457"/>
        <v/>
      </c>
      <c r="Q2889" s="40" t="str">
        <f>IF(OR(T2889=0,RIGHT(T2889,1)=$W$1),"",COUNTIF($T$3:T2889,T2889))</f>
        <v/>
      </c>
      <c r="S2889" s="6">
        <f t="shared" si="458"/>
        <v>0</v>
      </c>
      <c r="T2889" s="36">
        <f t="shared" si="459"/>
        <v>0</v>
      </c>
      <c r="V2889" s="6">
        <f t="shared" si="460"/>
        <v>0</v>
      </c>
      <c r="Y2889" s="8">
        <f t="shared" si="461"/>
        <v>46023</v>
      </c>
    </row>
    <row r="2890" spans="2:25" ht="18.75" x14ac:dyDescent="0.3">
      <c r="B2890" s="6">
        <f t="shared" si="453"/>
        <v>0</v>
      </c>
      <c r="C2890" s="6">
        <f t="shared" si="454"/>
        <v>0</v>
      </c>
      <c r="D2890" s="6" t="str">
        <f t="shared" si="455"/>
        <v/>
      </c>
      <c r="E2890" s="35" t="str">
        <f t="shared" si="452"/>
        <v/>
      </c>
      <c r="F2890" s="31"/>
      <c r="G2890" s="29"/>
      <c r="H2890" s="78" t="str">
        <f t="shared" si="456"/>
        <v/>
      </c>
      <c r="I2890" s="25"/>
      <c r="J2890" s="25"/>
      <c r="K2890" s="26"/>
      <c r="L2890" s="26"/>
      <c r="M2890" s="37"/>
      <c r="N2890" s="27"/>
      <c r="O2890" s="30"/>
      <c r="P2890" s="39" t="str">
        <f t="shared" si="457"/>
        <v/>
      </c>
      <c r="Q2890" s="40" t="str">
        <f>IF(OR(T2890=0,RIGHT(T2890,1)=$W$1),"",COUNTIF($T$3:T2890,T2890))</f>
        <v/>
      </c>
      <c r="S2890" s="6">
        <f t="shared" si="458"/>
        <v>0</v>
      </c>
      <c r="T2890" s="36">
        <f t="shared" si="459"/>
        <v>0</v>
      </c>
      <c r="V2890" s="6">
        <f t="shared" si="460"/>
        <v>0</v>
      </c>
      <c r="Y2890" s="8">
        <f t="shared" si="461"/>
        <v>46023</v>
      </c>
    </row>
    <row r="2891" spans="2:25" ht="18.75" x14ac:dyDescent="0.3">
      <c r="B2891" s="6">
        <f t="shared" si="453"/>
        <v>0</v>
      </c>
      <c r="C2891" s="6">
        <f t="shared" si="454"/>
        <v>0</v>
      </c>
      <c r="D2891" s="6" t="str">
        <f t="shared" si="455"/>
        <v/>
      </c>
      <c r="E2891" s="35" t="str">
        <f t="shared" si="452"/>
        <v/>
      </c>
      <c r="F2891" s="31"/>
      <c r="G2891" s="29"/>
      <c r="H2891" s="78" t="str">
        <f t="shared" si="456"/>
        <v/>
      </c>
      <c r="I2891" s="25"/>
      <c r="J2891" s="25"/>
      <c r="K2891" s="26"/>
      <c r="L2891" s="26"/>
      <c r="M2891" s="37"/>
      <c r="N2891" s="27"/>
      <c r="O2891" s="30"/>
      <c r="P2891" s="39" t="str">
        <f t="shared" si="457"/>
        <v/>
      </c>
      <c r="Q2891" s="40" t="str">
        <f>IF(OR(T2891=0,RIGHT(T2891,1)=$W$1),"",COUNTIF($T$3:T2891,T2891))</f>
        <v/>
      </c>
      <c r="S2891" s="6">
        <f t="shared" si="458"/>
        <v>0</v>
      </c>
      <c r="T2891" s="36">
        <f t="shared" si="459"/>
        <v>0</v>
      </c>
      <c r="V2891" s="6">
        <f t="shared" si="460"/>
        <v>0</v>
      </c>
      <c r="Y2891" s="8">
        <f t="shared" si="461"/>
        <v>46023</v>
      </c>
    </row>
    <row r="2892" spans="2:25" ht="18.75" x14ac:dyDescent="0.3">
      <c r="B2892" s="6">
        <f t="shared" si="453"/>
        <v>0</v>
      </c>
      <c r="C2892" s="6">
        <f t="shared" si="454"/>
        <v>0</v>
      </c>
      <c r="D2892" s="6" t="str">
        <f t="shared" si="455"/>
        <v/>
      </c>
      <c r="E2892" s="35" t="str">
        <f t="shared" si="452"/>
        <v/>
      </c>
      <c r="F2892" s="31"/>
      <c r="G2892" s="29"/>
      <c r="H2892" s="78" t="str">
        <f t="shared" si="456"/>
        <v/>
      </c>
      <c r="I2892" s="25"/>
      <c r="J2892" s="25"/>
      <c r="K2892" s="26"/>
      <c r="L2892" s="26"/>
      <c r="M2892" s="37"/>
      <c r="N2892" s="27"/>
      <c r="O2892" s="30"/>
      <c r="P2892" s="39" t="str">
        <f t="shared" si="457"/>
        <v/>
      </c>
      <c r="Q2892" s="40" t="str">
        <f>IF(OR(T2892=0,RIGHT(T2892,1)=$W$1),"",COUNTIF($T$3:T2892,T2892))</f>
        <v/>
      </c>
      <c r="S2892" s="6">
        <f t="shared" si="458"/>
        <v>0</v>
      </c>
      <c r="T2892" s="36">
        <f t="shared" si="459"/>
        <v>0</v>
      </c>
      <c r="V2892" s="6">
        <f t="shared" si="460"/>
        <v>0</v>
      </c>
      <c r="Y2892" s="8">
        <f t="shared" si="461"/>
        <v>46023</v>
      </c>
    </row>
    <row r="2893" spans="2:25" ht="18.75" x14ac:dyDescent="0.3">
      <c r="B2893" s="6">
        <f t="shared" si="453"/>
        <v>0</v>
      </c>
      <c r="C2893" s="6">
        <f t="shared" si="454"/>
        <v>0</v>
      </c>
      <c r="D2893" s="6" t="str">
        <f t="shared" si="455"/>
        <v/>
      </c>
      <c r="E2893" s="35" t="str">
        <f t="shared" si="452"/>
        <v/>
      </c>
      <c r="F2893" s="31"/>
      <c r="G2893" s="29"/>
      <c r="H2893" s="78" t="str">
        <f t="shared" si="456"/>
        <v/>
      </c>
      <c r="I2893" s="25"/>
      <c r="J2893" s="25"/>
      <c r="K2893" s="26"/>
      <c r="L2893" s="26"/>
      <c r="M2893" s="37"/>
      <c r="N2893" s="27"/>
      <c r="O2893" s="30"/>
      <c r="P2893" s="39" t="str">
        <f t="shared" si="457"/>
        <v/>
      </c>
      <c r="Q2893" s="40" t="str">
        <f>IF(OR(T2893=0,RIGHT(T2893,1)=$W$1),"",COUNTIF($T$3:T2893,T2893))</f>
        <v/>
      </c>
      <c r="S2893" s="6">
        <f t="shared" si="458"/>
        <v>0</v>
      </c>
      <c r="T2893" s="36">
        <f t="shared" si="459"/>
        <v>0</v>
      </c>
      <c r="V2893" s="6">
        <f t="shared" si="460"/>
        <v>0</v>
      </c>
      <c r="Y2893" s="8">
        <f t="shared" si="461"/>
        <v>46023</v>
      </c>
    </row>
    <row r="2894" spans="2:25" ht="18.75" x14ac:dyDescent="0.3">
      <c r="B2894" s="6">
        <f t="shared" si="453"/>
        <v>0</v>
      </c>
      <c r="C2894" s="6">
        <f t="shared" si="454"/>
        <v>0</v>
      </c>
      <c r="D2894" s="6" t="str">
        <f t="shared" si="455"/>
        <v/>
      </c>
      <c r="E2894" s="35" t="str">
        <f t="shared" si="452"/>
        <v/>
      </c>
      <c r="F2894" s="31"/>
      <c r="G2894" s="29"/>
      <c r="H2894" s="78" t="str">
        <f t="shared" si="456"/>
        <v/>
      </c>
      <c r="I2894" s="25"/>
      <c r="J2894" s="25"/>
      <c r="K2894" s="26"/>
      <c r="L2894" s="26"/>
      <c r="M2894" s="37"/>
      <c r="N2894" s="27"/>
      <c r="O2894" s="30"/>
      <c r="P2894" s="39" t="str">
        <f t="shared" si="457"/>
        <v/>
      </c>
      <c r="Q2894" s="40" t="str">
        <f>IF(OR(T2894=0,RIGHT(T2894,1)=$W$1),"",COUNTIF($T$3:T2894,T2894))</f>
        <v/>
      </c>
      <c r="S2894" s="6">
        <f t="shared" si="458"/>
        <v>0</v>
      </c>
      <c r="T2894" s="36">
        <f t="shared" si="459"/>
        <v>0</v>
      </c>
      <c r="V2894" s="6">
        <f t="shared" si="460"/>
        <v>0</v>
      </c>
      <c r="Y2894" s="8">
        <f t="shared" si="461"/>
        <v>46023</v>
      </c>
    </row>
    <row r="2895" spans="2:25" ht="18.75" x14ac:dyDescent="0.3">
      <c r="B2895" s="6">
        <f t="shared" si="453"/>
        <v>0</v>
      </c>
      <c r="C2895" s="6">
        <f t="shared" si="454"/>
        <v>0</v>
      </c>
      <c r="D2895" s="6" t="str">
        <f t="shared" si="455"/>
        <v/>
      </c>
      <c r="E2895" s="35" t="str">
        <f t="shared" si="452"/>
        <v/>
      </c>
      <c r="F2895" s="31"/>
      <c r="G2895" s="29"/>
      <c r="H2895" s="78" t="str">
        <f t="shared" si="456"/>
        <v/>
      </c>
      <c r="I2895" s="25"/>
      <c r="J2895" s="25"/>
      <c r="K2895" s="26"/>
      <c r="L2895" s="26"/>
      <c r="M2895" s="37"/>
      <c r="N2895" s="27"/>
      <c r="O2895" s="30"/>
      <c r="P2895" s="39" t="str">
        <f t="shared" si="457"/>
        <v/>
      </c>
      <c r="Q2895" s="40" t="str">
        <f>IF(OR(T2895=0,RIGHT(T2895,1)=$W$1),"",COUNTIF($T$3:T2895,T2895))</f>
        <v/>
      </c>
      <c r="S2895" s="6">
        <f t="shared" si="458"/>
        <v>0</v>
      </c>
      <c r="T2895" s="36">
        <f t="shared" si="459"/>
        <v>0</v>
      </c>
      <c r="V2895" s="6">
        <f t="shared" si="460"/>
        <v>0</v>
      </c>
      <c r="Y2895" s="8">
        <f t="shared" si="461"/>
        <v>46023</v>
      </c>
    </row>
    <row r="2896" spans="2:25" ht="18.75" x14ac:dyDescent="0.3">
      <c r="B2896" s="6">
        <f t="shared" si="453"/>
        <v>0</v>
      </c>
      <c r="C2896" s="6">
        <f t="shared" si="454"/>
        <v>0</v>
      </c>
      <c r="D2896" s="6" t="str">
        <f t="shared" si="455"/>
        <v/>
      </c>
      <c r="E2896" s="35" t="str">
        <f t="shared" si="452"/>
        <v/>
      </c>
      <c r="F2896" s="31"/>
      <c r="G2896" s="29"/>
      <c r="H2896" s="78" t="str">
        <f t="shared" si="456"/>
        <v/>
      </c>
      <c r="I2896" s="25"/>
      <c r="J2896" s="25"/>
      <c r="K2896" s="26"/>
      <c r="L2896" s="26"/>
      <c r="M2896" s="37"/>
      <c r="N2896" s="27"/>
      <c r="O2896" s="30"/>
      <c r="P2896" s="39" t="str">
        <f t="shared" si="457"/>
        <v/>
      </c>
      <c r="Q2896" s="40" t="str">
        <f>IF(OR(T2896=0,RIGHT(T2896,1)=$W$1),"",COUNTIF($T$3:T2896,T2896))</f>
        <v/>
      </c>
      <c r="S2896" s="6">
        <f t="shared" si="458"/>
        <v>0</v>
      </c>
      <c r="T2896" s="36">
        <f t="shared" si="459"/>
        <v>0</v>
      </c>
      <c r="V2896" s="6">
        <f t="shared" si="460"/>
        <v>0</v>
      </c>
      <c r="Y2896" s="8">
        <f t="shared" si="461"/>
        <v>46023</v>
      </c>
    </row>
    <row r="2897" spans="2:25" ht="18.75" x14ac:dyDescent="0.3">
      <c r="B2897" s="6">
        <f t="shared" si="453"/>
        <v>0</v>
      </c>
      <c r="C2897" s="6">
        <f t="shared" si="454"/>
        <v>0</v>
      </c>
      <c r="D2897" s="6" t="str">
        <f t="shared" si="455"/>
        <v/>
      </c>
      <c r="E2897" s="35" t="str">
        <f t="shared" si="452"/>
        <v/>
      </c>
      <c r="F2897" s="31"/>
      <c r="G2897" s="29"/>
      <c r="H2897" s="78" t="str">
        <f t="shared" si="456"/>
        <v/>
      </c>
      <c r="I2897" s="25"/>
      <c r="J2897" s="25"/>
      <c r="K2897" s="26"/>
      <c r="L2897" s="26"/>
      <c r="M2897" s="37"/>
      <c r="N2897" s="27"/>
      <c r="O2897" s="30"/>
      <c r="P2897" s="39" t="str">
        <f t="shared" si="457"/>
        <v/>
      </c>
      <c r="Q2897" s="40" t="str">
        <f>IF(OR(T2897=0,RIGHT(T2897,1)=$W$1),"",COUNTIF($T$3:T2897,T2897))</f>
        <v/>
      </c>
      <c r="S2897" s="6">
        <f t="shared" si="458"/>
        <v>0</v>
      </c>
      <c r="T2897" s="36">
        <f t="shared" si="459"/>
        <v>0</v>
      </c>
      <c r="V2897" s="6">
        <f t="shared" si="460"/>
        <v>0</v>
      </c>
      <c r="Y2897" s="8">
        <f t="shared" si="461"/>
        <v>46023</v>
      </c>
    </row>
    <row r="2898" spans="2:25" ht="18.75" x14ac:dyDescent="0.3">
      <c r="B2898" s="6">
        <f t="shared" si="453"/>
        <v>0</v>
      </c>
      <c r="C2898" s="6">
        <f t="shared" si="454"/>
        <v>0</v>
      </c>
      <c r="D2898" s="6" t="str">
        <f t="shared" si="455"/>
        <v/>
      </c>
      <c r="E2898" s="35" t="str">
        <f t="shared" si="452"/>
        <v/>
      </c>
      <c r="F2898" s="31"/>
      <c r="G2898" s="29"/>
      <c r="H2898" s="78" t="str">
        <f t="shared" si="456"/>
        <v/>
      </c>
      <c r="I2898" s="25"/>
      <c r="J2898" s="25"/>
      <c r="K2898" s="26"/>
      <c r="L2898" s="26"/>
      <c r="M2898" s="37"/>
      <c r="N2898" s="27"/>
      <c r="O2898" s="30"/>
      <c r="P2898" s="39" t="str">
        <f t="shared" si="457"/>
        <v/>
      </c>
      <c r="Q2898" s="40" t="str">
        <f>IF(OR(T2898=0,RIGHT(T2898,1)=$W$1),"",COUNTIF($T$3:T2898,T2898))</f>
        <v/>
      </c>
      <c r="S2898" s="6">
        <f t="shared" si="458"/>
        <v>0</v>
      </c>
      <c r="T2898" s="36">
        <f t="shared" si="459"/>
        <v>0</v>
      </c>
      <c r="V2898" s="6">
        <f t="shared" si="460"/>
        <v>0</v>
      </c>
      <c r="Y2898" s="8">
        <f t="shared" si="461"/>
        <v>46023</v>
      </c>
    </row>
    <row r="2899" spans="2:25" ht="18.75" x14ac:dyDescent="0.3">
      <c r="B2899" s="6">
        <f t="shared" si="453"/>
        <v>0</v>
      </c>
      <c r="C2899" s="6">
        <f t="shared" si="454"/>
        <v>0</v>
      </c>
      <c r="D2899" s="6" t="str">
        <f t="shared" si="455"/>
        <v/>
      </c>
      <c r="E2899" s="35" t="str">
        <f t="shared" si="452"/>
        <v/>
      </c>
      <c r="F2899" s="31"/>
      <c r="G2899" s="29"/>
      <c r="H2899" s="78" t="str">
        <f t="shared" si="456"/>
        <v/>
      </c>
      <c r="I2899" s="25"/>
      <c r="J2899" s="25"/>
      <c r="K2899" s="26"/>
      <c r="L2899" s="26"/>
      <c r="M2899" s="37"/>
      <c r="N2899" s="27"/>
      <c r="O2899" s="30"/>
      <c r="P2899" s="39" t="str">
        <f t="shared" si="457"/>
        <v/>
      </c>
      <c r="Q2899" s="40" t="str">
        <f>IF(OR(T2899=0,RIGHT(T2899,1)=$W$1),"",COUNTIF($T$3:T2899,T2899))</f>
        <v/>
      </c>
      <c r="S2899" s="6">
        <f t="shared" si="458"/>
        <v>0</v>
      </c>
      <c r="T2899" s="36">
        <f t="shared" si="459"/>
        <v>0</v>
      </c>
      <c r="V2899" s="6">
        <f t="shared" si="460"/>
        <v>0</v>
      </c>
      <c r="Y2899" s="8">
        <f t="shared" si="461"/>
        <v>46023</v>
      </c>
    </row>
    <row r="2900" spans="2:25" ht="18.75" x14ac:dyDescent="0.3">
      <c r="B2900" s="6">
        <f t="shared" si="453"/>
        <v>0</v>
      </c>
      <c r="C2900" s="6">
        <f t="shared" si="454"/>
        <v>0</v>
      </c>
      <c r="D2900" s="6" t="str">
        <f t="shared" si="455"/>
        <v/>
      </c>
      <c r="E2900" s="35" t="str">
        <f t="shared" si="452"/>
        <v/>
      </c>
      <c r="F2900" s="31"/>
      <c r="G2900" s="29"/>
      <c r="H2900" s="78" t="str">
        <f t="shared" si="456"/>
        <v/>
      </c>
      <c r="I2900" s="25"/>
      <c r="J2900" s="25"/>
      <c r="K2900" s="26"/>
      <c r="L2900" s="26"/>
      <c r="M2900" s="37"/>
      <c r="N2900" s="27"/>
      <c r="O2900" s="30"/>
      <c r="P2900" s="39" t="str">
        <f t="shared" si="457"/>
        <v/>
      </c>
      <c r="Q2900" s="40" t="str">
        <f>IF(OR(T2900=0,RIGHT(T2900,1)=$W$1),"",COUNTIF($T$3:T2900,T2900))</f>
        <v/>
      </c>
      <c r="S2900" s="6">
        <f t="shared" si="458"/>
        <v>0</v>
      </c>
      <c r="T2900" s="36">
        <f t="shared" si="459"/>
        <v>0</v>
      </c>
      <c r="V2900" s="6">
        <f t="shared" si="460"/>
        <v>0</v>
      </c>
      <c r="Y2900" s="8">
        <f t="shared" si="461"/>
        <v>46023</v>
      </c>
    </row>
    <row r="2901" spans="2:25" ht="18.75" x14ac:dyDescent="0.3">
      <c r="B2901" s="6">
        <f t="shared" si="453"/>
        <v>0</v>
      </c>
      <c r="C2901" s="6">
        <f t="shared" si="454"/>
        <v>0</v>
      </c>
      <c r="D2901" s="6" t="str">
        <f t="shared" si="455"/>
        <v/>
      </c>
      <c r="E2901" s="35" t="str">
        <f t="shared" si="452"/>
        <v/>
      </c>
      <c r="F2901" s="31"/>
      <c r="G2901" s="29"/>
      <c r="H2901" s="78" t="str">
        <f t="shared" si="456"/>
        <v/>
      </c>
      <c r="I2901" s="25"/>
      <c r="J2901" s="25"/>
      <c r="K2901" s="26"/>
      <c r="L2901" s="26"/>
      <c r="M2901" s="37"/>
      <c r="N2901" s="27"/>
      <c r="O2901" s="30"/>
      <c r="P2901" s="39" t="str">
        <f t="shared" si="457"/>
        <v/>
      </c>
      <c r="Q2901" s="40" t="str">
        <f>IF(OR(T2901=0,RIGHT(T2901,1)=$W$1),"",COUNTIF($T$3:T2901,T2901))</f>
        <v/>
      </c>
      <c r="S2901" s="6">
        <f t="shared" si="458"/>
        <v>0</v>
      </c>
      <c r="T2901" s="36">
        <f t="shared" si="459"/>
        <v>0</v>
      </c>
      <c r="V2901" s="6">
        <f t="shared" si="460"/>
        <v>0</v>
      </c>
      <c r="Y2901" s="8">
        <f t="shared" si="461"/>
        <v>46023</v>
      </c>
    </row>
    <row r="2902" spans="2:25" ht="18.75" x14ac:dyDescent="0.3">
      <c r="B2902" s="6">
        <f t="shared" si="453"/>
        <v>0</v>
      </c>
      <c r="C2902" s="6">
        <f t="shared" si="454"/>
        <v>0</v>
      </c>
      <c r="D2902" s="6" t="str">
        <f t="shared" si="455"/>
        <v/>
      </c>
      <c r="E2902" s="35" t="str">
        <f t="shared" si="452"/>
        <v/>
      </c>
      <c r="F2902" s="31"/>
      <c r="G2902" s="29"/>
      <c r="H2902" s="78" t="str">
        <f t="shared" si="456"/>
        <v/>
      </c>
      <c r="I2902" s="25"/>
      <c r="J2902" s="25"/>
      <c r="K2902" s="26"/>
      <c r="L2902" s="26"/>
      <c r="M2902" s="37"/>
      <c r="N2902" s="27"/>
      <c r="O2902" s="30"/>
      <c r="P2902" s="39" t="str">
        <f t="shared" si="457"/>
        <v/>
      </c>
      <c r="Q2902" s="40" t="str">
        <f>IF(OR(T2902=0,RIGHT(T2902,1)=$W$1),"",COUNTIF($T$3:T2902,T2902))</f>
        <v/>
      </c>
      <c r="S2902" s="6">
        <f t="shared" si="458"/>
        <v>0</v>
      </c>
      <c r="T2902" s="36">
        <f t="shared" si="459"/>
        <v>0</v>
      </c>
      <c r="V2902" s="6">
        <f t="shared" si="460"/>
        <v>0</v>
      </c>
      <c r="Y2902" s="8">
        <f t="shared" si="461"/>
        <v>46023</v>
      </c>
    </row>
    <row r="2903" spans="2:25" ht="18.75" x14ac:dyDescent="0.3">
      <c r="B2903" s="6">
        <f t="shared" si="453"/>
        <v>0</v>
      </c>
      <c r="C2903" s="6">
        <f t="shared" si="454"/>
        <v>0</v>
      </c>
      <c r="D2903" s="6" t="str">
        <f t="shared" si="455"/>
        <v/>
      </c>
      <c r="E2903" s="35" t="str">
        <f t="shared" si="452"/>
        <v/>
      </c>
      <c r="F2903" s="31"/>
      <c r="G2903" s="29"/>
      <c r="H2903" s="78" t="str">
        <f t="shared" si="456"/>
        <v/>
      </c>
      <c r="I2903" s="25"/>
      <c r="J2903" s="25"/>
      <c r="K2903" s="26"/>
      <c r="L2903" s="26"/>
      <c r="M2903" s="37"/>
      <c r="N2903" s="27"/>
      <c r="O2903" s="30"/>
      <c r="P2903" s="39" t="str">
        <f t="shared" si="457"/>
        <v/>
      </c>
      <c r="Q2903" s="40" t="str">
        <f>IF(OR(T2903=0,RIGHT(T2903,1)=$W$1),"",COUNTIF($T$3:T2903,T2903))</f>
        <v/>
      </c>
      <c r="S2903" s="6">
        <f t="shared" si="458"/>
        <v>0</v>
      </c>
      <c r="T2903" s="36">
        <f t="shared" si="459"/>
        <v>0</v>
      </c>
      <c r="V2903" s="6">
        <f t="shared" si="460"/>
        <v>0</v>
      </c>
      <c r="Y2903" s="8">
        <f t="shared" si="461"/>
        <v>46023</v>
      </c>
    </row>
    <row r="2904" spans="2:25" ht="18.75" x14ac:dyDescent="0.3">
      <c r="B2904" s="6">
        <f t="shared" si="453"/>
        <v>0</v>
      </c>
      <c r="C2904" s="6">
        <f t="shared" si="454"/>
        <v>0</v>
      </c>
      <c r="D2904" s="6" t="str">
        <f t="shared" si="455"/>
        <v/>
      </c>
      <c r="E2904" s="35" t="str">
        <f t="shared" si="452"/>
        <v/>
      </c>
      <c r="F2904" s="31"/>
      <c r="G2904" s="29"/>
      <c r="H2904" s="78" t="str">
        <f t="shared" si="456"/>
        <v/>
      </c>
      <c r="I2904" s="25"/>
      <c r="J2904" s="25"/>
      <c r="K2904" s="26"/>
      <c r="L2904" s="26"/>
      <c r="M2904" s="37"/>
      <c r="N2904" s="27"/>
      <c r="O2904" s="30"/>
      <c r="P2904" s="39" t="str">
        <f t="shared" si="457"/>
        <v/>
      </c>
      <c r="Q2904" s="40" t="str">
        <f>IF(OR(T2904=0,RIGHT(T2904,1)=$W$1),"",COUNTIF($T$3:T2904,T2904))</f>
        <v/>
      </c>
      <c r="S2904" s="6">
        <f t="shared" si="458"/>
        <v>0</v>
      </c>
      <c r="T2904" s="36">
        <f t="shared" si="459"/>
        <v>0</v>
      </c>
      <c r="V2904" s="6">
        <f t="shared" si="460"/>
        <v>0</v>
      </c>
      <c r="Y2904" s="8">
        <f t="shared" si="461"/>
        <v>46023</v>
      </c>
    </row>
    <row r="2905" spans="2:25" ht="18.75" x14ac:dyDescent="0.3">
      <c r="B2905" s="6">
        <f t="shared" si="453"/>
        <v>0</v>
      </c>
      <c r="C2905" s="6">
        <f t="shared" si="454"/>
        <v>0</v>
      </c>
      <c r="D2905" s="6" t="str">
        <f t="shared" si="455"/>
        <v/>
      </c>
      <c r="E2905" s="35" t="str">
        <f t="shared" si="452"/>
        <v/>
      </c>
      <c r="F2905" s="31"/>
      <c r="G2905" s="29"/>
      <c r="H2905" s="78" t="str">
        <f t="shared" si="456"/>
        <v/>
      </c>
      <c r="I2905" s="25"/>
      <c r="J2905" s="25"/>
      <c r="K2905" s="26"/>
      <c r="L2905" s="26"/>
      <c r="M2905" s="37"/>
      <c r="N2905" s="27"/>
      <c r="O2905" s="30"/>
      <c r="P2905" s="39" t="str">
        <f t="shared" si="457"/>
        <v/>
      </c>
      <c r="Q2905" s="40" t="str">
        <f>IF(OR(T2905=0,RIGHT(T2905,1)=$W$1),"",COUNTIF($T$3:T2905,T2905))</f>
        <v/>
      </c>
      <c r="S2905" s="6">
        <f t="shared" si="458"/>
        <v>0</v>
      </c>
      <c r="T2905" s="36">
        <f t="shared" si="459"/>
        <v>0</v>
      </c>
      <c r="V2905" s="6">
        <f t="shared" si="460"/>
        <v>0</v>
      </c>
      <c r="Y2905" s="8">
        <f t="shared" si="461"/>
        <v>46023</v>
      </c>
    </row>
    <row r="2906" spans="2:25" ht="18.75" x14ac:dyDescent="0.3">
      <c r="B2906" s="6">
        <f t="shared" si="453"/>
        <v>0</v>
      </c>
      <c r="C2906" s="6">
        <f t="shared" si="454"/>
        <v>0</v>
      </c>
      <c r="D2906" s="6" t="str">
        <f t="shared" si="455"/>
        <v/>
      </c>
      <c r="E2906" s="35" t="str">
        <f t="shared" si="452"/>
        <v/>
      </c>
      <c r="F2906" s="31"/>
      <c r="G2906" s="29"/>
      <c r="H2906" s="78" t="str">
        <f t="shared" si="456"/>
        <v/>
      </c>
      <c r="I2906" s="25"/>
      <c r="J2906" s="25"/>
      <c r="K2906" s="26"/>
      <c r="L2906" s="26"/>
      <c r="M2906" s="37"/>
      <c r="N2906" s="27"/>
      <c r="O2906" s="30"/>
      <c r="P2906" s="39" t="str">
        <f t="shared" si="457"/>
        <v/>
      </c>
      <c r="Q2906" s="40" t="str">
        <f>IF(OR(T2906=0,RIGHT(T2906,1)=$W$1),"",COUNTIF($T$3:T2906,T2906))</f>
        <v/>
      </c>
      <c r="S2906" s="6">
        <f t="shared" si="458"/>
        <v>0</v>
      </c>
      <c r="T2906" s="36">
        <f t="shared" si="459"/>
        <v>0</v>
      </c>
      <c r="V2906" s="6">
        <f t="shared" si="460"/>
        <v>0</v>
      </c>
      <c r="Y2906" s="8">
        <f t="shared" si="461"/>
        <v>46023</v>
      </c>
    </row>
    <row r="2907" spans="2:25" ht="18.75" x14ac:dyDescent="0.3">
      <c r="B2907" s="6">
        <f t="shared" si="453"/>
        <v>0</v>
      </c>
      <c r="C2907" s="6">
        <f t="shared" si="454"/>
        <v>0</v>
      </c>
      <c r="D2907" s="6" t="str">
        <f t="shared" si="455"/>
        <v/>
      </c>
      <c r="E2907" s="35" t="str">
        <f t="shared" si="452"/>
        <v/>
      </c>
      <c r="F2907" s="31"/>
      <c r="G2907" s="29"/>
      <c r="H2907" s="78" t="str">
        <f t="shared" si="456"/>
        <v/>
      </c>
      <c r="I2907" s="25"/>
      <c r="J2907" s="25"/>
      <c r="K2907" s="26"/>
      <c r="L2907" s="26"/>
      <c r="M2907" s="37"/>
      <c r="N2907" s="27"/>
      <c r="O2907" s="30"/>
      <c r="P2907" s="39" t="str">
        <f t="shared" si="457"/>
        <v/>
      </c>
      <c r="Q2907" s="40" t="str">
        <f>IF(OR(T2907=0,RIGHT(T2907,1)=$W$1),"",COUNTIF($T$3:T2907,T2907))</f>
        <v/>
      </c>
      <c r="S2907" s="6">
        <f t="shared" si="458"/>
        <v>0</v>
      </c>
      <c r="T2907" s="36">
        <f t="shared" si="459"/>
        <v>0</v>
      </c>
      <c r="V2907" s="6">
        <f t="shared" si="460"/>
        <v>0</v>
      </c>
      <c r="Y2907" s="8">
        <f t="shared" si="461"/>
        <v>46023</v>
      </c>
    </row>
    <row r="2908" spans="2:25" ht="18.75" x14ac:dyDescent="0.3">
      <c r="B2908" s="6">
        <f t="shared" si="453"/>
        <v>0</v>
      </c>
      <c r="C2908" s="6">
        <f t="shared" si="454"/>
        <v>0</v>
      </c>
      <c r="D2908" s="6" t="str">
        <f t="shared" si="455"/>
        <v/>
      </c>
      <c r="E2908" s="35" t="str">
        <f t="shared" si="452"/>
        <v/>
      </c>
      <c r="F2908" s="31"/>
      <c r="G2908" s="29"/>
      <c r="H2908" s="78" t="str">
        <f t="shared" si="456"/>
        <v/>
      </c>
      <c r="I2908" s="25"/>
      <c r="J2908" s="25"/>
      <c r="K2908" s="26"/>
      <c r="L2908" s="26"/>
      <c r="M2908" s="37"/>
      <c r="N2908" s="27"/>
      <c r="O2908" s="30"/>
      <c r="P2908" s="39" t="str">
        <f t="shared" si="457"/>
        <v/>
      </c>
      <c r="Q2908" s="40" t="str">
        <f>IF(OR(T2908=0,RIGHT(T2908,1)=$W$1),"",COUNTIF($T$3:T2908,T2908))</f>
        <v/>
      </c>
      <c r="S2908" s="6">
        <f t="shared" si="458"/>
        <v>0</v>
      </c>
      <c r="T2908" s="36">
        <f t="shared" si="459"/>
        <v>0</v>
      </c>
      <c r="V2908" s="6">
        <f t="shared" si="460"/>
        <v>0</v>
      </c>
      <c r="Y2908" s="8">
        <f t="shared" si="461"/>
        <v>46023</v>
      </c>
    </row>
    <row r="2909" spans="2:25" ht="18.75" x14ac:dyDescent="0.3">
      <c r="B2909" s="6">
        <f t="shared" si="453"/>
        <v>0</v>
      </c>
      <c r="C2909" s="6">
        <f t="shared" si="454"/>
        <v>0</v>
      </c>
      <c r="D2909" s="6" t="str">
        <f t="shared" si="455"/>
        <v/>
      </c>
      <c r="E2909" s="35" t="str">
        <f t="shared" si="452"/>
        <v/>
      </c>
      <c r="F2909" s="31"/>
      <c r="G2909" s="29"/>
      <c r="H2909" s="78" t="str">
        <f t="shared" si="456"/>
        <v/>
      </c>
      <c r="I2909" s="25"/>
      <c r="J2909" s="25"/>
      <c r="K2909" s="26"/>
      <c r="L2909" s="26"/>
      <c r="M2909" s="37"/>
      <c r="N2909" s="27"/>
      <c r="O2909" s="30"/>
      <c r="P2909" s="39" t="str">
        <f t="shared" si="457"/>
        <v/>
      </c>
      <c r="Q2909" s="40" t="str">
        <f>IF(OR(T2909=0,RIGHT(T2909,1)=$W$1),"",COUNTIF($T$3:T2909,T2909))</f>
        <v/>
      </c>
      <c r="S2909" s="6">
        <f t="shared" si="458"/>
        <v>0</v>
      </c>
      <c r="T2909" s="36">
        <f t="shared" si="459"/>
        <v>0</v>
      </c>
      <c r="V2909" s="6">
        <f t="shared" si="460"/>
        <v>0</v>
      </c>
      <c r="Y2909" s="8">
        <f t="shared" si="461"/>
        <v>46023</v>
      </c>
    </row>
    <row r="2910" spans="2:25" ht="18.75" x14ac:dyDescent="0.3">
      <c r="B2910" s="6">
        <f t="shared" si="453"/>
        <v>0</v>
      </c>
      <c r="C2910" s="6">
        <f t="shared" si="454"/>
        <v>0</v>
      </c>
      <c r="D2910" s="6" t="str">
        <f t="shared" si="455"/>
        <v/>
      </c>
      <c r="E2910" s="35" t="str">
        <f t="shared" si="452"/>
        <v/>
      </c>
      <c r="F2910" s="31"/>
      <c r="G2910" s="29"/>
      <c r="H2910" s="78" t="str">
        <f t="shared" si="456"/>
        <v/>
      </c>
      <c r="I2910" s="25"/>
      <c r="J2910" s="25"/>
      <c r="K2910" s="26"/>
      <c r="L2910" s="26"/>
      <c r="M2910" s="37"/>
      <c r="N2910" s="27"/>
      <c r="O2910" s="30"/>
      <c r="P2910" s="39" t="str">
        <f t="shared" si="457"/>
        <v/>
      </c>
      <c r="Q2910" s="40" t="str">
        <f>IF(OR(T2910=0,RIGHT(T2910,1)=$W$1),"",COUNTIF($T$3:T2910,T2910))</f>
        <v/>
      </c>
      <c r="S2910" s="6">
        <f t="shared" si="458"/>
        <v>0</v>
      </c>
      <c r="T2910" s="36">
        <f t="shared" si="459"/>
        <v>0</v>
      </c>
      <c r="V2910" s="6">
        <f t="shared" si="460"/>
        <v>0</v>
      </c>
      <c r="Y2910" s="8">
        <f t="shared" si="461"/>
        <v>46023</v>
      </c>
    </row>
    <row r="2911" spans="2:25" ht="18.75" x14ac:dyDescent="0.3">
      <c r="B2911" s="6">
        <f t="shared" si="453"/>
        <v>0</v>
      </c>
      <c r="C2911" s="6">
        <f t="shared" si="454"/>
        <v>0</v>
      </c>
      <c r="D2911" s="6" t="str">
        <f t="shared" si="455"/>
        <v/>
      </c>
      <c r="E2911" s="35" t="str">
        <f t="shared" si="452"/>
        <v/>
      </c>
      <c r="F2911" s="31"/>
      <c r="G2911" s="29"/>
      <c r="H2911" s="78" t="str">
        <f t="shared" si="456"/>
        <v/>
      </c>
      <c r="I2911" s="25"/>
      <c r="J2911" s="25"/>
      <c r="K2911" s="26"/>
      <c r="L2911" s="26"/>
      <c r="M2911" s="37"/>
      <c r="N2911" s="27"/>
      <c r="O2911" s="30"/>
      <c r="P2911" s="39" t="str">
        <f t="shared" si="457"/>
        <v/>
      </c>
      <c r="Q2911" s="40" t="str">
        <f>IF(OR(T2911=0,RIGHT(T2911,1)=$W$1),"",COUNTIF($T$3:T2911,T2911))</f>
        <v/>
      </c>
      <c r="S2911" s="6">
        <f t="shared" si="458"/>
        <v>0</v>
      </c>
      <c r="T2911" s="36">
        <f t="shared" si="459"/>
        <v>0</v>
      </c>
      <c r="V2911" s="6">
        <f t="shared" si="460"/>
        <v>0</v>
      </c>
      <c r="Y2911" s="8">
        <f t="shared" si="461"/>
        <v>46023</v>
      </c>
    </row>
    <row r="2912" spans="2:25" ht="18.75" x14ac:dyDescent="0.3">
      <c r="B2912" s="6">
        <f t="shared" si="453"/>
        <v>0</v>
      </c>
      <c r="C2912" s="6">
        <f t="shared" si="454"/>
        <v>0</v>
      </c>
      <c r="D2912" s="6" t="str">
        <f t="shared" si="455"/>
        <v/>
      </c>
      <c r="E2912" s="35" t="str">
        <f t="shared" si="452"/>
        <v/>
      </c>
      <c r="F2912" s="31"/>
      <c r="G2912" s="29"/>
      <c r="H2912" s="78" t="str">
        <f t="shared" si="456"/>
        <v/>
      </c>
      <c r="I2912" s="25"/>
      <c r="J2912" s="25"/>
      <c r="K2912" s="26"/>
      <c r="L2912" s="26"/>
      <c r="M2912" s="37"/>
      <c r="N2912" s="27"/>
      <c r="O2912" s="30"/>
      <c r="P2912" s="39" t="str">
        <f t="shared" si="457"/>
        <v/>
      </c>
      <c r="Q2912" s="40" t="str">
        <f>IF(OR(T2912=0,RIGHT(T2912,1)=$W$1),"",COUNTIF($T$3:T2912,T2912))</f>
        <v/>
      </c>
      <c r="S2912" s="6">
        <f t="shared" si="458"/>
        <v>0</v>
      </c>
      <c r="T2912" s="36">
        <f t="shared" si="459"/>
        <v>0</v>
      </c>
      <c r="V2912" s="6">
        <f t="shared" si="460"/>
        <v>0</v>
      </c>
      <c r="Y2912" s="8">
        <f t="shared" si="461"/>
        <v>46023</v>
      </c>
    </row>
    <row r="2913" spans="2:25" ht="18.75" x14ac:dyDescent="0.3">
      <c r="B2913" s="6">
        <f t="shared" si="453"/>
        <v>0</v>
      </c>
      <c r="C2913" s="6">
        <f t="shared" si="454"/>
        <v>0</v>
      </c>
      <c r="D2913" s="6" t="str">
        <f t="shared" si="455"/>
        <v/>
      </c>
      <c r="E2913" s="35" t="str">
        <f t="shared" si="452"/>
        <v/>
      </c>
      <c r="F2913" s="31"/>
      <c r="G2913" s="29"/>
      <c r="H2913" s="78" t="str">
        <f t="shared" si="456"/>
        <v/>
      </c>
      <c r="I2913" s="25"/>
      <c r="J2913" s="25"/>
      <c r="K2913" s="26"/>
      <c r="L2913" s="26"/>
      <c r="M2913" s="37"/>
      <c r="N2913" s="27"/>
      <c r="O2913" s="30"/>
      <c r="P2913" s="39" t="str">
        <f t="shared" si="457"/>
        <v/>
      </c>
      <c r="Q2913" s="40" t="str">
        <f>IF(OR(T2913=0,RIGHT(T2913,1)=$W$1),"",COUNTIF($T$3:T2913,T2913))</f>
        <v/>
      </c>
      <c r="S2913" s="6">
        <f t="shared" si="458"/>
        <v>0</v>
      </c>
      <c r="T2913" s="36">
        <f t="shared" si="459"/>
        <v>0</v>
      </c>
      <c r="V2913" s="6">
        <f t="shared" si="460"/>
        <v>0</v>
      </c>
      <c r="Y2913" s="8">
        <f t="shared" si="461"/>
        <v>46023</v>
      </c>
    </row>
    <row r="2914" spans="2:25" ht="18.75" x14ac:dyDescent="0.3">
      <c r="B2914" s="6">
        <f t="shared" si="453"/>
        <v>0</v>
      </c>
      <c r="C2914" s="6">
        <f t="shared" si="454"/>
        <v>0</v>
      </c>
      <c r="D2914" s="6" t="str">
        <f t="shared" si="455"/>
        <v/>
      </c>
      <c r="E2914" s="35" t="str">
        <f t="shared" si="452"/>
        <v/>
      </c>
      <c r="F2914" s="31"/>
      <c r="G2914" s="29"/>
      <c r="H2914" s="78" t="str">
        <f t="shared" si="456"/>
        <v/>
      </c>
      <c r="I2914" s="25"/>
      <c r="J2914" s="25"/>
      <c r="K2914" s="26"/>
      <c r="L2914" s="26"/>
      <c r="M2914" s="37"/>
      <c r="N2914" s="27"/>
      <c r="O2914" s="30"/>
      <c r="P2914" s="39" t="str">
        <f t="shared" si="457"/>
        <v/>
      </c>
      <c r="Q2914" s="40" t="str">
        <f>IF(OR(T2914=0,RIGHT(T2914,1)=$W$1),"",COUNTIF($T$3:T2914,T2914))</f>
        <v/>
      </c>
      <c r="S2914" s="6">
        <f t="shared" si="458"/>
        <v>0</v>
      </c>
      <c r="T2914" s="36">
        <f t="shared" si="459"/>
        <v>0</v>
      </c>
      <c r="V2914" s="6">
        <f t="shared" si="460"/>
        <v>0</v>
      </c>
      <c r="Y2914" s="8">
        <f t="shared" si="461"/>
        <v>46023</v>
      </c>
    </row>
    <row r="2915" spans="2:25" ht="18.75" x14ac:dyDescent="0.3">
      <c r="B2915" s="6">
        <f t="shared" si="453"/>
        <v>0</v>
      </c>
      <c r="C2915" s="6">
        <f t="shared" si="454"/>
        <v>0</v>
      </c>
      <c r="D2915" s="6" t="str">
        <f t="shared" si="455"/>
        <v/>
      </c>
      <c r="E2915" s="35" t="str">
        <f t="shared" si="452"/>
        <v/>
      </c>
      <c r="F2915" s="31"/>
      <c r="G2915" s="29"/>
      <c r="H2915" s="78" t="str">
        <f t="shared" si="456"/>
        <v/>
      </c>
      <c r="I2915" s="25"/>
      <c r="J2915" s="25"/>
      <c r="K2915" s="26"/>
      <c r="L2915" s="26"/>
      <c r="M2915" s="37"/>
      <c r="N2915" s="27"/>
      <c r="O2915" s="30"/>
      <c r="P2915" s="39" t="str">
        <f t="shared" si="457"/>
        <v/>
      </c>
      <c r="Q2915" s="40" t="str">
        <f>IF(OR(T2915=0,RIGHT(T2915,1)=$W$1),"",COUNTIF($T$3:T2915,T2915))</f>
        <v/>
      </c>
      <c r="S2915" s="6">
        <f t="shared" si="458"/>
        <v>0</v>
      </c>
      <c r="T2915" s="36">
        <f t="shared" si="459"/>
        <v>0</v>
      </c>
      <c r="V2915" s="6">
        <f t="shared" si="460"/>
        <v>0</v>
      </c>
      <c r="Y2915" s="8">
        <f t="shared" si="461"/>
        <v>46023</v>
      </c>
    </row>
    <row r="2916" spans="2:25" ht="18.75" x14ac:dyDescent="0.3">
      <c r="B2916" s="6">
        <f t="shared" si="453"/>
        <v>0</v>
      </c>
      <c r="C2916" s="6">
        <f t="shared" si="454"/>
        <v>0</v>
      </c>
      <c r="D2916" s="6" t="str">
        <f t="shared" si="455"/>
        <v/>
      </c>
      <c r="E2916" s="35" t="str">
        <f t="shared" si="452"/>
        <v/>
      </c>
      <c r="F2916" s="31"/>
      <c r="G2916" s="29"/>
      <c r="H2916" s="78" t="str">
        <f t="shared" si="456"/>
        <v/>
      </c>
      <c r="I2916" s="25"/>
      <c r="J2916" s="25"/>
      <c r="K2916" s="26"/>
      <c r="L2916" s="26"/>
      <c r="M2916" s="37"/>
      <c r="N2916" s="27"/>
      <c r="O2916" s="30"/>
      <c r="P2916" s="39" t="str">
        <f t="shared" si="457"/>
        <v/>
      </c>
      <c r="Q2916" s="40" t="str">
        <f>IF(OR(T2916=0,RIGHT(T2916,1)=$W$1),"",COUNTIF($T$3:T2916,T2916))</f>
        <v/>
      </c>
      <c r="S2916" s="6">
        <f t="shared" si="458"/>
        <v>0</v>
      </c>
      <c r="T2916" s="36">
        <f t="shared" si="459"/>
        <v>0</v>
      </c>
      <c r="V2916" s="6">
        <f t="shared" si="460"/>
        <v>0</v>
      </c>
      <c r="Y2916" s="8">
        <f t="shared" si="461"/>
        <v>46023</v>
      </c>
    </row>
    <row r="2917" spans="2:25" ht="18.75" x14ac:dyDescent="0.3">
      <c r="B2917" s="6">
        <f t="shared" si="453"/>
        <v>0</v>
      </c>
      <c r="C2917" s="6">
        <f t="shared" si="454"/>
        <v>0</v>
      </c>
      <c r="D2917" s="6" t="str">
        <f t="shared" si="455"/>
        <v/>
      </c>
      <c r="E2917" s="35" t="str">
        <f t="shared" si="452"/>
        <v/>
      </c>
      <c r="F2917" s="31"/>
      <c r="G2917" s="29"/>
      <c r="H2917" s="78" t="str">
        <f t="shared" si="456"/>
        <v/>
      </c>
      <c r="I2917" s="25"/>
      <c r="J2917" s="25"/>
      <c r="K2917" s="26"/>
      <c r="L2917" s="26"/>
      <c r="M2917" s="37"/>
      <c r="N2917" s="27"/>
      <c r="O2917" s="30"/>
      <c r="P2917" s="39" t="str">
        <f t="shared" si="457"/>
        <v/>
      </c>
      <c r="Q2917" s="40" t="str">
        <f>IF(OR(T2917=0,RIGHT(T2917,1)=$W$1),"",COUNTIF($T$3:T2917,T2917))</f>
        <v/>
      </c>
      <c r="S2917" s="6">
        <f t="shared" si="458"/>
        <v>0</v>
      </c>
      <c r="T2917" s="36">
        <f t="shared" si="459"/>
        <v>0</v>
      </c>
      <c r="V2917" s="6">
        <f t="shared" si="460"/>
        <v>0</v>
      </c>
      <c r="Y2917" s="8">
        <f t="shared" si="461"/>
        <v>46023</v>
      </c>
    </row>
    <row r="2918" spans="2:25" ht="18.75" x14ac:dyDescent="0.3">
      <c r="B2918" s="6">
        <f t="shared" si="453"/>
        <v>0</v>
      </c>
      <c r="C2918" s="6">
        <f t="shared" si="454"/>
        <v>0</v>
      </c>
      <c r="D2918" s="6" t="str">
        <f t="shared" si="455"/>
        <v/>
      </c>
      <c r="E2918" s="35" t="str">
        <f t="shared" si="452"/>
        <v/>
      </c>
      <c r="F2918" s="31"/>
      <c r="G2918" s="29"/>
      <c r="H2918" s="78" t="str">
        <f t="shared" si="456"/>
        <v/>
      </c>
      <c r="I2918" s="25"/>
      <c r="J2918" s="25"/>
      <c r="K2918" s="26"/>
      <c r="L2918" s="26"/>
      <c r="M2918" s="37"/>
      <c r="N2918" s="27"/>
      <c r="O2918" s="30"/>
      <c r="P2918" s="39" t="str">
        <f t="shared" si="457"/>
        <v/>
      </c>
      <c r="Q2918" s="40" t="str">
        <f>IF(OR(T2918=0,RIGHT(T2918,1)=$W$1),"",COUNTIF($T$3:T2918,T2918))</f>
        <v/>
      </c>
      <c r="S2918" s="6">
        <f t="shared" si="458"/>
        <v>0</v>
      </c>
      <c r="T2918" s="36">
        <f t="shared" si="459"/>
        <v>0</v>
      </c>
      <c r="V2918" s="6">
        <f t="shared" si="460"/>
        <v>0</v>
      </c>
      <c r="Y2918" s="8">
        <f t="shared" si="461"/>
        <v>46023</v>
      </c>
    </row>
    <row r="2919" spans="2:25" ht="18.75" x14ac:dyDescent="0.3">
      <c r="B2919" s="6">
        <f t="shared" si="453"/>
        <v>0</v>
      </c>
      <c r="C2919" s="6">
        <f t="shared" si="454"/>
        <v>0</v>
      </c>
      <c r="D2919" s="6" t="str">
        <f t="shared" si="455"/>
        <v/>
      </c>
      <c r="E2919" s="35" t="str">
        <f t="shared" si="452"/>
        <v/>
      </c>
      <c r="F2919" s="31"/>
      <c r="G2919" s="29"/>
      <c r="H2919" s="78" t="str">
        <f t="shared" si="456"/>
        <v/>
      </c>
      <c r="I2919" s="25"/>
      <c r="J2919" s="25"/>
      <c r="K2919" s="26"/>
      <c r="L2919" s="26"/>
      <c r="M2919" s="37"/>
      <c r="N2919" s="27"/>
      <c r="O2919" s="30"/>
      <c r="P2919" s="39" t="str">
        <f t="shared" si="457"/>
        <v/>
      </c>
      <c r="Q2919" s="40" t="str">
        <f>IF(OR(T2919=0,RIGHT(T2919,1)=$W$1),"",COUNTIF($T$3:T2919,T2919))</f>
        <v/>
      </c>
      <c r="S2919" s="6">
        <f t="shared" si="458"/>
        <v>0</v>
      </c>
      <c r="T2919" s="36">
        <f t="shared" si="459"/>
        <v>0</v>
      </c>
      <c r="V2919" s="6">
        <f t="shared" si="460"/>
        <v>0</v>
      </c>
      <c r="Y2919" s="8">
        <f t="shared" si="461"/>
        <v>46023</v>
      </c>
    </row>
    <row r="2920" spans="2:25" ht="18.75" x14ac:dyDescent="0.3">
      <c r="B2920" s="6">
        <f t="shared" si="453"/>
        <v>0</v>
      </c>
      <c r="C2920" s="6">
        <f t="shared" si="454"/>
        <v>0</v>
      </c>
      <c r="D2920" s="6" t="str">
        <f t="shared" si="455"/>
        <v/>
      </c>
      <c r="E2920" s="35" t="str">
        <f t="shared" si="452"/>
        <v/>
      </c>
      <c r="F2920" s="31"/>
      <c r="G2920" s="29"/>
      <c r="H2920" s="78" t="str">
        <f t="shared" si="456"/>
        <v/>
      </c>
      <c r="I2920" s="25"/>
      <c r="J2920" s="25"/>
      <c r="K2920" s="26"/>
      <c r="L2920" s="26"/>
      <c r="M2920" s="37"/>
      <c r="N2920" s="27"/>
      <c r="O2920" s="30"/>
      <c r="P2920" s="39" t="str">
        <f t="shared" si="457"/>
        <v/>
      </c>
      <c r="Q2920" s="40" t="str">
        <f>IF(OR(T2920=0,RIGHT(T2920,1)=$W$1),"",COUNTIF($T$3:T2920,T2920))</f>
        <v/>
      </c>
      <c r="S2920" s="6">
        <f t="shared" si="458"/>
        <v>0</v>
      </c>
      <c r="T2920" s="36">
        <f t="shared" si="459"/>
        <v>0</v>
      </c>
      <c r="V2920" s="6">
        <f t="shared" si="460"/>
        <v>0</v>
      </c>
      <c r="Y2920" s="8">
        <f t="shared" si="461"/>
        <v>46023</v>
      </c>
    </row>
    <row r="2921" spans="2:25" ht="18.75" x14ac:dyDescent="0.3">
      <c r="B2921" s="6">
        <f t="shared" si="453"/>
        <v>0</v>
      </c>
      <c r="C2921" s="6">
        <f t="shared" si="454"/>
        <v>0</v>
      </c>
      <c r="D2921" s="6" t="str">
        <f t="shared" si="455"/>
        <v/>
      </c>
      <c r="E2921" s="35" t="str">
        <f t="shared" si="452"/>
        <v/>
      </c>
      <c r="F2921" s="31"/>
      <c r="G2921" s="29"/>
      <c r="H2921" s="78" t="str">
        <f t="shared" si="456"/>
        <v/>
      </c>
      <c r="I2921" s="25"/>
      <c r="J2921" s="25"/>
      <c r="K2921" s="26"/>
      <c r="L2921" s="26"/>
      <c r="M2921" s="37"/>
      <c r="N2921" s="27"/>
      <c r="O2921" s="30"/>
      <c r="P2921" s="39" t="str">
        <f t="shared" si="457"/>
        <v/>
      </c>
      <c r="Q2921" s="40" t="str">
        <f>IF(OR(T2921=0,RIGHT(T2921,1)=$W$1),"",COUNTIF($T$3:T2921,T2921))</f>
        <v/>
      </c>
      <c r="S2921" s="6">
        <f t="shared" si="458"/>
        <v>0</v>
      </c>
      <c r="T2921" s="36">
        <f t="shared" si="459"/>
        <v>0</v>
      </c>
      <c r="V2921" s="6">
        <f t="shared" si="460"/>
        <v>0</v>
      </c>
      <c r="Y2921" s="8">
        <f t="shared" si="461"/>
        <v>46023</v>
      </c>
    </row>
    <row r="2922" spans="2:25" ht="18.75" x14ac:dyDescent="0.3">
      <c r="B2922" s="6">
        <f t="shared" si="453"/>
        <v>0</v>
      </c>
      <c r="C2922" s="6">
        <f t="shared" si="454"/>
        <v>0</v>
      </c>
      <c r="D2922" s="6" t="str">
        <f t="shared" si="455"/>
        <v/>
      </c>
      <c r="E2922" s="35" t="str">
        <f t="shared" si="452"/>
        <v/>
      </c>
      <c r="F2922" s="31"/>
      <c r="G2922" s="29"/>
      <c r="H2922" s="78" t="str">
        <f t="shared" si="456"/>
        <v/>
      </c>
      <c r="I2922" s="25"/>
      <c r="J2922" s="25"/>
      <c r="K2922" s="26"/>
      <c r="L2922" s="26"/>
      <c r="M2922" s="37"/>
      <c r="N2922" s="27"/>
      <c r="O2922" s="30"/>
      <c r="P2922" s="39" t="str">
        <f t="shared" si="457"/>
        <v/>
      </c>
      <c r="Q2922" s="40" t="str">
        <f>IF(OR(T2922=0,RIGHT(T2922,1)=$W$1),"",COUNTIF($T$3:T2922,T2922))</f>
        <v/>
      </c>
      <c r="S2922" s="6">
        <f t="shared" si="458"/>
        <v>0</v>
      </c>
      <c r="T2922" s="36">
        <f t="shared" si="459"/>
        <v>0</v>
      </c>
      <c r="V2922" s="6">
        <f t="shared" si="460"/>
        <v>0</v>
      </c>
      <c r="Y2922" s="8">
        <f t="shared" si="461"/>
        <v>46023</v>
      </c>
    </row>
    <row r="2923" spans="2:25" ht="18.75" x14ac:dyDescent="0.3">
      <c r="B2923" s="6">
        <f t="shared" si="453"/>
        <v>0</v>
      </c>
      <c r="C2923" s="6">
        <f t="shared" si="454"/>
        <v>0</v>
      </c>
      <c r="D2923" s="6" t="str">
        <f t="shared" si="455"/>
        <v/>
      </c>
      <c r="E2923" s="35" t="str">
        <f t="shared" si="452"/>
        <v/>
      </c>
      <c r="F2923" s="31"/>
      <c r="G2923" s="29"/>
      <c r="H2923" s="78" t="str">
        <f t="shared" si="456"/>
        <v/>
      </c>
      <c r="I2923" s="25"/>
      <c r="J2923" s="25"/>
      <c r="K2923" s="26"/>
      <c r="L2923" s="26"/>
      <c r="M2923" s="37"/>
      <c r="N2923" s="27"/>
      <c r="O2923" s="30"/>
      <c r="P2923" s="39" t="str">
        <f t="shared" si="457"/>
        <v/>
      </c>
      <c r="Q2923" s="40" t="str">
        <f>IF(OR(T2923=0,RIGHT(T2923,1)=$W$1),"",COUNTIF($T$3:T2923,T2923))</f>
        <v/>
      </c>
      <c r="S2923" s="6">
        <f t="shared" si="458"/>
        <v>0</v>
      </c>
      <c r="T2923" s="36">
        <f t="shared" si="459"/>
        <v>0</v>
      </c>
      <c r="V2923" s="6">
        <f t="shared" si="460"/>
        <v>0</v>
      </c>
      <c r="Y2923" s="8">
        <f t="shared" si="461"/>
        <v>46023</v>
      </c>
    </row>
    <row r="2924" spans="2:25" ht="18.75" x14ac:dyDescent="0.3">
      <c r="B2924" s="6">
        <f t="shared" si="453"/>
        <v>0</v>
      </c>
      <c r="C2924" s="6">
        <f t="shared" si="454"/>
        <v>0</v>
      </c>
      <c r="D2924" s="6" t="str">
        <f t="shared" si="455"/>
        <v/>
      </c>
      <c r="E2924" s="35" t="str">
        <f t="shared" si="452"/>
        <v/>
      </c>
      <c r="F2924" s="31"/>
      <c r="G2924" s="29"/>
      <c r="H2924" s="78" t="str">
        <f t="shared" si="456"/>
        <v/>
      </c>
      <c r="I2924" s="25"/>
      <c r="J2924" s="25"/>
      <c r="K2924" s="26"/>
      <c r="L2924" s="26"/>
      <c r="M2924" s="37"/>
      <c r="N2924" s="27"/>
      <c r="O2924" s="30"/>
      <c r="P2924" s="39" t="str">
        <f t="shared" si="457"/>
        <v/>
      </c>
      <c r="Q2924" s="40" t="str">
        <f>IF(OR(T2924=0,RIGHT(T2924,1)=$W$1),"",COUNTIF($T$3:T2924,T2924))</f>
        <v/>
      </c>
      <c r="S2924" s="6">
        <f t="shared" si="458"/>
        <v>0</v>
      </c>
      <c r="T2924" s="36">
        <f t="shared" si="459"/>
        <v>0</v>
      </c>
      <c r="V2924" s="6">
        <f t="shared" si="460"/>
        <v>0</v>
      </c>
      <c r="Y2924" s="8">
        <f t="shared" si="461"/>
        <v>46023</v>
      </c>
    </row>
    <row r="2925" spans="2:25" ht="18.75" x14ac:dyDescent="0.3">
      <c r="B2925" s="6">
        <f t="shared" si="453"/>
        <v>0</v>
      </c>
      <c r="C2925" s="6">
        <f t="shared" si="454"/>
        <v>0</v>
      </c>
      <c r="D2925" s="6" t="str">
        <f t="shared" si="455"/>
        <v/>
      </c>
      <c r="E2925" s="35" t="str">
        <f t="shared" si="452"/>
        <v/>
      </c>
      <c r="F2925" s="31"/>
      <c r="G2925" s="29"/>
      <c r="H2925" s="78" t="str">
        <f t="shared" si="456"/>
        <v/>
      </c>
      <c r="I2925" s="25"/>
      <c r="J2925" s="25"/>
      <c r="K2925" s="26"/>
      <c r="L2925" s="26"/>
      <c r="M2925" s="37"/>
      <c r="N2925" s="27"/>
      <c r="O2925" s="30"/>
      <c r="P2925" s="39" t="str">
        <f t="shared" si="457"/>
        <v/>
      </c>
      <c r="Q2925" s="40" t="str">
        <f>IF(OR(T2925=0,RIGHT(T2925,1)=$W$1),"",COUNTIF($T$3:T2925,T2925))</f>
        <v/>
      </c>
      <c r="S2925" s="6">
        <f t="shared" si="458"/>
        <v>0</v>
      </c>
      <c r="T2925" s="36">
        <f t="shared" si="459"/>
        <v>0</v>
      </c>
      <c r="V2925" s="6">
        <f t="shared" si="460"/>
        <v>0</v>
      </c>
      <c r="Y2925" s="8">
        <f t="shared" si="461"/>
        <v>46023</v>
      </c>
    </row>
    <row r="2926" spans="2:25" ht="18.75" x14ac:dyDescent="0.3">
      <c r="B2926" s="6">
        <f t="shared" si="453"/>
        <v>0</v>
      </c>
      <c r="C2926" s="6">
        <f t="shared" si="454"/>
        <v>0</v>
      </c>
      <c r="D2926" s="6" t="str">
        <f t="shared" si="455"/>
        <v/>
      </c>
      <c r="E2926" s="35" t="str">
        <f t="shared" si="452"/>
        <v/>
      </c>
      <c r="F2926" s="31"/>
      <c r="G2926" s="29"/>
      <c r="H2926" s="78" t="str">
        <f t="shared" si="456"/>
        <v/>
      </c>
      <c r="I2926" s="25"/>
      <c r="J2926" s="25"/>
      <c r="K2926" s="26"/>
      <c r="L2926" s="26"/>
      <c r="M2926" s="37"/>
      <c r="N2926" s="27"/>
      <c r="O2926" s="30"/>
      <c r="P2926" s="39" t="str">
        <f t="shared" si="457"/>
        <v/>
      </c>
      <c r="Q2926" s="40" t="str">
        <f>IF(OR(T2926=0,RIGHT(T2926,1)=$W$1),"",COUNTIF($T$3:T2926,T2926))</f>
        <v/>
      </c>
      <c r="S2926" s="6">
        <f t="shared" si="458"/>
        <v>0</v>
      </c>
      <c r="T2926" s="36">
        <f t="shared" si="459"/>
        <v>0</v>
      </c>
      <c r="V2926" s="6">
        <f t="shared" si="460"/>
        <v>0</v>
      </c>
      <c r="Y2926" s="8">
        <f t="shared" si="461"/>
        <v>46023</v>
      </c>
    </row>
    <row r="2927" spans="2:25" ht="18.75" x14ac:dyDescent="0.3">
      <c r="B2927" s="6">
        <f t="shared" si="453"/>
        <v>0</v>
      </c>
      <c r="C2927" s="6">
        <f t="shared" si="454"/>
        <v>0</v>
      </c>
      <c r="D2927" s="6" t="str">
        <f t="shared" si="455"/>
        <v/>
      </c>
      <c r="E2927" s="35" t="str">
        <f t="shared" si="452"/>
        <v/>
      </c>
      <c r="F2927" s="31"/>
      <c r="G2927" s="29"/>
      <c r="H2927" s="78" t="str">
        <f t="shared" si="456"/>
        <v/>
      </c>
      <c r="I2927" s="25"/>
      <c r="J2927" s="25"/>
      <c r="K2927" s="26"/>
      <c r="L2927" s="26"/>
      <c r="M2927" s="37"/>
      <c r="N2927" s="27"/>
      <c r="O2927" s="30"/>
      <c r="P2927" s="39" t="str">
        <f t="shared" si="457"/>
        <v/>
      </c>
      <c r="Q2927" s="40" t="str">
        <f>IF(OR(T2927=0,RIGHT(T2927,1)=$W$1),"",COUNTIF($T$3:T2927,T2927))</f>
        <v/>
      </c>
      <c r="S2927" s="6">
        <f t="shared" si="458"/>
        <v>0</v>
      </c>
      <c r="T2927" s="36">
        <f t="shared" si="459"/>
        <v>0</v>
      </c>
      <c r="V2927" s="6">
        <f t="shared" si="460"/>
        <v>0</v>
      </c>
      <c r="Y2927" s="8">
        <f t="shared" si="461"/>
        <v>46023</v>
      </c>
    </row>
    <row r="2928" spans="2:25" ht="18.75" x14ac:dyDescent="0.3">
      <c r="B2928" s="6">
        <f t="shared" si="453"/>
        <v>0</v>
      </c>
      <c r="C2928" s="6">
        <f t="shared" si="454"/>
        <v>0</v>
      </c>
      <c r="D2928" s="6" t="str">
        <f t="shared" si="455"/>
        <v/>
      </c>
      <c r="E2928" s="35" t="str">
        <f t="shared" si="452"/>
        <v/>
      </c>
      <c r="F2928" s="31"/>
      <c r="G2928" s="29"/>
      <c r="H2928" s="78" t="str">
        <f t="shared" si="456"/>
        <v/>
      </c>
      <c r="I2928" s="25"/>
      <c r="J2928" s="25"/>
      <c r="K2928" s="26"/>
      <c r="L2928" s="26"/>
      <c r="M2928" s="37"/>
      <c r="N2928" s="27"/>
      <c r="O2928" s="30"/>
      <c r="P2928" s="39" t="str">
        <f t="shared" si="457"/>
        <v/>
      </c>
      <c r="Q2928" s="40" t="str">
        <f>IF(OR(T2928=0,RIGHT(T2928,1)=$W$1),"",COUNTIF($T$3:T2928,T2928))</f>
        <v/>
      </c>
      <c r="S2928" s="6">
        <f t="shared" si="458"/>
        <v>0</v>
      </c>
      <c r="T2928" s="36">
        <f t="shared" si="459"/>
        <v>0</v>
      </c>
      <c r="V2928" s="6">
        <f t="shared" si="460"/>
        <v>0</v>
      </c>
      <c r="Y2928" s="8">
        <f t="shared" si="461"/>
        <v>46023</v>
      </c>
    </row>
    <row r="2929" spans="2:25" ht="18.75" x14ac:dyDescent="0.3">
      <c r="B2929" s="6">
        <f t="shared" si="453"/>
        <v>0</v>
      </c>
      <c r="C2929" s="6">
        <f t="shared" si="454"/>
        <v>0</v>
      </c>
      <c r="D2929" s="6" t="str">
        <f t="shared" si="455"/>
        <v/>
      </c>
      <c r="E2929" s="35" t="str">
        <f t="shared" si="452"/>
        <v/>
      </c>
      <c r="F2929" s="31"/>
      <c r="G2929" s="29"/>
      <c r="H2929" s="78" t="str">
        <f t="shared" si="456"/>
        <v/>
      </c>
      <c r="I2929" s="25"/>
      <c r="J2929" s="25"/>
      <c r="K2929" s="26"/>
      <c r="L2929" s="26"/>
      <c r="M2929" s="37"/>
      <c r="N2929" s="27"/>
      <c r="O2929" s="30"/>
      <c r="P2929" s="39" t="str">
        <f t="shared" si="457"/>
        <v/>
      </c>
      <c r="Q2929" s="40" t="str">
        <f>IF(OR(T2929=0,RIGHT(T2929,1)=$W$1),"",COUNTIF($T$3:T2929,T2929))</f>
        <v/>
      </c>
      <c r="S2929" s="6">
        <f t="shared" si="458"/>
        <v>0</v>
      </c>
      <c r="T2929" s="36">
        <f t="shared" si="459"/>
        <v>0</v>
      </c>
      <c r="V2929" s="6">
        <f t="shared" si="460"/>
        <v>0</v>
      </c>
      <c r="Y2929" s="8">
        <f t="shared" si="461"/>
        <v>46023</v>
      </c>
    </row>
    <row r="2930" spans="2:25" ht="18.75" x14ac:dyDescent="0.3">
      <c r="B2930" s="6">
        <f t="shared" si="453"/>
        <v>0</v>
      </c>
      <c r="C2930" s="6">
        <f t="shared" si="454"/>
        <v>0</v>
      </c>
      <c r="D2930" s="6" t="str">
        <f t="shared" si="455"/>
        <v/>
      </c>
      <c r="E2930" s="35" t="str">
        <f t="shared" si="452"/>
        <v/>
      </c>
      <c r="F2930" s="31"/>
      <c r="G2930" s="29"/>
      <c r="H2930" s="78" t="str">
        <f t="shared" si="456"/>
        <v/>
      </c>
      <c r="I2930" s="25"/>
      <c r="J2930" s="25"/>
      <c r="K2930" s="26"/>
      <c r="L2930" s="26"/>
      <c r="M2930" s="37"/>
      <c r="N2930" s="27"/>
      <c r="O2930" s="30"/>
      <c r="P2930" s="39" t="str">
        <f t="shared" si="457"/>
        <v/>
      </c>
      <c r="Q2930" s="40" t="str">
        <f>IF(OR(T2930=0,RIGHT(T2930,1)=$W$1),"",COUNTIF($T$3:T2930,T2930))</f>
        <v/>
      </c>
      <c r="S2930" s="6">
        <f t="shared" si="458"/>
        <v>0</v>
      </c>
      <c r="T2930" s="36">
        <f t="shared" si="459"/>
        <v>0</v>
      </c>
      <c r="V2930" s="6">
        <f t="shared" si="460"/>
        <v>0</v>
      </c>
      <c r="Y2930" s="8">
        <f t="shared" si="461"/>
        <v>46023</v>
      </c>
    </row>
    <row r="2931" spans="2:25" ht="18.75" x14ac:dyDescent="0.3">
      <c r="B2931" s="6">
        <f t="shared" si="453"/>
        <v>0</v>
      </c>
      <c r="C2931" s="6">
        <f t="shared" si="454"/>
        <v>0</v>
      </c>
      <c r="D2931" s="6" t="str">
        <f t="shared" si="455"/>
        <v/>
      </c>
      <c r="E2931" s="35" t="str">
        <f t="shared" si="452"/>
        <v/>
      </c>
      <c r="F2931" s="31"/>
      <c r="G2931" s="29"/>
      <c r="H2931" s="78" t="str">
        <f t="shared" si="456"/>
        <v/>
      </c>
      <c r="I2931" s="25"/>
      <c r="J2931" s="25"/>
      <c r="K2931" s="26"/>
      <c r="L2931" s="26"/>
      <c r="M2931" s="37"/>
      <c r="N2931" s="27"/>
      <c r="O2931" s="30"/>
      <c r="P2931" s="39" t="str">
        <f t="shared" si="457"/>
        <v/>
      </c>
      <c r="Q2931" s="40" t="str">
        <f>IF(OR(T2931=0,RIGHT(T2931,1)=$W$1),"",COUNTIF($T$3:T2931,T2931))</f>
        <v/>
      </c>
      <c r="S2931" s="6">
        <f t="shared" si="458"/>
        <v>0</v>
      </c>
      <c r="T2931" s="36">
        <f t="shared" si="459"/>
        <v>0</v>
      </c>
      <c r="V2931" s="6">
        <f t="shared" si="460"/>
        <v>0</v>
      </c>
      <c r="Y2931" s="8">
        <f t="shared" si="461"/>
        <v>46023</v>
      </c>
    </row>
    <row r="2932" spans="2:25" ht="18.75" x14ac:dyDescent="0.3">
      <c r="B2932" s="6">
        <f t="shared" si="453"/>
        <v>0</v>
      </c>
      <c r="C2932" s="6">
        <f t="shared" si="454"/>
        <v>0</v>
      </c>
      <c r="D2932" s="6" t="str">
        <f t="shared" si="455"/>
        <v/>
      </c>
      <c r="E2932" s="35" t="str">
        <f t="shared" si="452"/>
        <v/>
      </c>
      <c r="F2932" s="31"/>
      <c r="G2932" s="29"/>
      <c r="H2932" s="78" t="str">
        <f t="shared" si="456"/>
        <v/>
      </c>
      <c r="I2932" s="25"/>
      <c r="J2932" s="25"/>
      <c r="K2932" s="26"/>
      <c r="L2932" s="26"/>
      <c r="M2932" s="37"/>
      <c r="N2932" s="27"/>
      <c r="O2932" s="30"/>
      <c r="P2932" s="39" t="str">
        <f t="shared" si="457"/>
        <v/>
      </c>
      <c r="Q2932" s="40" t="str">
        <f>IF(OR(T2932=0,RIGHT(T2932,1)=$W$1),"",COUNTIF($T$3:T2932,T2932))</f>
        <v/>
      </c>
      <c r="S2932" s="6">
        <f t="shared" si="458"/>
        <v>0</v>
      </c>
      <c r="T2932" s="36">
        <f t="shared" si="459"/>
        <v>0</v>
      </c>
      <c r="V2932" s="6">
        <f t="shared" si="460"/>
        <v>0</v>
      </c>
      <c r="Y2932" s="8">
        <f t="shared" si="461"/>
        <v>46023</v>
      </c>
    </row>
    <row r="2933" spans="2:25" ht="18.75" x14ac:dyDescent="0.3">
      <c r="B2933" s="6">
        <f t="shared" si="453"/>
        <v>0</v>
      </c>
      <c r="C2933" s="6">
        <f t="shared" si="454"/>
        <v>0</v>
      </c>
      <c r="D2933" s="6" t="str">
        <f t="shared" si="455"/>
        <v/>
      </c>
      <c r="E2933" s="35" t="str">
        <f t="shared" si="452"/>
        <v/>
      </c>
      <c r="F2933" s="31"/>
      <c r="G2933" s="29"/>
      <c r="H2933" s="78" t="str">
        <f t="shared" si="456"/>
        <v/>
      </c>
      <c r="I2933" s="25"/>
      <c r="J2933" s="25"/>
      <c r="K2933" s="26"/>
      <c r="L2933" s="26"/>
      <c r="M2933" s="37"/>
      <c r="N2933" s="27"/>
      <c r="O2933" s="30"/>
      <c r="P2933" s="39" t="str">
        <f t="shared" si="457"/>
        <v/>
      </c>
      <c r="Q2933" s="40" t="str">
        <f>IF(OR(T2933=0,RIGHT(T2933,1)=$W$1),"",COUNTIF($T$3:T2933,T2933))</f>
        <v/>
      </c>
      <c r="S2933" s="6">
        <f t="shared" si="458"/>
        <v>0</v>
      </c>
      <c r="T2933" s="36">
        <f t="shared" si="459"/>
        <v>0</v>
      </c>
      <c r="V2933" s="6">
        <f t="shared" si="460"/>
        <v>0</v>
      </c>
      <c r="Y2933" s="8">
        <f t="shared" si="461"/>
        <v>46023</v>
      </c>
    </row>
    <row r="2934" spans="2:25" ht="18.75" x14ac:dyDescent="0.3">
      <c r="B2934" s="6">
        <f t="shared" si="453"/>
        <v>0</v>
      </c>
      <c r="C2934" s="6">
        <f t="shared" si="454"/>
        <v>0</v>
      </c>
      <c r="D2934" s="6" t="str">
        <f t="shared" si="455"/>
        <v/>
      </c>
      <c r="E2934" s="35" t="str">
        <f t="shared" si="452"/>
        <v/>
      </c>
      <c r="F2934" s="31"/>
      <c r="G2934" s="29"/>
      <c r="H2934" s="78" t="str">
        <f t="shared" si="456"/>
        <v/>
      </c>
      <c r="I2934" s="25"/>
      <c r="J2934" s="25"/>
      <c r="K2934" s="26"/>
      <c r="L2934" s="26"/>
      <c r="M2934" s="37"/>
      <c r="N2934" s="27"/>
      <c r="O2934" s="30"/>
      <c r="P2934" s="39" t="str">
        <f t="shared" si="457"/>
        <v/>
      </c>
      <c r="Q2934" s="40" t="str">
        <f>IF(OR(T2934=0,RIGHT(T2934,1)=$W$1),"",COUNTIF($T$3:T2934,T2934))</f>
        <v/>
      </c>
      <c r="S2934" s="6">
        <f t="shared" si="458"/>
        <v>0</v>
      </c>
      <c r="T2934" s="36">
        <f t="shared" si="459"/>
        <v>0</v>
      </c>
      <c r="V2934" s="6">
        <f t="shared" si="460"/>
        <v>0</v>
      </c>
      <c r="Y2934" s="8">
        <f t="shared" si="461"/>
        <v>46023</v>
      </c>
    </row>
    <row r="2935" spans="2:25" ht="18.75" x14ac:dyDescent="0.3">
      <c r="B2935" s="6">
        <f t="shared" si="453"/>
        <v>0</v>
      </c>
      <c r="C2935" s="6">
        <f t="shared" si="454"/>
        <v>0</v>
      </c>
      <c r="D2935" s="6" t="str">
        <f t="shared" si="455"/>
        <v/>
      </c>
      <c r="E2935" s="35" t="str">
        <f t="shared" si="452"/>
        <v/>
      </c>
      <c r="F2935" s="31"/>
      <c r="G2935" s="29"/>
      <c r="H2935" s="78" t="str">
        <f t="shared" si="456"/>
        <v/>
      </c>
      <c r="I2935" s="25"/>
      <c r="J2935" s="25"/>
      <c r="K2935" s="26"/>
      <c r="L2935" s="26"/>
      <c r="M2935" s="37"/>
      <c r="N2935" s="27"/>
      <c r="O2935" s="30"/>
      <c r="P2935" s="39" t="str">
        <f t="shared" si="457"/>
        <v/>
      </c>
      <c r="Q2935" s="40" t="str">
        <f>IF(OR(T2935=0,RIGHT(T2935,1)=$W$1),"",COUNTIF($T$3:T2935,T2935))</f>
        <v/>
      </c>
      <c r="S2935" s="6">
        <f t="shared" si="458"/>
        <v>0</v>
      </c>
      <c r="T2935" s="36">
        <f t="shared" si="459"/>
        <v>0</v>
      </c>
      <c r="V2935" s="6">
        <f t="shared" si="460"/>
        <v>0</v>
      </c>
      <c r="Y2935" s="8">
        <f t="shared" si="461"/>
        <v>46023</v>
      </c>
    </row>
    <row r="2936" spans="2:25" ht="18.75" x14ac:dyDescent="0.3">
      <c r="B2936" s="6">
        <f t="shared" si="453"/>
        <v>0</v>
      </c>
      <c r="C2936" s="6">
        <f t="shared" si="454"/>
        <v>0</v>
      </c>
      <c r="D2936" s="6" t="str">
        <f t="shared" si="455"/>
        <v/>
      </c>
      <c r="E2936" s="35" t="str">
        <f t="shared" si="452"/>
        <v/>
      </c>
      <c r="F2936" s="31"/>
      <c r="G2936" s="29"/>
      <c r="H2936" s="78" t="str">
        <f t="shared" si="456"/>
        <v/>
      </c>
      <c r="I2936" s="25"/>
      <c r="J2936" s="25"/>
      <c r="K2936" s="26"/>
      <c r="L2936" s="26"/>
      <c r="M2936" s="37"/>
      <c r="N2936" s="27"/>
      <c r="O2936" s="30"/>
      <c r="P2936" s="39" t="str">
        <f t="shared" si="457"/>
        <v/>
      </c>
      <c r="Q2936" s="40" t="str">
        <f>IF(OR(T2936=0,RIGHT(T2936,1)=$W$1),"",COUNTIF($T$3:T2936,T2936))</f>
        <v/>
      </c>
      <c r="S2936" s="6">
        <f t="shared" si="458"/>
        <v>0</v>
      </c>
      <c r="T2936" s="36">
        <f t="shared" si="459"/>
        <v>0</v>
      </c>
      <c r="V2936" s="6">
        <f t="shared" si="460"/>
        <v>0</v>
      </c>
      <c r="Y2936" s="8">
        <f t="shared" si="461"/>
        <v>46023</v>
      </c>
    </row>
    <row r="2937" spans="2:25" ht="18.75" x14ac:dyDescent="0.3">
      <c r="B2937" s="6">
        <f t="shared" si="453"/>
        <v>0</v>
      </c>
      <c r="C2937" s="6">
        <f t="shared" si="454"/>
        <v>0</v>
      </c>
      <c r="D2937" s="6" t="str">
        <f t="shared" si="455"/>
        <v/>
      </c>
      <c r="E2937" s="35" t="str">
        <f t="shared" si="452"/>
        <v/>
      </c>
      <c r="F2937" s="31"/>
      <c r="G2937" s="29"/>
      <c r="H2937" s="78" t="str">
        <f t="shared" si="456"/>
        <v/>
      </c>
      <c r="I2937" s="25"/>
      <c r="J2937" s="25"/>
      <c r="K2937" s="26"/>
      <c r="L2937" s="26"/>
      <c r="M2937" s="37"/>
      <c r="N2937" s="27"/>
      <c r="O2937" s="30"/>
      <c r="P2937" s="39" t="str">
        <f t="shared" si="457"/>
        <v/>
      </c>
      <c r="Q2937" s="40" t="str">
        <f>IF(OR(T2937=0,RIGHT(T2937,1)=$W$1),"",COUNTIF($T$3:T2937,T2937))</f>
        <v/>
      </c>
      <c r="S2937" s="6">
        <f t="shared" si="458"/>
        <v>0</v>
      </c>
      <c r="T2937" s="36">
        <f t="shared" si="459"/>
        <v>0</v>
      </c>
      <c r="V2937" s="6">
        <f t="shared" si="460"/>
        <v>0</v>
      </c>
      <c r="Y2937" s="8">
        <f t="shared" si="461"/>
        <v>46023</v>
      </c>
    </row>
    <row r="2938" spans="2:25" ht="18.75" x14ac:dyDescent="0.3">
      <c r="B2938" s="6">
        <f t="shared" si="453"/>
        <v>0</v>
      </c>
      <c r="C2938" s="6">
        <f t="shared" si="454"/>
        <v>0</v>
      </c>
      <c r="D2938" s="6" t="str">
        <f t="shared" si="455"/>
        <v/>
      </c>
      <c r="E2938" s="35" t="str">
        <f t="shared" si="452"/>
        <v/>
      </c>
      <c r="F2938" s="31"/>
      <c r="G2938" s="29"/>
      <c r="H2938" s="78" t="str">
        <f t="shared" si="456"/>
        <v/>
      </c>
      <c r="I2938" s="25"/>
      <c r="J2938" s="25"/>
      <c r="K2938" s="26"/>
      <c r="L2938" s="26"/>
      <c r="M2938" s="37"/>
      <c r="N2938" s="27"/>
      <c r="O2938" s="30"/>
      <c r="P2938" s="39" t="str">
        <f t="shared" si="457"/>
        <v/>
      </c>
      <c r="Q2938" s="40" t="str">
        <f>IF(OR(T2938=0,RIGHT(T2938,1)=$W$1),"",COUNTIF($T$3:T2938,T2938))</f>
        <v/>
      </c>
      <c r="S2938" s="6">
        <f t="shared" si="458"/>
        <v>0</v>
      </c>
      <c r="T2938" s="36">
        <f t="shared" si="459"/>
        <v>0</v>
      </c>
      <c r="V2938" s="6">
        <f t="shared" si="460"/>
        <v>0</v>
      </c>
      <c r="Y2938" s="8">
        <f t="shared" si="461"/>
        <v>46023</v>
      </c>
    </row>
    <row r="2939" spans="2:25" ht="18.75" x14ac:dyDescent="0.3">
      <c r="B2939" s="6">
        <f t="shared" si="453"/>
        <v>0</v>
      </c>
      <c r="C2939" s="6">
        <f t="shared" si="454"/>
        <v>0</v>
      </c>
      <c r="D2939" s="6" t="str">
        <f t="shared" si="455"/>
        <v/>
      </c>
      <c r="E2939" s="35" t="str">
        <f t="shared" si="452"/>
        <v/>
      </c>
      <c r="F2939" s="31"/>
      <c r="G2939" s="29"/>
      <c r="H2939" s="78" t="str">
        <f t="shared" si="456"/>
        <v/>
      </c>
      <c r="I2939" s="25"/>
      <c r="J2939" s="25"/>
      <c r="K2939" s="26"/>
      <c r="L2939" s="26"/>
      <c r="M2939" s="37"/>
      <c r="N2939" s="27"/>
      <c r="O2939" s="30"/>
      <c r="P2939" s="39" t="str">
        <f t="shared" si="457"/>
        <v/>
      </c>
      <c r="Q2939" s="40" t="str">
        <f>IF(OR(T2939=0,RIGHT(T2939,1)=$W$1),"",COUNTIF($T$3:T2939,T2939))</f>
        <v/>
      </c>
      <c r="S2939" s="6">
        <f t="shared" si="458"/>
        <v>0</v>
      </c>
      <c r="T2939" s="36">
        <f t="shared" si="459"/>
        <v>0</v>
      </c>
      <c r="V2939" s="6">
        <f t="shared" si="460"/>
        <v>0</v>
      </c>
      <c r="Y2939" s="8">
        <f t="shared" si="461"/>
        <v>46023</v>
      </c>
    </row>
    <row r="2940" spans="2:25" ht="18.75" x14ac:dyDescent="0.3">
      <c r="B2940" s="6">
        <f t="shared" si="453"/>
        <v>0</v>
      </c>
      <c r="C2940" s="6">
        <f t="shared" si="454"/>
        <v>0</v>
      </c>
      <c r="D2940" s="6" t="str">
        <f t="shared" si="455"/>
        <v/>
      </c>
      <c r="E2940" s="35" t="str">
        <f t="shared" si="452"/>
        <v/>
      </c>
      <c r="F2940" s="31"/>
      <c r="G2940" s="29"/>
      <c r="H2940" s="78" t="str">
        <f t="shared" si="456"/>
        <v/>
      </c>
      <c r="I2940" s="25"/>
      <c r="J2940" s="25"/>
      <c r="K2940" s="26"/>
      <c r="L2940" s="26"/>
      <c r="M2940" s="37"/>
      <c r="N2940" s="27"/>
      <c r="O2940" s="30"/>
      <c r="P2940" s="39" t="str">
        <f t="shared" si="457"/>
        <v/>
      </c>
      <c r="Q2940" s="40" t="str">
        <f>IF(OR(T2940=0,RIGHT(T2940,1)=$W$1),"",COUNTIF($T$3:T2940,T2940))</f>
        <v/>
      </c>
      <c r="S2940" s="6">
        <f t="shared" si="458"/>
        <v>0</v>
      </c>
      <c r="T2940" s="36">
        <f t="shared" si="459"/>
        <v>0</v>
      </c>
      <c r="V2940" s="6">
        <f t="shared" si="460"/>
        <v>0</v>
      </c>
      <c r="Y2940" s="8">
        <f t="shared" si="461"/>
        <v>46023</v>
      </c>
    </row>
    <row r="2941" spans="2:25" ht="18.75" x14ac:dyDescent="0.3">
      <c r="B2941" s="6">
        <f t="shared" si="453"/>
        <v>0</v>
      </c>
      <c r="C2941" s="6">
        <f t="shared" si="454"/>
        <v>0</v>
      </c>
      <c r="D2941" s="6" t="str">
        <f t="shared" si="455"/>
        <v/>
      </c>
      <c r="E2941" s="35" t="str">
        <f t="shared" si="452"/>
        <v/>
      </c>
      <c r="F2941" s="31"/>
      <c r="G2941" s="29"/>
      <c r="H2941" s="78" t="str">
        <f t="shared" si="456"/>
        <v/>
      </c>
      <c r="I2941" s="25"/>
      <c r="J2941" s="25"/>
      <c r="K2941" s="26"/>
      <c r="L2941" s="26"/>
      <c r="M2941" s="37"/>
      <c r="N2941" s="27"/>
      <c r="O2941" s="30"/>
      <c r="P2941" s="39" t="str">
        <f t="shared" si="457"/>
        <v/>
      </c>
      <c r="Q2941" s="40" t="str">
        <f>IF(OR(T2941=0,RIGHT(T2941,1)=$W$1),"",COUNTIF($T$3:T2941,T2941))</f>
        <v/>
      </c>
      <c r="S2941" s="6">
        <f t="shared" si="458"/>
        <v>0</v>
      </c>
      <c r="T2941" s="36">
        <f t="shared" si="459"/>
        <v>0</v>
      </c>
      <c r="V2941" s="6">
        <f t="shared" si="460"/>
        <v>0</v>
      </c>
      <c r="Y2941" s="8">
        <f t="shared" si="461"/>
        <v>46023</v>
      </c>
    </row>
    <row r="2942" spans="2:25" ht="18.75" x14ac:dyDescent="0.3">
      <c r="B2942" s="6">
        <f t="shared" si="453"/>
        <v>0</v>
      </c>
      <c r="C2942" s="6">
        <f t="shared" si="454"/>
        <v>0</v>
      </c>
      <c r="D2942" s="6" t="str">
        <f t="shared" si="455"/>
        <v/>
      </c>
      <c r="E2942" s="35" t="str">
        <f t="shared" si="452"/>
        <v/>
      </c>
      <c r="F2942" s="31"/>
      <c r="G2942" s="29"/>
      <c r="H2942" s="78" t="str">
        <f t="shared" si="456"/>
        <v/>
      </c>
      <c r="I2942" s="25"/>
      <c r="J2942" s="25"/>
      <c r="K2942" s="26"/>
      <c r="L2942" s="26"/>
      <c r="M2942" s="37"/>
      <c r="N2942" s="27"/>
      <c r="O2942" s="30"/>
      <c r="P2942" s="39" t="str">
        <f t="shared" si="457"/>
        <v/>
      </c>
      <c r="Q2942" s="40" t="str">
        <f>IF(OR(T2942=0,RIGHT(T2942,1)=$W$1),"",COUNTIF($T$3:T2942,T2942))</f>
        <v/>
      </c>
      <c r="S2942" s="6">
        <f t="shared" si="458"/>
        <v>0</v>
      </c>
      <c r="T2942" s="36">
        <f t="shared" si="459"/>
        <v>0</v>
      </c>
      <c r="V2942" s="6">
        <f t="shared" si="460"/>
        <v>0</v>
      </c>
      <c r="Y2942" s="8">
        <f t="shared" si="461"/>
        <v>46023</v>
      </c>
    </row>
    <row r="2943" spans="2:25" ht="18.75" x14ac:dyDescent="0.3">
      <c r="B2943" s="6">
        <f t="shared" si="453"/>
        <v>0</v>
      </c>
      <c r="C2943" s="6">
        <f t="shared" si="454"/>
        <v>0</v>
      </c>
      <c r="D2943" s="6" t="str">
        <f t="shared" si="455"/>
        <v/>
      </c>
      <c r="E2943" s="35" t="str">
        <f t="shared" si="452"/>
        <v/>
      </c>
      <c r="F2943" s="31"/>
      <c r="G2943" s="29"/>
      <c r="H2943" s="78" t="str">
        <f t="shared" si="456"/>
        <v/>
      </c>
      <c r="I2943" s="25"/>
      <c r="J2943" s="25"/>
      <c r="K2943" s="26"/>
      <c r="L2943" s="26"/>
      <c r="M2943" s="37"/>
      <c r="N2943" s="27"/>
      <c r="O2943" s="30"/>
      <c r="P2943" s="39" t="str">
        <f t="shared" si="457"/>
        <v/>
      </c>
      <c r="Q2943" s="40" t="str">
        <f>IF(OR(T2943=0,RIGHT(T2943,1)=$W$1),"",COUNTIF($T$3:T2943,T2943))</f>
        <v/>
      </c>
      <c r="S2943" s="6">
        <f t="shared" si="458"/>
        <v>0</v>
      </c>
      <c r="T2943" s="36">
        <f t="shared" si="459"/>
        <v>0</v>
      </c>
      <c r="V2943" s="6">
        <f t="shared" si="460"/>
        <v>0</v>
      </c>
      <c r="Y2943" s="8">
        <f t="shared" si="461"/>
        <v>46023</v>
      </c>
    </row>
    <row r="2944" spans="2:25" ht="18.75" x14ac:dyDescent="0.3">
      <c r="B2944" s="6">
        <f t="shared" si="453"/>
        <v>0</v>
      </c>
      <c r="C2944" s="6">
        <f t="shared" si="454"/>
        <v>0</v>
      </c>
      <c r="D2944" s="6" t="str">
        <f t="shared" si="455"/>
        <v/>
      </c>
      <c r="E2944" s="35" t="str">
        <f t="shared" si="452"/>
        <v/>
      </c>
      <c r="F2944" s="31"/>
      <c r="G2944" s="29"/>
      <c r="H2944" s="78" t="str">
        <f t="shared" si="456"/>
        <v/>
      </c>
      <c r="I2944" s="25"/>
      <c r="J2944" s="25"/>
      <c r="K2944" s="26"/>
      <c r="L2944" s="26"/>
      <c r="M2944" s="37"/>
      <c r="N2944" s="27"/>
      <c r="O2944" s="30"/>
      <c r="P2944" s="39" t="str">
        <f t="shared" si="457"/>
        <v/>
      </c>
      <c r="Q2944" s="40" t="str">
        <f>IF(OR(T2944=0,RIGHT(T2944,1)=$W$1),"",COUNTIF($T$3:T2944,T2944))</f>
        <v/>
      </c>
      <c r="S2944" s="6">
        <f t="shared" si="458"/>
        <v>0</v>
      </c>
      <c r="T2944" s="36">
        <f t="shared" si="459"/>
        <v>0</v>
      </c>
      <c r="V2944" s="6">
        <f t="shared" si="460"/>
        <v>0</v>
      </c>
      <c r="Y2944" s="8">
        <f t="shared" si="461"/>
        <v>46023</v>
      </c>
    </row>
    <row r="2945" spans="2:25" ht="18.75" x14ac:dyDescent="0.3">
      <c r="B2945" s="6">
        <f t="shared" si="453"/>
        <v>0</v>
      </c>
      <c r="C2945" s="6">
        <f t="shared" si="454"/>
        <v>0</v>
      </c>
      <c r="D2945" s="6" t="str">
        <f t="shared" si="455"/>
        <v/>
      </c>
      <c r="E2945" s="35" t="str">
        <f t="shared" si="452"/>
        <v/>
      </c>
      <c r="F2945" s="31"/>
      <c r="G2945" s="29"/>
      <c r="H2945" s="78" t="str">
        <f t="shared" si="456"/>
        <v/>
      </c>
      <c r="I2945" s="25"/>
      <c r="J2945" s="25"/>
      <c r="K2945" s="26"/>
      <c r="L2945" s="26"/>
      <c r="M2945" s="37"/>
      <c r="N2945" s="27"/>
      <c r="O2945" s="30"/>
      <c r="P2945" s="39" t="str">
        <f t="shared" si="457"/>
        <v/>
      </c>
      <c r="Q2945" s="40" t="str">
        <f>IF(OR(T2945=0,RIGHT(T2945,1)=$W$1),"",COUNTIF($T$3:T2945,T2945))</f>
        <v/>
      </c>
      <c r="S2945" s="6">
        <f t="shared" si="458"/>
        <v>0</v>
      </c>
      <c r="T2945" s="36">
        <f t="shared" si="459"/>
        <v>0</v>
      </c>
      <c r="V2945" s="6">
        <f t="shared" si="460"/>
        <v>0</v>
      </c>
      <c r="Y2945" s="8">
        <f t="shared" si="461"/>
        <v>46023</v>
      </c>
    </row>
    <row r="2946" spans="2:25" ht="18.75" x14ac:dyDescent="0.3">
      <c r="B2946" s="6">
        <f t="shared" si="453"/>
        <v>0</v>
      </c>
      <c r="C2946" s="6">
        <f t="shared" si="454"/>
        <v>0</v>
      </c>
      <c r="D2946" s="6" t="str">
        <f t="shared" si="455"/>
        <v/>
      </c>
      <c r="E2946" s="35" t="str">
        <f t="shared" si="452"/>
        <v/>
      </c>
      <c r="F2946" s="31"/>
      <c r="G2946" s="29"/>
      <c r="H2946" s="78" t="str">
        <f t="shared" si="456"/>
        <v/>
      </c>
      <c r="I2946" s="25"/>
      <c r="J2946" s="25"/>
      <c r="K2946" s="26"/>
      <c r="L2946" s="26"/>
      <c r="M2946" s="37"/>
      <c r="N2946" s="27"/>
      <c r="O2946" s="30"/>
      <c r="P2946" s="39" t="str">
        <f t="shared" si="457"/>
        <v/>
      </c>
      <c r="Q2946" s="40" t="str">
        <f>IF(OR(T2946=0,RIGHT(T2946,1)=$W$1),"",COUNTIF($T$3:T2946,T2946))</f>
        <v/>
      </c>
      <c r="S2946" s="6">
        <f t="shared" si="458"/>
        <v>0</v>
      </c>
      <c r="T2946" s="36">
        <f t="shared" si="459"/>
        <v>0</v>
      </c>
      <c r="V2946" s="6">
        <f t="shared" si="460"/>
        <v>0</v>
      </c>
      <c r="Y2946" s="8">
        <f t="shared" si="461"/>
        <v>46023</v>
      </c>
    </row>
    <row r="2947" spans="2:25" ht="18.75" x14ac:dyDescent="0.3">
      <c r="B2947" s="6">
        <f t="shared" si="453"/>
        <v>0</v>
      </c>
      <c r="C2947" s="6">
        <f t="shared" si="454"/>
        <v>0</v>
      </c>
      <c r="D2947" s="6" t="str">
        <f t="shared" si="455"/>
        <v/>
      </c>
      <c r="E2947" s="35" t="str">
        <f t="shared" ref="E2947:E3010" si="462">IF(D2947&lt;&gt;"",D2947&amp;" - "&amp;YEAR(F2947),"")</f>
        <v/>
      </c>
      <c r="F2947" s="31"/>
      <c r="G2947" s="29"/>
      <c r="H2947" s="78" t="str">
        <f t="shared" si="456"/>
        <v/>
      </c>
      <c r="I2947" s="25"/>
      <c r="J2947" s="25"/>
      <c r="K2947" s="26"/>
      <c r="L2947" s="26"/>
      <c r="M2947" s="37"/>
      <c r="N2947" s="27"/>
      <c r="O2947" s="30"/>
      <c r="P2947" s="39" t="str">
        <f t="shared" si="457"/>
        <v/>
      </c>
      <c r="Q2947" s="40" t="str">
        <f>IF(OR(T2947=0,RIGHT(T2947,1)=$W$1),"",COUNTIF($T$3:T2947,T2947))</f>
        <v/>
      </c>
      <c r="S2947" s="6">
        <f t="shared" si="458"/>
        <v>0</v>
      </c>
      <c r="T2947" s="36">
        <f t="shared" si="459"/>
        <v>0</v>
      </c>
      <c r="V2947" s="6">
        <f t="shared" si="460"/>
        <v>0</v>
      </c>
      <c r="Y2947" s="8">
        <f t="shared" si="461"/>
        <v>46023</v>
      </c>
    </row>
    <row r="2948" spans="2:25" ht="18.75" x14ac:dyDescent="0.3">
      <c r="B2948" s="6">
        <f t="shared" ref="B2948:B3011" si="463">IF($B$1=YEAR(F2948),B2947+1,B2947)</f>
        <v>0</v>
      </c>
      <c r="C2948" s="6">
        <f t="shared" ref="C2948:C3011" si="464">IF(AND($C$1=K2948,$Y$1=YEAR(F2948)),C2947+1,C2947)</f>
        <v>0</v>
      </c>
      <c r="D2948" s="6" t="str">
        <f t="shared" ref="D2948:D3011" si="465">IF(F2948&lt;&gt;0,IF(YEAR(F2948)&lt;&gt;YEAR(F2947),1,IF(M2948=$AI$1,D2947,D2947+1)),"")</f>
        <v/>
      </c>
      <c r="E2948" s="35" t="str">
        <f t="shared" si="462"/>
        <v/>
      </c>
      <c r="F2948" s="31"/>
      <c r="G2948" s="29"/>
      <c r="H2948" s="78" t="str">
        <f t="shared" ref="H2948:H3011" si="466">IF(G2948&lt;&gt;"",F2948,"")</f>
        <v/>
      </c>
      <c r="I2948" s="25"/>
      <c r="J2948" s="25"/>
      <c r="K2948" s="26"/>
      <c r="L2948" s="26"/>
      <c r="M2948" s="37"/>
      <c r="N2948" s="27"/>
      <c r="O2948" s="30"/>
      <c r="P2948" s="39" t="str">
        <f t="shared" ref="P2948:P3011" si="467">IF(OR(T2948=0,RIGHT(T2948,1)=$W$1),"",VLOOKUP(K2948,$AD$1:$AK$15,5,FALSE))</f>
        <v/>
      </c>
      <c r="Q2948" s="40" t="str">
        <f>IF(OR(T2948=0,RIGHT(T2948,1)=$W$1),"",COUNTIF($T$3:T2948,T2948))</f>
        <v/>
      </c>
      <c r="S2948" s="6">
        <f t="shared" ref="S2948:S3011" si="468">IF(AND($C$1=K2948,$Y$1=YEAR(F2948)),C2948,0)</f>
        <v>0</v>
      </c>
      <c r="T2948" s="36">
        <f t="shared" ref="T2948:T3011" si="469">IF(F2948=0,0,YEAR(F2948)&amp;VLOOKUP(K2948,$AD$1:$AE$15,2,FALSE))</f>
        <v>0</v>
      </c>
      <c r="V2948" s="6">
        <f t="shared" ref="V2948:V3011" si="470">IF(AND(YEAR(F2948)=$Y$1,K2948=$C$1,L2948&amp;$V$1&lt;&gt;$V$1),L2948,IF(AND(YEAR(F2948)=$Y$1,K2948=$C$1),1,0))</f>
        <v>0</v>
      </c>
      <c r="Y2948" s="8">
        <f t="shared" ref="Y2948:Y3011" si="471">IF(M2948&lt;&gt;$AI$1,$Y$2,F2947)</f>
        <v>46023</v>
      </c>
    </row>
    <row r="2949" spans="2:25" ht="18.75" x14ac:dyDescent="0.3">
      <c r="B2949" s="6">
        <f t="shared" si="463"/>
        <v>0</v>
      </c>
      <c r="C2949" s="6">
        <f t="shared" si="464"/>
        <v>0</v>
      </c>
      <c r="D2949" s="6" t="str">
        <f t="shared" si="465"/>
        <v/>
      </c>
      <c r="E2949" s="35" t="str">
        <f t="shared" si="462"/>
        <v/>
      </c>
      <c r="F2949" s="31"/>
      <c r="G2949" s="29"/>
      <c r="H2949" s="78" t="str">
        <f t="shared" si="466"/>
        <v/>
      </c>
      <c r="I2949" s="25"/>
      <c r="J2949" s="25"/>
      <c r="K2949" s="26"/>
      <c r="L2949" s="26"/>
      <c r="M2949" s="37"/>
      <c r="N2949" s="27"/>
      <c r="O2949" s="30"/>
      <c r="P2949" s="39" t="str">
        <f t="shared" si="467"/>
        <v/>
      </c>
      <c r="Q2949" s="40" t="str">
        <f>IF(OR(T2949=0,RIGHT(T2949,1)=$W$1),"",COUNTIF($T$3:T2949,T2949))</f>
        <v/>
      </c>
      <c r="S2949" s="6">
        <f t="shared" si="468"/>
        <v>0</v>
      </c>
      <c r="T2949" s="36">
        <f t="shared" si="469"/>
        <v>0</v>
      </c>
      <c r="V2949" s="6">
        <f t="shared" si="470"/>
        <v>0</v>
      </c>
      <c r="Y2949" s="8">
        <f t="shared" si="471"/>
        <v>46023</v>
      </c>
    </row>
    <row r="2950" spans="2:25" ht="18.75" x14ac:dyDescent="0.3">
      <c r="B2950" s="6">
        <f t="shared" si="463"/>
        <v>0</v>
      </c>
      <c r="C2950" s="6">
        <f t="shared" si="464"/>
        <v>0</v>
      </c>
      <c r="D2950" s="6" t="str">
        <f t="shared" si="465"/>
        <v/>
      </c>
      <c r="E2950" s="35" t="str">
        <f t="shared" si="462"/>
        <v/>
      </c>
      <c r="F2950" s="31"/>
      <c r="G2950" s="29"/>
      <c r="H2950" s="78" t="str">
        <f t="shared" si="466"/>
        <v/>
      </c>
      <c r="I2950" s="25"/>
      <c r="J2950" s="25"/>
      <c r="K2950" s="26"/>
      <c r="L2950" s="26"/>
      <c r="M2950" s="37"/>
      <c r="N2950" s="27"/>
      <c r="O2950" s="30"/>
      <c r="P2950" s="39" t="str">
        <f t="shared" si="467"/>
        <v/>
      </c>
      <c r="Q2950" s="40" t="str">
        <f>IF(OR(T2950=0,RIGHT(T2950,1)=$W$1),"",COUNTIF($T$3:T2950,T2950))</f>
        <v/>
      </c>
      <c r="S2950" s="6">
        <f t="shared" si="468"/>
        <v>0</v>
      </c>
      <c r="T2950" s="36">
        <f t="shared" si="469"/>
        <v>0</v>
      </c>
      <c r="V2950" s="6">
        <f t="shared" si="470"/>
        <v>0</v>
      </c>
      <c r="Y2950" s="8">
        <f t="shared" si="471"/>
        <v>46023</v>
      </c>
    </row>
    <row r="2951" spans="2:25" ht="18.75" x14ac:dyDescent="0.3">
      <c r="B2951" s="6">
        <f t="shared" si="463"/>
        <v>0</v>
      </c>
      <c r="C2951" s="6">
        <f t="shared" si="464"/>
        <v>0</v>
      </c>
      <c r="D2951" s="6" t="str">
        <f t="shared" si="465"/>
        <v/>
      </c>
      <c r="E2951" s="35" t="str">
        <f t="shared" si="462"/>
        <v/>
      </c>
      <c r="F2951" s="31"/>
      <c r="G2951" s="29"/>
      <c r="H2951" s="78" t="str">
        <f t="shared" si="466"/>
        <v/>
      </c>
      <c r="I2951" s="25"/>
      <c r="J2951" s="25"/>
      <c r="K2951" s="26"/>
      <c r="L2951" s="26"/>
      <c r="M2951" s="37"/>
      <c r="N2951" s="27"/>
      <c r="O2951" s="30"/>
      <c r="P2951" s="39" t="str">
        <f t="shared" si="467"/>
        <v/>
      </c>
      <c r="Q2951" s="40" t="str">
        <f>IF(OR(T2951=0,RIGHT(T2951,1)=$W$1),"",COUNTIF($T$3:T2951,T2951))</f>
        <v/>
      </c>
      <c r="S2951" s="6">
        <f t="shared" si="468"/>
        <v>0</v>
      </c>
      <c r="T2951" s="36">
        <f t="shared" si="469"/>
        <v>0</v>
      </c>
      <c r="V2951" s="6">
        <f t="shared" si="470"/>
        <v>0</v>
      </c>
      <c r="Y2951" s="8">
        <f t="shared" si="471"/>
        <v>46023</v>
      </c>
    </row>
    <row r="2952" spans="2:25" ht="18.75" x14ac:dyDescent="0.3">
      <c r="B2952" s="6">
        <f t="shared" si="463"/>
        <v>0</v>
      </c>
      <c r="C2952" s="6">
        <f t="shared" si="464"/>
        <v>0</v>
      </c>
      <c r="D2952" s="6" t="str">
        <f t="shared" si="465"/>
        <v/>
      </c>
      <c r="E2952" s="35" t="str">
        <f t="shared" si="462"/>
        <v/>
      </c>
      <c r="F2952" s="31"/>
      <c r="G2952" s="29"/>
      <c r="H2952" s="78" t="str">
        <f t="shared" si="466"/>
        <v/>
      </c>
      <c r="I2952" s="25"/>
      <c r="J2952" s="25"/>
      <c r="K2952" s="26"/>
      <c r="L2952" s="26"/>
      <c r="M2952" s="37"/>
      <c r="N2952" s="27"/>
      <c r="O2952" s="30"/>
      <c r="P2952" s="39" t="str">
        <f t="shared" si="467"/>
        <v/>
      </c>
      <c r="Q2952" s="40" t="str">
        <f>IF(OR(T2952=0,RIGHT(T2952,1)=$W$1),"",COUNTIF($T$3:T2952,T2952))</f>
        <v/>
      </c>
      <c r="S2952" s="6">
        <f t="shared" si="468"/>
        <v>0</v>
      </c>
      <c r="T2952" s="36">
        <f t="shared" si="469"/>
        <v>0</v>
      </c>
      <c r="V2952" s="6">
        <f t="shared" si="470"/>
        <v>0</v>
      </c>
      <c r="Y2952" s="8">
        <f t="shared" si="471"/>
        <v>46023</v>
      </c>
    </row>
    <row r="2953" spans="2:25" ht="18.75" x14ac:dyDescent="0.3">
      <c r="B2953" s="6">
        <f t="shared" si="463"/>
        <v>0</v>
      </c>
      <c r="C2953" s="6">
        <f t="shared" si="464"/>
        <v>0</v>
      </c>
      <c r="D2953" s="6" t="str">
        <f t="shared" si="465"/>
        <v/>
      </c>
      <c r="E2953" s="35" t="str">
        <f t="shared" si="462"/>
        <v/>
      </c>
      <c r="F2953" s="31"/>
      <c r="G2953" s="29"/>
      <c r="H2953" s="78" t="str">
        <f t="shared" si="466"/>
        <v/>
      </c>
      <c r="I2953" s="25"/>
      <c r="J2953" s="25"/>
      <c r="K2953" s="26"/>
      <c r="L2953" s="26"/>
      <c r="M2953" s="37"/>
      <c r="N2953" s="27"/>
      <c r="O2953" s="30"/>
      <c r="P2953" s="39" t="str">
        <f t="shared" si="467"/>
        <v/>
      </c>
      <c r="Q2953" s="40" t="str">
        <f>IF(OR(T2953=0,RIGHT(T2953,1)=$W$1),"",COUNTIF($T$3:T2953,T2953))</f>
        <v/>
      </c>
      <c r="S2953" s="6">
        <f t="shared" si="468"/>
        <v>0</v>
      </c>
      <c r="T2953" s="36">
        <f t="shared" si="469"/>
        <v>0</v>
      </c>
      <c r="V2953" s="6">
        <f t="shared" si="470"/>
        <v>0</v>
      </c>
      <c r="Y2953" s="8">
        <f t="shared" si="471"/>
        <v>46023</v>
      </c>
    </row>
    <row r="2954" spans="2:25" ht="18.75" x14ac:dyDescent="0.3">
      <c r="B2954" s="6">
        <f t="shared" si="463"/>
        <v>0</v>
      </c>
      <c r="C2954" s="6">
        <f t="shared" si="464"/>
        <v>0</v>
      </c>
      <c r="D2954" s="6" t="str">
        <f t="shared" si="465"/>
        <v/>
      </c>
      <c r="E2954" s="35" t="str">
        <f t="shared" si="462"/>
        <v/>
      </c>
      <c r="F2954" s="31"/>
      <c r="G2954" s="29"/>
      <c r="H2954" s="78" t="str">
        <f t="shared" si="466"/>
        <v/>
      </c>
      <c r="I2954" s="25"/>
      <c r="J2954" s="25"/>
      <c r="K2954" s="26"/>
      <c r="L2954" s="26"/>
      <c r="M2954" s="37"/>
      <c r="N2954" s="27"/>
      <c r="O2954" s="30"/>
      <c r="P2954" s="39" t="str">
        <f t="shared" si="467"/>
        <v/>
      </c>
      <c r="Q2954" s="40" t="str">
        <f>IF(OR(T2954=0,RIGHT(T2954,1)=$W$1),"",COUNTIF($T$3:T2954,T2954))</f>
        <v/>
      </c>
      <c r="S2954" s="6">
        <f t="shared" si="468"/>
        <v>0</v>
      </c>
      <c r="T2954" s="36">
        <f t="shared" si="469"/>
        <v>0</v>
      </c>
      <c r="V2954" s="6">
        <f t="shared" si="470"/>
        <v>0</v>
      </c>
      <c r="Y2954" s="8">
        <f t="shared" si="471"/>
        <v>46023</v>
      </c>
    </row>
    <row r="2955" spans="2:25" ht="18.75" x14ac:dyDescent="0.3">
      <c r="B2955" s="6">
        <f t="shared" si="463"/>
        <v>0</v>
      </c>
      <c r="C2955" s="6">
        <f t="shared" si="464"/>
        <v>0</v>
      </c>
      <c r="D2955" s="6" t="str">
        <f t="shared" si="465"/>
        <v/>
      </c>
      <c r="E2955" s="35" t="str">
        <f t="shared" si="462"/>
        <v/>
      </c>
      <c r="F2955" s="31"/>
      <c r="G2955" s="29"/>
      <c r="H2955" s="78" t="str">
        <f t="shared" si="466"/>
        <v/>
      </c>
      <c r="I2955" s="25"/>
      <c r="J2955" s="25"/>
      <c r="K2955" s="26"/>
      <c r="L2955" s="26"/>
      <c r="M2955" s="37"/>
      <c r="N2955" s="27"/>
      <c r="O2955" s="30"/>
      <c r="P2955" s="39" t="str">
        <f t="shared" si="467"/>
        <v/>
      </c>
      <c r="Q2955" s="40" t="str">
        <f>IF(OR(T2955=0,RIGHT(T2955,1)=$W$1),"",COUNTIF($T$3:T2955,T2955))</f>
        <v/>
      </c>
      <c r="S2955" s="6">
        <f t="shared" si="468"/>
        <v>0</v>
      </c>
      <c r="T2955" s="36">
        <f t="shared" si="469"/>
        <v>0</v>
      </c>
      <c r="V2955" s="6">
        <f t="shared" si="470"/>
        <v>0</v>
      </c>
      <c r="Y2955" s="8">
        <f t="shared" si="471"/>
        <v>46023</v>
      </c>
    </row>
    <row r="2956" spans="2:25" ht="18.75" x14ac:dyDescent="0.3">
      <c r="B2956" s="6">
        <f t="shared" si="463"/>
        <v>0</v>
      </c>
      <c r="C2956" s="6">
        <f t="shared" si="464"/>
        <v>0</v>
      </c>
      <c r="D2956" s="6" t="str">
        <f t="shared" si="465"/>
        <v/>
      </c>
      <c r="E2956" s="35" t="str">
        <f t="shared" si="462"/>
        <v/>
      </c>
      <c r="F2956" s="31"/>
      <c r="G2956" s="29"/>
      <c r="H2956" s="78" t="str">
        <f t="shared" si="466"/>
        <v/>
      </c>
      <c r="I2956" s="25"/>
      <c r="J2956" s="25"/>
      <c r="K2956" s="26"/>
      <c r="L2956" s="26"/>
      <c r="M2956" s="37"/>
      <c r="N2956" s="27"/>
      <c r="O2956" s="30"/>
      <c r="P2956" s="39" t="str">
        <f t="shared" si="467"/>
        <v/>
      </c>
      <c r="Q2956" s="40" t="str">
        <f>IF(OR(T2956=0,RIGHT(T2956,1)=$W$1),"",COUNTIF($T$3:T2956,T2956))</f>
        <v/>
      </c>
      <c r="S2956" s="6">
        <f t="shared" si="468"/>
        <v>0</v>
      </c>
      <c r="T2956" s="36">
        <f t="shared" si="469"/>
        <v>0</v>
      </c>
      <c r="V2956" s="6">
        <f t="shared" si="470"/>
        <v>0</v>
      </c>
      <c r="Y2956" s="8">
        <f t="shared" si="471"/>
        <v>46023</v>
      </c>
    </row>
    <row r="2957" spans="2:25" ht="18.75" x14ac:dyDescent="0.3">
      <c r="B2957" s="6">
        <f t="shared" si="463"/>
        <v>0</v>
      </c>
      <c r="C2957" s="6">
        <f t="shared" si="464"/>
        <v>0</v>
      </c>
      <c r="D2957" s="6" t="str">
        <f t="shared" si="465"/>
        <v/>
      </c>
      <c r="E2957" s="35" t="str">
        <f t="shared" si="462"/>
        <v/>
      </c>
      <c r="F2957" s="31"/>
      <c r="G2957" s="29"/>
      <c r="H2957" s="78" t="str">
        <f t="shared" si="466"/>
        <v/>
      </c>
      <c r="I2957" s="25"/>
      <c r="J2957" s="25"/>
      <c r="K2957" s="26"/>
      <c r="L2957" s="26"/>
      <c r="M2957" s="37"/>
      <c r="N2957" s="27"/>
      <c r="O2957" s="30"/>
      <c r="P2957" s="39" t="str">
        <f t="shared" si="467"/>
        <v/>
      </c>
      <c r="Q2957" s="40" t="str">
        <f>IF(OR(T2957=0,RIGHT(T2957,1)=$W$1),"",COUNTIF($T$3:T2957,T2957))</f>
        <v/>
      </c>
      <c r="S2957" s="6">
        <f t="shared" si="468"/>
        <v>0</v>
      </c>
      <c r="T2957" s="36">
        <f t="shared" si="469"/>
        <v>0</v>
      </c>
      <c r="V2957" s="6">
        <f t="shared" si="470"/>
        <v>0</v>
      </c>
      <c r="Y2957" s="8">
        <f t="shared" si="471"/>
        <v>46023</v>
      </c>
    </row>
    <row r="2958" spans="2:25" ht="18.75" x14ac:dyDescent="0.3">
      <c r="B2958" s="6">
        <f t="shared" si="463"/>
        <v>0</v>
      </c>
      <c r="C2958" s="6">
        <f t="shared" si="464"/>
        <v>0</v>
      </c>
      <c r="D2958" s="6" t="str">
        <f t="shared" si="465"/>
        <v/>
      </c>
      <c r="E2958" s="35" t="str">
        <f t="shared" si="462"/>
        <v/>
      </c>
      <c r="F2958" s="31"/>
      <c r="G2958" s="29"/>
      <c r="H2958" s="78" t="str">
        <f t="shared" si="466"/>
        <v/>
      </c>
      <c r="I2958" s="25"/>
      <c r="J2958" s="25"/>
      <c r="K2958" s="26"/>
      <c r="L2958" s="26"/>
      <c r="M2958" s="37"/>
      <c r="N2958" s="27"/>
      <c r="O2958" s="30"/>
      <c r="P2958" s="39" t="str">
        <f t="shared" si="467"/>
        <v/>
      </c>
      <c r="Q2958" s="40" t="str">
        <f>IF(OR(T2958=0,RIGHT(T2958,1)=$W$1),"",COUNTIF($T$3:T2958,T2958))</f>
        <v/>
      </c>
      <c r="S2958" s="6">
        <f t="shared" si="468"/>
        <v>0</v>
      </c>
      <c r="T2958" s="36">
        <f t="shared" si="469"/>
        <v>0</v>
      </c>
      <c r="V2958" s="6">
        <f t="shared" si="470"/>
        <v>0</v>
      </c>
      <c r="Y2958" s="8">
        <f t="shared" si="471"/>
        <v>46023</v>
      </c>
    </row>
    <row r="2959" spans="2:25" ht="18.75" x14ac:dyDescent="0.3">
      <c r="B2959" s="6">
        <f t="shared" si="463"/>
        <v>0</v>
      </c>
      <c r="C2959" s="6">
        <f t="shared" si="464"/>
        <v>0</v>
      </c>
      <c r="D2959" s="6" t="str">
        <f t="shared" si="465"/>
        <v/>
      </c>
      <c r="E2959" s="35" t="str">
        <f t="shared" si="462"/>
        <v/>
      </c>
      <c r="F2959" s="31"/>
      <c r="G2959" s="29"/>
      <c r="H2959" s="78" t="str">
        <f t="shared" si="466"/>
        <v/>
      </c>
      <c r="I2959" s="25"/>
      <c r="J2959" s="25"/>
      <c r="K2959" s="26"/>
      <c r="L2959" s="26"/>
      <c r="M2959" s="37"/>
      <c r="N2959" s="27"/>
      <c r="O2959" s="30"/>
      <c r="P2959" s="39" t="str">
        <f t="shared" si="467"/>
        <v/>
      </c>
      <c r="Q2959" s="40" t="str">
        <f>IF(OR(T2959=0,RIGHT(T2959,1)=$W$1),"",COUNTIF($T$3:T2959,T2959))</f>
        <v/>
      </c>
      <c r="S2959" s="6">
        <f t="shared" si="468"/>
        <v>0</v>
      </c>
      <c r="T2959" s="36">
        <f t="shared" si="469"/>
        <v>0</v>
      </c>
      <c r="V2959" s="6">
        <f t="shared" si="470"/>
        <v>0</v>
      </c>
      <c r="Y2959" s="8">
        <f t="shared" si="471"/>
        <v>46023</v>
      </c>
    </row>
    <row r="2960" spans="2:25" ht="18.75" x14ac:dyDescent="0.3">
      <c r="B2960" s="6">
        <f t="shared" si="463"/>
        <v>0</v>
      </c>
      <c r="C2960" s="6">
        <f t="shared" si="464"/>
        <v>0</v>
      </c>
      <c r="D2960" s="6" t="str">
        <f t="shared" si="465"/>
        <v/>
      </c>
      <c r="E2960" s="35" t="str">
        <f t="shared" si="462"/>
        <v/>
      </c>
      <c r="F2960" s="31"/>
      <c r="G2960" s="29"/>
      <c r="H2960" s="78" t="str">
        <f t="shared" si="466"/>
        <v/>
      </c>
      <c r="I2960" s="25"/>
      <c r="J2960" s="25"/>
      <c r="K2960" s="26"/>
      <c r="L2960" s="26"/>
      <c r="M2960" s="37"/>
      <c r="N2960" s="27"/>
      <c r="O2960" s="30"/>
      <c r="P2960" s="39" t="str">
        <f t="shared" si="467"/>
        <v/>
      </c>
      <c r="Q2960" s="40" t="str">
        <f>IF(OR(T2960=0,RIGHT(T2960,1)=$W$1),"",COUNTIF($T$3:T2960,T2960))</f>
        <v/>
      </c>
      <c r="S2960" s="6">
        <f t="shared" si="468"/>
        <v>0</v>
      </c>
      <c r="T2960" s="36">
        <f t="shared" si="469"/>
        <v>0</v>
      </c>
      <c r="V2960" s="6">
        <f t="shared" si="470"/>
        <v>0</v>
      </c>
      <c r="Y2960" s="8">
        <f t="shared" si="471"/>
        <v>46023</v>
      </c>
    </row>
    <row r="2961" spans="2:25" ht="18.75" x14ac:dyDescent="0.3">
      <c r="B2961" s="6">
        <f t="shared" si="463"/>
        <v>0</v>
      </c>
      <c r="C2961" s="6">
        <f t="shared" si="464"/>
        <v>0</v>
      </c>
      <c r="D2961" s="6" t="str">
        <f t="shared" si="465"/>
        <v/>
      </c>
      <c r="E2961" s="35" t="str">
        <f t="shared" si="462"/>
        <v/>
      </c>
      <c r="F2961" s="31"/>
      <c r="G2961" s="29"/>
      <c r="H2961" s="78" t="str">
        <f t="shared" si="466"/>
        <v/>
      </c>
      <c r="I2961" s="25"/>
      <c r="J2961" s="25"/>
      <c r="K2961" s="26"/>
      <c r="L2961" s="26"/>
      <c r="M2961" s="37"/>
      <c r="N2961" s="27"/>
      <c r="O2961" s="30"/>
      <c r="P2961" s="39" t="str">
        <f t="shared" si="467"/>
        <v/>
      </c>
      <c r="Q2961" s="40" t="str">
        <f>IF(OR(T2961=0,RIGHT(T2961,1)=$W$1),"",COUNTIF($T$3:T2961,T2961))</f>
        <v/>
      </c>
      <c r="S2961" s="6">
        <f t="shared" si="468"/>
        <v>0</v>
      </c>
      <c r="T2961" s="36">
        <f t="shared" si="469"/>
        <v>0</v>
      </c>
      <c r="V2961" s="6">
        <f t="shared" si="470"/>
        <v>0</v>
      </c>
      <c r="Y2961" s="8">
        <f t="shared" si="471"/>
        <v>46023</v>
      </c>
    </row>
    <row r="2962" spans="2:25" ht="18.75" x14ac:dyDescent="0.3">
      <c r="B2962" s="6">
        <f t="shared" si="463"/>
        <v>0</v>
      </c>
      <c r="C2962" s="6">
        <f t="shared" si="464"/>
        <v>0</v>
      </c>
      <c r="D2962" s="6" t="str">
        <f t="shared" si="465"/>
        <v/>
      </c>
      <c r="E2962" s="35" t="str">
        <f t="shared" si="462"/>
        <v/>
      </c>
      <c r="F2962" s="31"/>
      <c r="G2962" s="29"/>
      <c r="H2962" s="78" t="str">
        <f t="shared" si="466"/>
        <v/>
      </c>
      <c r="I2962" s="25"/>
      <c r="J2962" s="25"/>
      <c r="K2962" s="26"/>
      <c r="L2962" s="26"/>
      <c r="M2962" s="37"/>
      <c r="N2962" s="27"/>
      <c r="O2962" s="30"/>
      <c r="P2962" s="39" t="str">
        <f t="shared" si="467"/>
        <v/>
      </c>
      <c r="Q2962" s="40" t="str">
        <f>IF(OR(T2962=0,RIGHT(T2962,1)=$W$1),"",COUNTIF($T$3:T2962,T2962))</f>
        <v/>
      </c>
      <c r="S2962" s="6">
        <f t="shared" si="468"/>
        <v>0</v>
      </c>
      <c r="T2962" s="36">
        <f t="shared" si="469"/>
        <v>0</v>
      </c>
      <c r="V2962" s="6">
        <f t="shared" si="470"/>
        <v>0</v>
      </c>
      <c r="Y2962" s="8">
        <f t="shared" si="471"/>
        <v>46023</v>
      </c>
    </row>
    <row r="2963" spans="2:25" ht="18.75" x14ac:dyDescent="0.3">
      <c r="B2963" s="6">
        <f t="shared" si="463"/>
        <v>0</v>
      </c>
      <c r="C2963" s="6">
        <f t="shared" si="464"/>
        <v>0</v>
      </c>
      <c r="D2963" s="6" t="str">
        <f t="shared" si="465"/>
        <v/>
      </c>
      <c r="E2963" s="35" t="str">
        <f t="shared" si="462"/>
        <v/>
      </c>
      <c r="F2963" s="31"/>
      <c r="G2963" s="29"/>
      <c r="H2963" s="78" t="str">
        <f t="shared" si="466"/>
        <v/>
      </c>
      <c r="I2963" s="25"/>
      <c r="J2963" s="25"/>
      <c r="K2963" s="26"/>
      <c r="L2963" s="26"/>
      <c r="M2963" s="37"/>
      <c r="N2963" s="27"/>
      <c r="O2963" s="30"/>
      <c r="P2963" s="39" t="str">
        <f t="shared" si="467"/>
        <v/>
      </c>
      <c r="Q2963" s="40" t="str">
        <f>IF(OR(T2963=0,RIGHT(T2963,1)=$W$1),"",COUNTIF($T$3:T2963,T2963))</f>
        <v/>
      </c>
      <c r="S2963" s="6">
        <f t="shared" si="468"/>
        <v>0</v>
      </c>
      <c r="T2963" s="36">
        <f t="shared" si="469"/>
        <v>0</v>
      </c>
      <c r="V2963" s="6">
        <f t="shared" si="470"/>
        <v>0</v>
      </c>
      <c r="Y2963" s="8">
        <f t="shared" si="471"/>
        <v>46023</v>
      </c>
    </row>
    <row r="2964" spans="2:25" ht="18.75" x14ac:dyDescent="0.3">
      <c r="B2964" s="6">
        <f t="shared" si="463"/>
        <v>0</v>
      </c>
      <c r="C2964" s="6">
        <f t="shared" si="464"/>
        <v>0</v>
      </c>
      <c r="D2964" s="6" t="str">
        <f t="shared" si="465"/>
        <v/>
      </c>
      <c r="E2964" s="35" t="str">
        <f t="shared" si="462"/>
        <v/>
      </c>
      <c r="F2964" s="31"/>
      <c r="G2964" s="29"/>
      <c r="H2964" s="78" t="str">
        <f t="shared" si="466"/>
        <v/>
      </c>
      <c r="I2964" s="25"/>
      <c r="J2964" s="25"/>
      <c r="K2964" s="26"/>
      <c r="L2964" s="26"/>
      <c r="M2964" s="37"/>
      <c r="N2964" s="27"/>
      <c r="O2964" s="30"/>
      <c r="P2964" s="39" t="str">
        <f t="shared" si="467"/>
        <v/>
      </c>
      <c r="Q2964" s="40" t="str">
        <f>IF(OR(T2964=0,RIGHT(T2964,1)=$W$1),"",COUNTIF($T$3:T2964,T2964))</f>
        <v/>
      </c>
      <c r="S2964" s="6">
        <f t="shared" si="468"/>
        <v>0</v>
      </c>
      <c r="T2964" s="36">
        <f t="shared" si="469"/>
        <v>0</v>
      </c>
      <c r="V2964" s="6">
        <f t="shared" si="470"/>
        <v>0</v>
      </c>
      <c r="Y2964" s="8">
        <f t="shared" si="471"/>
        <v>46023</v>
      </c>
    </row>
    <row r="2965" spans="2:25" ht="18.75" x14ac:dyDescent="0.3">
      <c r="B2965" s="6">
        <f t="shared" si="463"/>
        <v>0</v>
      </c>
      <c r="C2965" s="6">
        <f t="shared" si="464"/>
        <v>0</v>
      </c>
      <c r="D2965" s="6" t="str">
        <f t="shared" si="465"/>
        <v/>
      </c>
      <c r="E2965" s="35" t="str">
        <f t="shared" si="462"/>
        <v/>
      </c>
      <c r="F2965" s="31"/>
      <c r="G2965" s="29"/>
      <c r="H2965" s="78" t="str">
        <f t="shared" si="466"/>
        <v/>
      </c>
      <c r="I2965" s="25"/>
      <c r="J2965" s="25"/>
      <c r="K2965" s="26"/>
      <c r="L2965" s="26"/>
      <c r="M2965" s="37"/>
      <c r="N2965" s="27"/>
      <c r="O2965" s="30"/>
      <c r="P2965" s="39" t="str">
        <f t="shared" si="467"/>
        <v/>
      </c>
      <c r="Q2965" s="40" t="str">
        <f>IF(OR(T2965=0,RIGHT(T2965,1)=$W$1),"",COUNTIF($T$3:T2965,T2965))</f>
        <v/>
      </c>
      <c r="S2965" s="6">
        <f t="shared" si="468"/>
        <v>0</v>
      </c>
      <c r="T2965" s="36">
        <f t="shared" si="469"/>
        <v>0</v>
      </c>
      <c r="V2965" s="6">
        <f t="shared" si="470"/>
        <v>0</v>
      </c>
      <c r="Y2965" s="8">
        <f t="shared" si="471"/>
        <v>46023</v>
      </c>
    </row>
    <row r="2966" spans="2:25" ht="18.75" x14ac:dyDescent="0.3">
      <c r="B2966" s="6">
        <f t="shared" si="463"/>
        <v>0</v>
      </c>
      <c r="C2966" s="6">
        <f t="shared" si="464"/>
        <v>0</v>
      </c>
      <c r="D2966" s="6" t="str">
        <f t="shared" si="465"/>
        <v/>
      </c>
      <c r="E2966" s="35" t="str">
        <f t="shared" si="462"/>
        <v/>
      </c>
      <c r="F2966" s="31"/>
      <c r="G2966" s="29"/>
      <c r="H2966" s="78" t="str">
        <f t="shared" si="466"/>
        <v/>
      </c>
      <c r="I2966" s="25"/>
      <c r="J2966" s="25"/>
      <c r="K2966" s="26"/>
      <c r="L2966" s="26"/>
      <c r="M2966" s="37"/>
      <c r="N2966" s="27"/>
      <c r="O2966" s="30"/>
      <c r="P2966" s="39" t="str">
        <f t="shared" si="467"/>
        <v/>
      </c>
      <c r="Q2966" s="40" t="str">
        <f>IF(OR(T2966=0,RIGHT(T2966,1)=$W$1),"",COUNTIF($T$3:T2966,T2966))</f>
        <v/>
      </c>
      <c r="S2966" s="6">
        <f t="shared" si="468"/>
        <v>0</v>
      </c>
      <c r="T2966" s="36">
        <f t="shared" si="469"/>
        <v>0</v>
      </c>
      <c r="V2966" s="6">
        <f t="shared" si="470"/>
        <v>0</v>
      </c>
      <c r="Y2966" s="8">
        <f t="shared" si="471"/>
        <v>46023</v>
      </c>
    </row>
    <row r="2967" spans="2:25" ht="18.75" x14ac:dyDescent="0.3">
      <c r="B2967" s="6">
        <f t="shared" si="463"/>
        <v>0</v>
      </c>
      <c r="C2967" s="6">
        <f t="shared" si="464"/>
        <v>0</v>
      </c>
      <c r="D2967" s="6" t="str">
        <f t="shared" si="465"/>
        <v/>
      </c>
      <c r="E2967" s="35" t="str">
        <f t="shared" si="462"/>
        <v/>
      </c>
      <c r="F2967" s="31"/>
      <c r="G2967" s="29"/>
      <c r="H2967" s="78" t="str">
        <f t="shared" si="466"/>
        <v/>
      </c>
      <c r="I2967" s="25"/>
      <c r="J2967" s="25"/>
      <c r="K2967" s="26"/>
      <c r="L2967" s="26"/>
      <c r="M2967" s="37"/>
      <c r="N2967" s="27"/>
      <c r="O2967" s="30"/>
      <c r="P2967" s="39" t="str">
        <f t="shared" si="467"/>
        <v/>
      </c>
      <c r="Q2967" s="40" t="str">
        <f>IF(OR(T2967=0,RIGHT(T2967,1)=$W$1),"",COUNTIF($T$3:T2967,T2967))</f>
        <v/>
      </c>
      <c r="S2967" s="6">
        <f t="shared" si="468"/>
        <v>0</v>
      </c>
      <c r="T2967" s="36">
        <f t="shared" si="469"/>
        <v>0</v>
      </c>
      <c r="V2967" s="6">
        <f t="shared" si="470"/>
        <v>0</v>
      </c>
      <c r="Y2967" s="8">
        <f t="shared" si="471"/>
        <v>46023</v>
      </c>
    </row>
    <row r="2968" spans="2:25" ht="18.75" x14ac:dyDescent="0.3">
      <c r="B2968" s="6">
        <f t="shared" si="463"/>
        <v>0</v>
      </c>
      <c r="C2968" s="6">
        <f t="shared" si="464"/>
        <v>0</v>
      </c>
      <c r="D2968" s="6" t="str">
        <f t="shared" si="465"/>
        <v/>
      </c>
      <c r="E2968" s="35" t="str">
        <f t="shared" si="462"/>
        <v/>
      </c>
      <c r="F2968" s="31"/>
      <c r="G2968" s="29"/>
      <c r="H2968" s="78" t="str">
        <f t="shared" si="466"/>
        <v/>
      </c>
      <c r="I2968" s="25"/>
      <c r="J2968" s="25"/>
      <c r="K2968" s="26"/>
      <c r="L2968" s="26"/>
      <c r="M2968" s="37"/>
      <c r="N2968" s="27"/>
      <c r="O2968" s="30"/>
      <c r="P2968" s="39" t="str">
        <f t="shared" si="467"/>
        <v/>
      </c>
      <c r="Q2968" s="40" t="str">
        <f>IF(OR(T2968=0,RIGHT(T2968,1)=$W$1),"",COUNTIF($T$3:T2968,T2968))</f>
        <v/>
      </c>
      <c r="S2968" s="6">
        <f t="shared" si="468"/>
        <v>0</v>
      </c>
      <c r="T2968" s="36">
        <f t="shared" si="469"/>
        <v>0</v>
      </c>
      <c r="V2968" s="6">
        <f t="shared" si="470"/>
        <v>0</v>
      </c>
      <c r="Y2968" s="8">
        <f t="shared" si="471"/>
        <v>46023</v>
      </c>
    </row>
    <row r="2969" spans="2:25" ht="18.75" x14ac:dyDescent="0.3">
      <c r="B2969" s="6">
        <f t="shared" si="463"/>
        <v>0</v>
      </c>
      <c r="C2969" s="6">
        <f t="shared" si="464"/>
        <v>0</v>
      </c>
      <c r="D2969" s="6" t="str">
        <f t="shared" si="465"/>
        <v/>
      </c>
      <c r="E2969" s="35" t="str">
        <f t="shared" si="462"/>
        <v/>
      </c>
      <c r="F2969" s="31"/>
      <c r="G2969" s="29"/>
      <c r="H2969" s="78" t="str">
        <f t="shared" si="466"/>
        <v/>
      </c>
      <c r="I2969" s="25"/>
      <c r="J2969" s="25"/>
      <c r="K2969" s="26"/>
      <c r="L2969" s="26"/>
      <c r="M2969" s="37"/>
      <c r="N2969" s="27"/>
      <c r="O2969" s="30"/>
      <c r="P2969" s="39" t="str">
        <f t="shared" si="467"/>
        <v/>
      </c>
      <c r="Q2969" s="40" t="str">
        <f>IF(OR(T2969=0,RIGHT(T2969,1)=$W$1),"",COUNTIF($T$3:T2969,T2969))</f>
        <v/>
      </c>
      <c r="S2969" s="6">
        <f t="shared" si="468"/>
        <v>0</v>
      </c>
      <c r="T2969" s="36">
        <f t="shared" si="469"/>
        <v>0</v>
      </c>
      <c r="V2969" s="6">
        <f t="shared" si="470"/>
        <v>0</v>
      </c>
      <c r="Y2969" s="8">
        <f t="shared" si="471"/>
        <v>46023</v>
      </c>
    </row>
    <row r="2970" spans="2:25" ht="18.75" x14ac:dyDescent="0.3">
      <c r="B2970" s="6">
        <f t="shared" si="463"/>
        <v>0</v>
      </c>
      <c r="C2970" s="6">
        <f t="shared" si="464"/>
        <v>0</v>
      </c>
      <c r="D2970" s="6" t="str">
        <f t="shared" si="465"/>
        <v/>
      </c>
      <c r="E2970" s="35" t="str">
        <f t="shared" si="462"/>
        <v/>
      </c>
      <c r="F2970" s="31"/>
      <c r="G2970" s="29"/>
      <c r="H2970" s="78" t="str">
        <f t="shared" si="466"/>
        <v/>
      </c>
      <c r="I2970" s="25"/>
      <c r="J2970" s="25"/>
      <c r="K2970" s="26"/>
      <c r="L2970" s="26"/>
      <c r="M2970" s="37"/>
      <c r="N2970" s="27"/>
      <c r="O2970" s="30"/>
      <c r="P2970" s="39" t="str">
        <f t="shared" si="467"/>
        <v/>
      </c>
      <c r="Q2970" s="40" t="str">
        <f>IF(OR(T2970=0,RIGHT(T2970,1)=$W$1),"",COUNTIF($T$3:T2970,T2970))</f>
        <v/>
      </c>
      <c r="S2970" s="6">
        <f t="shared" si="468"/>
        <v>0</v>
      </c>
      <c r="T2970" s="36">
        <f t="shared" si="469"/>
        <v>0</v>
      </c>
      <c r="V2970" s="6">
        <f t="shared" si="470"/>
        <v>0</v>
      </c>
      <c r="Y2970" s="8">
        <f t="shared" si="471"/>
        <v>46023</v>
      </c>
    </row>
    <row r="2971" spans="2:25" ht="18.75" x14ac:dyDescent="0.3">
      <c r="B2971" s="6">
        <f t="shared" si="463"/>
        <v>0</v>
      </c>
      <c r="C2971" s="6">
        <f t="shared" si="464"/>
        <v>0</v>
      </c>
      <c r="D2971" s="6" t="str">
        <f t="shared" si="465"/>
        <v/>
      </c>
      <c r="E2971" s="35" t="str">
        <f t="shared" si="462"/>
        <v/>
      </c>
      <c r="F2971" s="31"/>
      <c r="G2971" s="29"/>
      <c r="H2971" s="78" t="str">
        <f t="shared" si="466"/>
        <v/>
      </c>
      <c r="I2971" s="25"/>
      <c r="J2971" s="25"/>
      <c r="K2971" s="26"/>
      <c r="L2971" s="26"/>
      <c r="M2971" s="37"/>
      <c r="N2971" s="27"/>
      <c r="O2971" s="30"/>
      <c r="P2971" s="39" t="str">
        <f t="shared" si="467"/>
        <v/>
      </c>
      <c r="Q2971" s="40" t="str">
        <f>IF(OR(T2971=0,RIGHT(T2971,1)=$W$1),"",COUNTIF($T$3:T2971,T2971))</f>
        <v/>
      </c>
      <c r="S2971" s="6">
        <f t="shared" si="468"/>
        <v>0</v>
      </c>
      <c r="T2971" s="36">
        <f t="shared" si="469"/>
        <v>0</v>
      </c>
      <c r="V2971" s="6">
        <f t="shared" si="470"/>
        <v>0</v>
      </c>
      <c r="Y2971" s="8">
        <f t="shared" si="471"/>
        <v>46023</v>
      </c>
    </row>
    <row r="2972" spans="2:25" ht="18.75" x14ac:dyDescent="0.3">
      <c r="B2972" s="6">
        <f t="shared" si="463"/>
        <v>0</v>
      </c>
      <c r="C2972" s="6">
        <f t="shared" si="464"/>
        <v>0</v>
      </c>
      <c r="D2972" s="6" t="str">
        <f t="shared" si="465"/>
        <v/>
      </c>
      <c r="E2972" s="35" t="str">
        <f t="shared" si="462"/>
        <v/>
      </c>
      <c r="F2972" s="31"/>
      <c r="G2972" s="29"/>
      <c r="H2972" s="78" t="str">
        <f t="shared" si="466"/>
        <v/>
      </c>
      <c r="I2972" s="25"/>
      <c r="J2972" s="25"/>
      <c r="K2972" s="26"/>
      <c r="L2972" s="26"/>
      <c r="M2972" s="37"/>
      <c r="N2972" s="27"/>
      <c r="O2972" s="30"/>
      <c r="P2972" s="39" t="str">
        <f t="shared" si="467"/>
        <v/>
      </c>
      <c r="Q2972" s="40" t="str">
        <f>IF(OR(T2972=0,RIGHT(T2972,1)=$W$1),"",COUNTIF($T$3:T2972,T2972))</f>
        <v/>
      </c>
      <c r="S2972" s="6">
        <f t="shared" si="468"/>
        <v>0</v>
      </c>
      <c r="T2972" s="36">
        <f t="shared" si="469"/>
        <v>0</v>
      </c>
      <c r="V2972" s="6">
        <f t="shared" si="470"/>
        <v>0</v>
      </c>
      <c r="Y2972" s="8">
        <f t="shared" si="471"/>
        <v>46023</v>
      </c>
    </row>
    <row r="2973" spans="2:25" ht="18.75" x14ac:dyDescent="0.3">
      <c r="B2973" s="6">
        <f t="shared" si="463"/>
        <v>0</v>
      </c>
      <c r="C2973" s="6">
        <f t="shared" si="464"/>
        <v>0</v>
      </c>
      <c r="D2973" s="6" t="str">
        <f t="shared" si="465"/>
        <v/>
      </c>
      <c r="E2973" s="35" t="str">
        <f t="shared" si="462"/>
        <v/>
      </c>
      <c r="F2973" s="31"/>
      <c r="G2973" s="29"/>
      <c r="H2973" s="78" t="str">
        <f t="shared" si="466"/>
        <v/>
      </c>
      <c r="I2973" s="25"/>
      <c r="J2973" s="25"/>
      <c r="K2973" s="26"/>
      <c r="L2973" s="26"/>
      <c r="M2973" s="37"/>
      <c r="N2973" s="27"/>
      <c r="O2973" s="30"/>
      <c r="P2973" s="39" t="str">
        <f t="shared" si="467"/>
        <v/>
      </c>
      <c r="Q2973" s="40" t="str">
        <f>IF(OR(T2973=0,RIGHT(T2973,1)=$W$1),"",COUNTIF($T$3:T2973,T2973))</f>
        <v/>
      </c>
      <c r="S2973" s="6">
        <f t="shared" si="468"/>
        <v>0</v>
      </c>
      <c r="T2973" s="36">
        <f t="shared" si="469"/>
        <v>0</v>
      </c>
      <c r="V2973" s="6">
        <f t="shared" si="470"/>
        <v>0</v>
      </c>
      <c r="Y2973" s="8">
        <f t="shared" si="471"/>
        <v>46023</v>
      </c>
    </row>
    <row r="2974" spans="2:25" ht="18.75" x14ac:dyDescent="0.3">
      <c r="B2974" s="6">
        <f t="shared" si="463"/>
        <v>0</v>
      </c>
      <c r="C2974" s="6">
        <f t="shared" si="464"/>
        <v>0</v>
      </c>
      <c r="D2974" s="6" t="str">
        <f t="shared" si="465"/>
        <v/>
      </c>
      <c r="E2974" s="35" t="str">
        <f t="shared" si="462"/>
        <v/>
      </c>
      <c r="F2974" s="31"/>
      <c r="G2974" s="29"/>
      <c r="H2974" s="78" t="str">
        <f t="shared" si="466"/>
        <v/>
      </c>
      <c r="I2974" s="25"/>
      <c r="J2974" s="25"/>
      <c r="K2974" s="26"/>
      <c r="L2974" s="26"/>
      <c r="M2974" s="37"/>
      <c r="N2974" s="27"/>
      <c r="O2974" s="30"/>
      <c r="P2974" s="39" t="str">
        <f t="shared" si="467"/>
        <v/>
      </c>
      <c r="Q2974" s="40" t="str">
        <f>IF(OR(T2974=0,RIGHT(T2974,1)=$W$1),"",COUNTIF($T$3:T2974,T2974))</f>
        <v/>
      </c>
      <c r="S2974" s="6">
        <f t="shared" si="468"/>
        <v>0</v>
      </c>
      <c r="T2974" s="36">
        <f t="shared" si="469"/>
        <v>0</v>
      </c>
      <c r="V2974" s="6">
        <f t="shared" si="470"/>
        <v>0</v>
      </c>
      <c r="Y2974" s="8">
        <f t="shared" si="471"/>
        <v>46023</v>
      </c>
    </row>
    <row r="2975" spans="2:25" ht="18.75" x14ac:dyDescent="0.3">
      <c r="B2975" s="6">
        <f t="shared" si="463"/>
        <v>0</v>
      </c>
      <c r="C2975" s="6">
        <f t="shared" si="464"/>
        <v>0</v>
      </c>
      <c r="D2975" s="6" t="str">
        <f t="shared" si="465"/>
        <v/>
      </c>
      <c r="E2975" s="35" t="str">
        <f t="shared" si="462"/>
        <v/>
      </c>
      <c r="F2975" s="31"/>
      <c r="G2975" s="29"/>
      <c r="H2975" s="78" t="str">
        <f t="shared" si="466"/>
        <v/>
      </c>
      <c r="I2975" s="25"/>
      <c r="J2975" s="25"/>
      <c r="K2975" s="26"/>
      <c r="L2975" s="26"/>
      <c r="M2975" s="37"/>
      <c r="N2975" s="27"/>
      <c r="O2975" s="30"/>
      <c r="P2975" s="39" t="str">
        <f t="shared" si="467"/>
        <v/>
      </c>
      <c r="Q2975" s="40" t="str">
        <f>IF(OR(T2975=0,RIGHT(T2975,1)=$W$1),"",COUNTIF($T$3:T2975,T2975))</f>
        <v/>
      </c>
      <c r="S2975" s="6">
        <f t="shared" si="468"/>
        <v>0</v>
      </c>
      <c r="T2975" s="36">
        <f t="shared" si="469"/>
        <v>0</v>
      </c>
      <c r="V2975" s="6">
        <f t="shared" si="470"/>
        <v>0</v>
      </c>
      <c r="Y2975" s="8">
        <f t="shared" si="471"/>
        <v>46023</v>
      </c>
    </row>
    <row r="2976" spans="2:25" ht="18.75" x14ac:dyDescent="0.3">
      <c r="B2976" s="6">
        <f t="shared" si="463"/>
        <v>0</v>
      </c>
      <c r="C2976" s="6">
        <f t="shared" si="464"/>
        <v>0</v>
      </c>
      <c r="D2976" s="6" t="str">
        <f t="shared" si="465"/>
        <v/>
      </c>
      <c r="E2976" s="35" t="str">
        <f t="shared" si="462"/>
        <v/>
      </c>
      <c r="F2976" s="31"/>
      <c r="G2976" s="29"/>
      <c r="H2976" s="78" t="str">
        <f t="shared" si="466"/>
        <v/>
      </c>
      <c r="I2976" s="25"/>
      <c r="J2976" s="25"/>
      <c r="K2976" s="26"/>
      <c r="L2976" s="26"/>
      <c r="M2976" s="37"/>
      <c r="N2976" s="27"/>
      <c r="O2976" s="30"/>
      <c r="P2976" s="39" t="str">
        <f t="shared" si="467"/>
        <v/>
      </c>
      <c r="Q2976" s="40" t="str">
        <f>IF(OR(T2976=0,RIGHT(T2976,1)=$W$1),"",COUNTIF($T$3:T2976,T2976))</f>
        <v/>
      </c>
      <c r="S2976" s="6">
        <f t="shared" si="468"/>
        <v>0</v>
      </c>
      <c r="T2976" s="36">
        <f t="shared" si="469"/>
        <v>0</v>
      </c>
      <c r="V2976" s="6">
        <f t="shared" si="470"/>
        <v>0</v>
      </c>
      <c r="Y2976" s="8">
        <f t="shared" si="471"/>
        <v>46023</v>
      </c>
    </row>
    <row r="2977" spans="2:25" ht="18.75" x14ac:dyDescent="0.3">
      <c r="B2977" s="6">
        <f t="shared" si="463"/>
        <v>0</v>
      </c>
      <c r="C2977" s="6">
        <f t="shared" si="464"/>
        <v>0</v>
      </c>
      <c r="D2977" s="6" t="str">
        <f t="shared" si="465"/>
        <v/>
      </c>
      <c r="E2977" s="35" t="str">
        <f t="shared" si="462"/>
        <v/>
      </c>
      <c r="F2977" s="31"/>
      <c r="G2977" s="29"/>
      <c r="H2977" s="78" t="str">
        <f t="shared" si="466"/>
        <v/>
      </c>
      <c r="I2977" s="25"/>
      <c r="J2977" s="25"/>
      <c r="K2977" s="26"/>
      <c r="L2977" s="26"/>
      <c r="M2977" s="37"/>
      <c r="N2977" s="27"/>
      <c r="O2977" s="30"/>
      <c r="P2977" s="39" t="str">
        <f t="shared" si="467"/>
        <v/>
      </c>
      <c r="Q2977" s="40" t="str">
        <f>IF(OR(T2977=0,RIGHT(T2977,1)=$W$1),"",COUNTIF($T$3:T2977,T2977))</f>
        <v/>
      </c>
      <c r="S2977" s="6">
        <f t="shared" si="468"/>
        <v>0</v>
      </c>
      <c r="T2977" s="36">
        <f t="shared" si="469"/>
        <v>0</v>
      </c>
      <c r="V2977" s="6">
        <f t="shared" si="470"/>
        <v>0</v>
      </c>
      <c r="Y2977" s="8">
        <f t="shared" si="471"/>
        <v>46023</v>
      </c>
    </row>
    <row r="2978" spans="2:25" ht="18.75" x14ac:dyDescent="0.3">
      <c r="B2978" s="6">
        <f t="shared" si="463"/>
        <v>0</v>
      </c>
      <c r="C2978" s="6">
        <f t="shared" si="464"/>
        <v>0</v>
      </c>
      <c r="D2978" s="6" t="str">
        <f t="shared" si="465"/>
        <v/>
      </c>
      <c r="E2978" s="35" t="str">
        <f t="shared" si="462"/>
        <v/>
      </c>
      <c r="F2978" s="31"/>
      <c r="G2978" s="29"/>
      <c r="H2978" s="78" t="str">
        <f t="shared" si="466"/>
        <v/>
      </c>
      <c r="I2978" s="25"/>
      <c r="J2978" s="25"/>
      <c r="K2978" s="26"/>
      <c r="L2978" s="26"/>
      <c r="M2978" s="37"/>
      <c r="N2978" s="27"/>
      <c r="O2978" s="30"/>
      <c r="P2978" s="39" t="str">
        <f t="shared" si="467"/>
        <v/>
      </c>
      <c r="Q2978" s="40" t="str">
        <f>IF(OR(T2978=0,RIGHT(T2978,1)=$W$1),"",COUNTIF($T$3:T2978,T2978))</f>
        <v/>
      </c>
      <c r="S2978" s="6">
        <f t="shared" si="468"/>
        <v>0</v>
      </c>
      <c r="T2978" s="36">
        <f t="shared" si="469"/>
        <v>0</v>
      </c>
      <c r="V2978" s="6">
        <f t="shared" si="470"/>
        <v>0</v>
      </c>
      <c r="Y2978" s="8">
        <f t="shared" si="471"/>
        <v>46023</v>
      </c>
    </row>
    <row r="2979" spans="2:25" ht="18.75" x14ac:dyDescent="0.3">
      <c r="B2979" s="6">
        <f t="shared" si="463"/>
        <v>0</v>
      </c>
      <c r="C2979" s="6">
        <f t="shared" si="464"/>
        <v>0</v>
      </c>
      <c r="D2979" s="6" t="str">
        <f t="shared" si="465"/>
        <v/>
      </c>
      <c r="E2979" s="35" t="str">
        <f t="shared" si="462"/>
        <v/>
      </c>
      <c r="F2979" s="31"/>
      <c r="G2979" s="29"/>
      <c r="H2979" s="78" t="str">
        <f t="shared" si="466"/>
        <v/>
      </c>
      <c r="I2979" s="25"/>
      <c r="J2979" s="25"/>
      <c r="K2979" s="26"/>
      <c r="L2979" s="26"/>
      <c r="M2979" s="37"/>
      <c r="N2979" s="27"/>
      <c r="O2979" s="30"/>
      <c r="P2979" s="39" t="str">
        <f t="shared" si="467"/>
        <v/>
      </c>
      <c r="Q2979" s="40" t="str">
        <f>IF(OR(T2979=0,RIGHT(T2979,1)=$W$1),"",COUNTIF($T$3:T2979,T2979))</f>
        <v/>
      </c>
      <c r="S2979" s="6">
        <f t="shared" si="468"/>
        <v>0</v>
      </c>
      <c r="T2979" s="36">
        <f t="shared" si="469"/>
        <v>0</v>
      </c>
      <c r="V2979" s="6">
        <f t="shared" si="470"/>
        <v>0</v>
      </c>
      <c r="Y2979" s="8">
        <f t="shared" si="471"/>
        <v>46023</v>
      </c>
    </row>
    <row r="2980" spans="2:25" ht="18.75" x14ac:dyDescent="0.3">
      <c r="B2980" s="6">
        <f t="shared" si="463"/>
        <v>0</v>
      </c>
      <c r="C2980" s="6">
        <f t="shared" si="464"/>
        <v>0</v>
      </c>
      <c r="D2980" s="6" t="str">
        <f t="shared" si="465"/>
        <v/>
      </c>
      <c r="E2980" s="35" t="str">
        <f t="shared" si="462"/>
        <v/>
      </c>
      <c r="F2980" s="31"/>
      <c r="G2980" s="29"/>
      <c r="H2980" s="78" t="str">
        <f t="shared" si="466"/>
        <v/>
      </c>
      <c r="I2980" s="25"/>
      <c r="J2980" s="25"/>
      <c r="K2980" s="26"/>
      <c r="L2980" s="26"/>
      <c r="M2980" s="37"/>
      <c r="N2980" s="27"/>
      <c r="O2980" s="30"/>
      <c r="P2980" s="39" t="str">
        <f t="shared" si="467"/>
        <v/>
      </c>
      <c r="Q2980" s="40" t="str">
        <f>IF(OR(T2980=0,RIGHT(T2980,1)=$W$1),"",COUNTIF($T$3:T2980,T2980))</f>
        <v/>
      </c>
      <c r="S2980" s="6">
        <f t="shared" si="468"/>
        <v>0</v>
      </c>
      <c r="T2980" s="36">
        <f t="shared" si="469"/>
        <v>0</v>
      </c>
      <c r="V2980" s="6">
        <f t="shared" si="470"/>
        <v>0</v>
      </c>
      <c r="Y2980" s="8">
        <f t="shared" si="471"/>
        <v>46023</v>
      </c>
    </row>
    <row r="2981" spans="2:25" ht="18.75" x14ac:dyDescent="0.3">
      <c r="B2981" s="6">
        <f t="shared" si="463"/>
        <v>0</v>
      </c>
      <c r="C2981" s="6">
        <f t="shared" si="464"/>
        <v>0</v>
      </c>
      <c r="D2981" s="6" t="str">
        <f t="shared" si="465"/>
        <v/>
      </c>
      <c r="E2981" s="35" t="str">
        <f t="shared" si="462"/>
        <v/>
      </c>
      <c r="F2981" s="31"/>
      <c r="G2981" s="29"/>
      <c r="H2981" s="78" t="str">
        <f t="shared" si="466"/>
        <v/>
      </c>
      <c r="I2981" s="25"/>
      <c r="J2981" s="25"/>
      <c r="K2981" s="26"/>
      <c r="L2981" s="26"/>
      <c r="M2981" s="37"/>
      <c r="N2981" s="27"/>
      <c r="O2981" s="30"/>
      <c r="P2981" s="39" t="str">
        <f t="shared" si="467"/>
        <v/>
      </c>
      <c r="Q2981" s="40" t="str">
        <f>IF(OR(T2981=0,RIGHT(T2981,1)=$W$1),"",COUNTIF($T$3:T2981,T2981))</f>
        <v/>
      </c>
      <c r="S2981" s="6">
        <f t="shared" si="468"/>
        <v>0</v>
      </c>
      <c r="T2981" s="36">
        <f t="shared" si="469"/>
        <v>0</v>
      </c>
      <c r="V2981" s="6">
        <f t="shared" si="470"/>
        <v>0</v>
      </c>
      <c r="Y2981" s="8">
        <f t="shared" si="471"/>
        <v>46023</v>
      </c>
    </row>
    <row r="2982" spans="2:25" ht="18.75" x14ac:dyDescent="0.3">
      <c r="B2982" s="6">
        <f t="shared" si="463"/>
        <v>0</v>
      </c>
      <c r="C2982" s="6">
        <f t="shared" si="464"/>
        <v>0</v>
      </c>
      <c r="D2982" s="6" t="str">
        <f t="shared" si="465"/>
        <v/>
      </c>
      <c r="E2982" s="35" t="str">
        <f t="shared" si="462"/>
        <v/>
      </c>
      <c r="F2982" s="31"/>
      <c r="G2982" s="29"/>
      <c r="H2982" s="78" t="str">
        <f t="shared" si="466"/>
        <v/>
      </c>
      <c r="I2982" s="25"/>
      <c r="J2982" s="25"/>
      <c r="K2982" s="26"/>
      <c r="L2982" s="26"/>
      <c r="M2982" s="37"/>
      <c r="N2982" s="27"/>
      <c r="O2982" s="30"/>
      <c r="P2982" s="39" t="str">
        <f t="shared" si="467"/>
        <v/>
      </c>
      <c r="Q2982" s="40" t="str">
        <f>IF(OR(T2982=0,RIGHT(T2982,1)=$W$1),"",COUNTIF($T$3:T2982,T2982))</f>
        <v/>
      </c>
      <c r="S2982" s="6">
        <f t="shared" si="468"/>
        <v>0</v>
      </c>
      <c r="T2982" s="36">
        <f t="shared" si="469"/>
        <v>0</v>
      </c>
      <c r="V2982" s="6">
        <f t="shared" si="470"/>
        <v>0</v>
      </c>
      <c r="Y2982" s="8">
        <f t="shared" si="471"/>
        <v>46023</v>
      </c>
    </row>
    <row r="2983" spans="2:25" ht="18.75" x14ac:dyDescent="0.3">
      <c r="B2983" s="6">
        <f t="shared" si="463"/>
        <v>0</v>
      </c>
      <c r="C2983" s="6">
        <f t="shared" si="464"/>
        <v>0</v>
      </c>
      <c r="D2983" s="6" t="str">
        <f t="shared" si="465"/>
        <v/>
      </c>
      <c r="E2983" s="35" t="str">
        <f t="shared" si="462"/>
        <v/>
      </c>
      <c r="F2983" s="31"/>
      <c r="G2983" s="29"/>
      <c r="H2983" s="78" t="str">
        <f t="shared" si="466"/>
        <v/>
      </c>
      <c r="I2983" s="25"/>
      <c r="J2983" s="25"/>
      <c r="K2983" s="26"/>
      <c r="L2983" s="26"/>
      <c r="M2983" s="37"/>
      <c r="N2983" s="27"/>
      <c r="O2983" s="30"/>
      <c r="P2983" s="39" t="str">
        <f t="shared" si="467"/>
        <v/>
      </c>
      <c r="Q2983" s="40" t="str">
        <f>IF(OR(T2983=0,RIGHT(T2983,1)=$W$1),"",COUNTIF($T$3:T2983,T2983))</f>
        <v/>
      </c>
      <c r="S2983" s="6">
        <f t="shared" si="468"/>
        <v>0</v>
      </c>
      <c r="T2983" s="36">
        <f t="shared" si="469"/>
        <v>0</v>
      </c>
      <c r="V2983" s="6">
        <f t="shared" si="470"/>
        <v>0</v>
      </c>
      <c r="Y2983" s="8">
        <f t="shared" si="471"/>
        <v>46023</v>
      </c>
    </row>
    <row r="2984" spans="2:25" ht="18.75" x14ac:dyDescent="0.3">
      <c r="B2984" s="6">
        <f t="shared" si="463"/>
        <v>0</v>
      </c>
      <c r="C2984" s="6">
        <f t="shared" si="464"/>
        <v>0</v>
      </c>
      <c r="D2984" s="6" t="str">
        <f t="shared" si="465"/>
        <v/>
      </c>
      <c r="E2984" s="35" t="str">
        <f t="shared" si="462"/>
        <v/>
      </c>
      <c r="F2984" s="31"/>
      <c r="G2984" s="29"/>
      <c r="H2984" s="78" t="str">
        <f t="shared" si="466"/>
        <v/>
      </c>
      <c r="I2984" s="25"/>
      <c r="J2984" s="25"/>
      <c r="K2984" s="26"/>
      <c r="L2984" s="26"/>
      <c r="M2984" s="37"/>
      <c r="N2984" s="27"/>
      <c r="O2984" s="30"/>
      <c r="P2984" s="39" t="str">
        <f t="shared" si="467"/>
        <v/>
      </c>
      <c r="Q2984" s="40" t="str">
        <f>IF(OR(T2984=0,RIGHT(T2984,1)=$W$1),"",COUNTIF($T$3:T2984,T2984))</f>
        <v/>
      </c>
      <c r="S2984" s="6">
        <f t="shared" si="468"/>
        <v>0</v>
      </c>
      <c r="T2984" s="36">
        <f t="shared" si="469"/>
        <v>0</v>
      </c>
      <c r="V2984" s="6">
        <f t="shared" si="470"/>
        <v>0</v>
      </c>
      <c r="Y2984" s="8">
        <f t="shared" si="471"/>
        <v>46023</v>
      </c>
    </row>
    <row r="2985" spans="2:25" ht="18.75" x14ac:dyDescent="0.3">
      <c r="B2985" s="6">
        <f t="shared" si="463"/>
        <v>0</v>
      </c>
      <c r="C2985" s="6">
        <f t="shared" si="464"/>
        <v>0</v>
      </c>
      <c r="D2985" s="6" t="str">
        <f t="shared" si="465"/>
        <v/>
      </c>
      <c r="E2985" s="35" t="str">
        <f t="shared" si="462"/>
        <v/>
      </c>
      <c r="F2985" s="31"/>
      <c r="G2985" s="29"/>
      <c r="H2985" s="78" t="str">
        <f t="shared" si="466"/>
        <v/>
      </c>
      <c r="I2985" s="25"/>
      <c r="J2985" s="25"/>
      <c r="K2985" s="26"/>
      <c r="L2985" s="26"/>
      <c r="M2985" s="37"/>
      <c r="N2985" s="27"/>
      <c r="O2985" s="30"/>
      <c r="P2985" s="39" t="str">
        <f t="shared" si="467"/>
        <v/>
      </c>
      <c r="Q2985" s="40" t="str">
        <f>IF(OR(T2985=0,RIGHT(T2985,1)=$W$1),"",COUNTIF($T$3:T2985,T2985))</f>
        <v/>
      </c>
      <c r="S2985" s="6">
        <f t="shared" si="468"/>
        <v>0</v>
      </c>
      <c r="T2985" s="36">
        <f t="shared" si="469"/>
        <v>0</v>
      </c>
      <c r="V2985" s="6">
        <f t="shared" si="470"/>
        <v>0</v>
      </c>
      <c r="Y2985" s="8">
        <f t="shared" si="471"/>
        <v>46023</v>
      </c>
    </row>
    <row r="2986" spans="2:25" ht="18.75" x14ac:dyDescent="0.3">
      <c r="B2986" s="6">
        <f t="shared" si="463"/>
        <v>0</v>
      </c>
      <c r="C2986" s="6">
        <f t="shared" si="464"/>
        <v>0</v>
      </c>
      <c r="D2986" s="6" t="str">
        <f t="shared" si="465"/>
        <v/>
      </c>
      <c r="E2986" s="35" t="str">
        <f t="shared" si="462"/>
        <v/>
      </c>
      <c r="F2986" s="31"/>
      <c r="G2986" s="29"/>
      <c r="H2986" s="78" t="str">
        <f t="shared" si="466"/>
        <v/>
      </c>
      <c r="I2986" s="25"/>
      <c r="J2986" s="25"/>
      <c r="K2986" s="26"/>
      <c r="L2986" s="26"/>
      <c r="M2986" s="37"/>
      <c r="N2986" s="27"/>
      <c r="O2986" s="30"/>
      <c r="P2986" s="39" t="str">
        <f t="shared" si="467"/>
        <v/>
      </c>
      <c r="Q2986" s="40" t="str">
        <f>IF(OR(T2986=0,RIGHT(T2986,1)=$W$1),"",COUNTIF($T$3:T2986,T2986))</f>
        <v/>
      </c>
      <c r="S2986" s="6">
        <f t="shared" si="468"/>
        <v>0</v>
      </c>
      <c r="T2986" s="36">
        <f t="shared" si="469"/>
        <v>0</v>
      </c>
      <c r="V2986" s="6">
        <f t="shared" si="470"/>
        <v>0</v>
      </c>
      <c r="Y2986" s="8">
        <f t="shared" si="471"/>
        <v>46023</v>
      </c>
    </row>
    <row r="2987" spans="2:25" ht="18.75" x14ac:dyDescent="0.3">
      <c r="B2987" s="6">
        <f t="shared" si="463"/>
        <v>0</v>
      </c>
      <c r="C2987" s="6">
        <f t="shared" si="464"/>
        <v>0</v>
      </c>
      <c r="D2987" s="6" t="str">
        <f t="shared" si="465"/>
        <v/>
      </c>
      <c r="E2987" s="35" t="str">
        <f t="shared" si="462"/>
        <v/>
      </c>
      <c r="F2987" s="31"/>
      <c r="G2987" s="29"/>
      <c r="H2987" s="78" t="str">
        <f t="shared" si="466"/>
        <v/>
      </c>
      <c r="I2987" s="25"/>
      <c r="J2987" s="25"/>
      <c r="K2987" s="26"/>
      <c r="L2987" s="26"/>
      <c r="M2987" s="37"/>
      <c r="N2987" s="27"/>
      <c r="O2987" s="30"/>
      <c r="P2987" s="39" t="str">
        <f t="shared" si="467"/>
        <v/>
      </c>
      <c r="Q2987" s="40" t="str">
        <f>IF(OR(T2987=0,RIGHT(T2987,1)=$W$1),"",COUNTIF($T$3:T2987,T2987))</f>
        <v/>
      </c>
      <c r="S2987" s="6">
        <f t="shared" si="468"/>
        <v>0</v>
      </c>
      <c r="T2987" s="36">
        <f t="shared" si="469"/>
        <v>0</v>
      </c>
      <c r="V2987" s="6">
        <f t="shared" si="470"/>
        <v>0</v>
      </c>
      <c r="Y2987" s="8">
        <f t="shared" si="471"/>
        <v>46023</v>
      </c>
    </row>
    <row r="2988" spans="2:25" ht="18.75" x14ac:dyDescent="0.3">
      <c r="B2988" s="6">
        <f t="shared" si="463"/>
        <v>0</v>
      </c>
      <c r="C2988" s="6">
        <f t="shared" si="464"/>
        <v>0</v>
      </c>
      <c r="D2988" s="6" t="str">
        <f t="shared" si="465"/>
        <v/>
      </c>
      <c r="E2988" s="35" t="str">
        <f t="shared" si="462"/>
        <v/>
      </c>
      <c r="F2988" s="31"/>
      <c r="G2988" s="29"/>
      <c r="H2988" s="78" t="str">
        <f t="shared" si="466"/>
        <v/>
      </c>
      <c r="I2988" s="25"/>
      <c r="J2988" s="25"/>
      <c r="K2988" s="26"/>
      <c r="L2988" s="26"/>
      <c r="M2988" s="37"/>
      <c r="N2988" s="27"/>
      <c r="O2988" s="30"/>
      <c r="P2988" s="39" t="str">
        <f t="shared" si="467"/>
        <v/>
      </c>
      <c r="Q2988" s="40" t="str">
        <f>IF(OR(T2988=0,RIGHT(T2988,1)=$W$1),"",COUNTIF($T$3:T2988,T2988))</f>
        <v/>
      </c>
      <c r="S2988" s="6">
        <f t="shared" si="468"/>
        <v>0</v>
      </c>
      <c r="T2988" s="36">
        <f t="shared" si="469"/>
        <v>0</v>
      </c>
      <c r="V2988" s="6">
        <f t="shared" si="470"/>
        <v>0</v>
      </c>
      <c r="Y2988" s="8">
        <f t="shared" si="471"/>
        <v>46023</v>
      </c>
    </row>
    <row r="2989" spans="2:25" ht="18.75" x14ac:dyDescent="0.3">
      <c r="B2989" s="6">
        <f t="shared" si="463"/>
        <v>0</v>
      </c>
      <c r="C2989" s="6">
        <f t="shared" si="464"/>
        <v>0</v>
      </c>
      <c r="D2989" s="6" t="str">
        <f t="shared" si="465"/>
        <v/>
      </c>
      <c r="E2989" s="35" t="str">
        <f t="shared" si="462"/>
        <v/>
      </c>
      <c r="F2989" s="31"/>
      <c r="G2989" s="29"/>
      <c r="H2989" s="78" t="str">
        <f t="shared" si="466"/>
        <v/>
      </c>
      <c r="I2989" s="25"/>
      <c r="J2989" s="25"/>
      <c r="K2989" s="26"/>
      <c r="L2989" s="26"/>
      <c r="M2989" s="37"/>
      <c r="N2989" s="27"/>
      <c r="O2989" s="30"/>
      <c r="P2989" s="39" t="str">
        <f t="shared" si="467"/>
        <v/>
      </c>
      <c r="Q2989" s="40" t="str">
        <f>IF(OR(T2989=0,RIGHT(T2989,1)=$W$1),"",COUNTIF($T$3:T2989,T2989))</f>
        <v/>
      </c>
      <c r="S2989" s="6">
        <f t="shared" si="468"/>
        <v>0</v>
      </c>
      <c r="T2989" s="36">
        <f t="shared" si="469"/>
        <v>0</v>
      </c>
      <c r="V2989" s="6">
        <f t="shared" si="470"/>
        <v>0</v>
      </c>
      <c r="Y2989" s="8">
        <f t="shared" si="471"/>
        <v>46023</v>
      </c>
    </row>
    <row r="2990" spans="2:25" ht="18.75" x14ac:dyDescent="0.3">
      <c r="B2990" s="6">
        <f t="shared" si="463"/>
        <v>0</v>
      </c>
      <c r="C2990" s="6">
        <f t="shared" si="464"/>
        <v>0</v>
      </c>
      <c r="D2990" s="6" t="str">
        <f t="shared" si="465"/>
        <v/>
      </c>
      <c r="E2990" s="35" t="str">
        <f t="shared" si="462"/>
        <v/>
      </c>
      <c r="F2990" s="31"/>
      <c r="G2990" s="29"/>
      <c r="H2990" s="78" t="str">
        <f t="shared" si="466"/>
        <v/>
      </c>
      <c r="I2990" s="25"/>
      <c r="J2990" s="25"/>
      <c r="K2990" s="26"/>
      <c r="L2990" s="26"/>
      <c r="M2990" s="37"/>
      <c r="N2990" s="27"/>
      <c r="O2990" s="30"/>
      <c r="P2990" s="39" t="str">
        <f t="shared" si="467"/>
        <v/>
      </c>
      <c r="Q2990" s="40" t="str">
        <f>IF(OR(T2990=0,RIGHT(T2990,1)=$W$1),"",COUNTIF($T$3:T2990,T2990))</f>
        <v/>
      </c>
      <c r="S2990" s="6">
        <f t="shared" si="468"/>
        <v>0</v>
      </c>
      <c r="T2990" s="36">
        <f t="shared" si="469"/>
        <v>0</v>
      </c>
      <c r="V2990" s="6">
        <f t="shared" si="470"/>
        <v>0</v>
      </c>
      <c r="Y2990" s="8">
        <f t="shared" si="471"/>
        <v>46023</v>
      </c>
    </row>
    <row r="2991" spans="2:25" ht="18.75" x14ac:dyDescent="0.3">
      <c r="B2991" s="6">
        <f t="shared" si="463"/>
        <v>0</v>
      </c>
      <c r="C2991" s="6">
        <f t="shared" si="464"/>
        <v>0</v>
      </c>
      <c r="D2991" s="6" t="str">
        <f t="shared" si="465"/>
        <v/>
      </c>
      <c r="E2991" s="35" t="str">
        <f t="shared" si="462"/>
        <v/>
      </c>
      <c r="F2991" s="31"/>
      <c r="G2991" s="29"/>
      <c r="H2991" s="78" t="str">
        <f t="shared" si="466"/>
        <v/>
      </c>
      <c r="I2991" s="25"/>
      <c r="J2991" s="25"/>
      <c r="K2991" s="26"/>
      <c r="L2991" s="26"/>
      <c r="M2991" s="37"/>
      <c r="N2991" s="27"/>
      <c r="O2991" s="30"/>
      <c r="P2991" s="39" t="str">
        <f t="shared" si="467"/>
        <v/>
      </c>
      <c r="Q2991" s="40" t="str">
        <f>IF(OR(T2991=0,RIGHT(T2991,1)=$W$1),"",COUNTIF($T$3:T2991,T2991))</f>
        <v/>
      </c>
      <c r="S2991" s="6">
        <f t="shared" si="468"/>
        <v>0</v>
      </c>
      <c r="T2991" s="36">
        <f t="shared" si="469"/>
        <v>0</v>
      </c>
      <c r="V2991" s="6">
        <f t="shared" si="470"/>
        <v>0</v>
      </c>
      <c r="Y2991" s="8">
        <f t="shared" si="471"/>
        <v>46023</v>
      </c>
    </row>
    <row r="2992" spans="2:25" ht="18.75" x14ac:dyDescent="0.3">
      <c r="B2992" s="6">
        <f t="shared" si="463"/>
        <v>0</v>
      </c>
      <c r="C2992" s="6">
        <f t="shared" si="464"/>
        <v>0</v>
      </c>
      <c r="D2992" s="6" t="str">
        <f t="shared" si="465"/>
        <v/>
      </c>
      <c r="E2992" s="35" t="str">
        <f t="shared" si="462"/>
        <v/>
      </c>
      <c r="F2992" s="31"/>
      <c r="G2992" s="29"/>
      <c r="H2992" s="78" t="str">
        <f t="shared" si="466"/>
        <v/>
      </c>
      <c r="I2992" s="25"/>
      <c r="J2992" s="25"/>
      <c r="K2992" s="26"/>
      <c r="L2992" s="26"/>
      <c r="M2992" s="37"/>
      <c r="N2992" s="27"/>
      <c r="O2992" s="30"/>
      <c r="P2992" s="39" t="str">
        <f t="shared" si="467"/>
        <v/>
      </c>
      <c r="Q2992" s="40" t="str">
        <f>IF(OR(T2992=0,RIGHT(T2992,1)=$W$1),"",COUNTIF($T$3:T2992,T2992))</f>
        <v/>
      </c>
      <c r="S2992" s="6">
        <f t="shared" si="468"/>
        <v>0</v>
      </c>
      <c r="T2992" s="36">
        <f t="shared" si="469"/>
        <v>0</v>
      </c>
      <c r="V2992" s="6">
        <f t="shared" si="470"/>
        <v>0</v>
      </c>
      <c r="Y2992" s="8">
        <f t="shared" si="471"/>
        <v>46023</v>
      </c>
    </row>
    <row r="2993" spans="2:25" ht="18.75" x14ac:dyDescent="0.3">
      <c r="B2993" s="6">
        <f t="shared" si="463"/>
        <v>0</v>
      </c>
      <c r="C2993" s="6">
        <f t="shared" si="464"/>
        <v>0</v>
      </c>
      <c r="D2993" s="6" t="str">
        <f t="shared" si="465"/>
        <v/>
      </c>
      <c r="E2993" s="35" t="str">
        <f t="shared" si="462"/>
        <v/>
      </c>
      <c r="F2993" s="31"/>
      <c r="G2993" s="29"/>
      <c r="H2993" s="78" t="str">
        <f t="shared" si="466"/>
        <v/>
      </c>
      <c r="I2993" s="25"/>
      <c r="J2993" s="25"/>
      <c r="K2993" s="26"/>
      <c r="L2993" s="26"/>
      <c r="M2993" s="37"/>
      <c r="N2993" s="27"/>
      <c r="O2993" s="30"/>
      <c r="P2993" s="39" t="str">
        <f t="shared" si="467"/>
        <v/>
      </c>
      <c r="Q2993" s="40" t="str">
        <f>IF(OR(T2993=0,RIGHT(T2993,1)=$W$1),"",COUNTIF($T$3:T2993,T2993))</f>
        <v/>
      </c>
      <c r="S2993" s="6">
        <f t="shared" si="468"/>
        <v>0</v>
      </c>
      <c r="T2993" s="36">
        <f t="shared" si="469"/>
        <v>0</v>
      </c>
      <c r="V2993" s="6">
        <f t="shared" si="470"/>
        <v>0</v>
      </c>
      <c r="Y2993" s="8">
        <f t="shared" si="471"/>
        <v>46023</v>
      </c>
    </row>
    <row r="2994" spans="2:25" ht="18.75" x14ac:dyDescent="0.3">
      <c r="B2994" s="6">
        <f t="shared" si="463"/>
        <v>0</v>
      </c>
      <c r="C2994" s="6">
        <f t="shared" si="464"/>
        <v>0</v>
      </c>
      <c r="D2994" s="6" t="str">
        <f t="shared" si="465"/>
        <v/>
      </c>
      <c r="E2994" s="35" t="str">
        <f t="shared" si="462"/>
        <v/>
      </c>
      <c r="F2994" s="31"/>
      <c r="G2994" s="29"/>
      <c r="H2994" s="78" t="str">
        <f t="shared" si="466"/>
        <v/>
      </c>
      <c r="I2994" s="25"/>
      <c r="J2994" s="25"/>
      <c r="K2994" s="26"/>
      <c r="L2994" s="26"/>
      <c r="M2994" s="37"/>
      <c r="N2994" s="27"/>
      <c r="O2994" s="30"/>
      <c r="P2994" s="39" t="str">
        <f t="shared" si="467"/>
        <v/>
      </c>
      <c r="Q2994" s="40" t="str">
        <f>IF(OR(T2994=0,RIGHT(T2994,1)=$W$1),"",COUNTIF($T$3:T2994,T2994))</f>
        <v/>
      </c>
      <c r="S2994" s="6">
        <f t="shared" si="468"/>
        <v>0</v>
      </c>
      <c r="T2994" s="36">
        <f t="shared" si="469"/>
        <v>0</v>
      </c>
      <c r="V2994" s="6">
        <f t="shared" si="470"/>
        <v>0</v>
      </c>
      <c r="Y2994" s="8">
        <f t="shared" si="471"/>
        <v>46023</v>
      </c>
    </row>
    <row r="2995" spans="2:25" ht="18.75" x14ac:dyDescent="0.3">
      <c r="B2995" s="6">
        <f t="shared" si="463"/>
        <v>0</v>
      </c>
      <c r="C2995" s="6">
        <f t="shared" si="464"/>
        <v>0</v>
      </c>
      <c r="D2995" s="6" t="str">
        <f t="shared" si="465"/>
        <v/>
      </c>
      <c r="E2995" s="35" t="str">
        <f t="shared" si="462"/>
        <v/>
      </c>
      <c r="F2995" s="31"/>
      <c r="G2995" s="29"/>
      <c r="H2995" s="78" t="str">
        <f t="shared" si="466"/>
        <v/>
      </c>
      <c r="I2995" s="25"/>
      <c r="J2995" s="25"/>
      <c r="K2995" s="26"/>
      <c r="L2995" s="26"/>
      <c r="M2995" s="37"/>
      <c r="N2995" s="27"/>
      <c r="O2995" s="30"/>
      <c r="P2995" s="39" t="str">
        <f t="shared" si="467"/>
        <v/>
      </c>
      <c r="Q2995" s="40" t="str">
        <f>IF(OR(T2995=0,RIGHT(T2995,1)=$W$1),"",COUNTIF($T$3:T2995,T2995))</f>
        <v/>
      </c>
      <c r="S2995" s="6">
        <f t="shared" si="468"/>
        <v>0</v>
      </c>
      <c r="T2995" s="36">
        <f t="shared" si="469"/>
        <v>0</v>
      </c>
      <c r="V2995" s="6">
        <f t="shared" si="470"/>
        <v>0</v>
      </c>
      <c r="Y2995" s="8">
        <f t="shared" si="471"/>
        <v>46023</v>
      </c>
    </row>
    <row r="2996" spans="2:25" ht="18.75" x14ac:dyDescent="0.3">
      <c r="B2996" s="6">
        <f t="shared" si="463"/>
        <v>0</v>
      </c>
      <c r="C2996" s="6">
        <f t="shared" si="464"/>
        <v>0</v>
      </c>
      <c r="D2996" s="6" t="str">
        <f t="shared" si="465"/>
        <v/>
      </c>
      <c r="E2996" s="35" t="str">
        <f t="shared" si="462"/>
        <v/>
      </c>
      <c r="F2996" s="31"/>
      <c r="G2996" s="29"/>
      <c r="H2996" s="78" t="str">
        <f t="shared" si="466"/>
        <v/>
      </c>
      <c r="I2996" s="25"/>
      <c r="J2996" s="25"/>
      <c r="K2996" s="26"/>
      <c r="L2996" s="26"/>
      <c r="M2996" s="37"/>
      <c r="N2996" s="27"/>
      <c r="O2996" s="30"/>
      <c r="P2996" s="39" t="str">
        <f t="shared" si="467"/>
        <v/>
      </c>
      <c r="Q2996" s="40" t="str">
        <f>IF(OR(T2996=0,RIGHT(T2996,1)=$W$1),"",COUNTIF($T$3:T2996,T2996))</f>
        <v/>
      </c>
      <c r="S2996" s="6">
        <f t="shared" si="468"/>
        <v>0</v>
      </c>
      <c r="T2996" s="36">
        <f t="shared" si="469"/>
        <v>0</v>
      </c>
      <c r="V2996" s="6">
        <f t="shared" si="470"/>
        <v>0</v>
      </c>
      <c r="Y2996" s="8">
        <f t="shared" si="471"/>
        <v>46023</v>
      </c>
    </row>
    <row r="2997" spans="2:25" ht="18.75" x14ac:dyDescent="0.3">
      <c r="B2997" s="6">
        <f t="shared" si="463"/>
        <v>0</v>
      </c>
      <c r="C2997" s="6">
        <f t="shared" si="464"/>
        <v>0</v>
      </c>
      <c r="D2997" s="6" t="str">
        <f t="shared" si="465"/>
        <v/>
      </c>
      <c r="E2997" s="35" t="str">
        <f t="shared" si="462"/>
        <v/>
      </c>
      <c r="F2997" s="31"/>
      <c r="G2997" s="29"/>
      <c r="H2997" s="78" t="str">
        <f t="shared" si="466"/>
        <v/>
      </c>
      <c r="I2997" s="25"/>
      <c r="J2997" s="25"/>
      <c r="K2997" s="26"/>
      <c r="L2997" s="26"/>
      <c r="M2997" s="37"/>
      <c r="N2997" s="27"/>
      <c r="O2997" s="30"/>
      <c r="P2997" s="39" t="str">
        <f t="shared" si="467"/>
        <v/>
      </c>
      <c r="Q2997" s="40" t="str">
        <f>IF(OR(T2997=0,RIGHT(T2997,1)=$W$1),"",COUNTIF($T$3:T2997,T2997))</f>
        <v/>
      </c>
      <c r="S2997" s="6">
        <f t="shared" si="468"/>
        <v>0</v>
      </c>
      <c r="T2997" s="36">
        <f t="shared" si="469"/>
        <v>0</v>
      </c>
      <c r="V2997" s="6">
        <f t="shared" si="470"/>
        <v>0</v>
      </c>
      <c r="Y2997" s="8">
        <f t="shared" si="471"/>
        <v>46023</v>
      </c>
    </row>
    <row r="2998" spans="2:25" ht="18.75" x14ac:dyDescent="0.3">
      <c r="B2998" s="6">
        <f t="shared" si="463"/>
        <v>0</v>
      </c>
      <c r="C2998" s="6">
        <f t="shared" si="464"/>
        <v>0</v>
      </c>
      <c r="D2998" s="6" t="str">
        <f t="shared" si="465"/>
        <v/>
      </c>
      <c r="E2998" s="35" t="str">
        <f t="shared" si="462"/>
        <v/>
      </c>
      <c r="F2998" s="31"/>
      <c r="G2998" s="29"/>
      <c r="H2998" s="78" t="str">
        <f t="shared" si="466"/>
        <v/>
      </c>
      <c r="I2998" s="25"/>
      <c r="J2998" s="25"/>
      <c r="K2998" s="26"/>
      <c r="L2998" s="26"/>
      <c r="M2998" s="37"/>
      <c r="N2998" s="27"/>
      <c r="O2998" s="30"/>
      <c r="P2998" s="39" t="str">
        <f t="shared" si="467"/>
        <v/>
      </c>
      <c r="Q2998" s="40" t="str">
        <f>IF(OR(T2998=0,RIGHT(T2998,1)=$W$1),"",COUNTIF($T$3:T2998,T2998))</f>
        <v/>
      </c>
      <c r="S2998" s="6">
        <f t="shared" si="468"/>
        <v>0</v>
      </c>
      <c r="T2998" s="36">
        <f t="shared" si="469"/>
        <v>0</v>
      </c>
      <c r="V2998" s="6">
        <f t="shared" si="470"/>
        <v>0</v>
      </c>
      <c r="Y2998" s="8">
        <f t="shared" si="471"/>
        <v>46023</v>
      </c>
    </row>
    <row r="2999" spans="2:25" ht="18.75" x14ac:dyDescent="0.3">
      <c r="B2999" s="6">
        <f t="shared" si="463"/>
        <v>0</v>
      </c>
      <c r="C2999" s="6">
        <f t="shared" si="464"/>
        <v>0</v>
      </c>
      <c r="D2999" s="6" t="str">
        <f t="shared" si="465"/>
        <v/>
      </c>
      <c r="E2999" s="35" t="str">
        <f t="shared" si="462"/>
        <v/>
      </c>
      <c r="F2999" s="31"/>
      <c r="G2999" s="29"/>
      <c r="H2999" s="78" t="str">
        <f t="shared" si="466"/>
        <v/>
      </c>
      <c r="I2999" s="25"/>
      <c r="J2999" s="25"/>
      <c r="K2999" s="26"/>
      <c r="L2999" s="26"/>
      <c r="M2999" s="37"/>
      <c r="N2999" s="27"/>
      <c r="O2999" s="30"/>
      <c r="P2999" s="39" t="str">
        <f t="shared" si="467"/>
        <v/>
      </c>
      <c r="Q2999" s="40" t="str">
        <f>IF(OR(T2999=0,RIGHT(T2999,1)=$W$1),"",COUNTIF($T$3:T2999,T2999))</f>
        <v/>
      </c>
      <c r="S2999" s="6">
        <f t="shared" si="468"/>
        <v>0</v>
      </c>
      <c r="T2999" s="36">
        <f t="shared" si="469"/>
        <v>0</v>
      </c>
      <c r="V2999" s="6">
        <f t="shared" si="470"/>
        <v>0</v>
      </c>
      <c r="Y2999" s="8">
        <f t="shared" si="471"/>
        <v>46023</v>
      </c>
    </row>
    <row r="3000" spans="2:25" ht="18.75" x14ac:dyDescent="0.3">
      <c r="B3000" s="6">
        <f t="shared" si="463"/>
        <v>0</v>
      </c>
      <c r="C3000" s="6">
        <f t="shared" si="464"/>
        <v>0</v>
      </c>
      <c r="D3000" s="6" t="str">
        <f t="shared" si="465"/>
        <v/>
      </c>
      <c r="E3000" s="35" t="str">
        <f t="shared" si="462"/>
        <v/>
      </c>
      <c r="F3000" s="31"/>
      <c r="G3000" s="29"/>
      <c r="H3000" s="78" t="str">
        <f t="shared" si="466"/>
        <v/>
      </c>
      <c r="I3000" s="25"/>
      <c r="J3000" s="25"/>
      <c r="K3000" s="26"/>
      <c r="L3000" s="26"/>
      <c r="M3000" s="37"/>
      <c r="N3000" s="27"/>
      <c r="O3000" s="30"/>
      <c r="P3000" s="39" t="str">
        <f t="shared" si="467"/>
        <v/>
      </c>
      <c r="Q3000" s="40" t="str">
        <f>IF(OR(T3000=0,RIGHT(T3000,1)=$W$1),"",COUNTIF($T$3:T3000,T3000))</f>
        <v/>
      </c>
      <c r="S3000" s="6">
        <f t="shared" si="468"/>
        <v>0</v>
      </c>
      <c r="T3000" s="36">
        <f t="shared" si="469"/>
        <v>0</v>
      </c>
      <c r="V3000" s="6">
        <f t="shared" si="470"/>
        <v>0</v>
      </c>
      <c r="Y3000" s="8">
        <f t="shared" si="471"/>
        <v>46023</v>
      </c>
    </row>
    <row r="3001" spans="2:25" ht="18.75" x14ac:dyDescent="0.3">
      <c r="B3001" s="6">
        <f t="shared" si="463"/>
        <v>0</v>
      </c>
      <c r="C3001" s="6">
        <f t="shared" si="464"/>
        <v>0</v>
      </c>
      <c r="D3001" s="6" t="str">
        <f t="shared" si="465"/>
        <v/>
      </c>
      <c r="E3001" s="35" t="str">
        <f t="shared" si="462"/>
        <v/>
      </c>
      <c r="F3001" s="31"/>
      <c r="G3001" s="29"/>
      <c r="H3001" s="78" t="str">
        <f t="shared" si="466"/>
        <v/>
      </c>
      <c r="I3001" s="25"/>
      <c r="J3001" s="25"/>
      <c r="K3001" s="26"/>
      <c r="L3001" s="26"/>
      <c r="M3001" s="37"/>
      <c r="N3001" s="27"/>
      <c r="O3001" s="30"/>
      <c r="P3001" s="39" t="str">
        <f t="shared" si="467"/>
        <v/>
      </c>
      <c r="Q3001" s="40" t="str">
        <f>IF(OR(T3001=0,RIGHT(T3001,1)=$W$1),"",COUNTIF($T$3:T3001,T3001))</f>
        <v/>
      </c>
      <c r="S3001" s="6">
        <f t="shared" si="468"/>
        <v>0</v>
      </c>
      <c r="T3001" s="36">
        <f t="shared" si="469"/>
        <v>0</v>
      </c>
      <c r="V3001" s="6">
        <f t="shared" si="470"/>
        <v>0</v>
      </c>
      <c r="Y3001" s="8">
        <f t="shared" si="471"/>
        <v>46023</v>
      </c>
    </row>
    <row r="3002" spans="2:25" ht="18.75" x14ac:dyDescent="0.3">
      <c r="B3002" s="6">
        <f t="shared" si="463"/>
        <v>0</v>
      </c>
      <c r="C3002" s="6">
        <f t="shared" si="464"/>
        <v>0</v>
      </c>
      <c r="D3002" s="6" t="str">
        <f t="shared" si="465"/>
        <v/>
      </c>
      <c r="E3002" s="35" t="str">
        <f t="shared" si="462"/>
        <v/>
      </c>
      <c r="F3002" s="31"/>
      <c r="G3002" s="29"/>
      <c r="H3002" s="78" t="str">
        <f t="shared" si="466"/>
        <v/>
      </c>
      <c r="I3002" s="25"/>
      <c r="J3002" s="25"/>
      <c r="K3002" s="26"/>
      <c r="L3002" s="26"/>
      <c r="M3002" s="37"/>
      <c r="N3002" s="27"/>
      <c r="O3002" s="30"/>
      <c r="P3002" s="39" t="str">
        <f t="shared" si="467"/>
        <v/>
      </c>
      <c r="Q3002" s="40" t="str">
        <f>IF(OR(T3002=0,RIGHT(T3002,1)=$W$1),"",COUNTIF($T$3:T3002,T3002))</f>
        <v/>
      </c>
      <c r="S3002" s="6">
        <f t="shared" si="468"/>
        <v>0</v>
      </c>
      <c r="T3002" s="36">
        <f t="shared" si="469"/>
        <v>0</v>
      </c>
      <c r="V3002" s="6">
        <f t="shared" si="470"/>
        <v>0</v>
      </c>
      <c r="Y3002" s="8">
        <f t="shared" si="471"/>
        <v>46023</v>
      </c>
    </row>
    <row r="3003" spans="2:25" ht="18.75" x14ac:dyDescent="0.3">
      <c r="B3003" s="6">
        <f t="shared" si="463"/>
        <v>0</v>
      </c>
      <c r="C3003" s="6">
        <f t="shared" si="464"/>
        <v>0</v>
      </c>
      <c r="D3003" s="6" t="str">
        <f t="shared" si="465"/>
        <v/>
      </c>
      <c r="E3003" s="35" t="str">
        <f t="shared" si="462"/>
        <v/>
      </c>
      <c r="F3003" s="31"/>
      <c r="G3003" s="29"/>
      <c r="H3003" s="78" t="str">
        <f t="shared" si="466"/>
        <v/>
      </c>
      <c r="I3003" s="25"/>
      <c r="J3003" s="25"/>
      <c r="K3003" s="26"/>
      <c r="L3003" s="26"/>
      <c r="M3003" s="37"/>
      <c r="N3003" s="27"/>
      <c r="O3003" s="30"/>
      <c r="P3003" s="39" t="str">
        <f t="shared" si="467"/>
        <v/>
      </c>
      <c r="Q3003" s="40" t="str">
        <f>IF(OR(T3003=0,RIGHT(T3003,1)=$W$1),"",COUNTIF($T$3:T3003,T3003))</f>
        <v/>
      </c>
      <c r="S3003" s="6">
        <f t="shared" si="468"/>
        <v>0</v>
      </c>
      <c r="T3003" s="36">
        <f t="shared" si="469"/>
        <v>0</v>
      </c>
      <c r="V3003" s="6">
        <f t="shared" si="470"/>
        <v>0</v>
      </c>
      <c r="Y3003" s="8">
        <f t="shared" si="471"/>
        <v>46023</v>
      </c>
    </row>
    <row r="3004" spans="2:25" ht="18.75" x14ac:dyDescent="0.3">
      <c r="B3004" s="6">
        <f t="shared" si="463"/>
        <v>0</v>
      </c>
      <c r="C3004" s="6">
        <f t="shared" si="464"/>
        <v>0</v>
      </c>
      <c r="D3004" s="6" t="str">
        <f t="shared" si="465"/>
        <v/>
      </c>
      <c r="E3004" s="35" t="str">
        <f t="shared" si="462"/>
        <v/>
      </c>
      <c r="F3004" s="31"/>
      <c r="G3004" s="29"/>
      <c r="H3004" s="78" t="str">
        <f t="shared" si="466"/>
        <v/>
      </c>
      <c r="I3004" s="25"/>
      <c r="J3004" s="25"/>
      <c r="K3004" s="26"/>
      <c r="L3004" s="26"/>
      <c r="M3004" s="37"/>
      <c r="N3004" s="27"/>
      <c r="O3004" s="30"/>
      <c r="P3004" s="39" t="str">
        <f t="shared" si="467"/>
        <v/>
      </c>
      <c r="Q3004" s="40" t="str">
        <f>IF(OR(T3004=0,RIGHT(T3004,1)=$W$1),"",COUNTIF($T$3:T3004,T3004))</f>
        <v/>
      </c>
      <c r="S3004" s="6">
        <f t="shared" si="468"/>
        <v>0</v>
      </c>
      <c r="T3004" s="36">
        <f t="shared" si="469"/>
        <v>0</v>
      </c>
      <c r="V3004" s="6">
        <f t="shared" si="470"/>
        <v>0</v>
      </c>
      <c r="Y3004" s="8">
        <f t="shared" si="471"/>
        <v>46023</v>
      </c>
    </row>
    <row r="3005" spans="2:25" ht="18.75" x14ac:dyDescent="0.3">
      <c r="B3005" s="6">
        <f t="shared" si="463"/>
        <v>0</v>
      </c>
      <c r="C3005" s="6">
        <f t="shared" si="464"/>
        <v>0</v>
      </c>
      <c r="D3005" s="6" t="str">
        <f t="shared" si="465"/>
        <v/>
      </c>
      <c r="E3005" s="35" t="str">
        <f t="shared" si="462"/>
        <v/>
      </c>
      <c r="F3005" s="31"/>
      <c r="G3005" s="29"/>
      <c r="H3005" s="78" t="str">
        <f t="shared" si="466"/>
        <v/>
      </c>
      <c r="I3005" s="25"/>
      <c r="J3005" s="25"/>
      <c r="K3005" s="26"/>
      <c r="L3005" s="26"/>
      <c r="M3005" s="37"/>
      <c r="N3005" s="27"/>
      <c r="O3005" s="30"/>
      <c r="P3005" s="39" t="str">
        <f t="shared" si="467"/>
        <v/>
      </c>
      <c r="Q3005" s="40" t="str">
        <f>IF(OR(T3005=0,RIGHT(T3005,1)=$W$1),"",COUNTIF($T$3:T3005,T3005))</f>
        <v/>
      </c>
      <c r="S3005" s="6">
        <f t="shared" si="468"/>
        <v>0</v>
      </c>
      <c r="T3005" s="36">
        <f t="shared" si="469"/>
        <v>0</v>
      </c>
      <c r="V3005" s="6">
        <f t="shared" si="470"/>
        <v>0</v>
      </c>
      <c r="Y3005" s="8">
        <f t="shared" si="471"/>
        <v>46023</v>
      </c>
    </row>
    <row r="3006" spans="2:25" ht="18.75" x14ac:dyDescent="0.3">
      <c r="B3006" s="6">
        <f t="shared" si="463"/>
        <v>0</v>
      </c>
      <c r="C3006" s="6">
        <f t="shared" si="464"/>
        <v>0</v>
      </c>
      <c r="D3006" s="6" t="str">
        <f t="shared" si="465"/>
        <v/>
      </c>
      <c r="E3006" s="35" t="str">
        <f t="shared" si="462"/>
        <v/>
      </c>
      <c r="F3006" s="31"/>
      <c r="G3006" s="29"/>
      <c r="H3006" s="78" t="str">
        <f t="shared" si="466"/>
        <v/>
      </c>
      <c r="I3006" s="25"/>
      <c r="J3006" s="25"/>
      <c r="K3006" s="26"/>
      <c r="L3006" s="26"/>
      <c r="M3006" s="37"/>
      <c r="N3006" s="27"/>
      <c r="O3006" s="30"/>
      <c r="P3006" s="39" t="str">
        <f t="shared" si="467"/>
        <v/>
      </c>
      <c r="Q3006" s="40" t="str">
        <f>IF(OR(T3006=0,RIGHT(T3006,1)=$W$1),"",COUNTIF($T$3:T3006,T3006))</f>
        <v/>
      </c>
      <c r="S3006" s="6">
        <f t="shared" si="468"/>
        <v>0</v>
      </c>
      <c r="T3006" s="36">
        <f t="shared" si="469"/>
        <v>0</v>
      </c>
      <c r="V3006" s="6">
        <f t="shared" si="470"/>
        <v>0</v>
      </c>
      <c r="Y3006" s="8">
        <f t="shared" si="471"/>
        <v>46023</v>
      </c>
    </row>
    <row r="3007" spans="2:25" ht="18.75" x14ac:dyDescent="0.3">
      <c r="B3007" s="6">
        <f t="shared" si="463"/>
        <v>0</v>
      </c>
      <c r="C3007" s="6">
        <f t="shared" si="464"/>
        <v>0</v>
      </c>
      <c r="D3007" s="6" t="str">
        <f t="shared" si="465"/>
        <v/>
      </c>
      <c r="E3007" s="35" t="str">
        <f t="shared" si="462"/>
        <v/>
      </c>
      <c r="F3007" s="31"/>
      <c r="G3007" s="29"/>
      <c r="H3007" s="78" t="str">
        <f t="shared" si="466"/>
        <v/>
      </c>
      <c r="I3007" s="25"/>
      <c r="J3007" s="25"/>
      <c r="K3007" s="26"/>
      <c r="L3007" s="26"/>
      <c r="M3007" s="37"/>
      <c r="N3007" s="27"/>
      <c r="O3007" s="30"/>
      <c r="P3007" s="39" t="str">
        <f t="shared" si="467"/>
        <v/>
      </c>
      <c r="Q3007" s="40" t="str">
        <f>IF(OR(T3007=0,RIGHT(T3007,1)=$W$1),"",COUNTIF($T$3:T3007,T3007))</f>
        <v/>
      </c>
      <c r="S3007" s="6">
        <f t="shared" si="468"/>
        <v>0</v>
      </c>
      <c r="T3007" s="36">
        <f t="shared" si="469"/>
        <v>0</v>
      </c>
      <c r="V3007" s="6">
        <f t="shared" si="470"/>
        <v>0</v>
      </c>
      <c r="Y3007" s="8">
        <f t="shared" si="471"/>
        <v>46023</v>
      </c>
    </row>
    <row r="3008" spans="2:25" ht="18.75" x14ac:dyDescent="0.3">
      <c r="B3008" s="6">
        <f t="shared" si="463"/>
        <v>0</v>
      </c>
      <c r="C3008" s="6">
        <f t="shared" si="464"/>
        <v>0</v>
      </c>
      <c r="D3008" s="6" t="str">
        <f t="shared" si="465"/>
        <v/>
      </c>
      <c r="E3008" s="35" t="str">
        <f t="shared" si="462"/>
        <v/>
      </c>
      <c r="F3008" s="31"/>
      <c r="G3008" s="29"/>
      <c r="H3008" s="78" t="str">
        <f t="shared" si="466"/>
        <v/>
      </c>
      <c r="I3008" s="25"/>
      <c r="J3008" s="25"/>
      <c r="K3008" s="26"/>
      <c r="L3008" s="26"/>
      <c r="M3008" s="37"/>
      <c r="N3008" s="27"/>
      <c r="O3008" s="30"/>
      <c r="P3008" s="39" t="str">
        <f t="shared" si="467"/>
        <v/>
      </c>
      <c r="Q3008" s="40" t="str">
        <f>IF(OR(T3008=0,RIGHT(T3008,1)=$W$1),"",COUNTIF($T$3:T3008,T3008))</f>
        <v/>
      </c>
      <c r="S3008" s="6">
        <f t="shared" si="468"/>
        <v>0</v>
      </c>
      <c r="T3008" s="36">
        <f t="shared" si="469"/>
        <v>0</v>
      </c>
      <c r="V3008" s="6">
        <f t="shared" si="470"/>
        <v>0</v>
      </c>
      <c r="Y3008" s="8">
        <f t="shared" si="471"/>
        <v>46023</v>
      </c>
    </row>
    <row r="3009" spans="2:25" ht="18.75" x14ac:dyDescent="0.3">
      <c r="B3009" s="6">
        <f t="shared" si="463"/>
        <v>0</v>
      </c>
      <c r="C3009" s="6">
        <f t="shared" si="464"/>
        <v>0</v>
      </c>
      <c r="D3009" s="6" t="str">
        <f t="shared" si="465"/>
        <v/>
      </c>
      <c r="E3009" s="35" t="str">
        <f t="shared" si="462"/>
        <v/>
      </c>
      <c r="F3009" s="31"/>
      <c r="G3009" s="29"/>
      <c r="H3009" s="78" t="str">
        <f t="shared" si="466"/>
        <v/>
      </c>
      <c r="I3009" s="25"/>
      <c r="J3009" s="25"/>
      <c r="K3009" s="26"/>
      <c r="L3009" s="26"/>
      <c r="M3009" s="37"/>
      <c r="N3009" s="27"/>
      <c r="O3009" s="30"/>
      <c r="P3009" s="39" t="str">
        <f t="shared" si="467"/>
        <v/>
      </c>
      <c r="Q3009" s="40" t="str">
        <f>IF(OR(T3009=0,RIGHT(T3009,1)=$W$1),"",COUNTIF($T$3:T3009,T3009))</f>
        <v/>
      </c>
      <c r="S3009" s="6">
        <f t="shared" si="468"/>
        <v>0</v>
      </c>
      <c r="T3009" s="36">
        <f t="shared" si="469"/>
        <v>0</v>
      </c>
      <c r="V3009" s="6">
        <f t="shared" si="470"/>
        <v>0</v>
      </c>
      <c r="Y3009" s="8">
        <f t="shared" si="471"/>
        <v>46023</v>
      </c>
    </row>
    <row r="3010" spans="2:25" ht="18.75" x14ac:dyDescent="0.3">
      <c r="B3010" s="6">
        <f t="shared" si="463"/>
        <v>0</v>
      </c>
      <c r="C3010" s="6">
        <f t="shared" si="464"/>
        <v>0</v>
      </c>
      <c r="D3010" s="6" t="str">
        <f t="shared" si="465"/>
        <v/>
      </c>
      <c r="E3010" s="35" t="str">
        <f t="shared" si="462"/>
        <v/>
      </c>
      <c r="F3010" s="31"/>
      <c r="G3010" s="29"/>
      <c r="H3010" s="78" t="str">
        <f t="shared" si="466"/>
        <v/>
      </c>
      <c r="I3010" s="25"/>
      <c r="J3010" s="25"/>
      <c r="K3010" s="26"/>
      <c r="L3010" s="26"/>
      <c r="M3010" s="37"/>
      <c r="N3010" s="27"/>
      <c r="O3010" s="30"/>
      <c r="P3010" s="39" t="str">
        <f t="shared" si="467"/>
        <v/>
      </c>
      <c r="Q3010" s="40" t="str">
        <f>IF(OR(T3010=0,RIGHT(T3010,1)=$W$1),"",COUNTIF($T$3:T3010,T3010))</f>
        <v/>
      </c>
      <c r="S3010" s="6">
        <f t="shared" si="468"/>
        <v>0</v>
      </c>
      <c r="T3010" s="36">
        <f t="shared" si="469"/>
        <v>0</v>
      </c>
      <c r="V3010" s="6">
        <f t="shared" si="470"/>
        <v>0</v>
      </c>
      <c r="Y3010" s="8">
        <f t="shared" si="471"/>
        <v>46023</v>
      </c>
    </row>
    <row r="3011" spans="2:25" ht="18.75" x14ac:dyDescent="0.3">
      <c r="B3011" s="6">
        <f t="shared" si="463"/>
        <v>0</v>
      </c>
      <c r="C3011" s="6">
        <f t="shared" si="464"/>
        <v>0</v>
      </c>
      <c r="D3011" s="6" t="str">
        <f t="shared" si="465"/>
        <v/>
      </c>
      <c r="E3011" s="35" t="str">
        <f t="shared" ref="E3011:E3074" si="472">IF(D3011&lt;&gt;"",D3011&amp;" - "&amp;YEAR(F3011),"")</f>
        <v/>
      </c>
      <c r="F3011" s="31"/>
      <c r="G3011" s="29"/>
      <c r="H3011" s="78" t="str">
        <f t="shared" si="466"/>
        <v/>
      </c>
      <c r="I3011" s="25"/>
      <c r="J3011" s="25"/>
      <c r="K3011" s="26"/>
      <c r="L3011" s="26"/>
      <c r="M3011" s="37"/>
      <c r="N3011" s="27"/>
      <c r="O3011" s="30"/>
      <c r="P3011" s="39" t="str">
        <f t="shared" si="467"/>
        <v/>
      </c>
      <c r="Q3011" s="40" t="str">
        <f>IF(OR(T3011=0,RIGHT(T3011,1)=$W$1),"",COUNTIF($T$3:T3011,T3011))</f>
        <v/>
      </c>
      <c r="S3011" s="6">
        <f t="shared" si="468"/>
        <v>0</v>
      </c>
      <c r="T3011" s="36">
        <f t="shared" si="469"/>
        <v>0</v>
      </c>
      <c r="V3011" s="6">
        <f t="shared" si="470"/>
        <v>0</v>
      </c>
      <c r="Y3011" s="8">
        <f t="shared" si="471"/>
        <v>46023</v>
      </c>
    </row>
    <row r="3012" spans="2:25" ht="18.75" x14ac:dyDescent="0.3">
      <c r="B3012" s="6">
        <f t="shared" ref="B3012:B3075" si="473">IF($B$1=YEAR(F3012),B3011+1,B3011)</f>
        <v>0</v>
      </c>
      <c r="C3012" s="6">
        <f t="shared" ref="C3012:C3075" si="474">IF(AND($C$1=K3012,$Y$1=YEAR(F3012)),C3011+1,C3011)</f>
        <v>0</v>
      </c>
      <c r="D3012" s="6" t="str">
        <f t="shared" ref="D3012:D3075" si="475">IF(F3012&lt;&gt;0,IF(YEAR(F3012)&lt;&gt;YEAR(F3011),1,IF(M3012=$AI$1,D3011,D3011+1)),"")</f>
        <v/>
      </c>
      <c r="E3012" s="35" t="str">
        <f t="shared" si="472"/>
        <v/>
      </c>
      <c r="F3012" s="31"/>
      <c r="G3012" s="29"/>
      <c r="H3012" s="78" t="str">
        <f t="shared" ref="H3012:H3075" si="476">IF(G3012&lt;&gt;"",F3012,"")</f>
        <v/>
      </c>
      <c r="I3012" s="25"/>
      <c r="J3012" s="25"/>
      <c r="K3012" s="26"/>
      <c r="L3012" s="26"/>
      <c r="M3012" s="37"/>
      <c r="N3012" s="27"/>
      <c r="O3012" s="30"/>
      <c r="P3012" s="39" t="str">
        <f t="shared" ref="P3012:P3075" si="477">IF(OR(T3012=0,RIGHT(T3012,1)=$W$1),"",VLOOKUP(K3012,$AD$1:$AK$15,5,FALSE))</f>
        <v/>
      </c>
      <c r="Q3012" s="40" t="str">
        <f>IF(OR(T3012=0,RIGHT(T3012,1)=$W$1),"",COUNTIF($T$3:T3012,T3012))</f>
        <v/>
      </c>
      <c r="S3012" s="6">
        <f t="shared" ref="S3012:S3075" si="478">IF(AND($C$1=K3012,$Y$1=YEAR(F3012)),C3012,0)</f>
        <v>0</v>
      </c>
      <c r="T3012" s="36">
        <f t="shared" ref="T3012:T3075" si="479">IF(F3012=0,0,YEAR(F3012)&amp;VLOOKUP(K3012,$AD$1:$AE$15,2,FALSE))</f>
        <v>0</v>
      </c>
      <c r="V3012" s="6">
        <f t="shared" ref="V3012:V3075" si="480">IF(AND(YEAR(F3012)=$Y$1,K3012=$C$1,L3012&amp;$V$1&lt;&gt;$V$1),L3012,IF(AND(YEAR(F3012)=$Y$1,K3012=$C$1),1,0))</f>
        <v>0</v>
      </c>
      <c r="Y3012" s="8">
        <f t="shared" ref="Y3012:Y3075" si="481">IF(M3012&lt;&gt;$AI$1,$Y$2,F3011)</f>
        <v>46023</v>
      </c>
    </row>
    <row r="3013" spans="2:25" ht="18.75" x14ac:dyDescent="0.3">
      <c r="B3013" s="6">
        <f t="shared" si="473"/>
        <v>0</v>
      </c>
      <c r="C3013" s="6">
        <f t="shared" si="474"/>
        <v>0</v>
      </c>
      <c r="D3013" s="6" t="str">
        <f t="shared" si="475"/>
        <v/>
      </c>
      <c r="E3013" s="35" t="str">
        <f t="shared" si="472"/>
        <v/>
      </c>
      <c r="F3013" s="31"/>
      <c r="G3013" s="29"/>
      <c r="H3013" s="78" t="str">
        <f t="shared" si="476"/>
        <v/>
      </c>
      <c r="I3013" s="25"/>
      <c r="J3013" s="25"/>
      <c r="K3013" s="26"/>
      <c r="L3013" s="26"/>
      <c r="M3013" s="37"/>
      <c r="N3013" s="27"/>
      <c r="O3013" s="30"/>
      <c r="P3013" s="39" t="str">
        <f t="shared" si="477"/>
        <v/>
      </c>
      <c r="Q3013" s="40" t="str">
        <f>IF(OR(T3013=0,RIGHT(T3013,1)=$W$1),"",COUNTIF($T$3:T3013,T3013))</f>
        <v/>
      </c>
      <c r="S3013" s="6">
        <f t="shared" si="478"/>
        <v>0</v>
      </c>
      <c r="T3013" s="36">
        <f t="shared" si="479"/>
        <v>0</v>
      </c>
      <c r="V3013" s="6">
        <f t="shared" si="480"/>
        <v>0</v>
      </c>
      <c r="Y3013" s="8">
        <f t="shared" si="481"/>
        <v>46023</v>
      </c>
    </row>
    <row r="3014" spans="2:25" ht="18.75" x14ac:dyDescent="0.3">
      <c r="B3014" s="6">
        <f t="shared" si="473"/>
        <v>0</v>
      </c>
      <c r="C3014" s="6">
        <f t="shared" si="474"/>
        <v>0</v>
      </c>
      <c r="D3014" s="6" t="str">
        <f t="shared" si="475"/>
        <v/>
      </c>
      <c r="E3014" s="35" t="str">
        <f t="shared" si="472"/>
        <v/>
      </c>
      <c r="F3014" s="31"/>
      <c r="G3014" s="29"/>
      <c r="H3014" s="78" t="str">
        <f t="shared" si="476"/>
        <v/>
      </c>
      <c r="I3014" s="25"/>
      <c r="J3014" s="25"/>
      <c r="K3014" s="26"/>
      <c r="L3014" s="26"/>
      <c r="M3014" s="37"/>
      <c r="N3014" s="27"/>
      <c r="O3014" s="30"/>
      <c r="P3014" s="39" t="str">
        <f t="shared" si="477"/>
        <v/>
      </c>
      <c r="Q3014" s="40" t="str">
        <f>IF(OR(T3014=0,RIGHT(T3014,1)=$W$1),"",COUNTIF($T$3:T3014,T3014))</f>
        <v/>
      </c>
      <c r="S3014" s="6">
        <f t="shared" si="478"/>
        <v>0</v>
      </c>
      <c r="T3014" s="36">
        <f t="shared" si="479"/>
        <v>0</v>
      </c>
      <c r="V3014" s="6">
        <f t="shared" si="480"/>
        <v>0</v>
      </c>
      <c r="Y3014" s="8">
        <f t="shared" si="481"/>
        <v>46023</v>
      </c>
    </row>
    <row r="3015" spans="2:25" ht="18.75" x14ac:dyDescent="0.3">
      <c r="B3015" s="6">
        <f t="shared" si="473"/>
        <v>0</v>
      </c>
      <c r="C3015" s="6">
        <f t="shared" si="474"/>
        <v>0</v>
      </c>
      <c r="D3015" s="6" t="str">
        <f t="shared" si="475"/>
        <v/>
      </c>
      <c r="E3015" s="35" t="str">
        <f t="shared" si="472"/>
        <v/>
      </c>
      <c r="F3015" s="31"/>
      <c r="G3015" s="29"/>
      <c r="H3015" s="78" t="str">
        <f t="shared" si="476"/>
        <v/>
      </c>
      <c r="I3015" s="25"/>
      <c r="J3015" s="25"/>
      <c r="K3015" s="26"/>
      <c r="L3015" s="26"/>
      <c r="M3015" s="37"/>
      <c r="N3015" s="27"/>
      <c r="O3015" s="30"/>
      <c r="P3015" s="39" t="str">
        <f t="shared" si="477"/>
        <v/>
      </c>
      <c r="Q3015" s="40" t="str">
        <f>IF(OR(T3015=0,RIGHT(T3015,1)=$W$1),"",COUNTIF($T$3:T3015,T3015))</f>
        <v/>
      </c>
      <c r="S3015" s="6">
        <f t="shared" si="478"/>
        <v>0</v>
      </c>
      <c r="T3015" s="36">
        <f t="shared" si="479"/>
        <v>0</v>
      </c>
      <c r="V3015" s="6">
        <f t="shared" si="480"/>
        <v>0</v>
      </c>
      <c r="Y3015" s="8">
        <f t="shared" si="481"/>
        <v>46023</v>
      </c>
    </row>
    <row r="3016" spans="2:25" ht="18.75" x14ac:dyDescent="0.3">
      <c r="B3016" s="6">
        <f t="shared" si="473"/>
        <v>0</v>
      </c>
      <c r="C3016" s="6">
        <f t="shared" si="474"/>
        <v>0</v>
      </c>
      <c r="D3016" s="6" t="str">
        <f t="shared" si="475"/>
        <v/>
      </c>
      <c r="E3016" s="35" t="str">
        <f t="shared" si="472"/>
        <v/>
      </c>
      <c r="F3016" s="31"/>
      <c r="G3016" s="29"/>
      <c r="H3016" s="78" t="str">
        <f t="shared" si="476"/>
        <v/>
      </c>
      <c r="I3016" s="25"/>
      <c r="J3016" s="25"/>
      <c r="K3016" s="26"/>
      <c r="L3016" s="26"/>
      <c r="M3016" s="37"/>
      <c r="N3016" s="27"/>
      <c r="O3016" s="30"/>
      <c r="P3016" s="39" t="str">
        <f t="shared" si="477"/>
        <v/>
      </c>
      <c r="Q3016" s="40" t="str">
        <f>IF(OR(T3016=0,RIGHT(T3016,1)=$W$1),"",COUNTIF($T$3:T3016,T3016))</f>
        <v/>
      </c>
      <c r="S3016" s="6">
        <f t="shared" si="478"/>
        <v>0</v>
      </c>
      <c r="T3016" s="36">
        <f t="shared" si="479"/>
        <v>0</v>
      </c>
      <c r="V3016" s="6">
        <f t="shared" si="480"/>
        <v>0</v>
      </c>
      <c r="Y3016" s="8">
        <f t="shared" si="481"/>
        <v>46023</v>
      </c>
    </row>
    <row r="3017" spans="2:25" ht="18.75" x14ac:dyDescent="0.3">
      <c r="B3017" s="6">
        <f t="shared" si="473"/>
        <v>0</v>
      </c>
      <c r="C3017" s="6">
        <f t="shared" si="474"/>
        <v>0</v>
      </c>
      <c r="D3017" s="6" t="str">
        <f t="shared" si="475"/>
        <v/>
      </c>
      <c r="E3017" s="35" t="str">
        <f t="shared" si="472"/>
        <v/>
      </c>
      <c r="F3017" s="31"/>
      <c r="G3017" s="29"/>
      <c r="H3017" s="78" t="str">
        <f t="shared" si="476"/>
        <v/>
      </c>
      <c r="I3017" s="25"/>
      <c r="J3017" s="25"/>
      <c r="K3017" s="26"/>
      <c r="L3017" s="26"/>
      <c r="M3017" s="37"/>
      <c r="N3017" s="27"/>
      <c r="O3017" s="30"/>
      <c r="P3017" s="39" t="str">
        <f t="shared" si="477"/>
        <v/>
      </c>
      <c r="Q3017" s="40" t="str">
        <f>IF(OR(T3017=0,RIGHT(T3017,1)=$W$1),"",COUNTIF($T$3:T3017,T3017))</f>
        <v/>
      </c>
      <c r="S3017" s="6">
        <f t="shared" si="478"/>
        <v>0</v>
      </c>
      <c r="T3017" s="36">
        <f t="shared" si="479"/>
        <v>0</v>
      </c>
      <c r="V3017" s="6">
        <f t="shared" si="480"/>
        <v>0</v>
      </c>
      <c r="Y3017" s="8">
        <f t="shared" si="481"/>
        <v>46023</v>
      </c>
    </row>
    <row r="3018" spans="2:25" ht="18.75" x14ac:dyDescent="0.3">
      <c r="B3018" s="6">
        <f t="shared" si="473"/>
        <v>0</v>
      </c>
      <c r="C3018" s="6">
        <f t="shared" si="474"/>
        <v>0</v>
      </c>
      <c r="D3018" s="6" t="str">
        <f t="shared" si="475"/>
        <v/>
      </c>
      <c r="E3018" s="35" t="str">
        <f t="shared" si="472"/>
        <v/>
      </c>
      <c r="F3018" s="31"/>
      <c r="G3018" s="29"/>
      <c r="H3018" s="78" t="str">
        <f t="shared" si="476"/>
        <v/>
      </c>
      <c r="I3018" s="25"/>
      <c r="J3018" s="25"/>
      <c r="K3018" s="26"/>
      <c r="L3018" s="26"/>
      <c r="M3018" s="37"/>
      <c r="N3018" s="27"/>
      <c r="O3018" s="30"/>
      <c r="P3018" s="39" t="str">
        <f t="shared" si="477"/>
        <v/>
      </c>
      <c r="Q3018" s="40" t="str">
        <f>IF(OR(T3018=0,RIGHT(T3018,1)=$W$1),"",COUNTIF($T$3:T3018,T3018))</f>
        <v/>
      </c>
      <c r="S3018" s="6">
        <f t="shared" si="478"/>
        <v>0</v>
      </c>
      <c r="T3018" s="36">
        <f t="shared" si="479"/>
        <v>0</v>
      </c>
      <c r="V3018" s="6">
        <f t="shared" si="480"/>
        <v>0</v>
      </c>
      <c r="Y3018" s="8">
        <f t="shared" si="481"/>
        <v>46023</v>
      </c>
    </row>
    <row r="3019" spans="2:25" ht="18.75" x14ac:dyDescent="0.3">
      <c r="B3019" s="6">
        <f t="shared" si="473"/>
        <v>0</v>
      </c>
      <c r="C3019" s="6">
        <f t="shared" si="474"/>
        <v>0</v>
      </c>
      <c r="D3019" s="6" t="str">
        <f t="shared" si="475"/>
        <v/>
      </c>
      <c r="E3019" s="35" t="str">
        <f t="shared" si="472"/>
        <v/>
      </c>
      <c r="F3019" s="31"/>
      <c r="G3019" s="29"/>
      <c r="H3019" s="78" t="str">
        <f t="shared" si="476"/>
        <v/>
      </c>
      <c r="I3019" s="25"/>
      <c r="J3019" s="25"/>
      <c r="K3019" s="26"/>
      <c r="L3019" s="26"/>
      <c r="M3019" s="37"/>
      <c r="N3019" s="27"/>
      <c r="O3019" s="30"/>
      <c r="P3019" s="39" t="str">
        <f t="shared" si="477"/>
        <v/>
      </c>
      <c r="Q3019" s="40" t="str">
        <f>IF(OR(T3019=0,RIGHT(T3019,1)=$W$1),"",COUNTIF($T$3:T3019,T3019))</f>
        <v/>
      </c>
      <c r="S3019" s="6">
        <f t="shared" si="478"/>
        <v>0</v>
      </c>
      <c r="T3019" s="36">
        <f t="shared" si="479"/>
        <v>0</v>
      </c>
      <c r="V3019" s="6">
        <f t="shared" si="480"/>
        <v>0</v>
      </c>
      <c r="Y3019" s="8">
        <f t="shared" si="481"/>
        <v>46023</v>
      </c>
    </row>
    <row r="3020" spans="2:25" ht="18.75" x14ac:dyDescent="0.3">
      <c r="B3020" s="6">
        <f t="shared" si="473"/>
        <v>0</v>
      </c>
      <c r="C3020" s="6">
        <f t="shared" si="474"/>
        <v>0</v>
      </c>
      <c r="D3020" s="6" t="str">
        <f t="shared" si="475"/>
        <v/>
      </c>
      <c r="E3020" s="35" t="str">
        <f t="shared" si="472"/>
        <v/>
      </c>
      <c r="F3020" s="31"/>
      <c r="G3020" s="29"/>
      <c r="H3020" s="78" t="str">
        <f t="shared" si="476"/>
        <v/>
      </c>
      <c r="I3020" s="25"/>
      <c r="J3020" s="25"/>
      <c r="K3020" s="26"/>
      <c r="L3020" s="26"/>
      <c r="M3020" s="37"/>
      <c r="N3020" s="27"/>
      <c r="O3020" s="30"/>
      <c r="P3020" s="39" t="str">
        <f t="shared" si="477"/>
        <v/>
      </c>
      <c r="Q3020" s="40" t="str">
        <f>IF(OR(T3020=0,RIGHT(T3020,1)=$W$1),"",COUNTIF($T$3:T3020,T3020))</f>
        <v/>
      </c>
      <c r="S3020" s="6">
        <f t="shared" si="478"/>
        <v>0</v>
      </c>
      <c r="T3020" s="36">
        <f t="shared" si="479"/>
        <v>0</v>
      </c>
      <c r="V3020" s="6">
        <f t="shared" si="480"/>
        <v>0</v>
      </c>
      <c r="Y3020" s="8">
        <f t="shared" si="481"/>
        <v>46023</v>
      </c>
    </row>
    <row r="3021" spans="2:25" ht="18.75" x14ac:dyDescent="0.3">
      <c r="B3021" s="6">
        <f t="shared" si="473"/>
        <v>0</v>
      </c>
      <c r="C3021" s="6">
        <f t="shared" si="474"/>
        <v>0</v>
      </c>
      <c r="D3021" s="6" t="str">
        <f t="shared" si="475"/>
        <v/>
      </c>
      <c r="E3021" s="35" t="str">
        <f t="shared" si="472"/>
        <v/>
      </c>
      <c r="F3021" s="31"/>
      <c r="G3021" s="29"/>
      <c r="H3021" s="78" t="str">
        <f t="shared" si="476"/>
        <v/>
      </c>
      <c r="I3021" s="25"/>
      <c r="J3021" s="25"/>
      <c r="K3021" s="26"/>
      <c r="L3021" s="26"/>
      <c r="M3021" s="37"/>
      <c r="N3021" s="27"/>
      <c r="O3021" s="30"/>
      <c r="P3021" s="39" t="str">
        <f t="shared" si="477"/>
        <v/>
      </c>
      <c r="Q3021" s="40" t="str">
        <f>IF(OR(T3021=0,RIGHT(T3021,1)=$W$1),"",COUNTIF($T$3:T3021,T3021))</f>
        <v/>
      </c>
      <c r="S3021" s="6">
        <f t="shared" si="478"/>
        <v>0</v>
      </c>
      <c r="T3021" s="36">
        <f t="shared" si="479"/>
        <v>0</v>
      </c>
      <c r="V3021" s="6">
        <f t="shared" si="480"/>
        <v>0</v>
      </c>
      <c r="Y3021" s="8">
        <f t="shared" si="481"/>
        <v>46023</v>
      </c>
    </row>
    <row r="3022" spans="2:25" ht="18.75" x14ac:dyDescent="0.3">
      <c r="B3022" s="6">
        <f t="shared" si="473"/>
        <v>0</v>
      </c>
      <c r="C3022" s="6">
        <f t="shared" si="474"/>
        <v>0</v>
      </c>
      <c r="D3022" s="6" t="str">
        <f t="shared" si="475"/>
        <v/>
      </c>
      <c r="E3022" s="35" t="str">
        <f t="shared" si="472"/>
        <v/>
      </c>
      <c r="F3022" s="31"/>
      <c r="G3022" s="29"/>
      <c r="H3022" s="78" t="str">
        <f t="shared" si="476"/>
        <v/>
      </c>
      <c r="I3022" s="25"/>
      <c r="J3022" s="25"/>
      <c r="K3022" s="26"/>
      <c r="L3022" s="26"/>
      <c r="M3022" s="37"/>
      <c r="N3022" s="27"/>
      <c r="O3022" s="30"/>
      <c r="P3022" s="39" t="str">
        <f t="shared" si="477"/>
        <v/>
      </c>
      <c r="Q3022" s="40" t="str">
        <f>IF(OR(T3022=0,RIGHT(T3022,1)=$W$1),"",COUNTIF($T$3:T3022,T3022))</f>
        <v/>
      </c>
      <c r="S3022" s="6">
        <f t="shared" si="478"/>
        <v>0</v>
      </c>
      <c r="T3022" s="36">
        <f t="shared" si="479"/>
        <v>0</v>
      </c>
      <c r="V3022" s="6">
        <f t="shared" si="480"/>
        <v>0</v>
      </c>
      <c r="Y3022" s="8">
        <f t="shared" si="481"/>
        <v>46023</v>
      </c>
    </row>
    <row r="3023" spans="2:25" ht="18.75" x14ac:dyDescent="0.3">
      <c r="B3023" s="6">
        <f t="shared" si="473"/>
        <v>0</v>
      </c>
      <c r="C3023" s="6">
        <f t="shared" si="474"/>
        <v>0</v>
      </c>
      <c r="D3023" s="6" t="str">
        <f t="shared" si="475"/>
        <v/>
      </c>
      <c r="E3023" s="35" t="str">
        <f t="shared" si="472"/>
        <v/>
      </c>
      <c r="F3023" s="31"/>
      <c r="G3023" s="29"/>
      <c r="H3023" s="78" t="str">
        <f t="shared" si="476"/>
        <v/>
      </c>
      <c r="I3023" s="25"/>
      <c r="J3023" s="25"/>
      <c r="K3023" s="26"/>
      <c r="L3023" s="26"/>
      <c r="M3023" s="37"/>
      <c r="N3023" s="27"/>
      <c r="O3023" s="30"/>
      <c r="P3023" s="39" t="str">
        <f t="shared" si="477"/>
        <v/>
      </c>
      <c r="Q3023" s="40" t="str">
        <f>IF(OR(T3023=0,RIGHT(T3023,1)=$W$1),"",COUNTIF($T$3:T3023,T3023))</f>
        <v/>
      </c>
      <c r="S3023" s="6">
        <f t="shared" si="478"/>
        <v>0</v>
      </c>
      <c r="T3023" s="36">
        <f t="shared" si="479"/>
        <v>0</v>
      </c>
      <c r="V3023" s="6">
        <f t="shared" si="480"/>
        <v>0</v>
      </c>
      <c r="Y3023" s="8">
        <f t="shared" si="481"/>
        <v>46023</v>
      </c>
    </row>
    <row r="3024" spans="2:25" ht="18.75" x14ac:dyDescent="0.3">
      <c r="B3024" s="6">
        <f t="shared" si="473"/>
        <v>0</v>
      </c>
      <c r="C3024" s="6">
        <f t="shared" si="474"/>
        <v>0</v>
      </c>
      <c r="D3024" s="6" t="str">
        <f t="shared" si="475"/>
        <v/>
      </c>
      <c r="E3024" s="35" t="str">
        <f t="shared" si="472"/>
        <v/>
      </c>
      <c r="F3024" s="31"/>
      <c r="G3024" s="29"/>
      <c r="H3024" s="78" t="str">
        <f t="shared" si="476"/>
        <v/>
      </c>
      <c r="I3024" s="25"/>
      <c r="J3024" s="25"/>
      <c r="K3024" s="26"/>
      <c r="L3024" s="26"/>
      <c r="M3024" s="37"/>
      <c r="N3024" s="27"/>
      <c r="O3024" s="30"/>
      <c r="P3024" s="39" t="str">
        <f t="shared" si="477"/>
        <v/>
      </c>
      <c r="Q3024" s="40" t="str">
        <f>IF(OR(T3024=0,RIGHT(T3024,1)=$W$1),"",COUNTIF($T$3:T3024,T3024))</f>
        <v/>
      </c>
      <c r="S3024" s="6">
        <f t="shared" si="478"/>
        <v>0</v>
      </c>
      <c r="T3024" s="36">
        <f t="shared" si="479"/>
        <v>0</v>
      </c>
      <c r="V3024" s="6">
        <f t="shared" si="480"/>
        <v>0</v>
      </c>
      <c r="Y3024" s="8">
        <f t="shared" si="481"/>
        <v>46023</v>
      </c>
    </row>
    <row r="3025" spans="2:25" ht="18.75" x14ac:dyDescent="0.3">
      <c r="B3025" s="6">
        <f t="shared" si="473"/>
        <v>0</v>
      </c>
      <c r="C3025" s="6">
        <f t="shared" si="474"/>
        <v>0</v>
      </c>
      <c r="D3025" s="6" t="str">
        <f t="shared" si="475"/>
        <v/>
      </c>
      <c r="E3025" s="35" t="str">
        <f t="shared" si="472"/>
        <v/>
      </c>
      <c r="F3025" s="31"/>
      <c r="G3025" s="29"/>
      <c r="H3025" s="78" t="str">
        <f t="shared" si="476"/>
        <v/>
      </c>
      <c r="I3025" s="25"/>
      <c r="J3025" s="25"/>
      <c r="K3025" s="26"/>
      <c r="L3025" s="26"/>
      <c r="M3025" s="37"/>
      <c r="N3025" s="27"/>
      <c r="O3025" s="30"/>
      <c r="P3025" s="39" t="str">
        <f t="shared" si="477"/>
        <v/>
      </c>
      <c r="Q3025" s="40" t="str">
        <f>IF(OR(T3025=0,RIGHT(T3025,1)=$W$1),"",COUNTIF($T$3:T3025,T3025))</f>
        <v/>
      </c>
      <c r="S3025" s="6">
        <f t="shared" si="478"/>
        <v>0</v>
      </c>
      <c r="T3025" s="36">
        <f t="shared" si="479"/>
        <v>0</v>
      </c>
      <c r="V3025" s="6">
        <f t="shared" si="480"/>
        <v>0</v>
      </c>
      <c r="Y3025" s="8">
        <f t="shared" si="481"/>
        <v>46023</v>
      </c>
    </row>
    <row r="3026" spans="2:25" ht="18.75" x14ac:dyDescent="0.3">
      <c r="B3026" s="6">
        <f t="shared" si="473"/>
        <v>0</v>
      </c>
      <c r="C3026" s="6">
        <f t="shared" si="474"/>
        <v>0</v>
      </c>
      <c r="D3026" s="6" t="str">
        <f t="shared" si="475"/>
        <v/>
      </c>
      <c r="E3026" s="35" t="str">
        <f t="shared" si="472"/>
        <v/>
      </c>
      <c r="F3026" s="31"/>
      <c r="G3026" s="29"/>
      <c r="H3026" s="78" t="str">
        <f t="shared" si="476"/>
        <v/>
      </c>
      <c r="I3026" s="25"/>
      <c r="J3026" s="25"/>
      <c r="K3026" s="26"/>
      <c r="L3026" s="26"/>
      <c r="M3026" s="37"/>
      <c r="N3026" s="27"/>
      <c r="O3026" s="30"/>
      <c r="P3026" s="39" t="str">
        <f t="shared" si="477"/>
        <v/>
      </c>
      <c r="Q3026" s="40" t="str">
        <f>IF(OR(T3026=0,RIGHT(T3026,1)=$W$1),"",COUNTIF($T$3:T3026,T3026))</f>
        <v/>
      </c>
      <c r="S3026" s="6">
        <f t="shared" si="478"/>
        <v>0</v>
      </c>
      <c r="T3026" s="36">
        <f t="shared" si="479"/>
        <v>0</v>
      </c>
      <c r="V3026" s="6">
        <f t="shared" si="480"/>
        <v>0</v>
      </c>
      <c r="Y3026" s="8">
        <f t="shared" si="481"/>
        <v>46023</v>
      </c>
    </row>
    <row r="3027" spans="2:25" ht="18.75" x14ac:dyDescent="0.3">
      <c r="B3027" s="6">
        <f t="shared" si="473"/>
        <v>0</v>
      </c>
      <c r="C3027" s="6">
        <f t="shared" si="474"/>
        <v>0</v>
      </c>
      <c r="D3027" s="6" t="str">
        <f t="shared" si="475"/>
        <v/>
      </c>
      <c r="E3027" s="35" t="str">
        <f t="shared" si="472"/>
        <v/>
      </c>
      <c r="F3027" s="31"/>
      <c r="G3027" s="29"/>
      <c r="H3027" s="78" t="str">
        <f t="shared" si="476"/>
        <v/>
      </c>
      <c r="I3027" s="25"/>
      <c r="J3027" s="25"/>
      <c r="K3027" s="26"/>
      <c r="L3027" s="26"/>
      <c r="M3027" s="37"/>
      <c r="N3027" s="27"/>
      <c r="O3027" s="30"/>
      <c r="P3027" s="39" t="str">
        <f t="shared" si="477"/>
        <v/>
      </c>
      <c r="Q3027" s="40" t="str">
        <f>IF(OR(T3027=0,RIGHT(T3027,1)=$W$1),"",COUNTIF($T$3:T3027,T3027))</f>
        <v/>
      </c>
      <c r="S3027" s="6">
        <f t="shared" si="478"/>
        <v>0</v>
      </c>
      <c r="T3027" s="36">
        <f t="shared" si="479"/>
        <v>0</v>
      </c>
      <c r="V3027" s="6">
        <f t="shared" si="480"/>
        <v>0</v>
      </c>
      <c r="Y3027" s="8">
        <f t="shared" si="481"/>
        <v>46023</v>
      </c>
    </row>
    <row r="3028" spans="2:25" ht="18.75" x14ac:dyDescent="0.3">
      <c r="B3028" s="6">
        <f t="shared" si="473"/>
        <v>0</v>
      </c>
      <c r="C3028" s="6">
        <f t="shared" si="474"/>
        <v>0</v>
      </c>
      <c r="D3028" s="6" t="str">
        <f t="shared" si="475"/>
        <v/>
      </c>
      <c r="E3028" s="35" t="str">
        <f t="shared" si="472"/>
        <v/>
      </c>
      <c r="F3028" s="31"/>
      <c r="G3028" s="29"/>
      <c r="H3028" s="78" t="str">
        <f t="shared" si="476"/>
        <v/>
      </c>
      <c r="I3028" s="25"/>
      <c r="J3028" s="25"/>
      <c r="K3028" s="26"/>
      <c r="L3028" s="26"/>
      <c r="M3028" s="37"/>
      <c r="N3028" s="27"/>
      <c r="O3028" s="30"/>
      <c r="P3028" s="39" t="str">
        <f t="shared" si="477"/>
        <v/>
      </c>
      <c r="Q3028" s="40" t="str">
        <f>IF(OR(T3028=0,RIGHT(T3028,1)=$W$1),"",COUNTIF($T$3:T3028,T3028))</f>
        <v/>
      </c>
      <c r="S3028" s="6">
        <f t="shared" si="478"/>
        <v>0</v>
      </c>
      <c r="T3028" s="36">
        <f t="shared" si="479"/>
        <v>0</v>
      </c>
      <c r="V3028" s="6">
        <f t="shared" si="480"/>
        <v>0</v>
      </c>
      <c r="Y3028" s="8">
        <f t="shared" si="481"/>
        <v>46023</v>
      </c>
    </row>
    <row r="3029" spans="2:25" ht="18.75" x14ac:dyDescent="0.3">
      <c r="B3029" s="6">
        <f t="shared" si="473"/>
        <v>0</v>
      </c>
      <c r="C3029" s="6">
        <f t="shared" si="474"/>
        <v>0</v>
      </c>
      <c r="D3029" s="6" t="str">
        <f t="shared" si="475"/>
        <v/>
      </c>
      <c r="E3029" s="35" t="str">
        <f t="shared" si="472"/>
        <v/>
      </c>
      <c r="F3029" s="31"/>
      <c r="G3029" s="29"/>
      <c r="H3029" s="78" t="str">
        <f t="shared" si="476"/>
        <v/>
      </c>
      <c r="I3029" s="25"/>
      <c r="J3029" s="25"/>
      <c r="K3029" s="26"/>
      <c r="L3029" s="26"/>
      <c r="M3029" s="37"/>
      <c r="N3029" s="27"/>
      <c r="O3029" s="30"/>
      <c r="P3029" s="39" t="str">
        <f t="shared" si="477"/>
        <v/>
      </c>
      <c r="Q3029" s="40" t="str">
        <f>IF(OR(T3029=0,RIGHT(T3029,1)=$W$1),"",COUNTIF($T$3:T3029,T3029))</f>
        <v/>
      </c>
      <c r="S3029" s="6">
        <f t="shared" si="478"/>
        <v>0</v>
      </c>
      <c r="T3029" s="36">
        <f t="shared" si="479"/>
        <v>0</v>
      </c>
      <c r="V3029" s="6">
        <f t="shared" si="480"/>
        <v>0</v>
      </c>
      <c r="Y3029" s="8">
        <f t="shared" si="481"/>
        <v>46023</v>
      </c>
    </row>
    <row r="3030" spans="2:25" ht="18.75" x14ac:dyDescent="0.3">
      <c r="B3030" s="6">
        <f t="shared" si="473"/>
        <v>0</v>
      </c>
      <c r="C3030" s="6">
        <f t="shared" si="474"/>
        <v>0</v>
      </c>
      <c r="D3030" s="6" t="str">
        <f t="shared" si="475"/>
        <v/>
      </c>
      <c r="E3030" s="35" t="str">
        <f t="shared" si="472"/>
        <v/>
      </c>
      <c r="F3030" s="31"/>
      <c r="G3030" s="29"/>
      <c r="H3030" s="78" t="str">
        <f t="shared" si="476"/>
        <v/>
      </c>
      <c r="I3030" s="25"/>
      <c r="J3030" s="25"/>
      <c r="K3030" s="26"/>
      <c r="L3030" s="26"/>
      <c r="M3030" s="37"/>
      <c r="N3030" s="27"/>
      <c r="O3030" s="30"/>
      <c r="P3030" s="39" t="str">
        <f t="shared" si="477"/>
        <v/>
      </c>
      <c r="Q3030" s="40" t="str">
        <f>IF(OR(T3030=0,RIGHT(T3030,1)=$W$1),"",COUNTIF($T$3:T3030,T3030))</f>
        <v/>
      </c>
      <c r="S3030" s="6">
        <f t="shared" si="478"/>
        <v>0</v>
      </c>
      <c r="T3030" s="36">
        <f t="shared" si="479"/>
        <v>0</v>
      </c>
      <c r="V3030" s="6">
        <f t="shared" si="480"/>
        <v>0</v>
      </c>
      <c r="Y3030" s="8">
        <f t="shared" si="481"/>
        <v>46023</v>
      </c>
    </row>
    <row r="3031" spans="2:25" ht="18.75" x14ac:dyDescent="0.3">
      <c r="B3031" s="6">
        <f t="shared" si="473"/>
        <v>0</v>
      </c>
      <c r="C3031" s="6">
        <f t="shared" si="474"/>
        <v>0</v>
      </c>
      <c r="D3031" s="6" t="str">
        <f t="shared" si="475"/>
        <v/>
      </c>
      <c r="E3031" s="35" t="str">
        <f t="shared" si="472"/>
        <v/>
      </c>
      <c r="F3031" s="31"/>
      <c r="G3031" s="29"/>
      <c r="H3031" s="78" t="str">
        <f t="shared" si="476"/>
        <v/>
      </c>
      <c r="I3031" s="25"/>
      <c r="J3031" s="25"/>
      <c r="K3031" s="26"/>
      <c r="L3031" s="26"/>
      <c r="M3031" s="37"/>
      <c r="N3031" s="27"/>
      <c r="O3031" s="30"/>
      <c r="P3031" s="39" t="str">
        <f t="shared" si="477"/>
        <v/>
      </c>
      <c r="Q3031" s="40" t="str">
        <f>IF(OR(T3031=0,RIGHT(T3031,1)=$W$1),"",COUNTIF($T$3:T3031,T3031))</f>
        <v/>
      </c>
      <c r="S3031" s="6">
        <f t="shared" si="478"/>
        <v>0</v>
      </c>
      <c r="T3031" s="36">
        <f t="shared" si="479"/>
        <v>0</v>
      </c>
      <c r="V3031" s="6">
        <f t="shared" si="480"/>
        <v>0</v>
      </c>
      <c r="Y3031" s="8">
        <f t="shared" si="481"/>
        <v>46023</v>
      </c>
    </row>
    <row r="3032" spans="2:25" ht="18.75" x14ac:dyDescent="0.3">
      <c r="B3032" s="6">
        <f t="shared" si="473"/>
        <v>0</v>
      </c>
      <c r="C3032" s="6">
        <f t="shared" si="474"/>
        <v>0</v>
      </c>
      <c r="D3032" s="6" t="str">
        <f t="shared" si="475"/>
        <v/>
      </c>
      <c r="E3032" s="35" t="str">
        <f t="shared" si="472"/>
        <v/>
      </c>
      <c r="F3032" s="31"/>
      <c r="G3032" s="29"/>
      <c r="H3032" s="78" t="str">
        <f t="shared" si="476"/>
        <v/>
      </c>
      <c r="I3032" s="25"/>
      <c r="J3032" s="25"/>
      <c r="K3032" s="26"/>
      <c r="L3032" s="26"/>
      <c r="M3032" s="37"/>
      <c r="N3032" s="27"/>
      <c r="O3032" s="30"/>
      <c r="P3032" s="39" t="str">
        <f t="shared" si="477"/>
        <v/>
      </c>
      <c r="Q3032" s="40" t="str">
        <f>IF(OR(T3032=0,RIGHT(T3032,1)=$W$1),"",COUNTIF($T$3:T3032,T3032))</f>
        <v/>
      </c>
      <c r="S3032" s="6">
        <f t="shared" si="478"/>
        <v>0</v>
      </c>
      <c r="T3032" s="36">
        <f t="shared" si="479"/>
        <v>0</v>
      </c>
      <c r="V3032" s="6">
        <f t="shared" si="480"/>
        <v>0</v>
      </c>
      <c r="Y3032" s="8">
        <f t="shared" si="481"/>
        <v>46023</v>
      </c>
    </row>
    <row r="3033" spans="2:25" ht="18.75" x14ac:dyDescent="0.3">
      <c r="B3033" s="6">
        <f t="shared" si="473"/>
        <v>0</v>
      </c>
      <c r="C3033" s="6">
        <f t="shared" si="474"/>
        <v>0</v>
      </c>
      <c r="D3033" s="6" t="str">
        <f t="shared" si="475"/>
        <v/>
      </c>
      <c r="E3033" s="35" t="str">
        <f t="shared" si="472"/>
        <v/>
      </c>
      <c r="F3033" s="31"/>
      <c r="G3033" s="29"/>
      <c r="H3033" s="78" t="str">
        <f t="shared" si="476"/>
        <v/>
      </c>
      <c r="I3033" s="25"/>
      <c r="J3033" s="25"/>
      <c r="K3033" s="26"/>
      <c r="L3033" s="26"/>
      <c r="M3033" s="37"/>
      <c r="N3033" s="27"/>
      <c r="O3033" s="30"/>
      <c r="P3033" s="39" t="str">
        <f t="shared" si="477"/>
        <v/>
      </c>
      <c r="Q3033" s="40" t="str">
        <f>IF(OR(T3033=0,RIGHT(T3033,1)=$W$1),"",COUNTIF($T$3:T3033,T3033))</f>
        <v/>
      </c>
      <c r="S3033" s="6">
        <f t="shared" si="478"/>
        <v>0</v>
      </c>
      <c r="T3033" s="36">
        <f t="shared" si="479"/>
        <v>0</v>
      </c>
      <c r="V3033" s="6">
        <f t="shared" si="480"/>
        <v>0</v>
      </c>
      <c r="Y3033" s="8">
        <f t="shared" si="481"/>
        <v>46023</v>
      </c>
    </row>
    <row r="3034" spans="2:25" ht="18.75" x14ac:dyDescent="0.3">
      <c r="B3034" s="6">
        <f t="shared" si="473"/>
        <v>0</v>
      </c>
      <c r="C3034" s="6">
        <f t="shared" si="474"/>
        <v>0</v>
      </c>
      <c r="D3034" s="6" t="str">
        <f t="shared" si="475"/>
        <v/>
      </c>
      <c r="E3034" s="35" t="str">
        <f t="shared" si="472"/>
        <v/>
      </c>
      <c r="F3034" s="31"/>
      <c r="G3034" s="29"/>
      <c r="H3034" s="78" t="str">
        <f t="shared" si="476"/>
        <v/>
      </c>
      <c r="I3034" s="25"/>
      <c r="J3034" s="25"/>
      <c r="K3034" s="26"/>
      <c r="L3034" s="26"/>
      <c r="M3034" s="37"/>
      <c r="N3034" s="27"/>
      <c r="O3034" s="30"/>
      <c r="P3034" s="39" t="str">
        <f t="shared" si="477"/>
        <v/>
      </c>
      <c r="Q3034" s="40" t="str">
        <f>IF(OR(T3034=0,RIGHT(T3034,1)=$W$1),"",COUNTIF($T$3:T3034,T3034))</f>
        <v/>
      </c>
      <c r="S3034" s="6">
        <f t="shared" si="478"/>
        <v>0</v>
      </c>
      <c r="T3034" s="36">
        <f t="shared" si="479"/>
        <v>0</v>
      </c>
      <c r="V3034" s="6">
        <f t="shared" si="480"/>
        <v>0</v>
      </c>
      <c r="Y3034" s="8">
        <f t="shared" si="481"/>
        <v>46023</v>
      </c>
    </row>
    <row r="3035" spans="2:25" ht="18.75" x14ac:dyDescent="0.3">
      <c r="B3035" s="6">
        <f t="shared" si="473"/>
        <v>0</v>
      </c>
      <c r="C3035" s="6">
        <f t="shared" si="474"/>
        <v>0</v>
      </c>
      <c r="D3035" s="6" t="str">
        <f t="shared" si="475"/>
        <v/>
      </c>
      <c r="E3035" s="35" t="str">
        <f t="shared" si="472"/>
        <v/>
      </c>
      <c r="F3035" s="31"/>
      <c r="G3035" s="29"/>
      <c r="H3035" s="78" t="str">
        <f t="shared" si="476"/>
        <v/>
      </c>
      <c r="I3035" s="25"/>
      <c r="J3035" s="25"/>
      <c r="K3035" s="26"/>
      <c r="L3035" s="26"/>
      <c r="M3035" s="37"/>
      <c r="N3035" s="27"/>
      <c r="O3035" s="30"/>
      <c r="P3035" s="39" t="str">
        <f t="shared" si="477"/>
        <v/>
      </c>
      <c r="Q3035" s="40" t="str">
        <f>IF(OR(T3035=0,RIGHT(T3035,1)=$W$1),"",COUNTIF($T$3:T3035,T3035))</f>
        <v/>
      </c>
      <c r="S3035" s="6">
        <f t="shared" si="478"/>
        <v>0</v>
      </c>
      <c r="T3035" s="36">
        <f t="shared" si="479"/>
        <v>0</v>
      </c>
      <c r="V3035" s="6">
        <f t="shared" si="480"/>
        <v>0</v>
      </c>
      <c r="Y3035" s="8">
        <f t="shared" si="481"/>
        <v>46023</v>
      </c>
    </row>
    <row r="3036" spans="2:25" ht="18.75" x14ac:dyDescent="0.3">
      <c r="B3036" s="6">
        <f t="shared" si="473"/>
        <v>0</v>
      </c>
      <c r="C3036" s="6">
        <f t="shared" si="474"/>
        <v>0</v>
      </c>
      <c r="D3036" s="6" t="str">
        <f t="shared" si="475"/>
        <v/>
      </c>
      <c r="E3036" s="35" t="str">
        <f t="shared" si="472"/>
        <v/>
      </c>
      <c r="F3036" s="31"/>
      <c r="G3036" s="29"/>
      <c r="H3036" s="78" t="str">
        <f t="shared" si="476"/>
        <v/>
      </c>
      <c r="I3036" s="25"/>
      <c r="J3036" s="25"/>
      <c r="K3036" s="26"/>
      <c r="L3036" s="26"/>
      <c r="M3036" s="37"/>
      <c r="N3036" s="27"/>
      <c r="O3036" s="30"/>
      <c r="P3036" s="39" t="str">
        <f t="shared" si="477"/>
        <v/>
      </c>
      <c r="Q3036" s="40" t="str">
        <f>IF(OR(T3036=0,RIGHT(T3036,1)=$W$1),"",COUNTIF($T$3:T3036,T3036))</f>
        <v/>
      </c>
      <c r="S3036" s="6">
        <f t="shared" si="478"/>
        <v>0</v>
      </c>
      <c r="T3036" s="36">
        <f t="shared" si="479"/>
        <v>0</v>
      </c>
      <c r="V3036" s="6">
        <f t="shared" si="480"/>
        <v>0</v>
      </c>
      <c r="Y3036" s="8">
        <f t="shared" si="481"/>
        <v>46023</v>
      </c>
    </row>
    <row r="3037" spans="2:25" ht="18.75" x14ac:dyDescent="0.3">
      <c r="B3037" s="6">
        <f t="shared" si="473"/>
        <v>0</v>
      </c>
      <c r="C3037" s="6">
        <f t="shared" si="474"/>
        <v>0</v>
      </c>
      <c r="D3037" s="6" t="str">
        <f t="shared" si="475"/>
        <v/>
      </c>
      <c r="E3037" s="35" t="str">
        <f t="shared" si="472"/>
        <v/>
      </c>
      <c r="F3037" s="31"/>
      <c r="G3037" s="29"/>
      <c r="H3037" s="78" t="str">
        <f t="shared" si="476"/>
        <v/>
      </c>
      <c r="I3037" s="25"/>
      <c r="J3037" s="25"/>
      <c r="K3037" s="26"/>
      <c r="L3037" s="26"/>
      <c r="M3037" s="37"/>
      <c r="N3037" s="27"/>
      <c r="O3037" s="30"/>
      <c r="P3037" s="39" t="str">
        <f t="shared" si="477"/>
        <v/>
      </c>
      <c r="Q3037" s="40" t="str">
        <f>IF(OR(T3037=0,RIGHT(T3037,1)=$W$1),"",COUNTIF($T$3:T3037,T3037))</f>
        <v/>
      </c>
      <c r="S3037" s="6">
        <f t="shared" si="478"/>
        <v>0</v>
      </c>
      <c r="T3037" s="36">
        <f t="shared" si="479"/>
        <v>0</v>
      </c>
      <c r="V3037" s="6">
        <f t="shared" si="480"/>
        <v>0</v>
      </c>
      <c r="Y3037" s="8">
        <f t="shared" si="481"/>
        <v>46023</v>
      </c>
    </row>
    <row r="3038" spans="2:25" ht="18.75" x14ac:dyDescent="0.3">
      <c r="B3038" s="6">
        <f t="shared" si="473"/>
        <v>0</v>
      </c>
      <c r="C3038" s="6">
        <f t="shared" si="474"/>
        <v>0</v>
      </c>
      <c r="D3038" s="6" t="str">
        <f t="shared" si="475"/>
        <v/>
      </c>
      <c r="E3038" s="35" t="str">
        <f t="shared" si="472"/>
        <v/>
      </c>
      <c r="F3038" s="31"/>
      <c r="G3038" s="29"/>
      <c r="H3038" s="78" t="str">
        <f t="shared" si="476"/>
        <v/>
      </c>
      <c r="I3038" s="25"/>
      <c r="J3038" s="25"/>
      <c r="K3038" s="26"/>
      <c r="L3038" s="26"/>
      <c r="M3038" s="37"/>
      <c r="N3038" s="27"/>
      <c r="O3038" s="30"/>
      <c r="P3038" s="39" t="str">
        <f t="shared" si="477"/>
        <v/>
      </c>
      <c r="Q3038" s="40" t="str">
        <f>IF(OR(T3038=0,RIGHT(T3038,1)=$W$1),"",COUNTIF($T$3:T3038,T3038))</f>
        <v/>
      </c>
      <c r="S3038" s="6">
        <f t="shared" si="478"/>
        <v>0</v>
      </c>
      <c r="T3038" s="36">
        <f t="shared" si="479"/>
        <v>0</v>
      </c>
      <c r="V3038" s="6">
        <f t="shared" si="480"/>
        <v>0</v>
      </c>
      <c r="Y3038" s="8">
        <f t="shared" si="481"/>
        <v>46023</v>
      </c>
    </row>
    <row r="3039" spans="2:25" ht="18.75" x14ac:dyDescent="0.3">
      <c r="B3039" s="6">
        <f t="shared" si="473"/>
        <v>0</v>
      </c>
      <c r="C3039" s="6">
        <f t="shared" si="474"/>
        <v>0</v>
      </c>
      <c r="D3039" s="6" t="str">
        <f t="shared" si="475"/>
        <v/>
      </c>
      <c r="E3039" s="35" t="str">
        <f t="shared" si="472"/>
        <v/>
      </c>
      <c r="F3039" s="31"/>
      <c r="G3039" s="29"/>
      <c r="H3039" s="78" t="str">
        <f t="shared" si="476"/>
        <v/>
      </c>
      <c r="I3039" s="25"/>
      <c r="J3039" s="25"/>
      <c r="K3039" s="26"/>
      <c r="L3039" s="26"/>
      <c r="M3039" s="37"/>
      <c r="N3039" s="27"/>
      <c r="O3039" s="30"/>
      <c r="P3039" s="39" t="str">
        <f t="shared" si="477"/>
        <v/>
      </c>
      <c r="Q3039" s="40" t="str">
        <f>IF(OR(T3039=0,RIGHT(T3039,1)=$W$1),"",COUNTIF($T$3:T3039,T3039))</f>
        <v/>
      </c>
      <c r="S3039" s="6">
        <f t="shared" si="478"/>
        <v>0</v>
      </c>
      <c r="T3039" s="36">
        <f t="shared" si="479"/>
        <v>0</v>
      </c>
      <c r="V3039" s="6">
        <f t="shared" si="480"/>
        <v>0</v>
      </c>
      <c r="Y3039" s="8">
        <f t="shared" si="481"/>
        <v>46023</v>
      </c>
    </row>
    <row r="3040" spans="2:25" ht="18.75" x14ac:dyDescent="0.3">
      <c r="B3040" s="6">
        <f t="shared" si="473"/>
        <v>0</v>
      </c>
      <c r="C3040" s="6">
        <f t="shared" si="474"/>
        <v>0</v>
      </c>
      <c r="D3040" s="6" t="str">
        <f t="shared" si="475"/>
        <v/>
      </c>
      <c r="E3040" s="35" t="str">
        <f t="shared" si="472"/>
        <v/>
      </c>
      <c r="F3040" s="31"/>
      <c r="G3040" s="29"/>
      <c r="H3040" s="78" t="str">
        <f t="shared" si="476"/>
        <v/>
      </c>
      <c r="I3040" s="25"/>
      <c r="J3040" s="25"/>
      <c r="K3040" s="26"/>
      <c r="L3040" s="26"/>
      <c r="M3040" s="37"/>
      <c r="N3040" s="27"/>
      <c r="O3040" s="30"/>
      <c r="P3040" s="39" t="str">
        <f t="shared" si="477"/>
        <v/>
      </c>
      <c r="Q3040" s="40" t="str">
        <f>IF(OR(T3040=0,RIGHT(T3040,1)=$W$1),"",COUNTIF($T$3:T3040,T3040))</f>
        <v/>
      </c>
      <c r="S3040" s="6">
        <f t="shared" si="478"/>
        <v>0</v>
      </c>
      <c r="T3040" s="36">
        <f t="shared" si="479"/>
        <v>0</v>
      </c>
      <c r="V3040" s="6">
        <f t="shared" si="480"/>
        <v>0</v>
      </c>
      <c r="Y3040" s="8">
        <f t="shared" si="481"/>
        <v>46023</v>
      </c>
    </row>
    <row r="3041" spans="2:25" ht="18.75" x14ac:dyDescent="0.3">
      <c r="B3041" s="6">
        <f t="shared" si="473"/>
        <v>0</v>
      </c>
      <c r="C3041" s="6">
        <f t="shared" si="474"/>
        <v>0</v>
      </c>
      <c r="D3041" s="6" t="str">
        <f t="shared" si="475"/>
        <v/>
      </c>
      <c r="E3041" s="35" t="str">
        <f t="shared" si="472"/>
        <v/>
      </c>
      <c r="F3041" s="31"/>
      <c r="G3041" s="29"/>
      <c r="H3041" s="78" t="str">
        <f t="shared" si="476"/>
        <v/>
      </c>
      <c r="I3041" s="25"/>
      <c r="J3041" s="25"/>
      <c r="K3041" s="26"/>
      <c r="L3041" s="26"/>
      <c r="M3041" s="37"/>
      <c r="N3041" s="27"/>
      <c r="O3041" s="30"/>
      <c r="P3041" s="39" t="str">
        <f t="shared" si="477"/>
        <v/>
      </c>
      <c r="Q3041" s="40" t="str">
        <f>IF(OR(T3041=0,RIGHT(T3041,1)=$W$1),"",COUNTIF($T$3:T3041,T3041))</f>
        <v/>
      </c>
      <c r="S3041" s="6">
        <f t="shared" si="478"/>
        <v>0</v>
      </c>
      <c r="T3041" s="36">
        <f t="shared" si="479"/>
        <v>0</v>
      </c>
      <c r="V3041" s="6">
        <f t="shared" si="480"/>
        <v>0</v>
      </c>
      <c r="Y3041" s="8">
        <f t="shared" si="481"/>
        <v>46023</v>
      </c>
    </row>
    <row r="3042" spans="2:25" ht="18.75" x14ac:dyDescent="0.3">
      <c r="B3042" s="6">
        <f t="shared" si="473"/>
        <v>0</v>
      </c>
      <c r="C3042" s="6">
        <f t="shared" si="474"/>
        <v>0</v>
      </c>
      <c r="D3042" s="6" t="str">
        <f t="shared" si="475"/>
        <v/>
      </c>
      <c r="E3042" s="35" t="str">
        <f t="shared" si="472"/>
        <v/>
      </c>
      <c r="F3042" s="31"/>
      <c r="G3042" s="29"/>
      <c r="H3042" s="78" t="str">
        <f t="shared" si="476"/>
        <v/>
      </c>
      <c r="I3042" s="25"/>
      <c r="J3042" s="25"/>
      <c r="K3042" s="26"/>
      <c r="L3042" s="26"/>
      <c r="M3042" s="37"/>
      <c r="N3042" s="27"/>
      <c r="O3042" s="30"/>
      <c r="P3042" s="39" t="str">
        <f t="shared" si="477"/>
        <v/>
      </c>
      <c r="Q3042" s="40" t="str">
        <f>IF(OR(T3042=0,RIGHT(T3042,1)=$W$1),"",COUNTIF($T$3:T3042,T3042))</f>
        <v/>
      </c>
      <c r="S3042" s="6">
        <f t="shared" si="478"/>
        <v>0</v>
      </c>
      <c r="T3042" s="36">
        <f t="shared" si="479"/>
        <v>0</v>
      </c>
      <c r="V3042" s="6">
        <f t="shared" si="480"/>
        <v>0</v>
      </c>
      <c r="Y3042" s="8">
        <f t="shared" si="481"/>
        <v>46023</v>
      </c>
    </row>
    <row r="3043" spans="2:25" ht="18.75" x14ac:dyDescent="0.3">
      <c r="B3043" s="6">
        <f t="shared" si="473"/>
        <v>0</v>
      </c>
      <c r="C3043" s="6">
        <f t="shared" si="474"/>
        <v>0</v>
      </c>
      <c r="D3043" s="6" t="str">
        <f t="shared" si="475"/>
        <v/>
      </c>
      <c r="E3043" s="35" t="str">
        <f t="shared" si="472"/>
        <v/>
      </c>
      <c r="F3043" s="31"/>
      <c r="G3043" s="29"/>
      <c r="H3043" s="78" t="str">
        <f t="shared" si="476"/>
        <v/>
      </c>
      <c r="I3043" s="25"/>
      <c r="J3043" s="25"/>
      <c r="K3043" s="26"/>
      <c r="L3043" s="26"/>
      <c r="M3043" s="37"/>
      <c r="N3043" s="27"/>
      <c r="O3043" s="30"/>
      <c r="P3043" s="39" t="str">
        <f t="shared" si="477"/>
        <v/>
      </c>
      <c r="Q3043" s="40" t="str">
        <f>IF(OR(T3043=0,RIGHT(T3043,1)=$W$1),"",COUNTIF($T$3:T3043,T3043))</f>
        <v/>
      </c>
      <c r="S3043" s="6">
        <f t="shared" si="478"/>
        <v>0</v>
      </c>
      <c r="T3043" s="36">
        <f t="shared" si="479"/>
        <v>0</v>
      </c>
      <c r="V3043" s="6">
        <f t="shared" si="480"/>
        <v>0</v>
      </c>
      <c r="Y3043" s="8">
        <f t="shared" si="481"/>
        <v>46023</v>
      </c>
    </row>
    <row r="3044" spans="2:25" ht="18.75" x14ac:dyDescent="0.3">
      <c r="B3044" s="6">
        <f t="shared" si="473"/>
        <v>0</v>
      </c>
      <c r="C3044" s="6">
        <f t="shared" si="474"/>
        <v>0</v>
      </c>
      <c r="D3044" s="6" t="str">
        <f t="shared" si="475"/>
        <v/>
      </c>
      <c r="E3044" s="35" t="str">
        <f t="shared" si="472"/>
        <v/>
      </c>
      <c r="F3044" s="31"/>
      <c r="G3044" s="29"/>
      <c r="H3044" s="78" t="str">
        <f t="shared" si="476"/>
        <v/>
      </c>
      <c r="I3044" s="25"/>
      <c r="J3044" s="25"/>
      <c r="K3044" s="26"/>
      <c r="L3044" s="26"/>
      <c r="M3044" s="37"/>
      <c r="N3044" s="27"/>
      <c r="O3044" s="30"/>
      <c r="P3044" s="39" t="str">
        <f t="shared" si="477"/>
        <v/>
      </c>
      <c r="Q3044" s="40" t="str">
        <f>IF(OR(T3044=0,RIGHT(T3044,1)=$W$1),"",COUNTIF($T$3:T3044,T3044))</f>
        <v/>
      </c>
      <c r="S3044" s="6">
        <f t="shared" si="478"/>
        <v>0</v>
      </c>
      <c r="T3044" s="36">
        <f t="shared" si="479"/>
        <v>0</v>
      </c>
      <c r="V3044" s="6">
        <f t="shared" si="480"/>
        <v>0</v>
      </c>
      <c r="Y3044" s="8">
        <f t="shared" si="481"/>
        <v>46023</v>
      </c>
    </row>
    <row r="3045" spans="2:25" ht="18.75" x14ac:dyDescent="0.3">
      <c r="B3045" s="6">
        <f t="shared" si="473"/>
        <v>0</v>
      </c>
      <c r="C3045" s="6">
        <f t="shared" si="474"/>
        <v>0</v>
      </c>
      <c r="D3045" s="6" t="str">
        <f t="shared" si="475"/>
        <v/>
      </c>
      <c r="E3045" s="35" t="str">
        <f t="shared" si="472"/>
        <v/>
      </c>
      <c r="F3045" s="31"/>
      <c r="G3045" s="29"/>
      <c r="H3045" s="78" t="str">
        <f t="shared" si="476"/>
        <v/>
      </c>
      <c r="I3045" s="25"/>
      <c r="J3045" s="25"/>
      <c r="K3045" s="26"/>
      <c r="L3045" s="26"/>
      <c r="M3045" s="37"/>
      <c r="N3045" s="27"/>
      <c r="O3045" s="30"/>
      <c r="P3045" s="39" t="str">
        <f t="shared" si="477"/>
        <v/>
      </c>
      <c r="Q3045" s="40" t="str">
        <f>IF(OR(T3045=0,RIGHT(T3045,1)=$W$1),"",COUNTIF($T$3:T3045,T3045))</f>
        <v/>
      </c>
      <c r="S3045" s="6">
        <f t="shared" si="478"/>
        <v>0</v>
      </c>
      <c r="T3045" s="36">
        <f t="shared" si="479"/>
        <v>0</v>
      </c>
      <c r="V3045" s="6">
        <f t="shared" si="480"/>
        <v>0</v>
      </c>
      <c r="Y3045" s="8">
        <f t="shared" si="481"/>
        <v>46023</v>
      </c>
    </row>
    <row r="3046" spans="2:25" ht="18.75" x14ac:dyDescent="0.3">
      <c r="B3046" s="6">
        <f t="shared" si="473"/>
        <v>0</v>
      </c>
      <c r="C3046" s="6">
        <f t="shared" si="474"/>
        <v>0</v>
      </c>
      <c r="D3046" s="6" t="str">
        <f t="shared" si="475"/>
        <v/>
      </c>
      <c r="E3046" s="35" t="str">
        <f t="shared" si="472"/>
        <v/>
      </c>
      <c r="F3046" s="31"/>
      <c r="G3046" s="29"/>
      <c r="H3046" s="78" t="str">
        <f t="shared" si="476"/>
        <v/>
      </c>
      <c r="I3046" s="25"/>
      <c r="J3046" s="25"/>
      <c r="K3046" s="26"/>
      <c r="L3046" s="26"/>
      <c r="M3046" s="37"/>
      <c r="N3046" s="27"/>
      <c r="O3046" s="30"/>
      <c r="P3046" s="39" t="str">
        <f t="shared" si="477"/>
        <v/>
      </c>
      <c r="Q3046" s="40" t="str">
        <f>IF(OR(T3046=0,RIGHT(T3046,1)=$W$1),"",COUNTIF($T$3:T3046,T3046))</f>
        <v/>
      </c>
      <c r="S3046" s="6">
        <f t="shared" si="478"/>
        <v>0</v>
      </c>
      <c r="T3046" s="36">
        <f t="shared" si="479"/>
        <v>0</v>
      </c>
      <c r="V3046" s="6">
        <f t="shared" si="480"/>
        <v>0</v>
      </c>
      <c r="Y3046" s="8">
        <f t="shared" si="481"/>
        <v>46023</v>
      </c>
    </row>
    <row r="3047" spans="2:25" ht="18.75" x14ac:dyDescent="0.3">
      <c r="B3047" s="6">
        <f t="shared" si="473"/>
        <v>0</v>
      </c>
      <c r="C3047" s="6">
        <f t="shared" si="474"/>
        <v>0</v>
      </c>
      <c r="D3047" s="6" t="str">
        <f t="shared" si="475"/>
        <v/>
      </c>
      <c r="E3047" s="35" t="str">
        <f t="shared" si="472"/>
        <v/>
      </c>
      <c r="F3047" s="31"/>
      <c r="G3047" s="29"/>
      <c r="H3047" s="78" t="str">
        <f t="shared" si="476"/>
        <v/>
      </c>
      <c r="I3047" s="25"/>
      <c r="J3047" s="25"/>
      <c r="K3047" s="26"/>
      <c r="L3047" s="26"/>
      <c r="M3047" s="37"/>
      <c r="N3047" s="27"/>
      <c r="O3047" s="30"/>
      <c r="P3047" s="39" t="str">
        <f t="shared" si="477"/>
        <v/>
      </c>
      <c r="Q3047" s="40" t="str">
        <f>IF(OR(T3047=0,RIGHT(T3047,1)=$W$1),"",COUNTIF($T$3:T3047,T3047))</f>
        <v/>
      </c>
      <c r="S3047" s="6">
        <f t="shared" si="478"/>
        <v>0</v>
      </c>
      <c r="T3047" s="36">
        <f t="shared" si="479"/>
        <v>0</v>
      </c>
      <c r="V3047" s="6">
        <f t="shared" si="480"/>
        <v>0</v>
      </c>
      <c r="Y3047" s="8">
        <f t="shared" si="481"/>
        <v>46023</v>
      </c>
    </row>
    <row r="3048" spans="2:25" ht="18.75" x14ac:dyDescent="0.3">
      <c r="B3048" s="6">
        <f t="shared" si="473"/>
        <v>0</v>
      </c>
      <c r="C3048" s="6">
        <f t="shared" si="474"/>
        <v>0</v>
      </c>
      <c r="D3048" s="6" t="str">
        <f t="shared" si="475"/>
        <v/>
      </c>
      <c r="E3048" s="35" t="str">
        <f t="shared" si="472"/>
        <v/>
      </c>
      <c r="F3048" s="31"/>
      <c r="G3048" s="29"/>
      <c r="H3048" s="78" t="str">
        <f t="shared" si="476"/>
        <v/>
      </c>
      <c r="I3048" s="25"/>
      <c r="J3048" s="25"/>
      <c r="K3048" s="26"/>
      <c r="L3048" s="26"/>
      <c r="M3048" s="37"/>
      <c r="N3048" s="27"/>
      <c r="O3048" s="30"/>
      <c r="P3048" s="39" t="str">
        <f t="shared" si="477"/>
        <v/>
      </c>
      <c r="Q3048" s="40" t="str">
        <f>IF(OR(T3048=0,RIGHT(T3048,1)=$W$1),"",COUNTIF($T$3:T3048,T3048))</f>
        <v/>
      </c>
      <c r="S3048" s="6">
        <f t="shared" si="478"/>
        <v>0</v>
      </c>
      <c r="T3048" s="36">
        <f t="shared" si="479"/>
        <v>0</v>
      </c>
      <c r="V3048" s="6">
        <f t="shared" si="480"/>
        <v>0</v>
      </c>
      <c r="Y3048" s="8">
        <f t="shared" si="481"/>
        <v>46023</v>
      </c>
    </row>
    <row r="3049" spans="2:25" ht="18.75" x14ac:dyDescent="0.3">
      <c r="B3049" s="6">
        <f t="shared" si="473"/>
        <v>0</v>
      </c>
      <c r="C3049" s="6">
        <f t="shared" si="474"/>
        <v>0</v>
      </c>
      <c r="D3049" s="6" t="str">
        <f t="shared" si="475"/>
        <v/>
      </c>
      <c r="E3049" s="35" t="str">
        <f t="shared" si="472"/>
        <v/>
      </c>
      <c r="F3049" s="31"/>
      <c r="G3049" s="29"/>
      <c r="H3049" s="78" t="str">
        <f t="shared" si="476"/>
        <v/>
      </c>
      <c r="I3049" s="25"/>
      <c r="J3049" s="25"/>
      <c r="K3049" s="26"/>
      <c r="L3049" s="26"/>
      <c r="M3049" s="37"/>
      <c r="N3049" s="27"/>
      <c r="O3049" s="30"/>
      <c r="P3049" s="39" t="str">
        <f t="shared" si="477"/>
        <v/>
      </c>
      <c r="Q3049" s="40" t="str">
        <f>IF(OR(T3049=0,RIGHT(T3049,1)=$W$1),"",COUNTIF($T$3:T3049,T3049))</f>
        <v/>
      </c>
      <c r="S3049" s="6">
        <f t="shared" si="478"/>
        <v>0</v>
      </c>
      <c r="T3049" s="36">
        <f t="shared" si="479"/>
        <v>0</v>
      </c>
      <c r="V3049" s="6">
        <f t="shared" si="480"/>
        <v>0</v>
      </c>
      <c r="Y3049" s="8">
        <f t="shared" si="481"/>
        <v>46023</v>
      </c>
    </row>
    <row r="3050" spans="2:25" ht="18.75" x14ac:dyDescent="0.3">
      <c r="B3050" s="6">
        <f t="shared" si="473"/>
        <v>0</v>
      </c>
      <c r="C3050" s="6">
        <f t="shared" si="474"/>
        <v>0</v>
      </c>
      <c r="D3050" s="6" t="str">
        <f t="shared" si="475"/>
        <v/>
      </c>
      <c r="E3050" s="35" t="str">
        <f t="shared" si="472"/>
        <v/>
      </c>
      <c r="F3050" s="31"/>
      <c r="G3050" s="29"/>
      <c r="H3050" s="78" t="str">
        <f t="shared" si="476"/>
        <v/>
      </c>
      <c r="I3050" s="25"/>
      <c r="J3050" s="25"/>
      <c r="K3050" s="26"/>
      <c r="L3050" s="26"/>
      <c r="M3050" s="37"/>
      <c r="N3050" s="27"/>
      <c r="O3050" s="30"/>
      <c r="P3050" s="39" t="str">
        <f t="shared" si="477"/>
        <v/>
      </c>
      <c r="Q3050" s="40" t="str">
        <f>IF(OR(T3050=0,RIGHT(T3050,1)=$W$1),"",COUNTIF($T$3:T3050,T3050))</f>
        <v/>
      </c>
      <c r="S3050" s="6">
        <f t="shared" si="478"/>
        <v>0</v>
      </c>
      <c r="T3050" s="36">
        <f t="shared" si="479"/>
        <v>0</v>
      </c>
      <c r="V3050" s="6">
        <f t="shared" si="480"/>
        <v>0</v>
      </c>
      <c r="Y3050" s="8">
        <f t="shared" si="481"/>
        <v>46023</v>
      </c>
    </row>
    <row r="3051" spans="2:25" ht="18.75" x14ac:dyDescent="0.3">
      <c r="B3051" s="6">
        <f t="shared" si="473"/>
        <v>0</v>
      </c>
      <c r="C3051" s="6">
        <f t="shared" si="474"/>
        <v>0</v>
      </c>
      <c r="D3051" s="6" t="str">
        <f t="shared" si="475"/>
        <v/>
      </c>
      <c r="E3051" s="35" t="str">
        <f t="shared" si="472"/>
        <v/>
      </c>
      <c r="F3051" s="31"/>
      <c r="G3051" s="29"/>
      <c r="H3051" s="78" t="str">
        <f t="shared" si="476"/>
        <v/>
      </c>
      <c r="I3051" s="25"/>
      <c r="J3051" s="25"/>
      <c r="K3051" s="26"/>
      <c r="L3051" s="26"/>
      <c r="M3051" s="37"/>
      <c r="N3051" s="27"/>
      <c r="O3051" s="30"/>
      <c r="P3051" s="39" t="str">
        <f t="shared" si="477"/>
        <v/>
      </c>
      <c r="Q3051" s="40" t="str">
        <f>IF(OR(T3051=0,RIGHT(T3051,1)=$W$1),"",COUNTIF($T$3:T3051,T3051))</f>
        <v/>
      </c>
      <c r="S3051" s="6">
        <f t="shared" si="478"/>
        <v>0</v>
      </c>
      <c r="T3051" s="36">
        <f t="shared" si="479"/>
        <v>0</v>
      </c>
      <c r="V3051" s="6">
        <f t="shared" si="480"/>
        <v>0</v>
      </c>
      <c r="Y3051" s="8">
        <f t="shared" si="481"/>
        <v>46023</v>
      </c>
    </row>
    <row r="3052" spans="2:25" ht="18.75" x14ac:dyDescent="0.3">
      <c r="B3052" s="6">
        <f t="shared" si="473"/>
        <v>0</v>
      </c>
      <c r="C3052" s="6">
        <f t="shared" si="474"/>
        <v>0</v>
      </c>
      <c r="D3052" s="6" t="str">
        <f t="shared" si="475"/>
        <v/>
      </c>
      <c r="E3052" s="35" t="str">
        <f t="shared" si="472"/>
        <v/>
      </c>
      <c r="F3052" s="31"/>
      <c r="G3052" s="29"/>
      <c r="H3052" s="78" t="str">
        <f t="shared" si="476"/>
        <v/>
      </c>
      <c r="I3052" s="25"/>
      <c r="J3052" s="25"/>
      <c r="K3052" s="26"/>
      <c r="L3052" s="26"/>
      <c r="M3052" s="37"/>
      <c r="N3052" s="27"/>
      <c r="O3052" s="30"/>
      <c r="P3052" s="39" t="str">
        <f t="shared" si="477"/>
        <v/>
      </c>
      <c r="Q3052" s="40" t="str">
        <f>IF(OR(T3052=0,RIGHT(T3052,1)=$W$1),"",COUNTIF($T$3:T3052,T3052))</f>
        <v/>
      </c>
      <c r="S3052" s="6">
        <f t="shared" si="478"/>
        <v>0</v>
      </c>
      <c r="T3052" s="36">
        <f t="shared" si="479"/>
        <v>0</v>
      </c>
      <c r="V3052" s="6">
        <f t="shared" si="480"/>
        <v>0</v>
      </c>
      <c r="Y3052" s="8">
        <f t="shared" si="481"/>
        <v>46023</v>
      </c>
    </row>
    <row r="3053" spans="2:25" ht="18.75" x14ac:dyDescent="0.3">
      <c r="B3053" s="6">
        <f t="shared" si="473"/>
        <v>0</v>
      </c>
      <c r="C3053" s="6">
        <f t="shared" si="474"/>
        <v>0</v>
      </c>
      <c r="D3053" s="6" t="str">
        <f t="shared" si="475"/>
        <v/>
      </c>
      <c r="E3053" s="35" t="str">
        <f t="shared" si="472"/>
        <v/>
      </c>
      <c r="F3053" s="31"/>
      <c r="G3053" s="29"/>
      <c r="H3053" s="78" t="str">
        <f t="shared" si="476"/>
        <v/>
      </c>
      <c r="I3053" s="25"/>
      <c r="J3053" s="25"/>
      <c r="K3053" s="26"/>
      <c r="L3053" s="26"/>
      <c r="M3053" s="37"/>
      <c r="N3053" s="27"/>
      <c r="O3053" s="30"/>
      <c r="P3053" s="39" t="str">
        <f t="shared" si="477"/>
        <v/>
      </c>
      <c r="Q3053" s="40" t="str">
        <f>IF(OR(T3053=0,RIGHT(T3053,1)=$W$1),"",COUNTIF($T$3:T3053,T3053))</f>
        <v/>
      </c>
      <c r="S3053" s="6">
        <f t="shared" si="478"/>
        <v>0</v>
      </c>
      <c r="T3053" s="36">
        <f t="shared" si="479"/>
        <v>0</v>
      </c>
      <c r="V3053" s="6">
        <f t="shared" si="480"/>
        <v>0</v>
      </c>
      <c r="Y3053" s="8">
        <f t="shared" si="481"/>
        <v>46023</v>
      </c>
    </row>
    <row r="3054" spans="2:25" ht="18.75" x14ac:dyDescent="0.3">
      <c r="B3054" s="6">
        <f t="shared" si="473"/>
        <v>0</v>
      </c>
      <c r="C3054" s="6">
        <f t="shared" si="474"/>
        <v>0</v>
      </c>
      <c r="D3054" s="6" t="str">
        <f t="shared" si="475"/>
        <v/>
      </c>
      <c r="E3054" s="35" t="str">
        <f t="shared" si="472"/>
        <v/>
      </c>
      <c r="F3054" s="31"/>
      <c r="G3054" s="29"/>
      <c r="H3054" s="78" t="str">
        <f t="shared" si="476"/>
        <v/>
      </c>
      <c r="I3054" s="25"/>
      <c r="J3054" s="25"/>
      <c r="K3054" s="26"/>
      <c r="L3054" s="26"/>
      <c r="M3054" s="37"/>
      <c r="N3054" s="27"/>
      <c r="O3054" s="30"/>
      <c r="P3054" s="39" t="str">
        <f t="shared" si="477"/>
        <v/>
      </c>
      <c r="Q3054" s="40" t="str">
        <f>IF(OR(T3054=0,RIGHT(T3054,1)=$W$1),"",COUNTIF($T$3:T3054,T3054))</f>
        <v/>
      </c>
      <c r="S3054" s="6">
        <f t="shared" si="478"/>
        <v>0</v>
      </c>
      <c r="T3054" s="36">
        <f t="shared" si="479"/>
        <v>0</v>
      </c>
      <c r="V3054" s="6">
        <f t="shared" si="480"/>
        <v>0</v>
      </c>
      <c r="Y3054" s="8">
        <f t="shared" si="481"/>
        <v>46023</v>
      </c>
    </row>
    <row r="3055" spans="2:25" ht="18.75" x14ac:dyDescent="0.3">
      <c r="B3055" s="6">
        <f t="shared" si="473"/>
        <v>0</v>
      </c>
      <c r="C3055" s="6">
        <f t="shared" si="474"/>
        <v>0</v>
      </c>
      <c r="D3055" s="6" t="str">
        <f t="shared" si="475"/>
        <v/>
      </c>
      <c r="E3055" s="35" t="str">
        <f t="shared" si="472"/>
        <v/>
      </c>
      <c r="F3055" s="31"/>
      <c r="G3055" s="29"/>
      <c r="H3055" s="78" t="str">
        <f t="shared" si="476"/>
        <v/>
      </c>
      <c r="I3055" s="25"/>
      <c r="J3055" s="25"/>
      <c r="K3055" s="26"/>
      <c r="L3055" s="26"/>
      <c r="M3055" s="37"/>
      <c r="N3055" s="27"/>
      <c r="O3055" s="30"/>
      <c r="P3055" s="39" t="str">
        <f t="shared" si="477"/>
        <v/>
      </c>
      <c r="Q3055" s="40" t="str">
        <f>IF(OR(T3055=0,RIGHT(T3055,1)=$W$1),"",COUNTIF($T$3:T3055,T3055))</f>
        <v/>
      </c>
      <c r="S3055" s="6">
        <f t="shared" si="478"/>
        <v>0</v>
      </c>
      <c r="T3055" s="36">
        <f t="shared" si="479"/>
        <v>0</v>
      </c>
      <c r="V3055" s="6">
        <f t="shared" si="480"/>
        <v>0</v>
      </c>
      <c r="Y3055" s="8">
        <f t="shared" si="481"/>
        <v>46023</v>
      </c>
    </row>
    <row r="3056" spans="2:25" ht="18.75" x14ac:dyDescent="0.3">
      <c r="B3056" s="6">
        <f t="shared" si="473"/>
        <v>0</v>
      </c>
      <c r="C3056" s="6">
        <f t="shared" si="474"/>
        <v>0</v>
      </c>
      <c r="D3056" s="6" t="str">
        <f t="shared" si="475"/>
        <v/>
      </c>
      <c r="E3056" s="35" t="str">
        <f t="shared" si="472"/>
        <v/>
      </c>
      <c r="F3056" s="31"/>
      <c r="G3056" s="29"/>
      <c r="H3056" s="78" t="str">
        <f t="shared" si="476"/>
        <v/>
      </c>
      <c r="I3056" s="25"/>
      <c r="J3056" s="25"/>
      <c r="K3056" s="26"/>
      <c r="L3056" s="26"/>
      <c r="M3056" s="37"/>
      <c r="N3056" s="27"/>
      <c r="O3056" s="30"/>
      <c r="P3056" s="39" t="str">
        <f t="shared" si="477"/>
        <v/>
      </c>
      <c r="Q3056" s="40" t="str">
        <f>IF(OR(T3056=0,RIGHT(T3056,1)=$W$1),"",COUNTIF($T$3:T3056,T3056))</f>
        <v/>
      </c>
      <c r="S3056" s="6">
        <f t="shared" si="478"/>
        <v>0</v>
      </c>
      <c r="T3056" s="36">
        <f t="shared" si="479"/>
        <v>0</v>
      </c>
      <c r="V3056" s="6">
        <f t="shared" si="480"/>
        <v>0</v>
      </c>
      <c r="Y3056" s="8">
        <f t="shared" si="481"/>
        <v>46023</v>
      </c>
    </row>
    <row r="3057" spans="2:25" ht="18.75" x14ac:dyDescent="0.3">
      <c r="B3057" s="6">
        <f t="shared" si="473"/>
        <v>0</v>
      </c>
      <c r="C3057" s="6">
        <f t="shared" si="474"/>
        <v>0</v>
      </c>
      <c r="D3057" s="6" t="str">
        <f t="shared" si="475"/>
        <v/>
      </c>
      <c r="E3057" s="35" t="str">
        <f t="shared" si="472"/>
        <v/>
      </c>
      <c r="F3057" s="31"/>
      <c r="G3057" s="29"/>
      <c r="H3057" s="78" t="str">
        <f t="shared" si="476"/>
        <v/>
      </c>
      <c r="I3057" s="25"/>
      <c r="J3057" s="25"/>
      <c r="K3057" s="26"/>
      <c r="L3057" s="26"/>
      <c r="M3057" s="37"/>
      <c r="N3057" s="27"/>
      <c r="O3057" s="30"/>
      <c r="P3057" s="39" t="str">
        <f t="shared" si="477"/>
        <v/>
      </c>
      <c r="Q3057" s="40" t="str">
        <f>IF(OR(T3057=0,RIGHT(T3057,1)=$W$1),"",COUNTIF($T$3:T3057,T3057))</f>
        <v/>
      </c>
      <c r="S3057" s="6">
        <f t="shared" si="478"/>
        <v>0</v>
      </c>
      <c r="T3057" s="36">
        <f t="shared" si="479"/>
        <v>0</v>
      </c>
      <c r="V3057" s="6">
        <f t="shared" si="480"/>
        <v>0</v>
      </c>
      <c r="Y3057" s="8">
        <f t="shared" si="481"/>
        <v>46023</v>
      </c>
    </row>
    <row r="3058" spans="2:25" ht="18.75" x14ac:dyDescent="0.3">
      <c r="B3058" s="6">
        <f t="shared" si="473"/>
        <v>0</v>
      </c>
      <c r="C3058" s="6">
        <f t="shared" si="474"/>
        <v>0</v>
      </c>
      <c r="D3058" s="6" t="str">
        <f t="shared" si="475"/>
        <v/>
      </c>
      <c r="E3058" s="35" t="str">
        <f t="shared" si="472"/>
        <v/>
      </c>
      <c r="F3058" s="31"/>
      <c r="G3058" s="29"/>
      <c r="H3058" s="78" t="str">
        <f t="shared" si="476"/>
        <v/>
      </c>
      <c r="I3058" s="25"/>
      <c r="J3058" s="25"/>
      <c r="K3058" s="26"/>
      <c r="L3058" s="26"/>
      <c r="M3058" s="37"/>
      <c r="N3058" s="27"/>
      <c r="O3058" s="30"/>
      <c r="P3058" s="39" t="str">
        <f t="shared" si="477"/>
        <v/>
      </c>
      <c r="Q3058" s="40" t="str">
        <f>IF(OR(T3058=0,RIGHT(T3058,1)=$W$1),"",COUNTIF($T$3:T3058,T3058))</f>
        <v/>
      </c>
      <c r="S3058" s="6">
        <f t="shared" si="478"/>
        <v>0</v>
      </c>
      <c r="T3058" s="36">
        <f t="shared" si="479"/>
        <v>0</v>
      </c>
      <c r="V3058" s="6">
        <f t="shared" si="480"/>
        <v>0</v>
      </c>
      <c r="Y3058" s="8">
        <f t="shared" si="481"/>
        <v>46023</v>
      </c>
    </row>
    <row r="3059" spans="2:25" ht="18.75" x14ac:dyDescent="0.3">
      <c r="B3059" s="6">
        <f t="shared" si="473"/>
        <v>0</v>
      </c>
      <c r="C3059" s="6">
        <f t="shared" si="474"/>
        <v>0</v>
      </c>
      <c r="D3059" s="6" t="str">
        <f t="shared" si="475"/>
        <v/>
      </c>
      <c r="E3059" s="35" t="str">
        <f t="shared" si="472"/>
        <v/>
      </c>
      <c r="F3059" s="31"/>
      <c r="G3059" s="29"/>
      <c r="H3059" s="78" t="str">
        <f t="shared" si="476"/>
        <v/>
      </c>
      <c r="I3059" s="25"/>
      <c r="J3059" s="25"/>
      <c r="K3059" s="26"/>
      <c r="L3059" s="26"/>
      <c r="M3059" s="37"/>
      <c r="N3059" s="27"/>
      <c r="O3059" s="30"/>
      <c r="P3059" s="39" t="str">
        <f t="shared" si="477"/>
        <v/>
      </c>
      <c r="Q3059" s="40" t="str">
        <f>IF(OR(T3059=0,RIGHT(T3059,1)=$W$1),"",COUNTIF($T$3:T3059,T3059))</f>
        <v/>
      </c>
      <c r="S3059" s="6">
        <f t="shared" si="478"/>
        <v>0</v>
      </c>
      <c r="T3059" s="36">
        <f t="shared" si="479"/>
        <v>0</v>
      </c>
      <c r="V3059" s="6">
        <f t="shared" si="480"/>
        <v>0</v>
      </c>
      <c r="Y3059" s="8">
        <f t="shared" si="481"/>
        <v>46023</v>
      </c>
    </row>
    <row r="3060" spans="2:25" ht="18.75" x14ac:dyDescent="0.3">
      <c r="B3060" s="6">
        <f t="shared" si="473"/>
        <v>0</v>
      </c>
      <c r="C3060" s="6">
        <f t="shared" si="474"/>
        <v>0</v>
      </c>
      <c r="D3060" s="6" t="str">
        <f t="shared" si="475"/>
        <v/>
      </c>
      <c r="E3060" s="35" t="str">
        <f t="shared" si="472"/>
        <v/>
      </c>
      <c r="F3060" s="31"/>
      <c r="G3060" s="29"/>
      <c r="H3060" s="78" t="str">
        <f t="shared" si="476"/>
        <v/>
      </c>
      <c r="I3060" s="25"/>
      <c r="J3060" s="25"/>
      <c r="K3060" s="26"/>
      <c r="L3060" s="26"/>
      <c r="M3060" s="37"/>
      <c r="N3060" s="27"/>
      <c r="O3060" s="30"/>
      <c r="P3060" s="39" t="str">
        <f t="shared" si="477"/>
        <v/>
      </c>
      <c r="Q3060" s="40" t="str">
        <f>IF(OR(T3060=0,RIGHT(T3060,1)=$W$1),"",COUNTIF($T$3:T3060,T3060))</f>
        <v/>
      </c>
      <c r="S3060" s="6">
        <f t="shared" si="478"/>
        <v>0</v>
      </c>
      <c r="T3060" s="36">
        <f t="shared" si="479"/>
        <v>0</v>
      </c>
      <c r="V3060" s="6">
        <f t="shared" si="480"/>
        <v>0</v>
      </c>
      <c r="Y3060" s="8">
        <f t="shared" si="481"/>
        <v>46023</v>
      </c>
    </row>
    <row r="3061" spans="2:25" ht="18.75" x14ac:dyDescent="0.3">
      <c r="B3061" s="6">
        <f t="shared" si="473"/>
        <v>0</v>
      </c>
      <c r="C3061" s="6">
        <f t="shared" si="474"/>
        <v>0</v>
      </c>
      <c r="D3061" s="6" t="str">
        <f t="shared" si="475"/>
        <v/>
      </c>
      <c r="E3061" s="35" t="str">
        <f t="shared" si="472"/>
        <v/>
      </c>
      <c r="F3061" s="31"/>
      <c r="G3061" s="29"/>
      <c r="H3061" s="78" t="str">
        <f t="shared" si="476"/>
        <v/>
      </c>
      <c r="I3061" s="25"/>
      <c r="J3061" s="25"/>
      <c r="K3061" s="26"/>
      <c r="L3061" s="26"/>
      <c r="M3061" s="37"/>
      <c r="N3061" s="27"/>
      <c r="O3061" s="30"/>
      <c r="P3061" s="39" t="str">
        <f t="shared" si="477"/>
        <v/>
      </c>
      <c r="Q3061" s="40" t="str">
        <f>IF(OR(T3061=0,RIGHT(T3061,1)=$W$1),"",COUNTIF($T$3:T3061,T3061))</f>
        <v/>
      </c>
      <c r="S3061" s="6">
        <f t="shared" si="478"/>
        <v>0</v>
      </c>
      <c r="T3061" s="36">
        <f t="shared" si="479"/>
        <v>0</v>
      </c>
      <c r="V3061" s="6">
        <f t="shared" si="480"/>
        <v>0</v>
      </c>
      <c r="Y3061" s="8">
        <f t="shared" si="481"/>
        <v>46023</v>
      </c>
    </row>
    <row r="3062" spans="2:25" ht="18.75" x14ac:dyDescent="0.3">
      <c r="B3062" s="6">
        <f t="shared" si="473"/>
        <v>0</v>
      </c>
      <c r="C3062" s="6">
        <f t="shared" si="474"/>
        <v>0</v>
      </c>
      <c r="D3062" s="6" t="str">
        <f t="shared" si="475"/>
        <v/>
      </c>
      <c r="E3062" s="35" t="str">
        <f t="shared" si="472"/>
        <v/>
      </c>
      <c r="F3062" s="31"/>
      <c r="G3062" s="29"/>
      <c r="H3062" s="78" t="str">
        <f t="shared" si="476"/>
        <v/>
      </c>
      <c r="I3062" s="25"/>
      <c r="J3062" s="25"/>
      <c r="K3062" s="26"/>
      <c r="L3062" s="26"/>
      <c r="M3062" s="37"/>
      <c r="N3062" s="27"/>
      <c r="O3062" s="30"/>
      <c r="P3062" s="39" t="str">
        <f t="shared" si="477"/>
        <v/>
      </c>
      <c r="Q3062" s="40" t="str">
        <f>IF(OR(T3062=0,RIGHT(T3062,1)=$W$1),"",COUNTIF($T$3:T3062,T3062))</f>
        <v/>
      </c>
      <c r="S3062" s="6">
        <f t="shared" si="478"/>
        <v>0</v>
      </c>
      <c r="T3062" s="36">
        <f t="shared" si="479"/>
        <v>0</v>
      </c>
      <c r="V3062" s="6">
        <f t="shared" si="480"/>
        <v>0</v>
      </c>
      <c r="Y3062" s="8">
        <f t="shared" si="481"/>
        <v>46023</v>
      </c>
    </row>
    <row r="3063" spans="2:25" ht="18.75" x14ac:dyDescent="0.3">
      <c r="B3063" s="6">
        <f t="shared" si="473"/>
        <v>0</v>
      </c>
      <c r="C3063" s="6">
        <f t="shared" si="474"/>
        <v>0</v>
      </c>
      <c r="D3063" s="6" t="str">
        <f t="shared" si="475"/>
        <v/>
      </c>
      <c r="E3063" s="35" t="str">
        <f t="shared" si="472"/>
        <v/>
      </c>
      <c r="F3063" s="31"/>
      <c r="G3063" s="29"/>
      <c r="H3063" s="78" t="str">
        <f t="shared" si="476"/>
        <v/>
      </c>
      <c r="I3063" s="25"/>
      <c r="J3063" s="25"/>
      <c r="K3063" s="26"/>
      <c r="L3063" s="26"/>
      <c r="M3063" s="37"/>
      <c r="N3063" s="27"/>
      <c r="O3063" s="30"/>
      <c r="P3063" s="39" t="str">
        <f t="shared" si="477"/>
        <v/>
      </c>
      <c r="Q3063" s="40" t="str">
        <f>IF(OR(T3063=0,RIGHT(T3063,1)=$W$1),"",COUNTIF($T$3:T3063,T3063))</f>
        <v/>
      </c>
      <c r="S3063" s="6">
        <f t="shared" si="478"/>
        <v>0</v>
      </c>
      <c r="T3063" s="36">
        <f t="shared" si="479"/>
        <v>0</v>
      </c>
      <c r="V3063" s="6">
        <f t="shared" si="480"/>
        <v>0</v>
      </c>
      <c r="Y3063" s="8">
        <f t="shared" si="481"/>
        <v>46023</v>
      </c>
    </row>
    <row r="3064" spans="2:25" ht="18.75" x14ac:dyDescent="0.3">
      <c r="B3064" s="6">
        <f t="shared" si="473"/>
        <v>0</v>
      </c>
      <c r="C3064" s="6">
        <f t="shared" si="474"/>
        <v>0</v>
      </c>
      <c r="D3064" s="6" t="str">
        <f t="shared" si="475"/>
        <v/>
      </c>
      <c r="E3064" s="35" t="str">
        <f t="shared" si="472"/>
        <v/>
      </c>
      <c r="F3064" s="31"/>
      <c r="G3064" s="29"/>
      <c r="H3064" s="78" t="str">
        <f t="shared" si="476"/>
        <v/>
      </c>
      <c r="I3064" s="25"/>
      <c r="J3064" s="25"/>
      <c r="K3064" s="26"/>
      <c r="L3064" s="26"/>
      <c r="M3064" s="37"/>
      <c r="N3064" s="27"/>
      <c r="O3064" s="30"/>
      <c r="P3064" s="39" t="str">
        <f t="shared" si="477"/>
        <v/>
      </c>
      <c r="Q3064" s="40" t="str">
        <f>IF(OR(T3064=0,RIGHT(T3064,1)=$W$1),"",COUNTIF($T$3:T3064,T3064))</f>
        <v/>
      </c>
      <c r="S3064" s="6">
        <f t="shared" si="478"/>
        <v>0</v>
      </c>
      <c r="T3064" s="36">
        <f t="shared" si="479"/>
        <v>0</v>
      </c>
      <c r="V3064" s="6">
        <f t="shared" si="480"/>
        <v>0</v>
      </c>
      <c r="Y3064" s="8">
        <f t="shared" si="481"/>
        <v>46023</v>
      </c>
    </row>
    <row r="3065" spans="2:25" ht="18.75" x14ac:dyDescent="0.3">
      <c r="B3065" s="6">
        <f t="shared" si="473"/>
        <v>0</v>
      </c>
      <c r="C3065" s="6">
        <f t="shared" si="474"/>
        <v>0</v>
      </c>
      <c r="D3065" s="6" t="str">
        <f t="shared" si="475"/>
        <v/>
      </c>
      <c r="E3065" s="35" t="str">
        <f t="shared" si="472"/>
        <v/>
      </c>
      <c r="F3065" s="31"/>
      <c r="G3065" s="29"/>
      <c r="H3065" s="78" t="str">
        <f t="shared" si="476"/>
        <v/>
      </c>
      <c r="I3065" s="25"/>
      <c r="J3065" s="25"/>
      <c r="K3065" s="26"/>
      <c r="L3065" s="26"/>
      <c r="M3065" s="37"/>
      <c r="N3065" s="27"/>
      <c r="O3065" s="30"/>
      <c r="P3065" s="39" t="str">
        <f t="shared" si="477"/>
        <v/>
      </c>
      <c r="Q3065" s="40" t="str">
        <f>IF(OR(T3065=0,RIGHT(T3065,1)=$W$1),"",COUNTIF($T$3:T3065,T3065))</f>
        <v/>
      </c>
      <c r="S3065" s="6">
        <f t="shared" si="478"/>
        <v>0</v>
      </c>
      <c r="T3065" s="36">
        <f t="shared" si="479"/>
        <v>0</v>
      </c>
      <c r="V3065" s="6">
        <f t="shared" si="480"/>
        <v>0</v>
      </c>
      <c r="Y3065" s="8">
        <f t="shared" si="481"/>
        <v>46023</v>
      </c>
    </row>
    <row r="3066" spans="2:25" ht="18.75" x14ac:dyDescent="0.3">
      <c r="B3066" s="6">
        <f t="shared" si="473"/>
        <v>0</v>
      </c>
      <c r="C3066" s="6">
        <f t="shared" si="474"/>
        <v>0</v>
      </c>
      <c r="D3066" s="6" t="str">
        <f t="shared" si="475"/>
        <v/>
      </c>
      <c r="E3066" s="35" t="str">
        <f t="shared" si="472"/>
        <v/>
      </c>
      <c r="F3066" s="31"/>
      <c r="G3066" s="29"/>
      <c r="H3066" s="78" t="str">
        <f t="shared" si="476"/>
        <v/>
      </c>
      <c r="I3066" s="25"/>
      <c r="J3066" s="25"/>
      <c r="K3066" s="26"/>
      <c r="L3066" s="26"/>
      <c r="M3066" s="37"/>
      <c r="N3066" s="27"/>
      <c r="O3066" s="30"/>
      <c r="P3066" s="39" t="str">
        <f t="shared" si="477"/>
        <v/>
      </c>
      <c r="Q3066" s="40" t="str">
        <f>IF(OR(T3066=0,RIGHT(T3066,1)=$W$1),"",COUNTIF($T$3:T3066,T3066))</f>
        <v/>
      </c>
      <c r="S3066" s="6">
        <f t="shared" si="478"/>
        <v>0</v>
      </c>
      <c r="T3066" s="36">
        <f t="shared" si="479"/>
        <v>0</v>
      </c>
      <c r="V3066" s="6">
        <f t="shared" si="480"/>
        <v>0</v>
      </c>
      <c r="Y3066" s="8">
        <f t="shared" si="481"/>
        <v>46023</v>
      </c>
    </row>
    <row r="3067" spans="2:25" ht="18.75" x14ac:dyDescent="0.3">
      <c r="B3067" s="6">
        <f t="shared" si="473"/>
        <v>0</v>
      </c>
      <c r="C3067" s="6">
        <f t="shared" si="474"/>
        <v>0</v>
      </c>
      <c r="D3067" s="6" t="str">
        <f t="shared" si="475"/>
        <v/>
      </c>
      <c r="E3067" s="35" t="str">
        <f t="shared" si="472"/>
        <v/>
      </c>
      <c r="F3067" s="31"/>
      <c r="G3067" s="29"/>
      <c r="H3067" s="78" t="str">
        <f t="shared" si="476"/>
        <v/>
      </c>
      <c r="I3067" s="25"/>
      <c r="J3067" s="25"/>
      <c r="K3067" s="26"/>
      <c r="L3067" s="26"/>
      <c r="M3067" s="37"/>
      <c r="N3067" s="27"/>
      <c r="O3067" s="30"/>
      <c r="P3067" s="39" t="str">
        <f t="shared" si="477"/>
        <v/>
      </c>
      <c r="Q3067" s="40" t="str">
        <f>IF(OR(T3067=0,RIGHT(T3067,1)=$W$1),"",COUNTIF($T$3:T3067,T3067))</f>
        <v/>
      </c>
      <c r="S3067" s="6">
        <f t="shared" si="478"/>
        <v>0</v>
      </c>
      <c r="T3067" s="36">
        <f t="shared" si="479"/>
        <v>0</v>
      </c>
      <c r="V3067" s="6">
        <f t="shared" si="480"/>
        <v>0</v>
      </c>
      <c r="Y3067" s="8">
        <f t="shared" si="481"/>
        <v>46023</v>
      </c>
    </row>
    <row r="3068" spans="2:25" ht="18.75" x14ac:dyDescent="0.3">
      <c r="B3068" s="6">
        <f t="shared" si="473"/>
        <v>0</v>
      </c>
      <c r="C3068" s="6">
        <f t="shared" si="474"/>
        <v>0</v>
      </c>
      <c r="D3068" s="6" t="str">
        <f t="shared" si="475"/>
        <v/>
      </c>
      <c r="E3068" s="35" t="str">
        <f t="shared" si="472"/>
        <v/>
      </c>
      <c r="F3068" s="31"/>
      <c r="G3068" s="29"/>
      <c r="H3068" s="78" t="str">
        <f t="shared" si="476"/>
        <v/>
      </c>
      <c r="I3068" s="25"/>
      <c r="J3068" s="25"/>
      <c r="K3068" s="26"/>
      <c r="L3068" s="26"/>
      <c r="M3068" s="37"/>
      <c r="N3068" s="27"/>
      <c r="O3068" s="30"/>
      <c r="P3068" s="39" t="str">
        <f t="shared" si="477"/>
        <v/>
      </c>
      <c r="Q3068" s="40" t="str">
        <f>IF(OR(T3068=0,RIGHT(T3068,1)=$W$1),"",COUNTIF($T$3:T3068,T3068))</f>
        <v/>
      </c>
      <c r="S3068" s="6">
        <f t="shared" si="478"/>
        <v>0</v>
      </c>
      <c r="T3068" s="36">
        <f t="shared" si="479"/>
        <v>0</v>
      </c>
      <c r="V3068" s="6">
        <f t="shared" si="480"/>
        <v>0</v>
      </c>
      <c r="Y3068" s="8">
        <f t="shared" si="481"/>
        <v>46023</v>
      </c>
    </row>
    <row r="3069" spans="2:25" ht="18.75" x14ac:dyDescent="0.3">
      <c r="B3069" s="6">
        <f t="shared" si="473"/>
        <v>0</v>
      </c>
      <c r="C3069" s="6">
        <f t="shared" si="474"/>
        <v>0</v>
      </c>
      <c r="D3069" s="6" t="str">
        <f t="shared" si="475"/>
        <v/>
      </c>
      <c r="E3069" s="35" t="str">
        <f t="shared" si="472"/>
        <v/>
      </c>
      <c r="F3069" s="31"/>
      <c r="G3069" s="29"/>
      <c r="H3069" s="78" t="str">
        <f t="shared" si="476"/>
        <v/>
      </c>
      <c r="I3069" s="25"/>
      <c r="J3069" s="25"/>
      <c r="K3069" s="26"/>
      <c r="L3069" s="26"/>
      <c r="M3069" s="37"/>
      <c r="N3069" s="27"/>
      <c r="O3069" s="30"/>
      <c r="P3069" s="39" t="str">
        <f t="shared" si="477"/>
        <v/>
      </c>
      <c r="Q3069" s="40" t="str">
        <f>IF(OR(T3069=0,RIGHT(T3069,1)=$W$1),"",COUNTIF($T$3:T3069,T3069))</f>
        <v/>
      </c>
      <c r="S3069" s="6">
        <f t="shared" si="478"/>
        <v>0</v>
      </c>
      <c r="T3069" s="36">
        <f t="shared" si="479"/>
        <v>0</v>
      </c>
      <c r="V3069" s="6">
        <f t="shared" si="480"/>
        <v>0</v>
      </c>
      <c r="Y3069" s="8">
        <f t="shared" si="481"/>
        <v>46023</v>
      </c>
    </row>
    <row r="3070" spans="2:25" ht="18.75" x14ac:dyDescent="0.3">
      <c r="B3070" s="6">
        <f t="shared" si="473"/>
        <v>0</v>
      </c>
      <c r="C3070" s="6">
        <f t="shared" si="474"/>
        <v>0</v>
      </c>
      <c r="D3070" s="6" t="str">
        <f t="shared" si="475"/>
        <v/>
      </c>
      <c r="E3070" s="35" t="str">
        <f t="shared" si="472"/>
        <v/>
      </c>
      <c r="F3070" s="31"/>
      <c r="G3070" s="29"/>
      <c r="H3070" s="78" t="str">
        <f t="shared" si="476"/>
        <v/>
      </c>
      <c r="I3070" s="25"/>
      <c r="J3070" s="25"/>
      <c r="K3070" s="26"/>
      <c r="L3070" s="26"/>
      <c r="M3070" s="37"/>
      <c r="N3070" s="27"/>
      <c r="O3070" s="30"/>
      <c r="P3070" s="39" t="str">
        <f t="shared" si="477"/>
        <v/>
      </c>
      <c r="Q3070" s="40" t="str">
        <f>IF(OR(T3070=0,RIGHT(T3070,1)=$W$1),"",COUNTIF($T$3:T3070,T3070))</f>
        <v/>
      </c>
      <c r="S3070" s="6">
        <f t="shared" si="478"/>
        <v>0</v>
      </c>
      <c r="T3070" s="36">
        <f t="shared" si="479"/>
        <v>0</v>
      </c>
      <c r="V3070" s="6">
        <f t="shared" si="480"/>
        <v>0</v>
      </c>
      <c r="Y3070" s="8">
        <f t="shared" si="481"/>
        <v>46023</v>
      </c>
    </row>
    <row r="3071" spans="2:25" ht="18.75" x14ac:dyDescent="0.3">
      <c r="B3071" s="6">
        <f t="shared" si="473"/>
        <v>0</v>
      </c>
      <c r="C3071" s="6">
        <f t="shared" si="474"/>
        <v>0</v>
      </c>
      <c r="D3071" s="6" t="str">
        <f t="shared" si="475"/>
        <v/>
      </c>
      <c r="E3071" s="35" t="str">
        <f t="shared" si="472"/>
        <v/>
      </c>
      <c r="F3071" s="31"/>
      <c r="G3071" s="29"/>
      <c r="H3071" s="78" t="str">
        <f t="shared" si="476"/>
        <v/>
      </c>
      <c r="I3071" s="25"/>
      <c r="J3071" s="25"/>
      <c r="K3071" s="26"/>
      <c r="L3071" s="26"/>
      <c r="M3071" s="37"/>
      <c r="N3071" s="27"/>
      <c r="O3071" s="30"/>
      <c r="P3071" s="39" t="str">
        <f t="shared" si="477"/>
        <v/>
      </c>
      <c r="Q3071" s="40" t="str">
        <f>IF(OR(T3071=0,RIGHT(T3071,1)=$W$1),"",COUNTIF($T$3:T3071,T3071))</f>
        <v/>
      </c>
      <c r="S3071" s="6">
        <f t="shared" si="478"/>
        <v>0</v>
      </c>
      <c r="T3071" s="36">
        <f t="shared" si="479"/>
        <v>0</v>
      </c>
      <c r="V3071" s="6">
        <f t="shared" si="480"/>
        <v>0</v>
      </c>
      <c r="Y3071" s="8">
        <f t="shared" si="481"/>
        <v>46023</v>
      </c>
    </row>
    <row r="3072" spans="2:25" ht="18.75" x14ac:dyDescent="0.3">
      <c r="B3072" s="6">
        <f t="shared" si="473"/>
        <v>0</v>
      </c>
      <c r="C3072" s="6">
        <f t="shared" si="474"/>
        <v>0</v>
      </c>
      <c r="D3072" s="6" t="str">
        <f t="shared" si="475"/>
        <v/>
      </c>
      <c r="E3072" s="35" t="str">
        <f t="shared" si="472"/>
        <v/>
      </c>
      <c r="F3072" s="31"/>
      <c r="G3072" s="29"/>
      <c r="H3072" s="78" t="str">
        <f t="shared" si="476"/>
        <v/>
      </c>
      <c r="I3072" s="25"/>
      <c r="J3072" s="25"/>
      <c r="K3072" s="26"/>
      <c r="L3072" s="26"/>
      <c r="M3072" s="37"/>
      <c r="N3072" s="27"/>
      <c r="O3072" s="30"/>
      <c r="P3072" s="39" t="str">
        <f t="shared" si="477"/>
        <v/>
      </c>
      <c r="Q3072" s="40" t="str">
        <f>IF(OR(T3072=0,RIGHT(T3072,1)=$W$1),"",COUNTIF($T$3:T3072,T3072))</f>
        <v/>
      </c>
      <c r="S3072" s="6">
        <f t="shared" si="478"/>
        <v>0</v>
      </c>
      <c r="T3072" s="36">
        <f t="shared" si="479"/>
        <v>0</v>
      </c>
      <c r="V3072" s="6">
        <f t="shared" si="480"/>
        <v>0</v>
      </c>
      <c r="Y3072" s="8">
        <f t="shared" si="481"/>
        <v>46023</v>
      </c>
    </row>
    <row r="3073" spans="2:25" ht="18.75" x14ac:dyDescent="0.3">
      <c r="B3073" s="6">
        <f t="shared" si="473"/>
        <v>0</v>
      </c>
      <c r="C3073" s="6">
        <f t="shared" si="474"/>
        <v>0</v>
      </c>
      <c r="D3073" s="6" t="str">
        <f t="shared" si="475"/>
        <v/>
      </c>
      <c r="E3073" s="35" t="str">
        <f t="shared" si="472"/>
        <v/>
      </c>
      <c r="F3073" s="31"/>
      <c r="G3073" s="29"/>
      <c r="H3073" s="78" t="str">
        <f t="shared" si="476"/>
        <v/>
      </c>
      <c r="I3073" s="25"/>
      <c r="J3073" s="25"/>
      <c r="K3073" s="26"/>
      <c r="L3073" s="26"/>
      <c r="M3073" s="37"/>
      <c r="N3073" s="27"/>
      <c r="O3073" s="30"/>
      <c r="P3073" s="39" t="str">
        <f t="shared" si="477"/>
        <v/>
      </c>
      <c r="Q3073" s="40" t="str">
        <f>IF(OR(T3073=0,RIGHT(T3073,1)=$W$1),"",COUNTIF($T$3:T3073,T3073))</f>
        <v/>
      </c>
      <c r="S3073" s="6">
        <f t="shared" si="478"/>
        <v>0</v>
      </c>
      <c r="T3073" s="36">
        <f t="shared" si="479"/>
        <v>0</v>
      </c>
      <c r="V3073" s="6">
        <f t="shared" si="480"/>
        <v>0</v>
      </c>
      <c r="Y3073" s="8">
        <f t="shared" si="481"/>
        <v>46023</v>
      </c>
    </row>
    <row r="3074" spans="2:25" ht="18.75" x14ac:dyDescent="0.3">
      <c r="B3074" s="6">
        <f t="shared" si="473"/>
        <v>0</v>
      </c>
      <c r="C3074" s="6">
        <f t="shared" si="474"/>
        <v>0</v>
      </c>
      <c r="D3074" s="6" t="str">
        <f t="shared" si="475"/>
        <v/>
      </c>
      <c r="E3074" s="35" t="str">
        <f t="shared" si="472"/>
        <v/>
      </c>
      <c r="F3074" s="31"/>
      <c r="G3074" s="29"/>
      <c r="H3074" s="78" t="str">
        <f t="shared" si="476"/>
        <v/>
      </c>
      <c r="I3074" s="25"/>
      <c r="J3074" s="25"/>
      <c r="K3074" s="26"/>
      <c r="L3074" s="26"/>
      <c r="M3074" s="37"/>
      <c r="N3074" s="27"/>
      <c r="O3074" s="30"/>
      <c r="P3074" s="39" t="str">
        <f t="shared" si="477"/>
        <v/>
      </c>
      <c r="Q3074" s="40" t="str">
        <f>IF(OR(T3074=0,RIGHT(T3074,1)=$W$1),"",COUNTIF($T$3:T3074,T3074))</f>
        <v/>
      </c>
      <c r="S3074" s="6">
        <f t="shared" si="478"/>
        <v>0</v>
      </c>
      <c r="T3074" s="36">
        <f t="shared" si="479"/>
        <v>0</v>
      </c>
      <c r="V3074" s="6">
        <f t="shared" si="480"/>
        <v>0</v>
      </c>
      <c r="Y3074" s="8">
        <f t="shared" si="481"/>
        <v>46023</v>
      </c>
    </row>
    <row r="3075" spans="2:25" ht="18.75" x14ac:dyDescent="0.3">
      <c r="B3075" s="6">
        <f t="shared" si="473"/>
        <v>0</v>
      </c>
      <c r="C3075" s="6">
        <f t="shared" si="474"/>
        <v>0</v>
      </c>
      <c r="D3075" s="6" t="str">
        <f t="shared" si="475"/>
        <v/>
      </c>
      <c r="E3075" s="35" t="str">
        <f t="shared" ref="E3075:E3138" si="482">IF(D3075&lt;&gt;"",D3075&amp;" - "&amp;YEAR(F3075),"")</f>
        <v/>
      </c>
      <c r="F3075" s="31"/>
      <c r="G3075" s="29"/>
      <c r="H3075" s="78" t="str">
        <f t="shared" si="476"/>
        <v/>
      </c>
      <c r="I3075" s="25"/>
      <c r="J3075" s="25"/>
      <c r="K3075" s="26"/>
      <c r="L3075" s="26"/>
      <c r="M3075" s="37"/>
      <c r="N3075" s="27"/>
      <c r="O3075" s="30"/>
      <c r="P3075" s="39" t="str">
        <f t="shared" si="477"/>
        <v/>
      </c>
      <c r="Q3075" s="40" t="str">
        <f>IF(OR(T3075=0,RIGHT(T3075,1)=$W$1),"",COUNTIF($T$3:T3075,T3075))</f>
        <v/>
      </c>
      <c r="S3075" s="6">
        <f t="shared" si="478"/>
        <v>0</v>
      </c>
      <c r="T3075" s="36">
        <f t="shared" si="479"/>
        <v>0</v>
      </c>
      <c r="V3075" s="6">
        <f t="shared" si="480"/>
        <v>0</v>
      </c>
      <c r="Y3075" s="8">
        <f t="shared" si="481"/>
        <v>46023</v>
      </c>
    </row>
    <row r="3076" spans="2:25" ht="18.75" x14ac:dyDescent="0.3">
      <c r="B3076" s="6">
        <f t="shared" ref="B3076:B3139" si="483">IF($B$1=YEAR(F3076),B3075+1,B3075)</f>
        <v>0</v>
      </c>
      <c r="C3076" s="6">
        <f t="shared" ref="C3076:C3139" si="484">IF(AND($C$1=K3076,$Y$1=YEAR(F3076)),C3075+1,C3075)</f>
        <v>0</v>
      </c>
      <c r="D3076" s="6" t="str">
        <f t="shared" ref="D3076:D3139" si="485">IF(F3076&lt;&gt;0,IF(YEAR(F3076)&lt;&gt;YEAR(F3075),1,IF(M3076=$AI$1,D3075,D3075+1)),"")</f>
        <v/>
      </c>
      <c r="E3076" s="35" t="str">
        <f t="shared" si="482"/>
        <v/>
      </c>
      <c r="F3076" s="31"/>
      <c r="G3076" s="29"/>
      <c r="H3076" s="78" t="str">
        <f t="shared" ref="H3076:H3139" si="486">IF(G3076&lt;&gt;"",F3076,"")</f>
        <v/>
      </c>
      <c r="I3076" s="25"/>
      <c r="J3076" s="25"/>
      <c r="K3076" s="26"/>
      <c r="L3076" s="26"/>
      <c r="M3076" s="37"/>
      <c r="N3076" s="27"/>
      <c r="O3076" s="30"/>
      <c r="P3076" s="39" t="str">
        <f t="shared" ref="P3076:P3139" si="487">IF(OR(T3076=0,RIGHT(T3076,1)=$W$1),"",VLOOKUP(K3076,$AD$1:$AK$15,5,FALSE))</f>
        <v/>
      </c>
      <c r="Q3076" s="40" t="str">
        <f>IF(OR(T3076=0,RIGHT(T3076,1)=$W$1),"",COUNTIF($T$3:T3076,T3076))</f>
        <v/>
      </c>
      <c r="S3076" s="6">
        <f t="shared" ref="S3076:S3139" si="488">IF(AND($C$1=K3076,$Y$1=YEAR(F3076)),C3076,0)</f>
        <v>0</v>
      </c>
      <c r="T3076" s="36">
        <f t="shared" ref="T3076:T3139" si="489">IF(F3076=0,0,YEAR(F3076)&amp;VLOOKUP(K3076,$AD$1:$AE$15,2,FALSE))</f>
        <v>0</v>
      </c>
      <c r="V3076" s="6">
        <f t="shared" ref="V3076:V3139" si="490">IF(AND(YEAR(F3076)=$Y$1,K3076=$C$1,L3076&amp;$V$1&lt;&gt;$V$1),L3076,IF(AND(YEAR(F3076)=$Y$1,K3076=$C$1),1,0))</f>
        <v>0</v>
      </c>
      <c r="Y3076" s="8">
        <f t="shared" ref="Y3076:Y3139" si="491">IF(M3076&lt;&gt;$AI$1,$Y$2,F3075)</f>
        <v>46023</v>
      </c>
    </row>
    <row r="3077" spans="2:25" ht="18.75" x14ac:dyDescent="0.3">
      <c r="B3077" s="6">
        <f t="shared" si="483"/>
        <v>0</v>
      </c>
      <c r="C3077" s="6">
        <f t="shared" si="484"/>
        <v>0</v>
      </c>
      <c r="D3077" s="6" t="str">
        <f t="shared" si="485"/>
        <v/>
      </c>
      <c r="E3077" s="35" t="str">
        <f t="shared" si="482"/>
        <v/>
      </c>
      <c r="F3077" s="31"/>
      <c r="G3077" s="29"/>
      <c r="H3077" s="78" t="str">
        <f t="shared" si="486"/>
        <v/>
      </c>
      <c r="I3077" s="25"/>
      <c r="J3077" s="25"/>
      <c r="K3077" s="26"/>
      <c r="L3077" s="26"/>
      <c r="M3077" s="37"/>
      <c r="N3077" s="27"/>
      <c r="O3077" s="30"/>
      <c r="P3077" s="39" t="str">
        <f t="shared" si="487"/>
        <v/>
      </c>
      <c r="Q3077" s="40" t="str">
        <f>IF(OR(T3077=0,RIGHT(T3077,1)=$W$1),"",COUNTIF($T$3:T3077,T3077))</f>
        <v/>
      </c>
      <c r="S3077" s="6">
        <f t="shared" si="488"/>
        <v>0</v>
      </c>
      <c r="T3077" s="36">
        <f t="shared" si="489"/>
        <v>0</v>
      </c>
      <c r="V3077" s="6">
        <f t="shared" si="490"/>
        <v>0</v>
      </c>
      <c r="Y3077" s="8">
        <f t="shared" si="491"/>
        <v>46023</v>
      </c>
    </row>
    <row r="3078" spans="2:25" ht="18.75" x14ac:dyDescent="0.3">
      <c r="B3078" s="6">
        <f t="shared" si="483"/>
        <v>0</v>
      </c>
      <c r="C3078" s="6">
        <f t="shared" si="484"/>
        <v>0</v>
      </c>
      <c r="D3078" s="6" t="str">
        <f t="shared" si="485"/>
        <v/>
      </c>
      <c r="E3078" s="35" t="str">
        <f t="shared" si="482"/>
        <v/>
      </c>
      <c r="F3078" s="31"/>
      <c r="G3078" s="29"/>
      <c r="H3078" s="78" t="str">
        <f t="shared" si="486"/>
        <v/>
      </c>
      <c r="I3078" s="25"/>
      <c r="J3078" s="25"/>
      <c r="K3078" s="26"/>
      <c r="L3078" s="26"/>
      <c r="M3078" s="37"/>
      <c r="N3078" s="27"/>
      <c r="O3078" s="30"/>
      <c r="P3078" s="39" t="str">
        <f t="shared" si="487"/>
        <v/>
      </c>
      <c r="Q3078" s="40" t="str">
        <f>IF(OR(T3078=0,RIGHT(T3078,1)=$W$1),"",COUNTIF($T$3:T3078,T3078))</f>
        <v/>
      </c>
      <c r="S3078" s="6">
        <f t="shared" si="488"/>
        <v>0</v>
      </c>
      <c r="T3078" s="36">
        <f t="shared" si="489"/>
        <v>0</v>
      </c>
      <c r="V3078" s="6">
        <f t="shared" si="490"/>
        <v>0</v>
      </c>
      <c r="Y3078" s="8">
        <f t="shared" si="491"/>
        <v>46023</v>
      </c>
    </row>
    <row r="3079" spans="2:25" ht="18.75" x14ac:dyDescent="0.3">
      <c r="B3079" s="6">
        <f t="shared" si="483"/>
        <v>0</v>
      </c>
      <c r="C3079" s="6">
        <f t="shared" si="484"/>
        <v>0</v>
      </c>
      <c r="D3079" s="6" t="str">
        <f t="shared" si="485"/>
        <v/>
      </c>
      <c r="E3079" s="35" t="str">
        <f t="shared" si="482"/>
        <v/>
      </c>
      <c r="F3079" s="31"/>
      <c r="G3079" s="29"/>
      <c r="H3079" s="78" t="str">
        <f t="shared" si="486"/>
        <v/>
      </c>
      <c r="I3079" s="25"/>
      <c r="J3079" s="25"/>
      <c r="K3079" s="26"/>
      <c r="L3079" s="26"/>
      <c r="M3079" s="37"/>
      <c r="N3079" s="27"/>
      <c r="O3079" s="30"/>
      <c r="P3079" s="39" t="str">
        <f t="shared" si="487"/>
        <v/>
      </c>
      <c r="Q3079" s="40" t="str">
        <f>IF(OR(T3079=0,RIGHT(T3079,1)=$W$1),"",COUNTIF($T$3:T3079,T3079))</f>
        <v/>
      </c>
      <c r="S3079" s="6">
        <f t="shared" si="488"/>
        <v>0</v>
      </c>
      <c r="T3079" s="36">
        <f t="shared" si="489"/>
        <v>0</v>
      </c>
      <c r="V3079" s="6">
        <f t="shared" si="490"/>
        <v>0</v>
      </c>
      <c r="Y3079" s="8">
        <f t="shared" si="491"/>
        <v>46023</v>
      </c>
    </row>
    <row r="3080" spans="2:25" ht="18.75" x14ac:dyDescent="0.3">
      <c r="B3080" s="6">
        <f t="shared" si="483"/>
        <v>0</v>
      </c>
      <c r="C3080" s="6">
        <f t="shared" si="484"/>
        <v>0</v>
      </c>
      <c r="D3080" s="6" t="str">
        <f t="shared" si="485"/>
        <v/>
      </c>
      <c r="E3080" s="35" t="str">
        <f t="shared" si="482"/>
        <v/>
      </c>
      <c r="F3080" s="31"/>
      <c r="G3080" s="29"/>
      <c r="H3080" s="78" t="str">
        <f t="shared" si="486"/>
        <v/>
      </c>
      <c r="I3080" s="25"/>
      <c r="J3080" s="25"/>
      <c r="K3080" s="26"/>
      <c r="L3080" s="26"/>
      <c r="M3080" s="37"/>
      <c r="N3080" s="27"/>
      <c r="O3080" s="30"/>
      <c r="P3080" s="39" t="str">
        <f t="shared" si="487"/>
        <v/>
      </c>
      <c r="Q3080" s="40" t="str">
        <f>IF(OR(T3080=0,RIGHT(T3080,1)=$W$1),"",COUNTIF($T$3:T3080,T3080))</f>
        <v/>
      </c>
      <c r="S3080" s="6">
        <f t="shared" si="488"/>
        <v>0</v>
      </c>
      <c r="T3080" s="36">
        <f t="shared" si="489"/>
        <v>0</v>
      </c>
      <c r="V3080" s="6">
        <f t="shared" si="490"/>
        <v>0</v>
      </c>
      <c r="Y3080" s="8">
        <f t="shared" si="491"/>
        <v>46023</v>
      </c>
    </row>
    <row r="3081" spans="2:25" ht="18.75" x14ac:dyDescent="0.3">
      <c r="B3081" s="6">
        <f t="shared" si="483"/>
        <v>0</v>
      </c>
      <c r="C3081" s="6">
        <f t="shared" si="484"/>
        <v>0</v>
      </c>
      <c r="D3081" s="6" t="str">
        <f t="shared" si="485"/>
        <v/>
      </c>
      <c r="E3081" s="35" t="str">
        <f t="shared" si="482"/>
        <v/>
      </c>
      <c r="F3081" s="31"/>
      <c r="G3081" s="29"/>
      <c r="H3081" s="78" t="str">
        <f t="shared" si="486"/>
        <v/>
      </c>
      <c r="I3081" s="25"/>
      <c r="J3081" s="25"/>
      <c r="K3081" s="26"/>
      <c r="L3081" s="26"/>
      <c r="M3081" s="37"/>
      <c r="N3081" s="27"/>
      <c r="O3081" s="30"/>
      <c r="P3081" s="39" t="str">
        <f t="shared" si="487"/>
        <v/>
      </c>
      <c r="Q3081" s="40" t="str">
        <f>IF(OR(T3081=0,RIGHT(T3081,1)=$W$1),"",COUNTIF($T$3:T3081,T3081))</f>
        <v/>
      </c>
      <c r="S3081" s="6">
        <f t="shared" si="488"/>
        <v>0</v>
      </c>
      <c r="T3081" s="36">
        <f t="shared" si="489"/>
        <v>0</v>
      </c>
      <c r="V3081" s="6">
        <f t="shared" si="490"/>
        <v>0</v>
      </c>
      <c r="Y3081" s="8">
        <f t="shared" si="491"/>
        <v>46023</v>
      </c>
    </row>
    <row r="3082" spans="2:25" ht="18.75" x14ac:dyDescent="0.3">
      <c r="B3082" s="6">
        <f t="shared" si="483"/>
        <v>0</v>
      </c>
      <c r="C3082" s="6">
        <f t="shared" si="484"/>
        <v>0</v>
      </c>
      <c r="D3082" s="6" t="str">
        <f t="shared" si="485"/>
        <v/>
      </c>
      <c r="E3082" s="35" t="str">
        <f t="shared" si="482"/>
        <v/>
      </c>
      <c r="F3082" s="31"/>
      <c r="G3082" s="29"/>
      <c r="H3082" s="78" t="str">
        <f t="shared" si="486"/>
        <v/>
      </c>
      <c r="I3082" s="25"/>
      <c r="J3082" s="25"/>
      <c r="K3082" s="26"/>
      <c r="L3082" s="26"/>
      <c r="M3082" s="37"/>
      <c r="N3082" s="27"/>
      <c r="O3082" s="30"/>
      <c r="P3082" s="39" t="str">
        <f t="shared" si="487"/>
        <v/>
      </c>
      <c r="Q3082" s="40" t="str">
        <f>IF(OR(T3082=0,RIGHT(T3082,1)=$W$1),"",COUNTIF($T$3:T3082,T3082))</f>
        <v/>
      </c>
      <c r="S3082" s="6">
        <f t="shared" si="488"/>
        <v>0</v>
      </c>
      <c r="T3082" s="36">
        <f t="shared" si="489"/>
        <v>0</v>
      </c>
      <c r="V3082" s="6">
        <f t="shared" si="490"/>
        <v>0</v>
      </c>
      <c r="Y3082" s="8">
        <f t="shared" si="491"/>
        <v>46023</v>
      </c>
    </row>
    <row r="3083" spans="2:25" ht="18.75" x14ac:dyDescent="0.3">
      <c r="B3083" s="6">
        <f t="shared" si="483"/>
        <v>0</v>
      </c>
      <c r="C3083" s="6">
        <f t="shared" si="484"/>
        <v>0</v>
      </c>
      <c r="D3083" s="6" t="str">
        <f t="shared" si="485"/>
        <v/>
      </c>
      <c r="E3083" s="35" t="str">
        <f t="shared" si="482"/>
        <v/>
      </c>
      <c r="F3083" s="31"/>
      <c r="G3083" s="29"/>
      <c r="H3083" s="78" t="str">
        <f t="shared" si="486"/>
        <v/>
      </c>
      <c r="I3083" s="25"/>
      <c r="J3083" s="25"/>
      <c r="K3083" s="26"/>
      <c r="L3083" s="26"/>
      <c r="M3083" s="37"/>
      <c r="N3083" s="27"/>
      <c r="O3083" s="30"/>
      <c r="P3083" s="39" t="str">
        <f t="shared" si="487"/>
        <v/>
      </c>
      <c r="Q3083" s="40" t="str">
        <f>IF(OR(T3083=0,RIGHT(T3083,1)=$W$1),"",COUNTIF($T$3:T3083,T3083))</f>
        <v/>
      </c>
      <c r="S3083" s="6">
        <f t="shared" si="488"/>
        <v>0</v>
      </c>
      <c r="T3083" s="36">
        <f t="shared" si="489"/>
        <v>0</v>
      </c>
      <c r="V3083" s="6">
        <f t="shared" si="490"/>
        <v>0</v>
      </c>
      <c r="Y3083" s="8">
        <f t="shared" si="491"/>
        <v>46023</v>
      </c>
    </row>
    <row r="3084" spans="2:25" ht="18.75" x14ac:dyDescent="0.3">
      <c r="B3084" s="6">
        <f t="shared" si="483"/>
        <v>0</v>
      </c>
      <c r="C3084" s="6">
        <f t="shared" si="484"/>
        <v>0</v>
      </c>
      <c r="D3084" s="6" t="str">
        <f t="shared" si="485"/>
        <v/>
      </c>
      <c r="E3084" s="35" t="str">
        <f t="shared" si="482"/>
        <v/>
      </c>
      <c r="F3084" s="31"/>
      <c r="G3084" s="29"/>
      <c r="H3084" s="78" t="str">
        <f t="shared" si="486"/>
        <v/>
      </c>
      <c r="I3084" s="25"/>
      <c r="J3084" s="25"/>
      <c r="K3084" s="26"/>
      <c r="L3084" s="26"/>
      <c r="M3084" s="37"/>
      <c r="N3084" s="27"/>
      <c r="O3084" s="30"/>
      <c r="P3084" s="39" t="str">
        <f t="shared" si="487"/>
        <v/>
      </c>
      <c r="Q3084" s="40" t="str">
        <f>IF(OR(T3084=0,RIGHT(T3084,1)=$W$1),"",COUNTIF($T$3:T3084,T3084))</f>
        <v/>
      </c>
      <c r="S3084" s="6">
        <f t="shared" si="488"/>
        <v>0</v>
      </c>
      <c r="T3084" s="36">
        <f t="shared" si="489"/>
        <v>0</v>
      </c>
      <c r="V3084" s="6">
        <f t="shared" si="490"/>
        <v>0</v>
      </c>
      <c r="Y3084" s="8">
        <f t="shared" si="491"/>
        <v>46023</v>
      </c>
    </row>
    <row r="3085" spans="2:25" ht="18.75" x14ac:dyDescent="0.3">
      <c r="B3085" s="6">
        <f t="shared" si="483"/>
        <v>0</v>
      </c>
      <c r="C3085" s="6">
        <f t="shared" si="484"/>
        <v>0</v>
      </c>
      <c r="D3085" s="6" t="str">
        <f t="shared" si="485"/>
        <v/>
      </c>
      <c r="E3085" s="35" t="str">
        <f t="shared" si="482"/>
        <v/>
      </c>
      <c r="F3085" s="31"/>
      <c r="G3085" s="29"/>
      <c r="H3085" s="78" t="str">
        <f t="shared" si="486"/>
        <v/>
      </c>
      <c r="I3085" s="25"/>
      <c r="J3085" s="25"/>
      <c r="K3085" s="26"/>
      <c r="L3085" s="26"/>
      <c r="M3085" s="37"/>
      <c r="N3085" s="27"/>
      <c r="O3085" s="30"/>
      <c r="P3085" s="39" t="str">
        <f t="shared" si="487"/>
        <v/>
      </c>
      <c r="Q3085" s="40" t="str">
        <f>IF(OR(T3085=0,RIGHT(T3085,1)=$W$1),"",COUNTIF($T$3:T3085,T3085))</f>
        <v/>
      </c>
      <c r="S3085" s="6">
        <f t="shared" si="488"/>
        <v>0</v>
      </c>
      <c r="T3085" s="36">
        <f t="shared" si="489"/>
        <v>0</v>
      </c>
      <c r="V3085" s="6">
        <f t="shared" si="490"/>
        <v>0</v>
      </c>
      <c r="Y3085" s="8">
        <f t="shared" si="491"/>
        <v>46023</v>
      </c>
    </row>
    <row r="3086" spans="2:25" ht="18.75" x14ac:dyDescent="0.3">
      <c r="B3086" s="6">
        <f t="shared" si="483"/>
        <v>0</v>
      </c>
      <c r="C3086" s="6">
        <f t="shared" si="484"/>
        <v>0</v>
      </c>
      <c r="D3086" s="6" t="str">
        <f t="shared" si="485"/>
        <v/>
      </c>
      <c r="E3086" s="35" t="str">
        <f t="shared" si="482"/>
        <v/>
      </c>
      <c r="F3086" s="31"/>
      <c r="G3086" s="29"/>
      <c r="H3086" s="78" t="str">
        <f t="shared" si="486"/>
        <v/>
      </c>
      <c r="I3086" s="25"/>
      <c r="J3086" s="25"/>
      <c r="K3086" s="26"/>
      <c r="L3086" s="26"/>
      <c r="M3086" s="37"/>
      <c r="N3086" s="27"/>
      <c r="O3086" s="30"/>
      <c r="P3086" s="39" t="str">
        <f t="shared" si="487"/>
        <v/>
      </c>
      <c r="Q3086" s="40" t="str">
        <f>IF(OR(T3086=0,RIGHT(T3086,1)=$W$1),"",COUNTIF($T$3:T3086,T3086))</f>
        <v/>
      </c>
      <c r="S3086" s="6">
        <f t="shared" si="488"/>
        <v>0</v>
      </c>
      <c r="T3086" s="36">
        <f t="shared" si="489"/>
        <v>0</v>
      </c>
      <c r="V3086" s="6">
        <f t="shared" si="490"/>
        <v>0</v>
      </c>
      <c r="Y3086" s="8">
        <f t="shared" si="491"/>
        <v>46023</v>
      </c>
    </row>
    <row r="3087" spans="2:25" ht="18.75" x14ac:dyDescent="0.3">
      <c r="B3087" s="6">
        <f t="shared" si="483"/>
        <v>0</v>
      </c>
      <c r="C3087" s="6">
        <f t="shared" si="484"/>
        <v>0</v>
      </c>
      <c r="D3087" s="6" t="str">
        <f t="shared" si="485"/>
        <v/>
      </c>
      <c r="E3087" s="35" t="str">
        <f t="shared" si="482"/>
        <v/>
      </c>
      <c r="F3087" s="31"/>
      <c r="G3087" s="29"/>
      <c r="H3087" s="78" t="str">
        <f t="shared" si="486"/>
        <v/>
      </c>
      <c r="I3087" s="25"/>
      <c r="J3087" s="25"/>
      <c r="K3087" s="26"/>
      <c r="L3087" s="26"/>
      <c r="M3087" s="37"/>
      <c r="N3087" s="27"/>
      <c r="O3087" s="30"/>
      <c r="P3087" s="39" t="str">
        <f t="shared" si="487"/>
        <v/>
      </c>
      <c r="Q3087" s="40" t="str">
        <f>IF(OR(T3087=0,RIGHT(T3087,1)=$W$1),"",COUNTIF($T$3:T3087,T3087))</f>
        <v/>
      </c>
      <c r="S3087" s="6">
        <f t="shared" si="488"/>
        <v>0</v>
      </c>
      <c r="T3087" s="36">
        <f t="shared" si="489"/>
        <v>0</v>
      </c>
      <c r="V3087" s="6">
        <f t="shared" si="490"/>
        <v>0</v>
      </c>
      <c r="Y3087" s="8">
        <f t="shared" si="491"/>
        <v>46023</v>
      </c>
    </row>
    <row r="3088" spans="2:25" ht="18.75" x14ac:dyDescent="0.3">
      <c r="B3088" s="6">
        <f t="shared" si="483"/>
        <v>0</v>
      </c>
      <c r="C3088" s="6">
        <f t="shared" si="484"/>
        <v>0</v>
      </c>
      <c r="D3088" s="6" t="str">
        <f t="shared" si="485"/>
        <v/>
      </c>
      <c r="E3088" s="35" t="str">
        <f t="shared" si="482"/>
        <v/>
      </c>
      <c r="F3088" s="31"/>
      <c r="G3088" s="29"/>
      <c r="H3088" s="78" t="str">
        <f t="shared" si="486"/>
        <v/>
      </c>
      <c r="I3088" s="25"/>
      <c r="J3088" s="25"/>
      <c r="K3088" s="26"/>
      <c r="L3088" s="26"/>
      <c r="M3088" s="37"/>
      <c r="N3088" s="27"/>
      <c r="O3088" s="30"/>
      <c r="P3088" s="39" t="str">
        <f t="shared" si="487"/>
        <v/>
      </c>
      <c r="Q3088" s="40" t="str">
        <f>IF(OR(T3088=0,RIGHT(T3088,1)=$W$1),"",COUNTIF($T$3:T3088,T3088))</f>
        <v/>
      </c>
      <c r="S3088" s="6">
        <f t="shared" si="488"/>
        <v>0</v>
      </c>
      <c r="T3088" s="36">
        <f t="shared" si="489"/>
        <v>0</v>
      </c>
      <c r="V3088" s="6">
        <f t="shared" si="490"/>
        <v>0</v>
      </c>
      <c r="Y3088" s="8">
        <f t="shared" si="491"/>
        <v>46023</v>
      </c>
    </row>
    <row r="3089" spans="2:25" ht="18.75" x14ac:dyDescent="0.3">
      <c r="B3089" s="6">
        <f t="shared" si="483"/>
        <v>0</v>
      </c>
      <c r="C3089" s="6">
        <f t="shared" si="484"/>
        <v>0</v>
      </c>
      <c r="D3089" s="6" t="str">
        <f t="shared" si="485"/>
        <v/>
      </c>
      <c r="E3089" s="35" t="str">
        <f t="shared" si="482"/>
        <v/>
      </c>
      <c r="F3089" s="31"/>
      <c r="G3089" s="29"/>
      <c r="H3089" s="78" t="str">
        <f t="shared" si="486"/>
        <v/>
      </c>
      <c r="I3089" s="25"/>
      <c r="J3089" s="25"/>
      <c r="K3089" s="26"/>
      <c r="L3089" s="26"/>
      <c r="M3089" s="37"/>
      <c r="N3089" s="27"/>
      <c r="O3089" s="30"/>
      <c r="P3089" s="39" t="str">
        <f t="shared" si="487"/>
        <v/>
      </c>
      <c r="Q3089" s="40" t="str">
        <f>IF(OR(T3089=0,RIGHT(T3089,1)=$W$1),"",COUNTIF($T$3:T3089,T3089))</f>
        <v/>
      </c>
      <c r="S3089" s="6">
        <f t="shared" si="488"/>
        <v>0</v>
      </c>
      <c r="T3089" s="36">
        <f t="shared" si="489"/>
        <v>0</v>
      </c>
      <c r="V3089" s="6">
        <f t="shared" si="490"/>
        <v>0</v>
      </c>
      <c r="Y3089" s="8">
        <f t="shared" si="491"/>
        <v>46023</v>
      </c>
    </row>
    <row r="3090" spans="2:25" ht="18.75" x14ac:dyDescent="0.3">
      <c r="B3090" s="6">
        <f t="shared" si="483"/>
        <v>0</v>
      </c>
      <c r="C3090" s="6">
        <f t="shared" si="484"/>
        <v>0</v>
      </c>
      <c r="D3090" s="6" t="str">
        <f t="shared" si="485"/>
        <v/>
      </c>
      <c r="E3090" s="35" t="str">
        <f t="shared" si="482"/>
        <v/>
      </c>
      <c r="F3090" s="31"/>
      <c r="G3090" s="29"/>
      <c r="H3090" s="78" t="str">
        <f t="shared" si="486"/>
        <v/>
      </c>
      <c r="I3090" s="25"/>
      <c r="J3090" s="25"/>
      <c r="K3090" s="26"/>
      <c r="L3090" s="26"/>
      <c r="M3090" s="37"/>
      <c r="N3090" s="27"/>
      <c r="O3090" s="30"/>
      <c r="P3090" s="39" t="str">
        <f t="shared" si="487"/>
        <v/>
      </c>
      <c r="Q3090" s="40" t="str">
        <f>IF(OR(T3090=0,RIGHT(T3090,1)=$W$1),"",COUNTIF($T$3:T3090,T3090))</f>
        <v/>
      </c>
      <c r="S3090" s="6">
        <f t="shared" si="488"/>
        <v>0</v>
      </c>
      <c r="T3090" s="36">
        <f t="shared" si="489"/>
        <v>0</v>
      </c>
      <c r="V3090" s="6">
        <f t="shared" si="490"/>
        <v>0</v>
      </c>
      <c r="Y3090" s="8">
        <f t="shared" si="491"/>
        <v>46023</v>
      </c>
    </row>
    <row r="3091" spans="2:25" ht="18.75" x14ac:dyDescent="0.3">
      <c r="B3091" s="6">
        <f t="shared" si="483"/>
        <v>0</v>
      </c>
      <c r="C3091" s="6">
        <f t="shared" si="484"/>
        <v>0</v>
      </c>
      <c r="D3091" s="6" t="str">
        <f t="shared" si="485"/>
        <v/>
      </c>
      <c r="E3091" s="35" t="str">
        <f t="shared" si="482"/>
        <v/>
      </c>
      <c r="F3091" s="31"/>
      <c r="G3091" s="29"/>
      <c r="H3091" s="78" t="str">
        <f t="shared" si="486"/>
        <v/>
      </c>
      <c r="I3091" s="25"/>
      <c r="J3091" s="25"/>
      <c r="K3091" s="26"/>
      <c r="L3091" s="26"/>
      <c r="M3091" s="37"/>
      <c r="N3091" s="27"/>
      <c r="O3091" s="30"/>
      <c r="P3091" s="39" t="str">
        <f t="shared" si="487"/>
        <v/>
      </c>
      <c r="Q3091" s="40" t="str">
        <f>IF(OR(T3091=0,RIGHT(T3091,1)=$W$1),"",COUNTIF($T$3:T3091,T3091))</f>
        <v/>
      </c>
      <c r="S3091" s="6">
        <f t="shared" si="488"/>
        <v>0</v>
      </c>
      <c r="T3091" s="36">
        <f t="shared" si="489"/>
        <v>0</v>
      </c>
      <c r="V3091" s="6">
        <f t="shared" si="490"/>
        <v>0</v>
      </c>
      <c r="Y3091" s="8">
        <f t="shared" si="491"/>
        <v>46023</v>
      </c>
    </row>
    <row r="3092" spans="2:25" ht="18.75" x14ac:dyDescent="0.3">
      <c r="B3092" s="6">
        <f t="shared" si="483"/>
        <v>0</v>
      </c>
      <c r="C3092" s="6">
        <f t="shared" si="484"/>
        <v>0</v>
      </c>
      <c r="D3092" s="6" t="str">
        <f t="shared" si="485"/>
        <v/>
      </c>
      <c r="E3092" s="35" t="str">
        <f t="shared" si="482"/>
        <v/>
      </c>
      <c r="F3092" s="31"/>
      <c r="G3092" s="29"/>
      <c r="H3092" s="78" t="str">
        <f t="shared" si="486"/>
        <v/>
      </c>
      <c r="I3092" s="25"/>
      <c r="J3092" s="25"/>
      <c r="K3092" s="26"/>
      <c r="L3092" s="26"/>
      <c r="M3092" s="37"/>
      <c r="N3092" s="27"/>
      <c r="O3092" s="30"/>
      <c r="P3092" s="39" t="str">
        <f t="shared" si="487"/>
        <v/>
      </c>
      <c r="Q3092" s="40" t="str">
        <f>IF(OR(T3092=0,RIGHT(T3092,1)=$W$1),"",COUNTIF($T$3:T3092,T3092))</f>
        <v/>
      </c>
      <c r="S3092" s="6">
        <f t="shared" si="488"/>
        <v>0</v>
      </c>
      <c r="T3092" s="36">
        <f t="shared" si="489"/>
        <v>0</v>
      </c>
      <c r="V3092" s="6">
        <f t="shared" si="490"/>
        <v>0</v>
      </c>
      <c r="Y3092" s="8">
        <f t="shared" si="491"/>
        <v>46023</v>
      </c>
    </row>
    <row r="3093" spans="2:25" ht="18.75" x14ac:dyDescent="0.3">
      <c r="B3093" s="6">
        <f t="shared" si="483"/>
        <v>0</v>
      </c>
      <c r="C3093" s="6">
        <f t="shared" si="484"/>
        <v>0</v>
      </c>
      <c r="D3093" s="6" t="str">
        <f t="shared" si="485"/>
        <v/>
      </c>
      <c r="E3093" s="35" t="str">
        <f t="shared" si="482"/>
        <v/>
      </c>
      <c r="F3093" s="31"/>
      <c r="G3093" s="29"/>
      <c r="H3093" s="78" t="str">
        <f t="shared" si="486"/>
        <v/>
      </c>
      <c r="I3093" s="25"/>
      <c r="J3093" s="25"/>
      <c r="K3093" s="26"/>
      <c r="L3093" s="26"/>
      <c r="M3093" s="37"/>
      <c r="N3093" s="27"/>
      <c r="O3093" s="30"/>
      <c r="P3093" s="39" t="str">
        <f t="shared" si="487"/>
        <v/>
      </c>
      <c r="Q3093" s="40" t="str">
        <f>IF(OR(T3093=0,RIGHT(T3093,1)=$W$1),"",COUNTIF($T$3:T3093,T3093))</f>
        <v/>
      </c>
      <c r="S3093" s="6">
        <f t="shared" si="488"/>
        <v>0</v>
      </c>
      <c r="T3093" s="36">
        <f t="shared" si="489"/>
        <v>0</v>
      </c>
      <c r="V3093" s="6">
        <f t="shared" si="490"/>
        <v>0</v>
      </c>
      <c r="Y3093" s="8">
        <f t="shared" si="491"/>
        <v>46023</v>
      </c>
    </row>
    <row r="3094" spans="2:25" ht="18.75" x14ac:dyDescent="0.3">
      <c r="B3094" s="6">
        <f t="shared" si="483"/>
        <v>0</v>
      </c>
      <c r="C3094" s="6">
        <f t="shared" si="484"/>
        <v>0</v>
      </c>
      <c r="D3094" s="6" t="str">
        <f t="shared" si="485"/>
        <v/>
      </c>
      <c r="E3094" s="35" t="str">
        <f t="shared" si="482"/>
        <v/>
      </c>
      <c r="F3094" s="31"/>
      <c r="G3094" s="29"/>
      <c r="H3094" s="78" t="str">
        <f t="shared" si="486"/>
        <v/>
      </c>
      <c r="I3094" s="25"/>
      <c r="J3094" s="25"/>
      <c r="K3094" s="26"/>
      <c r="L3094" s="26"/>
      <c r="M3094" s="37"/>
      <c r="N3094" s="27"/>
      <c r="O3094" s="30"/>
      <c r="P3094" s="39" t="str">
        <f t="shared" si="487"/>
        <v/>
      </c>
      <c r="Q3094" s="40" t="str">
        <f>IF(OR(T3094=0,RIGHT(T3094,1)=$W$1),"",COUNTIF($T$3:T3094,T3094))</f>
        <v/>
      </c>
      <c r="S3094" s="6">
        <f t="shared" si="488"/>
        <v>0</v>
      </c>
      <c r="T3094" s="36">
        <f t="shared" si="489"/>
        <v>0</v>
      </c>
      <c r="V3094" s="6">
        <f t="shared" si="490"/>
        <v>0</v>
      </c>
      <c r="Y3094" s="8">
        <f t="shared" si="491"/>
        <v>46023</v>
      </c>
    </row>
    <row r="3095" spans="2:25" ht="18.75" x14ac:dyDescent="0.3">
      <c r="B3095" s="6">
        <f t="shared" si="483"/>
        <v>0</v>
      </c>
      <c r="C3095" s="6">
        <f t="shared" si="484"/>
        <v>0</v>
      </c>
      <c r="D3095" s="6" t="str">
        <f t="shared" si="485"/>
        <v/>
      </c>
      <c r="E3095" s="35" t="str">
        <f t="shared" si="482"/>
        <v/>
      </c>
      <c r="F3095" s="31"/>
      <c r="G3095" s="29"/>
      <c r="H3095" s="78" t="str">
        <f t="shared" si="486"/>
        <v/>
      </c>
      <c r="I3095" s="25"/>
      <c r="J3095" s="25"/>
      <c r="K3095" s="26"/>
      <c r="L3095" s="26"/>
      <c r="M3095" s="37"/>
      <c r="N3095" s="27"/>
      <c r="O3095" s="30"/>
      <c r="P3095" s="39" t="str">
        <f t="shared" si="487"/>
        <v/>
      </c>
      <c r="Q3095" s="40" t="str">
        <f>IF(OR(T3095=0,RIGHT(T3095,1)=$W$1),"",COUNTIF($T$3:T3095,T3095))</f>
        <v/>
      </c>
      <c r="S3095" s="6">
        <f t="shared" si="488"/>
        <v>0</v>
      </c>
      <c r="T3095" s="36">
        <f t="shared" si="489"/>
        <v>0</v>
      </c>
      <c r="V3095" s="6">
        <f t="shared" si="490"/>
        <v>0</v>
      </c>
      <c r="Y3095" s="8">
        <f t="shared" si="491"/>
        <v>46023</v>
      </c>
    </row>
    <row r="3096" spans="2:25" ht="18.75" x14ac:dyDescent="0.3">
      <c r="B3096" s="6">
        <f t="shared" si="483"/>
        <v>0</v>
      </c>
      <c r="C3096" s="6">
        <f t="shared" si="484"/>
        <v>0</v>
      </c>
      <c r="D3096" s="6" t="str">
        <f t="shared" si="485"/>
        <v/>
      </c>
      <c r="E3096" s="35" t="str">
        <f t="shared" si="482"/>
        <v/>
      </c>
      <c r="F3096" s="31"/>
      <c r="G3096" s="29"/>
      <c r="H3096" s="78" t="str">
        <f t="shared" si="486"/>
        <v/>
      </c>
      <c r="I3096" s="25"/>
      <c r="J3096" s="25"/>
      <c r="K3096" s="26"/>
      <c r="L3096" s="26"/>
      <c r="M3096" s="37"/>
      <c r="N3096" s="27"/>
      <c r="O3096" s="30"/>
      <c r="P3096" s="39" t="str">
        <f t="shared" si="487"/>
        <v/>
      </c>
      <c r="Q3096" s="40" t="str">
        <f>IF(OR(T3096=0,RIGHT(T3096,1)=$W$1),"",COUNTIF($T$3:T3096,T3096))</f>
        <v/>
      </c>
      <c r="S3096" s="6">
        <f t="shared" si="488"/>
        <v>0</v>
      </c>
      <c r="T3096" s="36">
        <f t="shared" si="489"/>
        <v>0</v>
      </c>
      <c r="V3096" s="6">
        <f t="shared" si="490"/>
        <v>0</v>
      </c>
      <c r="Y3096" s="8">
        <f t="shared" si="491"/>
        <v>46023</v>
      </c>
    </row>
    <row r="3097" spans="2:25" ht="18.75" x14ac:dyDescent="0.3">
      <c r="B3097" s="6">
        <f t="shared" si="483"/>
        <v>0</v>
      </c>
      <c r="C3097" s="6">
        <f t="shared" si="484"/>
        <v>0</v>
      </c>
      <c r="D3097" s="6" t="str">
        <f t="shared" si="485"/>
        <v/>
      </c>
      <c r="E3097" s="35" t="str">
        <f t="shared" si="482"/>
        <v/>
      </c>
      <c r="F3097" s="31"/>
      <c r="G3097" s="29"/>
      <c r="H3097" s="78" t="str">
        <f t="shared" si="486"/>
        <v/>
      </c>
      <c r="I3097" s="25"/>
      <c r="J3097" s="25"/>
      <c r="K3097" s="26"/>
      <c r="L3097" s="26"/>
      <c r="M3097" s="37"/>
      <c r="N3097" s="27"/>
      <c r="O3097" s="30"/>
      <c r="P3097" s="39" t="str">
        <f t="shared" si="487"/>
        <v/>
      </c>
      <c r="Q3097" s="40" t="str">
        <f>IF(OR(T3097=0,RIGHT(T3097,1)=$W$1),"",COUNTIF($T$3:T3097,T3097))</f>
        <v/>
      </c>
      <c r="S3097" s="6">
        <f t="shared" si="488"/>
        <v>0</v>
      </c>
      <c r="T3097" s="36">
        <f t="shared" si="489"/>
        <v>0</v>
      </c>
      <c r="V3097" s="6">
        <f t="shared" si="490"/>
        <v>0</v>
      </c>
      <c r="Y3097" s="8">
        <f t="shared" si="491"/>
        <v>46023</v>
      </c>
    </row>
    <row r="3098" spans="2:25" ht="18.75" x14ac:dyDescent="0.3">
      <c r="B3098" s="6">
        <f t="shared" si="483"/>
        <v>0</v>
      </c>
      <c r="C3098" s="6">
        <f t="shared" si="484"/>
        <v>0</v>
      </c>
      <c r="D3098" s="6" t="str">
        <f t="shared" si="485"/>
        <v/>
      </c>
      <c r="E3098" s="35" t="str">
        <f t="shared" si="482"/>
        <v/>
      </c>
      <c r="F3098" s="31"/>
      <c r="G3098" s="29"/>
      <c r="H3098" s="78" t="str">
        <f t="shared" si="486"/>
        <v/>
      </c>
      <c r="I3098" s="25"/>
      <c r="J3098" s="25"/>
      <c r="K3098" s="26"/>
      <c r="L3098" s="26"/>
      <c r="M3098" s="37"/>
      <c r="N3098" s="27"/>
      <c r="O3098" s="30"/>
      <c r="P3098" s="39" t="str">
        <f t="shared" si="487"/>
        <v/>
      </c>
      <c r="Q3098" s="40" t="str">
        <f>IF(OR(T3098=0,RIGHT(T3098,1)=$W$1),"",COUNTIF($T$3:T3098,T3098))</f>
        <v/>
      </c>
      <c r="S3098" s="6">
        <f t="shared" si="488"/>
        <v>0</v>
      </c>
      <c r="T3098" s="36">
        <f t="shared" si="489"/>
        <v>0</v>
      </c>
      <c r="V3098" s="6">
        <f t="shared" si="490"/>
        <v>0</v>
      </c>
      <c r="Y3098" s="8">
        <f t="shared" si="491"/>
        <v>46023</v>
      </c>
    </row>
    <row r="3099" spans="2:25" ht="18.75" x14ac:dyDescent="0.3">
      <c r="B3099" s="6">
        <f t="shared" si="483"/>
        <v>0</v>
      </c>
      <c r="C3099" s="6">
        <f t="shared" si="484"/>
        <v>0</v>
      </c>
      <c r="D3099" s="6" t="str">
        <f t="shared" si="485"/>
        <v/>
      </c>
      <c r="E3099" s="35" t="str">
        <f t="shared" si="482"/>
        <v/>
      </c>
      <c r="F3099" s="31"/>
      <c r="G3099" s="29"/>
      <c r="H3099" s="78" t="str">
        <f t="shared" si="486"/>
        <v/>
      </c>
      <c r="I3099" s="25"/>
      <c r="J3099" s="25"/>
      <c r="K3099" s="26"/>
      <c r="L3099" s="26"/>
      <c r="M3099" s="37"/>
      <c r="N3099" s="27"/>
      <c r="O3099" s="30"/>
      <c r="P3099" s="39" t="str">
        <f t="shared" si="487"/>
        <v/>
      </c>
      <c r="Q3099" s="40" t="str">
        <f>IF(OR(T3099=0,RIGHT(T3099,1)=$W$1),"",COUNTIF($T$3:T3099,T3099))</f>
        <v/>
      </c>
      <c r="S3099" s="6">
        <f t="shared" si="488"/>
        <v>0</v>
      </c>
      <c r="T3099" s="36">
        <f t="shared" si="489"/>
        <v>0</v>
      </c>
      <c r="V3099" s="6">
        <f t="shared" si="490"/>
        <v>0</v>
      </c>
      <c r="Y3099" s="8">
        <f t="shared" si="491"/>
        <v>46023</v>
      </c>
    </row>
    <row r="3100" spans="2:25" ht="18.75" x14ac:dyDescent="0.3">
      <c r="B3100" s="6">
        <f t="shared" si="483"/>
        <v>0</v>
      </c>
      <c r="C3100" s="6">
        <f t="shared" si="484"/>
        <v>0</v>
      </c>
      <c r="D3100" s="6" t="str">
        <f t="shared" si="485"/>
        <v/>
      </c>
      <c r="E3100" s="35" t="str">
        <f t="shared" si="482"/>
        <v/>
      </c>
      <c r="F3100" s="31"/>
      <c r="G3100" s="29"/>
      <c r="H3100" s="78" t="str">
        <f t="shared" si="486"/>
        <v/>
      </c>
      <c r="I3100" s="25"/>
      <c r="J3100" s="25"/>
      <c r="K3100" s="26"/>
      <c r="L3100" s="26"/>
      <c r="M3100" s="37"/>
      <c r="N3100" s="27"/>
      <c r="O3100" s="30"/>
      <c r="P3100" s="39" t="str">
        <f t="shared" si="487"/>
        <v/>
      </c>
      <c r="Q3100" s="40" t="str">
        <f>IF(OR(T3100=0,RIGHT(T3100,1)=$W$1),"",COUNTIF($T$3:T3100,T3100))</f>
        <v/>
      </c>
      <c r="S3100" s="6">
        <f t="shared" si="488"/>
        <v>0</v>
      </c>
      <c r="T3100" s="36">
        <f t="shared" si="489"/>
        <v>0</v>
      </c>
      <c r="V3100" s="6">
        <f t="shared" si="490"/>
        <v>0</v>
      </c>
      <c r="Y3100" s="8">
        <f t="shared" si="491"/>
        <v>46023</v>
      </c>
    </row>
    <row r="3101" spans="2:25" ht="18.75" x14ac:dyDescent="0.3">
      <c r="B3101" s="6">
        <f t="shared" si="483"/>
        <v>0</v>
      </c>
      <c r="C3101" s="6">
        <f t="shared" si="484"/>
        <v>0</v>
      </c>
      <c r="D3101" s="6" t="str">
        <f t="shared" si="485"/>
        <v/>
      </c>
      <c r="E3101" s="35" t="str">
        <f t="shared" si="482"/>
        <v/>
      </c>
      <c r="F3101" s="31"/>
      <c r="G3101" s="29"/>
      <c r="H3101" s="78" t="str">
        <f t="shared" si="486"/>
        <v/>
      </c>
      <c r="I3101" s="25"/>
      <c r="J3101" s="25"/>
      <c r="K3101" s="26"/>
      <c r="L3101" s="26"/>
      <c r="M3101" s="37"/>
      <c r="N3101" s="27"/>
      <c r="O3101" s="30"/>
      <c r="P3101" s="39" t="str">
        <f t="shared" si="487"/>
        <v/>
      </c>
      <c r="Q3101" s="40" t="str">
        <f>IF(OR(T3101=0,RIGHT(T3101,1)=$W$1),"",COUNTIF($T$3:T3101,T3101))</f>
        <v/>
      </c>
      <c r="S3101" s="6">
        <f t="shared" si="488"/>
        <v>0</v>
      </c>
      <c r="T3101" s="36">
        <f t="shared" si="489"/>
        <v>0</v>
      </c>
      <c r="V3101" s="6">
        <f t="shared" si="490"/>
        <v>0</v>
      </c>
      <c r="Y3101" s="8">
        <f t="shared" si="491"/>
        <v>46023</v>
      </c>
    </row>
    <row r="3102" spans="2:25" ht="18.75" x14ac:dyDescent="0.3">
      <c r="B3102" s="6">
        <f t="shared" si="483"/>
        <v>0</v>
      </c>
      <c r="C3102" s="6">
        <f t="shared" si="484"/>
        <v>0</v>
      </c>
      <c r="D3102" s="6" t="str">
        <f t="shared" si="485"/>
        <v/>
      </c>
      <c r="E3102" s="35" t="str">
        <f t="shared" si="482"/>
        <v/>
      </c>
      <c r="F3102" s="31"/>
      <c r="G3102" s="29"/>
      <c r="H3102" s="78" t="str">
        <f t="shared" si="486"/>
        <v/>
      </c>
      <c r="I3102" s="25"/>
      <c r="J3102" s="25"/>
      <c r="K3102" s="26"/>
      <c r="L3102" s="26"/>
      <c r="M3102" s="37"/>
      <c r="N3102" s="27"/>
      <c r="O3102" s="30"/>
      <c r="P3102" s="39" t="str">
        <f t="shared" si="487"/>
        <v/>
      </c>
      <c r="Q3102" s="40" t="str">
        <f>IF(OR(T3102=0,RIGHT(T3102,1)=$W$1),"",COUNTIF($T$3:T3102,T3102))</f>
        <v/>
      </c>
      <c r="S3102" s="6">
        <f t="shared" si="488"/>
        <v>0</v>
      </c>
      <c r="T3102" s="36">
        <f t="shared" si="489"/>
        <v>0</v>
      </c>
      <c r="V3102" s="6">
        <f t="shared" si="490"/>
        <v>0</v>
      </c>
      <c r="Y3102" s="8">
        <f t="shared" si="491"/>
        <v>46023</v>
      </c>
    </row>
    <row r="3103" spans="2:25" ht="18.75" x14ac:dyDescent="0.3">
      <c r="B3103" s="6">
        <f t="shared" si="483"/>
        <v>0</v>
      </c>
      <c r="C3103" s="6">
        <f t="shared" si="484"/>
        <v>0</v>
      </c>
      <c r="D3103" s="6" t="str">
        <f t="shared" si="485"/>
        <v/>
      </c>
      <c r="E3103" s="35" t="str">
        <f t="shared" si="482"/>
        <v/>
      </c>
      <c r="F3103" s="31"/>
      <c r="G3103" s="29"/>
      <c r="H3103" s="78" t="str">
        <f t="shared" si="486"/>
        <v/>
      </c>
      <c r="I3103" s="25"/>
      <c r="J3103" s="25"/>
      <c r="K3103" s="26"/>
      <c r="L3103" s="26"/>
      <c r="M3103" s="37"/>
      <c r="N3103" s="27"/>
      <c r="O3103" s="30"/>
      <c r="P3103" s="39" t="str">
        <f t="shared" si="487"/>
        <v/>
      </c>
      <c r="Q3103" s="40" t="str">
        <f>IF(OR(T3103=0,RIGHT(T3103,1)=$W$1),"",COUNTIF($T$3:T3103,T3103))</f>
        <v/>
      </c>
      <c r="S3103" s="6">
        <f t="shared" si="488"/>
        <v>0</v>
      </c>
      <c r="T3103" s="36">
        <f t="shared" si="489"/>
        <v>0</v>
      </c>
      <c r="V3103" s="6">
        <f t="shared" si="490"/>
        <v>0</v>
      </c>
      <c r="Y3103" s="8">
        <f t="shared" si="491"/>
        <v>46023</v>
      </c>
    </row>
    <row r="3104" spans="2:25" ht="18.75" x14ac:dyDescent="0.3">
      <c r="B3104" s="6">
        <f t="shared" si="483"/>
        <v>0</v>
      </c>
      <c r="C3104" s="6">
        <f t="shared" si="484"/>
        <v>0</v>
      </c>
      <c r="D3104" s="6" t="str">
        <f t="shared" si="485"/>
        <v/>
      </c>
      <c r="E3104" s="35" t="str">
        <f t="shared" si="482"/>
        <v/>
      </c>
      <c r="F3104" s="31"/>
      <c r="G3104" s="29"/>
      <c r="H3104" s="78" t="str">
        <f t="shared" si="486"/>
        <v/>
      </c>
      <c r="I3104" s="25"/>
      <c r="J3104" s="25"/>
      <c r="K3104" s="26"/>
      <c r="L3104" s="26"/>
      <c r="M3104" s="37"/>
      <c r="N3104" s="27"/>
      <c r="O3104" s="30"/>
      <c r="P3104" s="39" t="str">
        <f t="shared" si="487"/>
        <v/>
      </c>
      <c r="Q3104" s="40" t="str">
        <f>IF(OR(T3104=0,RIGHT(T3104,1)=$W$1),"",COUNTIF($T$3:T3104,T3104))</f>
        <v/>
      </c>
      <c r="S3104" s="6">
        <f t="shared" si="488"/>
        <v>0</v>
      </c>
      <c r="T3104" s="36">
        <f t="shared" si="489"/>
        <v>0</v>
      </c>
      <c r="V3104" s="6">
        <f t="shared" si="490"/>
        <v>0</v>
      </c>
      <c r="Y3104" s="8">
        <f t="shared" si="491"/>
        <v>46023</v>
      </c>
    </row>
    <row r="3105" spans="2:25" ht="18.75" x14ac:dyDescent="0.3">
      <c r="B3105" s="6">
        <f t="shared" si="483"/>
        <v>0</v>
      </c>
      <c r="C3105" s="6">
        <f t="shared" si="484"/>
        <v>0</v>
      </c>
      <c r="D3105" s="6" t="str">
        <f t="shared" si="485"/>
        <v/>
      </c>
      <c r="E3105" s="35" t="str">
        <f t="shared" si="482"/>
        <v/>
      </c>
      <c r="F3105" s="31"/>
      <c r="G3105" s="29"/>
      <c r="H3105" s="78" t="str">
        <f t="shared" si="486"/>
        <v/>
      </c>
      <c r="I3105" s="25"/>
      <c r="J3105" s="25"/>
      <c r="K3105" s="26"/>
      <c r="L3105" s="26"/>
      <c r="M3105" s="37"/>
      <c r="N3105" s="27"/>
      <c r="O3105" s="30"/>
      <c r="P3105" s="39" t="str">
        <f t="shared" si="487"/>
        <v/>
      </c>
      <c r="Q3105" s="40" t="str">
        <f>IF(OR(T3105=0,RIGHT(T3105,1)=$W$1),"",COUNTIF($T$3:T3105,T3105))</f>
        <v/>
      </c>
      <c r="S3105" s="6">
        <f t="shared" si="488"/>
        <v>0</v>
      </c>
      <c r="T3105" s="36">
        <f t="shared" si="489"/>
        <v>0</v>
      </c>
      <c r="V3105" s="6">
        <f t="shared" si="490"/>
        <v>0</v>
      </c>
      <c r="Y3105" s="8">
        <f t="shared" si="491"/>
        <v>46023</v>
      </c>
    </row>
    <row r="3106" spans="2:25" ht="18.75" x14ac:dyDescent="0.3">
      <c r="B3106" s="6">
        <f t="shared" si="483"/>
        <v>0</v>
      </c>
      <c r="C3106" s="6">
        <f t="shared" si="484"/>
        <v>0</v>
      </c>
      <c r="D3106" s="6" t="str">
        <f t="shared" si="485"/>
        <v/>
      </c>
      <c r="E3106" s="35" t="str">
        <f t="shared" si="482"/>
        <v/>
      </c>
      <c r="F3106" s="31"/>
      <c r="G3106" s="29"/>
      <c r="H3106" s="78" t="str">
        <f t="shared" si="486"/>
        <v/>
      </c>
      <c r="I3106" s="25"/>
      <c r="J3106" s="25"/>
      <c r="K3106" s="26"/>
      <c r="L3106" s="26"/>
      <c r="M3106" s="37"/>
      <c r="N3106" s="27"/>
      <c r="O3106" s="30"/>
      <c r="P3106" s="39" t="str">
        <f t="shared" si="487"/>
        <v/>
      </c>
      <c r="Q3106" s="40" t="str">
        <f>IF(OR(T3106=0,RIGHT(T3106,1)=$W$1),"",COUNTIF($T$3:T3106,T3106))</f>
        <v/>
      </c>
      <c r="S3106" s="6">
        <f t="shared" si="488"/>
        <v>0</v>
      </c>
      <c r="T3106" s="36">
        <f t="shared" si="489"/>
        <v>0</v>
      </c>
      <c r="V3106" s="6">
        <f t="shared" si="490"/>
        <v>0</v>
      </c>
      <c r="Y3106" s="8">
        <f t="shared" si="491"/>
        <v>46023</v>
      </c>
    </row>
    <row r="3107" spans="2:25" ht="18.75" x14ac:dyDescent="0.3">
      <c r="B3107" s="6">
        <f t="shared" si="483"/>
        <v>0</v>
      </c>
      <c r="C3107" s="6">
        <f t="shared" si="484"/>
        <v>0</v>
      </c>
      <c r="D3107" s="6" t="str">
        <f t="shared" si="485"/>
        <v/>
      </c>
      <c r="E3107" s="35" t="str">
        <f t="shared" si="482"/>
        <v/>
      </c>
      <c r="F3107" s="31"/>
      <c r="G3107" s="29"/>
      <c r="H3107" s="78" t="str">
        <f t="shared" si="486"/>
        <v/>
      </c>
      <c r="I3107" s="25"/>
      <c r="J3107" s="25"/>
      <c r="K3107" s="26"/>
      <c r="L3107" s="26"/>
      <c r="M3107" s="37"/>
      <c r="N3107" s="27"/>
      <c r="O3107" s="30"/>
      <c r="P3107" s="39" t="str">
        <f t="shared" si="487"/>
        <v/>
      </c>
      <c r="Q3107" s="40" t="str">
        <f>IF(OR(T3107=0,RIGHT(T3107,1)=$W$1),"",COUNTIF($T$3:T3107,T3107))</f>
        <v/>
      </c>
      <c r="S3107" s="6">
        <f t="shared" si="488"/>
        <v>0</v>
      </c>
      <c r="T3107" s="36">
        <f t="shared" si="489"/>
        <v>0</v>
      </c>
      <c r="V3107" s="6">
        <f t="shared" si="490"/>
        <v>0</v>
      </c>
      <c r="Y3107" s="8">
        <f t="shared" si="491"/>
        <v>46023</v>
      </c>
    </row>
    <row r="3108" spans="2:25" ht="18.75" x14ac:dyDescent="0.3">
      <c r="B3108" s="6">
        <f t="shared" si="483"/>
        <v>0</v>
      </c>
      <c r="C3108" s="6">
        <f t="shared" si="484"/>
        <v>0</v>
      </c>
      <c r="D3108" s="6" t="str">
        <f t="shared" si="485"/>
        <v/>
      </c>
      <c r="E3108" s="35" t="str">
        <f t="shared" si="482"/>
        <v/>
      </c>
      <c r="F3108" s="31"/>
      <c r="G3108" s="29"/>
      <c r="H3108" s="78" t="str">
        <f t="shared" si="486"/>
        <v/>
      </c>
      <c r="I3108" s="25"/>
      <c r="J3108" s="25"/>
      <c r="K3108" s="26"/>
      <c r="L3108" s="26"/>
      <c r="M3108" s="37"/>
      <c r="N3108" s="27"/>
      <c r="O3108" s="30"/>
      <c r="P3108" s="39" t="str">
        <f t="shared" si="487"/>
        <v/>
      </c>
      <c r="Q3108" s="40" t="str">
        <f>IF(OR(T3108=0,RIGHT(T3108,1)=$W$1),"",COUNTIF($T$3:T3108,T3108))</f>
        <v/>
      </c>
      <c r="S3108" s="6">
        <f t="shared" si="488"/>
        <v>0</v>
      </c>
      <c r="T3108" s="36">
        <f t="shared" si="489"/>
        <v>0</v>
      </c>
      <c r="V3108" s="6">
        <f t="shared" si="490"/>
        <v>0</v>
      </c>
      <c r="Y3108" s="8">
        <f t="shared" si="491"/>
        <v>46023</v>
      </c>
    </row>
    <row r="3109" spans="2:25" ht="18.75" x14ac:dyDescent="0.3">
      <c r="B3109" s="6">
        <f t="shared" si="483"/>
        <v>0</v>
      </c>
      <c r="C3109" s="6">
        <f t="shared" si="484"/>
        <v>0</v>
      </c>
      <c r="D3109" s="6" t="str">
        <f t="shared" si="485"/>
        <v/>
      </c>
      <c r="E3109" s="35" t="str">
        <f t="shared" si="482"/>
        <v/>
      </c>
      <c r="F3109" s="31"/>
      <c r="G3109" s="29"/>
      <c r="H3109" s="78" t="str">
        <f t="shared" si="486"/>
        <v/>
      </c>
      <c r="I3109" s="25"/>
      <c r="J3109" s="25"/>
      <c r="K3109" s="26"/>
      <c r="L3109" s="26"/>
      <c r="M3109" s="37"/>
      <c r="N3109" s="27"/>
      <c r="O3109" s="30"/>
      <c r="P3109" s="39" t="str">
        <f t="shared" si="487"/>
        <v/>
      </c>
      <c r="Q3109" s="40" t="str">
        <f>IF(OR(T3109=0,RIGHT(T3109,1)=$W$1),"",COUNTIF($T$3:T3109,T3109))</f>
        <v/>
      </c>
      <c r="S3109" s="6">
        <f t="shared" si="488"/>
        <v>0</v>
      </c>
      <c r="T3109" s="36">
        <f t="shared" si="489"/>
        <v>0</v>
      </c>
      <c r="V3109" s="6">
        <f t="shared" si="490"/>
        <v>0</v>
      </c>
      <c r="Y3109" s="8">
        <f t="shared" si="491"/>
        <v>46023</v>
      </c>
    </row>
    <row r="3110" spans="2:25" ht="18.75" x14ac:dyDescent="0.3">
      <c r="B3110" s="6">
        <f t="shared" si="483"/>
        <v>0</v>
      </c>
      <c r="C3110" s="6">
        <f t="shared" si="484"/>
        <v>0</v>
      </c>
      <c r="D3110" s="6" t="str">
        <f t="shared" si="485"/>
        <v/>
      </c>
      <c r="E3110" s="35" t="str">
        <f t="shared" si="482"/>
        <v/>
      </c>
      <c r="F3110" s="31"/>
      <c r="G3110" s="29"/>
      <c r="H3110" s="78" t="str">
        <f t="shared" si="486"/>
        <v/>
      </c>
      <c r="I3110" s="25"/>
      <c r="J3110" s="25"/>
      <c r="K3110" s="26"/>
      <c r="L3110" s="26"/>
      <c r="M3110" s="37"/>
      <c r="N3110" s="27"/>
      <c r="O3110" s="30"/>
      <c r="P3110" s="39" t="str">
        <f t="shared" si="487"/>
        <v/>
      </c>
      <c r="Q3110" s="40" t="str">
        <f>IF(OR(T3110=0,RIGHT(T3110,1)=$W$1),"",COUNTIF($T$3:T3110,T3110))</f>
        <v/>
      </c>
      <c r="S3110" s="6">
        <f t="shared" si="488"/>
        <v>0</v>
      </c>
      <c r="T3110" s="36">
        <f t="shared" si="489"/>
        <v>0</v>
      </c>
      <c r="V3110" s="6">
        <f t="shared" si="490"/>
        <v>0</v>
      </c>
      <c r="Y3110" s="8">
        <f t="shared" si="491"/>
        <v>46023</v>
      </c>
    </row>
    <row r="3111" spans="2:25" ht="18.75" x14ac:dyDescent="0.3">
      <c r="B3111" s="6">
        <f t="shared" si="483"/>
        <v>0</v>
      </c>
      <c r="C3111" s="6">
        <f t="shared" si="484"/>
        <v>0</v>
      </c>
      <c r="D3111" s="6" t="str">
        <f t="shared" si="485"/>
        <v/>
      </c>
      <c r="E3111" s="35" t="str">
        <f t="shared" si="482"/>
        <v/>
      </c>
      <c r="F3111" s="31"/>
      <c r="G3111" s="29"/>
      <c r="H3111" s="78" t="str">
        <f t="shared" si="486"/>
        <v/>
      </c>
      <c r="I3111" s="25"/>
      <c r="J3111" s="25"/>
      <c r="K3111" s="26"/>
      <c r="L3111" s="26"/>
      <c r="M3111" s="37"/>
      <c r="N3111" s="27"/>
      <c r="O3111" s="30"/>
      <c r="P3111" s="39" t="str">
        <f t="shared" si="487"/>
        <v/>
      </c>
      <c r="Q3111" s="40" t="str">
        <f>IF(OR(T3111=0,RIGHT(T3111,1)=$W$1),"",COUNTIF($T$3:T3111,T3111))</f>
        <v/>
      </c>
      <c r="S3111" s="6">
        <f t="shared" si="488"/>
        <v>0</v>
      </c>
      <c r="T3111" s="36">
        <f t="shared" si="489"/>
        <v>0</v>
      </c>
      <c r="V3111" s="6">
        <f t="shared" si="490"/>
        <v>0</v>
      </c>
      <c r="Y3111" s="8">
        <f t="shared" si="491"/>
        <v>46023</v>
      </c>
    </row>
    <row r="3112" spans="2:25" ht="18.75" x14ac:dyDescent="0.3">
      <c r="B3112" s="6">
        <f t="shared" si="483"/>
        <v>0</v>
      </c>
      <c r="C3112" s="6">
        <f t="shared" si="484"/>
        <v>0</v>
      </c>
      <c r="D3112" s="6" t="str">
        <f t="shared" si="485"/>
        <v/>
      </c>
      <c r="E3112" s="35" t="str">
        <f t="shared" si="482"/>
        <v/>
      </c>
      <c r="F3112" s="31"/>
      <c r="G3112" s="29"/>
      <c r="H3112" s="78" t="str">
        <f t="shared" si="486"/>
        <v/>
      </c>
      <c r="I3112" s="25"/>
      <c r="J3112" s="25"/>
      <c r="K3112" s="26"/>
      <c r="L3112" s="26"/>
      <c r="M3112" s="37"/>
      <c r="N3112" s="27"/>
      <c r="O3112" s="30"/>
      <c r="P3112" s="39" t="str">
        <f t="shared" si="487"/>
        <v/>
      </c>
      <c r="Q3112" s="40" t="str">
        <f>IF(OR(T3112=0,RIGHT(T3112,1)=$W$1),"",COUNTIF($T$3:T3112,T3112))</f>
        <v/>
      </c>
      <c r="S3112" s="6">
        <f t="shared" si="488"/>
        <v>0</v>
      </c>
      <c r="T3112" s="36">
        <f t="shared" si="489"/>
        <v>0</v>
      </c>
      <c r="V3112" s="6">
        <f t="shared" si="490"/>
        <v>0</v>
      </c>
      <c r="Y3112" s="8">
        <f t="shared" si="491"/>
        <v>46023</v>
      </c>
    </row>
    <row r="3113" spans="2:25" ht="18.75" x14ac:dyDescent="0.3">
      <c r="B3113" s="6">
        <f t="shared" si="483"/>
        <v>0</v>
      </c>
      <c r="C3113" s="6">
        <f t="shared" si="484"/>
        <v>0</v>
      </c>
      <c r="D3113" s="6" t="str">
        <f t="shared" si="485"/>
        <v/>
      </c>
      <c r="E3113" s="35" t="str">
        <f t="shared" si="482"/>
        <v/>
      </c>
      <c r="F3113" s="31"/>
      <c r="G3113" s="29"/>
      <c r="H3113" s="78" t="str">
        <f t="shared" si="486"/>
        <v/>
      </c>
      <c r="I3113" s="25"/>
      <c r="J3113" s="25"/>
      <c r="K3113" s="26"/>
      <c r="L3113" s="26"/>
      <c r="M3113" s="37"/>
      <c r="N3113" s="27"/>
      <c r="O3113" s="30"/>
      <c r="P3113" s="39" t="str">
        <f t="shared" si="487"/>
        <v/>
      </c>
      <c r="Q3113" s="40" t="str">
        <f>IF(OR(T3113=0,RIGHT(T3113,1)=$W$1),"",COUNTIF($T$3:T3113,T3113))</f>
        <v/>
      </c>
      <c r="S3113" s="6">
        <f t="shared" si="488"/>
        <v>0</v>
      </c>
      <c r="T3113" s="36">
        <f t="shared" si="489"/>
        <v>0</v>
      </c>
      <c r="V3113" s="6">
        <f t="shared" si="490"/>
        <v>0</v>
      </c>
      <c r="Y3113" s="8">
        <f t="shared" si="491"/>
        <v>46023</v>
      </c>
    </row>
    <row r="3114" spans="2:25" ht="18.75" x14ac:dyDescent="0.3">
      <c r="B3114" s="6">
        <f t="shared" si="483"/>
        <v>0</v>
      </c>
      <c r="C3114" s="6">
        <f t="shared" si="484"/>
        <v>0</v>
      </c>
      <c r="D3114" s="6" t="str">
        <f t="shared" si="485"/>
        <v/>
      </c>
      <c r="E3114" s="35" t="str">
        <f t="shared" si="482"/>
        <v/>
      </c>
      <c r="F3114" s="31"/>
      <c r="G3114" s="29"/>
      <c r="H3114" s="78" t="str">
        <f t="shared" si="486"/>
        <v/>
      </c>
      <c r="I3114" s="25"/>
      <c r="J3114" s="25"/>
      <c r="K3114" s="26"/>
      <c r="L3114" s="26"/>
      <c r="M3114" s="37"/>
      <c r="N3114" s="27"/>
      <c r="O3114" s="30"/>
      <c r="P3114" s="39" t="str">
        <f t="shared" si="487"/>
        <v/>
      </c>
      <c r="Q3114" s="40" t="str">
        <f>IF(OR(T3114=0,RIGHT(T3114,1)=$W$1),"",COUNTIF($T$3:T3114,T3114))</f>
        <v/>
      </c>
      <c r="S3114" s="6">
        <f t="shared" si="488"/>
        <v>0</v>
      </c>
      <c r="T3114" s="36">
        <f t="shared" si="489"/>
        <v>0</v>
      </c>
      <c r="V3114" s="6">
        <f t="shared" si="490"/>
        <v>0</v>
      </c>
      <c r="Y3114" s="8">
        <f t="shared" si="491"/>
        <v>46023</v>
      </c>
    </row>
    <row r="3115" spans="2:25" ht="18.75" x14ac:dyDescent="0.3">
      <c r="B3115" s="6">
        <f t="shared" si="483"/>
        <v>0</v>
      </c>
      <c r="C3115" s="6">
        <f t="shared" si="484"/>
        <v>0</v>
      </c>
      <c r="D3115" s="6" t="str">
        <f t="shared" si="485"/>
        <v/>
      </c>
      <c r="E3115" s="35" t="str">
        <f t="shared" si="482"/>
        <v/>
      </c>
      <c r="F3115" s="31"/>
      <c r="G3115" s="29"/>
      <c r="H3115" s="78" t="str">
        <f t="shared" si="486"/>
        <v/>
      </c>
      <c r="I3115" s="25"/>
      <c r="J3115" s="25"/>
      <c r="K3115" s="26"/>
      <c r="L3115" s="26"/>
      <c r="M3115" s="37"/>
      <c r="N3115" s="27"/>
      <c r="O3115" s="30"/>
      <c r="P3115" s="39" t="str">
        <f t="shared" si="487"/>
        <v/>
      </c>
      <c r="Q3115" s="40" t="str">
        <f>IF(OR(T3115=0,RIGHT(T3115,1)=$W$1),"",COUNTIF($T$3:T3115,T3115))</f>
        <v/>
      </c>
      <c r="S3115" s="6">
        <f t="shared" si="488"/>
        <v>0</v>
      </c>
      <c r="T3115" s="36">
        <f t="shared" si="489"/>
        <v>0</v>
      </c>
      <c r="V3115" s="6">
        <f t="shared" si="490"/>
        <v>0</v>
      </c>
      <c r="Y3115" s="8">
        <f t="shared" si="491"/>
        <v>46023</v>
      </c>
    </row>
    <row r="3116" spans="2:25" ht="18.75" x14ac:dyDescent="0.3">
      <c r="B3116" s="6">
        <f t="shared" si="483"/>
        <v>0</v>
      </c>
      <c r="C3116" s="6">
        <f t="shared" si="484"/>
        <v>0</v>
      </c>
      <c r="D3116" s="6" t="str">
        <f t="shared" si="485"/>
        <v/>
      </c>
      <c r="E3116" s="35" t="str">
        <f t="shared" si="482"/>
        <v/>
      </c>
      <c r="F3116" s="31"/>
      <c r="G3116" s="29"/>
      <c r="H3116" s="78" t="str">
        <f t="shared" si="486"/>
        <v/>
      </c>
      <c r="I3116" s="25"/>
      <c r="J3116" s="25"/>
      <c r="K3116" s="26"/>
      <c r="L3116" s="26"/>
      <c r="M3116" s="37"/>
      <c r="N3116" s="27"/>
      <c r="O3116" s="30"/>
      <c r="P3116" s="39" t="str">
        <f t="shared" si="487"/>
        <v/>
      </c>
      <c r="Q3116" s="40" t="str">
        <f>IF(OR(T3116=0,RIGHT(T3116,1)=$W$1),"",COUNTIF($T$3:T3116,T3116))</f>
        <v/>
      </c>
      <c r="S3116" s="6">
        <f t="shared" si="488"/>
        <v>0</v>
      </c>
      <c r="T3116" s="36">
        <f t="shared" si="489"/>
        <v>0</v>
      </c>
      <c r="V3116" s="6">
        <f t="shared" si="490"/>
        <v>0</v>
      </c>
      <c r="Y3116" s="8">
        <f t="shared" si="491"/>
        <v>46023</v>
      </c>
    </row>
    <row r="3117" spans="2:25" ht="18.75" x14ac:dyDescent="0.3">
      <c r="B3117" s="6">
        <f t="shared" si="483"/>
        <v>0</v>
      </c>
      <c r="C3117" s="6">
        <f t="shared" si="484"/>
        <v>0</v>
      </c>
      <c r="D3117" s="6" t="str">
        <f t="shared" si="485"/>
        <v/>
      </c>
      <c r="E3117" s="35" t="str">
        <f t="shared" si="482"/>
        <v/>
      </c>
      <c r="F3117" s="31"/>
      <c r="G3117" s="29"/>
      <c r="H3117" s="78" t="str">
        <f t="shared" si="486"/>
        <v/>
      </c>
      <c r="I3117" s="25"/>
      <c r="J3117" s="25"/>
      <c r="K3117" s="26"/>
      <c r="L3117" s="26"/>
      <c r="M3117" s="37"/>
      <c r="N3117" s="27"/>
      <c r="O3117" s="30"/>
      <c r="P3117" s="39" t="str">
        <f t="shared" si="487"/>
        <v/>
      </c>
      <c r="Q3117" s="40" t="str">
        <f>IF(OR(T3117=0,RIGHT(T3117,1)=$W$1),"",COUNTIF($T$3:T3117,T3117))</f>
        <v/>
      </c>
      <c r="S3117" s="6">
        <f t="shared" si="488"/>
        <v>0</v>
      </c>
      <c r="T3117" s="36">
        <f t="shared" si="489"/>
        <v>0</v>
      </c>
      <c r="V3117" s="6">
        <f t="shared" si="490"/>
        <v>0</v>
      </c>
      <c r="Y3117" s="8">
        <f t="shared" si="491"/>
        <v>46023</v>
      </c>
    </row>
    <row r="3118" spans="2:25" ht="18.75" x14ac:dyDescent="0.3">
      <c r="B3118" s="6">
        <f t="shared" si="483"/>
        <v>0</v>
      </c>
      <c r="C3118" s="6">
        <f t="shared" si="484"/>
        <v>0</v>
      </c>
      <c r="D3118" s="6" t="str">
        <f t="shared" si="485"/>
        <v/>
      </c>
      <c r="E3118" s="35" t="str">
        <f t="shared" si="482"/>
        <v/>
      </c>
      <c r="F3118" s="31"/>
      <c r="G3118" s="29"/>
      <c r="H3118" s="78" t="str">
        <f t="shared" si="486"/>
        <v/>
      </c>
      <c r="I3118" s="25"/>
      <c r="J3118" s="25"/>
      <c r="K3118" s="26"/>
      <c r="L3118" s="26"/>
      <c r="M3118" s="37"/>
      <c r="N3118" s="27"/>
      <c r="O3118" s="30"/>
      <c r="P3118" s="39" t="str">
        <f t="shared" si="487"/>
        <v/>
      </c>
      <c r="Q3118" s="40" t="str">
        <f>IF(OR(T3118=0,RIGHT(T3118,1)=$W$1),"",COUNTIF($T$3:T3118,T3118))</f>
        <v/>
      </c>
      <c r="S3118" s="6">
        <f t="shared" si="488"/>
        <v>0</v>
      </c>
      <c r="T3118" s="36">
        <f t="shared" si="489"/>
        <v>0</v>
      </c>
      <c r="V3118" s="6">
        <f t="shared" si="490"/>
        <v>0</v>
      </c>
      <c r="Y3118" s="8">
        <f t="shared" si="491"/>
        <v>46023</v>
      </c>
    </row>
    <row r="3119" spans="2:25" ht="18.75" x14ac:dyDescent="0.3">
      <c r="B3119" s="6">
        <f t="shared" si="483"/>
        <v>0</v>
      </c>
      <c r="C3119" s="6">
        <f t="shared" si="484"/>
        <v>0</v>
      </c>
      <c r="D3119" s="6" t="str">
        <f t="shared" si="485"/>
        <v/>
      </c>
      <c r="E3119" s="35" t="str">
        <f t="shared" si="482"/>
        <v/>
      </c>
      <c r="F3119" s="31"/>
      <c r="G3119" s="29"/>
      <c r="H3119" s="78" t="str">
        <f t="shared" si="486"/>
        <v/>
      </c>
      <c r="I3119" s="25"/>
      <c r="J3119" s="25"/>
      <c r="K3119" s="26"/>
      <c r="L3119" s="26"/>
      <c r="M3119" s="37"/>
      <c r="N3119" s="27"/>
      <c r="O3119" s="30"/>
      <c r="P3119" s="39" t="str">
        <f t="shared" si="487"/>
        <v/>
      </c>
      <c r="Q3119" s="40" t="str">
        <f>IF(OR(T3119=0,RIGHT(T3119,1)=$W$1),"",COUNTIF($T$3:T3119,T3119))</f>
        <v/>
      </c>
      <c r="S3119" s="6">
        <f t="shared" si="488"/>
        <v>0</v>
      </c>
      <c r="T3119" s="36">
        <f t="shared" si="489"/>
        <v>0</v>
      </c>
      <c r="V3119" s="6">
        <f t="shared" si="490"/>
        <v>0</v>
      </c>
      <c r="Y3119" s="8">
        <f t="shared" si="491"/>
        <v>46023</v>
      </c>
    </row>
    <row r="3120" spans="2:25" ht="18.75" x14ac:dyDescent="0.3">
      <c r="B3120" s="6">
        <f t="shared" si="483"/>
        <v>0</v>
      </c>
      <c r="C3120" s="6">
        <f t="shared" si="484"/>
        <v>0</v>
      </c>
      <c r="D3120" s="6" t="str">
        <f t="shared" si="485"/>
        <v/>
      </c>
      <c r="E3120" s="35" t="str">
        <f t="shared" si="482"/>
        <v/>
      </c>
      <c r="F3120" s="31"/>
      <c r="G3120" s="29"/>
      <c r="H3120" s="78" t="str">
        <f t="shared" si="486"/>
        <v/>
      </c>
      <c r="I3120" s="25"/>
      <c r="J3120" s="25"/>
      <c r="K3120" s="26"/>
      <c r="L3120" s="26"/>
      <c r="M3120" s="37"/>
      <c r="N3120" s="27"/>
      <c r="O3120" s="30"/>
      <c r="P3120" s="39" t="str">
        <f t="shared" si="487"/>
        <v/>
      </c>
      <c r="Q3120" s="40" t="str">
        <f>IF(OR(T3120=0,RIGHT(T3120,1)=$W$1),"",COUNTIF($T$3:T3120,T3120))</f>
        <v/>
      </c>
      <c r="S3120" s="6">
        <f t="shared" si="488"/>
        <v>0</v>
      </c>
      <c r="T3120" s="36">
        <f t="shared" si="489"/>
        <v>0</v>
      </c>
      <c r="V3120" s="6">
        <f t="shared" si="490"/>
        <v>0</v>
      </c>
      <c r="Y3120" s="8">
        <f t="shared" si="491"/>
        <v>46023</v>
      </c>
    </row>
    <row r="3121" spans="2:25" ht="18.75" x14ac:dyDescent="0.3">
      <c r="B3121" s="6">
        <f t="shared" si="483"/>
        <v>0</v>
      </c>
      <c r="C3121" s="6">
        <f t="shared" si="484"/>
        <v>0</v>
      </c>
      <c r="D3121" s="6" t="str">
        <f t="shared" si="485"/>
        <v/>
      </c>
      <c r="E3121" s="35" t="str">
        <f t="shared" si="482"/>
        <v/>
      </c>
      <c r="F3121" s="31"/>
      <c r="G3121" s="29"/>
      <c r="H3121" s="78" t="str">
        <f t="shared" si="486"/>
        <v/>
      </c>
      <c r="I3121" s="25"/>
      <c r="J3121" s="25"/>
      <c r="K3121" s="26"/>
      <c r="L3121" s="26"/>
      <c r="M3121" s="37"/>
      <c r="N3121" s="27"/>
      <c r="O3121" s="30"/>
      <c r="P3121" s="39" t="str">
        <f t="shared" si="487"/>
        <v/>
      </c>
      <c r="Q3121" s="40" t="str">
        <f>IF(OR(T3121=0,RIGHT(T3121,1)=$W$1),"",COUNTIF($T$3:T3121,T3121))</f>
        <v/>
      </c>
      <c r="S3121" s="6">
        <f t="shared" si="488"/>
        <v>0</v>
      </c>
      <c r="T3121" s="36">
        <f t="shared" si="489"/>
        <v>0</v>
      </c>
      <c r="V3121" s="6">
        <f t="shared" si="490"/>
        <v>0</v>
      </c>
      <c r="Y3121" s="8">
        <f t="shared" si="491"/>
        <v>46023</v>
      </c>
    </row>
    <row r="3122" spans="2:25" ht="18.75" x14ac:dyDescent="0.3">
      <c r="B3122" s="6">
        <f t="shared" si="483"/>
        <v>0</v>
      </c>
      <c r="C3122" s="6">
        <f t="shared" si="484"/>
        <v>0</v>
      </c>
      <c r="D3122" s="6" t="str">
        <f t="shared" si="485"/>
        <v/>
      </c>
      <c r="E3122" s="35" t="str">
        <f t="shared" si="482"/>
        <v/>
      </c>
      <c r="F3122" s="31"/>
      <c r="G3122" s="29"/>
      <c r="H3122" s="78" t="str">
        <f t="shared" si="486"/>
        <v/>
      </c>
      <c r="I3122" s="25"/>
      <c r="J3122" s="25"/>
      <c r="K3122" s="26"/>
      <c r="L3122" s="26"/>
      <c r="M3122" s="37"/>
      <c r="N3122" s="27"/>
      <c r="O3122" s="30"/>
      <c r="P3122" s="39" t="str">
        <f t="shared" si="487"/>
        <v/>
      </c>
      <c r="Q3122" s="40" t="str">
        <f>IF(OR(T3122=0,RIGHT(T3122,1)=$W$1),"",COUNTIF($T$3:T3122,T3122))</f>
        <v/>
      </c>
      <c r="S3122" s="6">
        <f t="shared" si="488"/>
        <v>0</v>
      </c>
      <c r="T3122" s="36">
        <f t="shared" si="489"/>
        <v>0</v>
      </c>
      <c r="V3122" s="6">
        <f t="shared" si="490"/>
        <v>0</v>
      </c>
      <c r="Y3122" s="8">
        <f t="shared" si="491"/>
        <v>46023</v>
      </c>
    </row>
    <row r="3123" spans="2:25" ht="18.75" x14ac:dyDescent="0.3">
      <c r="B3123" s="6">
        <f t="shared" si="483"/>
        <v>0</v>
      </c>
      <c r="C3123" s="6">
        <f t="shared" si="484"/>
        <v>0</v>
      </c>
      <c r="D3123" s="6" t="str">
        <f t="shared" si="485"/>
        <v/>
      </c>
      <c r="E3123" s="35" t="str">
        <f t="shared" si="482"/>
        <v/>
      </c>
      <c r="F3123" s="31"/>
      <c r="G3123" s="29"/>
      <c r="H3123" s="78" t="str">
        <f t="shared" si="486"/>
        <v/>
      </c>
      <c r="I3123" s="25"/>
      <c r="J3123" s="25"/>
      <c r="K3123" s="26"/>
      <c r="L3123" s="26"/>
      <c r="M3123" s="37"/>
      <c r="N3123" s="27"/>
      <c r="O3123" s="30"/>
      <c r="P3123" s="39" t="str">
        <f t="shared" si="487"/>
        <v/>
      </c>
      <c r="Q3123" s="40" t="str">
        <f>IF(OR(T3123=0,RIGHT(T3123,1)=$W$1),"",COUNTIF($T$3:T3123,T3123))</f>
        <v/>
      </c>
      <c r="S3123" s="6">
        <f t="shared" si="488"/>
        <v>0</v>
      </c>
      <c r="T3123" s="36">
        <f t="shared" si="489"/>
        <v>0</v>
      </c>
      <c r="V3123" s="6">
        <f t="shared" si="490"/>
        <v>0</v>
      </c>
      <c r="Y3123" s="8">
        <f t="shared" si="491"/>
        <v>46023</v>
      </c>
    </row>
    <row r="3124" spans="2:25" ht="18.75" x14ac:dyDescent="0.3">
      <c r="B3124" s="6">
        <f t="shared" si="483"/>
        <v>0</v>
      </c>
      <c r="C3124" s="6">
        <f t="shared" si="484"/>
        <v>0</v>
      </c>
      <c r="D3124" s="6" t="str">
        <f t="shared" si="485"/>
        <v/>
      </c>
      <c r="E3124" s="35" t="str">
        <f t="shared" si="482"/>
        <v/>
      </c>
      <c r="F3124" s="31"/>
      <c r="G3124" s="29"/>
      <c r="H3124" s="78" t="str">
        <f t="shared" si="486"/>
        <v/>
      </c>
      <c r="I3124" s="25"/>
      <c r="J3124" s="25"/>
      <c r="K3124" s="26"/>
      <c r="L3124" s="26"/>
      <c r="M3124" s="37"/>
      <c r="N3124" s="27"/>
      <c r="O3124" s="30"/>
      <c r="P3124" s="39" t="str">
        <f t="shared" si="487"/>
        <v/>
      </c>
      <c r="Q3124" s="40" t="str">
        <f>IF(OR(T3124=0,RIGHT(T3124,1)=$W$1),"",COUNTIF($T$3:T3124,T3124))</f>
        <v/>
      </c>
      <c r="S3124" s="6">
        <f t="shared" si="488"/>
        <v>0</v>
      </c>
      <c r="T3124" s="36">
        <f t="shared" si="489"/>
        <v>0</v>
      </c>
      <c r="V3124" s="6">
        <f t="shared" si="490"/>
        <v>0</v>
      </c>
      <c r="Y3124" s="8">
        <f t="shared" si="491"/>
        <v>46023</v>
      </c>
    </row>
    <row r="3125" spans="2:25" ht="18.75" x14ac:dyDescent="0.3">
      <c r="B3125" s="6">
        <f t="shared" si="483"/>
        <v>0</v>
      </c>
      <c r="C3125" s="6">
        <f t="shared" si="484"/>
        <v>0</v>
      </c>
      <c r="D3125" s="6" t="str">
        <f t="shared" si="485"/>
        <v/>
      </c>
      <c r="E3125" s="35" t="str">
        <f t="shared" si="482"/>
        <v/>
      </c>
      <c r="F3125" s="31"/>
      <c r="G3125" s="29"/>
      <c r="H3125" s="78" t="str">
        <f t="shared" si="486"/>
        <v/>
      </c>
      <c r="I3125" s="25"/>
      <c r="J3125" s="25"/>
      <c r="K3125" s="26"/>
      <c r="L3125" s="26"/>
      <c r="M3125" s="37"/>
      <c r="N3125" s="27"/>
      <c r="O3125" s="30"/>
      <c r="P3125" s="39" t="str">
        <f t="shared" si="487"/>
        <v/>
      </c>
      <c r="Q3125" s="40" t="str">
        <f>IF(OR(T3125=0,RIGHT(T3125,1)=$W$1),"",COUNTIF($T$3:T3125,T3125))</f>
        <v/>
      </c>
      <c r="S3125" s="6">
        <f t="shared" si="488"/>
        <v>0</v>
      </c>
      <c r="T3125" s="36">
        <f t="shared" si="489"/>
        <v>0</v>
      </c>
      <c r="V3125" s="6">
        <f t="shared" si="490"/>
        <v>0</v>
      </c>
      <c r="Y3125" s="8">
        <f t="shared" si="491"/>
        <v>46023</v>
      </c>
    </row>
    <row r="3126" spans="2:25" ht="18.75" x14ac:dyDescent="0.3">
      <c r="B3126" s="6">
        <f t="shared" si="483"/>
        <v>0</v>
      </c>
      <c r="C3126" s="6">
        <f t="shared" si="484"/>
        <v>0</v>
      </c>
      <c r="D3126" s="6" t="str">
        <f t="shared" si="485"/>
        <v/>
      </c>
      <c r="E3126" s="35" t="str">
        <f t="shared" si="482"/>
        <v/>
      </c>
      <c r="F3126" s="31"/>
      <c r="G3126" s="29"/>
      <c r="H3126" s="78" t="str">
        <f t="shared" si="486"/>
        <v/>
      </c>
      <c r="I3126" s="25"/>
      <c r="J3126" s="25"/>
      <c r="K3126" s="26"/>
      <c r="L3126" s="26"/>
      <c r="M3126" s="37"/>
      <c r="N3126" s="27"/>
      <c r="O3126" s="30"/>
      <c r="P3126" s="39" t="str">
        <f t="shared" si="487"/>
        <v/>
      </c>
      <c r="Q3126" s="40" t="str">
        <f>IF(OR(T3126=0,RIGHT(T3126,1)=$W$1),"",COUNTIF($T$3:T3126,T3126))</f>
        <v/>
      </c>
      <c r="S3126" s="6">
        <f t="shared" si="488"/>
        <v>0</v>
      </c>
      <c r="T3126" s="36">
        <f t="shared" si="489"/>
        <v>0</v>
      </c>
      <c r="V3126" s="6">
        <f t="shared" si="490"/>
        <v>0</v>
      </c>
      <c r="Y3126" s="8">
        <f t="shared" si="491"/>
        <v>46023</v>
      </c>
    </row>
    <row r="3127" spans="2:25" ht="18.75" x14ac:dyDescent="0.3">
      <c r="B3127" s="6">
        <f t="shared" si="483"/>
        <v>0</v>
      </c>
      <c r="C3127" s="6">
        <f t="shared" si="484"/>
        <v>0</v>
      </c>
      <c r="D3127" s="6" t="str">
        <f t="shared" si="485"/>
        <v/>
      </c>
      <c r="E3127" s="35" t="str">
        <f t="shared" si="482"/>
        <v/>
      </c>
      <c r="F3127" s="31"/>
      <c r="G3127" s="29"/>
      <c r="H3127" s="78" t="str">
        <f t="shared" si="486"/>
        <v/>
      </c>
      <c r="I3127" s="25"/>
      <c r="J3127" s="25"/>
      <c r="K3127" s="26"/>
      <c r="L3127" s="26"/>
      <c r="M3127" s="37"/>
      <c r="N3127" s="27"/>
      <c r="O3127" s="30"/>
      <c r="P3127" s="39" t="str">
        <f t="shared" si="487"/>
        <v/>
      </c>
      <c r="Q3127" s="40" t="str">
        <f>IF(OR(T3127=0,RIGHT(T3127,1)=$W$1),"",COUNTIF($T$3:T3127,T3127))</f>
        <v/>
      </c>
      <c r="S3127" s="6">
        <f t="shared" si="488"/>
        <v>0</v>
      </c>
      <c r="T3127" s="36">
        <f t="shared" si="489"/>
        <v>0</v>
      </c>
      <c r="V3127" s="6">
        <f t="shared" si="490"/>
        <v>0</v>
      </c>
      <c r="Y3127" s="8">
        <f t="shared" si="491"/>
        <v>46023</v>
      </c>
    </row>
    <row r="3128" spans="2:25" ht="18.75" x14ac:dyDescent="0.3">
      <c r="B3128" s="6">
        <f t="shared" si="483"/>
        <v>0</v>
      </c>
      <c r="C3128" s="6">
        <f t="shared" si="484"/>
        <v>0</v>
      </c>
      <c r="D3128" s="6" t="str">
        <f t="shared" si="485"/>
        <v/>
      </c>
      <c r="E3128" s="35" t="str">
        <f t="shared" si="482"/>
        <v/>
      </c>
      <c r="F3128" s="31"/>
      <c r="G3128" s="29"/>
      <c r="H3128" s="78" t="str">
        <f t="shared" si="486"/>
        <v/>
      </c>
      <c r="I3128" s="25"/>
      <c r="J3128" s="25"/>
      <c r="K3128" s="26"/>
      <c r="L3128" s="26"/>
      <c r="M3128" s="37"/>
      <c r="N3128" s="27"/>
      <c r="O3128" s="30"/>
      <c r="P3128" s="39" t="str">
        <f t="shared" si="487"/>
        <v/>
      </c>
      <c r="Q3128" s="40" t="str">
        <f>IF(OR(T3128=0,RIGHT(T3128,1)=$W$1),"",COUNTIF($T$3:T3128,T3128))</f>
        <v/>
      </c>
      <c r="S3128" s="6">
        <f t="shared" si="488"/>
        <v>0</v>
      </c>
      <c r="T3128" s="36">
        <f t="shared" si="489"/>
        <v>0</v>
      </c>
      <c r="V3128" s="6">
        <f t="shared" si="490"/>
        <v>0</v>
      </c>
      <c r="Y3128" s="8">
        <f t="shared" si="491"/>
        <v>46023</v>
      </c>
    </row>
    <row r="3129" spans="2:25" ht="18.75" x14ac:dyDescent="0.3">
      <c r="B3129" s="6">
        <f t="shared" si="483"/>
        <v>0</v>
      </c>
      <c r="C3129" s="6">
        <f t="shared" si="484"/>
        <v>0</v>
      </c>
      <c r="D3129" s="6" t="str">
        <f t="shared" si="485"/>
        <v/>
      </c>
      <c r="E3129" s="35" t="str">
        <f t="shared" si="482"/>
        <v/>
      </c>
      <c r="F3129" s="31"/>
      <c r="G3129" s="29"/>
      <c r="H3129" s="78" t="str">
        <f t="shared" si="486"/>
        <v/>
      </c>
      <c r="I3129" s="25"/>
      <c r="J3129" s="25"/>
      <c r="K3129" s="26"/>
      <c r="L3129" s="26"/>
      <c r="M3129" s="37"/>
      <c r="N3129" s="27"/>
      <c r="O3129" s="30"/>
      <c r="P3129" s="39" t="str">
        <f t="shared" si="487"/>
        <v/>
      </c>
      <c r="Q3129" s="40" t="str">
        <f>IF(OR(T3129=0,RIGHT(T3129,1)=$W$1),"",COUNTIF($T$3:T3129,T3129))</f>
        <v/>
      </c>
      <c r="S3129" s="6">
        <f t="shared" si="488"/>
        <v>0</v>
      </c>
      <c r="T3129" s="36">
        <f t="shared" si="489"/>
        <v>0</v>
      </c>
      <c r="V3129" s="6">
        <f t="shared" si="490"/>
        <v>0</v>
      </c>
      <c r="Y3129" s="8">
        <f t="shared" si="491"/>
        <v>46023</v>
      </c>
    </row>
    <row r="3130" spans="2:25" ht="18.75" x14ac:dyDescent="0.3">
      <c r="B3130" s="6">
        <f t="shared" si="483"/>
        <v>0</v>
      </c>
      <c r="C3130" s="6">
        <f t="shared" si="484"/>
        <v>0</v>
      </c>
      <c r="D3130" s="6" t="str">
        <f t="shared" si="485"/>
        <v/>
      </c>
      <c r="E3130" s="35" t="str">
        <f t="shared" si="482"/>
        <v/>
      </c>
      <c r="F3130" s="31"/>
      <c r="G3130" s="29"/>
      <c r="H3130" s="78" t="str">
        <f t="shared" si="486"/>
        <v/>
      </c>
      <c r="I3130" s="25"/>
      <c r="J3130" s="25"/>
      <c r="K3130" s="26"/>
      <c r="L3130" s="26"/>
      <c r="M3130" s="37"/>
      <c r="N3130" s="27"/>
      <c r="O3130" s="30"/>
      <c r="P3130" s="39" t="str">
        <f t="shared" si="487"/>
        <v/>
      </c>
      <c r="Q3130" s="40" t="str">
        <f>IF(OR(T3130=0,RIGHT(T3130,1)=$W$1),"",COUNTIF($T$3:T3130,T3130))</f>
        <v/>
      </c>
      <c r="S3130" s="6">
        <f t="shared" si="488"/>
        <v>0</v>
      </c>
      <c r="T3130" s="36">
        <f t="shared" si="489"/>
        <v>0</v>
      </c>
      <c r="V3130" s="6">
        <f t="shared" si="490"/>
        <v>0</v>
      </c>
      <c r="Y3130" s="8">
        <f t="shared" si="491"/>
        <v>46023</v>
      </c>
    </row>
    <row r="3131" spans="2:25" ht="18.75" x14ac:dyDescent="0.3">
      <c r="B3131" s="6">
        <f t="shared" si="483"/>
        <v>0</v>
      </c>
      <c r="C3131" s="6">
        <f t="shared" si="484"/>
        <v>0</v>
      </c>
      <c r="D3131" s="6" t="str">
        <f t="shared" si="485"/>
        <v/>
      </c>
      <c r="E3131" s="35" t="str">
        <f t="shared" si="482"/>
        <v/>
      </c>
      <c r="F3131" s="31"/>
      <c r="G3131" s="29"/>
      <c r="H3131" s="78" t="str">
        <f t="shared" si="486"/>
        <v/>
      </c>
      <c r="I3131" s="25"/>
      <c r="J3131" s="25"/>
      <c r="K3131" s="26"/>
      <c r="L3131" s="26"/>
      <c r="M3131" s="37"/>
      <c r="N3131" s="27"/>
      <c r="O3131" s="30"/>
      <c r="P3131" s="39" t="str">
        <f t="shared" si="487"/>
        <v/>
      </c>
      <c r="Q3131" s="40" t="str">
        <f>IF(OR(T3131=0,RIGHT(T3131,1)=$W$1),"",COUNTIF($T$3:T3131,T3131))</f>
        <v/>
      </c>
      <c r="S3131" s="6">
        <f t="shared" si="488"/>
        <v>0</v>
      </c>
      <c r="T3131" s="36">
        <f t="shared" si="489"/>
        <v>0</v>
      </c>
      <c r="V3131" s="6">
        <f t="shared" si="490"/>
        <v>0</v>
      </c>
      <c r="Y3131" s="8">
        <f t="shared" si="491"/>
        <v>46023</v>
      </c>
    </row>
    <row r="3132" spans="2:25" ht="18.75" x14ac:dyDescent="0.3">
      <c r="B3132" s="6">
        <f t="shared" si="483"/>
        <v>0</v>
      </c>
      <c r="C3132" s="6">
        <f t="shared" si="484"/>
        <v>0</v>
      </c>
      <c r="D3132" s="6" t="str">
        <f t="shared" si="485"/>
        <v/>
      </c>
      <c r="E3132" s="35" t="str">
        <f t="shared" si="482"/>
        <v/>
      </c>
      <c r="F3132" s="31"/>
      <c r="G3132" s="29"/>
      <c r="H3132" s="78" t="str">
        <f t="shared" si="486"/>
        <v/>
      </c>
      <c r="I3132" s="25"/>
      <c r="J3132" s="25"/>
      <c r="K3132" s="26"/>
      <c r="L3132" s="26"/>
      <c r="M3132" s="37"/>
      <c r="N3132" s="27"/>
      <c r="O3132" s="30"/>
      <c r="P3132" s="39" t="str">
        <f t="shared" si="487"/>
        <v/>
      </c>
      <c r="Q3132" s="40" t="str">
        <f>IF(OR(T3132=0,RIGHT(T3132,1)=$W$1),"",COUNTIF($T$3:T3132,T3132))</f>
        <v/>
      </c>
      <c r="S3132" s="6">
        <f t="shared" si="488"/>
        <v>0</v>
      </c>
      <c r="T3132" s="36">
        <f t="shared" si="489"/>
        <v>0</v>
      </c>
      <c r="V3132" s="6">
        <f t="shared" si="490"/>
        <v>0</v>
      </c>
      <c r="Y3132" s="8">
        <f t="shared" si="491"/>
        <v>46023</v>
      </c>
    </row>
    <row r="3133" spans="2:25" ht="18.75" x14ac:dyDescent="0.3">
      <c r="B3133" s="6">
        <f t="shared" si="483"/>
        <v>0</v>
      </c>
      <c r="C3133" s="6">
        <f t="shared" si="484"/>
        <v>0</v>
      </c>
      <c r="D3133" s="6" t="str">
        <f t="shared" si="485"/>
        <v/>
      </c>
      <c r="E3133" s="35" t="str">
        <f t="shared" si="482"/>
        <v/>
      </c>
      <c r="F3133" s="31"/>
      <c r="G3133" s="29"/>
      <c r="H3133" s="78" t="str">
        <f t="shared" si="486"/>
        <v/>
      </c>
      <c r="I3133" s="25"/>
      <c r="J3133" s="25"/>
      <c r="K3133" s="26"/>
      <c r="L3133" s="26"/>
      <c r="M3133" s="37"/>
      <c r="N3133" s="27"/>
      <c r="O3133" s="30"/>
      <c r="P3133" s="39" t="str">
        <f t="shared" si="487"/>
        <v/>
      </c>
      <c r="Q3133" s="40" t="str">
        <f>IF(OR(T3133=0,RIGHT(T3133,1)=$W$1),"",COUNTIF($T$3:T3133,T3133))</f>
        <v/>
      </c>
      <c r="S3133" s="6">
        <f t="shared" si="488"/>
        <v>0</v>
      </c>
      <c r="T3133" s="36">
        <f t="shared" si="489"/>
        <v>0</v>
      </c>
      <c r="V3133" s="6">
        <f t="shared" si="490"/>
        <v>0</v>
      </c>
      <c r="Y3133" s="8">
        <f t="shared" si="491"/>
        <v>46023</v>
      </c>
    </row>
    <row r="3134" spans="2:25" ht="18.75" x14ac:dyDescent="0.3">
      <c r="B3134" s="6">
        <f t="shared" si="483"/>
        <v>0</v>
      </c>
      <c r="C3134" s="6">
        <f t="shared" si="484"/>
        <v>0</v>
      </c>
      <c r="D3134" s="6" t="str">
        <f t="shared" si="485"/>
        <v/>
      </c>
      <c r="E3134" s="35" t="str">
        <f t="shared" si="482"/>
        <v/>
      </c>
      <c r="F3134" s="31"/>
      <c r="G3134" s="29"/>
      <c r="H3134" s="78" t="str">
        <f t="shared" si="486"/>
        <v/>
      </c>
      <c r="I3134" s="25"/>
      <c r="J3134" s="25"/>
      <c r="K3134" s="26"/>
      <c r="L3134" s="26"/>
      <c r="M3134" s="37"/>
      <c r="N3134" s="27"/>
      <c r="O3134" s="30"/>
      <c r="P3134" s="39" t="str">
        <f t="shared" si="487"/>
        <v/>
      </c>
      <c r="Q3134" s="40" t="str">
        <f>IF(OR(T3134=0,RIGHT(T3134,1)=$W$1),"",COUNTIF($T$3:T3134,T3134))</f>
        <v/>
      </c>
      <c r="S3134" s="6">
        <f t="shared" si="488"/>
        <v>0</v>
      </c>
      <c r="T3134" s="36">
        <f t="shared" si="489"/>
        <v>0</v>
      </c>
      <c r="V3134" s="6">
        <f t="shared" si="490"/>
        <v>0</v>
      </c>
      <c r="Y3134" s="8">
        <f t="shared" si="491"/>
        <v>46023</v>
      </c>
    </row>
    <row r="3135" spans="2:25" ht="18.75" x14ac:dyDescent="0.3">
      <c r="B3135" s="6">
        <f t="shared" si="483"/>
        <v>0</v>
      </c>
      <c r="C3135" s="6">
        <f t="shared" si="484"/>
        <v>0</v>
      </c>
      <c r="D3135" s="6" t="str">
        <f t="shared" si="485"/>
        <v/>
      </c>
      <c r="E3135" s="35" t="str">
        <f t="shared" si="482"/>
        <v/>
      </c>
      <c r="F3135" s="31"/>
      <c r="G3135" s="29"/>
      <c r="H3135" s="78" t="str">
        <f t="shared" si="486"/>
        <v/>
      </c>
      <c r="I3135" s="25"/>
      <c r="J3135" s="25"/>
      <c r="K3135" s="26"/>
      <c r="L3135" s="26"/>
      <c r="M3135" s="37"/>
      <c r="N3135" s="27"/>
      <c r="O3135" s="30"/>
      <c r="P3135" s="39" t="str">
        <f t="shared" si="487"/>
        <v/>
      </c>
      <c r="Q3135" s="40" t="str">
        <f>IF(OR(T3135=0,RIGHT(T3135,1)=$W$1),"",COUNTIF($T$3:T3135,T3135))</f>
        <v/>
      </c>
      <c r="S3135" s="6">
        <f t="shared" si="488"/>
        <v>0</v>
      </c>
      <c r="T3135" s="36">
        <f t="shared" si="489"/>
        <v>0</v>
      </c>
      <c r="V3135" s="6">
        <f t="shared" si="490"/>
        <v>0</v>
      </c>
      <c r="Y3135" s="8">
        <f t="shared" si="491"/>
        <v>46023</v>
      </c>
    </row>
    <row r="3136" spans="2:25" ht="18.75" x14ac:dyDescent="0.3">
      <c r="B3136" s="6">
        <f t="shared" si="483"/>
        <v>0</v>
      </c>
      <c r="C3136" s="6">
        <f t="shared" si="484"/>
        <v>0</v>
      </c>
      <c r="D3136" s="6" t="str">
        <f t="shared" si="485"/>
        <v/>
      </c>
      <c r="E3136" s="35" t="str">
        <f t="shared" si="482"/>
        <v/>
      </c>
      <c r="F3136" s="31"/>
      <c r="G3136" s="29"/>
      <c r="H3136" s="78" t="str">
        <f t="shared" si="486"/>
        <v/>
      </c>
      <c r="I3136" s="25"/>
      <c r="J3136" s="25"/>
      <c r="K3136" s="26"/>
      <c r="L3136" s="26"/>
      <c r="M3136" s="37"/>
      <c r="N3136" s="27"/>
      <c r="O3136" s="30"/>
      <c r="P3136" s="39" t="str">
        <f t="shared" si="487"/>
        <v/>
      </c>
      <c r="Q3136" s="40" t="str">
        <f>IF(OR(T3136=0,RIGHT(T3136,1)=$W$1),"",COUNTIF($T$3:T3136,T3136))</f>
        <v/>
      </c>
      <c r="S3136" s="6">
        <f t="shared" si="488"/>
        <v>0</v>
      </c>
      <c r="T3136" s="36">
        <f t="shared" si="489"/>
        <v>0</v>
      </c>
      <c r="V3136" s="6">
        <f t="shared" si="490"/>
        <v>0</v>
      </c>
      <c r="Y3136" s="8">
        <f t="shared" si="491"/>
        <v>46023</v>
      </c>
    </row>
    <row r="3137" spans="2:25" ht="18.75" x14ac:dyDescent="0.3">
      <c r="B3137" s="6">
        <f t="shared" si="483"/>
        <v>0</v>
      </c>
      <c r="C3137" s="6">
        <f t="shared" si="484"/>
        <v>0</v>
      </c>
      <c r="D3137" s="6" t="str">
        <f t="shared" si="485"/>
        <v/>
      </c>
      <c r="E3137" s="35" t="str">
        <f t="shared" si="482"/>
        <v/>
      </c>
      <c r="F3137" s="31"/>
      <c r="G3137" s="29"/>
      <c r="H3137" s="78" t="str">
        <f t="shared" si="486"/>
        <v/>
      </c>
      <c r="I3137" s="25"/>
      <c r="J3137" s="25"/>
      <c r="K3137" s="26"/>
      <c r="L3137" s="26"/>
      <c r="M3137" s="37"/>
      <c r="N3137" s="27"/>
      <c r="O3137" s="30"/>
      <c r="P3137" s="39" t="str">
        <f t="shared" si="487"/>
        <v/>
      </c>
      <c r="Q3137" s="40" t="str">
        <f>IF(OR(T3137=0,RIGHT(T3137,1)=$W$1),"",COUNTIF($T$3:T3137,T3137))</f>
        <v/>
      </c>
      <c r="S3137" s="6">
        <f t="shared" si="488"/>
        <v>0</v>
      </c>
      <c r="T3137" s="36">
        <f t="shared" si="489"/>
        <v>0</v>
      </c>
      <c r="V3137" s="6">
        <f t="shared" si="490"/>
        <v>0</v>
      </c>
      <c r="Y3137" s="8">
        <f t="shared" si="491"/>
        <v>46023</v>
      </c>
    </row>
    <row r="3138" spans="2:25" ht="18.75" x14ac:dyDescent="0.3">
      <c r="B3138" s="6">
        <f t="shared" si="483"/>
        <v>0</v>
      </c>
      <c r="C3138" s="6">
        <f t="shared" si="484"/>
        <v>0</v>
      </c>
      <c r="D3138" s="6" t="str">
        <f t="shared" si="485"/>
        <v/>
      </c>
      <c r="E3138" s="35" t="str">
        <f t="shared" si="482"/>
        <v/>
      </c>
      <c r="F3138" s="31"/>
      <c r="G3138" s="29"/>
      <c r="H3138" s="78" t="str">
        <f t="shared" si="486"/>
        <v/>
      </c>
      <c r="I3138" s="25"/>
      <c r="J3138" s="25"/>
      <c r="K3138" s="26"/>
      <c r="L3138" s="26"/>
      <c r="M3138" s="37"/>
      <c r="N3138" s="27"/>
      <c r="O3138" s="30"/>
      <c r="P3138" s="39" t="str">
        <f t="shared" si="487"/>
        <v/>
      </c>
      <c r="Q3138" s="40" t="str">
        <f>IF(OR(T3138=0,RIGHT(T3138,1)=$W$1),"",COUNTIF($T$3:T3138,T3138))</f>
        <v/>
      </c>
      <c r="S3138" s="6">
        <f t="shared" si="488"/>
        <v>0</v>
      </c>
      <c r="T3138" s="36">
        <f t="shared" si="489"/>
        <v>0</v>
      </c>
      <c r="V3138" s="6">
        <f t="shared" si="490"/>
        <v>0</v>
      </c>
      <c r="Y3138" s="8">
        <f t="shared" si="491"/>
        <v>46023</v>
      </c>
    </row>
    <row r="3139" spans="2:25" ht="18.75" x14ac:dyDescent="0.3">
      <c r="B3139" s="6">
        <f t="shared" si="483"/>
        <v>0</v>
      </c>
      <c r="C3139" s="6">
        <f t="shared" si="484"/>
        <v>0</v>
      </c>
      <c r="D3139" s="6" t="str">
        <f t="shared" si="485"/>
        <v/>
      </c>
      <c r="E3139" s="35" t="str">
        <f t="shared" ref="E3139:E3202" si="492">IF(D3139&lt;&gt;"",D3139&amp;" - "&amp;YEAR(F3139),"")</f>
        <v/>
      </c>
      <c r="F3139" s="31"/>
      <c r="G3139" s="29"/>
      <c r="H3139" s="78" t="str">
        <f t="shared" si="486"/>
        <v/>
      </c>
      <c r="I3139" s="25"/>
      <c r="J3139" s="25"/>
      <c r="K3139" s="26"/>
      <c r="L3139" s="26"/>
      <c r="M3139" s="37"/>
      <c r="N3139" s="27"/>
      <c r="O3139" s="30"/>
      <c r="P3139" s="39" t="str">
        <f t="shared" si="487"/>
        <v/>
      </c>
      <c r="Q3139" s="40" t="str">
        <f>IF(OR(T3139=0,RIGHT(T3139,1)=$W$1),"",COUNTIF($T$3:T3139,T3139))</f>
        <v/>
      </c>
      <c r="S3139" s="6">
        <f t="shared" si="488"/>
        <v>0</v>
      </c>
      <c r="T3139" s="36">
        <f t="shared" si="489"/>
        <v>0</v>
      </c>
      <c r="V3139" s="6">
        <f t="shared" si="490"/>
        <v>0</v>
      </c>
      <c r="Y3139" s="8">
        <f t="shared" si="491"/>
        <v>46023</v>
      </c>
    </row>
    <row r="3140" spans="2:25" ht="18.75" x14ac:dyDescent="0.3">
      <c r="B3140" s="6">
        <f t="shared" ref="B3140:B3203" si="493">IF($B$1=YEAR(F3140),B3139+1,B3139)</f>
        <v>0</v>
      </c>
      <c r="C3140" s="6">
        <f t="shared" ref="C3140:C3203" si="494">IF(AND($C$1=K3140,$Y$1=YEAR(F3140)),C3139+1,C3139)</f>
        <v>0</v>
      </c>
      <c r="D3140" s="6" t="str">
        <f t="shared" ref="D3140:D3203" si="495">IF(F3140&lt;&gt;0,IF(YEAR(F3140)&lt;&gt;YEAR(F3139),1,IF(M3140=$AI$1,D3139,D3139+1)),"")</f>
        <v/>
      </c>
      <c r="E3140" s="35" t="str">
        <f t="shared" si="492"/>
        <v/>
      </c>
      <c r="F3140" s="31"/>
      <c r="G3140" s="29"/>
      <c r="H3140" s="78" t="str">
        <f t="shared" ref="H3140:H3203" si="496">IF(G3140&lt;&gt;"",F3140,"")</f>
        <v/>
      </c>
      <c r="I3140" s="25"/>
      <c r="J3140" s="25"/>
      <c r="K3140" s="26"/>
      <c r="L3140" s="26"/>
      <c r="M3140" s="37"/>
      <c r="N3140" s="27"/>
      <c r="O3140" s="30"/>
      <c r="P3140" s="39" t="str">
        <f t="shared" ref="P3140:P3203" si="497">IF(OR(T3140=0,RIGHT(T3140,1)=$W$1),"",VLOOKUP(K3140,$AD$1:$AK$15,5,FALSE))</f>
        <v/>
      </c>
      <c r="Q3140" s="40" t="str">
        <f>IF(OR(T3140=0,RIGHT(T3140,1)=$W$1),"",COUNTIF($T$3:T3140,T3140))</f>
        <v/>
      </c>
      <c r="S3140" s="6">
        <f t="shared" ref="S3140:S3203" si="498">IF(AND($C$1=K3140,$Y$1=YEAR(F3140)),C3140,0)</f>
        <v>0</v>
      </c>
      <c r="T3140" s="36">
        <f t="shared" ref="T3140:T3203" si="499">IF(F3140=0,0,YEAR(F3140)&amp;VLOOKUP(K3140,$AD$1:$AE$15,2,FALSE))</f>
        <v>0</v>
      </c>
      <c r="V3140" s="6">
        <f t="shared" ref="V3140:V3203" si="500">IF(AND(YEAR(F3140)=$Y$1,K3140=$C$1,L3140&amp;$V$1&lt;&gt;$V$1),L3140,IF(AND(YEAR(F3140)=$Y$1,K3140=$C$1),1,0))</f>
        <v>0</v>
      </c>
      <c r="Y3140" s="8">
        <f t="shared" ref="Y3140:Y3203" si="501">IF(M3140&lt;&gt;$AI$1,$Y$2,F3139)</f>
        <v>46023</v>
      </c>
    </row>
    <row r="3141" spans="2:25" ht="18.75" x14ac:dyDescent="0.3">
      <c r="B3141" s="6">
        <f t="shared" si="493"/>
        <v>0</v>
      </c>
      <c r="C3141" s="6">
        <f t="shared" si="494"/>
        <v>0</v>
      </c>
      <c r="D3141" s="6" t="str">
        <f t="shared" si="495"/>
        <v/>
      </c>
      <c r="E3141" s="35" t="str">
        <f t="shared" si="492"/>
        <v/>
      </c>
      <c r="F3141" s="31"/>
      <c r="G3141" s="29"/>
      <c r="H3141" s="78" t="str">
        <f t="shared" si="496"/>
        <v/>
      </c>
      <c r="I3141" s="25"/>
      <c r="J3141" s="25"/>
      <c r="K3141" s="26"/>
      <c r="L3141" s="26"/>
      <c r="M3141" s="37"/>
      <c r="N3141" s="27"/>
      <c r="O3141" s="30"/>
      <c r="P3141" s="39" t="str">
        <f t="shared" si="497"/>
        <v/>
      </c>
      <c r="Q3141" s="40" t="str">
        <f>IF(OR(T3141=0,RIGHT(T3141,1)=$W$1),"",COUNTIF($T$3:T3141,T3141))</f>
        <v/>
      </c>
      <c r="S3141" s="6">
        <f t="shared" si="498"/>
        <v>0</v>
      </c>
      <c r="T3141" s="36">
        <f t="shared" si="499"/>
        <v>0</v>
      </c>
      <c r="V3141" s="6">
        <f t="shared" si="500"/>
        <v>0</v>
      </c>
      <c r="Y3141" s="8">
        <f t="shared" si="501"/>
        <v>46023</v>
      </c>
    </row>
    <row r="3142" spans="2:25" ht="18.75" x14ac:dyDescent="0.3">
      <c r="B3142" s="6">
        <f t="shared" si="493"/>
        <v>0</v>
      </c>
      <c r="C3142" s="6">
        <f t="shared" si="494"/>
        <v>0</v>
      </c>
      <c r="D3142" s="6" t="str">
        <f t="shared" si="495"/>
        <v/>
      </c>
      <c r="E3142" s="35" t="str">
        <f t="shared" si="492"/>
        <v/>
      </c>
      <c r="F3142" s="31"/>
      <c r="G3142" s="29"/>
      <c r="H3142" s="78" t="str">
        <f t="shared" si="496"/>
        <v/>
      </c>
      <c r="I3142" s="25"/>
      <c r="J3142" s="25"/>
      <c r="K3142" s="26"/>
      <c r="L3142" s="26"/>
      <c r="M3142" s="37"/>
      <c r="N3142" s="27"/>
      <c r="O3142" s="30"/>
      <c r="P3142" s="39" t="str">
        <f t="shared" si="497"/>
        <v/>
      </c>
      <c r="Q3142" s="40" t="str">
        <f>IF(OR(T3142=0,RIGHT(T3142,1)=$W$1),"",COUNTIF($T$3:T3142,T3142))</f>
        <v/>
      </c>
      <c r="S3142" s="6">
        <f t="shared" si="498"/>
        <v>0</v>
      </c>
      <c r="T3142" s="36">
        <f t="shared" si="499"/>
        <v>0</v>
      </c>
      <c r="V3142" s="6">
        <f t="shared" si="500"/>
        <v>0</v>
      </c>
      <c r="Y3142" s="8">
        <f t="shared" si="501"/>
        <v>46023</v>
      </c>
    </row>
    <row r="3143" spans="2:25" ht="18.75" x14ac:dyDescent="0.3">
      <c r="B3143" s="6">
        <f t="shared" si="493"/>
        <v>0</v>
      </c>
      <c r="C3143" s="6">
        <f t="shared" si="494"/>
        <v>0</v>
      </c>
      <c r="D3143" s="6" t="str">
        <f t="shared" si="495"/>
        <v/>
      </c>
      <c r="E3143" s="35" t="str">
        <f t="shared" si="492"/>
        <v/>
      </c>
      <c r="F3143" s="31"/>
      <c r="G3143" s="29"/>
      <c r="H3143" s="78" t="str">
        <f t="shared" si="496"/>
        <v/>
      </c>
      <c r="I3143" s="25"/>
      <c r="J3143" s="25"/>
      <c r="K3143" s="26"/>
      <c r="L3143" s="26"/>
      <c r="M3143" s="37"/>
      <c r="N3143" s="27"/>
      <c r="O3143" s="30"/>
      <c r="P3143" s="39" t="str">
        <f t="shared" si="497"/>
        <v/>
      </c>
      <c r="Q3143" s="40" t="str">
        <f>IF(OR(T3143=0,RIGHT(T3143,1)=$W$1),"",COUNTIF($T$3:T3143,T3143))</f>
        <v/>
      </c>
      <c r="S3143" s="6">
        <f t="shared" si="498"/>
        <v>0</v>
      </c>
      <c r="T3143" s="36">
        <f t="shared" si="499"/>
        <v>0</v>
      </c>
      <c r="V3143" s="6">
        <f t="shared" si="500"/>
        <v>0</v>
      </c>
      <c r="Y3143" s="8">
        <f t="shared" si="501"/>
        <v>46023</v>
      </c>
    </row>
    <row r="3144" spans="2:25" ht="18.75" x14ac:dyDescent="0.3">
      <c r="B3144" s="6">
        <f t="shared" si="493"/>
        <v>0</v>
      </c>
      <c r="C3144" s="6">
        <f t="shared" si="494"/>
        <v>0</v>
      </c>
      <c r="D3144" s="6" t="str">
        <f t="shared" si="495"/>
        <v/>
      </c>
      <c r="E3144" s="35" t="str">
        <f t="shared" si="492"/>
        <v/>
      </c>
      <c r="F3144" s="31"/>
      <c r="G3144" s="29"/>
      <c r="H3144" s="78" t="str">
        <f t="shared" si="496"/>
        <v/>
      </c>
      <c r="I3144" s="25"/>
      <c r="J3144" s="25"/>
      <c r="K3144" s="26"/>
      <c r="L3144" s="26"/>
      <c r="M3144" s="37"/>
      <c r="N3144" s="27"/>
      <c r="O3144" s="30"/>
      <c r="P3144" s="39" t="str">
        <f t="shared" si="497"/>
        <v/>
      </c>
      <c r="Q3144" s="40" t="str">
        <f>IF(OR(T3144=0,RIGHT(T3144,1)=$W$1),"",COUNTIF($T$3:T3144,T3144))</f>
        <v/>
      </c>
      <c r="S3144" s="6">
        <f t="shared" si="498"/>
        <v>0</v>
      </c>
      <c r="T3144" s="36">
        <f t="shared" si="499"/>
        <v>0</v>
      </c>
      <c r="V3144" s="6">
        <f t="shared" si="500"/>
        <v>0</v>
      </c>
      <c r="Y3144" s="8">
        <f t="shared" si="501"/>
        <v>46023</v>
      </c>
    </row>
    <row r="3145" spans="2:25" ht="18.75" x14ac:dyDescent="0.3">
      <c r="B3145" s="6">
        <f t="shared" si="493"/>
        <v>0</v>
      </c>
      <c r="C3145" s="6">
        <f t="shared" si="494"/>
        <v>0</v>
      </c>
      <c r="D3145" s="6" t="str">
        <f t="shared" si="495"/>
        <v/>
      </c>
      <c r="E3145" s="35" t="str">
        <f t="shared" si="492"/>
        <v/>
      </c>
      <c r="F3145" s="31"/>
      <c r="G3145" s="29"/>
      <c r="H3145" s="78" t="str">
        <f t="shared" si="496"/>
        <v/>
      </c>
      <c r="I3145" s="25"/>
      <c r="J3145" s="25"/>
      <c r="K3145" s="26"/>
      <c r="L3145" s="26"/>
      <c r="M3145" s="37"/>
      <c r="N3145" s="27"/>
      <c r="O3145" s="30"/>
      <c r="P3145" s="39" t="str">
        <f t="shared" si="497"/>
        <v/>
      </c>
      <c r="Q3145" s="40" t="str">
        <f>IF(OR(T3145=0,RIGHT(T3145,1)=$W$1),"",COUNTIF($T$3:T3145,T3145))</f>
        <v/>
      </c>
      <c r="S3145" s="6">
        <f t="shared" si="498"/>
        <v>0</v>
      </c>
      <c r="T3145" s="36">
        <f t="shared" si="499"/>
        <v>0</v>
      </c>
      <c r="V3145" s="6">
        <f t="shared" si="500"/>
        <v>0</v>
      </c>
      <c r="Y3145" s="8">
        <f t="shared" si="501"/>
        <v>46023</v>
      </c>
    </row>
    <row r="3146" spans="2:25" ht="18.75" x14ac:dyDescent="0.3">
      <c r="B3146" s="6">
        <f t="shared" si="493"/>
        <v>0</v>
      </c>
      <c r="C3146" s="6">
        <f t="shared" si="494"/>
        <v>0</v>
      </c>
      <c r="D3146" s="6" t="str">
        <f t="shared" si="495"/>
        <v/>
      </c>
      <c r="E3146" s="35" t="str">
        <f t="shared" si="492"/>
        <v/>
      </c>
      <c r="F3146" s="31"/>
      <c r="G3146" s="29"/>
      <c r="H3146" s="78" t="str">
        <f t="shared" si="496"/>
        <v/>
      </c>
      <c r="I3146" s="25"/>
      <c r="J3146" s="25"/>
      <c r="K3146" s="26"/>
      <c r="L3146" s="26"/>
      <c r="M3146" s="37"/>
      <c r="N3146" s="27"/>
      <c r="O3146" s="30"/>
      <c r="P3146" s="39" t="str">
        <f t="shared" si="497"/>
        <v/>
      </c>
      <c r="Q3146" s="40" t="str">
        <f>IF(OR(T3146=0,RIGHT(T3146,1)=$W$1),"",COUNTIF($T$3:T3146,T3146))</f>
        <v/>
      </c>
      <c r="S3146" s="6">
        <f t="shared" si="498"/>
        <v>0</v>
      </c>
      <c r="T3146" s="36">
        <f t="shared" si="499"/>
        <v>0</v>
      </c>
      <c r="V3146" s="6">
        <f t="shared" si="500"/>
        <v>0</v>
      </c>
      <c r="Y3146" s="8">
        <f t="shared" si="501"/>
        <v>46023</v>
      </c>
    </row>
    <row r="3147" spans="2:25" ht="18.75" x14ac:dyDescent="0.3">
      <c r="B3147" s="6">
        <f t="shared" si="493"/>
        <v>0</v>
      </c>
      <c r="C3147" s="6">
        <f t="shared" si="494"/>
        <v>0</v>
      </c>
      <c r="D3147" s="6" t="str">
        <f t="shared" si="495"/>
        <v/>
      </c>
      <c r="E3147" s="35" t="str">
        <f t="shared" si="492"/>
        <v/>
      </c>
      <c r="F3147" s="31"/>
      <c r="G3147" s="29"/>
      <c r="H3147" s="78" t="str">
        <f t="shared" si="496"/>
        <v/>
      </c>
      <c r="I3147" s="25"/>
      <c r="J3147" s="25"/>
      <c r="K3147" s="26"/>
      <c r="L3147" s="26"/>
      <c r="M3147" s="37"/>
      <c r="N3147" s="27"/>
      <c r="O3147" s="30"/>
      <c r="P3147" s="39" t="str">
        <f t="shared" si="497"/>
        <v/>
      </c>
      <c r="Q3147" s="40" t="str">
        <f>IF(OR(T3147=0,RIGHT(T3147,1)=$W$1),"",COUNTIF($T$3:T3147,T3147))</f>
        <v/>
      </c>
      <c r="S3147" s="6">
        <f t="shared" si="498"/>
        <v>0</v>
      </c>
      <c r="T3147" s="36">
        <f t="shared" si="499"/>
        <v>0</v>
      </c>
      <c r="V3147" s="6">
        <f t="shared" si="500"/>
        <v>0</v>
      </c>
      <c r="Y3147" s="8">
        <f t="shared" si="501"/>
        <v>46023</v>
      </c>
    </row>
    <row r="3148" spans="2:25" ht="18.75" x14ac:dyDescent="0.3">
      <c r="B3148" s="6">
        <f t="shared" si="493"/>
        <v>0</v>
      </c>
      <c r="C3148" s="6">
        <f t="shared" si="494"/>
        <v>0</v>
      </c>
      <c r="D3148" s="6" t="str">
        <f t="shared" si="495"/>
        <v/>
      </c>
      <c r="E3148" s="35" t="str">
        <f t="shared" si="492"/>
        <v/>
      </c>
      <c r="F3148" s="31"/>
      <c r="G3148" s="29"/>
      <c r="H3148" s="78" t="str">
        <f t="shared" si="496"/>
        <v/>
      </c>
      <c r="I3148" s="25"/>
      <c r="J3148" s="25"/>
      <c r="K3148" s="26"/>
      <c r="L3148" s="26"/>
      <c r="M3148" s="37"/>
      <c r="N3148" s="27"/>
      <c r="O3148" s="30"/>
      <c r="P3148" s="39" t="str">
        <f t="shared" si="497"/>
        <v/>
      </c>
      <c r="Q3148" s="40" t="str">
        <f>IF(OR(T3148=0,RIGHT(T3148,1)=$W$1),"",COUNTIF($T$3:T3148,T3148))</f>
        <v/>
      </c>
      <c r="S3148" s="6">
        <f t="shared" si="498"/>
        <v>0</v>
      </c>
      <c r="T3148" s="36">
        <f t="shared" si="499"/>
        <v>0</v>
      </c>
      <c r="V3148" s="6">
        <f t="shared" si="500"/>
        <v>0</v>
      </c>
      <c r="Y3148" s="8">
        <f t="shared" si="501"/>
        <v>46023</v>
      </c>
    </row>
    <row r="3149" spans="2:25" ht="18.75" x14ac:dyDescent="0.3">
      <c r="B3149" s="6">
        <f t="shared" si="493"/>
        <v>0</v>
      </c>
      <c r="C3149" s="6">
        <f t="shared" si="494"/>
        <v>0</v>
      </c>
      <c r="D3149" s="6" t="str">
        <f t="shared" si="495"/>
        <v/>
      </c>
      <c r="E3149" s="35" t="str">
        <f t="shared" si="492"/>
        <v/>
      </c>
      <c r="F3149" s="31"/>
      <c r="G3149" s="29"/>
      <c r="H3149" s="78" t="str">
        <f t="shared" si="496"/>
        <v/>
      </c>
      <c r="I3149" s="25"/>
      <c r="J3149" s="25"/>
      <c r="K3149" s="26"/>
      <c r="L3149" s="26"/>
      <c r="M3149" s="37"/>
      <c r="N3149" s="27"/>
      <c r="O3149" s="30"/>
      <c r="P3149" s="39" t="str">
        <f t="shared" si="497"/>
        <v/>
      </c>
      <c r="Q3149" s="40" t="str">
        <f>IF(OR(T3149=0,RIGHT(T3149,1)=$W$1),"",COUNTIF($T$3:T3149,T3149))</f>
        <v/>
      </c>
      <c r="S3149" s="6">
        <f t="shared" si="498"/>
        <v>0</v>
      </c>
      <c r="T3149" s="36">
        <f t="shared" si="499"/>
        <v>0</v>
      </c>
      <c r="V3149" s="6">
        <f t="shared" si="500"/>
        <v>0</v>
      </c>
      <c r="Y3149" s="8">
        <f t="shared" si="501"/>
        <v>46023</v>
      </c>
    </row>
    <row r="3150" spans="2:25" ht="18.75" x14ac:dyDescent="0.3">
      <c r="B3150" s="6">
        <f t="shared" si="493"/>
        <v>0</v>
      </c>
      <c r="C3150" s="6">
        <f t="shared" si="494"/>
        <v>0</v>
      </c>
      <c r="D3150" s="6" t="str">
        <f t="shared" si="495"/>
        <v/>
      </c>
      <c r="E3150" s="35" t="str">
        <f t="shared" si="492"/>
        <v/>
      </c>
      <c r="F3150" s="31"/>
      <c r="G3150" s="29"/>
      <c r="H3150" s="78" t="str">
        <f t="shared" si="496"/>
        <v/>
      </c>
      <c r="I3150" s="25"/>
      <c r="J3150" s="25"/>
      <c r="K3150" s="26"/>
      <c r="L3150" s="26"/>
      <c r="M3150" s="37"/>
      <c r="N3150" s="27"/>
      <c r="O3150" s="30"/>
      <c r="P3150" s="39" t="str">
        <f t="shared" si="497"/>
        <v/>
      </c>
      <c r="Q3150" s="40" t="str">
        <f>IF(OR(T3150=0,RIGHT(T3150,1)=$W$1),"",COUNTIF($T$3:T3150,T3150))</f>
        <v/>
      </c>
      <c r="S3150" s="6">
        <f t="shared" si="498"/>
        <v>0</v>
      </c>
      <c r="T3150" s="36">
        <f t="shared" si="499"/>
        <v>0</v>
      </c>
      <c r="V3150" s="6">
        <f t="shared" si="500"/>
        <v>0</v>
      </c>
      <c r="Y3150" s="8">
        <f t="shared" si="501"/>
        <v>46023</v>
      </c>
    </row>
    <row r="3151" spans="2:25" ht="18.75" x14ac:dyDescent="0.3">
      <c r="B3151" s="6">
        <f t="shared" si="493"/>
        <v>0</v>
      </c>
      <c r="C3151" s="6">
        <f t="shared" si="494"/>
        <v>0</v>
      </c>
      <c r="D3151" s="6" t="str">
        <f t="shared" si="495"/>
        <v/>
      </c>
      <c r="E3151" s="35" t="str">
        <f t="shared" si="492"/>
        <v/>
      </c>
      <c r="F3151" s="31"/>
      <c r="G3151" s="29"/>
      <c r="H3151" s="78" t="str">
        <f t="shared" si="496"/>
        <v/>
      </c>
      <c r="I3151" s="25"/>
      <c r="J3151" s="25"/>
      <c r="K3151" s="26"/>
      <c r="L3151" s="26"/>
      <c r="M3151" s="37"/>
      <c r="N3151" s="27"/>
      <c r="O3151" s="30"/>
      <c r="P3151" s="39" t="str">
        <f t="shared" si="497"/>
        <v/>
      </c>
      <c r="Q3151" s="40" t="str">
        <f>IF(OR(T3151=0,RIGHT(T3151,1)=$W$1),"",COUNTIF($T$3:T3151,T3151))</f>
        <v/>
      </c>
      <c r="S3151" s="6">
        <f t="shared" si="498"/>
        <v>0</v>
      </c>
      <c r="T3151" s="36">
        <f t="shared" si="499"/>
        <v>0</v>
      </c>
      <c r="V3151" s="6">
        <f t="shared" si="500"/>
        <v>0</v>
      </c>
      <c r="Y3151" s="8">
        <f t="shared" si="501"/>
        <v>46023</v>
      </c>
    </row>
    <row r="3152" spans="2:25" ht="18.75" x14ac:dyDescent="0.3">
      <c r="B3152" s="6">
        <f t="shared" si="493"/>
        <v>0</v>
      </c>
      <c r="C3152" s="6">
        <f t="shared" si="494"/>
        <v>0</v>
      </c>
      <c r="D3152" s="6" t="str">
        <f t="shared" si="495"/>
        <v/>
      </c>
      <c r="E3152" s="35" t="str">
        <f t="shared" si="492"/>
        <v/>
      </c>
      <c r="F3152" s="31"/>
      <c r="G3152" s="29"/>
      <c r="H3152" s="78" t="str">
        <f t="shared" si="496"/>
        <v/>
      </c>
      <c r="I3152" s="25"/>
      <c r="J3152" s="25"/>
      <c r="K3152" s="26"/>
      <c r="L3152" s="26"/>
      <c r="M3152" s="37"/>
      <c r="N3152" s="27"/>
      <c r="O3152" s="30"/>
      <c r="P3152" s="39" t="str">
        <f t="shared" si="497"/>
        <v/>
      </c>
      <c r="Q3152" s="40" t="str">
        <f>IF(OR(T3152=0,RIGHT(T3152,1)=$W$1),"",COUNTIF($T$3:T3152,T3152))</f>
        <v/>
      </c>
      <c r="S3152" s="6">
        <f t="shared" si="498"/>
        <v>0</v>
      </c>
      <c r="T3152" s="36">
        <f t="shared" si="499"/>
        <v>0</v>
      </c>
      <c r="V3152" s="6">
        <f t="shared" si="500"/>
        <v>0</v>
      </c>
      <c r="Y3152" s="8">
        <f t="shared" si="501"/>
        <v>46023</v>
      </c>
    </row>
    <row r="3153" spans="2:25" ht="18.75" x14ac:dyDescent="0.3">
      <c r="B3153" s="6">
        <f t="shared" si="493"/>
        <v>0</v>
      </c>
      <c r="C3153" s="6">
        <f t="shared" si="494"/>
        <v>0</v>
      </c>
      <c r="D3153" s="6" t="str">
        <f t="shared" si="495"/>
        <v/>
      </c>
      <c r="E3153" s="35" t="str">
        <f t="shared" si="492"/>
        <v/>
      </c>
      <c r="F3153" s="31"/>
      <c r="G3153" s="29"/>
      <c r="H3153" s="78" t="str">
        <f t="shared" si="496"/>
        <v/>
      </c>
      <c r="I3153" s="25"/>
      <c r="J3153" s="25"/>
      <c r="K3153" s="26"/>
      <c r="L3153" s="26"/>
      <c r="M3153" s="37"/>
      <c r="N3153" s="27"/>
      <c r="O3153" s="30"/>
      <c r="P3153" s="39" t="str">
        <f t="shared" si="497"/>
        <v/>
      </c>
      <c r="Q3153" s="40" t="str">
        <f>IF(OR(T3153=0,RIGHT(T3153,1)=$W$1),"",COUNTIF($T$3:T3153,T3153))</f>
        <v/>
      </c>
      <c r="S3153" s="6">
        <f t="shared" si="498"/>
        <v>0</v>
      </c>
      <c r="T3153" s="36">
        <f t="shared" si="499"/>
        <v>0</v>
      </c>
      <c r="V3153" s="6">
        <f t="shared" si="500"/>
        <v>0</v>
      </c>
      <c r="Y3153" s="8">
        <f t="shared" si="501"/>
        <v>46023</v>
      </c>
    </row>
    <row r="3154" spans="2:25" ht="18.75" x14ac:dyDescent="0.3">
      <c r="B3154" s="6">
        <f t="shared" si="493"/>
        <v>0</v>
      </c>
      <c r="C3154" s="6">
        <f t="shared" si="494"/>
        <v>0</v>
      </c>
      <c r="D3154" s="6" t="str">
        <f t="shared" si="495"/>
        <v/>
      </c>
      <c r="E3154" s="35" t="str">
        <f t="shared" si="492"/>
        <v/>
      </c>
      <c r="F3154" s="31"/>
      <c r="G3154" s="29"/>
      <c r="H3154" s="78" t="str">
        <f t="shared" si="496"/>
        <v/>
      </c>
      <c r="I3154" s="25"/>
      <c r="J3154" s="25"/>
      <c r="K3154" s="26"/>
      <c r="L3154" s="26"/>
      <c r="M3154" s="37"/>
      <c r="N3154" s="27"/>
      <c r="O3154" s="30"/>
      <c r="P3154" s="39" t="str">
        <f t="shared" si="497"/>
        <v/>
      </c>
      <c r="Q3154" s="40" t="str">
        <f>IF(OR(T3154=0,RIGHT(T3154,1)=$W$1),"",COUNTIF($T$3:T3154,T3154))</f>
        <v/>
      </c>
      <c r="S3154" s="6">
        <f t="shared" si="498"/>
        <v>0</v>
      </c>
      <c r="T3154" s="36">
        <f t="shared" si="499"/>
        <v>0</v>
      </c>
      <c r="V3154" s="6">
        <f t="shared" si="500"/>
        <v>0</v>
      </c>
      <c r="Y3154" s="8">
        <f t="shared" si="501"/>
        <v>46023</v>
      </c>
    </row>
    <row r="3155" spans="2:25" ht="18.75" x14ac:dyDescent="0.3">
      <c r="B3155" s="6">
        <f t="shared" si="493"/>
        <v>0</v>
      </c>
      <c r="C3155" s="6">
        <f t="shared" si="494"/>
        <v>0</v>
      </c>
      <c r="D3155" s="6" t="str">
        <f t="shared" si="495"/>
        <v/>
      </c>
      <c r="E3155" s="35" t="str">
        <f t="shared" si="492"/>
        <v/>
      </c>
      <c r="F3155" s="31"/>
      <c r="G3155" s="29"/>
      <c r="H3155" s="78" t="str">
        <f t="shared" si="496"/>
        <v/>
      </c>
      <c r="I3155" s="25"/>
      <c r="J3155" s="25"/>
      <c r="K3155" s="26"/>
      <c r="L3155" s="26"/>
      <c r="M3155" s="37"/>
      <c r="N3155" s="27"/>
      <c r="O3155" s="30"/>
      <c r="P3155" s="39" t="str">
        <f t="shared" si="497"/>
        <v/>
      </c>
      <c r="Q3155" s="40" t="str">
        <f>IF(OR(T3155=0,RIGHT(T3155,1)=$W$1),"",COUNTIF($T$3:T3155,T3155))</f>
        <v/>
      </c>
      <c r="S3155" s="6">
        <f t="shared" si="498"/>
        <v>0</v>
      </c>
      <c r="T3155" s="36">
        <f t="shared" si="499"/>
        <v>0</v>
      </c>
      <c r="V3155" s="6">
        <f t="shared" si="500"/>
        <v>0</v>
      </c>
      <c r="Y3155" s="8">
        <f t="shared" si="501"/>
        <v>46023</v>
      </c>
    </row>
    <row r="3156" spans="2:25" ht="18.75" x14ac:dyDescent="0.3">
      <c r="B3156" s="6">
        <f t="shared" si="493"/>
        <v>0</v>
      </c>
      <c r="C3156" s="6">
        <f t="shared" si="494"/>
        <v>0</v>
      </c>
      <c r="D3156" s="6" t="str">
        <f t="shared" si="495"/>
        <v/>
      </c>
      <c r="E3156" s="35" t="str">
        <f t="shared" si="492"/>
        <v/>
      </c>
      <c r="F3156" s="31"/>
      <c r="G3156" s="29"/>
      <c r="H3156" s="78" t="str">
        <f t="shared" si="496"/>
        <v/>
      </c>
      <c r="I3156" s="25"/>
      <c r="J3156" s="25"/>
      <c r="K3156" s="26"/>
      <c r="L3156" s="26"/>
      <c r="M3156" s="37"/>
      <c r="N3156" s="27"/>
      <c r="O3156" s="30"/>
      <c r="P3156" s="39" t="str">
        <f t="shared" si="497"/>
        <v/>
      </c>
      <c r="Q3156" s="40" t="str">
        <f>IF(OR(T3156=0,RIGHT(T3156,1)=$W$1),"",COUNTIF($T$3:T3156,T3156))</f>
        <v/>
      </c>
      <c r="S3156" s="6">
        <f t="shared" si="498"/>
        <v>0</v>
      </c>
      <c r="T3156" s="36">
        <f t="shared" si="499"/>
        <v>0</v>
      </c>
      <c r="V3156" s="6">
        <f t="shared" si="500"/>
        <v>0</v>
      </c>
      <c r="Y3156" s="8">
        <f t="shared" si="501"/>
        <v>46023</v>
      </c>
    </row>
    <row r="3157" spans="2:25" ht="18.75" x14ac:dyDescent="0.3">
      <c r="B3157" s="6">
        <f t="shared" si="493"/>
        <v>0</v>
      </c>
      <c r="C3157" s="6">
        <f t="shared" si="494"/>
        <v>0</v>
      </c>
      <c r="D3157" s="6" t="str">
        <f t="shared" si="495"/>
        <v/>
      </c>
      <c r="E3157" s="35" t="str">
        <f t="shared" si="492"/>
        <v/>
      </c>
      <c r="F3157" s="31"/>
      <c r="G3157" s="29"/>
      <c r="H3157" s="78" t="str">
        <f t="shared" si="496"/>
        <v/>
      </c>
      <c r="I3157" s="25"/>
      <c r="J3157" s="25"/>
      <c r="K3157" s="26"/>
      <c r="L3157" s="26"/>
      <c r="M3157" s="37"/>
      <c r="N3157" s="27"/>
      <c r="O3157" s="30"/>
      <c r="P3157" s="39" t="str">
        <f t="shared" si="497"/>
        <v/>
      </c>
      <c r="Q3157" s="40" t="str">
        <f>IF(OR(T3157=0,RIGHT(T3157,1)=$W$1),"",COUNTIF($T$3:T3157,T3157))</f>
        <v/>
      </c>
      <c r="S3157" s="6">
        <f t="shared" si="498"/>
        <v>0</v>
      </c>
      <c r="T3157" s="36">
        <f t="shared" si="499"/>
        <v>0</v>
      </c>
      <c r="V3157" s="6">
        <f t="shared" si="500"/>
        <v>0</v>
      </c>
      <c r="Y3157" s="8">
        <f t="shared" si="501"/>
        <v>46023</v>
      </c>
    </row>
    <row r="3158" spans="2:25" ht="18.75" x14ac:dyDescent="0.3">
      <c r="B3158" s="6">
        <f t="shared" si="493"/>
        <v>0</v>
      </c>
      <c r="C3158" s="6">
        <f t="shared" si="494"/>
        <v>0</v>
      </c>
      <c r="D3158" s="6" t="str">
        <f t="shared" si="495"/>
        <v/>
      </c>
      <c r="E3158" s="35" t="str">
        <f t="shared" si="492"/>
        <v/>
      </c>
      <c r="F3158" s="31"/>
      <c r="G3158" s="29"/>
      <c r="H3158" s="78" t="str">
        <f t="shared" si="496"/>
        <v/>
      </c>
      <c r="I3158" s="25"/>
      <c r="J3158" s="25"/>
      <c r="K3158" s="26"/>
      <c r="L3158" s="26"/>
      <c r="M3158" s="37"/>
      <c r="N3158" s="27"/>
      <c r="O3158" s="30"/>
      <c r="P3158" s="39" t="str">
        <f t="shared" si="497"/>
        <v/>
      </c>
      <c r="Q3158" s="40" t="str">
        <f>IF(OR(T3158=0,RIGHT(T3158,1)=$W$1),"",COUNTIF($T$3:T3158,T3158))</f>
        <v/>
      </c>
      <c r="S3158" s="6">
        <f t="shared" si="498"/>
        <v>0</v>
      </c>
      <c r="T3158" s="36">
        <f t="shared" si="499"/>
        <v>0</v>
      </c>
      <c r="V3158" s="6">
        <f t="shared" si="500"/>
        <v>0</v>
      </c>
      <c r="Y3158" s="8">
        <f t="shared" si="501"/>
        <v>46023</v>
      </c>
    </row>
    <row r="3159" spans="2:25" ht="18.75" x14ac:dyDescent="0.3">
      <c r="B3159" s="6">
        <f t="shared" si="493"/>
        <v>0</v>
      </c>
      <c r="C3159" s="6">
        <f t="shared" si="494"/>
        <v>0</v>
      </c>
      <c r="D3159" s="6" t="str">
        <f t="shared" si="495"/>
        <v/>
      </c>
      <c r="E3159" s="35" t="str">
        <f t="shared" si="492"/>
        <v/>
      </c>
      <c r="F3159" s="31"/>
      <c r="G3159" s="29"/>
      <c r="H3159" s="78" t="str">
        <f t="shared" si="496"/>
        <v/>
      </c>
      <c r="I3159" s="25"/>
      <c r="J3159" s="25"/>
      <c r="K3159" s="26"/>
      <c r="L3159" s="26"/>
      <c r="M3159" s="37"/>
      <c r="N3159" s="27"/>
      <c r="O3159" s="30"/>
      <c r="P3159" s="39" t="str">
        <f t="shared" si="497"/>
        <v/>
      </c>
      <c r="Q3159" s="40" t="str">
        <f>IF(OR(T3159=0,RIGHT(T3159,1)=$W$1),"",COUNTIF($T$3:T3159,T3159))</f>
        <v/>
      </c>
      <c r="S3159" s="6">
        <f t="shared" si="498"/>
        <v>0</v>
      </c>
      <c r="T3159" s="36">
        <f t="shared" si="499"/>
        <v>0</v>
      </c>
      <c r="V3159" s="6">
        <f t="shared" si="500"/>
        <v>0</v>
      </c>
      <c r="Y3159" s="8">
        <f t="shared" si="501"/>
        <v>46023</v>
      </c>
    </row>
    <row r="3160" spans="2:25" ht="18.75" x14ac:dyDescent="0.3">
      <c r="B3160" s="6">
        <f t="shared" si="493"/>
        <v>0</v>
      </c>
      <c r="C3160" s="6">
        <f t="shared" si="494"/>
        <v>0</v>
      </c>
      <c r="D3160" s="6" t="str">
        <f t="shared" si="495"/>
        <v/>
      </c>
      <c r="E3160" s="35" t="str">
        <f t="shared" si="492"/>
        <v/>
      </c>
      <c r="F3160" s="31"/>
      <c r="G3160" s="29"/>
      <c r="H3160" s="78" t="str">
        <f t="shared" si="496"/>
        <v/>
      </c>
      <c r="I3160" s="25"/>
      <c r="J3160" s="25"/>
      <c r="K3160" s="26"/>
      <c r="L3160" s="26"/>
      <c r="M3160" s="37"/>
      <c r="N3160" s="27"/>
      <c r="O3160" s="30"/>
      <c r="P3160" s="39" t="str">
        <f t="shared" si="497"/>
        <v/>
      </c>
      <c r="Q3160" s="40" t="str">
        <f>IF(OR(T3160=0,RIGHT(T3160,1)=$W$1),"",COUNTIF($T$3:T3160,T3160))</f>
        <v/>
      </c>
      <c r="S3160" s="6">
        <f t="shared" si="498"/>
        <v>0</v>
      </c>
      <c r="T3160" s="36">
        <f t="shared" si="499"/>
        <v>0</v>
      </c>
      <c r="V3160" s="6">
        <f t="shared" si="500"/>
        <v>0</v>
      </c>
      <c r="Y3160" s="8">
        <f t="shared" si="501"/>
        <v>46023</v>
      </c>
    </row>
    <row r="3161" spans="2:25" ht="18.75" x14ac:dyDescent="0.3">
      <c r="B3161" s="6">
        <f t="shared" si="493"/>
        <v>0</v>
      </c>
      <c r="C3161" s="6">
        <f t="shared" si="494"/>
        <v>0</v>
      </c>
      <c r="D3161" s="6" t="str">
        <f t="shared" si="495"/>
        <v/>
      </c>
      <c r="E3161" s="35" t="str">
        <f t="shared" si="492"/>
        <v/>
      </c>
      <c r="F3161" s="31"/>
      <c r="G3161" s="29"/>
      <c r="H3161" s="78" t="str">
        <f t="shared" si="496"/>
        <v/>
      </c>
      <c r="I3161" s="25"/>
      <c r="J3161" s="25"/>
      <c r="K3161" s="26"/>
      <c r="L3161" s="26"/>
      <c r="M3161" s="37"/>
      <c r="N3161" s="27"/>
      <c r="O3161" s="30"/>
      <c r="P3161" s="39" t="str">
        <f t="shared" si="497"/>
        <v/>
      </c>
      <c r="Q3161" s="40" t="str">
        <f>IF(OR(T3161=0,RIGHT(T3161,1)=$W$1),"",COUNTIF($T$3:T3161,T3161))</f>
        <v/>
      </c>
      <c r="S3161" s="6">
        <f t="shared" si="498"/>
        <v>0</v>
      </c>
      <c r="T3161" s="36">
        <f t="shared" si="499"/>
        <v>0</v>
      </c>
      <c r="V3161" s="6">
        <f t="shared" si="500"/>
        <v>0</v>
      </c>
      <c r="Y3161" s="8">
        <f t="shared" si="501"/>
        <v>46023</v>
      </c>
    </row>
    <row r="3162" spans="2:25" ht="18.75" x14ac:dyDescent="0.3">
      <c r="B3162" s="6">
        <f t="shared" si="493"/>
        <v>0</v>
      </c>
      <c r="C3162" s="6">
        <f t="shared" si="494"/>
        <v>0</v>
      </c>
      <c r="D3162" s="6" t="str">
        <f t="shared" si="495"/>
        <v/>
      </c>
      <c r="E3162" s="35" t="str">
        <f t="shared" si="492"/>
        <v/>
      </c>
      <c r="F3162" s="31"/>
      <c r="G3162" s="29"/>
      <c r="H3162" s="78" t="str">
        <f t="shared" si="496"/>
        <v/>
      </c>
      <c r="I3162" s="25"/>
      <c r="J3162" s="25"/>
      <c r="K3162" s="26"/>
      <c r="L3162" s="26"/>
      <c r="M3162" s="37"/>
      <c r="N3162" s="27"/>
      <c r="O3162" s="30"/>
      <c r="P3162" s="39" t="str">
        <f t="shared" si="497"/>
        <v/>
      </c>
      <c r="Q3162" s="40" t="str">
        <f>IF(OR(T3162=0,RIGHT(T3162,1)=$W$1),"",COUNTIF($T$3:T3162,T3162))</f>
        <v/>
      </c>
      <c r="S3162" s="6">
        <f t="shared" si="498"/>
        <v>0</v>
      </c>
      <c r="T3162" s="36">
        <f t="shared" si="499"/>
        <v>0</v>
      </c>
      <c r="V3162" s="6">
        <f t="shared" si="500"/>
        <v>0</v>
      </c>
      <c r="Y3162" s="8">
        <f t="shared" si="501"/>
        <v>46023</v>
      </c>
    </row>
    <row r="3163" spans="2:25" ht="18.75" x14ac:dyDescent="0.3">
      <c r="B3163" s="6">
        <f t="shared" si="493"/>
        <v>0</v>
      </c>
      <c r="C3163" s="6">
        <f t="shared" si="494"/>
        <v>0</v>
      </c>
      <c r="D3163" s="6" t="str">
        <f t="shared" si="495"/>
        <v/>
      </c>
      <c r="E3163" s="35" t="str">
        <f t="shared" si="492"/>
        <v/>
      </c>
      <c r="F3163" s="31"/>
      <c r="G3163" s="29"/>
      <c r="H3163" s="78" t="str">
        <f t="shared" si="496"/>
        <v/>
      </c>
      <c r="I3163" s="25"/>
      <c r="J3163" s="25"/>
      <c r="K3163" s="26"/>
      <c r="L3163" s="26"/>
      <c r="M3163" s="37"/>
      <c r="N3163" s="27"/>
      <c r="O3163" s="30"/>
      <c r="P3163" s="39" t="str">
        <f t="shared" si="497"/>
        <v/>
      </c>
      <c r="Q3163" s="40" t="str">
        <f>IF(OR(T3163=0,RIGHT(T3163,1)=$W$1),"",COUNTIF($T$3:T3163,T3163))</f>
        <v/>
      </c>
      <c r="S3163" s="6">
        <f t="shared" si="498"/>
        <v>0</v>
      </c>
      <c r="T3163" s="36">
        <f t="shared" si="499"/>
        <v>0</v>
      </c>
      <c r="V3163" s="6">
        <f t="shared" si="500"/>
        <v>0</v>
      </c>
      <c r="Y3163" s="8">
        <f t="shared" si="501"/>
        <v>46023</v>
      </c>
    </row>
    <row r="3164" spans="2:25" ht="18.75" x14ac:dyDescent="0.3">
      <c r="B3164" s="6">
        <f t="shared" si="493"/>
        <v>0</v>
      </c>
      <c r="C3164" s="6">
        <f t="shared" si="494"/>
        <v>0</v>
      </c>
      <c r="D3164" s="6" t="str">
        <f t="shared" si="495"/>
        <v/>
      </c>
      <c r="E3164" s="35" t="str">
        <f t="shared" si="492"/>
        <v/>
      </c>
      <c r="F3164" s="31"/>
      <c r="G3164" s="29"/>
      <c r="H3164" s="78" t="str">
        <f t="shared" si="496"/>
        <v/>
      </c>
      <c r="I3164" s="25"/>
      <c r="J3164" s="25"/>
      <c r="K3164" s="26"/>
      <c r="L3164" s="26"/>
      <c r="M3164" s="37"/>
      <c r="N3164" s="27"/>
      <c r="O3164" s="30"/>
      <c r="P3164" s="39" t="str">
        <f t="shared" si="497"/>
        <v/>
      </c>
      <c r="Q3164" s="40" t="str">
        <f>IF(OR(T3164=0,RIGHT(T3164,1)=$W$1),"",COUNTIF($T$3:T3164,T3164))</f>
        <v/>
      </c>
      <c r="S3164" s="6">
        <f t="shared" si="498"/>
        <v>0</v>
      </c>
      <c r="T3164" s="36">
        <f t="shared" si="499"/>
        <v>0</v>
      </c>
      <c r="V3164" s="6">
        <f t="shared" si="500"/>
        <v>0</v>
      </c>
      <c r="Y3164" s="8">
        <f t="shared" si="501"/>
        <v>46023</v>
      </c>
    </row>
    <row r="3165" spans="2:25" ht="18.75" x14ac:dyDescent="0.3">
      <c r="B3165" s="6">
        <f t="shared" si="493"/>
        <v>0</v>
      </c>
      <c r="C3165" s="6">
        <f t="shared" si="494"/>
        <v>0</v>
      </c>
      <c r="D3165" s="6" t="str">
        <f t="shared" si="495"/>
        <v/>
      </c>
      <c r="E3165" s="35" t="str">
        <f t="shared" si="492"/>
        <v/>
      </c>
      <c r="F3165" s="31"/>
      <c r="G3165" s="29"/>
      <c r="H3165" s="78" t="str">
        <f t="shared" si="496"/>
        <v/>
      </c>
      <c r="I3165" s="25"/>
      <c r="J3165" s="25"/>
      <c r="K3165" s="26"/>
      <c r="L3165" s="26"/>
      <c r="M3165" s="37"/>
      <c r="N3165" s="27"/>
      <c r="O3165" s="30"/>
      <c r="P3165" s="39" t="str">
        <f t="shared" si="497"/>
        <v/>
      </c>
      <c r="Q3165" s="40" t="str">
        <f>IF(OR(T3165=0,RIGHT(T3165,1)=$W$1),"",COUNTIF($T$3:T3165,T3165))</f>
        <v/>
      </c>
      <c r="S3165" s="6">
        <f t="shared" si="498"/>
        <v>0</v>
      </c>
      <c r="T3165" s="36">
        <f t="shared" si="499"/>
        <v>0</v>
      </c>
      <c r="V3165" s="6">
        <f t="shared" si="500"/>
        <v>0</v>
      </c>
      <c r="Y3165" s="8">
        <f t="shared" si="501"/>
        <v>46023</v>
      </c>
    </row>
    <row r="3166" spans="2:25" ht="18.75" x14ac:dyDescent="0.3">
      <c r="B3166" s="6">
        <f t="shared" si="493"/>
        <v>0</v>
      </c>
      <c r="C3166" s="6">
        <f t="shared" si="494"/>
        <v>0</v>
      </c>
      <c r="D3166" s="6" t="str">
        <f t="shared" si="495"/>
        <v/>
      </c>
      <c r="E3166" s="35" t="str">
        <f t="shared" si="492"/>
        <v/>
      </c>
      <c r="F3166" s="31"/>
      <c r="G3166" s="29"/>
      <c r="H3166" s="78" t="str">
        <f t="shared" si="496"/>
        <v/>
      </c>
      <c r="I3166" s="25"/>
      <c r="J3166" s="25"/>
      <c r="K3166" s="26"/>
      <c r="L3166" s="26"/>
      <c r="M3166" s="37"/>
      <c r="N3166" s="27"/>
      <c r="O3166" s="30"/>
      <c r="P3166" s="39" t="str">
        <f t="shared" si="497"/>
        <v/>
      </c>
      <c r="Q3166" s="40" t="str">
        <f>IF(OR(T3166=0,RIGHT(T3166,1)=$W$1),"",COUNTIF($T$3:T3166,T3166))</f>
        <v/>
      </c>
      <c r="S3166" s="6">
        <f t="shared" si="498"/>
        <v>0</v>
      </c>
      <c r="T3166" s="36">
        <f t="shared" si="499"/>
        <v>0</v>
      </c>
      <c r="V3166" s="6">
        <f t="shared" si="500"/>
        <v>0</v>
      </c>
      <c r="Y3166" s="8">
        <f t="shared" si="501"/>
        <v>46023</v>
      </c>
    </row>
    <row r="3167" spans="2:25" ht="18.75" x14ac:dyDescent="0.3">
      <c r="B3167" s="6">
        <f t="shared" si="493"/>
        <v>0</v>
      </c>
      <c r="C3167" s="6">
        <f t="shared" si="494"/>
        <v>0</v>
      </c>
      <c r="D3167" s="6" t="str">
        <f t="shared" si="495"/>
        <v/>
      </c>
      <c r="E3167" s="35" t="str">
        <f t="shared" si="492"/>
        <v/>
      </c>
      <c r="F3167" s="31"/>
      <c r="G3167" s="29"/>
      <c r="H3167" s="78" t="str">
        <f t="shared" si="496"/>
        <v/>
      </c>
      <c r="I3167" s="25"/>
      <c r="J3167" s="25"/>
      <c r="K3167" s="26"/>
      <c r="L3167" s="26"/>
      <c r="M3167" s="37"/>
      <c r="N3167" s="27"/>
      <c r="O3167" s="30"/>
      <c r="P3167" s="39" t="str">
        <f t="shared" si="497"/>
        <v/>
      </c>
      <c r="Q3167" s="40" t="str">
        <f>IF(OR(T3167=0,RIGHT(T3167,1)=$W$1),"",COUNTIF($T$3:T3167,T3167))</f>
        <v/>
      </c>
      <c r="S3167" s="6">
        <f t="shared" si="498"/>
        <v>0</v>
      </c>
      <c r="T3167" s="36">
        <f t="shared" si="499"/>
        <v>0</v>
      </c>
      <c r="V3167" s="6">
        <f t="shared" si="500"/>
        <v>0</v>
      </c>
      <c r="Y3167" s="8">
        <f t="shared" si="501"/>
        <v>46023</v>
      </c>
    </row>
    <row r="3168" spans="2:25" ht="18.75" x14ac:dyDescent="0.3">
      <c r="B3168" s="6">
        <f t="shared" si="493"/>
        <v>0</v>
      </c>
      <c r="C3168" s="6">
        <f t="shared" si="494"/>
        <v>0</v>
      </c>
      <c r="D3168" s="6" t="str">
        <f t="shared" si="495"/>
        <v/>
      </c>
      <c r="E3168" s="35" t="str">
        <f t="shared" si="492"/>
        <v/>
      </c>
      <c r="F3168" s="31"/>
      <c r="G3168" s="29"/>
      <c r="H3168" s="78" t="str">
        <f t="shared" si="496"/>
        <v/>
      </c>
      <c r="I3168" s="25"/>
      <c r="J3168" s="25"/>
      <c r="K3168" s="26"/>
      <c r="L3168" s="26"/>
      <c r="M3168" s="37"/>
      <c r="N3168" s="27"/>
      <c r="O3168" s="30"/>
      <c r="P3168" s="39" t="str">
        <f t="shared" si="497"/>
        <v/>
      </c>
      <c r="Q3168" s="40" t="str">
        <f>IF(OR(T3168=0,RIGHT(T3168,1)=$W$1),"",COUNTIF($T$3:T3168,T3168))</f>
        <v/>
      </c>
      <c r="S3168" s="6">
        <f t="shared" si="498"/>
        <v>0</v>
      </c>
      <c r="T3168" s="36">
        <f t="shared" si="499"/>
        <v>0</v>
      </c>
      <c r="V3168" s="6">
        <f t="shared" si="500"/>
        <v>0</v>
      </c>
      <c r="Y3168" s="8">
        <f t="shared" si="501"/>
        <v>46023</v>
      </c>
    </row>
    <row r="3169" spans="2:25" ht="18.75" x14ac:dyDescent="0.3">
      <c r="B3169" s="6">
        <f t="shared" si="493"/>
        <v>0</v>
      </c>
      <c r="C3169" s="6">
        <f t="shared" si="494"/>
        <v>0</v>
      </c>
      <c r="D3169" s="6" t="str">
        <f t="shared" si="495"/>
        <v/>
      </c>
      <c r="E3169" s="35" t="str">
        <f t="shared" si="492"/>
        <v/>
      </c>
      <c r="F3169" s="31"/>
      <c r="G3169" s="29"/>
      <c r="H3169" s="78" t="str">
        <f t="shared" si="496"/>
        <v/>
      </c>
      <c r="I3169" s="25"/>
      <c r="J3169" s="25"/>
      <c r="K3169" s="26"/>
      <c r="L3169" s="26"/>
      <c r="M3169" s="37"/>
      <c r="N3169" s="27"/>
      <c r="O3169" s="30"/>
      <c r="P3169" s="39" t="str">
        <f t="shared" si="497"/>
        <v/>
      </c>
      <c r="Q3169" s="40" t="str">
        <f>IF(OR(T3169=0,RIGHT(T3169,1)=$W$1),"",COUNTIF($T$3:T3169,T3169))</f>
        <v/>
      </c>
      <c r="S3169" s="6">
        <f t="shared" si="498"/>
        <v>0</v>
      </c>
      <c r="T3169" s="36">
        <f t="shared" si="499"/>
        <v>0</v>
      </c>
      <c r="V3169" s="6">
        <f t="shared" si="500"/>
        <v>0</v>
      </c>
      <c r="Y3169" s="8">
        <f t="shared" si="501"/>
        <v>46023</v>
      </c>
    </row>
    <row r="3170" spans="2:25" ht="18.75" x14ac:dyDescent="0.3">
      <c r="B3170" s="6">
        <f t="shared" si="493"/>
        <v>0</v>
      </c>
      <c r="C3170" s="6">
        <f t="shared" si="494"/>
        <v>0</v>
      </c>
      <c r="D3170" s="6" t="str">
        <f t="shared" si="495"/>
        <v/>
      </c>
      <c r="E3170" s="35" t="str">
        <f t="shared" si="492"/>
        <v/>
      </c>
      <c r="F3170" s="31"/>
      <c r="G3170" s="29"/>
      <c r="H3170" s="78" t="str">
        <f t="shared" si="496"/>
        <v/>
      </c>
      <c r="I3170" s="25"/>
      <c r="J3170" s="25"/>
      <c r="K3170" s="26"/>
      <c r="L3170" s="26"/>
      <c r="M3170" s="37"/>
      <c r="N3170" s="27"/>
      <c r="O3170" s="30"/>
      <c r="P3170" s="39" t="str">
        <f t="shared" si="497"/>
        <v/>
      </c>
      <c r="Q3170" s="40" t="str">
        <f>IF(OR(T3170=0,RIGHT(T3170,1)=$W$1),"",COUNTIF($T$3:T3170,T3170))</f>
        <v/>
      </c>
      <c r="S3170" s="6">
        <f t="shared" si="498"/>
        <v>0</v>
      </c>
      <c r="T3170" s="36">
        <f t="shared" si="499"/>
        <v>0</v>
      </c>
      <c r="V3170" s="6">
        <f t="shared" si="500"/>
        <v>0</v>
      </c>
      <c r="Y3170" s="8">
        <f t="shared" si="501"/>
        <v>46023</v>
      </c>
    </row>
    <row r="3171" spans="2:25" ht="18.75" x14ac:dyDescent="0.3">
      <c r="B3171" s="6">
        <f t="shared" si="493"/>
        <v>0</v>
      </c>
      <c r="C3171" s="6">
        <f t="shared" si="494"/>
        <v>0</v>
      </c>
      <c r="D3171" s="6" t="str">
        <f t="shared" si="495"/>
        <v/>
      </c>
      <c r="E3171" s="35" t="str">
        <f t="shared" si="492"/>
        <v/>
      </c>
      <c r="F3171" s="31"/>
      <c r="G3171" s="29"/>
      <c r="H3171" s="78" t="str">
        <f t="shared" si="496"/>
        <v/>
      </c>
      <c r="I3171" s="25"/>
      <c r="J3171" s="25"/>
      <c r="K3171" s="26"/>
      <c r="L3171" s="26"/>
      <c r="M3171" s="37"/>
      <c r="N3171" s="27"/>
      <c r="O3171" s="30"/>
      <c r="P3171" s="39" t="str">
        <f t="shared" si="497"/>
        <v/>
      </c>
      <c r="Q3171" s="40" t="str">
        <f>IF(OR(T3171=0,RIGHT(T3171,1)=$W$1),"",COUNTIF($T$3:T3171,T3171))</f>
        <v/>
      </c>
      <c r="S3171" s="6">
        <f t="shared" si="498"/>
        <v>0</v>
      </c>
      <c r="T3171" s="36">
        <f t="shared" si="499"/>
        <v>0</v>
      </c>
      <c r="V3171" s="6">
        <f t="shared" si="500"/>
        <v>0</v>
      </c>
      <c r="Y3171" s="8">
        <f t="shared" si="501"/>
        <v>46023</v>
      </c>
    </row>
    <row r="3172" spans="2:25" ht="18.75" x14ac:dyDescent="0.3">
      <c r="B3172" s="6">
        <f t="shared" si="493"/>
        <v>0</v>
      </c>
      <c r="C3172" s="6">
        <f t="shared" si="494"/>
        <v>0</v>
      </c>
      <c r="D3172" s="6" t="str">
        <f t="shared" si="495"/>
        <v/>
      </c>
      <c r="E3172" s="35" t="str">
        <f t="shared" si="492"/>
        <v/>
      </c>
      <c r="F3172" s="31"/>
      <c r="G3172" s="29"/>
      <c r="H3172" s="78" t="str">
        <f t="shared" si="496"/>
        <v/>
      </c>
      <c r="I3172" s="25"/>
      <c r="J3172" s="25"/>
      <c r="K3172" s="26"/>
      <c r="L3172" s="26"/>
      <c r="M3172" s="37"/>
      <c r="N3172" s="27"/>
      <c r="O3172" s="30"/>
      <c r="P3172" s="39" t="str">
        <f t="shared" si="497"/>
        <v/>
      </c>
      <c r="Q3172" s="40" t="str">
        <f>IF(OR(T3172=0,RIGHT(T3172,1)=$W$1),"",COUNTIF($T$3:T3172,T3172))</f>
        <v/>
      </c>
      <c r="S3172" s="6">
        <f t="shared" si="498"/>
        <v>0</v>
      </c>
      <c r="T3172" s="36">
        <f t="shared" si="499"/>
        <v>0</v>
      </c>
      <c r="V3172" s="6">
        <f t="shared" si="500"/>
        <v>0</v>
      </c>
      <c r="Y3172" s="8">
        <f t="shared" si="501"/>
        <v>46023</v>
      </c>
    </row>
    <row r="3173" spans="2:25" ht="18.75" x14ac:dyDescent="0.3">
      <c r="B3173" s="6">
        <f t="shared" si="493"/>
        <v>0</v>
      </c>
      <c r="C3173" s="6">
        <f t="shared" si="494"/>
        <v>0</v>
      </c>
      <c r="D3173" s="6" t="str">
        <f t="shared" si="495"/>
        <v/>
      </c>
      <c r="E3173" s="35" t="str">
        <f t="shared" si="492"/>
        <v/>
      </c>
      <c r="F3173" s="31"/>
      <c r="G3173" s="29"/>
      <c r="H3173" s="78" t="str">
        <f t="shared" si="496"/>
        <v/>
      </c>
      <c r="I3173" s="25"/>
      <c r="J3173" s="25"/>
      <c r="K3173" s="26"/>
      <c r="L3173" s="26"/>
      <c r="M3173" s="37"/>
      <c r="N3173" s="27"/>
      <c r="O3173" s="30"/>
      <c r="P3173" s="39" t="str">
        <f t="shared" si="497"/>
        <v/>
      </c>
      <c r="Q3173" s="40" t="str">
        <f>IF(OR(T3173=0,RIGHT(T3173,1)=$W$1),"",COUNTIF($T$3:T3173,T3173))</f>
        <v/>
      </c>
      <c r="S3173" s="6">
        <f t="shared" si="498"/>
        <v>0</v>
      </c>
      <c r="T3173" s="36">
        <f t="shared" si="499"/>
        <v>0</v>
      </c>
      <c r="V3173" s="6">
        <f t="shared" si="500"/>
        <v>0</v>
      </c>
      <c r="Y3173" s="8">
        <f t="shared" si="501"/>
        <v>46023</v>
      </c>
    </row>
    <row r="3174" spans="2:25" ht="18.75" x14ac:dyDescent="0.3">
      <c r="B3174" s="6">
        <f t="shared" si="493"/>
        <v>0</v>
      </c>
      <c r="C3174" s="6">
        <f t="shared" si="494"/>
        <v>0</v>
      </c>
      <c r="D3174" s="6" t="str">
        <f t="shared" si="495"/>
        <v/>
      </c>
      <c r="E3174" s="35" t="str">
        <f t="shared" si="492"/>
        <v/>
      </c>
      <c r="F3174" s="31"/>
      <c r="G3174" s="29"/>
      <c r="H3174" s="78" t="str">
        <f t="shared" si="496"/>
        <v/>
      </c>
      <c r="I3174" s="25"/>
      <c r="J3174" s="25"/>
      <c r="K3174" s="26"/>
      <c r="L3174" s="26"/>
      <c r="M3174" s="37"/>
      <c r="N3174" s="27"/>
      <c r="O3174" s="30"/>
      <c r="P3174" s="39" t="str">
        <f t="shared" si="497"/>
        <v/>
      </c>
      <c r="Q3174" s="40" t="str">
        <f>IF(OR(T3174=0,RIGHT(T3174,1)=$W$1),"",COUNTIF($T$3:T3174,T3174))</f>
        <v/>
      </c>
      <c r="S3174" s="6">
        <f t="shared" si="498"/>
        <v>0</v>
      </c>
      <c r="T3174" s="36">
        <f t="shared" si="499"/>
        <v>0</v>
      </c>
      <c r="V3174" s="6">
        <f t="shared" si="500"/>
        <v>0</v>
      </c>
      <c r="Y3174" s="8">
        <f t="shared" si="501"/>
        <v>46023</v>
      </c>
    </row>
    <row r="3175" spans="2:25" ht="18.75" x14ac:dyDescent="0.3">
      <c r="B3175" s="6">
        <f t="shared" si="493"/>
        <v>0</v>
      </c>
      <c r="C3175" s="6">
        <f t="shared" si="494"/>
        <v>0</v>
      </c>
      <c r="D3175" s="6" t="str">
        <f t="shared" si="495"/>
        <v/>
      </c>
      <c r="E3175" s="35" t="str">
        <f t="shared" si="492"/>
        <v/>
      </c>
      <c r="F3175" s="31"/>
      <c r="G3175" s="29"/>
      <c r="H3175" s="78" t="str">
        <f t="shared" si="496"/>
        <v/>
      </c>
      <c r="I3175" s="25"/>
      <c r="J3175" s="25"/>
      <c r="K3175" s="26"/>
      <c r="L3175" s="26"/>
      <c r="M3175" s="37"/>
      <c r="N3175" s="27"/>
      <c r="O3175" s="30"/>
      <c r="P3175" s="39" t="str">
        <f t="shared" si="497"/>
        <v/>
      </c>
      <c r="Q3175" s="40" t="str">
        <f>IF(OR(T3175=0,RIGHT(T3175,1)=$W$1),"",COUNTIF($T$3:T3175,T3175))</f>
        <v/>
      </c>
      <c r="S3175" s="6">
        <f t="shared" si="498"/>
        <v>0</v>
      </c>
      <c r="T3175" s="36">
        <f t="shared" si="499"/>
        <v>0</v>
      </c>
      <c r="V3175" s="6">
        <f t="shared" si="500"/>
        <v>0</v>
      </c>
      <c r="Y3175" s="8">
        <f t="shared" si="501"/>
        <v>46023</v>
      </c>
    </row>
    <row r="3176" spans="2:25" ht="18.75" x14ac:dyDescent="0.3">
      <c r="B3176" s="6">
        <f t="shared" si="493"/>
        <v>0</v>
      </c>
      <c r="C3176" s="6">
        <f t="shared" si="494"/>
        <v>0</v>
      </c>
      <c r="D3176" s="6" t="str">
        <f t="shared" si="495"/>
        <v/>
      </c>
      <c r="E3176" s="35" t="str">
        <f t="shared" si="492"/>
        <v/>
      </c>
      <c r="F3176" s="31"/>
      <c r="G3176" s="29"/>
      <c r="H3176" s="78" t="str">
        <f t="shared" si="496"/>
        <v/>
      </c>
      <c r="I3176" s="25"/>
      <c r="J3176" s="25"/>
      <c r="K3176" s="26"/>
      <c r="L3176" s="26"/>
      <c r="M3176" s="37"/>
      <c r="N3176" s="27"/>
      <c r="O3176" s="30"/>
      <c r="P3176" s="39" t="str">
        <f t="shared" si="497"/>
        <v/>
      </c>
      <c r="Q3176" s="40" t="str">
        <f>IF(OR(T3176=0,RIGHT(T3176,1)=$W$1),"",COUNTIF($T$3:T3176,T3176))</f>
        <v/>
      </c>
      <c r="S3176" s="6">
        <f t="shared" si="498"/>
        <v>0</v>
      </c>
      <c r="T3176" s="36">
        <f t="shared" si="499"/>
        <v>0</v>
      </c>
      <c r="V3176" s="6">
        <f t="shared" si="500"/>
        <v>0</v>
      </c>
      <c r="Y3176" s="8">
        <f t="shared" si="501"/>
        <v>46023</v>
      </c>
    </row>
    <row r="3177" spans="2:25" ht="18.75" x14ac:dyDescent="0.3">
      <c r="B3177" s="6">
        <f t="shared" si="493"/>
        <v>0</v>
      </c>
      <c r="C3177" s="6">
        <f t="shared" si="494"/>
        <v>0</v>
      </c>
      <c r="D3177" s="6" t="str">
        <f t="shared" si="495"/>
        <v/>
      </c>
      <c r="E3177" s="35" t="str">
        <f t="shared" si="492"/>
        <v/>
      </c>
      <c r="F3177" s="31"/>
      <c r="G3177" s="29"/>
      <c r="H3177" s="78" t="str">
        <f t="shared" si="496"/>
        <v/>
      </c>
      <c r="I3177" s="25"/>
      <c r="J3177" s="25"/>
      <c r="K3177" s="26"/>
      <c r="L3177" s="26"/>
      <c r="M3177" s="37"/>
      <c r="N3177" s="27"/>
      <c r="O3177" s="30"/>
      <c r="P3177" s="39" t="str">
        <f t="shared" si="497"/>
        <v/>
      </c>
      <c r="Q3177" s="40" t="str">
        <f>IF(OR(T3177=0,RIGHT(T3177,1)=$W$1),"",COUNTIF($T$3:T3177,T3177))</f>
        <v/>
      </c>
      <c r="S3177" s="6">
        <f t="shared" si="498"/>
        <v>0</v>
      </c>
      <c r="T3177" s="36">
        <f t="shared" si="499"/>
        <v>0</v>
      </c>
      <c r="V3177" s="6">
        <f t="shared" si="500"/>
        <v>0</v>
      </c>
      <c r="Y3177" s="8">
        <f t="shared" si="501"/>
        <v>46023</v>
      </c>
    </row>
    <row r="3178" spans="2:25" ht="18.75" x14ac:dyDescent="0.3">
      <c r="B3178" s="6">
        <f t="shared" si="493"/>
        <v>0</v>
      </c>
      <c r="C3178" s="6">
        <f t="shared" si="494"/>
        <v>0</v>
      </c>
      <c r="D3178" s="6" t="str">
        <f t="shared" si="495"/>
        <v/>
      </c>
      <c r="E3178" s="35" t="str">
        <f t="shared" si="492"/>
        <v/>
      </c>
      <c r="F3178" s="31"/>
      <c r="G3178" s="29"/>
      <c r="H3178" s="78" t="str">
        <f t="shared" si="496"/>
        <v/>
      </c>
      <c r="I3178" s="25"/>
      <c r="J3178" s="25"/>
      <c r="K3178" s="26"/>
      <c r="L3178" s="26"/>
      <c r="M3178" s="37"/>
      <c r="N3178" s="27"/>
      <c r="O3178" s="30"/>
      <c r="P3178" s="39" t="str">
        <f t="shared" si="497"/>
        <v/>
      </c>
      <c r="Q3178" s="40" t="str">
        <f>IF(OR(T3178=0,RIGHT(T3178,1)=$W$1),"",COUNTIF($T$3:T3178,T3178))</f>
        <v/>
      </c>
      <c r="S3178" s="6">
        <f t="shared" si="498"/>
        <v>0</v>
      </c>
      <c r="T3178" s="36">
        <f t="shared" si="499"/>
        <v>0</v>
      </c>
      <c r="V3178" s="6">
        <f t="shared" si="500"/>
        <v>0</v>
      </c>
      <c r="Y3178" s="8">
        <f t="shared" si="501"/>
        <v>46023</v>
      </c>
    </row>
    <row r="3179" spans="2:25" ht="18.75" x14ac:dyDescent="0.3">
      <c r="B3179" s="6">
        <f t="shared" si="493"/>
        <v>0</v>
      </c>
      <c r="C3179" s="6">
        <f t="shared" si="494"/>
        <v>0</v>
      </c>
      <c r="D3179" s="6" t="str">
        <f t="shared" si="495"/>
        <v/>
      </c>
      <c r="E3179" s="35" t="str">
        <f t="shared" si="492"/>
        <v/>
      </c>
      <c r="F3179" s="31"/>
      <c r="G3179" s="29"/>
      <c r="H3179" s="78" t="str">
        <f t="shared" si="496"/>
        <v/>
      </c>
      <c r="I3179" s="25"/>
      <c r="J3179" s="25"/>
      <c r="K3179" s="26"/>
      <c r="L3179" s="26"/>
      <c r="M3179" s="37"/>
      <c r="N3179" s="27"/>
      <c r="O3179" s="30"/>
      <c r="P3179" s="39" t="str">
        <f t="shared" si="497"/>
        <v/>
      </c>
      <c r="Q3179" s="40" t="str">
        <f>IF(OR(T3179=0,RIGHT(T3179,1)=$W$1),"",COUNTIF($T$3:T3179,T3179))</f>
        <v/>
      </c>
      <c r="S3179" s="6">
        <f t="shared" si="498"/>
        <v>0</v>
      </c>
      <c r="T3179" s="36">
        <f t="shared" si="499"/>
        <v>0</v>
      </c>
      <c r="V3179" s="6">
        <f t="shared" si="500"/>
        <v>0</v>
      </c>
      <c r="Y3179" s="8">
        <f t="shared" si="501"/>
        <v>46023</v>
      </c>
    </row>
    <row r="3180" spans="2:25" ht="18.75" x14ac:dyDescent="0.3">
      <c r="B3180" s="6">
        <f t="shared" si="493"/>
        <v>0</v>
      </c>
      <c r="C3180" s="6">
        <f t="shared" si="494"/>
        <v>0</v>
      </c>
      <c r="D3180" s="6" t="str">
        <f t="shared" si="495"/>
        <v/>
      </c>
      <c r="E3180" s="35" t="str">
        <f t="shared" si="492"/>
        <v/>
      </c>
      <c r="F3180" s="31"/>
      <c r="G3180" s="29"/>
      <c r="H3180" s="78" t="str">
        <f t="shared" si="496"/>
        <v/>
      </c>
      <c r="I3180" s="25"/>
      <c r="J3180" s="25"/>
      <c r="K3180" s="26"/>
      <c r="L3180" s="26"/>
      <c r="M3180" s="37"/>
      <c r="N3180" s="27"/>
      <c r="O3180" s="30"/>
      <c r="P3180" s="39" t="str">
        <f t="shared" si="497"/>
        <v/>
      </c>
      <c r="Q3180" s="40" t="str">
        <f>IF(OR(T3180=0,RIGHT(T3180,1)=$W$1),"",COUNTIF($T$3:T3180,T3180))</f>
        <v/>
      </c>
      <c r="S3180" s="6">
        <f t="shared" si="498"/>
        <v>0</v>
      </c>
      <c r="T3180" s="36">
        <f t="shared" si="499"/>
        <v>0</v>
      </c>
      <c r="V3180" s="6">
        <f t="shared" si="500"/>
        <v>0</v>
      </c>
      <c r="Y3180" s="8">
        <f t="shared" si="501"/>
        <v>46023</v>
      </c>
    </row>
    <row r="3181" spans="2:25" ht="18.75" x14ac:dyDescent="0.3">
      <c r="B3181" s="6">
        <f t="shared" si="493"/>
        <v>0</v>
      </c>
      <c r="C3181" s="6">
        <f t="shared" si="494"/>
        <v>0</v>
      </c>
      <c r="D3181" s="6" t="str">
        <f t="shared" si="495"/>
        <v/>
      </c>
      <c r="E3181" s="35" t="str">
        <f t="shared" si="492"/>
        <v/>
      </c>
      <c r="F3181" s="31"/>
      <c r="G3181" s="29"/>
      <c r="H3181" s="78" t="str">
        <f t="shared" si="496"/>
        <v/>
      </c>
      <c r="I3181" s="25"/>
      <c r="J3181" s="25"/>
      <c r="K3181" s="26"/>
      <c r="L3181" s="26"/>
      <c r="M3181" s="37"/>
      <c r="N3181" s="27"/>
      <c r="O3181" s="30"/>
      <c r="P3181" s="39" t="str">
        <f t="shared" si="497"/>
        <v/>
      </c>
      <c r="Q3181" s="40" t="str">
        <f>IF(OR(T3181=0,RIGHT(T3181,1)=$W$1),"",COUNTIF($T$3:T3181,T3181))</f>
        <v/>
      </c>
      <c r="S3181" s="6">
        <f t="shared" si="498"/>
        <v>0</v>
      </c>
      <c r="T3181" s="36">
        <f t="shared" si="499"/>
        <v>0</v>
      </c>
      <c r="V3181" s="6">
        <f t="shared" si="500"/>
        <v>0</v>
      </c>
      <c r="Y3181" s="8">
        <f t="shared" si="501"/>
        <v>46023</v>
      </c>
    </row>
    <row r="3182" spans="2:25" ht="18.75" x14ac:dyDescent="0.3">
      <c r="B3182" s="6">
        <f t="shared" si="493"/>
        <v>0</v>
      </c>
      <c r="C3182" s="6">
        <f t="shared" si="494"/>
        <v>0</v>
      </c>
      <c r="D3182" s="6" t="str">
        <f t="shared" si="495"/>
        <v/>
      </c>
      <c r="E3182" s="35" t="str">
        <f t="shared" si="492"/>
        <v/>
      </c>
      <c r="F3182" s="31"/>
      <c r="G3182" s="29"/>
      <c r="H3182" s="78" t="str">
        <f t="shared" si="496"/>
        <v/>
      </c>
      <c r="I3182" s="25"/>
      <c r="J3182" s="25"/>
      <c r="K3182" s="26"/>
      <c r="L3182" s="26"/>
      <c r="M3182" s="37"/>
      <c r="N3182" s="27"/>
      <c r="O3182" s="30"/>
      <c r="P3182" s="39" t="str">
        <f t="shared" si="497"/>
        <v/>
      </c>
      <c r="Q3182" s="40" t="str">
        <f>IF(OR(T3182=0,RIGHT(T3182,1)=$W$1),"",COUNTIF($T$3:T3182,T3182))</f>
        <v/>
      </c>
      <c r="S3182" s="6">
        <f t="shared" si="498"/>
        <v>0</v>
      </c>
      <c r="T3182" s="36">
        <f t="shared" si="499"/>
        <v>0</v>
      </c>
      <c r="V3182" s="6">
        <f t="shared" si="500"/>
        <v>0</v>
      </c>
      <c r="Y3182" s="8">
        <f t="shared" si="501"/>
        <v>46023</v>
      </c>
    </row>
    <row r="3183" spans="2:25" ht="18.75" x14ac:dyDescent="0.3">
      <c r="B3183" s="6">
        <f t="shared" si="493"/>
        <v>0</v>
      </c>
      <c r="C3183" s="6">
        <f t="shared" si="494"/>
        <v>0</v>
      </c>
      <c r="D3183" s="6" t="str">
        <f t="shared" si="495"/>
        <v/>
      </c>
      <c r="E3183" s="35" t="str">
        <f t="shared" si="492"/>
        <v/>
      </c>
      <c r="F3183" s="31"/>
      <c r="G3183" s="29"/>
      <c r="H3183" s="78" t="str">
        <f t="shared" si="496"/>
        <v/>
      </c>
      <c r="I3183" s="25"/>
      <c r="J3183" s="25"/>
      <c r="K3183" s="26"/>
      <c r="L3183" s="26"/>
      <c r="M3183" s="37"/>
      <c r="N3183" s="27"/>
      <c r="O3183" s="30"/>
      <c r="P3183" s="39" t="str">
        <f t="shared" si="497"/>
        <v/>
      </c>
      <c r="Q3183" s="40" t="str">
        <f>IF(OR(T3183=0,RIGHT(T3183,1)=$W$1),"",COUNTIF($T$3:T3183,T3183))</f>
        <v/>
      </c>
      <c r="S3183" s="6">
        <f t="shared" si="498"/>
        <v>0</v>
      </c>
      <c r="T3183" s="36">
        <f t="shared" si="499"/>
        <v>0</v>
      </c>
      <c r="V3183" s="6">
        <f t="shared" si="500"/>
        <v>0</v>
      </c>
      <c r="Y3183" s="8">
        <f t="shared" si="501"/>
        <v>46023</v>
      </c>
    </row>
    <row r="3184" spans="2:25" ht="18.75" x14ac:dyDescent="0.3">
      <c r="B3184" s="6">
        <f t="shared" si="493"/>
        <v>0</v>
      </c>
      <c r="C3184" s="6">
        <f t="shared" si="494"/>
        <v>0</v>
      </c>
      <c r="D3184" s="6" t="str">
        <f t="shared" si="495"/>
        <v/>
      </c>
      <c r="E3184" s="35" t="str">
        <f t="shared" si="492"/>
        <v/>
      </c>
      <c r="F3184" s="31"/>
      <c r="G3184" s="29"/>
      <c r="H3184" s="78" t="str">
        <f t="shared" si="496"/>
        <v/>
      </c>
      <c r="I3184" s="25"/>
      <c r="J3184" s="25"/>
      <c r="K3184" s="26"/>
      <c r="L3184" s="26"/>
      <c r="M3184" s="37"/>
      <c r="N3184" s="27"/>
      <c r="O3184" s="30"/>
      <c r="P3184" s="39" t="str">
        <f t="shared" si="497"/>
        <v/>
      </c>
      <c r="Q3184" s="40" t="str">
        <f>IF(OR(T3184=0,RIGHT(T3184,1)=$W$1),"",COUNTIF($T$3:T3184,T3184))</f>
        <v/>
      </c>
      <c r="S3184" s="6">
        <f t="shared" si="498"/>
        <v>0</v>
      </c>
      <c r="T3184" s="36">
        <f t="shared" si="499"/>
        <v>0</v>
      </c>
      <c r="V3184" s="6">
        <f t="shared" si="500"/>
        <v>0</v>
      </c>
      <c r="Y3184" s="8">
        <f t="shared" si="501"/>
        <v>46023</v>
      </c>
    </row>
    <row r="3185" spans="2:25" ht="18.75" x14ac:dyDescent="0.3">
      <c r="B3185" s="6">
        <f t="shared" si="493"/>
        <v>0</v>
      </c>
      <c r="C3185" s="6">
        <f t="shared" si="494"/>
        <v>0</v>
      </c>
      <c r="D3185" s="6" t="str">
        <f t="shared" si="495"/>
        <v/>
      </c>
      <c r="E3185" s="35" t="str">
        <f t="shared" si="492"/>
        <v/>
      </c>
      <c r="F3185" s="31"/>
      <c r="G3185" s="29"/>
      <c r="H3185" s="78" t="str">
        <f t="shared" si="496"/>
        <v/>
      </c>
      <c r="I3185" s="25"/>
      <c r="J3185" s="25"/>
      <c r="K3185" s="26"/>
      <c r="L3185" s="26"/>
      <c r="M3185" s="37"/>
      <c r="N3185" s="27"/>
      <c r="O3185" s="30"/>
      <c r="P3185" s="39" t="str">
        <f t="shared" si="497"/>
        <v/>
      </c>
      <c r="Q3185" s="40" t="str">
        <f>IF(OR(T3185=0,RIGHT(T3185,1)=$W$1),"",COUNTIF($T$3:T3185,T3185))</f>
        <v/>
      </c>
      <c r="S3185" s="6">
        <f t="shared" si="498"/>
        <v>0</v>
      </c>
      <c r="T3185" s="36">
        <f t="shared" si="499"/>
        <v>0</v>
      </c>
      <c r="V3185" s="6">
        <f t="shared" si="500"/>
        <v>0</v>
      </c>
      <c r="Y3185" s="8">
        <f t="shared" si="501"/>
        <v>46023</v>
      </c>
    </row>
    <row r="3186" spans="2:25" ht="18.75" x14ac:dyDescent="0.3">
      <c r="B3186" s="6">
        <f t="shared" si="493"/>
        <v>0</v>
      </c>
      <c r="C3186" s="6">
        <f t="shared" si="494"/>
        <v>0</v>
      </c>
      <c r="D3186" s="6" t="str">
        <f t="shared" si="495"/>
        <v/>
      </c>
      <c r="E3186" s="35" t="str">
        <f t="shared" si="492"/>
        <v/>
      </c>
      <c r="F3186" s="31"/>
      <c r="G3186" s="29"/>
      <c r="H3186" s="78" t="str">
        <f t="shared" si="496"/>
        <v/>
      </c>
      <c r="I3186" s="25"/>
      <c r="J3186" s="25"/>
      <c r="K3186" s="26"/>
      <c r="L3186" s="26"/>
      <c r="M3186" s="37"/>
      <c r="N3186" s="27"/>
      <c r="O3186" s="30"/>
      <c r="P3186" s="39" t="str">
        <f t="shared" si="497"/>
        <v/>
      </c>
      <c r="Q3186" s="40" t="str">
        <f>IF(OR(T3186=0,RIGHT(T3186,1)=$W$1),"",COUNTIF($T$3:T3186,T3186))</f>
        <v/>
      </c>
      <c r="S3186" s="6">
        <f t="shared" si="498"/>
        <v>0</v>
      </c>
      <c r="T3186" s="36">
        <f t="shared" si="499"/>
        <v>0</v>
      </c>
      <c r="V3186" s="6">
        <f t="shared" si="500"/>
        <v>0</v>
      </c>
      <c r="Y3186" s="8">
        <f t="shared" si="501"/>
        <v>46023</v>
      </c>
    </row>
    <row r="3187" spans="2:25" ht="18.75" x14ac:dyDescent="0.3">
      <c r="B3187" s="6">
        <f t="shared" si="493"/>
        <v>0</v>
      </c>
      <c r="C3187" s="6">
        <f t="shared" si="494"/>
        <v>0</v>
      </c>
      <c r="D3187" s="6" t="str">
        <f t="shared" si="495"/>
        <v/>
      </c>
      <c r="E3187" s="35" t="str">
        <f t="shared" si="492"/>
        <v/>
      </c>
      <c r="F3187" s="31"/>
      <c r="G3187" s="29"/>
      <c r="H3187" s="78" t="str">
        <f t="shared" si="496"/>
        <v/>
      </c>
      <c r="I3187" s="25"/>
      <c r="J3187" s="25"/>
      <c r="K3187" s="26"/>
      <c r="L3187" s="26"/>
      <c r="M3187" s="37"/>
      <c r="N3187" s="27"/>
      <c r="O3187" s="30"/>
      <c r="P3187" s="39" t="str">
        <f t="shared" si="497"/>
        <v/>
      </c>
      <c r="Q3187" s="40" t="str">
        <f>IF(OR(T3187=0,RIGHT(T3187,1)=$W$1),"",COUNTIF($T$3:T3187,T3187))</f>
        <v/>
      </c>
      <c r="S3187" s="6">
        <f t="shared" si="498"/>
        <v>0</v>
      </c>
      <c r="T3187" s="36">
        <f t="shared" si="499"/>
        <v>0</v>
      </c>
      <c r="V3187" s="6">
        <f t="shared" si="500"/>
        <v>0</v>
      </c>
      <c r="Y3187" s="8">
        <f t="shared" si="501"/>
        <v>46023</v>
      </c>
    </row>
    <row r="3188" spans="2:25" ht="18.75" x14ac:dyDescent="0.3">
      <c r="B3188" s="6">
        <f t="shared" si="493"/>
        <v>0</v>
      </c>
      <c r="C3188" s="6">
        <f t="shared" si="494"/>
        <v>0</v>
      </c>
      <c r="D3188" s="6" t="str">
        <f t="shared" si="495"/>
        <v/>
      </c>
      <c r="E3188" s="35" t="str">
        <f t="shared" si="492"/>
        <v/>
      </c>
      <c r="F3188" s="31"/>
      <c r="G3188" s="29"/>
      <c r="H3188" s="78" t="str">
        <f t="shared" si="496"/>
        <v/>
      </c>
      <c r="I3188" s="25"/>
      <c r="J3188" s="25"/>
      <c r="K3188" s="26"/>
      <c r="L3188" s="26"/>
      <c r="M3188" s="37"/>
      <c r="N3188" s="27"/>
      <c r="O3188" s="30"/>
      <c r="P3188" s="39" t="str">
        <f t="shared" si="497"/>
        <v/>
      </c>
      <c r="Q3188" s="40" t="str">
        <f>IF(OR(T3188=0,RIGHT(T3188,1)=$W$1),"",COUNTIF($T$3:T3188,T3188))</f>
        <v/>
      </c>
      <c r="S3188" s="6">
        <f t="shared" si="498"/>
        <v>0</v>
      </c>
      <c r="T3188" s="36">
        <f t="shared" si="499"/>
        <v>0</v>
      </c>
      <c r="V3188" s="6">
        <f t="shared" si="500"/>
        <v>0</v>
      </c>
      <c r="Y3188" s="8">
        <f t="shared" si="501"/>
        <v>46023</v>
      </c>
    </row>
    <row r="3189" spans="2:25" ht="18.75" x14ac:dyDescent="0.3">
      <c r="B3189" s="6">
        <f t="shared" si="493"/>
        <v>0</v>
      </c>
      <c r="C3189" s="6">
        <f t="shared" si="494"/>
        <v>0</v>
      </c>
      <c r="D3189" s="6" t="str">
        <f t="shared" si="495"/>
        <v/>
      </c>
      <c r="E3189" s="35" t="str">
        <f t="shared" si="492"/>
        <v/>
      </c>
      <c r="F3189" s="31"/>
      <c r="G3189" s="29"/>
      <c r="H3189" s="78" t="str">
        <f t="shared" si="496"/>
        <v/>
      </c>
      <c r="I3189" s="25"/>
      <c r="J3189" s="25"/>
      <c r="K3189" s="26"/>
      <c r="L3189" s="26"/>
      <c r="M3189" s="37"/>
      <c r="N3189" s="27"/>
      <c r="O3189" s="30"/>
      <c r="P3189" s="39" t="str">
        <f t="shared" si="497"/>
        <v/>
      </c>
      <c r="Q3189" s="40" t="str">
        <f>IF(OR(T3189=0,RIGHT(T3189,1)=$W$1),"",COUNTIF($T$3:T3189,T3189))</f>
        <v/>
      </c>
      <c r="S3189" s="6">
        <f t="shared" si="498"/>
        <v>0</v>
      </c>
      <c r="T3189" s="36">
        <f t="shared" si="499"/>
        <v>0</v>
      </c>
      <c r="V3189" s="6">
        <f t="shared" si="500"/>
        <v>0</v>
      </c>
      <c r="Y3189" s="8">
        <f t="shared" si="501"/>
        <v>46023</v>
      </c>
    </row>
    <row r="3190" spans="2:25" ht="18.75" x14ac:dyDescent="0.3">
      <c r="B3190" s="6">
        <f t="shared" si="493"/>
        <v>0</v>
      </c>
      <c r="C3190" s="6">
        <f t="shared" si="494"/>
        <v>0</v>
      </c>
      <c r="D3190" s="6" t="str">
        <f t="shared" si="495"/>
        <v/>
      </c>
      <c r="E3190" s="35" t="str">
        <f t="shared" si="492"/>
        <v/>
      </c>
      <c r="F3190" s="31"/>
      <c r="G3190" s="29"/>
      <c r="H3190" s="78" t="str">
        <f t="shared" si="496"/>
        <v/>
      </c>
      <c r="I3190" s="25"/>
      <c r="J3190" s="25"/>
      <c r="K3190" s="26"/>
      <c r="L3190" s="26"/>
      <c r="M3190" s="37"/>
      <c r="N3190" s="27"/>
      <c r="O3190" s="30"/>
      <c r="P3190" s="39" t="str">
        <f t="shared" si="497"/>
        <v/>
      </c>
      <c r="Q3190" s="40" t="str">
        <f>IF(OR(T3190=0,RIGHT(T3190,1)=$W$1),"",COUNTIF($T$3:T3190,T3190))</f>
        <v/>
      </c>
      <c r="S3190" s="6">
        <f t="shared" si="498"/>
        <v>0</v>
      </c>
      <c r="T3190" s="36">
        <f t="shared" si="499"/>
        <v>0</v>
      </c>
      <c r="V3190" s="6">
        <f t="shared" si="500"/>
        <v>0</v>
      </c>
      <c r="Y3190" s="8">
        <f t="shared" si="501"/>
        <v>46023</v>
      </c>
    </row>
    <row r="3191" spans="2:25" ht="18.75" x14ac:dyDescent="0.3">
      <c r="B3191" s="6">
        <f t="shared" si="493"/>
        <v>0</v>
      </c>
      <c r="C3191" s="6">
        <f t="shared" si="494"/>
        <v>0</v>
      </c>
      <c r="D3191" s="6" t="str">
        <f t="shared" si="495"/>
        <v/>
      </c>
      <c r="E3191" s="35" t="str">
        <f t="shared" si="492"/>
        <v/>
      </c>
      <c r="F3191" s="31"/>
      <c r="G3191" s="29"/>
      <c r="H3191" s="78" t="str">
        <f t="shared" si="496"/>
        <v/>
      </c>
      <c r="I3191" s="25"/>
      <c r="J3191" s="25"/>
      <c r="K3191" s="26"/>
      <c r="L3191" s="26"/>
      <c r="M3191" s="37"/>
      <c r="N3191" s="27"/>
      <c r="O3191" s="30"/>
      <c r="P3191" s="39" t="str">
        <f t="shared" si="497"/>
        <v/>
      </c>
      <c r="Q3191" s="40" t="str">
        <f>IF(OR(T3191=0,RIGHT(T3191,1)=$W$1),"",COUNTIF($T$3:T3191,T3191))</f>
        <v/>
      </c>
      <c r="S3191" s="6">
        <f t="shared" si="498"/>
        <v>0</v>
      </c>
      <c r="T3191" s="36">
        <f t="shared" si="499"/>
        <v>0</v>
      </c>
      <c r="V3191" s="6">
        <f t="shared" si="500"/>
        <v>0</v>
      </c>
      <c r="Y3191" s="8">
        <f t="shared" si="501"/>
        <v>46023</v>
      </c>
    </row>
    <row r="3192" spans="2:25" ht="18.75" x14ac:dyDescent="0.3">
      <c r="B3192" s="6">
        <f t="shared" si="493"/>
        <v>0</v>
      </c>
      <c r="C3192" s="6">
        <f t="shared" si="494"/>
        <v>0</v>
      </c>
      <c r="D3192" s="6" t="str">
        <f t="shared" si="495"/>
        <v/>
      </c>
      <c r="E3192" s="35" t="str">
        <f t="shared" si="492"/>
        <v/>
      </c>
      <c r="F3192" s="31"/>
      <c r="G3192" s="29"/>
      <c r="H3192" s="78" t="str">
        <f t="shared" si="496"/>
        <v/>
      </c>
      <c r="I3192" s="25"/>
      <c r="J3192" s="25"/>
      <c r="K3192" s="26"/>
      <c r="L3192" s="26"/>
      <c r="M3192" s="37"/>
      <c r="N3192" s="27"/>
      <c r="O3192" s="30"/>
      <c r="P3192" s="39" t="str">
        <f t="shared" si="497"/>
        <v/>
      </c>
      <c r="Q3192" s="40" t="str">
        <f>IF(OR(T3192=0,RIGHT(T3192,1)=$W$1),"",COUNTIF($T$3:T3192,T3192))</f>
        <v/>
      </c>
      <c r="S3192" s="6">
        <f t="shared" si="498"/>
        <v>0</v>
      </c>
      <c r="T3192" s="36">
        <f t="shared" si="499"/>
        <v>0</v>
      </c>
      <c r="V3192" s="6">
        <f t="shared" si="500"/>
        <v>0</v>
      </c>
      <c r="Y3192" s="8">
        <f t="shared" si="501"/>
        <v>46023</v>
      </c>
    </row>
    <row r="3193" spans="2:25" ht="18.75" x14ac:dyDescent="0.3">
      <c r="B3193" s="6">
        <f t="shared" si="493"/>
        <v>0</v>
      </c>
      <c r="C3193" s="6">
        <f t="shared" si="494"/>
        <v>0</v>
      </c>
      <c r="D3193" s="6" t="str">
        <f t="shared" si="495"/>
        <v/>
      </c>
      <c r="E3193" s="35" t="str">
        <f t="shared" si="492"/>
        <v/>
      </c>
      <c r="F3193" s="31"/>
      <c r="G3193" s="29"/>
      <c r="H3193" s="78" t="str">
        <f t="shared" si="496"/>
        <v/>
      </c>
      <c r="I3193" s="25"/>
      <c r="J3193" s="25"/>
      <c r="K3193" s="26"/>
      <c r="L3193" s="26"/>
      <c r="M3193" s="37"/>
      <c r="N3193" s="27"/>
      <c r="O3193" s="30"/>
      <c r="P3193" s="39" t="str">
        <f t="shared" si="497"/>
        <v/>
      </c>
      <c r="Q3193" s="40" t="str">
        <f>IF(OR(T3193=0,RIGHT(T3193,1)=$W$1),"",COUNTIF($T$3:T3193,T3193))</f>
        <v/>
      </c>
      <c r="S3193" s="6">
        <f t="shared" si="498"/>
        <v>0</v>
      </c>
      <c r="T3193" s="36">
        <f t="shared" si="499"/>
        <v>0</v>
      </c>
      <c r="V3193" s="6">
        <f t="shared" si="500"/>
        <v>0</v>
      </c>
      <c r="Y3193" s="8">
        <f t="shared" si="501"/>
        <v>46023</v>
      </c>
    </row>
    <row r="3194" spans="2:25" ht="18.75" x14ac:dyDescent="0.3">
      <c r="B3194" s="6">
        <f t="shared" si="493"/>
        <v>0</v>
      </c>
      <c r="C3194" s="6">
        <f t="shared" si="494"/>
        <v>0</v>
      </c>
      <c r="D3194" s="6" t="str">
        <f t="shared" si="495"/>
        <v/>
      </c>
      <c r="E3194" s="35" t="str">
        <f t="shared" si="492"/>
        <v/>
      </c>
      <c r="F3194" s="31"/>
      <c r="G3194" s="29"/>
      <c r="H3194" s="78" t="str">
        <f t="shared" si="496"/>
        <v/>
      </c>
      <c r="I3194" s="25"/>
      <c r="J3194" s="25"/>
      <c r="K3194" s="26"/>
      <c r="L3194" s="26"/>
      <c r="M3194" s="37"/>
      <c r="N3194" s="27"/>
      <c r="O3194" s="30"/>
      <c r="P3194" s="39" t="str">
        <f t="shared" si="497"/>
        <v/>
      </c>
      <c r="Q3194" s="40" t="str">
        <f>IF(OR(T3194=0,RIGHT(T3194,1)=$W$1),"",COUNTIF($T$3:T3194,T3194))</f>
        <v/>
      </c>
      <c r="S3194" s="6">
        <f t="shared" si="498"/>
        <v>0</v>
      </c>
      <c r="T3194" s="36">
        <f t="shared" si="499"/>
        <v>0</v>
      </c>
      <c r="V3194" s="6">
        <f t="shared" si="500"/>
        <v>0</v>
      </c>
      <c r="Y3194" s="8">
        <f t="shared" si="501"/>
        <v>46023</v>
      </c>
    </row>
    <row r="3195" spans="2:25" ht="18.75" x14ac:dyDescent="0.3">
      <c r="B3195" s="6">
        <f t="shared" si="493"/>
        <v>0</v>
      </c>
      <c r="C3195" s="6">
        <f t="shared" si="494"/>
        <v>0</v>
      </c>
      <c r="D3195" s="6" t="str">
        <f t="shared" si="495"/>
        <v/>
      </c>
      <c r="E3195" s="35" t="str">
        <f t="shared" si="492"/>
        <v/>
      </c>
      <c r="F3195" s="31"/>
      <c r="G3195" s="29"/>
      <c r="H3195" s="78" t="str">
        <f t="shared" si="496"/>
        <v/>
      </c>
      <c r="I3195" s="25"/>
      <c r="J3195" s="25"/>
      <c r="K3195" s="26"/>
      <c r="L3195" s="26"/>
      <c r="M3195" s="37"/>
      <c r="N3195" s="27"/>
      <c r="O3195" s="30"/>
      <c r="P3195" s="39" t="str">
        <f t="shared" si="497"/>
        <v/>
      </c>
      <c r="Q3195" s="40" t="str">
        <f>IF(OR(T3195=0,RIGHT(T3195,1)=$W$1),"",COUNTIF($T$3:T3195,T3195))</f>
        <v/>
      </c>
      <c r="S3195" s="6">
        <f t="shared" si="498"/>
        <v>0</v>
      </c>
      <c r="T3195" s="36">
        <f t="shared" si="499"/>
        <v>0</v>
      </c>
      <c r="V3195" s="6">
        <f t="shared" si="500"/>
        <v>0</v>
      </c>
      <c r="Y3195" s="8">
        <f t="shared" si="501"/>
        <v>46023</v>
      </c>
    </row>
    <row r="3196" spans="2:25" ht="18.75" x14ac:dyDescent="0.3">
      <c r="B3196" s="6">
        <f t="shared" si="493"/>
        <v>0</v>
      </c>
      <c r="C3196" s="6">
        <f t="shared" si="494"/>
        <v>0</v>
      </c>
      <c r="D3196" s="6" t="str">
        <f t="shared" si="495"/>
        <v/>
      </c>
      <c r="E3196" s="35" t="str">
        <f t="shared" si="492"/>
        <v/>
      </c>
      <c r="F3196" s="31"/>
      <c r="G3196" s="29"/>
      <c r="H3196" s="78" t="str">
        <f t="shared" si="496"/>
        <v/>
      </c>
      <c r="I3196" s="25"/>
      <c r="J3196" s="25"/>
      <c r="K3196" s="26"/>
      <c r="L3196" s="26"/>
      <c r="M3196" s="37"/>
      <c r="N3196" s="27"/>
      <c r="O3196" s="30"/>
      <c r="P3196" s="39" t="str">
        <f t="shared" si="497"/>
        <v/>
      </c>
      <c r="Q3196" s="40" t="str">
        <f>IF(OR(T3196=0,RIGHT(T3196,1)=$W$1),"",COUNTIF($T$3:T3196,T3196))</f>
        <v/>
      </c>
      <c r="S3196" s="6">
        <f t="shared" si="498"/>
        <v>0</v>
      </c>
      <c r="T3196" s="36">
        <f t="shared" si="499"/>
        <v>0</v>
      </c>
      <c r="V3196" s="6">
        <f t="shared" si="500"/>
        <v>0</v>
      </c>
      <c r="Y3196" s="8">
        <f t="shared" si="501"/>
        <v>46023</v>
      </c>
    </row>
    <row r="3197" spans="2:25" ht="18.75" x14ac:dyDescent="0.3">
      <c r="B3197" s="6">
        <f t="shared" si="493"/>
        <v>0</v>
      </c>
      <c r="C3197" s="6">
        <f t="shared" si="494"/>
        <v>0</v>
      </c>
      <c r="D3197" s="6" t="str">
        <f t="shared" si="495"/>
        <v/>
      </c>
      <c r="E3197" s="35" t="str">
        <f t="shared" si="492"/>
        <v/>
      </c>
      <c r="F3197" s="31"/>
      <c r="G3197" s="29"/>
      <c r="H3197" s="78" t="str">
        <f t="shared" si="496"/>
        <v/>
      </c>
      <c r="I3197" s="25"/>
      <c r="J3197" s="25"/>
      <c r="K3197" s="26"/>
      <c r="L3197" s="26"/>
      <c r="M3197" s="37"/>
      <c r="N3197" s="27"/>
      <c r="O3197" s="30"/>
      <c r="P3197" s="39" t="str">
        <f t="shared" si="497"/>
        <v/>
      </c>
      <c r="Q3197" s="40" t="str">
        <f>IF(OR(T3197=0,RIGHT(T3197,1)=$W$1),"",COUNTIF($T$3:T3197,T3197))</f>
        <v/>
      </c>
      <c r="S3197" s="6">
        <f t="shared" si="498"/>
        <v>0</v>
      </c>
      <c r="T3197" s="36">
        <f t="shared" si="499"/>
        <v>0</v>
      </c>
      <c r="V3197" s="6">
        <f t="shared" si="500"/>
        <v>0</v>
      </c>
      <c r="Y3197" s="8">
        <f t="shared" si="501"/>
        <v>46023</v>
      </c>
    </row>
    <row r="3198" spans="2:25" ht="18.75" x14ac:dyDescent="0.3">
      <c r="B3198" s="6">
        <f t="shared" si="493"/>
        <v>0</v>
      </c>
      <c r="C3198" s="6">
        <f t="shared" si="494"/>
        <v>0</v>
      </c>
      <c r="D3198" s="6" t="str">
        <f t="shared" si="495"/>
        <v/>
      </c>
      <c r="E3198" s="35" t="str">
        <f t="shared" si="492"/>
        <v/>
      </c>
      <c r="F3198" s="31"/>
      <c r="G3198" s="29"/>
      <c r="H3198" s="78" t="str">
        <f t="shared" si="496"/>
        <v/>
      </c>
      <c r="I3198" s="25"/>
      <c r="J3198" s="25"/>
      <c r="K3198" s="26"/>
      <c r="L3198" s="26"/>
      <c r="M3198" s="37"/>
      <c r="N3198" s="27"/>
      <c r="O3198" s="30"/>
      <c r="P3198" s="39" t="str">
        <f t="shared" si="497"/>
        <v/>
      </c>
      <c r="Q3198" s="40" t="str">
        <f>IF(OR(T3198=0,RIGHT(T3198,1)=$W$1),"",COUNTIF($T$3:T3198,T3198))</f>
        <v/>
      </c>
      <c r="S3198" s="6">
        <f t="shared" si="498"/>
        <v>0</v>
      </c>
      <c r="T3198" s="36">
        <f t="shared" si="499"/>
        <v>0</v>
      </c>
      <c r="V3198" s="6">
        <f t="shared" si="500"/>
        <v>0</v>
      </c>
      <c r="Y3198" s="8">
        <f t="shared" si="501"/>
        <v>46023</v>
      </c>
    </row>
    <row r="3199" spans="2:25" ht="18.75" x14ac:dyDescent="0.3">
      <c r="B3199" s="6">
        <f t="shared" si="493"/>
        <v>0</v>
      </c>
      <c r="C3199" s="6">
        <f t="shared" si="494"/>
        <v>0</v>
      </c>
      <c r="D3199" s="6" t="str">
        <f t="shared" si="495"/>
        <v/>
      </c>
      <c r="E3199" s="35" t="str">
        <f t="shared" si="492"/>
        <v/>
      </c>
      <c r="F3199" s="31"/>
      <c r="G3199" s="29"/>
      <c r="H3199" s="78" t="str">
        <f t="shared" si="496"/>
        <v/>
      </c>
      <c r="I3199" s="25"/>
      <c r="J3199" s="25"/>
      <c r="K3199" s="26"/>
      <c r="L3199" s="26"/>
      <c r="M3199" s="37"/>
      <c r="N3199" s="27"/>
      <c r="O3199" s="30"/>
      <c r="P3199" s="39" t="str">
        <f t="shared" si="497"/>
        <v/>
      </c>
      <c r="Q3199" s="40" t="str">
        <f>IF(OR(T3199=0,RIGHT(T3199,1)=$W$1),"",COUNTIF($T$3:T3199,T3199))</f>
        <v/>
      </c>
      <c r="S3199" s="6">
        <f t="shared" si="498"/>
        <v>0</v>
      </c>
      <c r="T3199" s="36">
        <f t="shared" si="499"/>
        <v>0</v>
      </c>
      <c r="V3199" s="6">
        <f t="shared" si="500"/>
        <v>0</v>
      </c>
      <c r="Y3199" s="8">
        <f t="shared" si="501"/>
        <v>46023</v>
      </c>
    </row>
    <row r="3200" spans="2:25" ht="18.75" x14ac:dyDescent="0.3">
      <c r="B3200" s="6">
        <f t="shared" si="493"/>
        <v>0</v>
      </c>
      <c r="C3200" s="6">
        <f t="shared" si="494"/>
        <v>0</v>
      </c>
      <c r="D3200" s="6" t="str">
        <f t="shared" si="495"/>
        <v/>
      </c>
      <c r="E3200" s="35" t="str">
        <f t="shared" si="492"/>
        <v/>
      </c>
      <c r="F3200" s="31"/>
      <c r="G3200" s="29"/>
      <c r="H3200" s="78" t="str">
        <f t="shared" si="496"/>
        <v/>
      </c>
      <c r="I3200" s="25"/>
      <c r="J3200" s="25"/>
      <c r="K3200" s="26"/>
      <c r="L3200" s="26"/>
      <c r="M3200" s="37"/>
      <c r="N3200" s="27"/>
      <c r="O3200" s="30"/>
      <c r="P3200" s="39" t="str">
        <f t="shared" si="497"/>
        <v/>
      </c>
      <c r="Q3200" s="40" t="str">
        <f>IF(OR(T3200=0,RIGHT(T3200,1)=$W$1),"",COUNTIF($T$3:T3200,T3200))</f>
        <v/>
      </c>
      <c r="S3200" s="6">
        <f t="shared" si="498"/>
        <v>0</v>
      </c>
      <c r="T3200" s="36">
        <f t="shared" si="499"/>
        <v>0</v>
      </c>
      <c r="V3200" s="6">
        <f t="shared" si="500"/>
        <v>0</v>
      </c>
      <c r="Y3200" s="8">
        <f t="shared" si="501"/>
        <v>46023</v>
      </c>
    </row>
    <row r="3201" spans="2:25" ht="18.75" x14ac:dyDescent="0.3">
      <c r="B3201" s="6">
        <f t="shared" si="493"/>
        <v>0</v>
      </c>
      <c r="C3201" s="6">
        <f t="shared" si="494"/>
        <v>0</v>
      </c>
      <c r="D3201" s="6" t="str">
        <f t="shared" si="495"/>
        <v/>
      </c>
      <c r="E3201" s="35" t="str">
        <f t="shared" si="492"/>
        <v/>
      </c>
      <c r="F3201" s="31"/>
      <c r="G3201" s="29"/>
      <c r="H3201" s="78" t="str">
        <f t="shared" si="496"/>
        <v/>
      </c>
      <c r="I3201" s="25"/>
      <c r="J3201" s="25"/>
      <c r="K3201" s="26"/>
      <c r="L3201" s="26"/>
      <c r="M3201" s="37"/>
      <c r="N3201" s="27"/>
      <c r="O3201" s="30"/>
      <c r="P3201" s="39" t="str">
        <f t="shared" si="497"/>
        <v/>
      </c>
      <c r="Q3201" s="40" t="str">
        <f>IF(OR(T3201=0,RIGHT(T3201,1)=$W$1),"",COUNTIF($T$3:T3201,T3201))</f>
        <v/>
      </c>
      <c r="S3201" s="6">
        <f t="shared" si="498"/>
        <v>0</v>
      </c>
      <c r="T3201" s="36">
        <f t="shared" si="499"/>
        <v>0</v>
      </c>
      <c r="V3201" s="6">
        <f t="shared" si="500"/>
        <v>0</v>
      </c>
      <c r="Y3201" s="8">
        <f t="shared" si="501"/>
        <v>46023</v>
      </c>
    </row>
    <row r="3202" spans="2:25" ht="18.75" x14ac:dyDescent="0.3">
      <c r="B3202" s="6">
        <f t="shared" si="493"/>
        <v>0</v>
      </c>
      <c r="C3202" s="6">
        <f t="shared" si="494"/>
        <v>0</v>
      </c>
      <c r="D3202" s="6" t="str">
        <f t="shared" si="495"/>
        <v/>
      </c>
      <c r="E3202" s="35" t="str">
        <f t="shared" si="492"/>
        <v/>
      </c>
      <c r="F3202" s="31"/>
      <c r="G3202" s="29"/>
      <c r="H3202" s="78" t="str">
        <f t="shared" si="496"/>
        <v/>
      </c>
      <c r="I3202" s="25"/>
      <c r="J3202" s="25"/>
      <c r="K3202" s="26"/>
      <c r="L3202" s="26"/>
      <c r="M3202" s="37"/>
      <c r="N3202" s="27"/>
      <c r="O3202" s="30"/>
      <c r="P3202" s="39" t="str">
        <f t="shared" si="497"/>
        <v/>
      </c>
      <c r="Q3202" s="40" t="str">
        <f>IF(OR(T3202=0,RIGHT(T3202,1)=$W$1),"",COUNTIF($T$3:T3202,T3202))</f>
        <v/>
      </c>
      <c r="S3202" s="6">
        <f t="shared" si="498"/>
        <v>0</v>
      </c>
      <c r="T3202" s="36">
        <f t="shared" si="499"/>
        <v>0</v>
      </c>
      <c r="V3202" s="6">
        <f t="shared" si="500"/>
        <v>0</v>
      </c>
      <c r="Y3202" s="8">
        <f t="shared" si="501"/>
        <v>46023</v>
      </c>
    </row>
    <row r="3203" spans="2:25" ht="18.75" x14ac:dyDescent="0.3">
      <c r="B3203" s="6">
        <f t="shared" si="493"/>
        <v>0</v>
      </c>
      <c r="C3203" s="6">
        <f t="shared" si="494"/>
        <v>0</v>
      </c>
      <c r="D3203" s="6" t="str">
        <f t="shared" si="495"/>
        <v/>
      </c>
      <c r="E3203" s="35" t="str">
        <f t="shared" ref="E3203:E3266" si="502">IF(D3203&lt;&gt;"",D3203&amp;" - "&amp;YEAR(F3203),"")</f>
        <v/>
      </c>
      <c r="F3203" s="31"/>
      <c r="G3203" s="29"/>
      <c r="H3203" s="78" t="str">
        <f t="shared" si="496"/>
        <v/>
      </c>
      <c r="I3203" s="25"/>
      <c r="J3203" s="25"/>
      <c r="K3203" s="26"/>
      <c r="L3203" s="26"/>
      <c r="M3203" s="37"/>
      <c r="N3203" s="27"/>
      <c r="O3203" s="30"/>
      <c r="P3203" s="39" t="str">
        <f t="shared" si="497"/>
        <v/>
      </c>
      <c r="Q3203" s="40" t="str">
        <f>IF(OR(T3203=0,RIGHT(T3203,1)=$W$1),"",COUNTIF($T$3:T3203,T3203))</f>
        <v/>
      </c>
      <c r="S3203" s="6">
        <f t="shared" si="498"/>
        <v>0</v>
      </c>
      <c r="T3203" s="36">
        <f t="shared" si="499"/>
        <v>0</v>
      </c>
      <c r="V3203" s="6">
        <f t="shared" si="500"/>
        <v>0</v>
      </c>
      <c r="Y3203" s="8">
        <f t="shared" si="501"/>
        <v>46023</v>
      </c>
    </row>
    <row r="3204" spans="2:25" ht="18.75" x14ac:dyDescent="0.3">
      <c r="B3204" s="6">
        <f t="shared" ref="B3204:B3267" si="503">IF($B$1=YEAR(F3204),B3203+1,B3203)</f>
        <v>0</v>
      </c>
      <c r="C3204" s="6">
        <f t="shared" ref="C3204:C3267" si="504">IF(AND($C$1=K3204,$Y$1=YEAR(F3204)),C3203+1,C3203)</f>
        <v>0</v>
      </c>
      <c r="D3204" s="6" t="str">
        <f t="shared" ref="D3204:D3267" si="505">IF(F3204&lt;&gt;0,IF(YEAR(F3204)&lt;&gt;YEAR(F3203),1,IF(M3204=$AI$1,D3203,D3203+1)),"")</f>
        <v/>
      </c>
      <c r="E3204" s="35" t="str">
        <f t="shared" si="502"/>
        <v/>
      </c>
      <c r="F3204" s="31"/>
      <c r="G3204" s="29"/>
      <c r="H3204" s="78" t="str">
        <f t="shared" ref="H3204:H3267" si="506">IF(G3204&lt;&gt;"",F3204,"")</f>
        <v/>
      </c>
      <c r="I3204" s="25"/>
      <c r="J3204" s="25"/>
      <c r="K3204" s="26"/>
      <c r="L3204" s="26"/>
      <c r="M3204" s="37"/>
      <c r="N3204" s="27"/>
      <c r="O3204" s="30"/>
      <c r="P3204" s="39" t="str">
        <f t="shared" ref="P3204:P3267" si="507">IF(OR(T3204=0,RIGHT(T3204,1)=$W$1),"",VLOOKUP(K3204,$AD$1:$AK$15,5,FALSE))</f>
        <v/>
      </c>
      <c r="Q3204" s="40" t="str">
        <f>IF(OR(T3204=0,RIGHT(T3204,1)=$W$1),"",COUNTIF($T$3:T3204,T3204))</f>
        <v/>
      </c>
      <c r="S3204" s="6">
        <f t="shared" ref="S3204:S3267" si="508">IF(AND($C$1=K3204,$Y$1=YEAR(F3204)),C3204,0)</f>
        <v>0</v>
      </c>
      <c r="T3204" s="36">
        <f t="shared" ref="T3204:T3267" si="509">IF(F3204=0,0,YEAR(F3204)&amp;VLOOKUP(K3204,$AD$1:$AE$15,2,FALSE))</f>
        <v>0</v>
      </c>
      <c r="V3204" s="6">
        <f t="shared" ref="V3204:V3267" si="510">IF(AND(YEAR(F3204)=$Y$1,K3204=$C$1,L3204&amp;$V$1&lt;&gt;$V$1),L3204,IF(AND(YEAR(F3204)=$Y$1,K3204=$C$1),1,0))</f>
        <v>0</v>
      </c>
      <c r="Y3204" s="8">
        <f t="shared" ref="Y3204:Y3267" si="511">IF(M3204&lt;&gt;$AI$1,$Y$2,F3203)</f>
        <v>46023</v>
      </c>
    </row>
    <row r="3205" spans="2:25" ht="18.75" x14ac:dyDescent="0.3">
      <c r="B3205" s="6">
        <f t="shared" si="503"/>
        <v>0</v>
      </c>
      <c r="C3205" s="6">
        <f t="shared" si="504"/>
        <v>0</v>
      </c>
      <c r="D3205" s="6" t="str">
        <f t="shared" si="505"/>
        <v/>
      </c>
      <c r="E3205" s="35" t="str">
        <f t="shared" si="502"/>
        <v/>
      </c>
      <c r="F3205" s="31"/>
      <c r="G3205" s="29"/>
      <c r="H3205" s="78" t="str">
        <f t="shared" si="506"/>
        <v/>
      </c>
      <c r="I3205" s="25"/>
      <c r="J3205" s="25"/>
      <c r="K3205" s="26"/>
      <c r="L3205" s="26"/>
      <c r="M3205" s="37"/>
      <c r="N3205" s="27"/>
      <c r="O3205" s="30"/>
      <c r="P3205" s="39" t="str">
        <f t="shared" si="507"/>
        <v/>
      </c>
      <c r="Q3205" s="40" t="str">
        <f>IF(OR(T3205=0,RIGHT(T3205,1)=$W$1),"",COUNTIF($T$3:T3205,T3205))</f>
        <v/>
      </c>
      <c r="S3205" s="6">
        <f t="shared" si="508"/>
        <v>0</v>
      </c>
      <c r="T3205" s="36">
        <f t="shared" si="509"/>
        <v>0</v>
      </c>
      <c r="V3205" s="6">
        <f t="shared" si="510"/>
        <v>0</v>
      </c>
      <c r="Y3205" s="8">
        <f t="shared" si="511"/>
        <v>46023</v>
      </c>
    </row>
    <row r="3206" spans="2:25" ht="18.75" x14ac:dyDescent="0.3">
      <c r="B3206" s="6">
        <f t="shared" si="503"/>
        <v>0</v>
      </c>
      <c r="C3206" s="6">
        <f t="shared" si="504"/>
        <v>0</v>
      </c>
      <c r="D3206" s="6" t="str">
        <f t="shared" si="505"/>
        <v/>
      </c>
      <c r="E3206" s="35" t="str">
        <f t="shared" si="502"/>
        <v/>
      </c>
      <c r="F3206" s="31"/>
      <c r="G3206" s="29"/>
      <c r="H3206" s="78" t="str">
        <f t="shared" si="506"/>
        <v/>
      </c>
      <c r="I3206" s="25"/>
      <c r="J3206" s="25"/>
      <c r="K3206" s="26"/>
      <c r="L3206" s="26"/>
      <c r="M3206" s="37"/>
      <c r="N3206" s="27"/>
      <c r="O3206" s="30"/>
      <c r="P3206" s="39" t="str">
        <f t="shared" si="507"/>
        <v/>
      </c>
      <c r="Q3206" s="40" t="str">
        <f>IF(OR(T3206=0,RIGHT(T3206,1)=$W$1),"",COUNTIF($T$3:T3206,T3206))</f>
        <v/>
      </c>
      <c r="S3206" s="6">
        <f t="shared" si="508"/>
        <v>0</v>
      </c>
      <c r="T3206" s="36">
        <f t="shared" si="509"/>
        <v>0</v>
      </c>
      <c r="V3206" s="6">
        <f t="shared" si="510"/>
        <v>0</v>
      </c>
      <c r="Y3206" s="8">
        <f t="shared" si="511"/>
        <v>46023</v>
      </c>
    </row>
    <row r="3207" spans="2:25" ht="18.75" x14ac:dyDescent="0.3">
      <c r="B3207" s="6">
        <f t="shared" si="503"/>
        <v>0</v>
      </c>
      <c r="C3207" s="6">
        <f t="shared" si="504"/>
        <v>0</v>
      </c>
      <c r="D3207" s="6" t="str">
        <f t="shared" si="505"/>
        <v/>
      </c>
      <c r="E3207" s="35" t="str">
        <f t="shared" si="502"/>
        <v/>
      </c>
      <c r="F3207" s="31"/>
      <c r="G3207" s="29"/>
      <c r="H3207" s="78" t="str">
        <f t="shared" si="506"/>
        <v/>
      </c>
      <c r="I3207" s="25"/>
      <c r="J3207" s="25"/>
      <c r="K3207" s="26"/>
      <c r="L3207" s="26"/>
      <c r="M3207" s="37"/>
      <c r="N3207" s="27"/>
      <c r="O3207" s="30"/>
      <c r="P3207" s="39" t="str">
        <f t="shared" si="507"/>
        <v/>
      </c>
      <c r="Q3207" s="40" t="str">
        <f>IF(OR(T3207=0,RIGHT(T3207,1)=$W$1),"",COUNTIF($T$3:T3207,T3207))</f>
        <v/>
      </c>
      <c r="S3207" s="6">
        <f t="shared" si="508"/>
        <v>0</v>
      </c>
      <c r="T3207" s="36">
        <f t="shared" si="509"/>
        <v>0</v>
      </c>
      <c r="V3207" s="6">
        <f t="shared" si="510"/>
        <v>0</v>
      </c>
      <c r="Y3207" s="8">
        <f t="shared" si="511"/>
        <v>46023</v>
      </c>
    </row>
    <row r="3208" spans="2:25" ht="18.75" x14ac:dyDescent="0.3">
      <c r="B3208" s="6">
        <f t="shared" si="503"/>
        <v>0</v>
      </c>
      <c r="C3208" s="6">
        <f t="shared" si="504"/>
        <v>0</v>
      </c>
      <c r="D3208" s="6" t="str">
        <f t="shared" si="505"/>
        <v/>
      </c>
      <c r="E3208" s="35" t="str">
        <f t="shared" si="502"/>
        <v/>
      </c>
      <c r="F3208" s="31"/>
      <c r="G3208" s="29"/>
      <c r="H3208" s="78" t="str">
        <f t="shared" si="506"/>
        <v/>
      </c>
      <c r="I3208" s="25"/>
      <c r="J3208" s="25"/>
      <c r="K3208" s="26"/>
      <c r="L3208" s="26"/>
      <c r="M3208" s="37"/>
      <c r="N3208" s="27"/>
      <c r="O3208" s="30"/>
      <c r="P3208" s="39" t="str">
        <f t="shared" si="507"/>
        <v/>
      </c>
      <c r="Q3208" s="40" t="str">
        <f>IF(OR(T3208=0,RIGHT(T3208,1)=$W$1),"",COUNTIF($T$3:T3208,T3208))</f>
        <v/>
      </c>
      <c r="S3208" s="6">
        <f t="shared" si="508"/>
        <v>0</v>
      </c>
      <c r="T3208" s="36">
        <f t="shared" si="509"/>
        <v>0</v>
      </c>
      <c r="V3208" s="6">
        <f t="shared" si="510"/>
        <v>0</v>
      </c>
      <c r="Y3208" s="8">
        <f t="shared" si="511"/>
        <v>46023</v>
      </c>
    </row>
    <row r="3209" spans="2:25" ht="18.75" x14ac:dyDescent="0.3">
      <c r="B3209" s="6">
        <f t="shared" si="503"/>
        <v>0</v>
      </c>
      <c r="C3209" s="6">
        <f t="shared" si="504"/>
        <v>0</v>
      </c>
      <c r="D3209" s="6" t="str">
        <f t="shared" si="505"/>
        <v/>
      </c>
      <c r="E3209" s="35" t="str">
        <f t="shared" si="502"/>
        <v/>
      </c>
      <c r="F3209" s="31"/>
      <c r="G3209" s="29"/>
      <c r="H3209" s="78" t="str">
        <f t="shared" si="506"/>
        <v/>
      </c>
      <c r="I3209" s="25"/>
      <c r="J3209" s="25"/>
      <c r="K3209" s="26"/>
      <c r="L3209" s="26"/>
      <c r="M3209" s="37"/>
      <c r="N3209" s="27"/>
      <c r="O3209" s="30"/>
      <c r="P3209" s="39" t="str">
        <f t="shared" si="507"/>
        <v/>
      </c>
      <c r="Q3209" s="40" t="str">
        <f>IF(OR(T3209=0,RIGHT(T3209,1)=$W$1),"",COUNTIF($T$3:T3209,T3209))</f>
        <v/>
      </c>
      <c r="S3209" s="6">
        <f t="shared" si="508"/>
        <v>0</v>
      </c>
      <c r="T3209" s="36">
        <f t="shared" si="509"/>
        <v>0</v>
      </c>
      <c r="V3209" s="6">
        <f t="shared" si="510"/>
        <v>0</v>
      </c>
      <c r="Y3209" s="8">
        <f t="shared" si="511"/>
        <v>46023</v>
      </c>
    </row>
    <row r="3210" spans="2:25" ht="18.75" x14ac:dyDescent="0.3">
      <c r="B3210" s="6">
        <f t="shared" si="503"/>
        <v>0</v>
      </c>
      <c r="C3210" s="6">
        <f t="shared" si="504"/>
        <v>0</v>
      </c>
      <c r="D3210" s="6" t="str">
        <f t="shared" si="505"/>
        <v/>
      </c>
      <c r="E3210" s="35" t="str">
        <f t="shared" si="502"/>
        <v/>
      </c>
      <c r="F3210" s="31"/>
      <c r="G3210" s="29"/>
      <c r="H3210" s="78" t="str">
        <f t="shared" si="506"/>
        <v/>
      </c>
      <c r="I3210" s="25"/>
      <c r="J3210" s="25"/>
      <c r="K3210" s="26"/>
      <c r="L3210" s="26"/>
      <c r="M3210" s="37"/>
      <c r="N3210" s="27"/>
      <c r="O3210" s="30"/>
      <c r="P3210" s="39" t="str">
        <f t="shared" si="507"/>
        <v/>
      </c>
      <c r="Q3210" s="40" t="str">
        <f>IF(OR(T3210=0,RIGHT(T3210,1)=$W$1),"",COUNTIF($T$3:T3210,T3210))</f>
        <v/>
      </c>
      <c r="S3210" s="6">
        <f t="shared" si="508"/>
        <v>0</v>
      </c>
      <c r="T3210" s="36">
        <f t="shared" si="509"/>
        <v>0</v>
      </c>
      <c r="V3210" s="6">
        <f t="shared" si="510"/>
        <v>0</v>
      </c>
      <c r="Y3210" s="8">
        <f t="shared" si="511"/>
        <v>46023</v>
      </c>
    </row>
    <row r="3211" spans="2:25" ht="18.75" x14ac:dyDescent="0.3">
      <c r="B3211" s="6">
        <f t="shared" si="503"/>
        <v>0</v>
      </c>
      <c r="C3211" s="6">
        <f t="shared" si="504"/>
        <v>0</v>
      </c>
      <c r="D3211" s="6" t="str">
        <f t="shared" si="505"/>
        <v/>
      </c>
      <c r="E3211" s="35" t="str">
        <f t="shared" si="502"/>
        <v/>
      </c>
      <c r="F3211" s="31"/>
      <c r="G3211" s="29"/>
      <c r="H3211" s="78" t="str">
        <f t="shared" si="506"/>
        <v/>
      </c>
      <c r="I3211" s="25"/>
      <c r="J3211" s="25"/>
      <c r="K3211" s="26"/>
      <c r="L3211" s="26"/>
      <c r="M3211" s="37"/>
      <c r="N3211" s="27"/>
      <c r="O3211" s="30"/>
      <c r="P3211" s="39" t="str">
        <f t="shared" si="507"/>
        <v/>
      </c>
      <c r="Q3211" s="40" t="str">
        <f>IF(OR(T3211=0,RIGHT(T3211,1)=$W$1),"",COUNTIF($T$3:T3211,T3211))</f>
        <v/>
      </c>
      <c r="S3211" s="6">
        <f t="shared" si="508"/>
        <v>0</v>
      </c>
      <c r="T3211" s="36">
        <f t="shared" si="509"/>
        <v>0</v>
      </c>
      <c r="V3211" s="6">
        <f t="shared" si="510"/>
        <v>0</v>
      </c>
      <c r="Y3211" s="8">
        <f t="shared" si="511"/>
        <v>46023</v>
      </c>
    </row>
    <row r="3212" spans="2:25" ht="18.75" x14ac:dyDescent="0.3">
      <c r="B3212" s="6">
        <f t="shared" si="503"/>
        <v>0</v>
      </c>
      <c r="C3212" s="6">
        <f t="shared" si="504"/>
        <v>0</v>
      </c>
      <c r="D3212" s="6" t="str">
        <f t="shared" si="505"/>
        <v/>
      </c>
      <c r="E3212" s="35" t="str">
        <f t="shared" si="502"/>
        <v/>
      </c>
      <c r="F3212" s="31"/>
      <c r="G3212" s="29"/>
      <c r="H3212" s="78" t="str">
        <f t="shared" si="506"/>
        <v/>
      </c>
      <c r="I3212" s="25"/>
      <c r="J3212" s="25"/>
      <c r="K3212" s="26"/>
      <c r="L3212" s="26"/>
      <c r="M3212" s="37"/>
      <c r="N3212" s="27"/>
      <c r="O3212" s="30"/>
      <c r="P3212" s="39" t="str">
        <f t="shared" si="507"/>
        <v/>
      </c>
      <c r="Q3212" s="40" t="str">
        <f>IF(OR(T3212=0,RIGHT(T3212,1)=$W$1),"",COUNTIF($T$3:T3212,T3212))</f>
        <v/>
      </c>
      <c r="S3212" s="6">
        <f t="shared" si="508"/>
        <v>0</v>
      </c>
      <c r="T3212" s="36">
        <f t="shared" si="509"/>
        <v>0</v>
      </c>
      <c r="V3212" s="6">
        <f t="shared" si="510"/>
        <v>0</v>
      </c>
      <c r="Y3212" s="8">
        <f t="shared" si="511"/>
        <v>46023</v>
      </c>
    </row>
    <row r="3213" spans="2:25" ht="18.75" x14ac:dyDescent="0.3">
      <c r="B3213" s="6">
        <f t="shared" si="503"/>
        <v>0</v>
      </c>
      <c r="C3213" s="6">
        <f t="shared" si="504"/>
        <v>0</v>
      </c>
      <c r="D3213" s="6" t="str">
        <f t="shared" si="505"/>
        <v/>
      </c>
      <c r="E3213" s="35" t="str">
        <f t="shared" si="502"/>
        <v/>
      </c>
      <c r="F3213" s="31"/>
      <c r="G3213" s="29"/>
      <c r="H3213" s="78" t="str">
        <f t="shared" si="506"/>
        <v/>
      </c>
      <c r="I3213" s="25"/>
      <c r="J3213" s="25"/>
      <c r="K3213" s="26"/>
      <c r="L3213" s="26"/>
      <c r="M3213" s="37"/>
      <c r="N3213" s="27"/>
      <c r="O3213" s="30"/>
      <c r="P3213" s="39" t="str">
        <f t="shared" si="507"/>
        <v/>
      </c>
      <c r="Q3213" s="40" t="str">
        <f>IF(OR(T3213=0,RIGHT(T3213,1)=$W$1),"",COUNTIF($T$3:T3213,T3213))</f>
        <v/>
      </c>
      <c r="S3213" s="6">
        <f t="shared" si="508"/>
        <v>0</v>
      </c>
      <c r="T3213" s="36">
        <f t="shared" si="509"/>
        <v>0</v>
      </c>
      <c r="V3213" s="6">
        <f t="shared" si="510"/>
        <v>0</v>
      </c>
      <c r="Y3213" s="8">
        <f t="shared" si="511"/>
        <v>46023</v>
      </c>
    </row>
    <row r="3214" spans="2:25" ht="18.75" x14ac:dyDescent="0.3">
      <c r="B3214" s="6">
        <f t="shared" si="503"/>
        <v>0</v>
      </c>
      <c r="C3214" s="6">
        <f t="shared" si="504"/>
        <v>0</v>
      </c>
      <c r="D3214" s="6" t="str">
        <f t="shared" si="505"/>
        <v/>
      </c>
      <c r="E3214" s="35" t="str">
        <f t="shared" si="502"/>
        <v/>
      </c>
      <c r="F3214" s="31"/>
      <c r="G3214" s="29"/>
      <c r="H3214" s="78" t="str">
        <f t="shared" si="506"/>
        <v/>
      </c>
      <c r="I3214" s="25"/>
      <c r="J3214" s="25"/>
      <c r="K3214" s="26"/>
      <c r="L3214" s="26"/>
      <c r="M3214" s="37"/>
      <c r="N3214" s="27"/>
      <c r="O3214" s="30"/>
      <c r="P3214" s="39" t="str">
        <f t="shared" si="507"/>
        <v/>
      </c>
      <c r="Q3214" s="40" t="str">
        <f>IF(OR(T3214=0,RIGHT(T3214,1)=$W$1),"",COUNTIF($T$3:T3214,T3214))</f>
        <v/>
      </c>
      <c r="S3214" s="6">
        <f t="shared" si="508"/>
        <v>0</v>
      </c>
      <c r="T3214" s="36">
        <f t="shared" si="509"/>
        <v>0</v>
      </c>
      <c r="V3214" s="6">
        <f t="shared" si="510"/>
        <v>0</v>
      </c>
      <c r="Y3214" s="8">
        <f t="shared" si="511"/>
        <v>46023</v>
      </c>
    </row>
    <row r="3215" spans="2:25" ht="18.75" x14ac:dyDescent="0.3">
      <c r="B3215" s="6">
        <f t="shared" si="503"/>
        <v>0</v>
      </c>
      <c r="C3215" s="6">
        <f t="shared" si="504"/>
        <v>0</v>
      </c>
      <c r="D3215" s="6" t="str">
        <f t="shared" si="505"/>
        <v/>
      </c>
      <c r="E3215" s="35" t="str">
        <f t="shared" si="502"/>
        <v/>
      </c>
      <c r="F3215" s="31"/>
      <c r="G3215" s="29"/>
      <c r="H3215" s="78" t="str">
        <f t="shared" si="506"/>
        <v/>
      </c>
      <c r="I3215" s="25"/>
      <c r="J3215" s="25"/>
      <c r="K3215" s="26"/>
      <c r="L3215" s="26"/>
      <c r="M3215" s="37"/>
      <c r="N3215" s="27"/>
      <c r="O3215" s="30"/>
      <c r="P3215" s="39" t="str">
        <f t="shared" si="507"/>
        <v/>
      </c>
      <c r="Q3215" s="40" t="str">
        <f>IF(OR(T3215=0,RIGHT(T3215,1)=$W$1),"",COUNTIF($T$3:T3215,T3215))</f>
        <v/>
      </c>
      <c r="S3215" s="6">
        <f t="shared" si="508"/>
        <v>0</v>
      </c>
      <c r="T3215" s="36">
        <f t="shared" si="509"/>
        <v>0</v>
      </c>
      <c r="V3215" s="6">
        <f t="shared" si="510"/>
        <v>0</v>
      </c>
      <c r="Y3215" s="8">
        <f t="shared" si="511"/>
        <v>46023</v>
      </c>
    </row>
    <row r="3216" spans="2:25" ht="18.75" x14ac:dyDescent="0.3">
      <c r="B3216" s="6">
        <f t="shared" si="503"/>
        <v>0</v>
      </c>
      <c r="C3216" s="6">
        <f t="shared" si="504"/>
        <v>0</v>
      </c>
      <c r="D3216" s="6" t="str">
        <f t="shared" si="505"/>
        <v/>
      </c>
      <c r="E3216" s="35" t="str">
        <f t="shared" si="502"/>
        <v/>
      </c>
      <c r="F3216" s="31"/>
      <c r="G3216" s="29"/>
      <c r="H3216" s="78" t="str">
        <f t="shared" si="506"/>
        <v/>
      </c>
      <c r="I3216" s="25"/>
      <c r="J3216" s="25"/>
      <c r="K3216" s="26"/>
      <c r="L3216" s="26"/>
      <c r="M3216" s="37"/>
      <c r="N3216" s="27"/>
      <c r="O3216" s="30"/>
      <c r="P3216" s="39" t="str">
        <f t="shared" si="507"/>
        <v/>
      </c>
      <c r="Q3216" s="40" t="str">
        <f>IF(OR(T3216=0,RIGHT(T3216,1)=$W$1),"",COUNTIF($T$3:T3216,T3216))</f>
        <v/>
      </c>
      <c r="S3216" s="6">
        <f t="shared" si="508"/>
        <v>0</v>
      </c>
      <c r="T3216" s="36">
        <f t="shared" si="509"/>
        <v>0</v>
      </c>
      <c r="V3216" s="6">
        <f t="shared" si="510"/>
        <v>0</v>
      </c>
      <c r="Y3216" s="8">
        <f t="shared" si="511"/>
        <v>46023</v>
      </c>
    </row>
    <row r="3217" spans="2:25" ht="18.75" x14ac:dyDescent="0.3">
      <c r="B3217" s="6">
        <f t="shared" si="503"/>
        <v>0</v>
      </c>
      <c r="C3217" s="6">
        <f t="shared" si="504"/>
        <v>0</v>
      </c>
      <c r="D3217" s="6" t="str">
        <f t="shared" si="505"/>
        <v/>
      </c>
      <c r="E3217" s="35" t="str">
        <f t="shared" si="502"/>
        <v/>
      </c>
      <c r="F3217" s="31"/>
      <c r="G3217" s="29"/>
      <c r="H3217" s="78" t="str">
        <f t="shared" si="506"/>
        <v/>
      </c>
      <c r="I3217" s="25"/>
      <c r="J3217" s="25"/>
      <c r="K3217" s="26"/>
      <c r="L3217" s="26"/>
      <c r="M3217" s="37"/>
      <c r="N3217" s="27"/>
      <c r="O3217" s="30"/>
      <c r="P3217" s="39" t="str">
        <f t="shared" si="507"/>
        <v/>
      </c>
      <c r="Q3217" s="40" t="str">
        <f>IF(OR(T3217=0,RIGHT(T3217,1)=$W$1),"",COUNTIF($T$3:T3217,T3217))</f>
        <v/>
      </c>
      <c r="S3217" s="6">
        <f t="shared" si="508"/>
        <v>0</v>
      </c>
      <c r="T3217" s="36">
        <f t="shared" si="509"/>
        <v>0</v>
      </c>
      <c r="V3217" s="6">
        <f t="shared" si="510"/>
        <v>0</v>
      </c>
      <c r="Y3217" s="8">
        <f t="shared" si="511"/>
        <v>46023</v>
      </c>
    </row>
    <row r="3218" spans="2:25" ht="18.75" x14ac:dyDescent="0.3">
      <c r="B3218" s="6">
        <f t="shared" si="503"/>
        <v>0</v>
      </c>
      <c r="C3218" s="6">
        <f t="shared" si="504"/>
        <v>0</v>
      </c>
      <c r="D3218" s="6" t="str">
        <f t="shared" si="505"/>
        <v/>
      </c>
      <c r="E3218" s="35" t="str">
        <f t="shared" si="502"/>
        <v/>
      </c>
      <c r="F3218" s="31"/>
      <c r="G3218" s="29"/>
      <c r="H3218" s="78" t="str">
        <f t="shared" si="506"/>
        <v/>
      </c>
      <c r="I3218" s="25"/>
      <c r="J3218" s="25"/>
      <c r="K3218" s="26"/>
      <c r="L3218" s="26"/>
      <c r="M3218" s="37"/>
      <c r="N3218" s="27"/>
      <c r="O3218" s="30"/>
      <c r="P3218" s="39" t="str">
        <f t="shared" si="507"/>
        <v/>
      </c>
      <c r="Q3218" s="40" t="str">
        <f>IF(OR(T3218=0,RIGHT(T3218,1)=$W$1),"",COUNTIF($T$3:T3218,T3218))</f>
        <v/>
      </c>
      <c r="S3218" s="6">
        <f t="shared" si="508"/>
        <v>0</v>
      </c>
      <c r="T3218" s="36">
        <f t="shared" si="509"/>
        <v>0</v>
      </c>
      <c r="V3218" s="6">
        <f t="shared" si="510"/>
        <v>0</v>
      </c>
      <c r="Y3218" s="8">
        <f t="shared" si="511"/>
        <v>46023</v>
      </c>
    </row>
    <row r="3219" spans="2:25" ht="18.75" x14ac:dyDescent="0.3">
      <c r="B3219" s="6">
        <f t="shared" si="503"/>
        <v>0</v>
      </c>
      <c r="C3219" s="6">
        <f t="shared" si="504"/>
        <v>0</v>
      </c>
      <c r="D3219" s="6" t="str">
        <f t="shared" si="505"/>
        <v/>
      </c>
      <c r="E3219" s="35" t="str">
        <f t="shared" si="502"/>
        <v/>
      </c>
      <c r="F3219" s="31"/>
      <c r="G3219" s="29"/>
      <c r="H3219" s="78" t="str">
        <f t="shared" si="506"/>
        <v/>
      </c>
      <c r="I3219" s="25"/>
      <c r="J3219" s="25"/>
      <c r="K3219" s="26"/>
      <c r="L3219" s="26"/>
      <c r="M3219" s="37"/>
      <c r="N3219" s="27"/>
      <c r="O3219" s="30"/>
      <c r="P3219" s="39" t="str">
        <f t="shared" si="507"/>
        <v/>
      </c>
      <c r="Q3219" s="40" t="str">
        <f>IF(OR(T3219=0,RIGHT(T3219,1)=$W$1),"",COUNTIF($T$3:T3219,T3219))</f>
        <v/>
      </c>
      <c r="S3219" s="6">
        <f t="shared" si="508"/>
        <v>0</v>
      </c>
      <c r="T3219" s="36">
        <f t="shared" si="509"/>
        <v>0</v>
      </c>
      <c r="V3219" s="6">
        <f t="shared" si="510"/>
        <v>0</v>
      </c>
      <c r="Y3219" s="8">
        <f t="shared" si="511"/>
        <v>46023</v>
      </c>
    </row>
    <row r="3220" spans="2:25" ht="18.75" x14ac:dyDescent="0.3">
      <c r="B3220" s="6">
        <f t="shared" si="503"/>
        <v>0</v>
      </c>
      <c r="C3220" s="6">
        <f t="shared" si="504"/>
        <v>0</v>
      </c>
      <c r="D3220" s="6" t="str">
        <f t="shared" si="505"/>
        <v/>
      </c>
      <c r="E3220" s="35" t="str">
        <f t="shared" si="502"/>
        <v/>
      </c>
      <c r="F3220" s="31"/>
      <c r="G3220" s="29"/>
      <c r="H3220" s="78" t="str">
        <f t="shared" si="506"/>
        <v/>
      </c>
      <c r="I3220" s="25"/>
      <c r="J3220" s="25"/>
      <c r="K3220" s="26"/>
      <c r="L3220" s="26"/>
      <c r="M3220" s="37"/>
      <c r="N3220" s="27"/>
      <c r="O3220" s="30"/>
      <c r="P3220" s="39" t="str">
        <f t="shared" si="507"/>
        <v/>
      </c>
      <c r="Q3220" s="40" t="str">
        <f>IF(OR(T3220=0,RIGHT(T3220,1)=$W$1),"",COUNTIF($T$3:T3220,T3220))</f>
        <v/>
      </c>
      <c r="S3220" s="6">
        <f t="shared" si="508"/>
        <v>0</v>
      </c>
      <c r="T3220" s="36">
        <f t="shared" si="509"/>
        <v>0</v>
      </c>
      <c r="V3220" s="6">
        <f t="shared" si="510"/>
        <v>0</v>
      </c>
      <c r="Y3220" s="8">
        <f t="shared" si="511"/>
        <v>46023</v>
      </c>
    </row>
    <row r="3221" spans="2:25" ht="18.75" x14ac:dyDescent="0.3">
      <c r="B3221" s="6">
        <f t="shared" si="503"/>
        <v>0</v>
      </c>
      <c r="C3221" s="6">
        <f t="shared" si="504"/>
        <v>0</v>
      </c>
      <c r="D3221" s="6" t="str">
        <f t="shared" si="505"/>
        <v/>
      </c>
      <c r="E3221" s="35" t="str">
        <f t="shared" si="502"/>
        <v/>
      </c>
      <c r="F3221" s="31"/>
      <c r="G3221" s="29"/>
      <c r="H3221" s="78" t="str">
        <f t="shared" si="506"/>
        <v/>
      </c>
      <c r="I3221" s="25"/>
      <c r="J3221" s="25"/>
      <c r="K3221" s="26"/>
      <c r="L3221" s="26"/>
      <c r="M3221" s="37"/>
      <c r="N3221" s="27"/>
      <c r="O3221" s="30"/>
      <c r="P3221" s="39" t="str">
        <f t="shared" si="507"/>
        <v/>
      </c>
      <c r="Q3221" s="40" t="str">
        <f>IF(OR(T3221=0,RIGHT(T3221,1)=$W$1),"",COUNTIF($T$3:T3221,T3221))</f>
        <v/>
      </c>
      <c r="S3221" s="6">
        <f t="shared" si="508"/>
        <v>0</v>
      </c>
      <c r="T3221" s="36">
        <f t="shared" si="509"/>
        <v>0</v>
      </c>
      <c r="V3221" s="6">
        <f t="shared" si="510"/>
        <v>0</v>
      </c>
      <c r="Y3221" s="8">
        <f t="shared" si="511"/>
        <v>46023</v>
      </c>
    </row>
    <row r="3222" spans="2:25" ht="18.75" x14ac:dyDescent="0.3">
      <c r="B3222" s="6">
        <f t="shared" si="503"/>
        <v>0</v>
      </c>
      <c r="C3222" s="6">
        <f t="shared" si="504"/>
        <v>0</v>
      </c>
      <c r="D3222" s="6" t="str">
        <f t="shared" si="505"/>
        <v/>
      </c>
      <c r="E3222" s="35" t="str">
        <f t="shared" si="502"/>
        <v/>
      </c>
      <c r="F3222" s="31"/>
      <c r="G3222" s="29"/>
      <c r="H3222" s="78" t="str">
        <f t="shared" si="506"/>
        <v/>
      </c>
      <c r="I3222" s="25"/>
      <c r="J3222" s="25"/>
      <c r="K3222" s="26"/>
      <c r="L3222" s="26"/>
      <c r="M3222" s="37"/>
      <c r="N3222" s="27"/>
      <c r="O3222" s="30"/>
      <c r="P3222" s="39" t="str">
        <f t="shared" si="507"/>
        <v/>
      </c>
      <c r="Q3222" s="40" t="str">
        <f>IF(OR(T3222=0,RIGHT(T3222,1)=$W$1),"",COUNTIF($T$3:T3222,T3222))</f>
        <v/>
      </c>
      <c r="S3222" s="6">
        <f t="shared" si="508"/>
        <v>0</v>
      </c>
      <c r="T3222" s="36">
        <f t="shared" si="509"/>
        <v>0</v>
      </c>
      <c r="V3222" s="6">
        <f t="shared" si="510"/>
        <v>0</v>
      </c>
      <c r="Y3222" s="8">
        <f t="shared" si="511"/>
        <v>46023</v>
      </c>
    </row>
    <row r="3223" spans="2:25" ht="18.75" x14ac:dyDescent="0.3">
      <c r="B3223" s="6">
        <f t="shared" si="503"/>
        <v>0</v>
      </c>
      <c r="C3223" s="6">
        <f t="shared" si="504"/>
        <v>0</v>
      </c>
      <c r="D3223" s="6" t="str">
        <f t="shared" si="505"/>
        <v/>
      </c>
      <c r="E3223" s="35" t="str">
        <f t="shared" si="502"/>
        <v/>
      </c>
      <c r="F3223" s="31"/>
      <c r="G3223" s="29"/>
      <c r="H3223" s="78" t="str">
        <f t="shared" si="506"/>
        <v/>
      </c>
      <c r="I3223" s="25"/>
      <c r="J3223" s="25"/>
      <c r="K3223" s="26"/>
      <c r="L3223" s="26"/>
      <c r="M3223" s="37"/>
      <c r="N3223" s="27"/>
      <c r="O3223" s="30"/>
      <c r="P3223" s="39" t="str">
        <f t="shared" si="507"/>
        <v/>
      </c>
      <c r="Q3223" s="40" t="str">
        <f>IF(OR(T3223=0,RIGHT(T3223,1)=$W$1),"",COUNTIF($T$3:T3223,T3223))</f>
        <v/>
      </c>
      <c r="S3223" s="6">
        <f t="shared" si="508"/>
        <v>0</v>
      </c>
      <c r="T3223" s="36">
        <f t="shared" si="509"/>
        <v>0</v>
      </c>
      <c r="V3223" s="6">
        <f t="shared" si="510"/>
        <v>0</v>
      </c>
      <c r="Y3223" s="8">
        <f t="shared" si="511"/>
        <v>46023</v>
      </c>
    </row>
    <row r="3224" spans="2:25" ht="18.75" x14ac:dyDescent="0.3">
      <c r="B3224" s="6">
        <f t="shared" si="503"/>
        <v>0</v>
      </c>
      <c r="C3224" s="6">
        <f t="shared" si="504"/>
        <v>0</v>
      </c>
      <c r="D3224" s="6" t="str">
        <f t="shared" si="505"/>
        <v/>
      </c>
      <c r="E3224" s="35" t="str">
        <f t="shared" si="502"/>
        <v/>
      </c>
      <c r="F3224" s="31"/>
      <c r="G3224" s="29"/>
      <c r="H3224" s="78" t="str">
        <f t="shared" si="506"/>
        <v/>
      </c>
      <c r="I3224" s="25"/>
      <c r="J3224" s="25"/>
      <c r="K3224" s="26"/>
      <c r="L3224" s="26"/>
      <c r="M3224" s="37"/>
      <c r="N3224" s="27"/>
      <c r="O3224" s="30"/>
      <c r="P3224" s="39" t="str">
        <f t="shared" si="507"/>
        <v/>
      </c>
      <c r="Q3224" s="40" t="str">
        <f>IF(OR(T3224=0,RIGHT(T3224,1)=$W$1),"",COUNTIF($T$3:T3224,T3224))</f>
        <v/>
      </c>
      <c r="S3224" s="6">
        <f t="shared" si="508"/>
        <v>0</v>
      </c>
      <c r="T3224" s="36">
        <f t="shared" si="509"/>
        <v>0</v>
      </c>
      <c r="V3224" s="6">
        <f t="shared" si="510"/>
        <v>0</v>
      </c>
      <c r="Y3224" s="8">
        <f t="shared" si="511"/>
        <v>46023</v>
      </c>
    </row>
    <row r="3225" spans="2:25" ht="18.75" x14ac:dyDescent="0.3">
      <c r="B3225" s="6">
        <f t="shared" si="503"/>
        <v>0</v>
      </c>
      <c r="C3225" s="6">
        <f t="shared" si="504"/>
        <v>0</v>
      </c>
      <c r="D3225" s="6" t="str">
        <f t="shared" si="505"/>
        <v/>
      </c>
      <c r="E3225" s="35" t="str">
        <f t="shared" si="502"/>
        <v/>
      </c>
      <c r="F3225" s="31"/>
      <c r="G3225" s="29"/>
      <c r="H3225" s="78" t="str">
        <f t="shared" si="506"/>
        <v/>
      </c>
      <c r="I3225" s="25"/>
      <c r="J3225" s="25"/>
      <c r="K3225" s="26"/>
      <c r="L3225" s="26"/>
      <c r="M3225" s="37"/>
      <c r="N3225" s="27"/>
      <c r="O3225" s="30"/>
      <c r="P3225" s="39" t="str">
        <f t="shared" si="507"/>
        <v/>
      </c>
      <c r="Q3225" s="40" t="str">
        <f>IF(OR(T3225=0,RIGHT(T3225,1)=$W$1),"",COUNTIF($T$3:T3225,T3225))</f>
        <v/>
      </c>
      <c r="S3225" s="6">
        <f t="shared" si="508"/>
        <v>0</v>
      </c>
      <c r="T3225" s="36">
        <f t="shared" si="509"/>
        <v>0</v>
      </c>
      <c r="V3225" s="6">
        <f t="shared" si="510"/>
        <v>0</v>
      </c>
      <c r="Y3225" s="8">
        <f t="shared" si="511"/>
        <v>46023</v>
      </c>
    </row>
    <row r="3226" spans="2:25" ht="18.75" x14ac:dyDescent="0.3">
      <c r="B3226" s="6">
        <f t="shared" si="503"/>
        <v>0</v>
      </c>
      <c r="C3226" s="6">
        <f t="shared" si="504"/>
        <v>0</v>
      </c>
      <c r="D3226" s="6" t="str">
        <f t="shared" si="505"/>
        <v/>
      </c>
      <c r="E3226" s="35" t="str">
        <f t="shared" si="502"/>
        <v/>
      </c>
      <c r="F3226" s="31"/>
      <c r="G3226" s="29"/>
      <c r="H3226" s="78" t="str">
        <f t="shared" si="506"/>
        <v/>
      </c>
      <c r="I3226" s="25"/>
      <c r="J3226" s="25"/>
      <c r="K3226" s="26"/>
      <c r="L3226" s="26"/>
      <c r="M3226" s="37"/>
      <c r="N3226" s="27"/>
      <c r="O3226" s="30"/>
      <c r="P3226" s="39" t="str">
        <f t="shared" si="507"/>
        <v/>
      </c>
      <c r="Q3226" s="40" t="str">
        <f>IF(OR(T3226=0,RIGHT(T3226,1)=$W$1),"",COUNTIF($T$3:T3226,T3226))</f>
        <v/>
      </c>
      <c r="S3226" s="6">
        <f t="shared" si="508"/>
        <v>0</v>
      </c>
      <c r="T3226" s="36">
        <f t="shared" si="509"/>
        <v>0</v>
      </c>
      <c r="V3226" s="6">
        <f t="shared" si="510"/>
        <v>0</v>
      </c>
      <c r="Y3226" s="8">
        <f t="shared" si="511"/>
        <v>46023</v>
      </c>
    </row>
    <row r="3227" spans="2:25" ht="18.75" x14ac:dyDescent="0.3">
      <c r="B3227" s="6">
        <f t="shared" si="503"/>
        <v>0</v>
      </c>
      <c r="C3227" s="6">
        <f t="shared" si="504"/>
        <v>0</v>
      </c>
      <c r="D3227" s="6" t="str">
        <f t="shared" si="505"/>
        <v/>
      </c>
      <c r="E3227" s="35" t="str">
        <f t="shared" si="502"/>
        <v/>
      </c>
      <c r="F3227" s="31"/>
      <c r="G3227" s="29"/>
      <c r="H3227" s="78" t="str">
        <f t="shared" si="506"/>
        <v/>
      </c>
      <c r="I3227" s="25"/>
      <c r="J3227" s="25"/>
      <c r="K3227" s="26"/>
      <c r="L3227" s="26"/>
      <c r="M3227" s="37"/>
      <c r="N3227" s="27"/>
      <c r="O3227" s="30"/>
      <c r="P3227" s="39" t="str">
        <f t="shared" si="507"/>
        <v/>
      </c>
      <c r="Q3227" s="40" t="str">
        <f>IF(OR(T3227=0,RIGHT(T3227,1)=$W$1),"",COUNTIF($T$3:T3227,T3227))</f>
        <v/>
      </c>
      <c r="S3227" s="6">
        <f t="shared" si="508"/>
        <v>0</v>
      </c>
      <c r="T3227" s="36">
        <f t="shared" si="509"/>
        <v>0</v>
      </c>
      <c r="V3227" s="6">
        <f t="shared" si="510"/>
        <v>0</v>
      </c>
      <c r="Y3227" s="8">
        <f t="shared" si="511"/>
        <v>46023</v>
      </c>
    </row>
    <row r="3228" spans="2:25" ht="18.75" x14ac:dyDescent="0.3">
      <c r="B3228" s="6">
        <f t="shared" si="503"/>
        <v>0</v>
      </c>
      <c r="C3228" s="6">
        <f t="shared" si="504"/>
        <v>0</v>
      </c>
      <c r="D3228" s="6" t="str">
        <f t="shared" si="505"/>
        <v/>
      </c>
      <c r="E3228" s="35" t="str">
        <f t="shared" si="502"/>
        <v/>
      </c>
      <c r="F3228" s="31"/>
      <c r="G3228" s="29"/>
      <c r="H3228" s="78" t="str">
        <f t="shared" si="506"/>
        <v/>
      </c>
      <c r="I3228" s="25"/>
      <c r="J3228" s="25"/>
      <c r="K3228" s="26"/>
      <c r="L3228" s="26"/>
      <c r="M3228" s="37"/>
      <c r="N3228" s="27"/>
      <c r="O3228" s="30"/>
      <c r="P3228" s="39" t="str">
        <f t="shared" si="507"/>
        <v/>
      </c>
      <c r="Q3228" s="40" t="str">
        <f>IF(OR(T3228=0,RIGHT(T3228,1)=$W$1),"",COUNTIF($T$3:T3228,T3228))</f>
        <v/>
      </c>
      <c r="S3228" s="6">
        <f t="shared" si="508"/>
        <v>0</v>
      </c>
      <c r="T3228" s="36">
        <f t="shared" si="509"/>
        <v>0</v>
      </c>
      <c r="V3228" s="6">
        <f t="shared" si="510"/>
        <v>0</v>
      </c>
      <c r="Y3228" s="8">
        <f t="shared" si="511"/>
        <v>46023</v>
      </c>
    </row>
    <row r="3229" spans="2:25" ht="18.75" x14ac:dyDescent="0.3">
      <c r="B3229" s="6">
        <f t="shared" si="503"/>
        <v>0</v>
      </c>
      <c r="C3229" s="6">
        <f t="shared" si="504"/>
        <v>0</v>
      </c>
      <c r="D3229" s="6" t="str">
        <f t="shared" si="505"/>
        <v/>
      </c>
      <c r="E3229" s="35" t="str">
        <f t="shared" si="502"/>
        <v/>
      </c>
      <c r="F3229" s="31"/>
      <c r="G3229" s="29"/>
      <c r="H3229" s="78" t="str">
        <f t="shared" si="506"/>
        <v/>
      </c>
      <c r="I3229" s="25"/>
      <c r="J3229" s="25"/>
      <c r="K3229" s="26"/>
      <c r="L3229" s="26"/>
      <c r="M3229" s="37"/>
      <c r="N3229" s="27"/>
      <c r="O3229" s="30"/>
      <c r="P3229" s="39" t="str">
        <f t="shared" si="507"/>
        <v/>
      </c>
      <c r="Q3229" s="40" t="str">
        <f>IF(OR(T3229=0,RIGHT(T3229,1)=$W$1),"",COUNTIF($T$3:T3229,T3229))</f>
        <v/>
      </c>
      <c r="S3229" s="6">
        <f t="shared" si="508"/>
        <v>0</v>
      </c>
      <c r="T3229" s="36">
        <f t="shared" si="509"/>
        <v>0</v>
      </c>
      <c r="V3229" s="6">
        <f t="shared" si="510"/>
        <v>0</v>
      </c>
      <c r="Y3229" s="8">
        <f t="shared" si="511"/>
        <v>46023</v>
      </c>
    </row>
    <row r="3230" spans="2:25" ht="18.75" x14ac:dyDescent="0.3">
      <c r="B3230" s="6">
        <f t="shared" si="503"/>
        <v>0</v>
      </c>
      <c r="C3230" s="6">
        <f t="shared" si="504"/>
        <v>0</v>
      </c>
      <c r="D3230" s="6" t="str">
        <f t="shared" si="505"/>
        <v/>
      </c>
      <c r="E3230" s="35" t="str">
        <f t="shared" si="502"/>
        <v/>
      </c>
      <c r="F3230" s="31"/>
      <c r="G3230" s="29"/>
      <c r="H3230" s="78" t="str">
        <f t="shared" si="506"/>
        <v/>
      </c>
      <c r="I3230" s="25"/>
      <c r="J3230" s="25"/>
      <c r="K3230" s="26"/>
      <c r="L3230" s="26"/>
      <c r="M3230" s="37"/>
      <c r="N3230" s="27"/>
      <c r="O3230" s="30"/>
      <c r="P3230" s="39" t="str">
        <f t="shared" si="507"/>
        <v/>
      </c>
      <c r="Q3230" s="40" t="str">
        <f>IF(OR(T3230=0,RIGHT(T3230,1)=$W$1),"",COUNTIF($T$3:T3230,T3230))</f>
        <v/>
      </c>
      <c r="S3230" s="6">
        <f t="shared" si="508"/>
        <v>0</v>
      </c>
      <c r="T3230" s="36">
        <f t="shared" si="509"/>
        <v>0</v>
      </c>
      <c r="V3230" s="6">
        <f t="shared" si="510"/>
        <v>0</v>
      </c>
      <c r="Y3230" s="8">
        <f t="shared" si="511"/>
        <v>46023</v>
      </c>
    </row>
    <row r="3231" spans="2:25" ht="18.75" x14ac:dyDescent="0.3">
      <c r="B3231" s="6">
        <f t="shared" si="503"/>
        <v>0</v>
      </c>
      <c r="C3231" s="6">
        <f t="shared" si="504"/>
        <v>0</v>
      </c>
      <c r="D3231" s="6" t="str">
        <f t="shared" si="505"/>
        <v/>
      </c>
      <c r="E3231" s="35" t="str">
        <f t="shared" si="502"/>
        <v/>
      </c>
      <c r="F3231" s="31"/>
      <c r="G3231" s="29"/>
      <c r="H3231" s="78" t="str">
        <f t="shared" si="506"/>
        <v/>
      </c>
      <c r="I3231" s="25"/>
      <c r="J3231" s="25"/>
      <c r="K3231" s="26"/>
      <c r="L3231" s="26"/>
      <c r="M3231" s="37"/>
      <c r="N3231" s="27"/>
      <c r="O3231" s="30"/>
      <c r="P3231" s="39" t="str">
        <f t="shared" si="507"/>
        <v/>
      </c>
      <c r="Q3231" s="40" t="str">
        <f>IF(OR(T3231=0,RIGHT(T3231,1)=$W$1),"",COUNTIF($T$3:T3231,T3231))</f>
        <v/>
      </c>
      <c r="S3231" s="6">
        <f t="shared" si="508"/>
        <v>0</v>
      </c>
      <c r="T3231" s="36">
        <f t="shared" si="509"/>
        <v>0</v>
      </c>
      <c r="V3231" s="6">
        <f t="shared" si="510"/>
        <v>0</v>
      </c>
      <c r="Y3231" s="8">
        <f t="shared" si="511"/>
        <v>46023</v>
      </c>
    </row>
    <row r="3232" spans="2:25" ht="18.75" x14ac:dyDescent="0.3">
      <c r="B3232" s="6">
        <f t="shared" si="503"/>
        <v>0</v>
      </c>
      <c r="C3232" s="6">
        <f t="shared" si="504"/>
        <v>0</v>
      </c>
      <c r="D3232" s="6" t="str">
        <f t="shared" si="505"/>
        <v/>
      </c>
      <c r="E3232" s="35" t="str">
        <f t="shared" si="502"/>
        <v/>
      </c>
      <c r="F3232" s="31"/>
      <c r="G3232" s="29"/>
      <c r="H3232" s="78" t="str">
        <f t="shared" si="506"/>
        <v/>
      </c>
      <c r="I3232" s="25"/>
      <c r="J3232" s="25"/>
      <c r="K3232" s="26"/>
      <c r="L3232" s="26"/>
      <c r="M3232" s="37"/>
      <c r="N3232" s="27"/>
      <c r="O3232" s="30"/>
      <c r="P3232" s="39" t="str">
        <f t="shared" si="507"/>
        <v/>
      </c>
      <c r="Q3232" s="40" t="str">
        <f>IF(OR(T3232=0,RIGHT(T3232,1)=$W$1),"",COUNTIF($T$3:T3232,T3232))</f>
        <v/>
      </c>
      <c r="S3232" s="6">
        <f t="shared" si="508"/>
        <v>0</v>
      </c>
      <c r="T3232" s="36">
        <f t="shared" si="509"/>
        <v>0</v>
      </c>
      <c r="V3232" s="6">
        <f t="shared" si="510"/>
        <v>0</v>
      </c>
      <c r="Y3232" s="8">
        <f t="shared" si="511"/>
        <v>46023</v>
      </c>
    </row>
    <row r="3233" spans="2:25" ht="18.75" x14ac:dyDescent="0.3">
      <c r="B3233" s="6">
        <f t="shared" si="503"/>
        <v>0</v>
      </c>
      <c r="C3233" s="6">
        <f t="shared" si="504"/>
        <v>0</v>
      </c>
      <c r="D3233" s="6" t="str">
        <f t="shared" si="505"/>
        <v/>
      </c>
      <c r="E3233" s="35" t="str">
        <f t="shared" si="502"/>
        <v/>
      </c>
      <c r="F3233" s="31"/>
      <c r="G3233" s="29"/>
      <c r="H3233" s="78" t="str">
        <f t="shared" si="506"/>
        <v/>
      </c>
      <c r="I3233" s="25"/>
      <c r="J3233" s="25"/>
      <c r="K3233" s="26"/>
      <c r="L3233" s="26"/>
      <c r="M3233" s="37"/>
      <c r="N3233" s="27"/>
      <c r="O3233" s="30"/>
      <c r="P3233" s="39" t="str">
        <f t="shared" si="507"/>
        <v/>
      </c>
      <c r="Q3233" s="40" t="str">
        <f>IF(OR(T3233=0,RIGHT(T3233,1)=$W$1),"",COUNTIF($T$3:T3233,T3233))</f>
        <v/>
      </c>
      <c r="S3233" s="6">
        <f t="shared" si="508"/>
        <v>0</v>
      </c>
      <c r="T3233" s="36">
        <f t="shared" si="509"/>
        <v>0</v>
      </c>
      <c r="V3233" s="6">
        <f t="shared" si="510"/>
        <v>0</v>
      </c>
      <c r="Y3233" s="8">
        <f t="shared" si="511"/>
        <v>46023</v>
      </c>
    </row>
    <row r="3234" spans="2:25" ht="18.75" x14ac:dyDescent="0.3">
      <c r="B3234" s="6">
        <f t="shared" si="503"/>
        <v>0</v>
      </c>
      <c r="C3234" s="6">
        <f t="shared" si="504"/>
        <v>0</v>
      </c>
      <c r="D3234" s="6" t="str">
        <f t="shared" si="505"/>
        <v/>
      </c>
      <c r="E3234" s="35" t="str">
        <f t="shared" si="502"/>
        <v/>
      </c>
      <c r="F3234" s="31"/>
      <c r="G3234" s="29"/>
      <c r="H3234" s="78" t="str">
        <f t="shared" si="506"/>
        <v/>
      </c>
      <c r="I3234" s="25"/>
      <c r="J3234" s="25"/>
      <c r="K3234" s="26"/>
      <c r="L3234" s="26"/>
      <c r="M3234" s="37"/>
      <c r="N3234" s="27"/>
      <c r="O3234" s="30"/>
      <c r="P3234" s="39" t="str">
        <f t="shared" si="507"/>
        <v/>
      </c>
      <c r="Q3234" s="40" t="str">
        <f>IF(OR(T3234=0,RIGHT(T3234,1)=$W$1),"",COUNTIF($T$3:T3234,T3234))</f>
        <v/>
      </c>
      <c r="S3234" s="6">
        <f t="shared" si="508"/>
        <v>0</v>
      </c>
      <c r="T3234" s="36">
        <f t="shared" si="509"/>
        <v>0</v>
      </c>
      <c r="V3234" s="6">
        <f t="shared" si="510"/>
        <v>0</v>
      </c>
      <c r="Y3234" s="8">
        <f t="shared" si="511"/>
        <v>46023</v>
      </c>
    </row>
    <row r="3235" spans="2:25" ht="18.75" x14ac:dyDescent="0.3">
      <c r="B3235" s="6">
        <f t="shared" si="503"/>
        <v>0</v>
      </c>
      <c r="C3235" s="6">
        <f t="shared" si="504"/>
        <v>0</v>
      </c>
      <c r="D3235" s="6" t="str">
        <f t="shared" si="505"/>
        <v/>
      </c>
      <c r="E3235" s="35" t="str">
        <f t="shared" si="502"/>
        <v/>
      </c>
      <c r="F3235" s="31"/>
      <c r="G3235" s="29"/>
      <c r="H3235" s="78" t="str">
        <f t="shared" si="506"/>
        <v/>
      </c>
      <c r="I3235" s="25"/>
      <c r="J3235" s="25"/>
      <c r="K3235" s="26"/>
      <c r="L3235" s="26"/>
      <c r="M3235" s="37"/>
      <c r="N3235" s="27"/>
      <c r="O3235" s="30"/>
      <c r="P3235" s="39" t="str">
        <f t="shared" si="507"/>
        <v/>
      </c>
      <c r="Q3235" s="40" t="str">
        <f>IF(OR(T3235=0,RIGHT(T3235,1)=$W$1),"",COUNTIF($T$3:T3235,T3235))</f>
        <v/>
      </c>
      <c r="S3235" s="6">
        <f t="shared" si="508"/>
        <v>0</v>
      </c>
      <c r="T3235" s="36">
        <f t="shared" si="509"/>
        <v>0</v>
      </c>
      <c r="V3235" s="6">
        <f t="shared" si="510"/>
        <v>0</v>
      </c>
      <c r="Y3235" s="8">
        <f t="shared" si="511"/>
        <v>46023</v>
      </c>
    </row>
    <row r="3236" spans="2:25" ht="18.75" x14ac:dyDescent="0.3">
      <c r="B3236" s="6">
        <f t="shared" si="503"/>
        <v>0</v>
      </c>
      <c r="C3236" s="6">
        <f t="shared" si="504"/>
        <v>0</v>
      </c>
      <c r="D3236" s="6" t="str">
        <f t="shared" si="505"/>
        <v/>
      </c>
      <c r="E3236" s="35" t="str">
        <f t="shared" si="502"/>
        <v/>
      </c>
      <c r="F3236" s="31"/>
      <c r="G3236" s="29"/>
      <c r="H3236" s="78" t="str">
        <f t="shared" si="506"/>
        <v/>
      </c>
      <c r="I3236" s="25"/>
      <c r="J3236" s="25"/>
      <c r="K3236" s="26"/>
      <c r="L3236" s="26"/>
      <c r="M3236" s="37"/>
      <c r="N3236" s="27"/>
      <c r="O3236" s="30"/>
      <c r="P3236" s="39" t="str">
        <f t="shared" si="507"/>
        <v/>
      </c>
      <c r="Q3236" s="40" t="str">
        <f>IF(OR(T3236=0,RIGHT(T3236,1)=$W$1),"",COUNTIF($T$3:T3236,T3236))</f>
        <v/>
      </c>
      <c r="S3236" s="6">
        <f t="shared" si="508"/>
        <v>0</v>
      </c>
      <c r="T3236" s="36">
        <f t="shared" si="509"/>
        <v>0</v>
      </c>
      <c r="V3236" s="6">
        <f t="shared" si="510"/>
        <v>0</v>
      </c>
      <c r="Y3236" s="8">
        <f t="shared" si="511"/>
        <v>46023</v>
      </c>
    </row>
    <row r="3237" spans="2:25" ht="18.75" x14ac:dyDescent="0.3">
      <c r="B3237" s="6">
        <f t="shared" si="503"/>
        <v>0</v>
      </c>
      <c r="C3237" s="6">
        <f t="shared" si="504"/>
        <v>0</v>
      </c>
      <c r="D3237" s="6" t="str">
        <f t="shared" si="505"/>
        <v/>
      </c>
      <c r="E3237" s="35" t="str">
        <f t="shared" si="502"/>
        <v/>
      </c>
      <c r="F3237" s="31"/>
      <c r="G3237" s="29"/>
      <c r="H3237" s="78" t="str">
        <f t="shared" si="506"/>
        <v/>
      </c>
      <c r="I3237" s="25"/>
      <c r="J3237" s="25"/>
      <c r="K3237" s="26"/>
      <c r="L3237" s="26"/>
      <c r="M3237" s="37"/>
      <c r="N3237" s="27"/>
      <c r="O3237" s="30"/>
      <c r="P3237" s="39" t="str">
        <f t="shared" si="507"/>
        <v/>
      </c>
      <c r="Q3237" s="40" t="str">
        <f>IF(OR(T3237=0,RIGHT(T3237,1)=$W$1),"",COUNTIF($T$3:T3237,T3237))</f>
        <v/>
      </c>
      <c r="S3237" s="6">
        <f t="shared" si="508"/>
        <v>0</v>
      </c>
      <c r="T3237" s="36">
        <f t="shared" si="509"/>
        <v>0</v>
      </c>
      <c r="V3237" s="6">
        <f t="shared" si="510"/>
        <v>0</v>
      </c>
      <c r="Y3237" s="8">
        <f t="shared" si="511"/>
        <v>46023</v>
      </c>
    </row>
    <row r="3238" spans="2:25" ht="18.75" x14ac:dyDescent="0.3">
      <c r="B3238" s="6">
        <f t="shared" si="503"/>
        <v>0</v>
      </c>
      <c r="C3238" s="6">
        <f t="shared" si="504"/>
        <v>0</v>
      </c>
      <c r="D3238" s="6" t="str">
        <f t="shared" si="505"/>
        <v/>
      </c>
      <c r="E3238" s="35" t="str">
        <f t="shared" si="502"/>
        <v/>
      </c>
      <c r="F3238" s="31"/>
      <c r="G3238" s="29"/>
      <c r="H3238" s="78" t="str">
        <f t="shared" si="506"/>
        <v/>
      </c>
      <c r="I3238" s="25"/>
      <c r="J3238" s="25"/>
      <c r="K3238" s="26"/>
      <c r="L3238" s="26"/>
      <c r="M3238" s="37"/>
      <c r="N3238" s="27"/>
      <c r="O3238" s="30"/>
      <c r="P3238" s="39" t="str">
        <f t="shared" si="507"/>
        <v/>
      </c>
      <c r="Q3238" s="40" t="str">
        <f>IF(OR(T3238=0,RIGHT(T3238,1)=$W$1),"",COUNTIF($T$3:T3238,T3238))</f>
        <v/>
      </c>
      <c r="S3238" s="6">
        <f t="shared" si="508"/>
        <v>0</v>
      </c>
      <c r="T3238" s="36">
        <f t="shared" si="509"/>
        <v>0</v>
      </c>
      <c r="V3238" s="6">
        <f t="shared" si="510"/>
        <v>0</v>
      </c>
      <c r="Y3238" s="8">
        <f t="shared" si="511"/>
        <v>46023</v>
      </c>
    </row>
    <row r="3239" spans="2:25" ht="18.75" x14ac:dyDescent="0.3">
      <c r="B3239" s="6">
        <f t="shared" si="503"/>
        <v>0</v>
      </c>
      <c r="C3239" s="6">
        <f t="shared" si="504"/>
        <v>0</v>
      </c>
      <c r="D3239" s="6" t="str">
        <f t="shared" si="505"/>
        <v/>
      </c>
      <c r="E3239" s="35" t="str">
        <f t="shared" si="502"/>
        <v/>
      </c>
      <c r="F3239" s="31"/>
      <c r="G3239" s="29"/>
      <c r="H3239" s="78" t="str">
        <f t="shared" si="506"/>
        <v/>
      </c>
      <c r="I3239" s="25"/>
      <c r="J3239" s="25"/>
      <c r="K3239" s="26"/>
      <c r="L3239" s="26"/>
      <c r="M3239" s="37"/>
      <c r="N3239" s="27"/>
      <c r="O3239" s="30"/>
      <c r="P3239" s="39" t="str">
        <f t="shared" si="507"/>
        <v/>
      </c>
      <c r="Q3239" s="40" t="str">
        <f>IF(OR(T3239=0,RIGHT(T3239,1)=$W$1),"",COUNTIF($T$3:T3239,T3239))</f>
        <v/>
      </c>
      <c r="S3239" s="6">
        <f t="shared" si="508"/>
        <v>0</v>
      </c>
      <c r="T3239" s="36">
        <f t="shared" si="509"/>
        <v>0</v>
      </c>
      <c r="V3239" s="6">
        <f t="shared" si="510"/>
        <v>0</v>
      </c>
      <c r="Y3239" s="8">
        <f t="shared" si="511"/>
        <v>46023</v>
      </c>
    </row>
    <row r="3240" spans="2:25" ht="18.75" x14ac:dyDescent="0.3">
      <c r="B3240" s="6">
        <f t="shared" si="503"/>
        <v>0</v>
      </c>
      <c r="C3240" s="6">
        <f t="shared" si="504"/>
        <v>0</v>
      </c>
      <c r="D3240" s="6" t="str">
        <f t="shared" si="505"/>
        <v/>
      </c>
      <c r="E3240" s="35" t="str">
        <f t="shared" si="502"/>
        <v/>
      </c>
      <c r="F3240" s="31"/>
      <c r="G3240" s="29"/>
      <c r="H3240" s="78" t="str">
        <f t="shared" si="506"/>
        <v/>
      </c>
      <c r="I3240" s="25"/>
      <c r="J3240" s="25"/>
      <c r="K3240" s="26"/>
      <c r="L3240" s="26"/>
      <c r="M3240" s="37"/>
      <c r="N3240" s="27"/>
      <c r="O3240" s="30"/>
      <c r="P3240" s="39" t="str">
        <f t="shared" si="507"/>
        <v/>
      </c>
      <c r="Q3240" s="40" t="str">
        <f>IF(OR(T3240=0,RIGHT(T3240,1)=$W$1),"",COUNTIF($T$3:T3240,T3240))</f>
        <v/>
      </c>
      <c r="S3240" s="6">
        <f t="shared" si="508"/>
        <v>0</v>
      </c>
      <c r="T3240" s="36">
        <f t="shared" si="509"/>
        <v>0</v>
      </c>
      <c r="V3240" s="6">
        <f t="shared" si="510"/>
        <v>0</v>
      </c>
      <c r="Y3240" s="8">
        <f t="shared" si="511"/>
        <v>46023</v>
      </c>
    </row>
    <row r="3241" spans="2:25" ht="18.75" x14ac:dyDescent="0.3">
      <c r="B3241" s="6">
        <f t="shared" si="503"/>
        <v>0</v>
      </c>
      <c r="C3241" s="6">
        <f t="shared" si="504"/>
        <v>0</v>
      </c>
      <c r="D3241" s="6" t="str">
        <f t="shared" si="505"/>
        <v/>
      </c>
      <c r="E3241" s="35" t="str">
        <f t="shared" si="502"/>
        <v/>
      </c>
      <c r="F3241" s="31"/>
      <c r="G3241" s="29"/>
      <c r="H3241" s="78" t="str">
        <f t="shared" si="506"/>
        <v/>
      </c>
      <c r="I3241" s="25"/>
      <c r="J3241" s="25"/>
      <c r="K3241" s="26"/>
      <c r="L3241" s="26"/>
      <c r="M3241" s="37"/>
      <c r="N3241" s="27"/>
      <c r="O3241" s="30"/>
      <c r="P3241" s="39" t="str">
        <f t="shared" si="507"/>
        <v/>
      </c>
      <c r="Q3241" s="40" t="str">
        <f>IF(OR(T3241=0,RIGHT(T3241,1)=$W$1),"",COUNTIF($T$3:T3241,T3241))</f>
        <v/>
      </c>
      <c r="S3241" s="6">
        <f t="shared" si="508"/>
        <v>0</v>
      </c>
      <c r="T3241" s="36">
        <f t="shared" si="509"/>
        <v>0</v>
      </c>
      <c r="V3241" s="6">
        <f t="shared" si="510"/>
        <v>0</v>
      </c>
      <c r="Y3241" s="8">
        <f t="shared" si="511"/>
        <v>46023</v>
      </c>
    </row>
    <row r="3242" spans="2:25" ht="18.75" x14ac:dyDescent="0.3">
      <c r="B3242" s="6">
        <f t="shared" si="503"/>
        <v>0</v>
      </c>
      <c r="C3242" s="6">
        <f t="shared" si="504"/>
        <v>0</v>
      </c>
      <c r="D3242" s="6" t="str">
        <f t="shared" si="505"/>
        <v/>
      </c>
      <c r="E3242" s="35" t="str">
        <f t="shared" si="502"/>
        <v/>
      </c>
      <c r="F3242" s="31"/>
      <c r="G3242" s="29"/>
      <c r="H3242" s="78" t="str">
        <f t="shared" si="506"/>
        <v/>
      </c>
      <c r="I3242" s="25"/>
      <c r="J3242" s="25"/>
      <c r="K3242" s="26"/>
      <c r="L3242" s="26"/>
      <c r="M3242" s="37"/>
      <c r="N3242" s="27"/>
      <c r="O3242" s="30"/>
      <c r="P3242" s="39" t="str">
        <f t="shared" si="507"/>
        <v/>
      </c>
      <c r="Q3242" s="40" t="str">
        <f>IF(OR(T3242=0,RIGHT(T3242,1)=$W$1),"",COUNTIF($T$3:T3242,T3242))</f>
        <v/>
      </c>
      <c r="S3242" s="6">
        <f t="shared" si="508"/>
        <v>0</v>
      </c>
      <c r="T3242" s="36">
        <f t="shared" si="509"/>
        <v>0</v>
      </c>
      <c r="V3242" s="6">
        <f t="shared" si="510"/>
        <v>0</v>
      </c>
      <c r="Y3242" s="8">
        <f t="shared" si="511"/>
        <v>46023</v>
      </c>
    </row>
    <row r="3243" spans="2:25" ht="18.75" x14ac:dyDescent="0.3">
      <c r="B3243" s="6">
        <f t="shared" si="503"/>
        <v>0</v>
      </c>
      <c r="C3243" s="6">
        <f t="shared" si="504"/>
        <v>0</v>
      </c>
      <c r="D3243" s="6" t="str">
        <f t="shared" si="505"/>
        <v/>
      </c>
      <c r="E3243" s="35" t="str">
        <f t="shared" si="502"/>
        <v/>
      </c>
      <c r="F3243" s="31"/>
      <c r="G3243" s="29"/>
      <c r="H3243" s="78" t="str">
        <f t="shared" si="506"/>
        <v/>
      </c>
      <c r="I3243" s="25"/>
      <c r="J3243" s="25"/>
      <c r="K3243" s="26"/>
      <c r="L3243" s="26"/>
      <c r="M3243" s="37"/>
      <c r="N3243" s="27"/>
      <c r="O3243" s="30"/>
      <c r="P3243" s="39" t="str">
        <f t="shared" si="507"/>
        <v/>
      </c>
      <c r="Q3243" s="40" t="str">
        <f>IF(OR(T3243=0,RIGHT(T3243,1)=$W$1),"",COUNTIF($T$3:T3243,T3243))</f>
        <v/>
      </c>
      <c r="S3243" s="6">
        <f t="shared" si="508"/>
        <v>0</v>
      </c>
      <c r="T3243" s="36">
        <f t="shared" si="509"/>
        <v>0</v>
      </c>
      <c r="V3243" s="6">
        <f t="shared" si="510"/>
        <v>0</v>
      </c>
      <c r="Y3243" s="8">
        <f t="shared" si="511"/>
        <v>46023</v>
      </c>
    </row>
    <row r="3244" spans="2:25" ht="18.75" x14ac:dyDescent="0.3">
      <c r="B3244" s="6">
        <f t="shared" si="503"/>
        <v>0</v>
      </c>
      <c r="C3244" s="6">
        <f t="shared" si="504"/>
        <v>0</v>
      </c>
      <c r="D3244" s="6" t="str">
        <f t="shared" si="505"/>
        <v/>
      </c>
      <c r="E3244" s="35" t="str">
        <f t="shared" si="502"/>
        <v/>
      </c>
      <c r="F3244" s="31"/>
      <c r="G3244" s="29"/>
      <c r="H3244" s="78" t="str">
        <f t="shared" si="506"/>
        <v/>
      </c>
      <c r="I3244" s="25"/>
      <c r="J3244" s="25"/>
      <c r="K3244" s="26"/>
      <c r="L3244" s="26"/>
      <c r="M3244" s="37"/>
      <c r="N3244" s="27"/>
      <c r="O3244" s="30"/>
      <c r="P3244" s="39" t="str">
        <f t="shared" si="507"/>
        <v/>
      </c>
      <c r="Q3244" s="40" t="str">
        <f>IF(OR(T3244=0,RIGHT(T3244,1)=$W$1),"",COUNTIF($T$3:T3244,T3244))</f>
        <v/>
      </c>
      <c r="S3244" s="6">
        <f t="shared" si="508"/>
        <v>0</v>
      </c>
      <c r="T3244" s="36">
        <f t="shared" si="509"/>
        <v>0</v>
      </c>
      <c r="V3244" s="6">
        <f t="shared" si="510"/>
        <v>0</v>
      </c>
      <c r="Y3244" s="8">
        <f t="shared" si="511"/>
        <v>46023</v>
      </c>
    </row>
    <row r="3245" spans="2:25" ht="18.75" x14ac:dyDescent="0.3">
      <c r="B3245" s="6">
        <f t="shared" si="503"/>
        <v>0</v>
      </c>
      <c r="C3245" s="6">
        <f t="shared" si="504"/>
        <v>0</v>
      </c>
      <c r="D3245" s="6" t="str">
        <f t="shared" si="505"/>
        <v/>
      </c>
      <c r="E3245" s="35" t="str">
        <f t="shared" si="502"/>
        <v/>
      </c>
      <c r="F3245" s="31"/>
      <c r="G3245" s="29"/>
      <c r="H3245" s="78" t="str">
        <f t="shared" si="506"/>
        <v/>
      </c>
      <c r="I3245" s="25"/>
      <c r="J3245" s="25"/>
      <c r="K3245" s="26"/>
      <c r="L3245" s="26"/>
      <c r="M3245" s="37"/>
      <c r="N3245" s="27"/>
      <c r="O3245" s="30"/>
      <c r="P3245" s="39" t="str">
        <f t="shared" si="507"/>
        <v/>
      </c>
      <c r="Q3245" s="40" t="str">
        <f>IF(OR(T3245=0,RIGHT(T3245,1)=$W$1),"",COUNTIF($T$3:T3245,T3245))</f>
        <v/>
      </c>
      <c r="S3245" s="6">
        <f t="shared" si="508"/>
        <v>0</v>
      </c>
      <c r="T3245" s="36">
        <f t="shared" si="509"/>
        <v>0</v>
      </c>
      <c r="V3245" s="6">
        <f t="shared" si="510"/>
        <v>0</v>
      </c>
      <c r="Y3245" s="8">
        <f t="shared" si="511"/>
        <v>46023</v>
      </c>
    </row>
    <row r="3246" spans="2:25" ht="18.75" x14ac:dyDescent="0.3">
      <c r="B3246" s="6">
        <f t="shared" si="503"/>
        <v>0</v>
      </c>
      <c r="C3246" s="6">
        <f t="shared" si="504"/>
        <v>0</v>
      </c>
      <c r="D3246" s="6" t="str">
        <f t="shared" si="505"/>
        <v/>
      </c>
      <c r="E3246" s="35" t="str">
        <f t="shared" si="502"/>
        <v/>
      </c>
      <c r="F3246" s="31"/>
      <c r="G3246" s="29"/>
      <c r="H3246" s="78" t="str">
        <f t="shared" si="506"/>
        <v/>
      </c>
      <c r="I3246" s="25"/>
      <c r="J3246" s="25"/>
      <c r="K3246" s="26"/>
      <c r="L3246" s="26"/>
      <c r="M3246" s="37"/>
      <c r="N3246" s="27"/>
      <c r="O3246" s="30"/>
      <c r="P3246" s="39" t="str">
        <f t="shared" si="507"/>
        <v/>
      </c>
      <c r="Q3246" s="40" t="str">
        <f>IF(OR(T3246=0,RIGHT(T3246,1)=$W$1),"",COUNTIF($T$3:T3246,T3246))</f>
        <v/>
      </c>
      <c r="S3246" s="6">
        <f t="shared" si="508"/>
        <v>0</v>
      </c>
      <c r="T3246" s="36">
        <f t="shared" si="509"/>
        <v>0</v>
      </c>
      <c r="V3246" s="6">
        <f t="shared" si="510"/>
        <v>0</v>
      </c>
      <c r="Y3246" s="8">
        <f t="shared" si="511"/>
        <v>46023</v>
      </c>
    </row>
    <row r="3247" spans="2:25" ht="18.75" x14ac:dyDescent="0.3">
      <c r="B3247" s="6">
        <f t="shared" si="503"/>
        <v>0</v>
      </c>
      <c r="C3247" s="6">
        <f t="shared" si="504"/>
        <v>0</v>
      </c>
      <c r="D3247" s="6" t="str">
        <f t="shared" si="505"/>
        <v/>
      </c>
      <c r="E3247" s="35" t="str">
        <f t="shared" si="502"/>
        <v/>
      </c>
      <c r="F3247" s="31"/>
      <c r="G3247" s="29"/>
      <c r="H3247" s="78" t="str">
        <f t="shared" si="506"/>
        <v/>
      </c>
      <c r="I3247" s="25"/>
      <c r="J3247" s="25"/>
      <c r="K3247" s="26"/>
      <c r="L3247" s="26"/>
      <c r="M3247" s="37"/>
      <c r="N3247" s="27"/>
      <c r="O3247" s="30"/>
      <c r="P3247" s="39" t="str">
        <f t="shared" si="507"/>
        <v/>
      </c>
      <c r="Q3247" s="40" t="str">
        <f>IF(OR(T3247=0,RIGHT(T3247,1)=$W$1),"",COUNTIF($T$3:T3247,T3247))</f>
        <v/>
      </c>
      <c r="S3247" s="6">
        <f t="shared" si="508"/>
        <v>0</v>
      </c>
      <c r="T3247" s="36">
        <f t="shared" si="509"/>
        <v>0</v>
      </c>
      <c r="V3247" s="6">
        <f t="shared" si="510"/>
        <v>0</v>
      </c>
      <c r="Y3247" s="8">
        <f t="shared" si="511"/>
        <v>46023</v>
      </c>
    </row>
    <row r="3248" spans="2:25" ht="18.75" x14ac:dyDescent="0.3">
      <c r="B3248" s="6">
        <f t="shared" si="503"/>
        <v>0</v>
      </c>
      <c r="C3248" s="6">
        <f t="shared" si="504"/>
        <v>0</v>
      </c>
      <c r="D3248" s="6" t="str">
        <f t="shared" si="505"/>
        <v/>
      </c>
      <c r="E3248" s="35" t="str">
        <f t="shared" si="502"/>
        <v/>
      </c>
      <c r="F3248" s="31"/>
      <c r="G3248" s="29"/>
      <c r="H3248" s="78" t="str">
        <f t="shared" si="506"/>
        <v/>
      </c>
      <c r="I3248" s="25"/>
      <c r="J3248" s="25"/>
      <c r="K3248" s="26"/>
      <c r="L3248" s="26"/>
      <c r="M3248" s="37"/>
      <c r="N3248" s="27"/>
      <c r="O3248" s="30"/>
      <c r="P3248" s="39" t="str">
        <f t="shared" si="507"/>
        <v/>
      </c>
      <c r="Q3248" s="40" t="str">
        <f>IF(OR(T3248=0,RIGHT(T3248,1)=$W$1),"",COUNTIF($T$3:T3248,T3248))</f>
        <v/>
      </c>
      <c r="S3248" s="6">
        <f t="shared" si="508"/>
        <v>0</v>
      </c>
      <c r="T3248" s="36">
        <f t="shared" si="509"/>
        <v>0</v>
      </c>
      <c r="V3248" s="6">
        <f t="shared" si="510"/>
        <v>0</v>
      </c>
      <c r="Y3248" s="8">
        <f t="shared" si="511"/>
        <v>46023</v>
      </c>
    </row>
    <row r="3249" spans="2:25" ht="18.75" x14ac:dyDescent="0.3">
      <c r="B3249" s="6">
        <f t="shared" si="503"/>
        <v>0</v>
      </c>
      <c r="C3249" s="6">
        <f t="shared" si="504"/>
        <v>0</v>
      </c>
      <c r="D3249" s="6" t="str">
        <f t="shared" si="505"/>
        <v/>
      </c>
      <c r="E3249" s="35" t="str">
        <f t="shared" si="502"/>
        <v/>
      </c>
      <c r="F3249" s="31"/>
      <c r="G3249" s="29"/>
      <c r="H3249" s="78" t="str">
        <f t="shared" si="506"/>
        <v/>
      </c>
      <c r="I3249" s="25"/>
      <c r="J3249" s="25"/>
      <c r="K3249" s="26"/>
      <c r="L3249" s="26"/>
      <c r="M3249" s="37"/>
      <c r="N3249" s="27"/>
      <c r="O3249" s="30"/>
      <c r="P3249" s="39" t="str">
        <f t="shared" si="507"/>
        <v/>
      </c>
      <c r="Q3249" s="40" t="str">
        <f>IF(OR(T3249=0,RIGHT(T3249,1)=$W$1),"",COUNTIF($T$3:T3249,T3249))</f>
        <v/>
      </c>
      <c r="S3249" s="6">
        <f t="shared" si="508"/>
        <v>0</v>
      </c>
      <c r="T3249" s="36">
        <f t="shared" si="509"/>
        <v>0</v>
      </c>
      <c r="V3249" s="6">
        <f t="shared" si="510"/>
        <v>0</v>
      </c>
      <c r="Y3249" s="8">
        <f t="shared" si="511"/>
        <v>46023</v>
      </c>
    </row>
    <row r="3250" spans="2:25" ht="18.75" x14ac:dyDescent="0.3">
      <c r="B3250" s="6">
        <f t="shared" si="503"/>
        <v>0</v>
      </c>
      <c r="C3250" s="6">
        <f t="shared" si="504"/>
        <v>0</v>
      </c>
      <c r="D3250" s="6" t="str">
        <f t="shared" si="505"/>
        <v/>
      </c>
      <c r="E3250" s="35" t="str">
        <f t="shared" si="502"/>
        <v/>
      </c>
      <c r="F3250" s="31"/>
      <c r="G3250" s="29"/>
      <c r="H3250" s="78" t="str">
        <f t="shared" si="506"/>
        <v/>
      </c>
      <c r="I3250" s="25"/>
      <c r="J3250" s="25"/>
      <c r="K3250" s="26"/>
      <c r="L3250" s="26"/>
      <c r="M3250" s="37"/>
      <c r="N3250" s="27"/>
      <c r="O3250" s="30"/>
      <c r="P3250" s="39" t="str">
        <f t="shared" si="507"/>
        <v/>
      </c>
      <c r="Q3250" s="40" t="str">
        <f>IF(OR(T3250=0,RIGHT(T3250,1)=$W$1),"",COUNTIF($T$3:T3250,T3250))</f>
        <v/>
      </c>
      <c r="S3250" s="6">
        <f t="shared" si="508"/>
        <v>0</v>
      </c>
      <c r="T3250" s="36">
        <f t="shared" si="509"/>
        <v>0</v>
      </c>
      <c r="V3250" s="6">
        <f t="shared" si="510"/>
        <v>0</v>
      </c>
      <c r="Y3250" s="8">
        <f t="shared" si="511"/>
        <v>46023</v>
      </c>
    </row>
    <row r="3251" spans="2:25" ht="18.75" x14ac:dyDescent="0.3">
      <c r="B3251" s="6">
        <f t="shared" si="503"/>
        <v>0</v>
      </c>
      <c r="C3251" s="6">
        <f t="shared" si="504"/>
        <v>0</v>
      </c>
      <c r="D3251" s="6" t="str">
        <f t="shared" si="505"/>
        <v/>
      </c>
      <c r="E3251" s="35" t="str">
        <f t="shared" si="502"/>
        <v/>
      </c>
      <c r="F3251" s="31"/>
      <c r="G3251" s="29"/>
      <c r="H3251" s="78" t="str">
        <f t="shared" si="506"/>
        <v/>
      </c>
      <c r="I3251" s="25"/>
      <c r="J3251" s="25"/>
      <c r="K3251" s="26"/>
      <c r="L3251" s="26"/>
      <c r="M3251" s="37"/>
      <c r="N3251" s="27"/>
      <c r="O3251" s="30"/>
      <c r="P3251" s="39" t="str">
        <f t="shared" si="507"/>
        <v/>
      </c>
      <c r="Q3251" s="40" t="str">
        <f>IF(OR(T3251=0,RIGHT(T3251,1)=$W$1),"",COUNTIF($T$3:T3251,T3251))</f>
        <v/>
      </c>
      <c r="S3251" s="6">
        <f t="shared" si="508"/>
        <v>0</v>
      </c>
      <c r="T3251" s="36">
        <f t="shared" si="509"/>
        <v>0</v>
      </c>
      <c r="V3251" s="6">
        <f t="shared" si="510"/>
        <v>0</v>
      </c>
      <c r="Y3251" s="8">
        <f t="shared" si="511"/>
        <v>46023</v>
      </c>
    </row>
    <row r="3252" spans="2:25" ht="18.75" x14ac:dyDescent="0.3">
      <c r="B3252" s="6">
        <f t="shared" si="503"/>
        <v>0</v>
      </c>
      <c r="C3252" s="6">
        <f t="shared" si="504"/>
        <v>0</v>
      </c>
      <c r="D3252" s="6" t="str">
        <f t="shared" si="505"/>
        <v/>
      </c>
      <c r="E3252" s="35" t="str">
        <f t="shared" si="502"/>
        <v/>
      </c>
      <c r="F3252" s="31"/>
      <c r="G3252" s="29"/>
      <c r="H3252" s="78" t="str">
        <f t="shared" si="506"/>
        <v/>
      </c>
      <c r="I3252" s="25"/>
      <c r="J3252" s="25"/>
      <c r="K3252" s="26"/>
      <c r="L3252" s="26"/>
      <c r="M3252" s="37"/>
      <c r="N3252" s="27"/>
      <c r="O3252" s="30"/>
      <c r="P3252" s="39" t="str">
        <f t="shared" si="507"/>
        <v/>
      </c>
      <c r="Q3252" s="40" t="str">
        <f>IF(OR(T3252=0,RIGHT(T3252,1)=$W$1),"",COUNTIF($T$3:T3252,T3252))</f>
        <v/>
      </c>
      <c r="S3252" s="6">
        <f t="shared" si="508"/>
        <v>0</v>
      </c>
      <c r="T3252" s="36">
        <f t="shared" si="509"/>
        <v>0</v>
      </c>
      <c r="V3252" s="6">
        <f t="shared" si="510"/>
        <v>0</v>
      </c>
      <c r="Y3252" s="8">
        <f t="shared" si="511"/>
        <v>46023</v>
      </c>
    </row>
    <row r="3253" spans="2:25" ht="18.75" x14ac:dyDescent="0.3">
      <c r="B3253" s="6">
        <f t="shared" si="503"/>
        <v>0</v>
      </c>
      <c r="C3253" s="6">
        <f t="shared" si="504"/>
        <v>0</v>
      </c>
      <c r="D3253" s="6" t="str">
        <f t="shared" si="505"/>
        <v/>
      </c>
      <c r="E3253" s="35" t="str">
        <f t="shared" si="502"/>
        <v/>
      </c>
      <c r="F3253" s="31"/>
      <c r="G3253" s="29"/>
      <c r="H3253" s="78" t="str">
        <f t="shared" si="506"/>
        <v/>
      </c>
      <c r="I3253" s="25"/>
      <c r="J3253" s="25"/>
      <c r="K3253" s="26"/>
      <c r="L3253" s="26"/>
      <c r="M3253" s="37"/>
      <c r="N3253" s="27"/>
      <c r="O3253" s="30"/>
      <c r="P3253" s="39" t="str">
        <f t="shared" si="507"/>
        <v/>
      </c>
      <c r="Q3253" s="40" t="str">
        <f>IF(OR(T3253=0,RIGHT(T3253,1)=$W$1),"",COUNTIF($T$3:T3253,T3253))</f>
        <v/>
      </c>
      <c r="S3253" s="6">
        <f t="shared" si="508"/>
        <v>0</v>
      </c>
      <c r="T3253" s="36">
        <f t="shared" si="509"/>
        <v>0</v>
      </c>
      <c r="V3253" s="6">
        <f t="shared" si="510"/>
        <v>0</v>
      </c>
      <c r="Y3253" s="8">
        <f t="shared" si="511"/>
        <v>46023</v>
      </c>
    </row>
    <row r="3254" spans="2:25" ht="18.75" x14ac:dyDescent="0.3">
      <c r="B3254" s="6">
        <f t="shared" si="503"/>
        <v>0</v>
      </c>
      <c r="C3254" s="6">
        <f t="shared" si="504"/>
        <v>0</v>
      </c>
      <c r="D3254" s="6" t="str">
        <f t="shared" si="505"/>
        <v/>
      </c>
      <c r="E3254" s="35" t="str">
        <f t="shared" si="502"/>
        <v/>
      </c>
      <c r="F3254" s="31"/>
      <c r="G3254" s="29"/>
      <c r="H3254" s="78" t="str">
        <f t="shared" si="506"/>
        <v/>
      </c>
      <c r="I3254" s="25"/>
      <c r="J3254" s="25"/>
      <c r="K3254" s="26"/>
      <c r="L3254" s="26"/>
      <c r="M3254" s="37"/>
      <c r="N3254" s="27"/>
      <c r="O3254" s="30"/>
      <c r="P3254" s="39" t="str">
        <f t="shared" si="507"/>
        <v/>
      </c>
      <c r="Q3254" s="40" t="str">
        <f>IF(OR(T3254=0,RIGHT(T3254,1)=$W$1),"",COUNTIF($T$3:T3254,T3254))</f>
        <v/>
      </c>
      <c r="S3254" s="6">
        <f t="shared" si="508"/>
        <v>0</v>
      </c>
      <c r="T3254" s="36">
        <f t="shared" si="509"/>
        <v>0</v>
      </c>
      <c r="V3254" s="6">
        <f t="shared" si="510"/>
        <v>0</v>
      </c>
      <c r="Y3254" s="8">
        <f t="shared" si="511"/>
        <v>46023</v>
      </c>
    </row>
    <row r="3255" spans="2:25" ht="18.75" x14ac:dyDescent="0.3">
      <c r="B3255" s="6">
        <f t="shared" si="503"/>
        <v>0</v>
      </c>
      <c r="C3255" s="6">
        <f t="shared" si="504"/>
        <v>0</v>
      </c>
      <c r="D3255" s="6" t="str">
        <f t="shared" si="505"/>
        <v/>
      </c>
      <c r="E3255" s="35" t="str">
        <f t="shared" si="502"/>
        <v/>
      </c>
      <c r="F3255" s="31"/>
      <c r="G3255" s="29"/>
      <c r="H3255" s="78" t="str">
        <f t="shared" si="506"/>
        <v/>
      </c>
      <c r="I3255" s="25"/>
      <c r="J3255" s="25"/>
      <c r="K3255" s="26"/>
      <c r="L3255" s="26"/>
      <c r="M3255" s="37"/>
      <c r="N3255" s="27"/>
      <c r="O3255" s="30"/>
      <c r="P3255" s="39" t="str">
        <f t="shared" si="507"/>
        <v/>
      </c>
      <c r="Q3255" s="40" t="str">
        <f>IF(OR(T3255=0,RIGHT(T3255,1)=$W$1),"",COUNTIF($T$3:T3255,T3255))</f>
        <v/>
      </c>
      <c r="S3255" s="6">
        <f t="shared" si="508"/>
        <v>0</v>
      </c>
      <c r="T3255" s="36">
        <f t="shared" si="509"/>
        <v>0</v>
      </c>
      <c r="V3255" s="6">
        <f t="shared" si="510"/>
        <v>0</v>
      </c>
      <c r="Y3255" s="8">
        <f t="shared" si="511"/>
        <v>46023</v>
      </c>
    </row>
    <row r="3256" spans="2:25" ht="18.75" x14ac:dyDescent="0.3">
      <c r="B3256" s="6">
        <f t="shared" si="503"/>
        <v>0</v>
      </c>
      <c r="C3256" s="6">
        <f t="shared" si="504"/>
        <v>0</v>
      </c>
      <c r="D3256" s="6" t="str">
        <f t="shared" si="505"/>
        <v/>
      </c>
      <c r="E3256" s="35" t="str">
        <f t="shared" si="502"/>
        <v/>
      </c>
      <c r="F3256" s="31"/>
      <c r="G3256" s="29"/>
      <c r="H3256" s="78" t="str">
        <f t="shared" si="506"/>
        <v/>
      </c>
      <c r="I3256" s="25"/>
      <c r="J3256" s="25"/>
      <c r="K3256" s="26"/>
      <c r="L3256" s="26"/>
      <c r="M3256" s="37"/>
      <c r="N3256" s="27"/>
      <c r="O3256" s="30"/>
      <c r="P3256" s="39" t="str">
        <f t="shared" si="507"/>
        <v/>
      </c>
      <c r="Q3256" s="40" t="str">
        <f>IF(OR(T3256=0,RIGHT(T3256,1)=$W$1),"",COUNTIF($T$3:T3256,T3256))</f>
        <v/>
      </c>
      <c r="S3256" s="6">
        <f t="shared" si="508"/>
        <v>0</v>
      </c>
      <c r="T3256" s="36">
        <f t="shared" si="509"/>
        <v>0</v>
      </c>
      <c r="V3256" s="6">
        <f t="shared" si="510"/>
        <v>0</v>
      </c>
      <c r="Y3256" s="8">
        <f t="shared" si="511"/>
        <v>46023</v>
      </c>
    </row>
    <row r="3257" spans="2:25" ht="18.75" x14ac:dyDescent="0.3">
      <c r="B3257" s="6">
        <f t="shared" si="503"/>
        <v>0</v>
      </c>
      <c r="C3257" s="6">
        <f t="shared" si="504"/>
        <v>0</v>
      </c>
      <c r="D3257" s="6" t="str">
        <f t="shared" si="505"/>
        <v/>
      </c>
      <c r="E3257" s="35" t="str">
        <f t="shared" si="502"/>
        <v/>
      </c>
      <c r="F3257" s="31"/>
      <c r="G3257" s="29"/>
      <c r="H3257" s="78" t="str">
        <f t="shared" si="506"/>
        <v/>
      </c>
      <c r="I3257" s="25"/>
      <c r="J3257" s="25"/>
      <c r="K3257" s="26"/>
      <c r="L3257" s="26"/>
      <c r="M3257" s="37"/>
      <c r="N3257" s="27"/>
      <c r="O3257" s="30"/>
      <c r="P3257" s="39" t="str">
        <f t="shared" si="507"/>
        <v/>
      </c>
      <c r="Q3257" s="40" t="str">
        <f>IF(OR(T3257=0,RIGHT(T3257,1)=$W$1),"",COUNTIF($T$3:T3257,T3257))</f>
        <v/>
      </c>
      <c r="S3257" s="6">
        <f t="shared" si="508"/>
        <v>0</v>
      </c>
      <c r="T3257" s="36">
        <f t="shared" si="509"/>
        <v>0</v>
      </c>
      <c r="V3257" s="6">
        <f t="shared" si="510"/>
        <v>0</v>
      </c>
      <c r="Y3257" s="8">
        <f t="shared" si="511"/>
        <v>46023</v>
      </c>
    </row>
    <row r="3258" spans="2:25" ht="18.75" x14ac:dyDescent="0.3">
      <c r="B3258" s="6">
        <f t="shared" si="503"/>
        <v>0</v>
      </c>
      <c r="C3258" s="6">
        <f t="shared" si="504"/>
        <v>0</v>
      </c>
      <c r="D3258" s="6" t="str">
        <f t="shared" si="505"/>
        <v/>
      </c>
      <c r="E3258" s="35" t="str">
        <f t="shared" si="502"/>
        <v/>
      </c>
      <c r="F3258" s="31"/>
      <c r="G3258" s="29"/>
      <c r="H3258" s="78" t="str">
        <f t="shared" si="506"/>
        <v/>
      </c>
      <c r="I3258" s="25"/>
      <c r="J3258" s="25"/>
      <c r="K3258" s="26"/>
      <c r="L3258" s="26"/>
      <c r="M3258" s="37"/>
      <c r="N3258" s="27"/>
      <c r="O3258" s="30"/>
      <c r="P3258" s="39" t="str">
        <f t="shared" si="507"/>
        <v/>
      </c>
      <c r="Q3258" s="40" t="str">
        <f>IF(OR(T3258=0,RIGHT(T3258,1)=$W$1),"",COUNTIF($T$3:T3258,T3258))</f>
        <v/>
      </c>
      <c r="S3258" s="6">
        <f t="shared" si="508"/>
        <v>0</v>
      </c>
      <c r="T3258" s="36">
        <f t="shared" si="509"/>
        <v>0</v>
      </c>
      <c r="V3258" s="6">
        <f t="shared" si="510"/>
        <v>0</v>
      </c>
      <c r="Y3258" s="8">
        <f t="shared" si="511"/>
        <v>46023</v>
      </c>
    </row>
    <row r="3259" spans="2:25" ht="18.75" x14ac:dyDescent="0.3">
      <c r="B3259" s="6">
        <f t="shared" si="503"/>
        <v>0</v>
      </c>
      <c r="C3259" s="6">
        <f t="shared" si="504"/>
        <v>0</v>
      </c>
      <c r="D3259" s="6" t="str">
        <f t="shared" si="505"/>
        <v/>
      </c>
      <c r="E3259" s="35" t="str">
        <f t="shared" si="502"/>
        <v/>
      </c>
      <c r="F3259" s="31"/>
      <c r="G3259" s="29"/>
      <c r="H3259" s="78" t="str">
        <f t="shared" si="506"/>
        <v/>
      </c>
      <c r="I3259" s="25"/>
      <c r="J3259" s="25"/>
      <c r="K3259" s="26"/>
      <c r="L3259" s="26"/>
      <c r="M3259" s="37"/>
      <c r="N3259" s="27"/>
      <c r="O3259" s="30"/>
      <c r="P3259" s="39" t="str">
        <f t="shared" si="507"/>
        <v/>
      </c>
      <c r="Q3259" s="40" t="str">
        <f>IF(OR(T3259=0,RIGHT(T3259,1)=$W$1),"",COUNTIF($T$3:T3259,T3259))</f>
        <v/>
      </c>
      <c r="S3259" s="6">
        <f t="shared" si="508"/>
        <v>0</v>
      </c>
      <c r="T3259" s="36">
        <f t="shared" si="509"/>
        <v>0</v>
      </c>
      <c r="V3259" s="6">
        <f t="shared" si="510"/>
        <v>0</v>
      </c>
      <c r="Y3259" s="8">
        <f t="shared" si="511"/>
        <v>46023</v>
      </c>
    </row>
    <row r="3260" spans="2:25" ht="18.75" x14ac:dyDescent="0.3">
      <c r="B3260" s="6">
        <f t="shared" si="503"/>
        <v>0</v>
      </c>
      <c r="C3260" s="6">
        <f t="shared" si="504"/>
        <v>0</v>
      </c>
      <c r="D3260" s="6" t="str">
        <f t="shared" si="505"/>
        <v/>
      </c>
      <c r="E3260" s="35" t="str">
        <f t="shared" si="502"/>
        <v/>
      </c>
      <c r="F3260" s="31"/>
      <c r="G3260" s="29"/>
      <c r="H3260" s="78" t="str">
        <f t="shared" si="506"/>
        <v/>
      </c>
      <c r="I3260" s="25"/>
      <c r="J3260" s="25"/>
      <c r="K3260" s="26"/>
      <c r="L3260" s="26"/>
      <c r="M3260" s="37"/>
      <c r="N3260" s="27"/>
      <c r="O3260" s="30"/>
      <c r="P3260" s="39" t="str">
        <f t="shared" si="507"/>
        <v/>
      </c>
      <c r="Q3260" s="40" t="str">
        <f>IF(OR(T3260=0,RIGHT(T3260,1)=$W$1),"",COUNTIF($T$3:T3260,T3260))</f>
        <v/>
      </c>
      <c r="S3260" s="6">
        <f t="shared" si="508"/>
        <v>0</v>
      </c>
      <c r="T3260" s="36">
        <f t="shared" si="509"/>
        <v>0</v>
      </c>
      <c r="V3260" s="6">
        <f t="shared" si="510"/>
        <v>0</v>
      </c>
      <c r="Y3260" s="8">
        <f t="shared" si="511"/>
        <v>46023</v>
      </c>
    </row>
    <row r="3261" spans="2:25" ht="18.75" x14ac:dyDescent="0.3">
      <c r="B3261" s="6">
        <f t="shared" si="503"/>
        <v>0</v>
      </c>
      <c r="C3261" s="6">
        <f t="shared" si="504"/>
        <v>0</v>
      </c>
      <c r="D3261" s="6" t="str">
        <f t="shared" si="505"/>
        <v/>
      </c>
      <c r="E3261" s="35" t="str">
        <f t="shared" si="502"/>
        <v/>
      </c>
      <c r="F3261" s="31"/>
      <c r="G3261" s="29"/>
      <c r="H3261" s="78" t="str">
        <f t="shared" si="506"/>
        <v/>
      </c>
      <c r="I3261" s="25"/>
      <c r="J3261" s="25"/>
      <c r="K3261" s="26"/>
      <c r="L3261" s="26"/>
      <c r="M3261" s="37"/>
      <c r="N3261" s="27"/>
      <c r="O3261" s="30"/>
      <c r="P3261" s="39" t="str">
        <f t="shared" si="507"/>
        <v/>
      </c>
      <c r="Q3261" s="40" t="str">
        <f>IF(OR(T3261=0,RIGHT(T3261,1)=$W$1),"",COUNTIF($T$3:T3261,T3261))</f>
        <v/>
      </c>
      <c r="S3261" s="6">
        <f t="shared" si="508"/>
        <v>0</v>
      </c>
      <c r="T3261" s="36">
        <f t="shared" si="509"/>
        <v>0</v>
      </c>
      <c r="V3261" s="6">
        <f t="shared" si="510"/>
        <v>0</v>
      </c>
      <c r="Y3261" s="8">
        <f t="shared" si="511"/>
        <v>46023</v>
      </c>
    </row>
    <row r="3262" spans="2:25" ht="18.75" x14ac:dyDescent="0.3">
      <c r="B3262" s="6">
        <f t="shared" si="503"/>
        <v>0</v>
      </c>
      <c r="C3262" s="6">
        <f t="shared" si="504"/>
        <v>0</v>
      </c>
      <c r="D3262" s="6" t="str">
        <f t="shared" si="505"/>
        <v/>
      </c>
      <c r="E3262" s="35" t="str">
        <f t="shared" si="502"/>
        <v/>
      </c>
      <c r="F3262" s="31"/>
      <c r="G3262" s="29"/>
      <c r="H3262" s="78" t="str">
        <f t="shared" si="506"/>
        <v/>
      </c>
      <c r="I3262" s="25"/>
      <c r="J3262" s="25"/>
      <c r="K3262" s="26"/>
      <c r="L3262" s="26"/>
      <c r="M3262" s="37"/>
      <c r="N3262" s="27"/>
      <c r="O3262" s="30"/>
      <c r="P3262" s="39" t="str">
        <f t="shared" si="507"/>
        <v/>
      </c>
      <c r="Q3262" s="40" t="str">
        <f>IF(OR(T3262=0,RIGHT(T3262,1)=$W$1),"",COUNTIF($T$3:T3262,T3262))</f>
        <v/>
      </c>
      <c r="S3262" s="6">
        <f t="shared" si="508"/>
        <v>0</v>
      </c>
      <c r="T3262" s="36">
        <f t="shared" si="509"/>
        <v>0</v>
      </c>
      <c r="V3262" s="6">
        <f t="shared" si="510"/>
        <v>0</v>
      </c>
      <c r="Y3262" s="8">
        <f t="shared" si="511"/>
        <v>46023</v>
      </c>
    </row>
    <row r="3263" spans="2:25" ht="18.75" x14ac:dyDescent="0.3">
      <c r="B3263" s="6">
        <f t="shared" si="503"/>
        <v>0</v>
      </c>
      <c r="C3263" s="6">
        <f t="shared" si="504"/>
        <v>0</v>
      </c>
      <c r="D3263" s="6" t="str">
        <f t="shared" si="505"/>
        <v/>
      </c>
      <c r="E3263" s="35" t="str">
        <f t="shared" si="502"/>
        <v/>
      </c>
      <c r="F3263" s="31"/>
      <c r="G3263" s="29"/>
      <c r="H3263" s="78" t="str">
        <f t="shared" si="506"/>
        <v/>
      </c>
      <c r="I3263" s="25"/>
      <c r="J3263" s="25"/>
      <c r="K3263" s="26"/>
      <c r="L3263" s="26"/>
      <c r="M3263" s="37"/>
      <c r="N3263" s="27"/>
      <c r="O3263" s="30"/>
      <c r="P3263" s="39" t="str">
        <f t="shared" si="507"/>
        <v/>
      </c>
      <c r="Q3263" s="40" t="str">
        <f>IF(OR(T3263=0,RIGHT(T3263,1)=$W$1),"",COUNTIF($T$3:T3263,T3263))</f>
        <v/>
      </c>
      <c r="S3263" s="6">
        <f t="shared" si="508"/>
        <v>0</v>
      </c>
      <c r="T3263" s="36">
        <f t="shared" si="509"/>
        <v>0</v>
      </c>
      <c r="V3263" s="6">
        <f t="shared" si="510"/>
        <v>0</v>
      </c>
      <c r="Y3263" s="8">
        <f t="shared" si="511"/>
        <v>46023</v>
      </c>
    </row>
    <row r="3264" spans="2:25" ht="18.75" x14ac:dyDescent="0.3">
      <c r="B3264" s="6">
        <f t="shared" si="503"/>
        <v>0</v>
      </c>
      <c r="C3264" s="6">
        <f t="shared" si="504"/>
        <v>0</v>
      </c>
      <c r="D3264" s="6" t="str">
        <f t="shared" si="505"/>
        <v/>
      </c>
      <c r="E3264" s="35" t="str">
        <f t="shared" si="502"/>
        <v/>
      </c>
      <c r="F3264" s="31"/>
      <c r="G3264" s="29"/>
      <c r="H3264" s="78" t="str">
        <f t="shared" si="506"/>
        <v/>
      </c>
      <c r="I3264" s="25"/>
      <c r="J3264" s="25"/>
      <c r="K3264" s="26"/>
      <c r="L3264" s="26"/>
      <c r="M3264" s="37"/>
      <c r="N3264" s="27"/>
      <c r="O3264" s="30"/>
      <c r="P3264" s="39" t="str">
        <f t="shared" si="507"/>
        <v/>
      </c>
      <c r="Q3264" s="40" t="str">
        <f>IF(OR(T3264=0,RIGHT(T3264,1)=$W$1),"",COUNTIF($T$3:T3264,T3264))</f>
        <v/>
      </c>
      <c r="S3264" s="6">
        <f t="shared" si="508"/>
        <v>0</v>
      </c>
      <c r="T3264" s="36">
        <f t="shared" si="509"/>
        <v>0</v>
      </c>
      <c r="V3264" s="6">
        <f t="shared" si="510"/>
        <v>0</v>
      </c>
      <c r="Y3264" s="8">
        <f t="shared" si="511"/>
        <v>46023</v>
      </c>
    </row>
    <row r="3265" spans="2:25" ht="18.75" x14ac:dyDescent="0.3">
      <c r="B3265" s="6">
        <f t="shared" si="503"/>
        <v>0</v>
      </c>
      <c r="C3265" s="6">
        <f t="shared" si="504"/>
        <v>0</v>
      </c>
      <c r="D3265" s="6" t="str">
        <f t="shared" si="505"/>
        <v/>
      </c>
      <c r="E3265" s="35" t="str">
        <f t="shared" si="502"/>
        <v/>
      </c>
      <c r="F3265" s="31"/>
      <c r="G3265" s="29"/>
      <c r="H3265" s="78" t="str">
        <f t="shared" si="506"/>
        <v/>
      </c>
      <c r="I3265" s="25"/>
      <c r="J3265" s="25"/>
      <c r="K3265" s="26"/>
      <c r="L3265" s="26"/>
      <c r="M3265" s="37"/>
      <c r="N3265" s="27"/>
      <c r="O3265" s="30"/>
      <c r="P3265" s="39" t="str">
        <f t="shared" si="507"/>
        <v/>
      </c>
      <c r="Q3265" s="40" t="str">
        <f>IF(OR(T3265=0,RIGHT(T3265,1)=$W$1),"",COUNTIF($T$3:T3265,T3265))</f>
        <v/>
      </c>
      <c r="S3265" s="6">
        <f t="shared" si="508"/>
        <v>0</v>
      </c>
      <c r="T3265" s="36">
        <f t="shared" si="509"/>
        <v>0</v>
      </c>
      <c r="V3265" s="6">
        <f t="shared" si="510"/>
        <v>0</v>
      </c>
      <c r="Y3265" s="8">
        <f t="shared" si="511"/>
        <v>46023</v>
      </c>
    </row>
    <row r="3266" spans="2:25" ht="18.75" x14ac:dyDescent="0.3">
      <c r="B3266" s="6">
        <f t="shared" si="503"/>
        <v>0</v>
      </c>
      <c r="C3266" s="6">
        <f t="shared" si="504"/>
        <v>0</v>
      </c>
      <c r="D3266" s="6" t="str">
        <f t="shared" si="505"/>
        <v/>
      </c>
      <c r="E3266" s="35" t="str">
        <f t="shared" si="502"/>
        <v/>
      </c>
      <c r="F3266" s="31"/>
      <c r="G3266" s="29"/>
      <c r="H3266" s="78" t="str">
        <f t="shared" si="506"/>
        <v/>
      </c>
      <c r="I3266" s="25"/>
      <c r="J3266" s="25"/>
      <c r="K3266" s="26"/>
      <c r="L3266" s="26"/>
      <c r="M3266" s="37"/>
      <c r="N3266" s="27"/>
      <c r="O3266" s="30"/>
      <c r="P3266" s="39" t="str">
        <f t="shared" si="507"/>
        <v/>
      </c>
      <c r="Q3266" s="40" t="str">
        <f>IF(OR(T3266=0,RIGHT(T3266,1)=$W$1),"",COUNTIF($T$3:T3266,T3266))</f>
        <v/>
      </c>
      <c r="S3266" s="6">
        <f t="shared" si="508"/>
        <v>0</v>
      </c>
      <c r="T3266" s="36">
        <f t="shared" si="509"/>
        <v>0</v>
      </c>
      <c r="V3266" s="6">
        <f t="shared" si="510"/>
        <v>0</v>
      </c>
      <c r="Y3266" s="8">
        <f t="shared" si="511"/>
        <v>46023</v>
      </c>
    </row>
    <row r="3267" spans="2:25" ht="18.75" x14ac:dyDescent="0.3">
      <c r="B3267" s="6">
        <f t="shared" si="503"/>
        <v>0</v>
      </c>
      <c r="C3267" s="6">
        <f t="shared" si="504"/>
        <v>0</v>
      </c>
      <c r="D3267" s="6" t="str">
        <f t="shared" si="505"/>
        <v/>
      </c>
      <c r="E3267" s="35" t="str">
        <f t="shared" ref="E3267:E3330" si="512">IF(D3267&lt;&gt;"",D3267&amp;" - "&amp;YEAR(F3267),"")</f>
        <v/>
      </c>
      <c r="F3267" s="31"/>
      <c r="G3267" s="29"/>
      <c r="H3267" s="78" t="str">
        <f t="shared" si="506"/>
        <v/>
      </c>
      <c r="I3267" s="25"/>
      <c r="J3267" s="25"/>
      <c r="K3267" s="26"/>
      <c r="L3267" s="26"/>
      <c r="M3267" s="37"/>
      <c r="N3267" s="27"/>
      <c r="O3267" s="30"/>
      <c r="P3267" s="39" t="str">
        <f t="shared" si="507"/>
        <v/>
      </c>
      <c r="Q3267" s="40" t="str">
        <f>IF(OR(T3267=0,RIGHT(T3267,1)=$W$1),"",COUNTIF($T$3:T3267,T3267))</f>
        <v/>
      </c>
      <c r="S3267" s="6">
        <f t="shared" si="508"/>
        <v>0</v>
      </c>
      <c r="T3267" s="36">
        <f t="shared" si="509"/>
        <v>0</v>
      </c>
      <c r="V3267" s="6">
        <f t="shared" si="510"/>
        <v>0</v>
      </c>
      <c r="Y3267" s="8">
        <f t="shared" si="511"/>
        <v>46023</v>
      </c>
    </row>
    <row r="3268" spans="2:25" ht="18.75" x14ac:dyDescent="0.3">
      <c r="B3268" s="6">
        <f t="shared" ref="B3268:B3331" si="513">IF($B$1=YEAR(F3268),B3267+1,B3267)</f>
        <v>0</v>
      </c>
      <c r="C3268" s="6">
        <f t="shared" ref="C3268:C3331" si="514">IF(AND($C$1=K3268,$Y$1=YEAR(F3268)),C3267+1,C3267)</f>
        <v>0</v>
      </c>
      <c r="D3268" s="6" t="str">
        <f t="shared" ref="D3268:D3331" si="515">IF(F3268&lt;&gt;0,IF(YEAR(F3268)&lt;&gt;YEAR(F3267),1,IF(M3268=$AI$1,D3267,D3267+1)),"")</f>
        <v/>
      </c>
      <c r="E3268" s="35" t="str">
        <f t="shared" si="512"/>
        <v/>
      </c>
      <c r="F3268" s="31"/>
      <c r="G3268" s="29"/>
      <c r="H3268" s="78" t="str">
        <f t="shared" ref="H3268:H3331" si="516">IF(G3268&lt;&gt;"",F3268,"")</f>
        <v/>
      </c>
      <c r="I3268" s="25"/>
      <c r="J3268" s="25"/>
      <c r="K3268" s="26"/>
      <c r="L3268" s="26"/>
      <c r="M3268" s="37"/>
      <c r="N3268" s="27"/>
      <c r="O3268" s="30"/>
      <c r="P3268" s="39" t="str">
        <f t="shared" ref="P3268:P3331" si="517">IF(OR(T3268=0,RIGHT(T3268,1)=$W$1),"",VLOOKUP(K3268,$AD$1:$AK$15,5,FALSE))</f>
        <v/>
      </c>
      <c r="Q3268" s="40" t="str">
        <f>IF(OR(T3268=0,RIGHT(T3268,1)=$W$1),"",COUNTIF($T$3:T3268,T3268))</f>
        <v/>
      </c>
      <c r="S3268" s="6">
        <f t="shared" ref="S3268:S3331" si="518">IF(AND($C$1=K3268,$Y$1=YEAR(F3268)),C3268,0)</f>
        <v>0</v>
      </c>
      <c r="T3268" s="36">
        <f t="shared" ref="T3268:T3331" si="519">IF(F3268=0,0,YEAR(F3268)&amp;VLOOKUP(K3268,$AD$1:$AE$15,2,FALSE))</f>
        <v>0</v>
      </c>
      <c r="V3268" s="6">
        <f t="shared" ref="V3268:V3331" si="520">IF(AND(YEAR(F3268)=$Y$1,K3268=$C$1,L3268&amp;$V$1&lt;&gt;$V$1),L3268,IF(AND(YEAR(F3268)=$Y$1,K3268=$C$1),1,0))</f>
        <v>0</v>
      </c>
      <c r="Y3268" s="8">
        <f t="shared" ref="Y3268:Y3331" si="521">IF(M3268&lt;&gt;$AI$1,$Y$2,F3267)</f>
        <v>46023</v>
      </c>
    </row>
    <row r="3269" spans="2:25" ht="18.75" x14ac:dyDescent="0.3">
      <c r="B3269" s="6">
        <f t="shared" si="513"/>
        <v>0</v>
      </c>
      <c r="C3269" s="6">
        <f t="shared" si="514"/>
        <v>0</v>
      </c>
      <c r="D3269" s="6" t="str">
        <f t="shared" si="515"/>
        <v/>
      </c>
      <c r="E3269" s="35" t="str">
        <f t="shared" si="512"/>
        <v/>
      </c>
      <c r="F3269" s="31"/>
      <c r="G3269" s="29"/>
      <c r="H3269" s="78" t="str">
        <f t="shared" si="516"/>
        <v/>
      </c>
      <c r="I3269" s="25"/>
      <c r="J3269" s="25"/>
      <c r="K3269" s="26"/>
      <c r="L3269" s="26"/>
      <c r="M3269" s="37"/>
      <c r="N3269" s="27"/>
      <c r="O3269" s="30"/>
      <c r="P3269" s="39" t="str">
        <f t="shared" si="517"/>
        <v/>
      </c>
      <c r="Q3269" s="40" t="str">
        <f>IF(OR(T3269=0,RIGHT(T3269,1)=$W$1),"",COUNTIF($T$3:T3269,T3269))</f>
        <v/>
      </c>
      <c r="S3269" s="6">
        <f t="shared" si="518"/>
        <v>0</v>
      </c>
      <c r="T3269" s="36">
        <f t="shared" si="519"/>
        <v>0</v>
      </c>
      <c r="V3269" s="6">
        <f t="shared" si="520"/>
        <v>0</v>
      </c>
      <c r="Y3269" s="8">
        <f t="shared" si="521"/>
        <v>46023</v>
      </c>
    </row>
    <row r="3270" spans="2:25" ht="18.75" x14ac:dyDescent="0.3">
      <c r="B3270" s="6">
        <f t="shared" si="513"/>
        <v>0</v>
      </c>
      <c r="C3270" s="6">
        <f t="shared" si="514"/>
        <v>0</v>
      </c>
      <c r="D3270" s="6" t="str">
        <f t="shared" si="515"/>
        <v/>
      </c>
      <c r="E3270" s="35" t="str">
        <f t="shared" si="512"/>
        <v/>
      </c>
      <c r="F3270" s="31"/>
      <c r="G3270" s="29"/>
      <c r="H3270" s="78" t="str">
        <f t="shared" si="516"/>
        <v/>
      </c>
      <c r="I3270" s="25"/>
      <c r="J3270" s="25"/>
      <c r="K3270" s="26"/>
      <c r="L3270" s="26"/>
      <c r="M3270" s="37"/>
      <c r="N3270" s="27"/>
      <c r="O3270" s="30"/>
      <c r="P3270" s="39" t="str">
        <f t="shared" si="517"/>
        <v/>
      </c>
      <c r="Q3270" s="40" t="str">
        <f>IF(OR(T3270=0,RIGHT(T3270,1)=$W$1),"",COUNTIF($T$3:T3270,T3270))</f>
        <v/>
      </c>
      <c r="S3270" s="6">
        <f t="shared" si="518"/>
        <v>0</v>
      </c>
      <c r="T3270" s="36">
        <f t="shared" si="519"/>
        <v>0</v>
      </c>
      <c r="V3270" s="6">
        <f t="shared" si="520"/>
        <v>0</v>
      </c>
      <c r="Y3270" s="8">
        <f t="shared" si="521"/>
        <v>46023</v>
      </c>
    </row>
    <row r="3271" spans="2:25" ht="18.75" x14ac:dyDescent="0.3">
      <c r="B3271" s="6">
        <f t="shared" si="513"/>
        <v>0</v>
      </c>
      <c r="C3271" s="6">
        <f t="shared" si="514"/>
        <v>0</v>
      </c>
      <c r="D3271" s="6" t="str">
        <f t="shared" si="515"/>
        <v/>
      </c>
      <c r="E3271" s="35" t="str">
        <f t="shared" si="512"/>
        <v/>
      </c>
      <c r="F3271" s="31"/>
      <c r="G3271" s="29"/>
      <c r="H3271" s="78" t="str">
        <f t="shared" si="516"/>
        <v/>
      </c>
      <c r="I3271" s="25"/>
      <c r="J3271" s="25"/>
      <c r="K3271" s="26"/>
      <c r="L3271" s="26"/>
      <c r="M3271" s="37"/>
      <c r="N3271" s="27"/>
      <c r="O3271" s="30"/>
      <c r="P3271" s="39" t="str">
        <f t="shared" si="517"/>
        <v/>
      </c>
      <c r="Q3271" s="40" t="str">
        <f>IF(OR(T3271=0,RIGHT(T3271,1)=$W$1),"",COUNTIF($T$3:T3271,T3271))</f>
        <v/>
      </c>
      <c r="S3271" s="6">
        <f t="shared" si="518"/>
        <v>0</v>
      </c>
      <c r="T3271" s="36">
        <f t="shared" si="519"/>
        <v>0</v>
      </c>
      <c r="V3271" s="6">
        <f t="shared" si="520"/>
        <v>0</v>
      </c>
      <c r="Y3271" s="8">
        <f t="shared" si="521"/>
        <v>46023</v>
      </c>
    </row>
    <row r="3272" spans="2:25" ht="18.75" x14ac:dyDescent="0.3">
      <c r="B3272" s="6">
        <f t="shared" si="513"/>
        <v>0</v>
      </c>
      <c r="C3272" s="6">
        <f t="shared" si="514"/>
        <v>0</v>
      </c>
      <c r="D3272" s="6" t="str">
        <f t="shared" si="515"/>
        <v/>
      </c>
      <c r="E3272" s="35" t="str">
        <f t="shared" si="512"/>
        <v/>
      </c>
      <c r="F3272" s="31"/>
      <c r="G3272" s="29"/>
      <c r="H3272" s="78" t="str">
        <f t="shared" si="516"/>
        <v/>
      </c>
      <c r="I3272" s="25"/>
      <c r="J3272" s="25"/>
      <c r="K3272" s="26"/>
      <c r="L3272" s="26"/>
      <c r="M3272" s="37"/>
      <c r="N3272" s="27"/>
      <c r="O3272" s="30"/>
      <c r="P3272" s="39" t="str">
        <f t="shared" si="517"/>
        <v/>
      </c>
      <c r="Q3272" s="40" t="str">
        <f>IF(OR(T3272=0,RIGHT(T3272,1)=$W$1),"",COUNTIF($T$3:T3272,T3272))</f>
        <v/>
      </c>
      <c r="S3272" s="6">
        <f t="shared" si="518"/>
        <v>0</v>
      </c>
      <c r="T3272" s="36">
        <f t="shared" si="519"/>
        <v>0</v>
      </c>
      <c r="V3272" s="6">
        <f t="shared" si="520"/>
        <v>0</v>
      </c>
      <c r="Y3272" s="8">
        <f t="shared" si="521"/>
        <v>46023</v>
      </c>
    </row>
    <row r="3273" spans="2:25" ht="18.75" x14ac:dyDescent="0.3">
      <c r="B3273" s="6">
        <f t="shared" si="513"/>
        <v>0</v>
      </c>
      <c r="C3273" s="6">
        <f t="shared" si="514"/>
        <v>0</v>
      </c>
      <c r="D3273" s="6" t="str">
        <f t="shared" si="515"/>
        <v/>
      </c>
      <c r="E3273" s="35" t="str">
        <f t="shared" si="512"/>
        <v/>
      </c>
      <c r="F3273" s="31"/>
      <c r="G3273" s="29"/>
      <c r="H3273" s="78" t="str">
        <f t="shared" si="516"/>
        <v/>
      </c>
      <c r="I3273" s="25"/>
      <c r="J3273" s="25"/>
      <c r="K3273" s="26"/>
      <c r="L3273" s="26"/>
      <c r="M3273" s="37"/>
      <c r="N3273" s="27"/>
      <c r="O3273" s="30"/>
      <c r="P3273" s="39" t="str">
        <f t="shared" si="517"/>
        <v/>
      </c>
      <c r="Q3273" s="40" t="str">
        <f>IF(OR(T3273=0,RIGHT(T3273,1)=$W$1),"",COUNTIF($T$3:T3273,T3273))</f>
        <v/>
      </c>
      <c r="S3273" s="6">
        <f t="shared" si="518"/>
        <v>0</v>
      </c>
      <c r="T3273" s="36">
        <f t="shared" si="519"/>
        <v>0</v>
      </c>
      <c r="V3273" s="6">
        <f t="shared" si="520"/>
        <v>0</v>
      </c>
      <c r="Y3273" s="8">
        <f t="shared" si="521"/>
        <v>46023</v>
      </c>
    </row>
    <row r="3274" spans="2:25" ht="18.75" x14ac:dyDescent="0.3">
      <c r="B3274" s="6">
        <f t="shared" si="513"/>
        <v>0</v>
      </c>
      <c r="C3274" s="6">
        <f t="shared" si="514"/>
        <v>0</v>
      </c>
      <c r="D3274" s="6" t="str">
        <f t="shared" si="515"/>
        <v/>
      </c>
      <c r="E3274" s="35" t="str">
        <f t="shared" si="512"/>
        <v/>
      </c>
      <c r="F3274" s="31"/>
      <c r="G3274" s="29"/>
      <c r="H3274" s="78" t="str">
        <f t="shared" si="516"/>
        <v/>
      </c>
      <c r="I3274" s="25"/>
      <c r="J3274" s="25"/>
      <c r="K3274" s="26"/>
      <c r="L3274" s="26"/>
      <c r="M3274" s="37"/>
      <c r="N3274" s="27"/>
      <c r="O3274" s="30"/>
      <c r="P3274" s="39" t="str">
        <f t="shared" si="517"/>
        <v/>
      </c>
      <c r="Q3274" s="40" t="str">
        <f>IF(OR(T3274=0,RIGHT(T3274,1)=$W$1),"",COUNTIF($T$3:T3274,T3274))</f>
        <v/>
      </c>
      <c r="S3274" s="6">
        <f t="shared" si="518"/>
        <v>0</v>
      </c>
      <c r="T3274" s="36">
        <f t="shared" si="519"/>
        <v>0</v>
      </c>
      <c r="V3274" s="6">
        <f t="shared" si="520"/>
        <v>0</v>
      </c>
      <c r="Y3274" s="8">
        <f t="shared" si="521"/>
        <v>46023</v>
      </c>
    </row>
    <row r="3275" spans="2:25" ht="18.75" x14ac:dyDescent="0.3">
      <c r="B3275" s="6">
        <f t="shared" si="513"/>
        <v>0</v>
      </c>
      <c r="C3275" s="6">
        <f t="shared" si="514"/>
        <v>0</v>
      </c>
      <c r="D3275" s="6" t="str">
        <f t="shared" si="515"/>
        <v/>
      </c>
      <c r="E3275" s="35" t="str">
        <f t="shared" si="512"/>
        <v/>
      </c>
      <c r="F3275" s="31"/>
      <c r="G3275" s="29"/>
      <c r="H3275" s="78" t="str">
        <f t="shared" si="516"/>
        <v/>
      </c>
      <c r="I3275" s="25"/>
      <c r="J3275" s="25"/>
      <c r="K3275" s="26"/>
      <c r="L3275" s="26"/>
      <c r="M3275" s="37"/>
      <c r="N3275" s="27"/>
      <c r="O3275" s="30"/>
      <c r="P3275" s="39" t="str">
        <f t="shared" si="517"/>
        <v/>
      </c>
      <c r="Q3275" s="40" t="str">
        <f>IF(OR(T3275=0,RIGHT(T3275,1)=$W$1),"",COUNTIF($T$3:T3275,T3275))</f>
        <v/>
      </c>
      <c r="S3275" s="6">
        <f t="shared" si="518"/>
        <v>0</v>
      </c>
      <c r="T3275" s="36">
        <f t="shared" si="519"/>
        <v>0</v>
      </c>
      <c r="V3275" s="6">
        <f t="shared" si="520"/>
        <v>0</v>
      </c>
      <c r="Y3275" s="8">
        <f t="shared" si="521"/>
        <v>46023</v>
      </c>
    </row>
    <row r="3276" spans="2:25" ht="18.75" x14ac:dyDescent="0.3">
      <c r="B3276" s="6">
        <f t="shared" si="513"/>
        <v>0</v>
      </c>
      <c r="C3276" s="6">
        <f t="shared" si="514"/>
        <v>0</v>
      </c>
      <c r="D3276" s="6" t="str">
        <f t="shared" si="515"/>
        <v/>
      </c>
      <c r="E3276" s="35" t="str">
        <f t="shared" si="512"/>
        <v/>
      </c>
      <c r="F3276" s="31"/>
      <c r="G3276" s="29"/>
      <c r="H3276" s="78" t="str">
        <f t="shared" si="516"/>
        <v/>
      </c>
      <c r="I3276" s="25"/>
      <c r="J3276" s="25"/>
      <c r="K3276" s="26"/>
      <c r="L3276" s="26"/>
      <c r="M3276" s="37"/>
      <c r="N3276" s="27"/>
      <c r="O3276" s="30"/>
      <c r="P3276" s="39" t="str">
        <f t="shared" si="517"/>
        <v/>
      </c>
      <c r="Q3276" s="40" t="str">
        <f>IF(OR(T3276=0,RIGHT(T3276,1)=$W$1),"",COUNTIF($T$3:T3276,T3276))</f>
        <v/>
      </c>
      <c r="S3276" s="6">
        <f t="shared" si="518"/>
        <v>0</v>
      </c>
      <c r="T3276" s="36">
        <f t="shared" si="519"/>
        <v>0</v>
      </c>
      <c r="V3276" s="6">
        <f t="shared" si="520"/>
        <v>0</v>
      </c>
      <c r="Y3276" s="8">
        <f t="shared" si="521"/>
        <v>46023</v>
      </c>
    </row>
    <row r="3277" spans="2:25" ht="18.75" x14ac:dyDescent="0.3">
      <c r="B3277" s="6">
        <f t="shared" si="513"/>
        <v>0</v>
      </c>
      <c r="C3277" s="6">
        <f t="shared" si="514"/>
        <v>0</v>
      </c>
      <c r="D3277" s="6" t="str">
        <f t="shared" si="515"/>
        <v/>
      </c>
      <c r="E3277" s="35" t="str">
        <f t="shared" si="512"/>
        <v/>
      </c>
      <c r="F3277" s="31"/>
      <c r="G3277" s="29"/>
      <c r="H3277" s="78" t="str">
        <f t="shared" si="516"/>
        <v/>
      </c>
      <c r="I3277" s="25"/>
      <c r="J3277" s="25"/>
      <c r="K3277" s="26"/>
      <c r="L3277" s="26"/>
      <c r="M3277" s="37"/>
      <c r="N3277" s="27"/>
      <c r="O3277" s="30"/>
      <c r="P3277" s="39" t="str">
        <f t="shared" si="517"/>
        <v/>
      </c>
      <c r="Q3277" s="40" t="str">
        <f>IF(OR(T3277=0,RIGHT(T3277,1)=$W$1),"",COUNTIF($T$3:T3277,T3277))</f>
        <v/>
      </c>
      <c r="S3277" s="6">
        <f t="shared" si="518"/>
        <v>0</v>
      </c>
      <c r="T3277" s="36">
        <f t="shared" si="519"/>
        <v>0</v>
      </c>
      <c r="V3277" s="6">
        <f t="shared" si="520"/>
        <v>0</v>
      </c>
      <c r="Y3277" s="8">
        <f t="shared" si="521"/>
        <v>46023</v>
      </c>
    </row>
    <row r="3278" spans="2:25" ht="18.75" x14ac:dyDescent="0.3">
      <c r="B3278" s="6">
        <f t="shared" si="513"/>
        <v>0</v>
      </c>
      <c r="C3278" s="6">
        <f t="shared" si="514"/>
        <v>0</v>
      </c>
      <c r="D3278" s="6" t="str">
        <f t="shared" si="515"/>
        <v/>
      </c>
      <c r="E3278" s="35" t="str">
        <f t="shared" si="512"/>
        <v/>
      </c>
      <c r="F3278" s="31"/>
      <c r="G3278" s="29"/>
      <c r="H3278" s="78" t="str">
        <f t="shared" si="516"/>
        <v/>
      </c>
      <c r="I3278" s="25"/>
      <c r="J3278" s="25"/>
      <c r="K3278" s="26"/>
      <c r="L3278" s="26"/>
      <c r="M3278" s="37"/>
      <c r="N3278" s="27"/>
      <c r="O3278" s="30"/>
      <c r="P3278" s="39" t="str">
        <f t="shared" si="517"/>
        <v/>
      </c>
      <c r="Q3278" s="40" t="str">
        <f>IF(OR(T3278=0,RIGHT(T3278,1)=$W$1),"",COUNTIF($T$3:T3278,T3278))</f>
        <v/>
      </c>
      <c r="S3278" s="6">
        <f t="shared" si="518"/>
        <v>0</v>
      </c>
      <c r="T3278" s="36">
        <f t="shared" si="519"/>
        <v>0</v>
      </c>
      <c r="V3278" s="6">
        <f t="shared" si="520"/>
        <v>0</v>
      </c>
      <c r="Y3278" s="8">
        <f t="shared" si="521"/>
        <v>46023</v>
      </c>
    </row>
    <row r="3279" spans="2:25" ht="18.75" x14ac:dyDescent="0.3">
      <c r="B3279" s="6">
        <f t="shared" si="513"/>
        <v>0</v>
      </c>
      <c r="C3279" s="6">
        <f t="shared" si="514"/>
        <v>0</v>
      </c>
      <c r="D3279" s="6" t="str">
        <f t="shared" si="515"/>
        <v/>
      </c>
      <c r="E3279" s="35" t="str">
        <f t="shared" si="512"/>
        <v/>
      </c>
      <c r="F3279" s="31"/>
      <c r="G3279" s="29"/>
      <c r="H3279" s="78" t="str">
        <f t="shared" si="516"/>
        <v/>
      </c>
      <c r="I3279" s="25"/>
      <c r="J3279" s="25"/>
      <c r="K3279" s="26"/>
      <c r="L3279" s="26"/>
      <c r="M3279" s="37"/>
      <c r="N3279" s="27"/>
      <c r="O3279" s="30"/>
      <c r="P3279" s="39" t="str">
        <f t="shared" si="517"/>
        <v/>
      </c>
      <c r="Q3279" s="40" t="str">
        <f>IF(OR(T3279=0,RIGHT(T3279,1)=$W$1),"",COUNTIF($T$3:T3279,T3279))</f>
        <v/>
      </c>
      <c r="S3279" s="6">
        <f t="shared" si="518"/>
        <v>0</v>
      </c>
      <c r="T3279" s="36">
        <f t="shared" si="519"/>
        <v>0</v>
      </c>
      <c r="V3279" s="6">
        <f t="shared" si="520"/>
        <v>0</v>
      </c>
      <c r="Y3279" s="8">
        <f t="shared" si="521"/>
        <v>46023</v>
      </c>
    </row>
    <row r="3280" spans="2:25" ht="18.75" x14ac:dyDescent="0.3">
      <c r="B3280" s="6">
        <f t="shared" si="513"/>
        <v>0</v>
      </c>
      <c r="C3280" s="6">
        <f t="shared" si="514"/>
        <v>0</v>
      </c>
      <c r="D3280" s="6" t="str">
        <f t="shared" si="515"/>
        <v/>
      </c>
      <c r="E3280" s="35" t="str">
        <f t="shared" si="512"/>
        <v/>
      </c>
      <c r="F3280" s="31"/>
      <c r="G3280" s="29"/>
      <c r="H3280" s="78" t="str">
        <f t="shared" si="516"/>
        <v/>
      </c>
      <c r="I3280" s="25"/>
      <c r="J3280" s="25"/>
      <c r="K3280" s="26"/>
      <c r="L3280" s="26"/>
      <c r="M3280" s="37"/>
      <c r="N3280" s="27"/>
      <c r="O3280" s="30"/>
      <c r="P3280" s="39" t="str">
        <f t="shared" si="517"/>
        <v/>
      </c>
      <c r="Q3280" s="40" t="str">
        <f>IF(OR(T3280=0,RIGHT(T3280,1)=$W$1),"",COUNTIF($T$3:T3280,T3280))</f>
        <v/>
      </c>
      <c r="S3280" s="6">
        <f t="shared" si="518"/>
        <v>0</v>
      </c>
      <c r="T3280" s="36">
        <f t="shared" si="519"/>
        <v>0</v>
      </c>
      <c r="V3280" s="6">
        <f t="shared" si="520"/>
        <v>0</v>
      </c>
      <c r="Y3280" s="8">
        <f t="shared" si="521"/>
        <v>46023</v>
      </c>
    </row>
    <row r="3281" spans="2:25" ht="18.75" x14ac:dyDescent="0.3">
      <c r="B3281" s="6">
        <f t="shared" si="513"/>
        <v>0</v>
      </c>
      <c r="C3281" s="6">
        <f t="shared" si="514"/>
        <v>0</v>
      </c>
      <c r="D3281" s="6" t="str">
        <f t="shared" si="515"/>
        <v/>
      </c>
      <c r="E3281" s="35" t="str">
        <f t="shared" si="512"/>
        <v/>
      </c>
      <c r="F3281" s="31"/>
      <c r="G3281" s="29"/>
      <c r="H3281" s="78" t="str">
        <f t="shared" si="516"/>
        <v/>
      </c>
      <c r="I3281" s="25"/>
      <c r="J3281" s="25"/>
      <c r="K3281" s="26"/>
      <c r="L3281" s="26"/>
      <c r="M3281" s="37"/>
      <c r="N3281" s="27"/>
      <c r="O3281" s="30"/>
      <c r="P3281" s="39" t="str">
        <f t="shared" si="517"/>
        <v/>
      </c>
      <c r="Q3281" s="40" t="str">
        <f>IF(OR(T3281=0,RIGHT(T3281,1)=$W$1),"",COUNTIF($T$3:T3281,T3281))</f>
        <v/>
      </c>
      <c r="S3281" s="6">
        <f t="shared" si="518"/>
        <v>0</v>
      </c>
      <c r="T3281" s="36">
        <f t="shared" si="519"/>
        <v>0</v>
      </c>
      <c r="V3281" s="6">
        <f t="shared" si="520"/>
        <v>0</v>
      </c>
      <c r="Y3281" s="8">
        <f t="shared" si="521"/>
        <v>46023</v>
      </c>
    </row>
    <row r="3282" spans="2:25" ht="18.75" x14ac:dyDescent="0.3">
      <c r="B3282" s="6">
        <f t="shared" si="513"/>
        <v>0</v>
      </c>
      <c r="C3282" s="6">
        <f t="shared" si="514"/>
        <v>0</v>
      </c>
      <c r="D3282" s="6" t="str">
        <f t="shared" si="515"/>
        <v/>
      </c>
      <c r="E3282" s="35" t="str">
        <f t="shared" si="512"/>
        <v/>
      </c>
      <c r="F3282" s="31"/>
      <c r="G3282" s="29"/>
      <c r="H3282" s="78" t="str">
        <f t="shared" si="516"/>
        <v/>
      </c>
      <c r="I3282" s="25"/>
      <c r="J3282" s="25"/>
      <c r="K3282" s="26"/>
      <c r="L3282" s="26"/>
      <c r="M3282" s="37"/>
      <c r="N3282" s="27"/>
      <c r="O3282" s="30"/>
      <c r="P3282" s="39" t="str">
        <f t="shared" si="517"/>
        <v/>
      </c>
      <c r="Q3282" s="40" t="str">
        <f>IF(OR(T3282=0,RIGHT(T3282,1)=$W$1),"",COUNTIF($T$3:T3282,T3282))</f>
        <v/>
      </c>
      <c r="S3282" s="6">
        <f t="shared" si="518"/>
        <v>0</v>
      </c>
      <c r="T3282" s="36">
        <f t="shared" si="519"/>
        <v>0</v>
      </c>
      <c r="V3282" s="6">
        <f t="shared" si="520"/>
        <v>0</v>
      </c>
      <c r="Y3282" s="8">
        <f t="shared" si="521"/>
        <v>46023</v>
      </c>
    </row>
    <row r="3283" spans="2:25" ht="18.75" x14ac:dyDescent="0.3">
      <c r="B3283" s="6">
        <f t="shared" si="513"/>
        <v>0</v>
      </c>
      <c r="C3283" s="6">
        <f t="shared" si="514"/>
        <v>0</v>
      </c>
      <c r="D3283" s="6" t="str">
        <f t="shared" si="515"/>
        <v/>
      </c>
      <c r="E3283" s="35" t="str">
        <f t="shared" si="512"/>
        <v/>
      </c>
      <c r="F3283" s="31"/>
      <c r="G3283" s="29"/>
      <c r="H3283" s="78" t="str">
        <f t="shared" si="516"/>
        <v/>
      </c>
      <c r="I3283" s="25"/>
      <c r="J3283" s="25"/>
      <c r="K3283" s="26"/>
      <c r="L3283" s="26"/>
      <c r="M3283" s="37"/>
      <c r="N3283" s="27"/>
      <c r="O3283" s="30"/>
      <c r="P3283" s="39" t="str">
        <f t="shared" si="517"/>
        <v/>
      </c>
      <c r="Q3283" s="40" t="str">
        <f>IF(OR(T3283=0,RIGHT(T3283,1)=$W$1),"",COUNTIF($T$3:T3283,T3283))</f>
        <v/>
      </c>
      <c r="S3283" s="6">
        <f t="shared" si="518"/>
        <v>0</v>
      </c>
      <c r="T3283" s="36">
        <f t="shared" si="519"/>
        <v>0</v>
      </c>
      <c r="V3283" s="6">
        <f t="shared" si="520"/>
        <v>0</v>
      </c>
      <c r="Y3283" s="8">
        <f t="shared" si="521"/>
        <v>46023</v>
      </c>
    </row>
    <row r="3284" spans="2:25" ht="18.75" x14ac:dyDescent="0.3">
      <c r="B3284" s="6">
        <f t="shared" si="513"/>
        <v>0</v>
      </c>
      <c r="C3284" s="6">
        <f t="shared" si="514"/>
        <v>0</v>
      </c>
      <c r="D3284" s="6" t="str">
        <f t="shared" si="515"/>
        <v/>
      </c>
      <c r="E3284" s="35" t="str">
        <f t="shared" si="512"/>
        <v/>
      </c>
      <c r="F3284" s="31"/>
      <c r="G3284" s="29"/>
      <c r="H3284" s="78" t="str">
        <f t="shared" si="516"/>
        <v/>
      </c>
      <c r="I3284" s="25"/>
      <c r="J3284" s="25"/>
      <c r="K3284" s="26"/>
      <c r="L3284" s="26"/>
      <c r="M3284" s="37"/>
      <c r="N3284" s="27"/>
      <c r="O3284" s="30"/>
      <c r="P3284" s="39" t="str">
        <f t="shared" si="517"/>
        <v/>
      </c>
      <c r="Q3284" s="40" t="str">
        <f>IF(OR(T3284=0,RIGHT(T3284,1)=$W$1),"",COUNTIF($T$3:T3284,T3284))</f>
        <v/>
      </c>
      <c r="S3284" s="6">
        <f t="shared" si="518"/>
        <v>0</v>
      </c>
      <c r="T3284" s="36">
        <f t="shared" si="519"/>
        <v>0</v>
      </c>
      <c r="V3284" s="6">
        <f t="shared" si="520"/>
        <v>0</v>
      </c>
      <c r="Y3284" s="8">
        <f t="shared" si="521"/>
        <v>46023</v>
      </c>
    </row>
    <row r="3285" spans="2:25" ht="18.75" x14ac:dyDescent="0.3">
      <c r="B3285" s="6">
        <f t="shared" si="513"/>
        <v>0</v>
      </c>
      <c r="C3285" s="6">
        <f t="shared" si="514"/>
        <v>0</v>
      </c>
      <c r="D3285" s="6" t="str">
        <f t="shared" si="515"/>
        <v/>
      </c>
      <c r="E3285" s="35" t="str">
        <f t="shared" si="512"/>
        <v/>
      </c>
      <c r="F3285" s="31"/>
      <c r="G3285" s="29"/>
      <c r="H3285" s="78" t="str">
        <f t="shared" si="516"/>
        <v/>
      </c>
      <c r="I3285" s="25"/>
      <c r="J3285" s="25"/>
      <c r="K3285" s="26"/>
      <c r="L3285" s="26"/>
      <c r="M3285" s="37"/>
      <c r="N3285" s="27"/>
      <c r="O3285" s="30"/>
      <c r="P3285" s="39" t="str">
        <f t="shared" si="517"/>
        <v/>
      </c>
      <c r="Q3285" s="40" t="str">
        <f>IF(OR(T3285=0,RIGHT(T3285,1)=$W$1),"",COUNTIF($T$3:T3285,T3285))</f>
        <v/>
      </c>
      <c r="S3285" s="6">
        <f t="shared" si="518"/>
        <v>0</v>
      </c>
      <c r="T3285" s="36">
        <f t="shared" si="519"/>
        <v>0</v>
      </c>
      <c r="V3285" s="6">
        <f t="shared" si="520"/>
        <v>0</v>
      </c>
      <c r="Y3285" s="8">
        <f t="shared" si="521"/>
        <v>46023</v>
      </c>
    </row>
    <row r="3286" spans="2:25" ht="18.75" x14ac:dyDescent="0.3">
      <c r="B3286" s="6">
        <f t="shared" si="513"/>
        <v>0</v>
      </c>
      <c r="C3286" s="6">
        <f t="shared" si="514"/>
        <v>0</v>
      </c>
      <c r="D3286" s="6" t="str">
        <f t="shared" si="515"/>
        <v/>
      </c>
      <c r="E3286" s="35" t="str">
        <f t="shared" si="512"/>
        <v/>
      </c>
      <c r="F3286" s="31"/>
      <c r="G3286" s="29"/>
      <c r="H3286" s="78" t="str">
        <f t="shared" si="516"/>
        <v/>
      </c>
      <c r="I3286" s="25"/>
      <c r="J3286" s="25"/>
      <c r="K3286" s="26"/>
      <c r="L3286" s="26"/>
      <c r="M3286" s="37"/>
      <c r="N3286" s="27"/>
      <c r="O3286" s="30"/>
      <c r="P3286" s="39" t="str">
        <f t="shared" si="517"/>
        <v/>
      </c>
      <c r="Q3286" s="40" t="str">
        <f>IF(OR(T3286=0,RIGHT(T3286,1)=$W$1),"",COUNTIF($T$3:T3286,T3286))</f>
        <v/>
      </c>
      <c r="S3286" s="6">
        <f t="shared" si="518"/>
        <v>0</v>
      </c>
      <c r="T3286" s="36">
        <f t="shared" si="519"/>
        <v>0</v>
      </c>
      <c r="V3286" s="6">
        <f t="shared" si="520"/>
        <v>0</v>
      </c>
      <c r="Y3286" s="8">
        <f t="shared" si="521"/>
        <v>46023</v>
      </c>
    </row>
    <row r="3287" spans="2:25" ht="18.75" x14ac:dyDescent="0.3">
      <c r="B3287" s="6">
        <f t="shared" si="513"/>
        <v>0</v>
      </c>
      <c r="C3287" s="6">
        <f t="shared" si="514"/>
        <v>0</v>
      </c>
      <c r="D3287" s="6" t="str">
        <f t="shared" si="515"/>
        <v/>
      </c>
      <c r="E3287" s="35" t="str">
        <f t="shared" si="512"/>
        <v/>
      </c>
      <c r="F3287" s="31"/>
      <c r="G3287" s="29"/>
      <c r="H3287" s="78" t="str">
        <f t="shared" si="516"/>
        <v/>
      </c>
      <c r="I3287" s="25"/>
      <c r="J3287" s="25"/>
      <c r="K3287" s="26"/>
      <c r="L3287" s="26"/>
      <c r="M3287" s="37"/>
      <c r="N3287" s="27"/>
      <c r="O3287" s="30"/>
      <c r="P3287" s="39" t="str">
        <f t="shared" si="517"/>
        <v/>
      </c>
      <c r="Q3287" s="40" t="str">
        <f>IF(OR(T3287=0,RIGHT(T3287,1)=$W$1),"",COUNTIF($T$3:T3287,T3287))</f>
        <v/>
      </c>
      <c r="S3287" s="6">
        <f t="shared" si="518"/>
        <v>0</v>
      </c>
      <c r="T3287" s="36">
        <f t="shared" si="519"/>
        <v>0</v>
      </c>
      <c r="V3287" s="6">
        <f t="shared" si="520"/>
        <v>0</v>
      </c>
      <c r="Y3287" s="8">
        <f t="shared" si="521"/>
        <v>46023</v>
      </c>
    </row>
    <row r="3288" spans="2:25" ht="18.75" x14ac:dyDescent="0.3">
      <c r="B3288" s="6">
        <f t="shared" si="513"/>
        <v>0</v>
      </c>
      <c r="C3288" s="6">
        <f t="shared" si="514"/>
        <v>0</v>
      </c>
      <c r="D3288" s="6" t="str">
        <f t="shared" si="515"/>
        <v/>
      </c>
      <c r="E3288" s="35" t="str">
        <f t="shared" si="512"/>
        <v/>
      </c>
      <c r="F3288" s="31"/>
      <c r="G3288" s="29"/>
      <c r="H3288" s="78" t="str">
        <f t="shared" si="516"/>
        <v/>
      </c>
      <c r="I3288" s="25"/>
      <c r="J3288" s="25"/>
      <c r="K3288" s="26"/>
      <c r="L3288" s="26"/>
      <c r="M3288" s="37"/>
      <c r="N3288" s="27"/>
      <c r="O3288" s="30"/>
      <c r="P3288" s="39" t="str">
        <f t="shared" si="517"/>
        <v/>
      </c>
      <c r="Q3288" s="40" t="str">
        <f>IF(OR(T3288=0,RIGHT(T3288,1)=$W$1),"",COUNTIF($T$3:T3288,T3288))</f>
        <v/>
      </c>
      <c r="S3288" s="6">
        <f t="shared" si="518"/>
        <v>0</v>
      </c>
      <c r="T3288" s="36">
        <f t="shared" si="519"/>
        <v>0</v>
      </c>
      <c r="V3288" s="6">
        <f t="shared" si="520"/>
        <v>0</v>
      </c>
      <c r="Y3288" s="8">
        <f t="shared" si="521"/>
        <v>46023</v>
      </c>
    </row>
    <row r="3289" spans="2:25" ht="18.75" x14ac:dyDescent="0.3">
      <c r="B3289" s="6">
        <f t="shared" si="513"/>
        <v>0</v>
      </c>
      <c r="C3289" s="6">
        <f t="shared" si="514"/>
        <v>0</v>
      </c>
      <c r="D3289" s="6" t="str">
        <f t="shared" si="515"/>
        <v/>
      </c>
      <c r="E3289" s="35" t="str">
        <f t="shared" si="512"/>
        <v/>
      </c>
      <c r="F3289" s="31"/>
      <c r="G3289" s="29"/>
      <c r="H3289" s="78" t="str">
        <f t="shared" si="516"/>
        <v/>
      </c>
      <c r="I3289" s="25"/>
      <c r="J3289" s="25"/>
      <c r="K3289" s="26"/>
      <c r="L3289" s="26"/>
      <c r="M3289" s="37"/>
      <c r="N3289" s="27"/>
      <c r="O3289" s="30"/>
      <c r="P3289" s="39" t="str">
        <f t="shared" si="517"/>
        <v/>
      </c>
      <c r="Q3289" s="40" t="str">
        <f>IF(OR(T3289=0,RIGHT(T3289,1)=$W$1),"",COUNTIF($T$3:T3289,T3289))</f>
        <v/>
      </c>
      <c r="S3289" s="6">
        <f t="shared" si="518"/>
        <v>0</v>
      </c>
      <c r="T3289" s="36">
        <f t="shared" si="519"/>
        <v>0</v>
      </c>
      <c r="V3289" s="6">
        <f t="shared" si="520"/>
        <v>0</v>
      </c>
      <c r="Y3289" s="8">
        <f t="shared" si="521"/>
        <v>46023</v>
      </c>
    </row>
    <row r="3290" spans="2:25" ht="18.75" x14ac:dyDescent="0.3">
      <c r="B3290" s="6">
        <f t="shared" si="513"/>
        <v>0</v>
      </c>
      <c r="C3290" s="6">
        <f t="shared" si="514"/>
        <v>0</v>
      </c>
      <c r="D3290" s="6" t="str">
        <f t="shared" si="515"/>
        <v/>
      </c>
      <c r="E3290" s="35" t="str">
        <f t="shared" si="512"/>
        <v/>
      </c>
      <c r="F3290" s="31"/>
      <c r="G3290" s="29"/>
      <c r="H3290" s="78" t="str">
        <f t="shared" si="516"/>
        <v/>
      </c>
      <c r="I3290" s="25"/>
      <c r="J3290" s="25"/>
      <c r="K3290" s="26"/>
      <c r="L3290" s="26"/>
      <c r="M3290" s="37"/>
      <c r="N3290" s="27"/>
      <c r="O3290" s="30"/>
      <c r="P3290" s="39" t="str">
        <f t="shared" si="517"/>
        <v/>
      </c>
      <c r="Q3290" s="40" t="str">
        <f>IF(OR(T3290=0,RIGHT(T3290,1)=$W$1),"",COUNTIF($T$3:T3290,T3290))</f>
        <v/>
      </c>
      <c r="S3290" s="6">
        <f t="shared" si="518"/>
        <v>0</v>
      </c>
      <c r="T3290" s="36">
        <f t="shared" si="519"/>
        <v>0</v>
      </c>
      <c r="V3290" s="6">
        <f t="shared" si="520"/>
        <v>0</v>
      </c>
      <c r="Y3290" s="8">
        <f t="shared" si="521"/>
        <v>46023</v>
      </c>
    </row>
    <row r="3291" spans="2:25" ht="18.75" x14ac:dyDescent="0.3">
      <c r="B3291" s="6">
        <f t="shared" si="513"/>
        <v>0</v>
      </c>
      <c r="C3291" s="6">
        <f t="shared" si="514"/>
        <v>0</v>
      </c>
      <c r="D3291" s="6" t="str">
        <f t="shared" si="515"/>
        <v/>
      </c>
      <c r="E3291" s="35" t="str">
        <f t="shared" si="512"/>
        <v/>
      </c>
      <c r="F3291" s="31"/>
      <c r="G3291" s="29"/>
      <c r="H3291" s="78" t="str">
        <f t="shared" si="516"/>
        <v/>
      </c>
      <c r="I3291" s="25"/>
      <c r="J3291" s="25"/>
      <c r="K3291" s="26"/>
      <c r="L3291" s="26"/>
      <c r="M3291" s="37"/>
      <c r="N3291" s="27"/>
      <c r="O3291" s="30"/>
      <c r="P3291" s="39" t="str">
        <f t="shared" si="517"/>
        <v/>
      </c>
      <c r="Q3291" s="40" t="str">
        <f>IF(OR(T3291=0,RIGHT(T3291,1)=$W$1),"",COUNTIF($T$3:T3291,T3291))</f>
        <v/>
      </c>
      <c r="S3291" s="6">
        <f t="shared" si="518"/>
        <v>0</v>
      </c>
      <c r="T3291" s="36">
        <f t="shared" si="519"/>
        <v>0</v>
      </c>
      <c r="V3291" s="6">
        <f t="shared" si="520"/>
        <v>0</v>
      </c>
      <c r="Y3291" s="8">
        <f t="shared" si="521"/>
        <v>46023</v>
      </c>
    </row>
    <row r="3292" spans="2:25" ht="18.75" x14ac:dyDescent="0.3">
      <c r="B3292" s="6">
        <f t="shared" si="513"/>
        <v>0</v>
      </c>
      <c r="C3292" s="6">
        <f t="shared" si="514"/>
        <v>0</v>
      </c>
      <c r="D3292" s="6" t="str">
        <f t="shared" si="515"/>
        <v/>
      </c>
      <c r="E3292" s="35" t="str">
        <f t="shared" si="512"/>
        <v/>
      </c>
      <c r="F3292" s="31"/>
      <c r="G3292" s="29"/>
      <c r="H3292" s="78" t="str">
        <f t="shared" si="516"/>
        <v/>
      </c>
      <c r="I3292" s="25"/>
      <c r="J3292" s="25"/>
      <c r="K3292" s="26"/>
      <c r="L3292" s="26"/>
      <c r="M3292" s="37"/>
      <c r="N3292" s="27"/>
      <c r="O3292" s="30"/>
      <c r="P3292" s="39" t="str">
        <f t="shared" si="517"/>
        <v/>
      </c>
      <c r="Q3292" s="40" t="str">
        <f>IF(OR(T3292=0,RIGHT(T3292,1)=$W$1),"",COUNTIF($T$3:T3292,T3292))</f>
        <v/>
      </c>
      <c r="S3292" s="6">
        <f t="shared" si="518"/>
        <v>0</v>
      </c>
      <c r="T3292" s="36">
        <f t="shared" si="519"/>
        <v>0</v>
      </c>
      <c r="V3292" s="6">
        <f t="shared" si="520"/>
        <v>0</v>
      </c>
      <c r="Y3292" s="8">
        <f t="shared" si="521"/>
        <v>46023</v>
      </c>
    </row>
    <row r="3293" spans="2:25" ht="18.75" x14ac:dyDescent="0.3">
      <c r="B3293" s="6">
        <f t="shared" si="513"/>
        <v>0</v>
      </c>
      <c r="C3293" s="6">
        <f t="shared" si="514"/>
        <v>0</v>
      </c>
      <c r="D3293" s="6" t="str">
        <f t="shared" si="515"/>
        <v/>
      </c>
      <c r="E3293" s="35" t="str">
        <f t="shared" si="512"/>
        <v/>
      </c>
      <c r="F3293" s="31"/>
      <c r="G3293" s="29"/>
      <c r="H3293" s="78" t="str">
        <f t="shared" si="516"/>
        <v/>
      </c>
      <c r="I3293" s="25"/>
      <c r="J3293" s="25"/>
      <c r="K3293" s="26"/>
      <c r="L3293" s="26"/>
      <c r="M3293" s="37"/>
      <c r="N3293" s="27"/>
      <c r="O3293" s="30"/>
      <c r="P3293" s="39" t="str">
        <f t="shared" si="517"/>
        <v/>
      </c>
      <c r="Q3293" s="40" t="str">
        <f>IF(OR(T3293=0,RIGHT(T3293,1)=$W$1),"",COUNTIF($T$3:T3293,T3293))</f>
        <v/>
      </c>
      <c r="S3293" s="6">
        <f t="shared" si="518"/>
        <v>0</v>
      </c>
      <c r="T3293" s="36">
        <f t="shared" si="519"/>
        <v>0</v>
      </c>
      <c r="V3293" s="6">
        <f t="shared" si="520"/>
        <v>0</v>
      </c>
      <c r="Y3293" s="8">
        <f t="shared" si="521"/>
        <v>46023</v>
      </c>
    </row>
    <row r="3294" spans="2:25" ht="18.75" x14ac:dyDescent="0.3">
      <c r="B3294" s="6">
        <f t="shared" si="513"/>
        <v>0</v>
      </c>
      <c r="C3294" s="6">
        <f t="shared" si="514"/>
        <v>0</v>
      </c>
      <c r="D3294" s="6" t="str">
        <f t="shared" si="515"/>
        <v/>
      </c>
      <c r="E3294" s="35" t="str">
        <f t="shared" si="512"/>
        <v/>
      </c>
      <c r="F3294" s="31"/>
      <c r="G3294" s="29"/>
      <c r="H3294" s="78" t="str">
        <f t="shared" si="516"/>
        <v/>
      </c>
      <c r="I3294" s="25"/>
      <c r="J3294" s="25"/>
      <c r="K3294" s="26"/>
      <c r="L3294" s="26"/>
      <c r="M3294" s="37"/>
      <c r="N3294" s="27"/>
      <c r="O3294" s="30"/>
      <c r="P3294" s="39" t="str">
        <f t="shared" si="517"/>
        <v/>
      </c>
      <c r="Q3294" s="40" t="str">
        <f>IF(OR(T3294=0,RIGHT(T3294,1)=$W$1),"",COUNTIF($T$3:T3294,T3294))</f>
        <v/>
      </c>
      <c r="S3294" s="6">
        <f t="shared" si="518"/>
        <v>0</v>
      </c>
      <c r="T3294" s="36">
        <f t="shared" si="519"/>
        <v>0</v>
      </c>
      <c r="V3294" s="6">
        <f t="shared" si="520"/>
        <v>0</v>
      </c>
      <c r="Y3294" s="8">
        <f t="shared" si="521"/>
        <v>46023</v>
      </c>
    </row>
    <row r="3295" spans="2:25" ht="18.75" x14ac:dyDescent="0.3">
      <c r="B3295" s="6">
        <f t="shared" si="513"/>
        <v>0</v>
      </c>
      <c r="C3295" s="6">
        <f t="shared" si="514"/>
        <v>0</v>
      </c>
      <c r="D3295" s="6" t="str">
        <f t="shared" si="515"/>
        <v/>
      </c>
      <c r="E3295" s="35" t="str">
        <f t="shared" si="512"/>
        <v/>
      </c>
      <c r="F3295" s="31"/>
      <c r="G3295" s="29"/>
      <c r="H3295" s="78" t="str">
        <f t="shared" si="516"/>
        <v/>
      </c>
      <c r="I3295" s="25"/>
      <c r="J3295" s="25"/>
      <c r="K3295" s="26"/>
      <c r="L3295" s="26"/>
      <c r="M3295" s="37"/>
      <c r="N3295" s="27"/>
      <c r="O3295" s="30"/>
      <c r="P3295" s="39" t="str">
        <f t="shared" si="517"/>
        <v/>
      </c>
      <c r="Q3295" s="40" t="str">
        <f>IF(OR(T3295=0,RIGHT(T3295,1)=$W$1),"",COUNTIF($T$3:T3295,T3295))</f>
        <v/>
      </c>
      <c r="S3295" s="6">
        <f t="shared" si="518"/>
        <v>0</v>
      </c>
      <c r="T3295" s="36">
        <f t="shared" si="519"/>
        <v>0</v>
      </c>
      <c r="V3295" s="6">
        <f t="shared" si="520"/>
        <v>0</v>
      </c>
      <c r="Y3295" s="8">
        <f t="shared" si="521"/>
        <v>46023</v>
      </c>
    </row>
    <row r="3296" spans="2:25" ht="18.75" x14ac:dyDescent="0.3">
      <c r="B3296" s="6">
        <f t="shared" si="513"/>
        <v>0</v>
      </c>
      <c r="C3296" s="6">
        <f t="shared" si="514"/>
        <v>0</v>
      </c>
      <c r="D3296" s="6" t="str">
        <f t="shared" si="515"/>
        <v/>
      </c>
      <c r="E3296" s="35" t="str">
        <f t="shared" si="512"/>
        <v/>
      </c>
      <c r="F3296" s="31"/>
      <c r="G3296" s="29"/>
      <c r="H3296" s="78" t="str">
        <f t="shared" si="516"/>
        <v/>
      </c>
      <c r="I3296" s="25"/>
      <c r="J3296" s="25"/>
      <c r="K3296" s="26"/>
      <c r="L3296" s="26"/>
      <c r="M3296" s="37"/>
      <c r="N3296" s="27"/>
      <c r="O3296" s="30"/>
      <c r="P3296" s="39" t="str">
        <f t="shared" si="517"/>
        <v/>
      </c>
      <c r="Q3296" s="40" t="str">
        <f>IF(OR(T3296=0,RIGHT(T3296,1)=$W$1),"",COUNTIF($T$3:T3296,T3296))</f>
        <v/>
      </c>
      <c r="S3296" s="6">
        <f t="shared" si="518"/>
        <v>0</v>
      </c>
      <c r="T3296" s="36">
        <f t="shared" si="519"/>
        <v>0</v>
      </c>
      <c r="V3296" s="6">
        <f t="shared" si="520"/>
        <v>0</v>
      </c>
      <c r="Y3296" s="8">
        <f t="shared" si="521"/>
        <v>46023</v>
      </c>
    </row>
    <row r="3297" spans="2:25" ht="18.75" x14ac:dyDescent="0.3">
      <c r="B3297" s="6">
        <f t="shared" si="513"/>
        <v>0</v>
      </c>
      <c r="C3297" s="6">
        <f t="shared" si="514"/>
        <v>0</v>
      </c>
      <c r="D3297" s="6" t="str">
        <f t="shared" si="515"/>
        <v/>
      </c>
      <c r="E3297" s="35" t="str">
        <f t="shared" si="512"/>
        <v/>
      </c>
      <c r="F3297" s="31"/>
      <c r="G3297" s="29"/>
      <c r="H3297" s="78" t="str">
        <f t="shared" si="516"/>
        <v/>
      </c>
      <c r="I3297" s="25"/>
      <c r="J3297" s="25"/>
      <c r="K3297" s="26"/>
      <c r="L3297" s="26"/>
      <c r="M3297" s="37"/>
      <c r="N3297" s="27"/>
      <c r="O3297" s="30"/>
      <c r="P3297" s="39" t="str">
        <f t="shared" si="517"/>
        <v/>
      </c>
      <c r="Q3297" s="40" t="str">
        <f>IF(OR(T3297=0,RIGHT(T3297,1)=$W$1),"",COUNTIF($T$3:T3297,T3297))</f>
        <v/>
      </c>
      <c r="S3297" s="6">
        <f t="shared" si="518"/>
        <v>0</v>
      </c>
      <c r="T3297" s="36">
        <f t="shared" si="519"/>
        <v>0</v>
      </c>
      <c r="V3297" s="6">
        <f t="shared" si="520"/>
        <v>0</v>
      </c>
      <c r="Y3297" s="8">
        <f t="shared" si="521"/>
        <v>46023</v>
      </c>
    </row>
    <row r="3298" spans="2:25" ht="18.75" x14ac:dyDescent="0.3">
      <c r="B3298" s="6">
        <f t="shared" si="513"/>
        <v>0</v>
      </c>
      <c r="C3298" s="6">
        <f t="shared" si="514"/>
        <v>0</v>
      </c>
      <c r="D3298" s="6" t="str">
        <f t="shared" si="515"/>
        <v/>
      </c>
      <c r="E3298" s="35" t="str">
        <f t="shared" si="512"/>
        <v/>
      </c>
      <c r="F3298" s="31"/>
      <c r="G3298" s="29"/>
      <c r="H3298" s="78" t="str">
        <f t="shared" si="516"/>
        <v/>
      </c>
      <c r="I3298" s="25"/>
      <c r="J3298" s="25"/>
      <c r="K3298" s="26"/>
      <c r="L3298" s="26"/>
      <c r="M3298" s="37"/>
      <c r="N3298" s="27"/>
      <c r="O3298" s="30"/>
      <c r="P3298" s="39" t="str">
        <f t="shared" si="517"/>
        <v/>
      </c>
      <c r="Q3298" s="40" t="str">
        <f>IF(OR(T3298=0,RIGHT(T3298,1)=$W$1),"",COUNTIF($T$3:T3298,T3298))</f>
        <v/>
      </c>
      <c r="S3298" s="6">
        <f t="shared" si="518"/>
        <v>0</v>
      </c>
      <c r="T3298" s="36">
        <f t="shared" si="519"/>
        <v>0</v>
      </c>
      <c r="V3298" s="6">
        <f t="shared" si="520"/>
        <v>0</v>
      </c>
      <c r="Y3298" s="8">
        <f t="shared" si="521"/>
        <v>46023</v>
      </c>
    </row>
    <row r="3299" spans="2:25" ht="18.75" x14ac:dyDescent="0.3">
      <c r="B3299" s="6">
        <f t="shared" si="513"/>
        <v>0</v>
      </c>
      <c r="C3299" s="6">
        <f t="shared" si="514"/>
        <v>0</v>
      </c>
      <c r="D3299" s="6" t="str">
        <f t="shared" si="515"/>
        <v/>
      </c>
      <c r="E3299" s="35" t="str">
        <f t="shared" si="512"/>
        <v/>
      </c>
      <c r="F3299" s="31"/>
      <c r="G3299" s="29"/>
      <c r="H3299" s="78" t="str">
        <f t="shared" si="516"/>
        <v/>
      </c>
      <c r="I3299" s="25"/>
      <c r="J3299" s="25"/>
      <c r="K3299" s="26"/>
      <c r="L3299" s="26"/>
      <c r="M3299" s="37"/>
      <c r="N3299" s="27"/>
      <c r="O3299" s="30"/>
      <c r="P3299" s="39" t="str">
        <f t="shared" si="517"/>
        <v/>
      </c>
      <c r="Q3299" s="40" t="str">
        <f>IF(OR(T3299=0,RIGHT(T3299,1)=$W$1),"",COUNTIF($T$3:T3299,T3299))</f>
        <v/>
      </c>
      <c r="S3299" s="6">
        <f t="shared" si="518"/>
        <v>0</v>
      </c>
      <c r="T3299" s="36">
        <f t="shared" si="519"/>
        <v>0</v>
      </c>
      <c r="V3299" s="6">
        <f t="shared" si="520"/>
        <v>0</v>
      </c>
      <c r="Y3299" s="8">
        <f t="shared" si="521"/>
        <v>46023</v>
      </c>
    </row>
    <row r="3300" spans="2:25" ht="18.75" x14ac:dyDescent="0.3">
      <c r="B3300" s="6">
        <f t="shared" si="513"/>
        <v>0</v>
      </c>
      <c r="C3300" s="6">
        <f t="shared" si="514"/>
        <v>0</v>
      </c>
      <c r="D3300" s="6" t="str">
        <f t="shared" si="515"/>
        <v/>
      </c>
      <c r="E3300" s="35" t="str">
        <f t="shared" si="512"/>
        <v/>
      </c>
      <c r="F3300" s="31"/>
      <c r="G3300" s="29"/>
      <c r="H3300" s="78" t="str">
        <f t="shared" si="516"/>
        <v/>
      </c>
      <c r="I3300" s="25"/>
      <c r="J3300" s="25"/>
      <c r="K3300" s="26"/>
      <c r="L3300" s="26"/>
      <c r="M3300" s="37"/>
      <c r="N3300" s="27"/>
      <c r="O3300" s="30"/>
      <c r="P3300" s="39" t="str">
        <f t="shared" si="517"/>
        <v/>
      </c>
      <c r="Q3300" s="40" t="str">
        <f>IF(OR(T3300=0,RIGHT(T3300,1)=$W$1),"",COUNTIF($T$3:T3300,T3300))</f>
        <v/>
      </c>
      <c r="S3300" s="6">
        <f t="shared" si="518"/>
        <v>0</v>
      </c>
      <c r="T3300" s="36">
        <f t="shared" si="519"/>
        <v>0</v>
      </c>
      <c r="V3300" s="6">
        <f t="shared" si="520"/>
        <v>0</v>
      </c>
      <c r="Y3300" s="8">
        <f t="shared" si="521"/>
        <v>46023</v>
      </c>
    </row>
    <row r="3301" spans="2:25" ht="18.75" x14ac:dyDescent="0.3">
      <c r="B3301" s="6">
        <f t="shared" si="513"/>
        <v>0</v>
      </c>
      <c r="C3301" s="6">
        <f t="shared" si="514"/>
        <v>0</v>
      </c>
      <c r="D3301" s="6" t="str">
        <f t="shared" si="515"/>
        <v/>
      </c>
      <c r="E3301" s="35" t="str">
        <f t="shared" si="512"/>
        <v/>
      </c>
      <c r="F3301" s="31"/>
      <c r="G3301" s="29"/>
      <c r="H3301" s="78" t="str">
        <f t="shared" si="516"/>
        <v/>
      </c>
      <c r="I3301" s="25"/>
      <c r="J3301" s="25"/>
      <c r="K3301" s="26"/>
      <c r="L3301" s="26"/>
      <c r="M3301" s="37"/>
      <c r="N3301" s="27"/>
      <c r="O3301" s="30"/>
      <c r="P3301" s="39" t="str">
        <f t="shared" si="517"/>
        <v/>
      </c>
      <c r="Q3301" s="40" t="str">
        <f>IF(OR(T3301=0,RIGHT(T3301,1)=$W$1),"",COUNTIF($T$3:T3301,T3301))</f>
        <v/>
      </c>
      <c r="S3301" s="6">
        <f t="shared" si="518"/>
        <v>0</v>
      </c>
      <c r="T3301" s="36">
        <f t="shared" si="519"/>
        <v>0</v>
      </c>
      <c r="V3301" s="6">
        <f t="shared" si="520"/>
        <v>0</v>
      </c>
      <c r="Y3301" s="8">
        <f t="shared" si="521"/>
        <v>46023</v>
      </c>
    </row>
    <row r="3302" spans="2:25" ht="18.75" x14ac:dyDescent="0.3">
      <c r="B3302" s="6">
        <f t="shared" si="513"/>
        <v>0</v>
      </c>
      <c r="C3302" s="6">
        <f t="shared" si="514"/>
        <v>0</v>
      </c>
      <c r="D3302" s="6" t="str">
        <f t="shared" si="515"/>
        <v/>
      </c>
      <c r="E3302" s="35" t="str">
        <f t="shared" si="512"/>
        <v/>
      </c>
      <c r="F3302" s="31"/>
      <c r="G3302" s="29"/>
      <c r="H3302" s="78" t="str">
        <f t="shared" si="516"/>
        <v/>
      </c>
      <c r="I3302" s="25"/>
      <c r="J3302" s="25"/>
      <c r="K3302" s="26"/>
      <c r="L3302" s="26"/>
      <c r="M3302" s="37"/>
      <c r="N3302" s="27"/>
      <c r="O3302" s="30"/>
      <c r="P3302" s="39" t="str">
        <f t="shared" si="517"/>
        <v/>
      </c>
      <c r="Q3302" s="40" t="str">
        <f>IF(OR(T3302=0,RIGHT(T3302,1)=$W$1),"",COUNTIF($T$3:T3302,T3302))</f>
        <v/>
      </c>
      <c r="S3302" s="6">
        <f t="shared" si="518"/>
        <v>0</v>
      </c>
      <c r="T3302" s="36">
        <f t="shared" si="519"/>
        <v>0</v>
      </c>
      <c r="V3302" s="6">
        <f t="shared" si="520"/>
        <v>0</v>
      </c>
      <c r="Y3302" s="8">
        <f t="shared" si="521"/>
        <v>46023</v>
      </c>
    </row>
    <row r="3303" spans="2:25" ht="18.75" x14ac:dyDescent="0.3">
      <c r="B3303" s="6">
        <f t="shared" si="513"/>
        <v>0</v>
      </c>
      <c r="C3303" s="6">
        <f t="shared" si="514"/>
        <v>0</v>
      </c>
      <c r="D3303" s="6" t="str">
        <f t="shared" si="515"/>
        <v/>
      </c>
      <c r="E3303" s="35" t="str">
        <f t="shared" si="512"/>
        <v/>
      </c>
      <c r="F3303" s="31"/>
      <c r="G3303" s="29"/>
      <c r="H3303" s="78" t="str">
        <f t="shared" si="516"/>
        <v/>
      </c>
      <c r="I3303" s="25"/>
      <c r="J3303" s="25"/>
      <c r="K3303" s="26"/>
      <c r="L3303" s="26"/>
      <c r="M3303" s="37"/>
      <c r="N3303" s="27"/>
      <c r="O3303" s="30"/>
      <c r="P3303" s="39" t="str">
        <f t="shared" si="517"/>
        <v/>
      </c>
      <c r="Q3303" s="40" t="str">
        <f>IF(OR(T3303=0,RIGHT(T3303,1)=$W$1),"",COUNTIF($T$3:T3303,T3303))</f>
        <v/>
      </c>
      <c r="S3303" s="6">
        <f t="shared" si="518"/>
        <v>0</v>
      </c>
      <c r="T3303" s="36">
        <f t="shared" si="519"/>
        <v>0</v>
      </c>
      <c r="V3303" s="6">
        <f t="shared" si="520"/>
        <v>0</v>
      </c>
      <c r="Y3303" s="8">
        <f t="shared" si="521"/>
        <v>46023</v>
      </c>
    </row>
    <row r="3304" spans="2:25" ht="18.75" x14ac:dyDescent="0.3">
      <c r="B3304" s="6">
        <f t="shared" si="513"/>
        <v>0</v>
      </c>
      <c r="C3304" s="6">
        <f t="shared" si="514"/>
        <v>0</v>
      </c>
      <c r="D3304" s="6" t="str">
        <f t="shared" si="515"/>
        <v/>
      </c>
      <c r="E3304" s="35" t="str">
        <f t="shared" si="512"/>
        <v/>
      </c>
      <c r="F3304" s="31"/>
      <c r="G3304" s="29"/>
      <c r="H3304" s="78" t="str">
        <f t="shared" si="516"/>
        <v/>
      </c>
      <c r="I3304" s="25"/>
      <c r="J3304" s="25"/>
      <c r="K3304" s="26"/>
      <c r="L3304" s="26"/>
      <c r="M3304" s="37"/>
      <c r="N3304" s="27"/>
      <c r="O3304" s="30"/>
      <c r="P3304" s="39" t="str">
        <f t="shared" si="517"/>
        <v/>
      </c>
      <c r="Q3304" s="40" t="str">
        <f>IF(OR(T3304=0,RIGHT(T3304,1)=$W$1),"",COUNTIF($T$3:T3304,T3304))</f>
        <v/>
      </c>
      <c r="S3304" s="6">
        <f t="shared" si="518"/>
        <v>0</v>
      </c>
      <c r="T3304" s="36">
        <f t="shared" si="519"/>
        <v>0</v>
      </c>
      <c r="V3304" s="6">
        <f t="shared" si="520"/>
        <v>0</v>
      </c>
      <c r="Y3304" s="8">
        <f t="shared" si="521"/>
        <v>46023</v>
      </c>
    </row>
    <row r="3305" spans="2:25" ht="18.75" x14ac:dyDescent="0.3">
      <c r="B3305" s="6">
        <f t="shared" si="513"/>
        <v>0</v>
      </c>
      <c r="C3305" s="6">
        <f t="shared" si="514"/>
        <v>0</v>
      </c>
      <c r="D3305" s="6" t="str">
        <f t="shared" si="515"/>
        <v/>
      </c>
      <c r="E3305" s="35" t="str">
        <f t="shared" si="512"/>
        <v/>
      </c>
      <c r="F3305" s="31"/>
      <c r="G3305" s="29"/>
      <c r="H3305" s="78" t="str">
        <f t="shared" si="516"/>
        <v/>
      </c>
      <c r="I3305" s="25"/>
      <c r="J3305" s="25"/>
      <c r="K3305" s="26"/>
      <c r="L3305" s="26"/>
      <c r="M3305" s="37"/>
      <c r="N3305" s="27"/>
      <c r="O3305" s="30"/>
      <c r="P3305" s="39" t="str">
        <f t="shared" si="517"/>
        <v/>
      </c>
      <c r="Q3305" s="40" t="str">
        <f>IF(OR(T3305=0,RIGHT(T3305,1)=$W$1),"",COUNTIF($T$3:T3305,T3305))</f>
        <v/>
      </c>
      <c r="S3305" s="6">
        <f t="shared" si="518"/>
        <v>0</v>
      </c>
      <c r="T3305" s="36">
        <f t="shared" si="519"/>
        <v>0</v>
      </c>
      <c r="V3305" s="6">
        <f t="shared" si="520"/>
        <v>0</v>
      </c>
      <c r="Y3305" s="8">
        <f t="shared" si="521"/>
        <v>46023</v>
      </c>
    </row>
    <row r="3306" spans="2:25" ht="18.75" x14ac:dyDescent="0.3">
      <c r="B3306" s="6">
        <f t="shared" si="513"/>
        <v>0</v>
      </c>
      <c r="C3306" s="6">
        <f t="shared" si="514"/>
        <v>0</v>
      </c>
      <c r="D3306" s="6" t="str">
        <f t="shared" si="515"/>
        <v/>
      </c>
      <c r="E3306" s="35" t="str">
        <f t="shared" si="512"/>
        <v/>
      </c>
      <c r="F3306" s="31"/>
      <c r="G3306" s="29"/>
      <c r="H3306" s="78" t="str">
        <f t="shared" si="516"/>
        <v/>
      </c>
      <c r="I3306" s="25"/>
      <c r="J3306" s="25"/>
      <c r="K3306" s="26"/>
      <c r="L3306" s="26"/>
      <c r="M3306" s="37"/>
      <c r="N3306" s="27"/>
      <c r="O3306" s="30"/>
      <c r="P3306" s="39" t="str">
        <f t="shared" si="517"/>
        <v/>
      </c>
      <c r="Q3306" s="40" t="str">
        <f>IF(OR(T3306=0,RIGHT(T3306,1)=$W$1),"",COUNTIF($T$3:T3306,T3306))</f>
        <v/>
      </c>
      <c r="S3306" s="6">
        <f t="shared" si="518"/>
        <v>0</v>
      </c>
      <c r="T3306" s="36">
        <f t="shared" si="519"/>
        <v>0</v>
      </c>
      <c r="V3306" s="6">
        <f t="shared" si="520"/>
        <v>0</v>
      </c>
      <c r="Y3306" s="8">
        <f t="shared" si="521"/>
        <v>46023</v>
      </c>
    </row>
    <row r="3307" spans="2:25" ht="18.75" x14ac:dyDescent="0.3">
      <c r="B3307" s="6">
        <f t="shared" si="513"/>
        <v>0</v>
      </c>
      <c r="C3307" s="6">
        <f t="shared" si="514"/>
        <v>0</v>
      </c>
      <c r="D3307" s="6" t="str">
        <f t="shared" si="515"/>
        <v/>
      </c>
      <c r="E3307" s="35" t="str">
        <f t="shared" si="512"/>
        <v/>
      </c>
      <c r="F3307" s="31"/>
      <c r="G3307" s="29"/>
      <c r="H3307" s="78" t="str">
        <f t="shared" si="516"/>
        <v/>
      </c>
      <c r="I3307" s="25"/>
      <c r="J3307" s="25"/>
      <c r="K3307" s="26"/>
      <c r="L3307" s="26"/>
      <c r="M3307" s="37"/>
      <c r="N3307" s="27"/>
      <c r="O3307" s="30"/>
      <c r="P3307" s="39" t="str">
        <f t="shared" si="517"/>
        <v/>
      </c>
      <c r="Q3307" s="40" t="str">
        <f>IF(OR(T3307=0,RIGHT(T3307,1)=$W$1),"",COUNTIF($T$3:T3307,T3307))</f>
        <v/>
      </c>
      <c r="S3307" s="6">
        <f t="shared" si="518"/>
        <v>0</v>
      </c>
      <c r="T3307" s="36">
        <f t="shared" si="519"/>
        <v>0</v>
      </c>
      <c r="V3307" s="6">
        <f t="shared" si="520"/>
        <v>0</v>
      </c>
      <c r="Y3307" s="8">
        <f t="shared" si="521"/>
        <v>46023</v>
      </c>
    </row>
    <row r="3308" spans="2:25" ht="18.75" x14ac:dyDescent="0.3">
      <c r="B3308" s="6">
        <f t="shared" si="513"/>
        <v>0</v>
      </c>
      <c r="C3308" s="6">
        <f t="shared" si="514"/>
        <v>0</v>
      </c>
      <c r="D3308" s="6" t="str">
        <f t="shared" si="515"/>
        <v/>
      </c>
      <c r="E3308" s="35" t="str">
        <f t="shared" si="512"/>
        <v/>
      </c>
      <c r="F3308" s="31"/>
      <c r="G3308" s="29"/>
      <c r="H3308" s="78" t="str">
        <f t="shared" si="516"/>
        <v/>
      </c>
      <c r="I3308" s="25"/>
      <c r="J3308" s="25"/>
      <c r="K3308" s="26"/>
      <c r="L3308" s="26"/>
      <c r="M3308" s="37"/>
      <c r="N3308" s="27"/>
      <c r="O3308" s="30"/>
      <c r="P3308" s="39" t="str">
        <f t="shared" si="517"/>
        <v/>
      </c>
      <c r="Q3308" s="40" t="str">
        <f>IF(OR(T3308=0,RIGHT(T3308,1)=$W$1),"",COUNTIF($T$3:T3308,T3308))</f>
        <v/>
      </c>
      <c r="S3308" s="6">
        <f t="shared" si="518"/>
        <v>0</v>
      </c>
      <c r="T3308" s="36">
        <f t="shared" si="519"/>
        <v>0</v>
      </c>
      <c r="V3308" s="6">
        <f t="shared" si="520"/>
        <v>0</v>
      </c>
      <c r="Y3308" s="8">
        <f t="shared" si="521"/>
        <v>46023</v>
      </c>
    </row>
    <row r="3309" spans="2:25" ht="18.75" x14ac:dyDescent="0.3">
      <c r="B3309" s="6">
        <f t="shared" si="513"/>
        <v>0</v>
      </c>
      <c r="C3309" s="6">
        <f t="shared" si="514"/>
        <v>0</v>
      </c>
      <c r="D3309" s="6" t="str">
        <f t="shared" si="515"/>
        <v/>
      </c>
      <c r="E3309" s="35" t="str">
        <f t="shared" si="512"/>
        <v/>
      </c>
      <c r="F3309" s="31"/>
      <c r="G3309" s="29"/>
      <c r="H3309" s="78" t="str">
        <f t="shared" si="516"/>
        <v/>
      </c>
      <c r="I3309" s="25"/>
      <c r="J3309" s="25"/>
      <c r="K3309" s="26"/>
      <c r="L3309" s="26"/>
      <c r="M3309" s="37"/>
      <c r="N3309" s="27"/>
      <c r="O3309" s="30"/>
      <c r="P3309" s="39" t="str">
        <f t="shared" si="517"/>
        <v/>
      </c>
      <c r="Q3309" s="40" t="str">
        <f>IF(OR(T3309=0,RIGHT(T3309,1)=$W$1),"",COUNTIF($T$3:T3309,T3309))</f>
        <v/>
      </c>
      <c r="S3309" s="6">
        <f t="shared" si="518"/>
        <v>0</v>
      </c>
      <c r="T3309" s="36">
        <f t="shared" si="519"/>
        <v>0</v>
      </c>
      <c r="V3309" s="6">
        <f t="shared" si="520"/>
        <v>0</v>
      </c>
      <c r="Y3309" s="8">
        <f t="shared" si="521"/>
        <v>46023</v>
      </c>
    </row>
    <row r="3310" spans="2:25" ht="18.75" x14ac:dyDescent="0.3">
      <c r="B3310" s="6">
        <f t="shared" si="513"/>
        <v>0</v>
      </c>
      <c r="C3310" s="6">
        <f t="shared" si="514"/>
        <v>0</v>
      </c>
      <c r="D3310" s="6" t="str">
        <f t="shared" si="515"/>
        <v/>
      </c>
      <c r="E3310" s="35" t="str">
        <f t="shared" si="512"/>
        <v/>
      </c>
      <c r="F3310" s="31"/>
      <c r="G3310" s="29"/>
      <c r="H3310" s="78" t="str">
        <f t="shared" si="516"/>
        <v/>
      </c>
      <c r="I3310" s="25"/>
      <c r="J3310" s="25"/>
      <c r="K3310" s="26"/>
      <c r="L3310" s="26"/>
      <c r="M3310" s="37"/>
      <c r="N3310" s="27"/>
      <c r="O3310" s="30"/>
      <c r="P3310" s="39" t="str">
        <f t="shared" si="517"/>
        <v/>
      </c>
      <c r="Q3310" s="40" t="str">
        <f>IF(OR(T3310=0,RIGHT(T3310,1)=$W$1),"",COUNTIF($T$3:T3310,T3310))</f>
        <v/>
      </c>
      <c r="S3310" s="6">
        <f t="shared" si="518"/>
        <v>0</v>
      </c>
      <c r="T3310" s="36">
        <f t="shared" si="519"/>
        <v>0</v>
      </c>
      <c r="V3310" s="6">
        <f t="shared" si="520"/>
        <v>0</v>
      </c>
      <c r="Y3310" s="8">
        <f t="shared" si="521"/>
        <v>46023</v>
      </c>
    </row>
    <row r="3311" spans="2:25" ht="18.75" x14ac:dyDescent="0.3">
      <c r="B3311" s="6">
        <f t="shared" si="513"/>
        <v>0</v>
      </c>
      <c r="C3311" s="6">
        <f t="shared" si="514"/>
        <v>0</v>
      </c>
      <c r="D3311" s="6" t="str">
        <f t="shared" si="515"/>
        <v/>
      </c>
      <c r="E3311" s="35" t="str">
        <f t="shared" si="512"/>
        <v/>
      </c>
      <c r="F3311" s="31"/>
      <c r="G3311" s="29"/>
      <c r="H3311" s="78" t="str">
        <f t="shared" si="516"/>
        <v/>
      </c>
      <c r="I3311" s="25"/>
      <c r="J3311" s="25"/>
      <c r="K3311" s="26"/>
      <c r="L3311" s="26"/>
      <c r="M3311" s="37"/>
      <c r="N3311" s="27"/>
      <c r="O3311" s="30"/>
      <c r="P3311" s="39" t="str">
        <f t="shared" si="517"/>
        <v/>
      </c>
      <c r="Q3311" s="40" t="str">
        <f>IF(OR(T3311=0,RIGHT(T3311,1)=$W$1),"",COUNTIF($T$3:T3311,T3311))</f>
        <v/>
      </c>
      <c r="S3311" s="6">
        <f t="shared" si="518"/>
        <v>0</v>
      </c>
      <c r="T3311" s="36">
        <f t="shared" si="519"/>
        <v>0</v>
      </c>
      <c r="V3311" s="6">
        <f t="shared" si="520"/>
        <v>0</v>
      </c>
      <c r="Y3311" s="8">
        <f t="shared" si="521"/>
        <v>46023</v>
      </c>
    </row>
    <row r="3312" spans="2:25" ht="18.75" x14ac:dyDescent="0.3">
      <c r="B3312" s="6">
        <f t="shared" si="513"/>
        <v>0</v>
      </c>
      <c r="C3312" s="6">
        <f t="shared" si="514"/>
        <v>0</v>
      </c>
      <c r="D3312" s="6" t="str">
        <f t="shared" si="515"/>
        <v/>
      </c>
      <c r="E3312" s="35" t="str">
        <f t="shared" si="512"/>
        <v/>
      </c>
      <c r="F3312" s="31"/>
      <c r="G3312" s="29"/>
      <c r="H3312" s="78" t="str">
        <f t="shared" si="516"/>
        <v/>
      </c>
      <c r="I3312" s="25"/>
      <c r="J3312" s="25"/>
      <c r="K3312" s="26"/>
      <c r="L3312" s="26"/>
      <c r="M3312" s="37"/>
      <c r="N3312" s="27"/>
      <c r="O3312" s="30"/>
      <c r="P3312" s="39" t="str">
        <f t="shared" si="517"/>
        <v/>
      </c>
      <c r="Q3312" s="40" t="str">
        <f>IF(OR(T3312=0,RIGHT(T3312,1)=$W$1),"",COUNTIF($T$3:T3312,T3312))</f>
        <v/>
      </c>
      <c r="S3312" s="6">
        <f t="shared" si="518"/>
        <v>0</v>
      </c>
      <c r="T3312" s="36">
        <f t="shared" si="519"/>
        <v>0</v>
      </c>
      <c r="V3312" s="6">
        <f t="shared" si="520"/>
        <v>0</v>
      </c>
      <c r="Y3312" s="8">
        <f t="shared" si="521"/>
        <v>46023</v>
      </c>
    </row>
    <row r="3313" spans="2:25" ht="18.75" x14ac:dyDescent="0.3">
      <c r="B3313" s="6">
        <f t="shared" si="513"/>
        <v>0</v>
      </c>
      <c r="C3313" s="6">
        <f t="shared" si="514"/>
        <v>0</v>
      </c>
      <c r="D3313" s="6" t="str">
        <f t="shared" si="515"/>
        <v/>
      </c>
      <c r="E3313" s="35" t="str">
        <f t="shared" si="512"/>
        <v/>
      </c>
      <c r="F3313" s="31"/>
      <c r="G3313" s="29"/>
      <c r="H3313" s="78" t="str">
        <f t="shared" si="516"/>
        <v/>
      </c>
      <c r="I3313" s="25"/>
      <c r="J3313" s="25"/>
      <c r="K3313" s="26"/>
      <c r="L3313" s="26"/>
      <c r="M3313" s="37"/>
      <c r="N3313" s="27"/>
      <c r="O3313" s="30"/>
      <c r="P3313" s="39" t="str">
        <f t="shared" si="517"/>
        <v/>
      </c>
      <c r="Q3313" s="40" t="str">
        <f>IF(OR(T3313=0,RIGHT(T3313,1)=$W$1),"",COUNTIF($T$3:T3313,T3313))</f>
        <v/>
      </c>
      <c r="S3313" s="6">
        <f t="shared" si="518"/>
        <v>0</v>
      </c>
      <c r="T3313" s="36">
        <f t="shared" si="519"/>
        <v>0</v>
      </c>
      <c r="V3313" s="6">
        <f t="shared" si="520"/>
        <v>0</v>
      </c>
      <c r="Y3313" s="8">
        <f t="shared" si="521"/>
        <v>46023</v>
      </c>
    </row>
    <row r="3314" spans="2:25" ht="18.75" x14ac:dyDescent="0.3">
      <c r="B3314" s="6">
        <f t="shared" si="513"/>
        <v>0</v>
      </c>
      <c r="C3314" s="6">
        <f t="shared" si="514"/>
        <v>0</v>
      </c>
      <c r="D3314" s="6" t="str">
        <f t="shared" si="515"/>
        <v/>
      </c>
      <c r="E3314" s="35" t="str">
        <f t="shared" si="512"/>
        <v/>
      </c>
      <c r="F3314" s="31"/>
      <c r="G3314" s="29"/>
      <c r="H3314" s="78" t="str">
        <f t="shared" si="516"/>
        <v/>
      </c>
      <c r="I3314" s="25"/>
      <c r="J3314" s="25"/>
      <c r="K3314" s="26"/>
      <c r="L3314" s="26"/>
      <c r="M3314" s="37"/>
      <c r="N3314" s="27"/>
      <c r="O3314" s="30"/>
      <c r="P3314" s="39" t="str">
        <f t="shared" si="517"/>
        <v/>
      </c>
      <c r="Q3314" s="40" t="str">
        <f>IF(OR(T3314=0,RIGHT(T3314,1)=$W$1),"",COUNTIF($T$3:T3314,T3314))</f>
        <v/>
      </c>
      <c r="S3314" s="6">
        <f t="shared" si="518"/>
        <v>0</v>
      </c>
      <c r="T3314" s="36">
        <f t="shared" si="519"/>
        <v>0</v>
      </c>
      <c r="V3314" s="6">
        <f t="shared" si="520"/>
        <v>0</v>
      </c>
      <c r="Y3314" s="8">
        <f t="shared" si="521"/>
        <v>46023</v>
      </c>
    </row>
    <row r="3315" spans="2:25" ht="18.75" x14ac:dyDescent="0.3">
      <c r="B3315" s="6">
        <f t="shared" si="513"/>
        <v>0</v>
      </c>
      <c r="C3315" s="6">
        <f t="shared" si="514"/>
        <v>0</v>
      </c>
      <c r="D3315" s="6" t="str">
        <f t="shared" si="515"/>
        <v/>
      </c>
      <c r="E3315" s="35" t="str">
        <f t="shared" si="512"/>
        <v/>
      </c>
      <c r="F3315" s="31"/>
      <c r="G3315" s="29"/>
      <c r="H3315" s="78" t="str">
        <f t="shared" si="516"/>
        <v/>
      </c>
      <c r="I3315" s="25"/>
      <c r="J3315" s="25"/>
      <c r="K3315" s="26"/>
      <c r="L3315" s="26"/>
      <c r="M3315" s="37"/>
      <c r="N3315" s="27"/>
      <c r="O3315" s="30"/>
      <c r="P3315" s="39" t="str">
        <f t="shared" si="517"/>
        <v/>
      </c>
      <c r="Q3315" s="40" t="str">
        <f>IF(OR(T3315=0,RIGHT(T3315,1)=$W$1),"",COUNTIF($T$3:T3315,T3315))</f>
        <v/>
      </c>
      <c r="S3315" s="6">
        <f t="shared" si="518"/>
        <v>0</v>
      </c>
      <c r="T3315" s="36">
        <f t="shared" si="519"/>
        <v>0</v>
      </c>
      <c r="V3315" s="6">
        <f t="shared" si="520"/>
        <v>0</v>
      </c>
      <c r="Y3315" s="8">
        <f t="shared" si="521"/>
        <v>46023</v>
      </c>
    </row>
    <row r="3316" spans="2:25" ht="18.75" x14ac:dyDescent="0.3">
      <c r="B3316" s="6">
        <f t="shared" si="513"/>
        <v>0</v>
      </c>
      <c r="C3316" s="6">
        <f t="shared" si="514"/>
        <v>0</v>
      </c>
      <c r="D3316" s="6" t="str">
        <f t="shared" si="515"/>
        <v/>
      </c>
      <c r="E3316" s="35" t="str">
        <f t="shared" si="512"/>
        <v/>
      </c>
      <c r="F3316" s="31"/>
      <c r="G3316" s="29"/>
      <c r="H3316" s="78" t="str">
        <f t="shared" si="516"/>
        <v/>
      </c>
      <c r="I3316" s="25"/>
      <c r="J3316" s="25"/>
      <c r="K3316" s="26"/>
      <c r="L3316" s="26"/>
      <c r="M3316" s="37"/>
      <c r="N3316" s="27"/>
      <c r="O3316" s="30"/>
      <c r="P3316" s="39" t="str">
        <f t="shared" si="517"/>
        <v/>
      </c>
      <c r="Q3316" s="40" t="str">
        <f>IF(OR(T3316=0,RIGHT(T3316,1)=$W$1),"",COUNTIF($T$3:T3316,T3316))</f>
        <v/>
      </c>
      <c r="S3316" s="6">
        <f t="shared" si="518"/>
        <v>0</v>
      </c>
      <c r="T3316" s="36">
        <f t="shared" si="519"/>
        <v>0</v>
      </c>
      <c r="V3316" s="6">
        <f t="shared" si="520"/>
        <v>0</v>
      </c>
      <c r="Y3316" s="8">
        <f t="shared" si="521"/>
        <v>46023</v>
      </c>
    </row>
    <row r="3317" spans="2:25" ht="18.75" x14ac:dyDescent="0.3">
      <c r="B3317" s="6">
        <f t="shared" si="513"/>
        <v>0</v>
      </c>
      <c r="C3317" s="6">
        <f t="shared" si="514"/>
        <v>0</v>
      </c>
      <c r="D3317" s="6" t="str">
        <f t="shared" si="515"/>
        <v/>
      </c>
      <c r="E3317" s="35" t="str">
        <f t="shared" si="512"/>
        <v/>
      </c>
      <c r="F3317" s="31"/>
      <c r="G3317" s="29"/>
      <c r="H3317" s="78" t="str">
        <f t="shared" si="516"/>
        <v/>
      </c>
      <c r="I3317" s="25"/>
      <c r="J3317" s="25"/>
      <c r="K3317" s="26"/>
      <c r="L3317" s="26"/>
      <c r="M3317" s="37"/>
      <c r="N3317" s="27"/>
      <c r="O3317" s="30"/>
      <c r="P3317" s="39" t="str">
        <f t="shared" si="517"/>
        <v/>
      </c>
      <c r="Q3317" s="40" t="str">
        <f>IF(OR(T3317=0,RIGHT(T3317,1)=$W$1),"",COUNTIF($T$3:T3317,T3317))</f>
        <v/>
      </c>
      <c r="S3317" s="6">
        <f t="shared" si="518"/>
        <v>0</v>
      </c>
      <c r="T3317" s="36">
        <f t="shared" si="519"/>
        <v>0</v>
      </c>
      <c r="V3317" s="6">
        <f t="shared" si="520"/>
        <v>0</v>
      </c>
      <c r="Y3317" s="8">
        <f t="shared" si="521"/>
        <v>46023</v>
      </c>
    </row>
    <row r="3318" spans="2:25" ht="18.75" x14ac:dyDescent="0.3">
      <c r="B3318" s="6">
        <f t="shared" si="513"/>
        <v>0</v>
      </c>
      <c r="C3318" s="6">
        <f t="shared" si="514"/>
        <v>0</v>
      </c>
      <c r="D3318" s="6" t="str">
        <f t="shared" si="515"/>
        <v/>
      </c>
      <c r="E3318" s="35" t="str">
        <f t="shared" si="512"/>
        <v/>
      </c>
      <c r="F3318" s="31"/>
      <c r="G3318" s="29"/>
      <c r="H3318" s="78" t="str">
        <f t="shared" si="516"/>
        <v/>
      </c>
      <c r="I3318" s="25"/>
      <c r="J3318" s="25"/>
      <c r="K3318" s="26"/>
      <c r="L3318" s="26"/>
      <c r="M3318" s="37"/>
      <c r="N3318" s="27"/>
      <c r="O3318" s="30"/>
      <c r="P3318" s="39" t="str">
        <f t="shared" si="517"/>
        <v/>
      </c>
      <c r="Q3318" s="40" t="str">
        <f>IF(OR(T3318=0,RIGHT(T3318,1)=$W$1),"",COUNTIF($T$3:T3318,T3318))</f>
        <v/>
      </c>
      <c r="S3318" s="6">
        <f t="shared" si="518"/>
        <v>0</v>
      </c>
      <c r="T3318" s="36">
        <f t="shared" si="519"/>
        <v>0</v>
      </c>
      <c r="V3318" s="6">
        <f t="shared" si="520"/>
        <v>0</v>
      </c>
      <c r="Y3318" s="8">
        <f t="shared" si="521"/>
        <v>46023</v>
      </c>
    </row>
    <row r="3319" spans="2:25" ht="18.75" x14ac:dyDescent="0.3">
      <c r="B3319" s="6">
        <f t="shared" si="513"/>
        <v>0</v>
      </c>
      <c r="C3319" s="6">
        <f t="shared" si="514"/>
        <v>0</v>
      </c>
      <c r="D3319" s="6" t="str">
        <f t="shared" si="515"/>
        <v/>
      </c>
      <c r="E3319" s="35" t="str">
        <f t="shared" si="512"/>
        <v/>
      </c>
      <c r="F3319" s="31"/>
      <c r="G3319" s="29"/>
      <c r="H3319" s="78" t="str">
        <f t="shared" si="516"/>
        <v/>
      </c>
      <c r="I3319" s="25"/>
      <c r="J3319" s="25"/>
      <c r="K3319" s="26"/>
      <c r="L3319" s="26"/>
      <c r="M3319" s="37"/>
      <c r="N3319" s="27"/>
      <c r="O3319" s="30"/>
      <c r="P3319" s="39" t="str">
        <f t="shared" si="517"/>
        <v/>
      </c>
      <c r="Q3319" s="40" t="str">
        <f>IF(OR(T3319=0,RIGHT(T3319,1)=$W$1),"",COUNTIF($T$3:T3319,T3319))</f>
        <v/>
      </c>
      <c r="S3319" s="6">
        <f t="shared" si="518"/>
        <v>0</v>
      </c>
      <c r="T3319" s="36">
        <f t="shared" si="519"/>
        <v>0</v>
      </c>
      <c r="V3319" s="6">
        <f t="shared" si="520"/>
        <v>0</v>
      </c>
      <c r="Y3319" s="8">
        <f t="shared" si="521"/>
        <v>46023</v>
      </c>
    </row>
    <row r="3320" spans="2:25" ht="18.75" x14ac:dyDescent="0.3">
      <c r="B3320" s="6">
        <f t="shared" si="513"/>
        <v>0</v>
      </c>
      <c r="C3320" s="6">
        <f t="shared" si="514"/>
        <v>0</v>
      </c>
      <c r="D3320" s="6" t="str">
        <f t="shared" si="515"/>
        <v/>
      </c>
      <c r="E3320" s="35" t="str">
        <f t="shared" si="512"/>
        <v/>
      </c>
      <c r="F3320" s="31"/>
      <c r="G3320" s="29"/>
      <c r="H3320" s="78" t="str">
        <f t="shared" si="516"/>
        <v/>
      </c>
      <c r="I3320" s="25"/>
      <c r="J3320" s="25"/>
      <c r="K3320" s="26"/>
      <c r="L3320" s="26"/>
      <c r="M3320" s="37"/>
      <c r="N3320" s="27"/>
      <c r="O3320" s="30"/>
      <c r="P3320" s="39" t="str">
        <f t="shared" si="517"/>
        <v/>
      </c>
      <c r="Q3320" s="40" t="str">
        <f>IF(OR(T3320=0,RIGHT(T3320,1)=$W$1),"",COUNTIF($T$3:T3320,T3320))</f>
        <v/>
      </c>
      <c r="S3320" s="6">
        <f t="shared" si="518"/>
        <v>0</v>
      </c>
      <c r="T3320" s="36">
        <f t="shared" si="519"/>
        <v>0</v>
      </c>
      <c r="V3320" s="6">
        <f t="shared" si="520"/>
        <v>0</v>
      </c>
      <c r="Y3320" s="8">
        <f t="shared" si="521"/>
        <v>46023</v>
      </c>
    </row>
    <row r="3321" spans="2:25" ht="18.75" x14ac:dyDescent="0.3">
      <c r="B3321" s="6">
        <f t="shared" si="513"/>
        <v>0</v>
      </c>
      <c r="C3321" s="6">
        <f t="shared" si="514"/>
        <v>0</v>
      </c>
      <c r="D3321" s="6" t="str">
        <f t="shared" si="515"/>
        <v/>
      </c>
      <c r="E3321" s="35" t="str">
        <f t="shared" si="512"/>
        <v/>
      </c>
      <c r="F3321" s="31"/>
      <c r="G3321" s="29"/>
      <c r="H3321" s="78" t="str">
        <f t="shared" si="516"/>
        <v/>
      </c>
      <c r="I3321" s="25"/>
      <c r="J3321" s="25"/>
      <c r="K3321" s="26"/>
      <c r="L3321" s="26"/>
      <c r="M3321" s="37"/>
      <c r="N3321" s="27"/>
      <c r="O3321" s="30"/>
      <c r="P3321" s="39" t="str">
        <f t="shared" si="517"/>
        <v/>
      </c>
      <c r="Q3321" s="40" t="str">
        <f>IF(OR(T3321=0,RIGHT(T3321,1)=$W$1),"",COUNTIF($T$3:T3321,T3321))</f>
        <v/>
      </c>
      <c r="S3321" s="6">
        <f t="shared" si="518"/>
        <v>0</v>
      </c>
      <c r="T3321" s="36">
        <f t="shared" si="519"/>
        <v>0</v>
      </c>
      <c r="V3321" s="6">
        <f t="shared" si="520"/>
        <v>0</v>
      </c>
      <c r="Y3321" s="8">
        <f t="shared" si="521"/>
        <v>46023</v>
      </c>
    </row>
    <row r="3322" spans="2:25" ht="18.75" x14ac:dyDescent="0.3">
      <c r="B3322" s="6">
        <f t="shared" si="513"/>
        <v>0</v>
      </c>
      <c r="C3322" s="6">
        <f t="shared" si="514"/>
        <v>0</v>
      </c>
      <c r="D3322" s="6" t="str">
        <f t="shared" si="515"/>
        <v/>
      </c>
      <c r="E3322" s="35" t="str">
        <f t="shared" si="512"/>
        <v/>
      </c>
      <c r="F3322" s="31"/>
      <c r="G3322" s="29"/>
      <c r="H3322" s="78" t="str">
        <f t="shared" si="516"/>
        <v/>
      </c>
      <c r="I3322" s="25"/>
      <c r="J3322" s="25"/>
      <c r="K3322" s="26"/>
      <c r="L3322" s="26"/>
      <c r="M3322" s="37"/>
      <c r="N3322" s="27"/>
      <c r="O3322" s="30"/>
      <c r="P3322" s="39" t="str">
        <f t="shared" si="517"/>
        <v/>
      </c>
      <c r="Q3322" s="40" t="str">
        <f>IF(OR(T3322=0,RIGHT(T3322,1)=$W$1),"",COUNTIF($T$3:T3322,T3322))</f>
        <v/>
      </c>
      <c r="S3322" s="6">
        <f t="shared" si="518"/>
        <v>0</v>
      </c>
      <c r="T3322" s="36">
        <f t="shared" si="519"/>
        <v>0</v>
      </c>
      <c r="V3322" s="6">
        <f t="shared" si="520"/>
        <v>0</v>
      </c>
      <c r="Y3322" s="8">
        <f t="shared" si="521"/>
        <v>46023</v>
      </c>
    </row>
    <row r="3323" spans="2:25" ht="18.75" x14ac:dyDescent="0.3">
      <c r="B3323" s="6">
        <f t="shared" si="513"/>
        <v>0</v>
      </c>
      <c r="C3323" s="6">
        <f t="shared" si="514"/>
        <v>0</v>
      </c>
      <c r="D3323" s="6" t="str">
        <f t="shared" si="515"/>
        <v/>
      </c>
      <c r="E3323" s="35" t="str">
        <f t="shared" si="512"/>
        <v/>
      </c>
      <c r="F3323" s="31"/>
      <c r="G3323" s="29"/>
      <c r="H3323" s="78" t="str">
        <f t="shared" si="516"/>
        <v/>
      </c>
      <c r="I3323" s="25"/>
      <c r="J3323" s="25"/>
      <c r="K3323" s="26"/>
      <c r="L3323" s="26"/>
      <c r="M3323" s="37"/>
      <c r="N3323" s="27"/>
      <c r="O3323" s="30"/>
      <c r="P3323" s="39" t="str">
        <f t="shared" si="517"/>
        <v/>
      </c>
      <c r="Q3323" s="40" t="str">
        <f>IF(OR(T3323=0,RIGHT(T3323,1)=$W$1),"",COUNTIF($T$3:T3323,T3323))</f>
        <v/>
      </c>
      <c r="S3323" s="6">
        <f t="shared" si="518"/>
        <v>0</v>
      </c>
      <c r="T3323" s="36">
        <f t="shared" si="519"/>
        <v>0</v>
      </c>
      <c r="V3323" s="6">
        <f t="shared" si="520"/>
        <v>0</v>
      </c>
      <c r="Y3323" s="8">
        <f t="shared" si="521"/>
        <v>46023</v>
      </c>
    </row>
    <row r="3324" spans="2:25" ht="18.75" x14ac:dyDescent="0.3">
      <c r="B3324" s="6">
        <f t="shared" si="513"/>
        <v>0</v>
      </c>
      <c r="C3324" s="6">
        <f t="shared" si="514"/>
        <v>0</v>
      </c>
      <c r="D3324" s="6" t="str">
        <f t="shared" si="515"/>
        <v/>
      </c>
      <c r="E3324" s="35" t="str">
        <f t="shared" si="512"/>
        <v/>
      </c>
      <c r="F3324" s="31"/>
      <c r="G3324" s="29"/>
      <c r="H3324" s="78" t="str">
        <f t="shared" si="516"/>
        <v/>
      </c>
      <c r="I3324" s="25"/>
      <c r="J3324" s="25"/>
      <c r="K3324" s="26"/>
      <c r="L3324" s="26"/>
      <c r="M3324" s="37"/>
      <c r="N3324" s="27"/>
      <c r="O3324" s="30"/>
      <c r="P3324" s="39" t="str">
        <f t="shared" si="517"/>
        <v/>
      </c>
      <c r="Q3324" s="40" t="str">
        <f>IF(OR(T3324=0,RIGHT(T3324,1)=$W$1),"",COUNTIF($T$3:T3324,T3324))</f>
        <v/>
      </c>
      <c r="S3324" s="6">
        <f t="shared" si="518"/>
        <v>0</v>
      </c>
      <c r="T3324" s="36">
        <f t="shared" si="519"/>
        <v>0</v>
      </c>
      <c r="V3324" s="6">
        <f t="shared" si="520"/>
        <v>0</v>
      </c>
      <c r="Y3324" s="8">
        <f t="shared" si="521"/>
        <v>46023</v>
      </c>
    </row>
    <row r="3325" spans="2:25" ht="18.75" x14ac:dyDescent="0.3">
      <c r="B3325" s="6">
        <f t="shared" si="513"/>
        <v>0</v>
      </c>
      <c r="C3325" s="6">
        <f t="shared" si="514"/>
        <v>0</v>
      </c>
      <c r="D3325" s="6" t="str">
        <f t="shared" si="515"/>
        <v/>
      </c>
      <c r="E3325" s="35" t="str">
        <f t="shared" si="512"/>
        <v/>
      </c>
      <c r="F3325" s="31"/>
      <c r="G3325" s="29"/>
      <c r="H3325" s="78" t="str">
        <f t="shared" si="516"/>
        <v/>
      </c>
      <c r="I3325" s="25"/>
      <c r="J3325" s="25"/>
      <c r="K3325" s="26"/>
      <c r="L3325" s="26"/>
      <c r="M3325" s="37"/>
      <c r="N3325" s="27"/>
      <c r="O3325" s="30"/>
      <c r="P3325" s="39" t="str">
        <f t="shared" si="517"/>
        <v/>
      </c>
      <c r="Q3325" s="40" t="str">
        <f>IF(OR(T3325=0,RIGHT(T3325,1)=$W$1),"",COUNTIF($T$3:T3325,T3325))</f>
        <v/>
      </c>
      <c r="S3325" s="6">
        <f t="shared" si="518"/>
        <v>0</v>
      </c>
      <c r="T3325" s="36">
        <f t="shared" si="519"/>
        <v>0</v>
      </c>
      <c r="V3325" s="6">
        <f t="shared" si="520"/>
        <v>0</v>
      </c>
      <c r="Y3325" s="8">
        <f t="shared" si="521"/>
        <v>46023</v>
      </c>
    </row>
    <row r="3326" spans="2:25" ht="18.75" x14ac:dyDescent="0.3">
      <c r="B3326" s="6">
        <f t="shared" si="513"/>
        <v>0</v>
      </c>
      <c r="C3326" s="6">
        <f t="shared" si="514"/>
        <v>0</v>
      </c>
      <c r="D3326" s="6" t="str">
        <f t="shared" si="515"/>
        <v/>
      </c>
      <c r="E3326" s="35" t="str">
        <f t="shared" si="512"/>
        <v/>
      </c>
      <c r="F3326" s="31"/>
      <c r="G3326" s="29"/>
      <c r="H3326" s="78" t="str">
        <f t="shared" si="516"/>
        <v/>
      </c>
      <c r="I3326" s="25"/>
      <c r="J3326" s="25"/>
      <c r="K3326" s="26"/>
      <c r="L3326" s="26"/>
      <c r="M3326" s="37"/>
      <c r="N3326" s="27"/>
      <c r="O3326" s="30"/>
      <c r="P3326" s="39" t="str">
        <f t="shared" si="517"/>
        <v/>
      </c>
      <c r="Q3326" s="40" t="str">
        <f>IF(OR(T3326=0,RIGHT(T3326,1)=$W$1),"",COUNTIF($T$3:T3326,T3326))</f>
        <v/>
      </c>
      <c r="S3326" s="6">
        <f t="shared" si="518"/>
        <v>0</v>
      </c>
      <c r="T3326" s="36">
        <f t="shared" si="519"/>
        <v>0</v>
      </c>
      <c r="V3326" s="6">
        <f t="shared" si="520"/>
        <v>0</v>
      </c>
      <c r="Y3326" s="8">
        <f t="shared" si="521"/>
        <v>46023</v>
      </c>
    </row>
    <row r="3327" spans="2:25" ht="18.75" x14ac:dyDescent="0.3">
      <c r="B3327" s="6">
        <f t="shared" si="513"/>
        <v>0</v>
      </c>
      <c r="C3327" s="6">
        <f t="shared" si="514"/>
        <v>0</v>
      </c>
      <c r="D3327" s="6" t="str">
        <f t="shared" si="515"/>
        <v/>
      </c>
      <c r="E3327" s="35" t="str">
        <f t="shared" si="512"/>
        <v/>
      </c>
      <c r="F3327" s="31"/>
      <c r="G3327" s="29"/>
      <c r="H3327" s="78" t="str">
        <f t="shared" si="516"/>
        <v/>
      </c>
      <c r="I3327" s="25"/>
      <c r="J3327" s="25"/>
      <c r="K3327" s="26"/>
      <c r="L3327" s="26"/>
      <c r="M3327" s="37"/>
      <c r="N3327" s="27"/>
      <c r="O3327" s="30"/>
      <c r="P3327" s="39" t="str">
        <f t="shared" si="517"/>
        <v/>
      </c>
      <c r="Q3327" s="40" t="str">
        <f>IF(OR(T3327=0,RIGHT(T3327,1)=$W$1),"",COUNTIF($T$3:T3327,T3327))</f>
        <v/>
      </c>
      <c r="S3327" s="6">
        <f t="shared" si="518"/>
        <v>0</v>
      </c>
      <c r="T3327" s="36">
        <f t="shared" si="519"/>
        <v>0</v>
      </c>
      <c r="V3327" s="6">
        <f t="shared" si="520"/>
        <v>0</v>
      </c>
      <c r="Y3327" s="8">
        <f t="shared" si="521"/>
        <v>46023</v>
      </c>
    </row>
    <row r="3328" spans="2:25" ht="18.75" x14ac:dyDescent="0.3">
      <c r="B3328" s="6">
        <f t="shared" si="513"/>
        <v>0</v>
      </c>
      <c r="C3328" s="6">
        <f t="shared" si="514"/>
        <v>0</v>
      </c>
      <c r="D3328" s="6" t="str">
        <f t="shared" si="515"/>
        <v/>
      </c>
      <c r="E3328" s="35" t="str">
        <f t="shared" si="512"/>
        <v/>
      </c>
      <c r="F3328" s="31"/>
      <c r="G3328" s="29"/>
      <c r="H3328" s="78" t="str">
        <f t="shared" si="516"/>
        <v/>
      </c>
      <c r="I3328" s="25"/>
      <c r="J3328" s="25"/>
      <c r="K3328" s="26"/>
      <c r="L3328" s="26"/>
      <c r="M3328" s="37"/>
      <c r="N3328" s="27"/>
      <c r="O3328" s="30"/>
      <c r="P3328" s="39" t="str">
        <f t="shared" si="517"/>
        <v/>
      </c>
      <c r="Q3328" s="40" t="str">
        <f>IF(OR(T3328=0,RIGHT(T3328,1)=$W$1),"",COUNTIF($T$3:T3328,T3328))</f>
        <v/>
      </c>
      <c r="S3328" s="6">
        <f t="shared" si="518"/>
        <v>0</v>
      </c>
      <c r="T3328" s="36">
        <f t="shared" si="519"/>
        <v>0</v>
      </c>
      <c r="V3328" s="6">
        <f t="shared" si="520"/>
        <v>0</v>
      </c>
      <c r="Y3328" s="8">
        <f t="shared" si="521"/>
        <v>46023</v>
      </c>
    </row>
    <row r="3329" spans="2:25" ht="18.75" x14ac:dyDescent="0.3">
      <c r="B3329" s="6">
        <f t="shared" si="513"/>
        <v>0</v>
      </c>
      <c r="C3329" s="6">
        <f t="shared" si="514"/>
        <v>0</v>
      </c>
      <c r="D3329" s="6" t="str">
        <f t="shared" si="515"/>
        <v/>
      </c>
      <c r="E3329" s="35" t="str">
        <f t="shared" si="512"/>
        <v/>
      </c>
      <c r="F3329" s="31"/>
      <c r="G3329" s="29"/>
      <c r="H3329" s="78" t="str">
        <f t="shared" si="516"/>
        <v/>
      </c>
      <c r="I3329" s="25"/>
      <c r="J3329" s="25"/>
      <c r="K3329" s="26"/>
      <c r="L3329" s="26"/>
      <c r="M3329" s="37"/>
      <c r="N3329" s="27"/>
      <c r="O3329" s="30"/>
      <c r="P3329" s="39" t="str">
        <f t="shared" si="517"/>
        <v/>
      </c>
      <c r="Q3329" s="40" t="str">
        <f>IF(OR(T3329=0,RIGHT(T3329,1)=$W$1),"",COUNTIF($T$3:T3329,T3329))</f>
        <v/>
      </c>
      <c r="S3329" s="6">
        <f t="shared" si="518"/>
        <v>0</v>
      </c>
      <c r="T3329" s="36">
        <f t="shared" si="519"/>
        <v>0</v>
      </c>
      <c r="V3329" s="6">
        <f t="shared" si="520"/>
        <v>0</v>
      </c>
      <c r="Y3329" s="8">
        <f t="shared" si="521"/>
        <v>46023</v>
      </c>
    </row>
    <row r="3330" spans="2:25" ht="18.75" x14ac:dyDescent="0.3">
      <c r="B3330" s="6">
        <f t="shared" si="513"/>
        <v>0</v>
      </c>
      <c r="C3330" s="6">
        <f t="shared" si="514"/>
        <v>0</v>
      </c>
      <c r="D3330" s="6" t="str">
        <f t="shared" si="515"/>
        <v/>
      </c>
      <c r="E3330" s="35" t="str">
        <f t="shared" si="512"/>
        <v/>
      </c>
      <c r="F3330" s="31"/>
      <c r="G3330" s="29"/>
      <c r="H3330" s="78" t="str">
        <f t="shared" si="516"/>
        <v/>
      </c>
      <c r="I3330" s="25"/>
      <c r="J3330" s="25"/>
      <c r="K3330" s="26"/>
      <c r="L3330" s="26"/>
      <c r="M3330" s="37"/>
      <c r="N3330" s="27"/>
      <c r="O3330" s="30"/>
      <c r="P3330" s="39" t="str">
        <f t="shared" si="517"/>
        <v/>
      </c>
      <c r="Q3330" s="40" t="str">
        <f>IF(OR(T3330=0,RIGHT(T3330,1)=$W$1),"",COUNTIF($T$3:T3330,T3330))</f>
        <v/>
      </c>
      <c r="S3330" s="6">
        <f t="shared" si="518"/>
        <v>0</v>
      </c>
      <c r="T3330" s="36">
        <f t="shared" si="519"/>
        <v>0</v>
      </c>
      <c r="V3330" s="6">
        <f t="shared" si="520"/>
        <v>0</v>
      </c>
      <c r="Y3330" s="8">
        <f t="shared" si="521"/>
        <v>46023</v>
      </c>
    </row>
    <row r="3331" spans="2:25" ht="18.75" x14ac:dyDescent="0.3">
      <c r="B3331" s="6">
        <f t="shared" si="513"/>
        <v>0</v>
      </c>
      <c r="C3331" s="6">
        <f t="shared" si="514"/>
        <v>0</v>
      </c>
      <c r="D3331" s="6" t="str">
        <f t="shared" si="515"/>
        <v/>
      </c>
      <c r="E3331" s="35" t="str">
        <f t="shared" ref="E3331:E3394" si="522">IF(D3331&lt;&gt;"",D3331&amp;" - "&amp;YEAR(F3331),"")</f>
        <v/>
      </c>
      <c r="F3331" s="31"/>
      <c r="G3331" s="29"/>
      <c r="H3331" s="78" t="str">
        <f t="shared" si="516"/>
        <v/>
      </c>
      <c r="I3331" s="25"/>
      <c r="J3331" s="25"/>
      <c r="K3331" s="26"/>
      <c r="L3331" s="26"/>
      <c r="M3331" s="37"/>
      <c r="N3331" s="27"/>
      <c r="O3331" s="30"/>
      <c r="P3331" s="39" t="str">
        <f t="shared" si="517"/>
        <v/>
      </c>
      <c r="Q3331" s="40" t="str">
        <f>IF(OR(T3331=0,RIGHT(T3331,1)=$W$1),"",COUNTIF($T$3:T3331,T3331))</f>
        <v/>
      </c>
      <c r="S3331" s="6">
        <f t="shared" si="518"/>
        <v>0</v>
      </c>
      <c r="T3331" s="36">
        <f t="shared" si="519"/>
        <v>0</v>
      </c>
      <c r="V3331" s="6">
        <f t="shared" si="520"/>
        <v>0</v>
      </c>
      <c r="Y3331" s="8">
        <f t="shared" si="521"/>
        <v>46023</v>
      </c>
    </row>
    <row r="3332" spans="2:25" ht="18.75" x14ac:dyDescent="0.3">
      <c r="B3332" s="6">
        <f t="shared" ref="B3332:B3395" si="523">IF($B$1=YEAR(F3332),B3331+1,B3331)</f>
        <v>0</v>
      </c>
      <c r="C3332" s="6">
        <f t="shared" ref="C3332:C3395" si="524">IF(AND($C$1=K3332,$Y$1=YEAR(F3332)),C3331+1,C3331)</f>
        <v>0</v>
      </c>
      <c r="D3332" s="6" t="str">
        <f t="shared" ref="D3332:D3395" si="525">IF(F3332&lt;&gt;0,IF(YEAR(F3332)&lt;&gt;YEAR(F3331),1,IF(M3332=$AI$1,D3331,D3331+1)),"")</f>
        <v/>
      </c>
      <c r="E3332" s="35" t="str">
        <f t="shared" si="522"/>
        <v/>
      </c>
      <c r="F3332" s="31"/>
      <c r="G3332" s="29"/>
      <c r="H3332" s="78" t="str">
        <f t="shared" ref="H3332:H3395" si="526">IF(G3332&lt;&gt;"",F3332,"")</f>
        <v/>
      </c>
      <c r="I3332" s="25"/>
      <c r="J3332" s="25"/>
      <c r="K3332" s="26"/>
      <c r="L3332" s="26"/>
      <c r="M3332" s="37"/>
      <c r="N3332" s="27"/>
      <c r="O3332" s="30"/>
      <c r="P3332" s="39" t="str">
        <f t="shared" ref="P3332:P3395" si="527">IF(OR(T3332=0,RIGHT(T3332,1)=$W$1),"",VLOOKUP(K3332,$AD$1:$AK$15,5,FALSE))</f>
        <v/>
      </c>
      <c r="Q3332" s="40" t="str">
        <f>IF(OR(T3332=0,RIGHT(T3332,1)=$W$1),"",COUNTIF($T$3:T3332,T3332))</f>
        <v/>
      </c>
      <c r="S3332" s="6">
        <f t="shared" ref="S3332:S3395" si="528">IF(AND($C$1=K3332,$Y$1=YEAR(F3332)),C3332,0)</f>
        <v>0</v>
      </c>
      <c r="T3332" s="36">
        <f t="shared" ref="T3332:T3395" si="529">IF(F3332=0,0,YEAR(F3332)&amp;VLOOKUP(K3332,$AD$1:$AE$15,2,FALSE))</f>
        <v>0</v>
      </c>
      <c r="V3332" s="6">
        <f t="shared" ref="V3332:V3395" si="530">IF(AND(YEAR(F3332)=$Y$1,K3332=$C$1,L3332&amp;$V$1&lt;&gt;$V$1),L3332,IF(AND(YEAR(F3332)=$Y$1,K3332=$C$1),1,0))</f>
        <v>0</v>
      </c>
      <c r="Y3332" s="8">
        <f t="shared" ref="Y3332:Y3395" si="531">IF(M3332&lt;&gt;$AI$1,$Y$2,F3331)</f>
        <v>46023</v>
      </c>
    </row>
    <row r="3333" spans="2:25" ht="18.75" x14ac:dyDescent="0.3">
      <c r="B3333" s="6">
        <f t="shared" si="523"/>
        <v>0</v>
      </c>
      <c r="C3333" s="6">
        <f t="shared" si="524"/>
        <v>0</v>
      </c>
      <c r="D3333" s="6" t="str">
        <f t="shared" si="525"/>
        <v/>
      </c>
      <c r="E3333" s="35" t="str">
        <f t="shared" si="522"/>
        <v/>
      </c>
      <c r="F3333" s="31"/>
      <c r="G3333" s="29"/>
      <c r="H3333" s="78" t="str">
        <f t="shared" si="526"/>
        <v/>
      </c>
      <c r="I3333" s="25"/>
      <c r="J3333" s="25"/>
      <c r="K3333" s="26"/>
      <c r="L3333" s="26"/>
      <c r="M3333" s="37"/>
      <c r="N3333" s="27"/>
      <c r="O3333" s="30"/>
      <c r="P3333" s="39" t="str">
        <f t="shared" si="527"/>
        <v/>
      </c>
      <c r="Q3333" s="40" t="str">
        <f>IF(OR(T3333=0,RIGHT(T3333,1)=$W$1),"",COUNTIF($T$3:T3333,T3333))</f>
        <v/>
      </c>
      <c r="S3333" s="6">
        <f t="shared" si="528"/>
        <v>0</v>
      </c>
      <c r="T3333" s="36">
        <f t="shared" si="529"/>
        <v>0</v>
      </c>
      <c r="V3333" s="6">
        <f t="shared" si="530"/>
        <v>0</v>
      </c>
      <c r="Y3333" s="8">
        <f t="shared" si="531"/>
        <v>46023</v>
      </c>
    </row>
    <row r="3334" spans="2:25" ht="18.75" x14ac:dyDescent="0.3">
      <c r="B3334" s="6">
        <f t="shared" si="523"/>
        <v>0</v>
      </c>
      <c r="C3334" s="6">
        <f t="shared" si="524"/>
        <v>0</v>
      </c>
      <c r="D3334" s="6" t="str">
        <f t="shared" si="525"/>
        <v/>
      </c>
      <c r="E3334" s="35" t="str">
        <f t="shared" si="522"/>
        <v/>
      </c>
      <c r="F3334" s="31"/>
      <c r="G3334" s="29"/>
      <c r="H3334" s="78" t="str">
        <f t="shared" si="526"/>
        <v/>
      </c>
      <c r="I3334" s="25"/>
      <c r="J3334" s="25"/>
      <c r="K3334" s="26"/>
      <c r="L3334" s="26"/>
      <c r="M3334" s="37"/>
      <c r="N3334" s="27"/>
      <c r="O3334" s="30"/>
      <c r="P3334" s="39" t="str">
        <f t="shared" si="527"/>
        <v/>
      </c>
      <c r="Q3334" s="40" t="str">
        <f>IF(OR(T3334=0,RIGHT(T3334,1)=$W$1),"",COUNTIF($T$3:T3334,T3334))</f>
        <v/>
      </c>
      <c r="S3334" s="6">
        <f t="shared" si="528"/>
        <v>0</v>
      </c>
      <c r="T3334" s="36">
        <f t="shared" si="529"/>
        <v>0</v>
      </c>
      <c r="V3334" s="6">
        <f t="shared" si="530"/>
        <v>0</v>
      </c>
      <c r="Y3334" s="8">
        <f t="shared" si="531"/>
        <v>46023</v>
      </c>
    </row>
    <row r="3335" spans="2:25" ht="18.75" x14ac:dyDescent="0.3">
      <c r="B3335" s="6">
        <f t="shared" si="523"/>
        <v>0</v>
      </c>
      <c r="C3335" s="6">
        <f t="shared" si="524"/>
        <v>0</v>
      </c>
      <c r="D3335" s="6" t="str">
        <f t="shared" si="525"/>
        <v/>
      </c>
      <c r="E3335" s="35" t="str">
        <f t="shared" si="522"/>
        <v/>
      </c>
      <c r="F3335" s="31"/>
      <c r="G3335" s="29"/>
      <c r="H3335" s="78" t="str">
        <f t="shared" si="526"/>
        <v/>
      </c>
      <c r="I3335" s="25"/>
      <c r="J3335" s="25"/>
      <c r="K3335" s="26"/>
      <c r="L3335" s="26"/>
      <c r="M3335" s="37"/>
      <c r="N3335" s="27"/>
      <c r="O3335" s="30"/>
      <c r="P3335" s="39" t="str">
        <f t="shared" si="527"/>
        <v/>
      </c>
      <c r="Q3335" s="40" t="str">
        <f>IF(OR(T3335=0,RIGHT(T3335,1)=$W$1),"",COUNTIF($T$3:T3335,T3335))</f>
        <v/>
      </c>
      <c r="S3335" s="6">
        <f t="shared" si="528"/>
        <v>0</v>
      </c>
      <c r="T3335" s="36">
        <f t="shared" si="529"/>
        <v>0</v>
      </c>
      <c r="V3335" s="6">
        <f t="shared" si="530"/>
        <v>0</v>
      </c>
      <c r="Y3335" s="8">
        <f t="shared" si="531"/>
        <v>46023</v>
      </c>
    </row>
    <row r="3336" spans="2:25" ht="18.75" x14ac:dyDescent="0.3">
      <c r="B3336" s="6">
        <f t="shared" si="523"/>
        <v>0</v>
      </c>
      <c r="C3336" s="6">
        <f t="shared" si="524"/>
        <v>0</v>
      </c>
      <c r="D3336" s="6" t="str">
        <f t="shared" si="525"/>
        <v/>
      </c>
      <c r="E3336" s="35" t="str">
        <f t="shared" si="522"/>
        <v/>
      </c>
      <c r="F3336" s="31"/>
      <c r="G3336" s="29"/>
      <c r="H3336" s="78" t="str">
        <f t="shared" si="526"/>
        <v/>
      </c>
      <c r="I3336" s="25"/>
      <c r="J3336" s="25"/>
      <c r="K3336" s="26"/>
      <c r="L3336" s="26"/>
      <c r="M3336" s="37"/>
      <c r="N3336" s="27"/>
      <c r="O3336" s="30"/>
      <c r="P3336" s="39" t="str">
        <f t="shared" si="527"/>
        <v/>
      </c>
      <c r="Q3336" s="40" t="str">
        <f>IF(OR(T3336=0,RIGHT(T3336,1)=$W$1),"",COUNTIF($T$3:T3336,T3336))</f>
        <v/>
      </c>
      <c r="S3336" s="6">
        <f t="shared" si="528"/>
        <v>0</v>
      </c>
      <c r="T3336" s="36">
        <f t="shared" si="529"/>
        <v>0</v>
      </c>
      <c r="V3336" s="6">
        <f t="shared" si="530"/>
        <v>0</v>
      </c>
      <c r="Y3336" s="8">
        <f t="shared" si="531"/>
        <v>46023</v>
      </c>
    </row>
    <row r="3337" spans="2:25" ht="18.75" x14ac:dyDescent="0.3">
      <c r="B3337" s="6">
        <f t="shared" si="523"/>
        <v>0</v>
      </c>
      <c r="C3337" s="6">
        <f t="shared" si="524"/>
        <v>0</v>
      </c>
      <c r="D3337" s="6" t="str">
        <f t="shared" si="525"/>
        <v/>
      </c>
      <c r="E3337" s="35" t="str">
        <f t="shared" si="522"/>
        <v/>
      </c>
      <c r="F3337" s="31"/>
      <c r="G3337" s="29"/>
      <c r="H3337" s="78" t="str">
        <f t="shared" si="526"/>
        <v/>
      </c>
      <c r="I3337" s="25"/>
      <c r="J3337" s="25"/>
      <c r="K3337" s="26"/>
      <c r="L3337" s="26"/>
      <c r="M3337" s="37"/>
      <c r="N3337" s="27"/>
      <c r="O3337" s="30"/>
      <c r="P3337" s="39" t="str">
        <f t="shared" si="527"/>
        <v/>
      </c>
      <c r="Q3337" s="40" t="str">
        <f>IF(OR(T3337=0,RIGHT(T3337,1)=$W$1),"",COUNTIF($T$3:T3337,T3337))</f>
        <v/>
      </c>
      <c r="S3337" s="6">
        <f t="shared" si="528"/>
        <v>0</v>
      </c>
      <c r="T3337" s="36">
        <f t="shared" si="529"/>
        <v>0</v>
      </c>
      <c r="V3337" s="6">
        <f t="shared" si="530"/>
        <v>0</v>
      </c>
      <c r="Y3337" s="8">
        <f t="shared" si="531"/>
        <v>46023</v>
      </c>
    </row>
    <row r="3338" spans="2:25" ht="18.75" x14ac:dyDescent="0.3">
      <c r="B3338" s="6">
        <f t="shared" si="523"/>
        <v>0</v>
      </c>
      <c r="C3338" s="6">
        <f t="shared" si="524"/>
        <v>0</v>
      </c>
      <c r="D3338" s="6" t="str">
        <f t="shared" si="525"/>
        <v/>
      </c>
      <c r="E3338" s="35" t="str">
        <f t="shared" si="522"/>
        <v/>
      </c>
      <c r="F3338" s="31"/>
      <c r="G3338" s="29"/>
      <c r="H3338" s="78" t="str">
        <f t="shared" si="526"/>
        <v/>
      </c>
      <c r="I3338" s="25"/>
      <c r="J3338" s="25"/>
      <c r="K3338" s="26"/>
      <c r="L3338" s="26"/>
      <c r="M3338" s="37"/>
      <c r="N3338" s="27"/>
      <c r="O3338" s="30"/>
      <c r="P3338" s="39" t="str">
        <f t="shared" si="527"/>
        <v/>
      </c>
      <c r="Q3338" s="40" t="str">
        <f>IF(OR(T3338=0,RIGHT(T3338,1)=$W$1),"",COUNTIF($T$3:T3338,T3338))</f>
        <v/>
      </c>
      <c r="S3338" s="6">
        <f t="shared" si="528"/>
        <v>0</v>
      </c>
      <c r="T3338" s="36">
        <f t="shared" si="529"/>
        <v>0</v>
      </c>
      <c r="V3338" s="6">
        <f t="shared" si="530"/>
        <v>0</v>
      </c>
      <c r="Y3338" s="8">
        <f t="shared" si="531"/>
        <v>46023</v>
      </c>
    </row>
    <row r="3339" spans="2:25" ht="18.75" x14ac:dyDescent="0.3">
      <c r="B3339" s="6">
        <f t="shared" si="523"/>
        <v>0</v>
      </c>
      <c r="C3339" s="6">
        <f t="shared" si="524"/>
        <v>0</v>
      </c>
      <c r="D3339" s="6" t="str">
        <f t="shared" si="525"/>
        <v/>
      </c>
      <c r="E3339" s="35" t="str">
        <f t="shared" si="522"/>
        <v/>
      </c>
      <c r="F3339" s="31"/>
      <c r="G3339" s="29"/>
      <c r="H3339" s="78" t="str">
        <f t="shared" si="526"/>
        <v/>
      </c>
      <c r="I3339" s="25"/>
      <c r="J3339" s="25"/>
      <c r="K3339" s="26"/>
      <c r="L3339" s="26"/>
      <c r="M3339" s="37"/>
      <c r="N3339" s="27"/>
      <c r="O3339" s="30"/>
      <c r="P3339" s="39" t="str">
        <f t="shared" si="527"/>
        <v/>
      </c>
      <c r="Q3339" s="40" t="str">
        <f>IF(OR(T3339=0,RIGHT(T3339,1)=$W$1),"",COUNTIF($T$3:T3339,T3339))</f>
        <v/>
      </c>
      <c r="S3339" s="6">
        <f t="shared" si="528"/>
        <v>0</v>
      </c>
      <c r="T3339" s="36">
        <f t="shared" si="529"/>
        <v>0</v>
      </c>
      <c r="V3339" s="6">
        <f t="shared" si="530"/>
        <v>0</v>
      </c>
      <c r="Y3339" s="8">
        <f t="shared" si="531"/>
        <v>46023</v>
      </c>
    </row>
    <row r="3340" spans="2:25" ht="18.75" x14ac:dyDescent="0.3">
      <c r="B3340" s="6">
        <f t="shared" si="523"/>
        <v>0</v>
      </c>
      <c r="C3340" s="6">
        <f t="shared" si="524"/>
        <v>0</v>
      </c>
      <c r="D3340" s="6" t="str">
        <f t="shared" si="525"/>
        <v/>
      </c>
      <c r="E3340" s="35" t="str">
        <f t="shared" si="522"/>
        <v/>
      </c>
      <c r="F3340" s="31"/>
      <c r="G3340" s="29"/>
      <c r="H3340" s="78" t="str">
        <f t="shared" si="526"/>
        <v/>
      </c>
      <c r="I3340" s="25"/>
      <c r="J3340" s="25"/>
      <c r="K3340" s="26"/>
      <c r="L3340" s="26"/>
      <c r="M3340" s="37"/>
      <c r="N3340" s="27"/>
      <c r="O3340" s="30"/>
      <c r="P3340" s="39" t="str">
        <f t="shared" si="527"/>
        <v/>
      </c>
      <c r="Q3340" s="40" t="str">
        <f>IF(OR(T3340=0,RIGHT(T3340,1)=$W$1),"",COUNTIF($T$3:T3340,T3340))</f>
        <v/>
      </c>
      <c r="S3340" s="6">
        <f t="shared" si="528"/>
        <v>0</v>
      </c>
      <c r="T3340" s="36">
        <f t="shared" si="529"/>
        <v>0</v>
      </c>
      <c r="V3340" s="6">
        <f t="shared" si="530"/>
        <v>0</v>
      </c>
      <c r="Y3340" s="8">
        <f t="shared" si="531"/>
        <v>46023</v>
      </c>
    </row>
    <row r="3341" spans="2:25" ht="18.75" x14ac:dyDescent="0.3">
      <c r="B3341" s="6">
        <f t="shared" si="523"/>
        <v>0</v>
      </c>
      <c r="C3341" s="6">
        <f t="shared" si="524"/>
        <v>0</v>
      </c>
      <c r="D3341" s="6" t="str">
        <f t="shared" si="525"/>
        <v/>
      </c>
      <c r="E3341" s="35" t="str">
        <f t="shared" si="522"/>
        <v/>
      </c>
      <c r="F3341" s="31"/>
      <c r="G3341" s="29"/>
      <c r="H3341" s="78" t="str">
        <f t="shared" si="526"/>
        <v/>
      </c>
      <c r="I3341" s="25"/>
      <c r="J3341" s="25"/>
      <c r="K3341" s="26"/>
      <c r="L3341" s="26"/>
      <c r="M3341" s="37"/>
      <c r="N3341" s="27"/>
      <c r="O3341" s="30"/>
      <c r="P3341" s="39" t="str">
        <f t="shared" si="527"/>
        <v/>
      </c>
      <c r="Q3341" s="40" t="str">
        <f>IF(OR(T3341=0,RIGHT(T3341,1)=$W$1),"",COUNTIF($T$3:T3341,T3341))</f>
        <v/>
      </c>
      <c r="S3341" s="6">
        <f t="shared" si="528"/>
        <v>0</v>
      </c>
      <c r="T3341" s="36">
        <f t="shared" si="529"/>
        <v>0</v>
      </c>
      <c r="V3341" s="6">
        <f t="shared" si="530"/>
        <v>0</v>
      </c>
      <c r="Y3341" s="8">
        <f t="shared" si="531"/>
        <v>46023</v>
      </c>
    </row>
    <row r="3342" spans="2:25" ht="18.75" x14ac:dyDescent="0.3">
      <c r="B3342" s="6">
        <f t="shared" si="523"/>
        <v>0</v>
      </c>
      <c r="C3342" s="6">
        <f t="shared" si="524"/>
        <v>0</v>
      </c>
      <c r="D3342" s="6" t="str">
        <f t="shared" si="525"/>
        <v/>
      </c>
      <c r="E3342" s="35" t="str">
        <f t="shared" si="522"/>
        <v/>
      </c>
      <c r="F3342" s="31"/>
      <c r="G3342" s="29"/>
      <c r="H3342" s="78" t="str">
        <f t="shared" si="526"/>
        <v/>
      </c>
      <c r="I3342" s="25"/>
      <c r="J3342" s="25"/>
      <c r="K3342" s="26"/>
      <c r="L3342" s="26"/>
      <c r="M3342" s="37"/>
      <c r="N3342" s="27"/>
      <c r="O3342" s="30"/>
      <c r="P3342" s="39" t="str">
        <f t="shared" si="527"/>
        <v/>
      </c>
      <c r="Q3342" s="40" t="str">
        <f>IF(OR(T3342=0,RIGHT(T3342,1)=$W$1),"",COUNTIF($T$3:T3342,T3342))</f>
        <v/>
      </c>
      <c r="S3342" s="6">
        <f t="shared" si="528"/>
        <v>0</v>
      </c>
      <c r="T3342" s="36">
        <f t="shared" si="529"/>
        <v>0</v>
      </c>
      <c r="V3342" s="6">
        <f t="shared" si="530"/>
        <v>0</v>
      </c>
      <c r="Y3342" s="8">
        <f t="shared" si="531"/>
        <v>46023</v>
      </c>
    </row>
    <row r="3343" spans="2:25" ht="18.75" x14ac:dyDescent="0.3">
      <c r="B3343" s="6">
        <f t="shared" si="523"/>
        <v>0</v>
      </c>
      <c r="C3343" s="6">
        <f t="shared" si="524"/>
        <v>0</v>
      </c>
      <c r="D3343" s="6" t="str">
        <f t="shared" si="525"/>
        <v/>
      </c>
      <c r="E3343" s="35" t="str">
        <f t="shared" si="522"/>
        <v/>
      </c>
      <c r="F3343" s="31"/>
      <c r="G3343" s="29"/>
      <c r="H3343" s="78" t="str">
        <f t="shared" si="526"/>
        <v/>
      </c>
      <c r="I3343" s="25"/>
      <c r="J3343" s="25"/>
      <c r="K3343" s="26"/>
      <c r="L3343" s="26"/>
      <c r="M3343" s="37"/>
      <c r="N3343" s="27"/>
      <c r="O3343" s="30"/>
      <c r="P3343" s="39" t="str">
        <f t="shared" si="527"/>
        <v/>
      </c>
      <c r="Q3343" s="40" t="str">
        <f>IF(OR(T3343=0,RIGHT(T3343,1)=$W$1),"",COUNTIF($T$3:T3343,T3343))</f>
        <v/>
      </c>
      <c r="S3343" s="6">
        <f t="shared" si="528"/>
        <v>0</v>
      </c>
      <c r="T3343" s="36">
        <f t="shared" si="529"/>
        <v>0</v>
      </c>
      <c r="V3343" s="6">
        <f t="shared" si="530"/>
        <v>0</v>
      </c>
      <c r="Y3343" s="8">
        <f t="shared" si="531"/>
        <v>46023</v>
      </c>
    </row>
    <row r="3344" spans="2:25" ht="18.75" x14ac:dyDescent="0.3">
      <c r="B3344" s="6">
        <f t="shared" si="523"/>
        <v>0</v>
      </c>
      <c r="C3344" s="6">
        <f t="shared" si="524"/>
        <v>0</v>
      </c>
      <c r="D3344" s="6" t="str">
        <f t="shared" si="525"/>
        <v/>
      </c>
      <c r="E3344" s="35" t="str">
        <f t="shared" si="522"/>
        <v/>
      </c>
      <c r="F3344" s="31"/>
      <c r="G3344" s="29"/>
      <c r="H3344" s="78" t="str">
        <f t="shared" si="526"/>
        <v/>
      </c>
      <c r="I3344" s="25"/>
      <c r="J3344" s="25"/>
      <c r="K3344" s="26"/>
      <c r="L3344" s="26"/>
      <c r="M3344" s="37"/>
      <c r="N3344" s="27"/>
      <c r="O3344" s="30"/>
      <c r="P3344" s="39" t="str">
        <f t="shared" si="527"/>
        <v/>
      </c>
      <c r="Q3344" s="40" t="str">
        <f>IF(OR(T3344=0,RIGHT(T3344,1)=$W$1),"",COUNTIF($T$3:T3344,T3344))</f>
        <v/>
      </c>
      <c r="S3344" s="6">
        <f t="shared" si="528"/>
        <v>0</v>
      </c>
      <c r="T3344" s="36">
        <f t="shared" si="529"/>
        <v>0</v>
      </c>
      <c r="V3344" s="6">
        <f t="shared" si="530"/>
        <v>0</v>
      </c>
      <c r="Y3344" s="8">
        <f t="shared" si="531"/>
        <v>46023</v>
      </c>
    </row>
    <row r="3345" spans="2:25" ht="18.75" x14ac:dyDescent="0.3">
      <c r="B3345" s="6">
        <f t="shared" si="523"/>
        <v>0</v>
      </c>
      <c r="C3345" s="6">
        <f t="shared" si="524"/>
        <v>0</v>
      </c>
      <c r="D3345" s="6" t="str">
        <f t="shared" si="525"/>
        <v/>
      </c>
      <c r="E3345" s="35" t="str">
        <f t="shared" si="522"/>
        <v/>
      </c>
      <c r="F3345" s="31"/>
      <c r="G3345" s="29"/>
      <c r="H3345" s="78" t="str">
        <f t="shared" si="526"/>
        <v/>
      </c>
      <c r="I3345" s="25"/>
      <c r="J3345" s="25"/>
      <c r="K3345" s="26"/>
      <c r="L3345" s="26"/>
      <c r="M3345" s="37"/>
      <c r="N3345" s="27"/>
      <c r="O3345" s="30"/>
      <c r="P3345" s="39" t="str">
        <f t="shared" si="527"/>
        <v/>
      </c>
      <c r="Q3345" s="40" t="str">
        <f>IF(OR(T3345=0,RIGHT(T3345,1)=$W$1),"",COUNTIF($T$3:T3345,T3345))</f>
        <v/>
      </c>
      <c r="S3345" s="6">
        <f t="shared" si="528"/>
        <v>0</v>
      </c>
      <c r="T3345" s="36">
        <f t="shared" si="529"/>
        <v>0</v>
      </c>
      <c r="V3345" s="6">
        <f t="shared" si="530"/>
        <v>0</v>
      </c>
      <c r="Y3345" s="8">
        <f t="shared" si="531"/>
        <v>46023</v>
      </c>
    </row>
    <row r="3346" spans="2:25" ht="18.75" x14ac:dyDescent="0.3">
      <c r="B3346" s="6">
        <f t="shared" si="523"/>
        <v>0</v>
      </c>
      <c r="C3346" s="6">
        <f t="shared" si="524"/>
        <v>0</v>
      </c>
      <c r="D3346" s="6" t="str">
        <f t="shared" si="525"/>
        <v/>
      </c>
      <c r="E3346" s="35" t="str">
        <f t="shared" si="522"/>
        <v/>
      </c>
      <c r="F3346" s="31"/>
      <c r="G3346" s="29"/>
      <c r="H3346" s="78" t="str">
        <f t="shared" si="526"/>
        <v/>
      </c>
      <c r="I3346" s="25"/>
      <c r="J3346" s="25"/>
      <c r="K3346" s="26"/>
      <c r="L3346" s="26"/>
      <c r="M3346" s="37"/>
      <c r="N3346" s="27"/>
      <c r="O3346" s="30"/>
      <c r="P3346" s="39" t="str">
        <f t="shared" si="527"/>
        <v/>
      </c>
      <c r="Q3346" s="40" t="str">
        <f>IF(OR(T3346=0,RIGHT(T3346,1)=$W$1),"",COUNTIF($T$3:T3346,T3346))</f>
        <v/>
      </c>
      <c r="S3346" s="6">
        <f t="shared" si="528"/>
        <v>0</v>
      </c>
      <c r="T3346" s="36">
        <f t="shared" si="529"/>
        <v>0</v>
      </c>
      <c r="V3346" s="6">
        <f t="shared" si="530"/>
        <v>0</v>
      </c>
      <c r="Y3346" s="8">
        <f t="shared" si="531"/>
        <v>46023</v>
      </c>
    </row>
    <row r="3347" spans="2:25" ht="18.75" x14ac:dyDescent="0.3">
      <c r="B3347" s="6">
        <f t="shared" si="523"/>
        <v>0</v>
      </c>
      <c r="C3347" s="6">
        <f t="shared" si="524"/>
        <v>0</v>
      </c>
      <c r="D3347" s="6" t="str">
        <f t="shared" si="525"/>
        <v/>
      </c>
      <c r="E3347" s="35" t="str">
        <f t="shared" si="522"/>
        <v/>
      </c>
      <c r="F3347" s="31"/>
      <c r="G3347" s="29"/>
      <c r="H3347" s="78" t="str">
        <f t="shared" si="526"/>
        <v/>
      </c>
      <c r="I3347" s="25"/>
      <c r="J3347" s="25"/>
      <c r="K3347" s="26"/>
      <c r="L3347" s="26"/>
      <c r="M3347" s="37"/>
      <c r="N3347" s="27"/>
      <c r="O3347" s="30"/>
      <c r="P3347" s="39" t="str">
        <f t="shared" si="527"/>
        <v/>
      </c>
      <c r="Q3347" s="40" t="str">
        <f>IF(OR(T3347=0,RIGHT(T3347,1)=$W$1),"",COUNTIF($T$3:T3347,T3347))</f>
        <v/>
      </c>
      <c r="S3347" s="6">
        <f t="shared" si="528"/>
        <v>0</v>
      </c>
      <c r="T3347" s="36">
        <f t="shared" si="529"/>
        <v>0</v>
      </c>
      <c r="V3347" s="6">
        <f t="shared" si="530"/>
        <v>0</v>
      </c>
      <c r="Y3347" s="8">
        <f t="shared" si="531"/>
        <v>46023</v>
      </c>
    </row>
    <row r="3348" spans="2:25" ht="18.75" x14ac:dyDescent="0.3">
      <c r="B3348" s="6">
        <f t="shared" si="523"/>
        <v>0</v>
      </c>
      <c r="C3348" s="6">
        <f t="shared" si="524"/>
        <v>0</v>
      </c>
      <c r="D3348" s="6" t="str">
        <f t="shared" si="525"/>
        <v/>
      </c>
      <c r="E3348" s="35" t="str">
        <f t="shared" si="522"/>
        <v/>
      </c>
      <c r="F3348" s="31"/>
      <c r="G3348" s="29"/>
      <c r="H3348" s="78" t="str">
        <f t="shared" si="526"/>
        <v/>
      </c>
      <c r="I3348" s="25"/>
      <c r="J3348" s="25"/>
      <c r="K3348" s="26"/>
      <c r="L3348" s="26"/>
      <c r="M3348" s="37"/>
      <c r="N3348" s="27"/>
      <c r="O3348" s="30"/>
      <c r="P3348" s="39" t="str">
        <f t="shared" si="527"/>
        <v/>
      </c>
      <c r="Q3348" s="40" t="str">
        <f>IF(OR(T3348=0,RIGHT(T3348,1)=$W$1),"",COUNTIF($T$3:T3348,T3348))</f>
        <v/>
      </c>
      <c r="S3348" s="6">
        <f t="shared" si="528"/>
        <v>0</v>
      </c>
      <c r="T3348" s="36">
        <f t="shared" si="529"/>
        <v>0</v>
      </c>
      <c r="V3348" s="6">
        <f t="shared" si="530"/>
        <v>0</v>
      </c>
      <c r="Y3348" s="8">
        <f t="shared" si="531"/>
        <v>46023</v>
      </c>
    </row>
    <row r="3349" spans="2:25" ht="18.75" x14ac:dyDescent="0.3">
      <c r="B3349" s="6">
        <f t="shared" si="523"/>
        <v>0</v>
      </c>
      <c r="C3349" s="6">
        <f t="shared" si="524"/>
        <v>0</v>
      </c>
      <c r="D3349" s="6" t="str">
        <f t="shared" si="525"/>
        <v/>
      </c>
      <c r="E3349" s="35" t="str">
        <f t="shared" si="522"/>
        <v/>
      </c>
      <c r="F3349" s="31"/>
      <c r="G3349" s="29"/>
      <c r="H3349" s="78" t="str">
        <f t="shared" si="526"/>
        <v/>
      </c>
      <c r="I3349" s="25"/>
      <c r="J3349" s="25"/>
      <c r="K3349" s="26"/>
      <c r="L3349" s="26"/>
      <c r="M3349" s="37"/>
      <c r="N3349" s="27"/>
      <c r="O3349" s="30"/>
      <c r="P3349" s="39" t="str">
        <f t="shared" si="527"/>
        <v/>
      </c>
      <c r="Q3349" s="40" t="str">
        <f>IF(OR(T3349=0,RIGHT(T3349,1)=$W$1),"",COUNTIF($T$3:T3349,T3349))</f>
        <v/>
      </c>
      <c r="S3349" s="6">
        <f t="shared" si="528"/>
        <v>0</v>
      </c>
      <c r="T3349" s="36">
        <f t="shared" si="529"/>
        <v>0</v>
      </c>
      <c r="V3349" s="6">
        <f t="shared" si="530"/>
        <v>0</v>
      </c>
      <c r="Y3349" s="8">
        <f t="shared" si="531"/>
        <v>46023</v>
      </c>
    </row>
    <row r="3350" spans="2:25" ht="18.75" x14ac:dyDescent="0.3">
      <c r="B3350" s="6">
        <f t="shared" si="523"/>
        <v>0</v>
      </c>
      <c r="C3350" s="6">
        <f t="shared" si="524"/>
        <v>0</v>
      </c>
      <c r="D3350" s="6" t="str">
        <f t="shared" si="525"/>
        <v/>
      </c>
      <c r="E3350" s="35" t="str">
        <f t="shared" si="522"/>
        <v/>
      </c>
      <c r="F3350" s="31"/>
      <c r="G3350" s="29"/>
      <c r="H3350" s="78" t="str">
        <f t="shared" si="526"/>
        <v/>
      </c>
      <c r="I3350" s="25"/>
      <c r="J3350" s="25"/>
      <c r="K3350" s="26"/>
      <c r="L3350" s="26"/>
      <c r="M3350" s="37"/>
      <c r="N3350" s="27"/>
      <c r="O3350" s="30"/>
      <c r="P3350" s="39" t="str">
        <f t="shared" si="527"/>
        <v/>
      </c>
      <c r="Q3350" s="40" t="str">
        <f>IF(OR(T3350=0,RIGHT(T3350,1)=$W$1),"",COUNTIF($T$3:T3350,T3350))</f>
        <v/>
      </c>
      <c r="S3350" s="6">
        <f t="shared" si="528"/>
        <v>0</v>
      </c>
      <c r="T3350" s="36">
        <f t="shared" si="529"/>
        <v>0</v>
      </c>
      <c r="V3350" s="6">
        <f t="shared" si="530"/>
        <v>0</v>
      </c>
      <c r="Y3350" s="8">
        <f t="shared" si="531"/>
        <v>46023</v>
      </c>
    </row>
    <row r="3351" spans="2:25" ht="18.75" x14ac:dyDescent="0.3">
      <c r="B3351" s="6">
        <f t="shared" si="523"/>
        <v>0</v>
      </c>
      <c r="C3351" s="6">
        <f t="shared" si="524"/>
        <v>0</v>
      </c>
      <c r="D3351" s="6" t="str">
        <f t="shared" si="525"/>
        <v/>
      </c>
      <c r="E3351" s="35" t="str">
        <f t="shared" si="522"/>
        <v/>
      </c>
      <c r="F3351" s="31"/>
      <c r="G3351" s="29"/>
      <c r="H3351" s="78" t="str">
        <f t="shared" si="526"/>
        <v/>
      </c>
      <c r="I3351" s="25"/>
      <c r="J3351" s="25"/>
      <c r="K3351" s="26"/>
      <c r="L3351" s="26"/>
      <c r="M3351" s="37"/>
      <c r="N3351" s="27"/>
      <c r="O3351" s="30"/>
      <c r="P3351" s="39" t="str">
        <f t="shared" si="527"/>
        <v/>
      </c>
      <c r="Q3351" s="40" t="str">
        <f>IF(OR(T3351=0,RIGHT(T3351,1)=$W$1),"",COUNTIF($T$3:T3351,T3351))</f>
        <v/>
      </c>
      <c r="S3351" s="6">
        <f t="shared" si="528"/>
        <v>0</v>
      </c>
      <c r="T3351" s="36">
        <f t="shared" si="529"/>
        <v>0</v>
      </c>
      <c r="V3351" s="6">
        <f t="shared" si="530"/>
        <v>0</v>
      </c>
      <c r="Y3351" s="8">
        <f t="shared" si="531"/>
        <v>46023</v>
      </c>
    </row>
    <row r="3352" spans="2:25" ht="18.75" x14ac:dyDescent="0.3">
      <c r="B3352" s="6">
        <f t="shared" si="523"/>
        <v>0</v>
      </c>
      <c r="C3352" s="6">
        <f t="shared" si="524"/>
        <v>0</v>
      </c>
      <c r="D3352" s="6" t="str">
        <f t="shared" si="525"/>
        <v/>
      </c>
      <c r="E3352" s="35" t="str">
        <f t="shared" si="522"/>
        <v/>
      </c>
      <c r="F3352" s="31"/>
      <c r="G3352" s="29"/>
      <c r="H3352" s="78" t="str">
        <f t="shared" si="526"/>
        <v/>
      </c>
      <c r="I3352" s="25"/>
      <c r="J3352" s="25"/>
      <c r="K3352" s="26"/>
      <c r="L3352" s="26"/>
      <c r="M3352" s="37"/>
      <c r="N3352" s="27"/>
      <c r="O3352" s="30"/>
      <c r="P3352" s="39" t="str">
        <f t="shared" si="527"/>
        <v/>
      </c>
      <c r="Q3352" s="40" t="str">
        <f>IF(OR(T3352=0,RIGHT(T3352,1)=$W$1),"",COUNTIF($T$3:T3352,T3352))</f>
        <v/>
      </c>
      <c r="S3352" s="6">
        <f t="shared" si="528"/>
        <v>0</v>
      </c>
      <c r="T3352" s="36">
        <f t="shared" si="529"/>
        <v>0</v>
      </c>
      <c r="V3352" s="6">
        <f t="shared" si="530"/>
        <v>0</v>
      </c>
      <c r="Y3352" s="8">
        <f t="shared" si="531"/>
        <v>46023</v>
      </c>
    </row>
    <row r="3353" spans="2:25" ht="18.75" x14ac:dyDescent="0.3">
      <c r="B3353" s="6">
        <f t="shared" si="523"/>
        <v>0</v>
      </c>
      <c r="C3353" s="6">
        <f t="shared" si="524"/>
        <v>0</v>
      </c>
      <c r="D3353" s="6" t="str">
        <f t="shared" si="525"/>
        <v/>
      </c>
      <c r="E3353" s="35" t="str">
        <f t="shared" si="522"/>
        <v/>
      </c>
      <c r="F3353" s="31"/>
      <c r="G3353" s="29"/>
      <c r="H3353" s="78" t="str">
        <f t="shared" si="526"/>
        <v/>
      </c>
      <c r="I3353" s="25"/>
      <c r="J3353" s="25"/>
      <c r="K3353" s="26"/>
      <c r="L3353" s="26"/>
      <c r="M3353" s="37"/>
      <c r="N3353" s="27"/>
      <c r="O3353" s="30"/>
      <c r="P3353" s="39" t="str">
        <f t="shared" si="527"/>
        <v/>
      </c>
      <c r="Q3353" s="40" t="str">
        <f>IF(OR(T3353=0,RIGHT(T3353,1)=$W$1),"",COUNTIF($T$3:T3353,T3353))</f>
        <v/>
      </c>
      <c r="S3353" s="6">
        <f t="shared" si="528"/>
        <v>0</v>
      </c>
      <c r="T3353" s="36">
        <f t="shared" si="529"/>
        <v>0</v>
      </c>
      <c r="V3353" s="6">
        <f t="shared" si="530"/>
        <v>0</v>
      </c>
      <c r="Y3353" s="8">
        <f t="shared" si="531"/>
        <v>46023</v>
      </c>
    </row>
    <row r="3354" spans="2:25" ht="18.75" x14ac:dyDescent="0.3">
      <c r="B3354" s="6">
        <f t="shared" si="523"/>
        <v>0</v>
      </c>
      <c r="C3354" s="6">
        <f t="shared" si="524"/>
        <v>0</v>
      </c>
      <c r="D3354" s="6" t="str">
        <f t="shared" si="525"/>
        <v/>
      </c>
      <c r="E3354" s="35" t="str">
        <f t="shared" si="522"/>
        <v/>
      </c>
      <c r="F3354" s="31"/>
      <c r="G3354" s="29"/>
      <c r="H3354" s="78" t="str">
        <f t="shared" si="526"/>
        <v/>
      </c>
      <c r="I3354" s="25"/>
      <c r="J3354" s="25"/>
      <c r="K3354" s="26"/>
      <c r="L3354" s="26"/>
      <c r="M3354" s="37"/>
      <c r="N3354" s="27"/>
      <c r="O3354" s="30"/>
      <c r="P3354" s="39" t="str">
        <f t="shared" si="527"/>
        <v/>
      </c>
      <c r="Q3354" s="40" t="str">
        <f>IF(OR(T3354=0,RIGHT(T3354,1)=$W$1),"",COUNTIF($T$3:T3354,T3354))</f>
        <v/>
      </c>
      <c r="S3354" s="6">
        <f t="shared" si="528"/>
        <v>0</v>
      </c>
      <c r="T3354" s="36">
        <f t="shared" si="529"/>
        <v>0</v>
      </c>
      <c r="V3354" s="6">
        <f t="shared" si="530"/>
        <v>0</v>
      </c>
      <c r="Y3354" s="8">
        <f t="shared" si="531"/>
        <v>46023</v>
      </c>
    </row>
    <row r="3355" spans="2:25" ht="18.75" x14ac:dyDescent="0.3">
      <c r="B3355" s="6">
        <f t="shared" si="523"/>
        <v>0</v>
      </c>
      <c r="C3355" s="6">
        <f t="shared" si="524"/>
        <v>0</v>
      </c>
      <c r="D3355" s="6" t="str">
        <f t="shared" si="525"/>
        <v/>
      </c>
      <c r="E3355" s="35" t="str">
        <f t="shared" si="522"/>
        <v/>
      </c>
      <c r="F3355" s="31"/>
      <c r="G3355" s="29"/>
      <c r="H3355" s="78" t="str">
        <f t="shared" si="526"/>
        <v/>
      </c>
      <c r="I3355" s="25"/>
      <c r="J3355" s="25"/>
      <c r="K3355" s="26"/>
      <c r="L3355" s="26"/>
      <c r="M3355" s="37"/>
      <c r="N3355" s="27"/>
      <c r="O3355" s="30"/>
      <c r="P3355" s="39" t="str">
        <f t="shared" si="527"/>
        <v/>
      </c>
      <c r="Q3355" s="40" t="str">
        <f>IF(OR(T3355=0,RIGHT(T3355,1)=$W$1),"",COUNTIF($T$3:T3355,T3355))</f>
        <v/>
      </c>
      <c r="S3355" s="6">
        <f t="shared" si="528"/>
        <v>0</v>
      </c>
      <c r="T3355" s="36">
        <f t="shared" si="529"/>
        <v>0</v>
      </c>
      <c r="V3355" s="6">
        <f t="shared" si="530"/>
        <v>0</v>
      </c>
      <c r="Y3355" s="8">
        <f t="shared" si="531"/>
        <v>46023</v>
      </c>
    </row>
    <row r="3356" spans="2:25" ht="18.75" x14ac:dyDescent="0.3">
      <c r="B3356" s="6">
        <f t="shared" si="523"/>
        <v>0</v>
      </c>
      <c r="C3356" s="6">
        <f t="shared" si="524"/>
        <v>0</v>
      </c>
      <c r="D3356" s="6" t="str">
        <f t="shared" si="525"/>
        <v/>
      </c>
      <c r="E3356" s="35" t="str">
        <f t="shared" si="522"/>
        <v/>
      </c>
      <c r="F3356" s="31"/>
      <c r="G3356" s="29"/>
      <c r="H3356" s="78" t="str">
        <f t="shared" si="526"/>
        <v/>
      </c>
      <c r="I3356" s="25"/>
      <c r="J3356" s="25"/>
      <c r="K3356" s="26"/>
      <c r="L3356" s="26"/>
      <c r="M3356" s="37"/>
      <c r="N3356" s="27"/>
      <c r="O3356" s="30"/>
      <c r="P3356" s="39" t="str">
        <f t="shared" si="527"/>
        <v/>
      </c>
      <c r="Q3356" s="40" t="str">
        <f>IF(OR(T3356=0,RIGHT(T3356,1)=$W$1),"",COUNTIF($T$3:T3356,T3356))</f>
        <v/>
      </c>
      <c r="S3356" s="6">
        <f t="shared" si="528"/>
        <v>0</v>
      </c>
      <c r="T3356" s="36">
        <f t="shared" si="529"/>
        <v>0</v>
      </c>
      <c r="V3356" s="6">
        <f t="shared" si="530"/>
        <v>0</v>
      </c>
      <c r="Y3356" s="8">
        <f t="shared" si="531"/>
        <v>46023</v>
      </c>
    </row>
    <row r="3357" spans="2:25" ht="18.75" x14ac:dyDescent="0.3">
      <c r="B3357" s="6">
        <f t="shared" si="523"/>
        <v>0</v>
      </c>
      <c r="C3357" s="6">
        <f t="shared" si="524"/>
        <v>0</v>
      </c>
      <c r="D3357" s="6" t="str">
        <f t="shared" si="525"/>
        <v/>
      </c>
      <c r="E3357" s="35" t="str">
        <f t="shared" si="522"/>
        <v/>
      </c>
      <c r="F3357" s="31"/>
      <c r="G3357" s="29"/>
      <c r="H3357" s="78" t="str">
        <f t="shared" si="526"/>
        <v/>
      </c>
      <c r="I3357" s="25"/>
      <c r="J3357" s="25"/>
      <c r="K3357" s="26"/>
      <c r="L3357" s="26"/>
      <c r="M3357" s="37"/>
      <c r="N3357" s="27"/>
      <c r="O3357" s="30"/>
      <c r="P3357" s="39" t="str">
        <f t="shared" si="527"/>
        <v/>
      </c>
      <c r="Q3357" s="40" t="str">
        <f>IF(OR(T3357=0,RIGHT(T3357,1)=$W$1),"",COUNTIF($T$3:T3357,T3357))</f>
        <v/>
      </c>
      <c r="S3357" s="6">
        <f t="shared" si="528"/>
        <v>0</v>
      </c>
      <c r="T3357" s="36">
        <f t="shared" si="529"/>
        <v>0</v>
      </c>
      <c r="V3357" s="6">
        <f t="shared" si="530"/>
        <v>0</v>
      </c>
      <c r="Y3357" s="8">
        <f t="shared" si="531"/>
        <v>46023</v>
      </c>
    </row>
    <row r="3358" spans="2:25" ht="18.75" x14ac:dyDescent="0.3">
      <c r="B3358" s="6">
        <f t="shared" si="523"/>
        <v>0</v>
      </c>
      <c r="C3358" s="6">
        <f t="shared" si="524"/>
        <v>0</v>
      </c>
      <c r="D3358" s="6" t="str">
        <f t="shared" si="525"/>
        <v/>
      </c>
      <c r="E3358" s="35" t="str">
        <f t="shared" si="522"/>
        <v/>
      </c>
      <c r="F3358" s="31"/>
      <c r="G3358" s="29"/>
      <c r="H3358" s="78" t="str">
        <f t="shared" si="526"/>
        <v/>
      </c>
      <c r="I3358" s="25"/>
      <c r="J3358" s="25"/>
      <c r="K3358" s="26"/>
      <c r="L3358" s="26"/>
      <c r="M3358" s="37"/>
      <c r="N3358" s="27"/>
      <c r="O3358" s="30"/>
      <c r="P3358" s="39" t="str">
        <f t="shared" si="527"/>
        <v/>
      </c>
      <c r="Q3358" s="40" t="str">
        <f>IF(OR(T3358=0,RIGHT(T3358,1)=$W$1),"",COUNTIF($T$3:T3358,T3358))</f>
        <v/>
      </c>
      <c r="S3358" s="6">
        <f t="shared" si="528"/>
        <v>0</v>
      </c>
      <c r="T3358" s="36">
        <f t="shared" si="529"/>
        <v>0</v>
      </c>
      <c r="V3358" s="6">
        <f t="shared" si="530"/>
        <v>0</v>
      </c>
      <c r="Y3358" s="8">
        <f t="shared" si="531"/>
        <v>46023</v>
      </c>
    </row>
    <row r="3359" spans="2:25" ht="18.75" x14ac:dyDescent="0.3">
      <c r="B3359" s="6">
        <f t="shared" si="523"/>
        <v>0</v>
      </c>
      <c r="C3359" s="6">
        <f t="shared" si="524"/>
        <v>0</v>
      </c>
      <c r="D3359" s="6" t="str">
        <f t="shared" si="525"/>
        <v/>
      </c>
      <c r="E3359" s="35" t="str">
        <f t="shared" si="522"/>
        <v/>
      </c>
      <c r="F3359" s="31"/>
      <c r="G3359" s="29"/>
      <c r="H3359" s="78" t="str">
        <f t="shared" si="526"/>
        <v/>
      </c>
      <c r="I3359" s="25"/>
      <c r="J3359" s="25"/>
      <c r="K3359" s="26"/>
      <c r="L3359" s="26"/>
      <c r="M3359" s="37"/>
      <c r="N3359" s="27"/>
      <c r="O3359" s="30"/>
      <c r="P3359" s="39" t="str">
        <f t="shared" si="527"/>
        <v/>
      </c>
      <c r="Q3359" s="40" t="str">
        <f>IF(OR(T3359=0,RIGHT(T3359,1)=$W$1),"",COUNTIF($T$3:T3359,T3359))</f>
        <v/>
      </c>
      <c r="S3359" s="6">
        <f t="shared" si="528"/>
        <v>0</v>
      </c>
      <c r="T3359" s="36">
        <f t="shared" si="529"/>
        <v>0</v>
      </c>
      <c r="V3359" s="6">
        <f t="shared" si="530"/>
        <v>0</v>
      </c>
      <c r="Y3359" s="8">
        <f t="shared" si="531"/>
        <v>46023</v>
      </c>
    </row>
    <row r="3360" spans="2:25" ht="18.75" x14ac:dyDescent="0.3">
      <c r="B3360" s="6">
        <f t="shared" si="523"/>
        <v>0</v>
      </c>
      <c r="C3360" s="6">
        <f t="shared" si="524"/>
        <v>0</v>
      </c>
      <c r="D3360" s="6" t="str">
        <f t="shared" si="525"/>
        <v/>
      </c>
      <c r="E3360" s="35" t="str">
        <f t="shared" si="522"/>
        <v/>
      </c>
      <c r="F3360" s="31"/>
      <c r="G3360" s="29"/>
      <c r="H3360" s="78" t="str">
        <f t="shared" si="526"/>
        <v/>
      </c>
      <c r="I3360" s="25"/>
      <c r="J3360" s="25"/>
      <c r="K3360" s="26"/>
      <c r="L3360" s="26"/>
      <c r="M3360" s="37"/>
      <c r="N3360" s="27"/>
      <c r="O3360" s="30"/>
      <c r="P3360" s="39" t="str">
        <f t="shared" si="527"/>
        <v/>
      </c>
      <c r="Q3360" s="40" t="str">
        <f>IF(OR(T3360=0,RIGHT(T3360,1)=$W$1),"",COUNTIF($T$3:T3360,T3360))</f>
        <v/>
      </c>
      <c r="S3360" s="6">
        <f t="shared" si="528"/>
        <v>0</v>
      </c>
      <c r="T3360" s="36">
        <f t="shared" si="529"/>
        <v>0</v>
      </c>
      <c r="V3360" s="6">
        <f t="shared" si="530"/>
        <v>0</v>
      </c>
      <c r="Y3360" s="8">
        <f t="shared" si="531"/>
        <v>46023</v>
      </c>
    </row>
    <row r="3361" spans="2:25" ht="18.75" x14ac:dyDescent="0.3">
      <c r="B3361" s="6">
        <f t="shared" si="523"/>
        <v>0</v>
      </c>
      <c r="C3361" s="6">
        <f t="shared" si="524"/>
        <v>0</v>
      </c>
      <c r="D3361" s="6" t="str">
        <f t="shared" si="525"/>
        <v/>
      </c>
      <c r="E3361" s="35" t="str">
        <f t="shared" si="522"/>
        <v/>
      </c>
      <c r="F3361" s="31"/>
      <c r="G3361" s="29"/>
      <c r="H3361" s="78" t="str">
        <f t="shared" si="526"/>
        <v/>
      </c>
      <c r="I3361" s="25"/>
      <c r="J3361" s="25"/>
      <c r="K3361" s="26"/>
      <c r="L3361" s="26"/>
      <c r="M3361" s="37"/>
      <c r="N3361" s="27"/>
      <c r="O3361" s="30"/>
      <c r="P3361" s="39" t="str">
        <f t="shared" si="527"/>
        <v/>
      </c>
      <c r="Q3361" s="40" t="str">
        <f>IF(OR(T3361=0,RIGHT(T3361,1)=$W$1),"",COUNTIF($T$3:T3361,T3361))</f>
        <v/>
      </c>
      <c r="S3361" s="6">
        <f t="shared" si="528"/>
        <v>0</v>
      </c>
      <c r="T3361" s="36">
        <f t="shared" si="529"/>
        <v>0</v>
      </c>
      <c r="V3361" s="6">
        <f t="shared" si="530"/>
        <v>0</v>
      </c>
      <c r="Y3361" s="8">
        <f t="shared" si="531"/>
        <v>46023</v>
      </c>
    </row>
    <row r="3362" spans="2:25" ht="18.75" x14ac:dyDescent="0.3">
      <c r="B3362" s="6">
        <f t="shared" si="523"/>
        <v>0</v>
      </c>
      <c r="C3362" s="6">
        <f t="shared" si="524"/>
        <v>0</v>
      </c>
      <c r="D3362" s="6" t="str">
        <f t="shared" si="525"/>
        <v/>
      </c>
      <c r="E3362" s="35" t="str">
        <f t="shared" si="522"/>
        <v/>
      </c>
      <c r="F3362" s="31"/>
      <c r="G3362" s="29"/>
      <c r="H3362" s="78" t="str">
        <f t="shared" si="526"/>
        <v/>
      </c>
      <c r="I3362" s="25"/>
      <c r="J3362" s="25"/>
      <c r="K3362" s="26"/>
      <c r="L3362" s="26"/>
      <c r="M3362" s="37"/>
      <c r="N3362" s="27"/>
      <c r="O3362" s="30"/>
      <c r="P3362" s="39" t="str">
        <f t="shared" si="527"/>
        <v/>
      </c>
      <c r="Q3362" s="40" t="str">
        <f>IF(OR(T3362=0,RIGHT(T3362,1)=$W$1),"",COUNTIF($T$3:T3362,T3362))</f>
        <v/>
      </c>
      <c r="S3362" s="6">
        <f t="shared" si="528"/>
        <v>0</v>
      </c>
      <c r="T3362" s="36">
        <f t="shared" si="529"/>
        <v>0</v>
      </c>
      <c r="V3362" s="6">
        <f t="shared" si="530"/>
        <v>0</v>
      </c>
      <c r="Y3362" s="8">
        <f t="shared" si="531"/>
        <v>46023</v>
      </c>
    </row>
    <row r="3363" spans="2:25" ht="18.75" x14ac:dyDescent="0.3">
      <c r="B3363" s="6">
        <f t="shared" si="523"/>
        <v>0</v>
      </c>
      <c r="C3363" s="6">
        <f t="shared" si="524"/>
        <v>0</v>
      </c>
      <c r="D3363" s="6" t="str">
        <f t="shared" si="525"/>
        <v/>
      </c>
      <c r="E3363" s="35" t="str">
        <f t="shared" si="522"/>
        <v/>
      </c>
      <c r="F3363" s="31"/>
      <c r="G3363" s="29"/>
      <c r="H3363" s="78" t="str">
        <f t="shared" si="526"/>
        <v/>
      </c>
      <c r="I3363" s="25"/>
      <c r="J3363" s="25"/>
      <c r="K3363" s="26"/>
      <c r="L3363" s="26"/>
      <c r="M3363" s="37"/>
      <c r="N3363" s="27"/>
      <c r="O3363" s="30"/>
      <c r="P3363" s="39" t="str">
        <f t="shared" si="527"/>
        <v/>
      </c>
      <c r="Q3363" s="40" t="str">
        <f>IF(OR(T3363=0,RIGHT(T3363,1)=$W$1),"",COUNTIF($T$3:T3363,T3363))</f>
        <v/>
      </c>
      <c r="S3363" s="6">
        <f t="shared" si="528"/>
        <v>0</v>
      </c>
      <c r="T3363" s="36">
        <f t="shared" si="529"/>
        <v>0</v>
      </c>
      <c r="V3363" s="6">
        <f t="shared" si="530"/>
        <v>0</v>
      </c>
      <c r="Y3363" s="8">
        <f t="shared" si="531"/>
        <v>46023</v>
      </c>
    </row>
    <row r="3364" spans="2:25" ht="18.75" x14ac:dyDescent="0.3">
      <c r="B3364" s="6">
        <f t="shared" si="523"/>
        <v>0</v>
      </c>
      <c r="C3364" s="6">
        <f t="shared" si="524"/>
        <v>0</v>
      </c>
      <c r="D3364" s="6" t="str">
        <f t="shared" si="525"/>
        <v/>
      </c>
      <c r="E3364" s="35" t="str">
        <f t="shared" si="522"/>
        <v/>
      </c>
      <c r="F3364" s="31"/>
      <c r="G3364" s="29"/>
      <c r="H3364" s="78" t="str">
        <f t="shared" si="526"/>
        <v/>
      </c>
      <c r="I3364" s="25"/>
      <c r="J3364" s="25"/>
      <c r="K3364" s="26"/>
      <c r="L3364" s="26"/>
      <c r="M3364" s="37"/>
      <c r="N3364" s="27"/>
      <c r="O3364" s="30"/>
      <c r="P3364" s="39" t="str">
        <f t="shared" si="527"/>
        <v/>
      </c>
      <c r="Q3364" s="40" t="str">
        <f>IF(OR(T3364=0,RIGHT(T3364,1)=$W$1),"",COUNTIF($T$3:T3364,T3364))</f>
        <v/>
      </c>
      <c r="S3364" s="6">
        <f t="shared" si="528"/>
        <v>0</v>
      </c>
      <c r="T3364" s="36">
        <f t="shared" si="529"/>
        <v>0</v>
      </c>
      <c r="V3364" s="6">
        <f t="shared" si="530"/>
        <v>0</v>
      </c>
      <c r="Y3364" s="8">
        <f t="shared" si="531"/>
        <v>46023</v>
      </c>
    </row>
    <row r="3365" spans="2:25" ht="18.75" x14ac:dyDescent="0.3">
      <c r="B3365" s="6">
        <f t="shared" si="523"/>
        <v>0</v>
      </c>
      <c r="C3365" s="6">
        <f t="shared" si="524"/>
        <v>0</v>
      </c>
      <c r="D3365" s="6" t="str">
        <f t="shared" si="525"/>
        <v/>
      </c>
      <c r="E3365" s="35" t="str">
        <f t="shared" si="522"/>
        <v/>
      </c>
      <c r="F3365" s="31"/>
      <c r="G3365" s="29"/>
      <c r="H3365" s="78" t="str">
        <f t="shared" si="526"/>
        <v/>
      </c>
      <c r="I3365" s="25"/>
      <c r="J3365" s="25"/>
      <c r="K3365" s="26"/>
      <c r="L3365" s="26"/>
      <c r="M3365" s="37"/>
      <c r="N3365" s="27"/>
      <c r="O3365" s="30"/>
      <c r="P3365" s="39" t="str">
        <f t="shared" si="527"/>
        <v/>
      </c>
      <c r="Q3365" s="40" t="str">
        <f>IF(OR(T3365=0,RIGHT(T3365,1)=$W$1),"",COUNTIF($T$3:T3365,T3365))</f>
        <v/>
      </c>
      <c r="S3365" s="6">
        <f t="shared" si="528"/>
        <v>0</v>
      </c>
      <c r="T3365" s="36">
        <f t="shared" si="529"/>
        <v>0</v>
      </c>
      <c r="V3365" s="6">
        <f t="shared" si="530"/>
        <v>0</v>
      </c>
      <c r="Y3365" s="8">
        <f t="shared" si="531"/>
        <v>46023</v>
      </c>
    </row>
    <row r="3366" spans="2:25" ht="18.75" x14ac:dyDescent="0.3">
      <c r="B3366" s="6">
        <f t="shared" si="523"/>
        <v>0</v>
      </c>
      <c r="C3366" s="6">
        <f t="shared" si="524"/>
        <v>0</v>
      </c>
      <c r="D3366" s="6" t="str">
        <f t="shared" si="525"/>
        <v/>
      </c>
      <c r="E3366" s="35" t="str">
        <f t="shared" si="522"/>
        <v/>
      </c>
      <c r="F3366" s="31"/>
      <c r="G3366" s="29"/>
      <c r="H3366" s="78" t="str">
        <f t="shared" si="526"/>
        <v/>
      </c>
      <c r="I3366" s="25"/>
      <c r="J3366" s="25"/>
      <c r="K3366" s="26"/>
      <c r="L3366" s="26"/>
      <c r="M3366" s="37"/>
      <c r="N3366" s="27"/>
      <c r="O3366" s="30"/>
      <c r="P3366" s="39" t="str">
        <f t="shared" si="527"/>
        <v/>
      </c>
      <c r="Q3366" s="40" t="str">
        <f>IF(OR(T3366=0,RIGHT(T3366,1)=$W$1),"",COUNTIF($T$3:T3366,T3366))</f>
        <v/>
      </c>
      <c r="S3366" s="6">
        <f t="shared" si="528"/>
        <v>0</v>
      </c>
      <c r="T3366" s="36">
        <f t="shared" si="529"/>
        <v>0</v>
      </c>
      <c r="V3366" s="6">
        <f t="shared" si="530"/>
        <v>0</v>
      </c>
      <c r="Y3366" s="8">
        <f t="shared" si="531"/>
        <v>46023</v>
      </c>
    </row>
    <row r="3367" spans="2:25" ht="18.75" x14ac:dyDescent="0.3">
      <c r="B3367" s="6">
        <f t="shared" si="523"/>
        <v>0</v>
      </c>
      <c r="C3367" s="6">
        <f t="shared" si="524"/>
        <v>0</v>
      </c>
      <c r="D3367" s="6" t="str">
        <f t="shared" si="525"/>
        <v/>
      </c>
      <c r="E3367" s="35" t="str">
        <f t="shared" si="522"/>
        <v/>
      </c>
      <c r="F3367" s="31"/>
      <c r="G3367" s="29"/>
      <c r="H3367" s="78" t="str">
        <f t="shared" si="526"/>
        <v/>
      </c>
      <c r="I3367" s="25"/>
      <c r="J3367" s="25"/>
      <c r="K3367" s="26"/>
      <c r="L3367" s="26"/>
      <c r="M3367" s="37"/>
      <c r="N3367" s="27"/>
      <c r="O3367" s="30"/>
      <c r="P3367" s="39" t="str">
        <f t="shared" si="527"/>
        <v/>
      </c>
      <c r="Q3367" s="40" t="str">
        <f>IF(OR(T3367=0,RIGHT(T3367,1)=$W$1),"",COUNTIF($T$3:T3367,T3367))</f>
        <v/>
      </c>
      <c r="S3367" s="6">
        <f t="shared" si="528"/>
        <v>0</v>
      </c>
      <c r="T3367" s="36">
        <f t="shared" si="529"/>
        <v>0</v>
      </c>
      <c r="V3367" s="6">
        <f t="shared" si="530"/>
        <v>0</v>
      </c>
      <c r="Y3367" s="8">
        <f t="shared" si="531"/>
        <v>46023</v>
      </c>
    </row>
    <row r="3368" spans="2:25" ht="18.75" x14ac:dyDescent="0.3">
      <c r="B3368" s="6">
        <f t="shared" si="523"/>
        <v>0</v>
      </c>
      <c r="C3368" s="6">
        <f t="shared" si="524"/>
        <v>0</v>
      </c>
      <c r="D3368" s="6" t="str">
        <f t="shared" si="525"/>
        <v/>
      </c>
      <c r="E3368" s="35" t="str">
        <f t="shared" si="522"/>
        <v/>
      </c>
      <c r="F3368" s="31"/>
      <c r="G3368" s="29"/>
      <c r="H3368" s="78" t="str">
        <f t="shared" si="526"/>
        <v/>
      </c>
      <c r="I3368" s="25"/>
      <c r="J3368" s="25"/>
      <c r="K3368" s="26"/>
      <c r="L3368" s="26"/>
      <c r="M3368" s="37"/>
      <c r="N3368" s="27"/>
      <c r="O3368" s="30"/>
      <c r="P3368" s="39" t="str">
        <f t="shared" si="527"/>
        <v/>
      </c>
      <c r="Q3368" s="40" t="str">
        <f>IF(OR(T3368=0,RIGHT(T3368,1)=$W$1),"",COUNTIF($T$3:T3368,T3368))</f>
        <v/>
      </c>
      <c r="S3368" s="6">
        <f t="shared" si="528"/>
        <v>0</v>
      </c>
      <c r="T3368" s="36">
        <f t="shared" si="529"/>
        <v>0</v>
      </c>
      <c r="V3368" s="6">
        <f t="shared" si="530"/>
        <v>0</v>
      </c>
      <c r="Y3368" s="8">
        <f t="shared" si="531"/>
        <v>46023</v>
      </c>
    </row>
    <row r="3369" spans="2:25" ht="18.75" x14ac:dyDescent="0.3">
      <c r="B3369" s="6">
        <f t="shared" si="523"/>
        <v>0</v>
      </c>
      <c r="C3369" s="6">
        <f t="shared" si="524"/>
        <v>0</v>
      </c>
      <c r="D3369" s="6" t="str">
        <f t="shared" si="525"/>
        <v/>
      </c>
      <c r="E3369" s="35" t="str">
        <f t="shared" si="522"/>
        <v/>
      </c>
      <c r="F3369" s="31"/>
      <c r="G3369" s="29"/>
      <c r="H3369" s="78" t="str">
        <f t="shared" si="526"/>
        <v/>
      </c>
      <c r="I3369" s="25"/>
      <c r="J3369" s="25"/>
      <c r="K3369" s="26"/>
      <c r="L3369" s="26"/>
      <c r="M3369" s="37"/>
      <c r="N3369" s="27"/>
      <c r="O3369" s="30"/>
      <c r="P3369" s="39" t="str">
        <f t="shared" si="527"/>
        <v/>
      </c>
      <c r="Q3369" s="40" t="str">
        <f>IF(OR(T3369=0,RIGHT(T3369,1)=$W$1),"",COUNTIF($T$3:T3369,T3369))</f>
        <v/>
      </c>
      <c r="S3369" s="6">
        <f t="shared" si="528"/>
        <v>0</v>
      </c>
      <c r="T3369" s="36">
        <f t="shared" si="529"/>
        <v>0</v>
      </c>
      <c r="V3369" s="6">
        <f t="shared" si="530"/>
        <v>0</v>
      </c>
      <c r="Y3369" s="8">
        <f t="shared" si="531"/>
        <v>46023</v>
      </c>
    </row>
    <row r="3370" spans="2:25" ht="18.75" x14ac:dyDescent="0.3">
      <c r="B3370" s="6">
        <f t="shared" si="523"/>
        <v>0</v>
      </c>
      <c r="C3370" s="6">
        <f t="shared" si="524"/>
        <v>0</v>
      </c>
      <c r="D3370" s="6" t="str">
        <f t="shared" si="525"/>
        <v/>
      </c>
      <c r="E3370" s="35" t="str">
        <f t="shared" si="522"/>
        <v/>
      </c>
      <c r="F3370" s="31"/>
      <c r="G3370" s="29"/>
      <c r="H3370" s="78" t="str">
        <f t="shared" si="526"/>
        <v/>
      </c>
      <c r="I3370" s="25"/>
      <c r="J3370" s="25"/>
      <c r="K3370" s="26"/>
      <c r="L3370" s="26"/>
      <c r="M3370" s="37"/>
      <c r="N3370" s="27"/>
      <c r="O3370" s="30"/>
      <c r="P3370" s="39" t="str">
        <f t="shared" si="527"/>
        <v/>
      </c>
      <c r="Q3370" s="40" t="str">
        <f>IF(OR(T3370=0,RIGHT(T3370,1)=$W$1),"",COUNTIF($T$3:T3370,T3370))</f>
        <v/>
      </c>
      <c r="S3370" s="6">
        <f t="shared" si="528"/>
        <v>0</v>
      </c>
      <c r="T3370" s="36">
        <f t="shared" si="529"/>
        <v>0</v>
      </c>
      <c r="V3370" s="6">
        <f t="shared" si="530"/>
        <v>0</v>
      </c>
      <c r="Y3370" s="8">
        <f t="shared" si="531"/>
        <v>46023</v>
      </c>
    </row>
    <row r="3371" spans="2:25" ht="18.75" x14ac:dyDescent="0.3">
      <c r="B3371" s="6">
        <f t="shared" si="523"/>
        <v>0</v>
      </c>
      <c r="C3371" s="6">
        <f t="shared" si="524"/>
        <v>0</v>
      </c>
      <c r="D3371" s="6" t="str">
        <f t="shared" si="525"/>
        <v/>
      </c>
      <c r="E3371" s="35" t="str">
        <f t="shared" si="522"/>
        <v/>
      </c>
      <c r="F3371" s="31"/>
      <c r="G3371" s="29"/>
      <c r="H3371" s="78" t="str">
        <f t="shared" si="526"/>
        <v/>
      </c>
      <c r="I3371" s="25"/>
      <c r="J3371" s="25"/>
      <c r="K3371" s="26"/>
      <c r="L3371" s="26"/>
      <c r="M3371" s="37"/>
      <c r="N3371" s="27"/>
      <c r="O3371" s="30"/>
      <c r="P3371" s="39" t="str">
        <f t="shared" si="527"/>
        <v/>
      </c>
      <c r="Q3371" s="40" t="str">
        <f>IF(OR(T3371=0,RIGHT(T3371,1)=$W$1),"",COUNTIF($T$3:T3371,T3371))</f>
        <v/>
      </c>
      <c r="S3371" s="6">
        <f t="shared" si="528"/>
        <v>0</v>
      </c>
      <c r="T3371" s="36">
        <f t="shared" si="529"/>
        <v>0</v>
      </c>
      <c r="V3371" s="6">
        <f t="shared" si="530"/>
        <v>0</v>
      </c>
      <c r="Y3371" s="8">
        <f t="shared" si="531"/>
        <v>46023</v>
      </c>
    </row>
    <row r="3372" spans="2:25" ht="18.75" x14ac:dyDescent="0.3">
      <c r="B3372" s="6">
        <f t="shared" si="523"/>
        <v>0</v>
      </c>
      <c r="C3372" s="6">
        <f t="shared" si="524"/>
        <v>0</v>
      </c>
      <c r="D3372" s="6" t="str">
        <f t="shared" si="525"/>
        <v/>
      </c>
      <c r="E3372" s="35" t="str">
        <f t="shared" si="522"/>
        <v/>
      </c>
      <c r="F3372" s="31"/>
      <c r="G3372" s="29"/>
      <c r="H3372" s="78" t="str">
        <f t="shared" si="526"/>
        <v/>
      </c>
      <c r="I3372" s="25"/>
      <c r="J3372" s="25"/>
      <c r="K3372" s="26"/>
      <c r="L3372" s="26"/>
      <c r="M3372" s="37"/>
      <c r="N3372" s="27"/>
      <c r="O3372" s="30"/>
      <c r="P3372" s="39" t="str">
        <f t="shared" si="527"/>
        <v/>
      </c>
      <c r="Q3372" s="40" t="str">
        <f>IF(OR(T3372=0,RIGHT(T3372,1)=$W$1),"",COUNTIF($T$3:T3372,T3372))</f>
        <v/>
      </c>
      <c r="S3372" s="6">
        <f t="shared" si="528"/>
        <v>0</v>
      </c>
      <c r="T3372" s="36">
        <f t="shared" si="529"/>
        <v>0</v>
      </c>
      <c r="V3372" s="6">
        <f t="shared" si="530"/>
        <v>0</v>
      </c>
      <c r="Y3372" s="8">
        <f t="shared" si="531"/>
        <v>46023</v>
      </c>
    </row>
    <row r="3373" spans="2:25" ht="18.75" x14ac:dyDescent="0.3">
      <c r="B3373" s="6">
        <f t="shared" si="523"/>
        <v>0</v>
      </c>
      <c r="C3373" s="6">
        <f t="shared" si="524"/>
        <v>0</v>
      </c>
      <c r="D3373" s="6" t="str">
        <f t="shared" si="525"/>
        <v/>
      </c>
      <c r="E3373" s="35" t="str">
        <f t="shared" si="522"/>
        <v/>
      </c>
      <c r="F3373" s="31"/>
      <c r="G3373" s="29"/>
      <c r="H3373" s="78" t="str">
        <f t="shared" si="526"/>
        <v/>
      </c>
      <c r="I3373" s="25"/>
      <c r="J3373" s="25"/>
      <c r="K3373" s="26"/>
      <c r="L3373" s="26"/>
      <c r="M3373" s="37"/>
      <c r="N3373" s="27"/>
      <c r="O3373" s="30"/>
      <c r="P3373" s="39" t="str">
        <f t="shared" si="527"/>
        <v/>
      </c>
      <c r="Q3373" s="40" t="str">
        <f>IF(OR(T3373=0,RIGHT(T3373,1)=$W$1),"",COUNTIF($T$3:T3373,T3373))</f>
        <v/>
      </c>
      <c r="S3373" s="6">
        <f t="shared" si="528"/>
        <v>0</v>
      </c>
      <c r="T3373" s="36">
        <f t="shared" si="529"/>
        <v>0</v>
      </c>
      <c r="V3373" s="6">
        <f t="shared" si="530"/>
        <v>0</v>
      </c>
      <c r="Y3373" s="8">
        <f t="shared" si="531"/>
        <v>46023</v>
      </c>
    </row>
    <row r="3374" spans="2:25" ht="18.75" x14ac:dyDescent="0.3">
      <c r="B3374" s="6">
        <f t="shared" si="523"/>
        <v>0</v>
      </c>
      <c r="C3374" s="6">
        <f t="shared" si="524"/>
        <v>0</v>
      </c>
      <c r="D3374" s="6" t="str">
        <f t="shared" si="525"/>
        <v/>
      </c>
      <c r="E3374" s="35" t="str">
        <f t="shared" si="522"/>
        <v/>
      </c>
      <c r="F3374" s="31"/>
      <c r="G3374" s="29"/>
      <c r="H3374" s="78" t="str">
        <f t="shared" si="526"/>
        <v/>
      </c>
      <c r="I3374" s="25"/>
      <c r="J3374" s="25"/>
      <c r="K3374" s="26"/>
      <c r="L3374" s="26"/>
      <c r="M3374" s="37"/>
      <c r="N3374" s="27"/>
      <c r="O3374" s="30"/>
      <c r="P3374" s="39" t="str">
        <f t="shared" si="527"/>
        <v/>
      </c>
      <c r="Q3374" s="40" t="str">
        <f>IF(OR(T3374=0,RIGHT(T3374,1)=$W$1),"",COUNTIF($T$3:T3374,T3374))</f>
        <v/>
      </c>
      <c r="S3374" s="6">
        <f t="shared" si="528"/>
        <v>0</v>
      </c>
      <c r="T3374" s="36">
        <f t="shared" si="529"/>
        <v>0</v>
      </c>
      <c r="V3374" s="6">
        <f t="shared" si="530"/>
        <v>0</v>
      </c>
      <c r="Y3374" s="8">
        <f t="shared" si="531"/>
        <v>46023</v>
      </c>
    </row>
    <row r="3375" spans="2:25" ht="18.75" x14ac:dyDescent="0.3">
      <c r="B3375" s="6">
        <f t="shared" si="523"/>
        <v>0</v>
      </c>
      <c r="C3375" s="6">
        <f t="shared" si="524"/>
        <v>0</v>
      </c>
      <c r="D3375" s="6" t="str">
        <f t="shared" si="525"/>
        <v/>
      </c>
      <c r="E3375" s="35" t="str">
        <f t="shared" si="522"/>
        <v/>
      </c>
      <c r="F3375" s="31"/>
      <c r="G3375" s="29"/>
      <c r="H3375" s="78" t="str">
        <f t="shared" si="526"/>
        <v/>
      </c>
      <c r="I3375" s="25"/>
      <c r="J3375" s="25"/>
      <c r="K3375" s="26"/>
      <c r="L3375" s="26"/>
      <c r="M3375" s="37"/>
      <c r="N3375" s="27"/>
      <c r="O3375" s="30"/>
      <c r="P3375" s="39" t="str">
        <f t="shared" si="527"/>
        <v/>
      </c>
      <c r="Q3375" s="40" t="str">
        <f>IF(OR(T3375=0,RIGHT(T3375,1)=$W$1),"",COUNTIF($T$3:T3375,T3375))</f>
        <v/>
      </c>
      <c r="S3375" s="6">
        <f t="shared" si="528"/>
        <v>0</v>
      </c>
      <c r="T3375" s="36">
        <f t="shared" si="529"/>
        <v>0</v>
      </c>
      <c r="V3375" s="6">
        <f t="shared" si="530"/>
        <v>0</v>
      </c>
      <c r="Y3375" s="8">
        <f t="shared" si="531"/>
        <v>46023</v>
      </c>
    </row>
    <row r="3376" spans="2:25" ht="18.75" x14ac:dyDescent="0.3">
      <c r="B3376" s="6">
        <f t="shared" si="523"/>
        <v>0</v>
      </c>
      <c r="C3376" s="6">
        <f t="shared" si="524"/>
        <v>0</v>
      </c>
      <c r="D3376" s="6" t="str">
        <f t="shared" si="525"/>
        <v/>
      </c>
      <c r="E3376" s="35" t="str">
        <f t="shared" si="522"/>
        <v/>
      </c>
      <c r="F3376" s="31"/>
      <c r="G3376" s="29"/>
      <c r="H3376" s="78" t="str">
        <f t="shared" si="526"/>
        <v/>
      </c>
      <c r="I3376" s="25"/>
      <c r="J3376" s="25"/>
      <c r="K3376" s="26"/>
      <c r="L3376" s="26"/>
      <c r="M3376" s="37"/>
      <c r="N3376" s="27"/>
      <c r="O3376" s="30"/>
      <c r="P3376" s="39" t="str">
        <f t="shared" si="527"/>
        <v/>
      </c>
      <c r="Q3376" s="40" t="str">
        <f>IF(OR(T3376=0,RIGHT(T3376,1)=$W$1),"",COUNTIF($T$3:T3376,T3376))</f>
        <v/>
      </c>
      <c r="S3376" s="6">
        <f t="shared" si="528"/>
        <v>0</v>
      </c>
      <c r="T3376" s="36">
        <f t="shared" si="529"/>
        <v>0</v>
      </c>
      <c r="V3376" s="6">
        <f t="shared" si="530"/>
        <v>0</v>
      </c>
      <c r="Y3376" s="8">
        <f t="shared" si="531"/>
        <v>46023</v>
      </c>
    </row>
    <row r="3377" spans="2:25" ht="18.75" x14ac:dyDescent="0.3">
      <c r="B3377" s="6">
        <f t="shared" si="523"/>
        <v>0</v>
      </c>
      <c r="C3377" s="6">
        <f t="shared" si="524"/>
        <v>0</v>
      </c>
      <c r="D3377" s="6" t="str">
        <f t="shared" si="525"/>
        <v/>
      </c>
      <c r="E3377" s="35" t="str">
        <f t="shared" si="522"/>
        <v/>
      </c>
      <c r="F3377" s="31"/>
      <c r="G3377" s="29"/>
      <c r="H3377" s="78" t="str">
        <f t="shared" si="526"/>
        <v/>
      </c>
      <c r="I3377" s="25"/>
      <c r="J3377" s="25"/>
      <c r="K3377" s="26"/>
      <c r="L3377" s="26"/>
      <c r="M3377" s="37"/>
      <c r="N3377" s="27"/>
      <c r="O3377" s="30"/>
      <c r="P3377" s="39" t="str">
        <f t="shared" si="527"/>
        <v/>
      </c>
      <c r="Q3377" s="40" t="str">
        <f>IF(OR(T3377=0,RIGHT(T3377,1)=$W$1),"",COUNTIF($T$3:T3377,T3377))</f>
        <v/>
      </c>
      <c r="S3377" s="6">
        <f t="shared" si="528"/>
        <v>0</v>
      </c>
      <c r="T3377" s="36">
        <f t="shared" si="529"/>
        <v>0</v>
      </c>
      <c r="V3377" s="6">
        <f t="shared" si="530"/>
        <v>0</v>
      </c>
      <c r="Y3377" s="8">
        <f t="shared" si="531"/>
        <v>46023</v>
      </c>
    </row>
    <row r="3378" spans="2:25" ht="18.75" x14ac:dyDescent="0.3">
      <c r="B3378" s="6">
        <f t="shared" si="523"/>
        <v>0</v>
      </c>
      <c r="C3378" s="6">
        <f t="shared" si="524"/>
        <v>0</v>
      </c>
      <c r="D3378" s="6" t="str">
        <f t="shared" si="525"/>
        <v/>
      </c>
      <c r="E3378" s="35" t="str">
        <f t="shared" si="522"/>
        <v/>
      </c>
      <c r="F3378" s="31"/>
      <c r="G3378" s="29"/>
      <c r="H3378" s="78" t="str">
        <f t="shared" si="526"/>
        <v/>
      </c>
      <c r="I3378" s="25"/>
      <c r="J3378" s="25"/>
      <c r="K3378" s="26"/>
      <c r="L3378" s="26"/>
      <c r="M3378" s="37"/>
      <c r="N3378" s="27"/>
      <c r="O3378" s="30"/>
      <c r="P3378" s="39" t="str">
        <f t="shared" si="527"/>
        <v/>
      </c>
      <c r="Q3378" s="40" t="str">
        <f>IF(OR(T3378=0,RIGHT(T3378,1)=$W$1),"",COUNTIF($T$3:T3378,T3378))</f>
        <v/>
      </c>
      <c r="S3378" s="6">
        <f t="shared" si="528"/>
        <v>0</v>
      </c>
      <c r="T3378" s="36">
        <f t="shared" si="529"/>
        <v>0</v>
      </c>
      <c r="V3378" s="6">
        <f t="shared" si="530"/>
        <v>0</v>
      </c>
      <c r="Y3378" s="8">
        <f t="shared" si="531"/>
        <v>46023</v>
      </c>
    </row>
    <row r="3379" spans="2:25" ht="18.75" x14ac:dyDescent="0.3">
      <c r="B3379" s="6">
        <f t="shared" si="523"/>
        <v>0</v>
      </c>
      <c r="C3379" s="6">
        <f t="shared" si="524"/>
        <v>0</v>
      </c>
      <c r="D3379" s="6" t="str">
        <f t="shared" si="525"/>
        <v/>
      </c>
      <c r="E3379" s="35" t="str">
        <f t="shared" si="522"/>
        <v/>
      </c>
      <c r="F3379" s="31"/>
      <c r="G3379" s="29"/>
      <c r="H3379" s="78" t="str">
        <f t="shared" si="526"/>
        <v/>
      </c>
      <c r="I3379" s="25"/>
      <c r="J3379" s="25"/>
      <c r="K3379" s="26"/>
      <c r="L3379" s="26"/>
      <c r="M3379" s="37"/>
      <c r="N3379" s="27"/>
      <c r="O3379" s="30"/>
      <c r="P3379" s="39" t="str">
        <f t="shared" si="527"/>
        <v/>
      </c>
      <c r="Q3379" s="40" t="str">
        <f>IF(OR(T3379=0,RIGHT(T3379,1)=$W$1),"",COUNTIF($T$3:T3379,T3379))</f>
        <v/>
      </c>
      <c r="S3379" s="6">
        <f t="shared" si="528"/>
        <v>0</v>
      </c>
      <c r="T3379" s="36">
        <f t="shared" si="529"/>
        <v>0</v>
      </c>
      <c r="V3379" s="6">
        <f t="shared" si="530"/>
        <v>0</v>
      </c>
      <c r="Y3379" s="8">
        <f t="shared" si="531"/>
        <v>46023</v>
      </c>
    </row>
    <row r="3380" spans="2:25" ht="18.75" x14ac:dyDescent="0.3">
      <c r="B3380" s="6">
        <f t="shared" si="523"/>
        <v>0</v>
      </c>
      <c r="C3380" s="6">
        <f t="shared" si="524"/>
        <v>0</v>
      </c>
      <c r="D3380" s="6" t="str">
        <f t="shared" si="525"/>
        <v/>
      </c>
      <c r="E3380" s="35" t="str">
        <f t="shared" si="522"/>
        <v/>
      </c>
      <c r="F3380" s="31"/>
      <c r="G3380" s="29"/>
      <c r="H3380" s="78" t="str">
        <f t="shared" si="526"/>
        <v/>
      </c>
      <c r="I3380" s="25"/>
      <c r="J3380" s="25"/>
      <c r="K3380" s="26"/>
      <c r="L3380" s="26"/>
      <c r="M3380" s="37"/>
      <c r="N3380" s="27"/>
      <c r="O3380" s="30"/>
      <c r="P3380" s="39" t="str">
        <f t="shared" si="527"/>
        <v/>
      </c>
      <c r="Q3380" s="40" t="str">
        <f>IF(OR(T3380=0,RIGHT(T3380,1)=$W$1),"",COUNTIF($T$3:T3380,T3380))</f>
        <v/>
      </c>
      <c r="S3380" s="6">
        <f t="shared" si="528"/>
        <v>0</v>
      </c>
      <c r="T3380" s="36">
        <f t="shared" si="529"/>
        <v>0</v>
      </c>
      <c r="V3380" s="6">
        <f t="shared" si="530"/>
        <v>0</v>
      </c>
      <c r="Y3380" s="8">
        <f t="shared" si="531"/>
        <v>46023</v>
      </c>
    </row>
    <row r="3381" spans="2:25" ht="18.75" x14ac:dyDescent="0.3">
      <c r="B3381" s="6">
        <f t="shared" si="523"/>
        <v>0</v>
      </c>
      <c r="C3381" s="6">
        <f t="shared" si="524"/>
        <v>0</v>
      </c>
      <c r="D3381" s="6" t="str">
        <f t="shared" si="525"/>
        <v/>
      </c>
      <c r="E3381" s="35" t="str">
        <f t="shared" si="522"/>
        <v/>
      </c>
      <c r="F3381" s="31"/>
      <c r="G3381" s="29"/>
      <c r="H3381" s="78" t="str">
        <f t="shared" si="526"/>
        <v/>
      </c>
      <c r="I3381" s="25"/>
      <c r="J3381" s="25"/>
      <c r="K3381" s="26"/>
      <c r="L3381" s="26"/>
      <c r="M3381" s="37"/>
      <c r="N3381" s="27"/>
      <c r="O3381" s="30"/>
      <c r="P3381" s="39" t="str">
        <f t="shared" si="527"/>
        <v/>
      </c>
      <c r="Q3381" s="40" t="str">
        <f>IF(OR(T3381=0,RIGHT(T3381,1)=$W$1),"",COUNTIF($T$3:T3381,T3381))</f>
        <v/>
      </c>
      <c r="S3381" s="6">
        <f t="shared" si="528"/>
        <v>0</v>
      </c>
      <c r="T3381" s="36">
        <f t="shared" si="529"/>
        <v>0</v>
      </c>
      <c r="V3381" s="6">
        <f t="shared" si="530"/>
        <v>0</v>
      </c>
      <c r="Y3381" s="8">
        <f t="shared" si="531"/>
        <v>46023</v>
      </c>
    </row>
    <row r="3382" spans="2:25" ht="18.75" x14ac:dyDescent="0.3">
      <c r="B3382" s="6">
        <f t="shared" si="523"/>
        <v>0</v>
      </c>
      <c r="C3382" s="6">
        <f t="shared" si="524"/>
        <v>0</v>
      </c>
      <c r="D3382" s="6" t="str">
        <f t="shared" si="525"/>
        <v/>
      </c>
      <c r="E3382" s="35" t="str">
        <f t="shared" si="522"/>
        <v/>
      </c>
      <c r="F3382" s="31"/>
      <c r="G3382" s="29"/>
      <c r="H3382" s="78" t="str">
        <f t="shared" si="526"/>
        <v/>
      </c>
      <c r="I3382" s="25"/>
      <c r="J3382" s="25"/>
      <c r="K3382" s="26"/>
      <c r="L3382" s="26"/>
      <c r="M3382" s="37"/>
      <c r="N3382" s="27"/>
      <c r="O3382" s="30"/>
      <c r="P3382" s="39" t="str">
        <f t="shared" si="527"/>
        <v/>
      </c>
      <c r="Q3382" s="40" t="str">
        <f>IF(OR(T3382=0,RIGHT(T3382,1)=$W$1),"",COUNTIF($T$3:T3382,T3382))</f>
        <v/>
      </c>
      <c r="S3382" s="6">
        <f t="shared" si="528"/>
        <v>0</v>
      </c>
      <c r="T3382" s="36">
        <f t="shared" si="529"/>
        <v>0</v>
      </c>
      <c r="V3382" s="6">
        <f t="shared" si="530"/>
        <v>0</v>
      </c>
      <c r="Y3382" s="8">
        <f t="shared" si="531"/>
        <v>46023</v>
      </c>
    </row>
    <row r="3383" spans="2:25" ht="18.75" x14ac:dyDescent="0.3">
      <c r="B3383" s="6">
        <f t="shared" si="523"/>
        <v>0</v>
      </c>
      <c r="C3383" s="6">
        <f t="shared" si="524"/>
        <v>0</v>
      </c>
      <c r="D3383" s="6" t="str">
        <f t="shared" si="525"/>
        <v/>
      </c>
      <c r="E3383" s="35" t="str">
        <f t="shared" si="522"/>
        <v/>
      </c>
      <c r="F3383" s="31"/>
      <c r="G3383" s="29"/>
      <c r="H3383" s="78" t="str">
        <f t="shared" si="526"/>
        <v/>
      </c>
      <c r="I3383" s="25"/>
      <c r="J3383" s="25"/>
      <c r="K3383" s="26"/>
      <c r="L3383" s="26"/>
      <c r="M3383" s="37"/>
      <c r="N3383" s="27"/>
      <c r="O3383" s="30"/>
      <c r="P3383" s="39" t="str">
        <f t="shared" si="527"/>
        <v/>
      </c>
      <c r="Q3383" s="40" t="str">
        <f>IF(OR(T3383=0,RIGHT(T3383,1)=$W$1),"",COUNTIF($T$3:T3383,T3383))</f>
        <v/>
      </c>
      <c r="S3383" s="6">
        <f t="shared" si="528"/>
        <v>0</v>
      </c>
      <c r="T3383" s="36">
        <f t="shared" si="529"/>
        <v>0</v>
      </c>
      <c r="V3383" s="6">
        <f t="shared" si="530"/>
        <v>0</v>
      </c>
      <c r="Y3383" s="8">
        <f t="shared" si="531"/>
        <v>46023</v>
      </c>
    </row>
    <row r="3384" spans="2:25" ht="18.75" x14ac:dyDescent="0.3">
      <c r="B3384" s="6">
        <f t="shared" si="523"/>
        <v>0</v>
      </c>
      <c r="C3384" s="6">
        <f t="shared" si="524"/>
        <v>0</v>
      </c>
      <c r="D3384" s="6" t="str">
        <f t="shared" si="525"/>
        <v/>
      </c>
      <c r="E3384" s="35" t="str">
        <f t="shared" si="522"/>
        <v/>
      </c>
      <c r="F3384" s="31"/>
      <c r="G3384" s="29"/>
      <c r="H3384" s="78" t="str">
        <f t="shared" si="526"/>
        <v/>
      </c>
      <c r="I3384" s="25"/>
      <c r="J3384" s="25"/>
      <c r="K3384" s="26"/>
      <c r="L3384" s="26"/>
      <c r="M3384" s="37"/>
      <c r="N3384" s="27"/>
      <c r="O3384" s="30"/>
      <c r="P3384" s="39" t="str">
        <f t="shared" si="527"/>
        <v/>
      </c>
      <c r="Q3384" s="40" t="str">
        <f>IF(OR(T3384=0,RIGHT(T3384,1)=$W$1),"",COUNTIF($T$3:T3384,T3384))</f>
        <v/>
      </c>
      <c r="S3384" s="6">
        <f t="shared" si="528"/>
        <v>0</v>
      </c>
      <c r="T3384" s="36">
        <f t="shared" si="529"/>
        <v>0</v>
      </c>
      <c r="V3384" s="6">
        <f t="shared" si="530"/>
        <v>0</v>
      </c>
      <c r="Y3384" s="8">
        <f t="shared" si="531"/>
        <v>46023</v>
      </c>
    </row>
    <row r="3385" spans="2:25" ht="18.75" x14ac:dyDescent="0.3">
      <c r="B3385" s="6">
        <f t="shared" si="523"/>
        <v>0</v>
      </c>
      <c r="C3385" s="6">
        <f t="shared" si="524"/>
        <v>0</v>
      </c>
      <c r="D3385" s="6" t="str">
        <f t="shared" si="525"/>
        <v/>
      </c>
      <c r="E3385" s="35" t="str">
        <f t="shared" si="522"/>
        <v/>
      </c>
      <c r="F3385" s="31"/>
      <c r="G3385" s="29"/>
      <c r="H3385" s="78" t="str">
        <f t="shared" si="526"/>
        <v/>
      </c>
      <c r="I3385" s="25"/>
      <c r="J3385" s="25"/>
      <c r="K3385" s="26"/>
      <c r="L3385" s="26"/>
      <c r="M3385" s="37"/>
      <c r="N3385" s="27"/>
      <c r="O3385" s="30"/>
      <c r="P3385" s="39" t="str">
        <f t="shared" si="527"/>
        <v/>
      </c>
      <c r="Q3385" s="40" t="str">
        <f>IF(OR(T3385=0,RIGHT(T3385,1)=$W$1),"",COUNTIF($T$3:T3385,T3385))</f>
        <v/>
      </c>
      <c r="S3385" s="6">
        <f t="shared" si="528"/>
        <v>0</v>
      </c>
      <c r="T3385" s="36">
        <f t="shared" si="529"/>
        <v>0</v>
      </c>
      <c r="V3385" s="6">
        <f t="shared" si="530"/>
        <v>0</v>
      </c>
      <c r="Y3385" s="8">
        <f t="shared" si="531"/>
        <v>46023</v>
      </c>
    </row>
    <row r="3386" spans="2:25" ht="18.75" x14ac:dyDescent="0.3">
      <c r="B3386" s="6">
        <f t="shared" si="523"/>
        <v>0</v>
      </c>
      <c r="C3386" s="6">
        <f t="shared" si="524"/>
        <v>0</v>
      </c>
      <c r="D3386" s="6" t="str">
        <f t="shared" si="525"/>
        <v/>
      </c>
      <c r="E3386" s="35" t="str">
        <f t="shared" si="522"/>
        <v/>
      </c>
      <c r="F3386" s="31"/>
      <c r="G3386" s="29"/>
      <c r="H3386" s="78" t="str">
        <f t="shared" si="526"/>
        <v/>
      </c>
      <c r="I3386" s="25"/>
      <c r="J3386" s="25"/>
      <c r="K3386" s="26"/>
      <c r="L3386" s="26"/>
      <c r="M3386" s="37"/>
      <c r="N3386" s="27"/>
      <c r="O3386" s="30"/>
      <c r="P3386" s="39" t="str">
        <f t="shared" si="527"/>
        <v/>
      </c>
      <c r="Q3386" s="40" t="str">
        <f>IF(OR(T3386=0,RIGHT(T3386,1)=$W$1),"",COUNTIF($T$3:T3386,T3386))</f>
        <v/>
      </c>
      <c r="S3386" s="6">
        <f t="shared" si="528"/>
        <v>0</v>
      </c>
      <c r="T3386" s="36">
        <f t="shared" si="529"/>
        <v>0</v>
      </c>
      <c r="V3386" s="6">
        <f t="shared" si="530"/>
        <v>0</v>
      </c>
      <c r="Y3386" s="8">
        <f t="shared" si="531"/>
        <v>46023</v>
      </c>
    </row>
    <row r="3387" spans="2:25" ht="18.75" x14ac:dyDescent="0.3">
      <c r="B3387" s="6">
        <f t="shared" si="523"/>
        <v>0</v>
      </c>
      <c r="C3387" s="6">
        <f t="shared" si="524"/>
        <v>0</v>
      </c>
      <c r="D3387" s="6" t="str">
        <f t="shared" si="525"/>
        <v/>
      </c>
      <c r="E3387" s="35" t="str">
        <f t="shared" si="522"/>
        <v/>
      </c>
      <c r="F3387" s="31"/>
      <c r="G3387" s="29"/>
      <c r="H3387" s="78" t="str">
        <f t="shared" si="526"/>
        <v/>
      </c>
      <c r="I3387" s="25"/>
      <c r="J3387" s="25"/>
      <c r="K3387" s="26"/>
      <c r="L3387" s="26"/>
      <c r="M3387" s="37"/>
      <c r="N3387" s="27"/>
      <c r="O3387" s="30"/>
      <c r="P3387" s="39" t="str">
        <f t="shared" si="527"/>
        <v/>
      </c>
      <c r="Q3387" s="40" t="str">
        <f>IF(OR(T3387=0,RIGHT(T3387,1)=$W$1),"",COUNTIF($T$3:T3387,T3387))</f>
        <v/>
      </c>
      <c r="S3387" s="6">
        <f t="shared" si="528"/>
        <v>0</v>
      </c>
      <c r="T3387" s="36">
        <f t="shared" si="529"/>
        <v>0</v>
      </c>
      <c r="V3387" s="6">
        <f t="shared" si="530"/>
        <v>0</v>
      </c>
      <c r="Y3387" s="8">
        <f t="shared" si="531"/>
        <v>46023</v>
      </c>
    </row>
    <row r="3388" spans="2:25" ht="18.75" x14ac:dyDescent="0.3">
      <c r="B3388" s="6">
        <f t="shared" si="523"/>
        <v>0</v>
      </c>
      <c r="C3388" s="6">
        <f t="shared" si="524"/>
        <v>0</v>
      </c>
      <c r="D3388" s="6" t="str">
        <f t="shared" si="525"/>
        <v/>
      </c>
      <c r="E3388" s="35" t="str">
        <f t="shared" si="522"/>
        <v/>
      </c>
      <c r="F3388" s="31"/>
      <c r="G3388" s="29"/>
      <c r="H3388" s="78" t="str">
        <f t="shared" si="526"/>
        <v/>
      </c>
      <c r="I3388" s="25"/>
      <c r="J3388" s="25"/>
      <c r="K3388" s="26"/>
      <c r="L3388" s="26"/>
      <c r="M3388" s="37"/>
      <c r="N3388" s="27"/>
      <c r="O3388" s="30"/>
      <c r="P3388" s="39" t="str">
        <f t="shared" si="527"/>
        <v/>
      </c>
      <c r="Q3388" s="40" t="str">
        <f>IF(OR(T3388=0,RIGHT(T3388,1)=$W$1),"",COUNTIF($T$3:T3388,T3388))</f>
        <v/>
      </c>
      <c r="S3388" s="6">
        <f t="shared" si="528"/>
        <v>0</v>
      </c>
      <c r="T3388" s="36">
        <f t="shared" si="529"/>
        <v>0</v>
      </c>
      <c r="V3388" s="6">
        <f t="shared" si="530"/>
        <v>0</v>
      </c>
      <c r="Y3388" s="8">
        <f t="shared" si="531"/>
        <v>46023</v>
      </c>
    </row>
    <row r="3389" spans="2:25" ht="18.75" x14ac:dyDescent="0.3">
      <c r="B3389" s="6">
        <f t="shared" si="523"/>
        <v>0</v>
      </c>
      <c r="C3389" s="6">
        <f t="shared" si="524"/>
        <v>0</v>
      </c>
      <c r="D3389" s="6" t="str">
        <f t="shared" si="525"/>
        <v/>
      </c>
      <c r="E3389" s="35" t="str">
        <f t="shared" si="522"/>
        <v/>
      </c>
      <c r="F3389" s="31"/>
      <c r="G3389" s="29"/>
      <c r="H3389" s="78" t="str">
        <f t="shared" si="526"/>
        <v/>
      </c>
      <c r="I3389" s="25"/>
      <c r="J3389" s="25"/>
      <c r="K3389" s="26"/>
      <c r="L3389" s="26"/>
      <c r="M3389" s="37"/>
      <c r="N3389" s="27"/>
      <c r="O3389" s="30"/>
      <c r="P3389" s="39" t="str">
        <f t="shared" si="527"/>
        <v/>
      </c>
      <c r="Q3389" s="40" t="str">
        <f>IF(OR(T3389=0,RIGHT(T3389,1)=$W$1),"",COUNTIF($T$3:T3389,T3389))</f>
        <v/>
      </c>
      <c r="S3389" s="6">
        <f t="shared" si="528"/>
        <v>0</v>
      </c>
      <c r="T3389" s="36">
        <f t="shared" si="529"/>
        <v>0</v>
      </c>
      <c r="V3389" s="6">
        <f t="shared" si="530"/>
        <v>0</v>
      </c>
      <c r="Y3389" s="8">
        <f t="shared" si="531"/>
        <v>46023</v>
      </c>
    </row>
    <row r="3390" spans="2:25" ht="18.75" x14ac:dyDescent="0.3">
      <c r="B3390" s="6">
        <f t="shared" si="523"/>
        <v>0</v>
      </c>
      <c r="C3390" s="6">
        <f t="shared" si="524"/>
        <v>0</v>
      </c>
      <c r="D3390" s="6" t="str">
        <f t="shared" si="525"/>
        <v/>
      </c>
      <c r="E3390" s="35" t="str">
        <f t="shared" si="522"/>
        <v/>
      </c>
      <c r="F3390" s="31"/>
      <c r="G3390" s="29"/>
      <c r="H3390" s="78" t="str">
        <f t="shared" si="526"/>
        <v/>
      </c>
      <c r="I3390" s="25"/>
      <c r="J3390" s="25"/>
      <c r="K3390" s="26"/>
      <c r="L3390" s="26"/>
      <c r="M3390" s="37"/>
      <c r="N3390" s="27"/>
      <c r="O3390" s="30"/>
      <c r="P3390" s="39" t="str">
        <f t="shared" si="527"/>
        <v/>
      </c>
      <c r="Q3390" s="40" t="str">
        <f>IF(OR(T3390=0,RIGHT(T3390,1)=$W$1),"",COUNTIF($T$3:T3390,T3390))</f>
        <v/>
      </c>
      <c r="S3390" s="6">
        <f t="shared" si="528"/>
        <v>0</v>
      </c>
      <c r="T3390" s="36">
        <f t="shared" si="529"/>
        <v>0</v>
      </c>
      <c r="V3390" s="6">
        <f t="shared" si="530"/>
        <v>0</v>
      </c>
      <c r="Y3390" s="8">
        <f t="shared" si="531"/>
        <v>46023</v>
      </c>
    </row>
    <row r="3391" spans="2:25" ht="18.75" x14ac:dyDescent="0.3">
      <c r="B3391" s="6">
        <f t="shared" si="523"/>
        <v>0</v>
      </c>
      <c r="C3391" s="6">
        <f t="shared" si="524"/>
        <v>0</v>
      </c>
      <c r="D3391" s="6" t="str">
        <f t="shared" si="525"/>
        <v/>
      </c>
      <c r="E3391" s="35" t="str">
        <f t="shared" si="522"/>
        <v/>
      </c>
      <c r="F3391" s="31"/>
      <c r="G3391" s="29"/>
      <c r="H3391" s="78" t="str">
        <f t="shared" si="526"/>
        <v/>
      </c>
      <c r="I3391" s="25"/>
      <c r="J3391" s="25"/>
      <c r="K3391" s="26"/>
      <c r="L3391" s="26"/>
      <c r="M3391" s="37"/>
      <c r="N3391" s="27"/>
      <c r="O3391" s="30"/>
      <c r="P3391" s="39" t="str">
        <f t="shared" si="527"/>
        <v/>
      </c>
      <c r="Q3391" s="40" t="str">
        <f>IF(OR(T3391=0,RIGHT(T3391,1)=$W$1),"",COUNTIF($T$3:T3391,T3391))</f>
        <v/>
      </c>
      <c r="S3391" s="6">
        <f t="shared" si="528"/>
        <v>0</v>
      </c>
      <c r="T3391" s="36">
        <f t="shared" si="529"/>
        <v>0</v>
      </c>
      <c r="V3391" s="6">
        <f t="shared" si="530"/>
        <v>0</v>
      </c>
      <c r="Y3391" s="8">
        <f t="shared" si="531"/>
        <v>46023</v>
      </c>
    </row>
    <row r="3392" spans="2:25" ht="18.75" x14ac:dyDescent="0.3">
      <c r="B3392" s="6">
        <f t="shared" si="523"/>
        <v>0</v>
      </c>
      <c r="C3392" s="6">
        <f t="shared" si="524"/>
        <v>0</v>
      </c>
      <c r="D3392" s="6" t="str">
        <f t="shared" si="525"/>
        <v/>
      </c>
      <c r="E3392" s="35" t="str">
        <f t="shared" si="522"/>
        <v/>
      </c>
      <c r="F3392" s="31"/>
      <c r="G3392" s="29"/>
      <c r="H3392" s="78" t="str">
        <f t="shared" si="526"/>
        <v/>
      </c>
      <c r="I3392" s="25"/>
      <c r="J3392" s="25"/>
      <c r="K3392" s="26"/>
      <c r="L3392" s="26"/>
      <c r="M3392" s="37"/>
      <c r="N3392" s="27"/>
      <c r="O3392" s="30"/>
      <c r="P3392" s="39" t="str">
        <f t="shared" si="527"/>
        <v/>
      </c>
      <c r="Q3392" s="40" t="str">
        <f>IF(OR(T3392=0,RIGHT(T3392,1)=$W$1),"",COUNTIF($T$3:T3392,T3392))</f>
        <v/>
      </c>
      <c r="S3392" s="6">
        <f t="shared" si="528"/>
        <v>0</v>
      </c>
      <c r="T3392" s="36">
        <f t="shared" si="529"/>
        <v>0</v>
      </c>
      <c r="V3392" s="6">
        <f t="shared" si="530"/>
        <v>0</v>
      </c>
      <c r="Y3392" s="8">
        <f t="shared" si="531"/>
        <v>46023</v>
      </c>
    </row>
    <row r="3393" spans="2:25" ht="18.75" x14ac:dyDescent="0.3">
      <c r="B3393" s="6">
        <f t="shared" si="523"/>
        <v>0</v>
      </c>
      <c r="C3393" s="6">
        <f t="shared" si="524"/>
        <v>0</v>
      </c>
      <c r="D3393" s="6" t="str">
        <f t="shared" si="525"/>
        <v/>
      </c>
      <c r="E3393" s="35" t="str">
        <f t="shared" si="522"/>
        <v/>
      </c>
      <c r="F3393" s="31"/>
      <c r="G3393" s="29"/>
      <c r="H3393" s="78" t="str">
        <f t="shared" si="526"/>
        <v/>
      </c>
      <c r="I3393" s="25"/>
      <c r="J3393" s="25"/>
      <c r="K3393" s="26"/>
      <c r="L3393" s="26"/>
      <c r="M3393" s="37"/>
      <c r="N3393" s="27"/>
      <c r="O3393" s="30"/>
      <c r="P3393" s="39" t="str">
        <f t="shared" si="527"/>
        <v/>
      </c>
      <c r="Q3393" s="40" t="str">
        <f>IF(OR(T3393=0,RIGHT(T3393,1)=$W$1),"",COUNTIF($T$3:T3393,T3393))</f>
        <v/>
      </c>
      <c r="S3393" s="6">
        <f t="shared" si="528"/>
        <v>0</v>
      </c>
      <c r="T3393" s="36">
        <f t="shared" si="529"/>
        <v>0</v>
      </c>
      <c r="V3393" s="6">
        <f t="shared" si="530"/>
        <v>0</v>
      </c>
      <c r="Y3393" s="8">
        <f t="shared" si="531"/>
        <v>46023</v>
      </c>
    </row>
    <row r="3394" spans="2:25" ht="18.75" x14ac:dyDescent="0.3">
      <c r="B3394" s="6">
        <f t="shared" si="523"/>
        <v>0</v>
      </c>
      <c r="C3394" s="6">
        <f t="shared" si="524"/>
        <v>0</v>
      </c>
      <c r="D3394" s="6" t="str">
        <f t="shared" si="525"/>
        <v/>
      </c>
      <c r="E3394" s="35" t="str">
        <f t="shared" si="522"/>
        <v/>
      </c>
      <c r="F3394" s="31"/>
      <c r="G3394" s="29"/>
      <c r="H3394" s="78" t="str">
        <f t="shared" si="526"/>
        <v/>
      </c>
      <c r="I3394" s="25"/>
      <c r="J3394" s="25"/>
      <c r="K3394" s="26"/>
      <c r="L3394" s="26"/>
      <c r="M3394" s="37"/>
      <c r="N3394" s="27"/>
      <c r="O3394" s="30"/>
      <c r="P3394" s="39" t="str">
        <f t="shared" si="527"/>
        <v/>
      </c>
      <c r="Q3394" s="40" t="str">
        <f>IF(OR(T3394=0,RIGHT(T3394,1)=$W$1),"",COUNTIF($T$3:T3394,T3394))</f>
        <v/>
      </c>
      <c r="S3394" s="6">
        <f t="shared" si="528"/>
        <v>0</v>
      </c>
      <c r="T3394" s="36">
        <f t="shared" si="529"/>
        <v>0</v>
      </c>
      <c r="V3394" s="6">
        <f t="shared" si="530"/>
        <v>0</v>
      </c>
      <c r="Y3394" s="8">
        <f t="shared" si="531"/>
        <v>46023</v>
      </c>
    </row>
    <row r="3395" spans="2:25" ht="18.75" x14ac:dyDescent="0.3">
      <c r="B3395" s="6">
        <f t="shared" si="523"/>
        <v>0</v>
      </c>
      <c r="C3395" s="6">
        <f t="shared" si="524"/>
        <v>0</v>
      </c>
      <c r="D3395" s="6" t="str">
        <f t="shared" si="525"/>
        <v/>
      </c>
      <c r="E3395" s="35" t="str">
        <f t="shared" ref="E3395:E3458" si="532">IF(D3395&lt;&gt;"",D3395&amp;" - "&amp;YEAR(F3395),"")</f>
        <v/>
      </c>
      <c r="F3395" s="31"/>
      <c r="G3395" s="29"/>
      <c r="H3395" s="78" t="str">
        <f t="shared" si="526"/>
        <v/>
      </c>
      <c r="I3395" s="25"/>
      <c r="J3395" s="25"/>
      <c r="K3395" s="26"/>
      <c r="L3395" s="26"/>
      <c r="M3395" s="37"/>
      <c r="N3395" s="27"/>
      <c r="O3395" s="30"/>
      <c r="P3395" s="39" t="str">
        <f t="shared" si="527"/>
        <v/>
      </c>
      <c r="Q3395" s="40" t="str">
        <f>IF(OR(T3395=0,RIGHT(T3395,1)=$W$1),"",COUNTIF($T$3:T3395,T3395))</f>
        <v/>
      </c>
      <c r="S3395" s="6">
        <f t="shared" si="528"/>
        <v>0</v>
      </c>
      <c r="T3395" s="36">
        <f t="shared" si="529"/>
        <v>0</v>
      </c>
      <c r="V3395" s="6">
        <f t="shared" si="530"/>
        <v>0</v>
      </c>
      <c r="Y3395" s="8">
        <f t="shared" si="531"/>
        <v>46023</v>
      </c>
    </row>
    <row r="3396" spans="2:25" ht="18.75" x14ac:dyDescent="0.3">
      <c r="B3396" s="6">
        <f t="shared" ref="B3396:B3459" si="533">IF($B$1=YEAR(F3396),B3395+1,B3395)</f>
        <v>0</v>
      </c>
      <c r="C3396" s="6">
        <f t="shared" ref="C3396:C3459" si="534">IF(AND($C$1=K3396,$Y$1=YEAR(F3396)),C3395+1,C3395)</f>
        <v>0</v>
      </c>
      <c r="D3396" s="6" t="str">
        <f t="shared" ref="D3396:D3459" si="535">IF(F3396&lt;&gt;0,IF(YEAR(F3396)&lt;&gt;YEAR(F3395),1,IF(M3396=$AI$1,D3395,D3395+1)),"")</f>
        <v/>
      </c>
      <c r="E3396" s="35" t="str">
        <f t="shared" si="532"/>
        <v/>
      </c>
      <c r="F3396" s="31"/>
      <c r="G3396" s="29"/>
      <c r="H3396" s="78" t="str">
        <f t="shared" ref="H3396:H3459" si="536">IF(G3396&lt;&gt;"",F3396,"")</f>
        <v/>
      </c>
      <c r="I3396" s="25"/>
      <c r="J3396" s="25"/>
      <c r="K3396" s="26"/>
      <c r="L3396" s="26"/>
      <c r="M3396" s="37"/>
      <c r="N3396" s="27"/>
      <c r="O3396" s="30"/>
      <c r="P3396" s="39" t="str">
        <f t="shared" ref="P3396:P3459" si="537">IF(OR(T3396=0,RIGHT(T3396,1)=$W$1),"",VLOOKUP(K3396,$AD$1:$AK$15,5,FALSE))</f>
        <v/>
      </c>
      <c r="Q3396" s="40" t="str">
        <f>IF(OR(T3396=0,RIGHT(T3396,1)=$W$1),"",COUNTIF($T$3:T3396,T3396))</f>
        <v/>
      </c>
      <c r="S3396" s="6">
        <f t="shared" ref="S3396:S3459" si="538">IF(AND($C$1=K3396,$Y$1=YEAR(F3396)),C3396,0)</f>
        <v>0</v>
      </c>
      <c r="T3396" s="36">
        <f t="shared" ref="T3396:T3459" si="539">IF(F3396=0,0,YEAR(F3396)&amp;VLOOKUP(K3396,$AD$1:$AE$15,2,FALSE))</f>
        <v>0</v>
      </c>
      <c r="V3396" s="6">
        <f t="shared" ref="V3396:V3459" si="540">IF(AND(YEAR(F3396)=$Y$1,K3396=$C$1,L3396&amp;$V$1&lt;&gt;$V$1),L3396,IF(AND(YEAR(F3396)=$Y$1,K3396=$C$1),1,0))</f>
        <v>0</v>
      </c>
      <c r="Y3396" s="8">
        <f t="shared" ref="Y3396:Y3459" si="541">IF(M3396&lt;&gt;$AI$1,$Y$2,F3395)</f>
        <v>46023</v>
      </c>
    </row>
    <row r="3397" spans="2:25" ht="18.75" x14ac:dyDescent="0.3">
      <c r="B3397" s="6">
        <f t="shared" si="533"/>
        <v>0</v>
      </c>
      <c r="C3397" s="6">
        <f t="shared" si="534"/>
        <v>0</v>
      </c>
      <c r="D3397" s="6" t="str">
        <f t="shared" si="535"/>
        <v/>
      </c>
      <c r="E3397" s="35" t="str">
        <f t="shared" si="532"/>
        <v/>
      </c>
      <c r="F3397" s="31"/>
      <c r="G3397" s="29"/>
      <c r="H3397" s="78" t="str">
        <f t="shared" si="536"/>
        <v/>
      </c>
      <c r="I3397" s="25"/>
      <c r="J3397" s="25"/>
      <c r="K3397" s="26"/>
      <c r="L3397" s="26"/>
      <c r="M3397" s="37"/>
      <c r="N3397" s="27"/>
      <c r="O3397" s="30"/>
      <c r="P3397" s="39" t="str">
        <f t="shared" si="537"/>
        <v/>
      </c>
      <c r="Q3397" s="40" t="str">
        <f>IF(OR(T3397=0,RIGHT(T3397,1)=$W$1),"",COUNTIF($T$3:T3397,T3397))</f>
        <v/>
      </c>
      <c r="S3397" s="6">
        <f t="shared" si="538"/>
        <v>0</v>
      </c>
      <c r="T3397" s="36">
        <f t="shared" si="539"/>
        <v>0</v>
      </c>
      <c r="V3397" s="6">
        <f t="shared" si="540"/>
        <v>0</v>
      </c>
      <c r="Y3397" s="8">
        <f t="shared" si="541"/>
        <v>46023</v>
      </c>
    </row>
    <row r="3398" spans="2:25" ht="18.75" x14ac:dyDescent="0.3">
      <c r="B3398" s="6">
        <f t="shared" si="533"/>
        <v>0</v>
      </c>
      <c r="C3398" s="6">
        <f t="shared" si="534"/>
        <v>0</v>
      </c>
      <c r="D3398" s="6" t="str">
        <f t="shared" si="535"/>
        <v/>
      </c>
      <c r="E3398" s="35" t="str">
        <f t="shared" si="532"/>
        <v/>
      </c>
      <c r="F3398" s="31"/>
      <c r="G3398" s="29"/>
      <c r="H3398" s="78" t="str">
        <f t="shared" si="536"/>
        <v/>
      </c>
      <c r="I3398" s="25"/>
      <c r="J3398" s="25"/>
      <c r="K3398" s="26"/>
      <c r="L3398" s="26"/>
      <c r="M3398" s="37"/>
      <c r="N3398" s="27"/>
      <c r="O3398" s="30"/>
      <c r="P3398" s="39" t="str">
        <f t="shared" si="537"/>
        <v/>
      </c>
      <c r="Q3398" s="40" t="str">
        <f>IF(OR(T3398=0,RIGHT(T3398,1)=$W$1),"",COUNTIF($T$3:T3398,T3398))</f>
        <v/>
      </c>
      <c r="S3398" s="6">
        <f t="shared" si="538"/>
        <v>0</v>
      </c>
      <c r="T3398" s="36">
        <f t="shared" si="539"/>
        <v>0</v>
      </c>
      <c r="V3398" s="6">
        <f t="shared" si="540"/>
        <v>0</v>
      </c>
      <c r="Y3398" s="8">
        <f t="shared" si="541"/>
        <v>46023</v>
      </c>
    </row>
    <row r="3399" spans="2:25" ht="18.75" x14ac:dyDescent="0.3">
      <c r="B3399" s="6">
        <f t="shared" si="533"/>
        <v>0</v>
      </c>
      <c r="C3399" s="6">
        <f t="shared" si="534"/>
        <v>0</v>
      </c>
      <c r="D3399" s="6" t="str">
        <f t="shared" si="535"/>
        <v/>
      </c>
      <c r="E3399" s="35" t="str">
        <f t="shared" si="532"/>
        <v/>
      </c>
      <c r="F3399" s="31"/>
      <c r="G3399" s="29"/>
      <c r="H3399" s="78" t="str">
        <f t="shared" si="536"/>
        <v/>
      </c>
      <c r="I3399" s="25"/>
      <c r="J3399" s="25"/>
      <c r="K3399" s="26"/>
      <c r="L3399" s="26"/>
      <c r="M3399" s="37"/>
      <c r="N3399" s="27"/>
      <c r="O3399" s="30"/>
      <c r="P3399" s="39" t="str">
        <f t="shared" si="537"/>
        <v/>
      </c>
      <c r="Q3399" s="40" t="str">
        <f>IF(OR(T3399=0,RIGHT(T3399,1)=$W$1),"",COUNTIF($T$3:T3399,T3399))</f>
        <v/>
      </c>
      <c r="S3399" s="6">
        <f t="shared" si="538"/>
        <v>0</v>
      </c>
      <c r="T3399" s="36">
        <f t="shared" si="539"/>
        <v>0</v>
      </c>
      <c r="V3399" s="6">
        <f t="shared" si="540"/>
        <v>0</v>
      </c>
      <c r="Y3399" s="8">
        <f t="shared" si="541"/>
        <v>46023</v>
      </c>
    </row>
    <row r="3400" spans="2:25" ht="18.75" x14ac:dyDescent="0.3">
      <c r="B3400" s="6">
        <f t="shared" si="533"/>
        <v>0</v>
      </c>
      <c r="C3400" s="6">
        <f t="shared" si="534"/>
        <v>0</v>
      </c>
      <c r="D3400" s="6" t="str">
        <f t="shared" si="535"/>
        <v/>
      </c>
      <c r="E3400" s="35" t="str">
        <f t="shared" si="532"/>
        <v/>
      </c>
      <c r="F3400" s="31"/>
      <c r="G3400" s="29"/>
      <c r="H3400" s="78" t="str">
        <f t="shared" si="536"/>
        <v/>
      </c>
      <c r="I3400" s="25"/>
      <c r="J3400" s="25"/>
      <c r="K3400" s="26"/>
      <c r="L3400" s="26"/>
      <c r="M3400" s="37"/>
      <c r="N3400" s="27"/>
      <c r="O3400" s="30"/>
      <c r="P3400" s="39" t="str">
        <f t="shared" si="537"/>
        <v/>
      </c>
      <c r="Q3400" s="40" t="str">
        <f>IF(OR(T3400=0,RIGHT(T3400,1)=$W$1),"",COUNTIF($T$3:T3400,T3400))</f>
        <v/>
      </c>
      <c r="S3400" s="6">
        <f t="shared" si="538"/>
        <v>0</v>
      </c>
      <c r="T3400" s="36">
        <f t="shared" si="539"/>
        <v>0</v>
      </c>
      <c r="V3400" s="6">
        <f t="shared" si="540"/>
        <v>0</v>
      </c>
      <c r="Y3400" s="8">
        <f t="shared" si="541"/>
        <v>46023</v>
      </c>
    </row>
    <row r="3401" spans="2:25" ht="18.75" x14ac:dyDescent="0.3">
      <c r="B3401" s="6">
        <f t="shared" si="533"/>
        <v>0</v>
      </c>
      <c r="C3401" s="6">
        <f t="shared" si="534"/>
        <v>0</v>
      </c>
      <c r="D3401" s="6" t="str">
        <f t="shared" si="535"/>
        <v/>
      </c>
      <c r="E3401" s="35" t="str">
        <f t="shared" si="532"/>
        <v/>
      </c>
      <c r="F3401" s="31"/>
      <c r="G3401" s="29"/>
      <c r="H3401" s="78" t="str">
        <f t="shared" si="536"/>
        <v/>
      </c>
      <c r="I3401" s="25"/>
      <c r="J3401" s="25"/>
      <c r="K3401" s="26"/>
      <c r="L3401" s="26"/>
      <c r="M3401" s="37"/>
      <c r="N3401" s="27"/>
      <c r="O3401" s="30"/>
      <c r="P3401" s="39" t="str">
        <f t="shared" si="537"/>
        <v/>
      </c>
      <c r="Q3401" s="40" t="str">
        <f>IF(OR(T3401=0,RIGHT(T3401,1)=$W$1),"",COUNTIF($T$3:T3401,T3401))</f>
        <v/>
      </c>
      <c r="S3401" s="6">
        <f t="shared" si="538"/>
        <v>0</v>
      </c>
      <c r="T3401" s="36">
        <f t="shared" si="539"/>
        <v>0</v>
      </c>
      <c r="V3401" s="6">
        <f t="shared" si="540"/>
        <v>0</v>
      </c>
      <c r="Y3401" s="8">
        <f t="shared" si="541"/>
        <v>46023</v>
      </c>
    </row>
    <row r="3402" spans="2:25" ht="18.75" x14ac:dyDescent="0.3">
      <c r="B3402" s="6">
        <f t="shared" si="533"/>
        <v>0</v>
      </c>
      <c r="C3402" s="6">
        <f t="shared" si="534"/>
        <v>0</v>
      </c>
      <c r="D3402" s="6" t="str">
        <f t="shared" si="535"/>
        <v/>
      </c>
      <c r="E3402" s="35" t="str">
        <f t="shared" si="532"/>
        <v/>
      </c>
      <c r="F3402" s="31"/>
      <c r="G3402" s="29"/>
      <c r="H3402" s="78" t="str">
        <f t="shared" si="536"/>
        <v/>
      </c>
      <c r="I3402" s="25"/>
      <c r="J3402" s="25"/>
      <c r="K3402" s="26"/>
      <c r="L3402" s="26"/>
      <c r="M3402" s="37"/>
      <c r="N3402" s="27"/>
      <c r="O3402" s="30"/>
      <c r="P3402" s="39" t="str">
        <f t="shared" si="537"/>
        <v/>
      </c>
      <c r="Q3402" s="40" t="str">
        <f>IF(OR(T3402=0,RIGHT(T3402,1)=$W$1),"",COUNTIF($T$3:T3402,T3402))</f>
        <v/>
      </c>
      <c r="S3402" s="6">
        <f t="shared" si="538"/>
        <v>0</v>
      </c>
      <c r="T3402" s="36">
        <f t="shared" si="539"/>
        <v>0</v>
      </c>
      <c r="V3402" s="6">
        <f t="shared" si="540"/>
        <v>0</v>
      </c>
      <c r="Y3402" s="8">
        <f t="shared" si="541"/>
        <v>46023</v>
      </c>
    </row>
    <row r="3403" spans="2:25" ht="18.75" x14ac:dyDescent="0.3">
      <c r="B3403" s="6">
        <f t="shared" si="533"/>
        <v>0</v>
      </c>
      <c r="C3403" s="6">
        <f t="shared" si="534"/>
        <v>0</v>
      </c>
      <c r="D3403" s="6" t="str">
        <f t="shared" si="535"/>
        <v/>
      </c>
      <c r="E3403" s="35" t="str">
        <f t="shared" si="532"/>
        <v/>
      </c>
      <c r="F3403" s="31"/>
      <c r="G3403" s="29"/>
      <c r="H3403" s="78" t="str">
        <f t="shared" si="536"/>
        <v/>
      </c>
      <c r="I3403" s="25"/>
      <c r="J3403" s="25"/>
      <c r="K3403" s="26"/>
      <c r="L3403" s="26"/>
      <c r="M3403" s="37"/>
      <c r="N3403" s="27"/>
      <c r="O3403" s="30"/>
      <c r="P3403" s="39" t="str">
        <f t="shared" si="537"/>
        <v/>
      </c>
      <c r="Q3403" s="40" t="str">
        <f>IF(OR(T3403=0,RIGHT(T3403,1)=$W$1),"",COUNTIF($T$3:T3403,T3403))</f>
        <v/>
      </c>
      <c r="S3403" s="6">
        <f t="shared" si="538"/>
        <v>0</v>
      </c>
      <c r="T3403" s="36">
        <f t="shared" si="539"/>
        <v>0</v>
      </c>
      <c r="V3403" s="6">
        <f t="shared" si="540"/>
        <v>0</v>
      </c>
      <c r="Y3403" s="8">
        <f t="shared" si="541"/>
        <v>46023</v>
      </c>
    </row>
    <row r="3404" spans="2:25" ht="18.75" x14ac:dyDescent="0.3">
      <c r="B3404" s="6">
        <f t="shared" si="533"/>
        <v>0</v>
      </c>
      <c r="C3404" s="6">
        <f t="shared" si="534"/>
        <v>0</v>
      </c>
      <c r="D3404" s="6" t="str">
        <f t="shared" si="535"/>
        <v/>
      </c>
      <c r="E3404" s="35" t="str">
        <f t="shared" si="532"/>
        <v/>
      </c>
      <c r="F3404" s="31"/>
      <c r="G3404" s="29"/>
      <c r="H3404" s="78" t="str">
        <f t="shared" si="536"/>
        <v/>
      </c>
      <c r="I3404" s="25"/>
      <c r="J3404" s="25"/>
      <c r="K3404" s="26"/>
      <c r="L3404" s="26"/>
      <c r="M3404" s="37"/>
      <c r="N3404" s="27"/>
      <c r="O3404" s="30"/>
      <c r="P3404" s="39" t="str">
        <f t="shared" si="537"/>
        <v/>
      </c>
      <c r="Q3404" s="40" t="str">
        <f>IF(OR(T3404=0,RIGHT(T3404,1)=$W$1),"",COUNTIF($T$3:T3404,T3404))</f>
        <v/>
      </c>
      <c r="S3404" s="6">
        <f t="shared" si="538"/>
        <v>0</v>
      </c>
      <c r="T3404" s="36">
        <f t="shared" si="539"/>
        <v>0</v>
      </c>
      <c r="V3404" s="6">
        <f t="shared" si="540"/>
        <v>0</v>
      </c>
      <c r="Y3404" s="8">
        <f t="shared" si="541"/>
        <v>46023</v>
      </c>
    </row>
    <row r="3405" spans="2:25" ht="18.75" x14ac:dyDescent="0.3">
      <c r="B3405" s="6">
        <f t="shared" si="533"/>
        <v>0</v>
      </c>
      <c r="C3405" s="6">
        <f t="shared" si="534"/>
        <v>0</v>
      </c>
      <c r="D3405" s="6" t="str">
        <f t="shared" si="535"/>
        <v/>
      </c>
      <c r="E3405" s="35" t="str">
        <f t="shared" si="532"/>
        <v/>
      </c>
      <c r="F3405" s="31"/>
      <c r="G3405" s="29"/>
      <c r="H3405" s="78" t="str">
        <f t="shared" si="536"/>
        <v/>
      </c>
      <c r="I3405" s="25"/>
      <c r="J3405" s="25"/>
      <c r="K3405" s="26"/>
      <c r="L3405" s="26"/>
      <c r="M3405" s="37"/>
      <c r="N3405" s="27"/>
      <c r="O3405" s="30"/>
      <c r="P3405" s="39" t="str">
        <f t="shared" si="537"/>
        <v/>
      </c>
      <c r="Q3405" s="40" t="str">
        <f>IF(OR(T3405=0,RIGHT(T3405,1)=$W$1),"",COUNTIF($T$3:T3405,T3405))</f>
        <v/>
      </c>
      <c r="S3405" s="6">
        <f t="shared" si="538"/>
        <v>0</v>
      </c>
      <c r="T3405" s="36">
        <f t="shared" si="539"/>
        <v>0</v>
      </c>
      <c r="V3405" s="6">
        <f t="shared" si="540"/>
        <v>0</v>
      </c>
      <c r="Y3405" s="8">
        <f t="shared" si="541"/>
        <v>46023</v>
      </c>
    </row>
    <row r="3406" spans="2:25" ht="18.75" x14ac:dyDescent="0.3">
      <c r="B3406" s="6">
        <f t="shared" si="533"/>
        <v>0</v>
      </c>
      <c r="C3406" s="6">
        <f t="shared" si="534"/>
        <v>0</v>
      </c>
      <c r="D3406" s="6" t="str">
        <f t="shared" si="535"/>
        <v/>
      </c>
      <c r="E3406" s="35" t="str">
        <f t="shared" si="532"/>
        <v/>
      </c>
      <c r="F3406" s="31"/>
      <c r="G3406" s="29"/>
      <c r="H3406" s="78" t="str">
        <f t="shared" si="536"/>
        <v/>
      </c>
      <c r="I3406" s="25"/>
      <c r="J3406" s="25"/>
      <c r="K3406" s="26"/>
      <c r="L3406" s="26"/>
      <c r="M3406" s="37"/>
      <c r="N3406" s="27"/>
      <c r="O3406" s="30"/>
      <c r="P3406" s="39" t="str">
        <f t="shared" si="537"/>
        <v/>
      </c>
      <c r="Q3406" s="40" t="str">
        <f>IF(OR(T3406=0,RIGHT(T3406,1)=$W$1),"",COUNTIF($T$3:T3406,T3406))</f>
        <v/>
      </c>
      <c r="S3406" s="6">
        <f t="shared" si="538"/>
        <v>0</v>
      </c>
      <c r="T3406" s="36">
        <f t="shared" si="539"/>
        <v>0</v>
      </c>
      <c r="V3406" s="6">
        <f t="shared" si="540"/>
        <v>0</v>
      </c>
      <c r="Y3406" s="8">
        <f t="shared" si="541"/>
        <v>46023</v>
      </c>
    </row>
    <row r="3407" spans="2:25" ht="18.75" x14ac:dyDescent="0.3">
      <c r="B3407" s="6">
        <f t="shared" si="533"/>
        <v>0</v>
      </c>
      <c r="C3407" s="6">
        <f t="shared" si="534"/>
        <v>0</v>
      </c>
      <c r="D3407" s="6" t="str">
        <f t="shared" si="535"/>
        <v/>
      </c>
      <c r="E3407" s="35" t="str">
        <f t="shared" si="532"/>
        <v/>
      </c>
      <c r="F3407" s="31"/>
      <c r="G3407" s="29"/>
      <c r="H3407" s="78" t="str">
        <f t="shared" si="536"/>
        <v/>
      </c>
      <c r="I3407" s="25"/>
      <c r="J3407" s="25"/>
      <c r="K3407" s="26"/>
      <c r="L3407" s="26"/>
      <c r="M3407" s="37"/>
      <c r="N3407" s="27"/>
      <c r="O3407" s="30"/>
      <c r="P3407" s="39" t="str">
        <f t="shared" si="537"/>
        <v/>
      </c>
      <c r="Q3407" s="40" t="str">
        <f>IF(OR(T3407=0,RIGHT(T3407,1)=$W$1),"",COUNTIF($T$3:T3407,T3407))</f>
        <v/>
      </c>
      <c r="S3407" s="6">
        <f t="shared" si="538"/>
        <v>0</v>
      </c>
      <c r="T3407" s="36">
        <f t="shared" si="539"/>
        <v>0</v>
      </c>
      <c r="V3407" s="6">
        <f t="shared" si="540"/>
        <v>0</v>
      </c>
      <c r="Y3407" s="8">
        <f t="shared" si="541"/>
        <v>46023</v>
      </c>
    </row>
    <row r="3408" spans="2:25" ht="18.75" x14ac:dyDescent="0.3">
      <c r="B3408" s="6">
        <f t="shared" si="533"/>
        <v>0</v>
      </c>
      <c r="C3408" s="6">
        <f t="shared" si="534"/>
        <v>0</v>
      </c>
      <c r="D3408" s="6" t="str">
        <f t="shared" si="535"/>
        <v/>
      </c>
      <c r="E3408" s="35" t="str">
        <f t="shared" si="532"/>
        <v/>
      </c>
      <c r="F3408" s="31"/>
      <c r="G3408" s="29"/>
      <c r="H3408" s="78" t="str">
        <f t="shared" si="536"/>
        <v/>
      </c>
      <c r="I3408" s="25"/>
      <c r="J3408" s="25"/>
      <c r="K3408" s="26"/>
      <c r="L3408" s="26"/>
      <c r="M3408" s="37"/>
      <c r="N3408" s="27"/>
      <c r="O3408" s="30"/>
      <c r="P3408" s="39" t="str">
        <f t="shared" si="537"/>
        <v/>
      </c>
      <c r="Q3408" s="40" t="str">
        <f>IF(OR(T3408=0,RIGHT(T3408,1)=$W$1),"",COUNTIF($T$3:T3408,T3408))</f>
        <v/>
      </c>
      <c r="S3408" s="6">
        <f t="shared" si="538"/>
        <v>0</v>
      </c>
      <c r="T3408" s="36">
        <f t="shared" si="539"/>
        <v>0</v>
      </c>
      <c r="V3408" s="6">
        <f t="shared" si="540"/>
        <v>0</v>
      </c>
      <c r="Y3408" s="8">
        <f t="shared" si="541"/>
        <v>46023</v>
      </c>
    </row>
    <row r="3409" spans="2:25" ht="18.75" x14ac:dyDescent="0.3">
      <c r="B3409" s="6">
        <f t="shared" si="533"/>
        <v>0</v>
      </c>
      <c r="C3409" s="6">
        <f t="shared" si="534"/>
        <v>0</v>
      </c>
      <c r="D3409" s="6" t="str">
        <f t="shared" si="535"/>
        <v/>
      </c>
      <c r="E3409" s="35" t="str">
        <f t="shared" si="532"/>
        <v/>
      </c>
      <c r="F3409" s="31"/>
      <c r="G3409" s="29"/>
      <c r="H3409" s="78" t="str">
        <f t="shared" si="536"/>
        <v/>
      </c>
      <c r="I3409" s="25"/>
      <c r="J3409" s="25"/>
      <c r="K3409" s="26"/>
      <c r="L3409" s="26"/>
      <c r="M3409" s="37"/>
      <c r="N3409" s="27"/>
      <c r="O3409" s="30"/>
      <c r="P3409" s="39" t="str">
        <f t="shared" si="537"/>
        <v/>
      </c>
      <c r="Q3409" s="40" t="str">
        <f>IF(OR(T3409=0,RIGHT(T3409,1)=$W$1),"",COUNTIF($T$3:T3409,T3409))</f>
        <v/>
      </c>
      <c r="S3409" s="6">
        <f t="shared" si="538"/>
        <v>0</v>
      </c>
      <c r="T3409" s="36">
        <f t="shared" si="539"/>
        <v>0</v>
      </c>
      <c r="V3409" s="6">
        <f t="shared" si="540"/>
        <v>0</v>
      </c>
      <c r="Y3409" s="8">
        <f t="shared" si="541"/>
        <v>46023</v>
      </c>
    </row>
    <row r="3410" spans="2:25" ht="18.75" x14ac:dyDescent="0.3">
      <c r="B3410" s="6">
        <f t="shared" si="533"/>
        <v>0</v>
      </c>
      <c r="C3410" s="6">
        <f t="shared" si="534"/>
        <v>0</v>
      </c>
      <c r="D3410" s="6" t="str">
        <f t="shared" si="535"/>
        <v/>
      </c>
      <c r="E3410" s="35" t="str">
        <f t="shared" si="532"/>
        <v/>
      </c>
      <c r="F3410" s="31"/>
      <c r="G3410" s="29"/>
      <c r="H3410" s="78" t="str">
        <f t="shared" si="536"/>
        <v/>
      </c>
      <c r="I3410" s="25"/>
      <c r="J3410" s="25"/>
      <c r="K3410" s="26"/>
      <c r="L3410" s="26"/>
      <c r="M3410" s="37"/>
      <c r="N3410" s="27"/>
      <c r="O3410" s="30"/>
      <c r="P3410" s="39" t="str">
        <f t="shared" si="537"/>
        <v/>
      </c>
      <c r="Q3410" s="40" t="str">
        <f>IF(OR(T3410=0,RIGHT(T3410,1)=$W$1),"",COUNTIF($T$3:T3410,T3410))</f>
        <v/>
      </c>
      <c r="S3410" s="6">
        <f t="shared" si="538"/>
        <v>0</v>
      </c>
      <c r="T3410" s="36">
        <f t="shared" si="539"/>
        <v>0</v>
      </c>
      <c r="V3410" s="6">
        <f t="shared" si="540"/>
        <v>0</v>
      </c>
      <c r="Y3410" s="8">
        <f t="shared" si="541"/>
        <v>46023</v>
      </c>
    </row>
    <row r="3411" spans="2:25" ht="18.75" x14ac:dyDescent="0.3">
      <c r="B3411" s="6">
        <f t="shared" si="533"/>
        <v>0</v>
      </c>
      <c r="C3411" s="6">
        <f t="shared" si="534"/>
        <v>0</v>
      </c>
      <c r="D3411" s="6" t="str">
        <f t="shared" si="535"/>
        <v/>
      </c>
      <c r="E3411" s="35" t="str">
        <f t="shared" si="532"/>
        <v/>
      </c>
      <c r="F3411" s="31"/>
      <c r="G3411" s="29"/>
      <c r="H3411" s="78" t="str">
        <f t="shared" si="536"/>
        <v/>
      </c>
      <c r="I3411" s="25"/>
      <c r="J3411" s="25"/>
      <c r="K3411" s="26"/>
      <c r="L3411" s="26"/>
      <c r="M3411" s="37"/>
      <c r="N3411" s="27"/>
      <c r="O3411" s="30"/>
      <c r="P3411" s="39" t="str">
        <f t="shared" si="537"/>
        <v/>
      </c>
      <c r="Q3411" s="40" t="str">
        <f>IF(OR(T3411=0,RIGHT(T3411,1)=$W$1),"",COUNTIF($T$3:T3411,T3411))</f>
        <v/>
      </c>
      <c r="S3411" s="6">
        <f t="shared" si="538"/>
        <v>0</v>
      </c>
      <c r="T3411" s="36">
        <f t="shared" si="539"/>
        <v>0</v>
      </c>
      <c r="V3411" s="6">
        <f t="shared" si="540"/>
        <v>0</v>
      </c>
      <c r="Y3411" s="8">
        <f t="shared" si="541"/>
        <v>46023</v>
      </c>
    </row>
    <row r="3412" spans="2:25" ht="18.75" x14ac:dyDescent="0.3">
      <c r="B3412" s="6">
        <f t="shared" si="533"/>
        <v>0</v>
      </c>
      <c r="C3412" s="6">
        <f t="shared" si="534"/>
        <v>0</v>
      </c>
      <c r="D3412" s="6" t="str">
        <f t="shared" si="535"/>
        <v/>
      </c>
      <c r="E3412" s="35" t="str">
        <f t="shared" si="532"/>
        <v/>
      </c>
      <c r="F3412" s="31"/>
      <c r="G3412" s="29"/>
      <c r="H3412" s="78" t="str">
        <f t="shared" si="536"/>
        <v/>
      </c>
      <c r="I3412" s="25"/>
      <c r="J3412" s="25"/>
      <c r="K3412" s="26"/>
      <c r="L3412" s="26"/>
      <c r="M3412" s="37"/>
      <c r="N3412" s="27"/>
      <c r="O3412" s="30"/>
      <c r="P3412" s="39" t="str">
        <f t="shared" si="537"/>
        <v/>
      </c>
      <c r="Q3412" s="40" t="str">
        <f>IF(OR(T3412=0,RIGHT(T3412,1)=$W$1),"",COUNTIF($T$3:T3412,T3412))</f>
        <v/>
      </c>
      <c r="S3412" s="6">
        <f t="shared" si="538"/>
        <v>0</v>
      </c>
      <c r="T3412" s="36">
        <f t="shared" si="539"/>
        <v>0</v>
      </c>
      <c r="V3412" s="6">
        <f t="shared" si="540"/>
        <v>0</v>
      </c>
      <c r="Y3412" s="8">
        <f t="shared" si="541"/>
        <v>46023</v>
      </c>
    </row>
    <row r="3413" spans="2:25" ht="18.75" x14ac:dyDescent="0.3">
      <c r="B3413" s="6">
        <f t="shared" si="533"/>
        <v>0</v>
      </c>
      <c r="C3413" s="6">
        <f t="shared" si="534"/>
        <v>0</v>
      </c>
      <c r="D3413" s="6" t="str">
        <f t="shared" si="535"/>
        <v/>
      </c>
      <c r="E3413" s="35" t="str">
        <f t="shared" si="532"/>
        <v/>
      </c>
      <c r="F3413" s="31"/>
      <c r="G3413" s="29"/>
      <c r="H3413" s="78" t="str">
        <f t="shared" si="536"/>
        <v/>
      </c>
      <c r="I3413" s="25"/>
      <c r="J3413" s="25"/>
      <c r="K3413" s="26"/>
      <c r="L3413" s="26"/>
      <c r="M3413" s="37"/>
      <c r="N3413" s="27"/>
      <c r="O3413" s="30"/>
      <c r="P3413" s="39" t="str">
        <f t="shared" si="537"/>
        <v/>
      </c>
      <c r="Q3413" s="40" t="str">
        <f>IF(OR(T3413=0,RIGHT(T3413,1)=$W$1),"",COUNTIF($T$3:T3413,T3413))</f>
        <v/>
      </c>
      <c r="S3413" s="6">
        <f t="shared" si="538"/>
        <v>0</v>
      </c>
      <c r="T3413" s="36">
        <f t="shared" si="539"/>
        <v>0</v>
      </c>
      <c r="V3413" s="6">
        <f t="shared" si="540"/>
        <v>0</v>
      </c>
      <c r="Y3413" s="8">
        <f t="shared" si="541"/>
        <v>46023</v>
      </c>
    </row>
    <row r="3414" spans="2:25" ht="18.75" x14ac:dyDescent="0.3">
      <c r="B3414" s="6">
        <f t="shared" si="533"/>
        <v>0</v>
      </c>
      <c r="C3414" s="6">
        <f t="shared" si="534"/>
        <v>0</v>
      </c>
      <c r="D3414" s="6" t="str">
        <f t="shared" si="535"/>
        <v/>
      </c>
      <c r="E3414" s="35" t="str">
        <f t="shared" si="532"/>
        <v/>
      </c>
      <c r="F3414" s="31"/>
      <c r="G3414" s="29"/>
      <c r="H3414" s="78" t="str">
        <f t="shared" si="536"/>
        <v/>
      </c>
      <c r="I3414" s="25"/>
      <c r="J3414" s="25"/>
      <c r="K3414" s="26"/>
      <c r="L3414" s="26"/>
      <c r="M3414" s="37"/>
      <c r="N3414" s="27"/>
      <c r="O3414" s="30"/>
      <c r="P3414" s="39" t="str">
        <f t="shared" si="537"/>
        <v/>
      </c>
      <c r="Q3414" s="40" t="str">
        <f>IF(OR(T3414=0,RIGHT(T3414,1)=$W$1),"",COUNTIF($T$3:T3414,T3414))</f>
        <v/>
      </c>
      <c r="S3414" s="6">
        <f t="shared" si="538"/>
        <v>0</v>
      </c>
      <c r="T3414" s="36">
        <f t="shared" si="539"/>
        <v>0</v>
      </c>
      <c r="V3414" s="6">
        <f t="shared" si="540"/>
        <v>0</v>
      </c>
      <c r="Y3414" s="8">
        <f t="shared" si="541"/>
        <v>46023</v>
      </c>
    </row>
    <row r="3415" spans="2:25" ht="18.75" x14ac:dyDescent="0.3">
      <c r="B3415" s="6">
        <f t="shared" si="533"/>
        <v>0</v>
      </c>
      <c r="C3415" s="6">
        <f t="shared" si="534"/>
        <v>0</v>
      </c>
      <c r="D3415" s="6" t="str">
        <f t="shared" si="535"/>
        <v/>
      </c>
      <c r="E3415" s="35" t="str">
        <f t="shared" si="532"/>
        <v/>
      </c>
      <c r="F3415" s="31"/>
      <c r="G3415" s="29"/>
      <c r="H3415" s="78" t="str">
        <f t="shared" si="536"/>
        <v/>
      </c>
      <c r="I3415" s="25"/>
      <c r="J3415" s="25"/>
      <c r="K3415" s="26"/>
      <c r="L3415" s="26"/>
      <c r="M3415" s="37"/>
      <c r="N3415" s="27"/>
      <c r="O3415" s="30"/>
      <c r="P3415" s="39" t="str">
        <f t="shared" si="537"/>
        <v/>
      </c>
      <c r="Q3415" s="40" t="str">
        <f>IF(OR(T3415=0,RIGHT(T3415,1)=$W$1),"",COUNTIF($T$3:T3415,T3415))</f>
        <v/>
      </c>
      <c r="S3415" s="6">
        <f t="shared" si="538"/>
        <v>0</v>
      </c>
      <c r="T3415" s="36">
        <f t="shared" si="539"/>
        <v>0</v>
      </c>
      <c r="V3415" s="6">
        <f t="shared" si="540"/>
        <v>0</v>
      </c>
      <c r="Y3415" s="8">
        <f t="shared" si="541"/>
        <v>46023</v>
      </c>
    </row>
    <row r="3416" spans="2:25" ht="18.75" x14ac:dyDescent="0.3">
      <c r="B3416" s="6">
        <f t="shared" si="533"/>
        <v>0</v>
      </c>
      <c r="C3416" s="6">
        <f t="shared" si="534"/>
        <v>0</v>
      </c>
      <c r="D3416" s="6" t="str">
        <f t="shared" si="535"/>
        <v/>
      </c>
      <c r="E3416" s="35" t="str">
        <f t="shared" si="532"/>
        <v/>
      </c>
      <c r="F3416" s="31"/>
      <c r="G3416" s="29"/>
      <c r="H3416" s="78" t="str">
        <f t="shared" si="536"/>
        <v/>
      </c>
      <c r="I3416" s="25"/>
      <c r="J3416" s="25"/>
      <c r="K3416" s="26"/>
      <c r="L3416" s="26"/>
      <c r="M3416" s="37"/>
      <c r="N3416" s="27"/>
      <c r="O3416" s="30"/>
      <c r="P3416" s="39" t="str">
        <f t="shared" si="537"/>
        <v/>
      </c>
      <c r="Q3416" s="40" t="str">
        <f>IF(OR(T3416=0,RIGHT(T3416,1)=$W$1),"",COUNTIF($T$3:T3416,T3416))</f>
        <v/>
      </c>
      <c r="S3416" s="6">
        <f t="shared" si="538"/>
        <v>0</v>
      </c>
      <c r="T3416" s="36">
        <f t="shared" si="539"/>
        <v>0</v>
      </c>
      <c r="V3416" s="6">
        <f t="shared" si="540"/>
        <v>0</v>
      </c>
      <c r="Y3416" s="8">
        <f t="shared" si="541"/>
        <v>46023</v>
      </c>
    </row>
    <row r="3417" spans="2:25" ht="18.75" x14ac:dyDescent="0.3">
      <c r="B3417" s="6">
        <f t="shared" si="533"/>
        <v>0</v>
      </c>
      <c r="C3417" s="6">
        <f t="shared" si="534"/>
        <v>0</v>
      </c>
      <c r="D3417" s="6" t="str">
        <f t="shared" si="535"/>
        <v/>
      </c>
      <c r="E3417" s="35" t="str">
        <f t="shared" si="532"/>
        <v/>
      </c>
      <c r="F3417" s="31"/>
      <c r="G3417" s="29"/>
      <c r="H3417" s="78" t="str">
        <f t="shared" si="536"/>
        <v/>
      </c>
      <c r="I3417" s="25"/>
      <c r="J3417" s="25"/>
      <c r="K3417" s="26"/>
      <c r="L3417" s="26"/>
      <c r="M3417" s="37"/>
      <c r="N3417" s="27"/>
      <c r="O3417" s="30"/>
      <c r="P3417" s="39" t="str">
        <f t="shared" si="537"/>
        <v/>
      </c>
      <c r="Q3417" s="40" t="str">
        <f>IF(OR(T3417=0,RIGHT(T3417,1)=$W$1),"",COUNTIF($T$3:T3417,T3417))</f>
        <v/>
      </c>
      <c r="S3417" s="6">
        <f t="shared" si="538"/>
        <v>0</v>
      </c>
      <c r="T3417" s="36">
        <f t="shared" si="539"/>
        <v>0</v>
      </c>
      <c r="V3417" s="6">
        <f t="shared" si="540"/>
        <v>0</v>
      </c>
      <c r="Y3417" s="8">
        <f t="shared" si="541"/>
        <v>46023</v>
      </c>
    </row>
    <row r="3418" spans="2:25" ht="18.75" x14ac:dyDescent="0.3">
      <c r="B3418" s="6">
        <f t="shared" si="533"/>
        <v>0</v>
      </c>
      <c r="C3418" s="6">
        <f t="shared" si="534"/>
        <v>0</v>
      </c>
      <c r="D3418" s="6" t="str">
        <f t="shared" si="535"/>
        <v/>
      </c>
      <c r="E3418" s="35" t="str">
        <f t="shared" si="532"/>
        <v/>
      </c>
      <c r="F3418" s="31"/>
      <c r="G3418" s="29"/>
      <c r="H3418" s="78" t="str">
        <f t="shared" si="536"/>
        <v/>
      </c>
      <c r="I3418" s="25"/>
      <c r="J3418" s="25"/>
      <c r="K3418" s="26"/>
      <c r="L3418" s="26"/>
      <c r="M3418" s="37"/>
      <c r="N3418" s="27"/>
      <c r="O3418" s="30"/>
      <c r="P3418" s="39" t="str">
        <f t="shared" si="537"/>
        <v/>
      </c>
      <c r="Q3418" s="40" t="str">
        <f>IF(OR(T3418=0,RIGHT(T3418,1)=$W$1),"",COUNTIF($T$3:T3418,T3418))</f>
        <v/>
      </c>
      <c r="S3418" s="6">
        <f t="shared" si="538"/>
        <v>0</v>
      </c>
      <c r="T3418" s="36">
        <f t="shared" si="539"/>
        <v>0</v>
      </c>
      <c r="V3418" s="6">
        <f t="shared" si="540"/>
        <v>0</v>
      </c>
      <c r="Y3418" s="8">
        <f t="shared" si="541"/>
        <v>46023</v>
      </c>
    </row>
    <row r="3419" spans="2:25" ht="18.75" x14ac:dyDescent="0.3">
      <c r="B3419" s="6">
        <f t="shared" si="533"/>
        <v>0</v>
      </c>
      <c r="C3419" s="6">
        <f t="shared" si="534"/>
        <v>0</v>
      </c>
      <c r="D3419" s="6" t="str">
        <f t="shared" si="535"/>
        <v/>
      </c>
      <c r="E3419" s="35" t="str">
        <f t="shared" si="532"/>
        <v/>
      </c>
      <c r="F3419" s="31"/>
      <c r="G3419" s="29"/>
      <c r="H3419" s="78" t="str">
        <f t="shared" si="536"/>
        <v/>
      </c>
      <c r="I3419" s="25"/>
      <c r="J3419" s="25"/>
      <c r="K3419" s="26"/>
      <c r="L3419" s="26"/>
      <c r="M3419" s="37"/>
      <c r="N3419" s="27"/>
      <c r="O3419" s="30"/>
      <c r="P3419" s="39" t="str">
        <f t="shared" si="537"/>
        <v/>
      </c>
      <c r="Q3419" s="40" t="str">
        <f>IF(OR(T3419=0,RIGHT(T3419,1)=$W$1),"",COUNTIF($T$3:T3419,T3419))</f>
        <v/>
      </c>
      <c r="S3419" s="6">
        <f t="shared" si="538"/>
        <v>0</v>
      </c>
      <c r="T3419" s="36">
        <f t="shared" si="539"/>
        <v>0</v>
      </c>
      <c r="V3419" s="6">
        <f t="shared" si="540"/>
        <v>0</v>
      </c>
      <c r="Y3419" s="8">
        <f t="shared" si="541"/>
        <v>46023</v>
      </c>
    </row>
    <row r="3420" spans="2:25" ht="18.75" x14ac:dyDescent="0.3">
      <c r="B3420" s="6">
        <f t="shared" si="533"/>
        <v>0</v>
      </c>
      <c r="C3420" s="6">
        <f t="shared" si="534"/>
        <v>0</v>
      </c>
      <c r="D3420" s="6" t="str">
        <f t="shared" si="535"/>
        <v/>
      </c>
      <c r="E3420" s="35" t="str">
        <f t="shared" si="532"/>
        <v/>
      </c>
      <c r="F3420" s="31"/>
      <c r="G3420" s="29"/>
      <c r="H3420" s="78" t="str">
        <f t="shared" si="536"/>
        <v/>
      </c>
      <c r="I3420" s="25"/>
      <c r="J3420" s="25"/>
      <c r="K3420" s="26"/>
      <c r="L3420" s="26"/>
      <c r="M3420" s="37"/>
      <c r="N3420" s="27"/>
      <c r="O3420" s="30"/>
      <c r="P3420" s="39" t="str">
        <f t="shared" si="537"/>
        <v/>
      </c>
      <c r="Q3420" s="40" t="str">
        <f>IF(OR(T3420=0,RIGHT(T3420,1)=$W$1),"",COUNTIF($T$3:T3420,T3420))</f>
        <v/>
      </c>
      <c r="S3420" s="6">
        <f t="shared" si="538"/>
        <v>0</v>
      </c>
      <c r="T3420" s="36">
        <f t="shared" si="539"/>
        <v>0</v>
      </c>
      <c r="V3420" s="6">
        <f t="shared" si="540"/>
        <v>0</v>
      </c>
      <c r="Y3420" s="8">
        <f t="shared" si="541"/>
        <v>46023</v>
      </c>
    </row>
    <row r="3421" spans="2:25" ht="18.75" x14ac:dyDescent="0.3">
      <c r="B3421" s="6">
        <f t="shared" si="533"/>
        <v>0</v>
      </c>
      <c r="C3421" s="6">
        <f t="shared" si="534"/>
        <v>0</v>
      </c>
      <c r="D3421" s="6" t="str">
        <f t="shared" si="535"/>
        <v/>
      </c>
      <c r="E3421" s="35" t="str">
        <f t="shared" si="532"/>
        <v/>
      </c>
      <c r="F3421" s="31"/>
      <c r="G3421" s="29"/>
      <c r="H3421" s="78" t="str">
        <f t="shared" si="536"/>
        <v/>
      </c>
      <c r="I3421" s="25"/>
      <c r="J3421" s="25"/>
      <c r="K3421" s="26"/>
      <c r="L3421" s="26"/>
      <c r="M3421" s="37"/>
      <c r="N3421" s="27"/>
      <c r="O3421" s="30"/>
      <c r="P3421" s="39" t="str">
        <f t="shared" si="537"/>
        <v/>
      </c>
      <c r="Q3421" s="40" t="str">
        <f>IF(OR(T3421=0,RIGHT(T3421,1)=$W$1),"",COUNTIF($T$3:T3421,T3421))</f>
        <v/>
      </c>
      <c r="S3421" s="6">
        <f t="shared" si="538"/>
        <v>0</v>
      </c>
      <c r="T3421" s="36">
        <f t="shared" si="539"/>
        <v>0</v>
      </c>
      <c r="V3421" s="6">
        <f t="shared" si="540"/>
        <v>0</v>
      </c>
      <c r="Y3421" s="8">
        <f t="shared" si="541"/>
        <v>46023</v>
      </c>
    </row>
    <row r="3422" spans="2:25" ht="18.75" x14ac:dyDescent="0.3">
      <c r="B3422" s="6">
        <f t="shared" si="533"/>
        <v>0</v>
      </c>
      <c r="C3422" s="6">
        <f t="shared" si="534"/>
        <v>0</v>
      </c>
      <c r="D3422" s="6" t="str">
        <f t="shared" si="535"/>
        <v/>
      </c>
      <c r="E3422" s="35" t="str">
        <f t="shared" si="532"/>
        <v/>
      </c>
      <c r="F3422" s="31"/>
      <c r="G3422" s="29"/>
      <c r="H3422" s="78" t="str">
        <f t="shared" si="536"/>
        <v/>
      </c>
      <c r="I3422" s="25"/>
      <c r="J3422" s="25"/>
      <c r="K3422" s="26"/>
      <c r="L3422" s="26"/>
      <c r="M3422" s="37"/>
      <c r="N3422" s="27"/>
      <c r="O3422" s="30"/>
      <c r="P3422" s="39" t="str">
        <f t="shared" si="537"/>
        <v/>
      </c>
      <c r="Q3422" s="40" t="str">
        <f>IF(OR(T3422=0,RIGHT(T3422,1)=$W$1),"",COUNTIF($T$3:T3422,T3422))</f>
        <v/>
      </c>
      <c r="S3422" s="6">
        <f t="shared" si="538"/>
        <v>0</v>
      </c>
      <c r="T3422" s="36">
        <f t="shared" si="539"/>
        <v>0</v>
      </c>
      <c r="V3422" s="6">
        <f t="shared" si="540"/>
        <v>0</v>
      </c>
      <c r="Y3422" s="8">
        <f t="shared" si="541"/>
        <v>46023</v>
      </c>
    </row>
    <row r="3423" spans="2:25" ht="18.75" x14ac:dyDescent="0.3">
      <c r="B3423" s="6">
        <f t="shared" si="533"/>
        <v>0</v>
      </c>
      <c r="C3423" s="6">
        <f t="shared" si="534"/>
        <v>0</v>
      </c>
      <c r="D3423" s="6" t="str">
        <f t="shared" si="535"/>
        <v/>
      </c>
      <c r="E3423" s="35" t="str">
        <f t="shared" si="532"/>
        <v/>
      </c>
      <c r="F3423" s="31"/>
      <c r="G3423" s="29"/>
      <c r="H3423" s="78" t="str">
        <f t="shared" si="536"/>
        <v/>
      </c>
      <c r="I3423" s="25"/>
      <c r="J3423" s="25"/>
      <c r="K3423" s="26"/>
      <c r="L3423" s="26"/>
      <c r="M3423" s="37"/>
      <c r="N3423" s="27"/>
      <c r="O3423" s="30"/>
      <c r="P3423" s="39" t="str">
        <f t="shared" si="537"/>
        <v/>
      </c>
      <c r="Q3423" s="40" t="str">
        <f>IF(OR(T3423=0,RIGHT(T3423,1)=$W$1),"",COUNTIF($T$3:T3423,T3423))</f>
        <v/>
      </c>
      <c r="S3423" s="6">
        <f t="shared" si="538"/>
        <v>0</v>
      </c>
      <c r="T3423" s="36">
        <f t="shared" si="539"/>
        <v>0</v>
      </c>
      <c r="V3423" s="6">
        <f t="shared" si="540"/>
        <v>0</v>
      </c>
      <c r="Y3423" s="8">
        <f t="shared" si="541"/>
        <v>46023</v>
      </c>
    </row>
    <row r="3424" spans="2:25" ht="18.75" x14ac:dyDescent="0.3">
      <c r="B3424" s="6">
        <f t="shared" si="533"/>
        <v>0</v>
      </c>
      <c r="C3424" s="6">
        <f t="shared" si="534"/>
        <v>0</v>
      </c>
      <c r="D3424" s="6" t="str">
        <f t="shared" si="535"/>
        <v/>
      </c>
      <c r="E3424" s="35" t="str">
        <f t="shared" si="532"/>
        <v/>
      </c>
      <c r="F3424" s="31"/>
      <c r="G3424" s="29"/>
      <c r="H3424" s="78" t="str">
        <f t="shared" si="536"/>
        <v/>
      </c>
      <c r="I3424" s="25"/>
      <c r="J3424" s="25"/>
      <c r="K3424" s="26"/>
      <c r="L3424" s="26"/>
      <c r="M3424" s="37"/>
      <c r="N3424" s="27"/>
      <c r="O3424" s="30"/>
      <c r="P3424" s="39" t="str">
        <f t="shared" si="537"/>
        <v/>
      </c>
      <c r="Q3424" s="40" t="str">
        <f>IF(OR(T3424=0,RIGHT(T3424,1)=$W$1),"",COUNTIF($T$3:T3424,T3424))</f>
        <v/>
      </c>
      <c r="S3424" s="6">
        <f t="shared" si="538"/>
        <v>0</v>
      </c>
      <c r="T3424" s="36">
        <f t="shared" si="539"/>
        <v>0</v>
      </c>
      <c r="V3424" s="6">
        <f t="shared" si="540"/>
        <v>0</v>
      </c>
      <c r="Y3424" s="8">
        <f t="shared" si="541"/>
        <v>46023</v>
      </c>
    </row>
    <row r="3425" spans="2:25" ht="18.75" x14ac:dyDescent="0.3">
      <c r="B3425" s="6">
        <f t="shared" si="533"/>
        <v>0</v>
      </c>
      <c r="C3425" s="6">
        <f t="shared" si="534"/>
        <v>0</v>
      </c>
      <c r="D3425" s="6" t="str">
        <f t="shared" si="535"/>
        <v/>
      </c>
      <c r="E3425" s="35" t="str">
        <f t="shared" si="532"/>
        <v/>
      </c>
      <c r="F3425" s="31"/>
      <c r="G3425" s="29"/>
      <c r="H3425" s="78" t="str">
        <f t="shared" si="536"/>
        <v/>
      </c>
      <c r="I3425" s="25"/>
      <c r="J3425" s="25"/>
      <c r="K3425" s="26"/>
      <c r="L3425" s="26"/>
      <c r="M3425" s="37"/>
      <c r="N3425" s="27"/>
      <c r="O3425" s="30"/>
      <c r="P3425" s="39" t="str">
        <f t="shared" si="537"/>
        <v/>
      </c>
      <c r="Q3425" s="40" t="str">
        <f>IF(OR(T3425=0,RIGHT(T3425,1)=$W$1),"",COUNTIF($T$3:T3425,T3425))</f>
        <v/>
      </c>
      <c r="S3425" s="6">
        <f t="shared" si="538"/>
        <v>0</v>
      </c>
      <c r="T3425" s="36">
        <f t="shared" si="539"/>
        <v>0</v>
      </c>
      <c r="V3425" s="6">
        <f t="shared" si="540"/>
        <v>0</v>
      </c>
      <c r="Y3425" s="8">
        <f t="shared" si="541"/>
        <v>46023</v>
      </c>
    </row>
    <row r="3426" spans="2:25" ht="18.75" x14ac:dyDescent="0.3">
      <c r="B3426" s="6">
        <f t="shared" si="533"/>
        <v>0</v>
      </c>
      <c r="C3426" s="6">
        <f t="shared" si="534"/>
        <v>0</v>
      </c>
      <c r="D3426" s="6" t="str">
        <f t="shared" si="535"/>
        <v/>
      </c>
      <c r="E3426" s="35" t="str">
        <f t="shared" si="532"/>
        <v/>
      </c>
      <c r="F3426" s="31"/>
      <c r="G3426" s="29"/>
      <c r="H3426" s="78" t="str">
        <f t="shared" si="536"/>
        <v/>
      </c>
      <c r="I3426" s="25"/>
      <c r="J3426" s="25"/>
      <c r="K3426" s="26"/>
      <c r="L3426" s="26"/>
      <c r="M3426" s="37"/>
      <c r="N3426" s="27"/>
      <c r="O3426" s="30"/>
      <c r="P3426" s="39" t="str">
        <f t="shared" si="537"/>
        <v/>
      </c>
      <c r="Q3426" s="40" t="str">
        <f>IF(OR(T3426=0,RIGHT(T3426,1)=$W$1),"",COUNTIF($T$3:T3426,T3426))</f>
        <v/>
      </c>
      <c r="S3426" s="6">
        <f t="shared" si="538"/>
        <v>0</v>
      </c>
      <c r="T3426" s="36">
        <f t="shared" si="539"/>
        <v>0</v>
      </c>
      <c r="V3426" s="6">
        <f t="shared" si="540"/>
        <v>0</v>
      </c>
      <c r="Y3426" s="8">
        <f t="shared" si="541"/>
        <v>46023</v>
      </c>
    </row>
    <row r="3427" spans="2:25" ht="18.75" x14ac:dyDescent="0.3">
      <c r="B3427" s="6">
        <f t="shared" si="533"/>
        <v>0</v>
      </c>
      <c r="C3427" s="6">
        <f t="shared" si="534"/>
        <v>0</v>
      </c>
      <c r="D3427" s="6" t="str">
        <f t="shared" si="535"/>
        <v/>
      </c>
      <c r="E3427" s="35" t="str">
        <f t="shared" si="532"/>
        <v/>
      </c>
      <c r="F3427" s="31"/>
      <c r="G3427" s="29"/>
      <c r="H3427" s="78" t="str">
        <f t="shared" si="536"/>
        <v/>
      </c>
      <c r="I3427" s="25"/>
      <c r="J3427" s="25"/>
      <c r="K3427" s="26"/>
      <c r="L3427" s="26"/>
      <c r="M3427" s="37"/>
      <c r="N3427" s="27"/>
      <c r="O3427" s="30"/>
      <c r="P3427" s="39" t="str">
        <f t="shared" si="537"/>
        <v/>
      </c>
      <c r="Q3427" s="40" t="str">
        <f>IF(OR(T3427=0,RIGHT(T3427,1)=$W$1),"",COUNTIF($T$3:T3427,T3427))</f>
        <v/>
      </c>
      <c r="S3427" s="6">
        <f t="shared" si="538"/>
        <v>0</v>
      </c>
      <c r="T3427" s="36">
        <f t="shared" si="539"/>
        <v>0</v>
      </c>
      <c r="V3427" s="6">
        <f t="shared" si="540"/>
        <v>0</v>
      </c>
      <c r="Y3427" s="8">
        <f t="shared" si="541"/>
        <v>46023</v>
      </c>
    </row>
    <row r="3428" spans="2:25" ht="18.75" x14ac:dyDescent="0.3">
      <c r="B3428" s="6">
        <f t="shared" si="533"/>
        <v>0</v>
      </c>
      <c r="C3428" s="6">
        <f t="shared" si="534"/>
        <v>0</v>
      </c>
      <c r="D3428" s="6" t="str">
        <f t="shared" si="535"/>
        <v/>
      </c>
      <c r="E3428" s="35" t="str">
        <f t="shared" si="532"/>
        <v/>
      </c>
      <c r="F3428" s="31"/>
      <c r="G3428" s="29"/>
      <c r="H3428" s="78" t="str">
        <f t="shared" si="536"/>
        <v/>
      </c>
      <c r="I3428" s="25"/>
      <c r="J3428" s="25"/>
      <c r="K3428" s="26"/>
      <c r="L3428" s="26"/>
      <c r="M3428" s="37"/>
      <c r="N3428" s="27"/>
      <c r="O3428" s="30"/>
      <c r="P3428" s="39" t="str">
        <f t="shared" si="537"/>
        <v/>
      </c>
      <c r="Q3428" s="40" t="str">
        <f>IF(OR(T3428=0,RIGHT(T3428,1)=$W$1),"",COUNTIF($T$3:T3428,T3428))</f>
        <v/>
      </c>
      <c r="S3428" s="6">
        <f t="shared" si="538"/>
        <v>0</v>
      </c>
      <c r="T3428" s="36">
        <f t="shared" si="539"/>
        <v>0</v>
      </c>
      <c r="V3428" s="6">
        <f t="shared" si="540"/>
        <v>0</v>
      </c>
      <c r="Y3428" s="8">
        <f t="shared" si="541"/>
        <v>46023</v>
      </c>
    </row>
    <row r="3429" spans="2:25" ht="18.75" x14ac:dyDescent="0.3">
      <c r="B3429" s="6">
        <f t="shared" si="533"/>
        <v>0</v>
      </c>
      <c r="C3429" s="6">
        <f t="shared" si="534"/>
        <v>0</v>
      </c>
      <c r="D3429" s="6" t="str">
        <f t="shared" si="535"/>
        <v/>
      </c>
      <c r="E3429" s="35" t="str">
        <f t="shared" si="532"/>
        <v/>
      </c>
      <c r="F3429" s="31"/>
      <c r="G3429" s="29"/>
      <c r="H3429" s="78" t="str">
        <f t="shared" si="536"/>
        <v/>
      </c>
      <c r="I3429" s="25"/>
      <c r="J3429" s="25"/>
      <c r="K3429" s="26"/>
      <c r="L3429" s="26"/>
      <c r="M3429" s="37"/>
      <c r="N3429" s="27"/>
      <c r="O3429" s="30"/>
      <c r="P3429" s="39" t="str">
        <f t="shared" si="537"/>
        <v/>
      </c>
      <c r="Q3429" s="40" t="str">
        <f>IF(OR(T3429=0,RIGHT(T3429,1)=$W$1),"",COUNTIF($T$3:T3429,T3429))</f>
        <v/>
      </c>
      <c r="S3429" s="6">
        <f t="shared" si="538"/>
        <v>0</v>
      </c>
      <c r="T3429" s="36">
        <f t="shared" si="539"/>
        <v>0</v>
      </c>
      <c r="V3429" s="6">
        <f t="shared" si="540"/>
        <v>0</v>
      </c>
      <c r="Y3429" s="8">
        <f t="shared" si="541"/>
        <v>46023</v>
      </c>
    </row>
    <row r="3430" spans="2:25" ht="18.75" x14ac:dyDescent="0.3">
      <c r="B3430" s="6">
        <f t="shared" si="533"/>
        <v>0</v>
      </c>
      <c r="C3430" s="6">
        <f t="shared" si="534"/>
        <v>0</v>
      </c>
      <c r="D3430" s="6" t="str">
        <f t="shared" si="535"/>
        <v/>
      </c>
      <c r="E3430" s="35" t="str">
        <f t="shared" si="532"/>
        <v/>
      </c>
      <c r="F3430" s="31"/>
      <c r="G3430" s="29"/>
      <c r="H3430" s="78" t="str">
        <f t="shared" si="536"/>
        <v/>
      </c>
      <c r="I3430" s="25"/>
      <c r="J3430" s="25"/>
      <c r="K3430" s="26"/>
      <c r="L3430" s="26"/>
      <c r="M3430" s="37"/>
      <c r="N3430" s="27"/>
      <c r="O3430" s="30"/>
      <c r="P3430" s="39" t="str">
        <f t="shared" si="537"/>
        <v/>
      </c>
      <c r="Q3430" s="40" t="str">
        <f>IF(OR(T3430=0,RIGHT(T3430,1)=$W$1),"",COUNTIF($T$3:T3430,T3430))</f>
        <v/>
      </c>
      <c r="S3430" s="6">
        <f t="shared" si="538"/>
        <v>0</v>
      </c>
      <c r="T3430" s="36">
        <f t="shared" si="539"/>
        <v>0</v>
      </c>
      <c r="V3430" s="6">
        <f t="shared" si="540"/>
        <v>0</v>
      </c>
      <c r="Y3430" s="8">
        <f t="shared" si="541"/>
        <v>46023</v>
      </c>
    </row>
    <row r="3431" spans="2:25" ht="18.75" x14ac:dyDescent="0.3">
      <c r="B3431" s="6">
        <f t="shared" si="533"/>
        <v>0</v>
      </c>
      <c r="C3431" s="6">
        <f t="shared" si="534"/>
        <v>0</v>
      </c>
      <c r="D3431" s="6" t="str">
        <f t="shared" si="535"/>
        <v/>
      </c>
      <c r="E3431" s="35" t="str">
        <f t="shared" si="532"/>
        <v/>
      </c>
      <c r="F3431" s="31"/>
      <c r="G3431" s="29"/>
      <c r="H3431" s="78" t="str">
        <f t="shared" si="536"/>
        <v/>
      </c>
      <c r="I3431" s="25"/>
      <c r="J3431" s="25"/>
      <c r="K3431" s="26"/>
      <c r="L3431" s="26"/>
      <c r="M3431" s="37"/>
      <c r="N3431" s="27"/>
      <c r="O3431" s="30"/>
      <c r="P3431" s="39" t="str">
        <f t="shared" si="537"/>
        <v/>
      </c>
      <c r="Q3431" s="40" t="str">
        <f>IF(OR(T3431=0,RIGHT(T3431,1)=$W$1),"",COUNTIF($T$3:T3431,T3431))</f>
        <v/>
      </c>
      <c r="S3431" s="6">
        <f t="shared" si="538"/>
        <v>0</v>
      </c>
      <c r="T3431" s="36">
        <f t="shared" si="539"/>
        <v>0</v>
      </c>
      <c r="V3431" s="6">
        <f t="shared" si="540"/>
        <v>0</v>
      </c>
      <c r="Y3431" s="8">
        <f t="shared" si="541"/>
        <v>46023</v>
      </c>
    </row>
    <row r="3432" spans="2:25" ht="18.75" x14ac:dyDescent="0.3">
      <c r="B3432" s="6">
        <f t="shared" si="533"/>
        <v>0</v>
      </c>
      <c r="C3432" s="6">
        <f t="shared" si="534"/>
        <v>0</v>
      </c>
      <c r="D3432" s="6" t="str">
        <f t="shared" si="535"/>
        <v/>
      </c>
      <c r="E3432" s="35" t="str">
        <f t="shared" si="532"/>
        <v/>
      </c>
      <c r="F3432" s="31"/>
      <c r="G3432" s="29"/>
      <c r="H3432" s="78" t="str">
        <f t="shared" si="536"/>
        <v/>
      </c>
      <c r="I3432" s="25"/>
      <c r="J3432" s="25"/>
      <c r="K3432" s="26"/>
      <c r="L3432" s="26"/>
      <c r="M3432" s="37"/>
      <c r="N3432" s="27"/>
      <c r="O3432" s="30"/>
      <c r="P3432" s="39" t="str">
        <f t="shared" si="537"/>
        <v/>
      </c>
      <c r="Q3432" s="40" t="str">
        <f>IF(OR(T3432=0,RIGHT(T3432,1)=$W$1),"",COUNTIF($T$3:T3432,T3432))</f>
        <v/>
      </c>
      <c r="S3432" s="6">
        <f t="shared" si="538"/>
        <v>0</v>
      </c>
      <c r="T3432" s="36">
        <f t="shared" si="539"/>
        <v>0</v>
      </c>
      <c r="V3432" s="6">
        <f t="shared" si="540"/>
        <v>0</v>
      </c>
      <c r="Y3432" s="8">
        <f t="shared" si="541"/>
        <v>46023</v>
      </c>
    </row>
    <row r="3433" spans="2:25" ht="18.75" x14ac:dyDescent="0.3">
      <c r="B3433" s="6">
        <f t="shared" si="533"/>
        <v>0</v>
      </c>
      <c r="C3433" s="6">
        <f t="shared" si="534"/>
        <v>0</v>
      </c>
      <c r="D3433" s="6" t="str">
        <f t="shared" si="535"/>
        <v/>
      </c>
      <c r="E3433" s="35" t="str">
        <f t="shared" si="532"/>
        <v/>
      </c>
      <c r="F3433" s="31"/>
      <c r="G3433" s="29"/>
      <c r="H3433" s="78" t="str">
        <f t="shared" si="536"/>
        <v/>
      </c>
      <c r="I3433" s="25"/>
      <c r="J3433" s="25"/>
      <c r="K3433" s="26"/>
      <c r="L3433" s="26"/>
      <c r="M3433" s="37"/>
      <c r="N3433" s="27"/>
      <c r="O3433" s="30"/>
      <c r="P3433" s="39" t="str">
        <f t="shared" si="537"/>
        <v/>
      </c>
      <c r="Q3433" s="40" t="str">
        <f>IF(OR(T3433=0,RIGHT(T3433,1)=$W$1),"",COUNTIF($T$3:T3433,T3433))</f>
        <v/>
      </c>
      <c r="S3433" s="6">
        <f t="shared" si="538"/>
        <v>0</v>
      </c>
      <c r="T3433" s="36">
        <f t="shared" si="539"/>
        <v>0</v>
      </c>
      <c r="V3433" s="6">
        <f t="shared" si="540"/>
        <v>0</v>
      </c>
      <c r="Y3433" s="8">
        <f t="shared" si="541"/>
        <v>46023</v>
      </c>
    </row>
    <row r="3434" spans="2:25" ht="18.75" x14ac:dyDescent="0.3">
      <c r="B3434" s="6">
        <f t="shared" si="533"/>
        <v>0</v>
      </c>
      <c r="C3434" s="6">
        <f t="shared" si="534"/>
        <v>0</v>
      </c>
      <c r="D3434" s="6" t="str">
        <f t="shared" si="535"/>
        <v/>
      </c>
      <c r="E3434" s="35" t="str">
        <f t="shared" si="532"/>
        <v/>
      </c>
      <c r="F3434" s="31"/>
      <c r="G3434" s="29"/>
      <c r="H3434" s="78" t="str">
        <f t="shared" si="536"/>
        <v/>
      </c>
      <c r="I3434" s="25"/>
      <c r="J3434" s="25"/>
      <c r="K3434" s="26"/>
      <c r="L3434" s="26"/>
      <c r="M3434" s="37"/>
      <c r="N3434" s="27"/>
      <c r="O3434" s="30"/>
      <c r="P3434" s="39" t="str">
        <f t="shared" si="537"/>
        <v/>
      </c>
      <c r="Q3434" s="40" t="str">
        <f>IF(OR(T3434=0,RIGHT(T3434,1)=$W$1),"",COUNTIF($T$3:T3434,T3434))</f>
        <v/>
      </c>
      <c r="S3434" s="6">
        <f t="shared" si="538"/>
        <v>0</v>
      </c>
      <c r="T3434" s="36">
        <f t="shared" si="539"/>
        <v>0</v>
      </c>
      <c r="V3434" s="6">
        <f t="shared" si="540"/>
        <v>0</v>
      </c>
      <c r="Y3434" s="8">
        <f t="shared" si="541"/>
        <v>46023</v>
      </c>
    </row>
    <row r="3435" spans="2:25" ht="18.75" x14ac:dyDescent="0.3">
      <c r="B3435" s="6">
        <f t="shared" si="533"/>
        <v>0</v>
      </c>
      <c r="C3435" s="6">
        <f t="shared" si="534"/>
        <v>0</v>
      </c>
      <c r="D3435" s="6" t="str">
        <f t="shared" si="535"/>
        <v/>
      </c>
      <c r="E3435" s="35" t="str">
        <f t="shared" si="532"/>
        <v/>
      </c>
      <c r="F3435" s="31"/>
      <c r="G3435" s="29"/>
      <c r="H3435" s="78" t="str">
        <f t="shared" si="536"/>
        <v/>
      </c>
      <c r="I3435" s="25"/>
      <c r="J3435" s="25"/>
      <c r="K3435" s="26"/>
      <c r="L3435" s="26"/>
      <c r="M3435" s="37"/>
      <c r="N3435" s="27"/>
      <c r="O3435" s="30"/>
      <c r="P3435" s="39" t="str">
        <f t="shared" si="537"/>
        <v/>
      </c>
      <c r="Q3435" s="40" t="str">
        <f>IF(OR(T3435=0,RIGHT(T3435,1)=$W$1),"",COUNTIF($T$3:T3435,T3435))</f>
        <v/>
      </c>
      <c r="S3435" s="6">
        <f t="shared" si="538"/>
        <v>0</v>
      </c>
      <c r="T3435" s="36">
        <f t="shared" si="539"/>
        <v>0</v>
      </c>
      <c r="V3435" s="6">
        <f t="shared" si="540"/>
        <v>0</v>
      </c>
      <c r="Y3435" s="8">
        <f t="shared" si="541"/>
        <v>46023</v>
      </c>
    </row>
    <row r="3436" spans="2:25" ht="18.75" x14ac:dyDescent="0.3">
      <c r="B3436" s="6">
        <f t="shared" si="533"/>
        <v>0</v>
      </c>
      <c r="C3436" s="6">
        <f t="shared" si="534"/>
        <v>0</v>
      </c>
      <c r="D3436" s="6" t="str">
        <f t="shared" si="535"/>
        <v/>
      </c>
      <c r="E3436" s="35" t="str">
        <f t="shared" si="532"/>
        <v/>
      </c>
      <c r="F3436" s="31"/>
      <c r="G3436" s="29"/>
      <c r="H3436" s="78" t="str">
        <f t="shared" si="536"/>
        <v/>
      </c>
      <c r="I3436" s="25"/>
      <c r="J3436" s="25"/>
      <c r="K3436" s="26"/>
      <c r="L3436" s="26"/>
      <c r="M3436" s="37"/>
      <c r="N3436" s="27"/>
      <c r="O3436" s="30"/>
      <c r="P3436" s="39" t="str">
        <f t="shared" si="537"/>
        <v/>
      </c>
      <c r="Q3436" s="40" t="str">
        <f>IF(OR(T3436=0,RIGHT(T3436,1)=$W$1),"",COUNTIF($T$3:T3436,T3436))</f>
        <v/>
      </c>
      <c r="S3436" s="6">
        <f t="shared" si="538"/>
        <v>0</v>
      </c>
      <c r="T3436" s="36">
        <f t="shared" si="539"/>
        <v>0</v>
      </c>
      <c r="V3436" s="6">
        <f t="shared" si="540"/>
        <v>0</v>
      </c>
      <c r="Y3436" s="8">
        <f t="shared" si="541"/>
        <v>46023</v>
      </c>
    </row>
    <row r="3437" spans="2:25" ht="18.75" x14ac:dyDescent="0.3">
      <c r="B3437" s="6">
        <f t="shared" si="533"/>
        <v>0</v>
      </c>
      <c r="C3437" s="6">
        <f t="shared" si="534"/>
        <v>0</v>
      </c>
      <c r="D3437" s="6" t="str">
        <f t="shared" si="535"/>
        <v/>
      </c>
      <c r="E3437" s="35" t="str">
        <f t="shared" si="532"/>
        <v/>
      </c>
      <c r="F3437" s="31"/>
      <c r="G3437" s="29"/>
      <c r="H3437" s="78" t="str">
        <f t="shared" si="536"/>
        <v/>
      </c>
      <c r="I3437" s="25"/>
      <c r="J3437" s="25"/>
      <c r="K3437" s="26"/>
      <c r="L3437" s="26"/>
      <c r="M3437" s="37"/>
      <c r="N3437" s="27"/>
      <c r="O3437" s="30"/>
      <c r="P3437" s="39" t="str">
        <f t="shared" si="537"/>
        <v/>
      </c>
      <c r="Q3437" s="40" t="str">
        <f>IF(OR(T3437=0,RIGHT(T3437,1)=$W$1),"",COUNTIF($T$3:T3437,T3437))</f>
        <v/>
      </c>
      <c r="S3437" s="6">
        <f t="shared" si="538"/>
        <v>0</v>
      </c>
      <c r="T3437" s="36">
        <f t="shared" si="539"/>
        <v>0</v>
      </c>
      <c r="V3437" s="6">
        <f t="shared" si="540"/>
        <v>0</v>
      </c>
      <c r="Y3437" s="8">
        <f t="shared" si="541"/>
        <v>46023</v>
      </c>
    </row>
    <row r="3438" spans="2:25" ht="18.75" x14ac:dyDescent="0.3">
      <c r="B3438" s="6">
        <f t="shared" si="533"/>
        <v>0</v>
      </c>
      <c r="C3438" s="6">
        <f t="shared" si="534"/>
        <v>0</v>
      </c>
      <c r="D3438" s="6" t="str">
        <f t="shared" si="535"/>
        <v/>
      </c>
      <c r="E3438" s="35" t="str">
        <f t="shared" si="532"/>
        <v/>
      </c>
      <c r="F3438" s="31"/>
      <c r="G3438" s="29"/>
      <c r="H3438" s="78" t="str">
        <f t="shared" si="536"/>
        <v/>
      </c>
      <c r="I3438" s="25"/>
      <c r="J3438" s="25"/>
      <c r="K3438" s="26"/>
      <c r="L3438" s="26"/>
      <c r="M3438" s="37"/>
      <c r="N3438" s="27"/>
      <c r="O3438" s="30"/>
      <c r="P3438" s="39" t="str">
        <f t="shared" si="537"/>
        <v/>
      </c>
      <c r="Q3438" s="40" t="str">
        <f>IF(OR(T3438=0,RIGHT(T3438,1)=$W$1),"",COUNTIF($T$3:T3438,T3438))</f>
        <v/>
      </c>
      <c r="S3438" s="6">
        <f t="shared" si="538"/>
        <v>0</v>
      </c>
      <c r="T3438" s="36">
        <f t="shared" si="539"/>
        <v>0</v>
      </c>
      <c r="V3438" s="6">
        <f t="shared" si="540"/>
        <v>0</v>
      </c>
      <c r="Y3438" s="8">
        <f t="shared" si="541"/>
        <v>46023</v>
      </c>
    </row>
    <row r="3439" spans="2:25" ht="18.75" x14ac:dyDescent="0.3">
      <c r="B3439" s="6">
        <f t="shared" si="533"/>
        <v>0</v>
      </c>
      <c r="C3439" s="6">
        <f t="shared" si="534"/>
        <v>0</v>
      </c>
      <c r="D3439" s="6" t="str">
        <f t="shared" si="535"/>
        <v/>
      </c>
      <c r="E3439" s="35" t="str">
        <f t="shared" si="532"/>
        <v/>
      </c>
      <c r="F3439" s="31"/>
      <c r="G3439" s="29"/>
      <c r="H3439" s="78" t="str">
        <f t="shared" si="536"/>
        <v/>
      </c>
      <c r="I3439" s="25"/>
      <c r="J3439" s="25"/>
      <c r="K3439" s="26"/>
      <c r="L3439" s="26"/>
      <c r="M3439" s="37"/>
      <c r="N3439" s="27"/>
      <c r="O3439" s="30"/>
      <c r="P3439" s="39" t="str">
        <f t="shared" si="537"/>
        <v/>
      </c>
      <c r="Q3439" s="40" t="str">
        <f>IF(OR(T3439=0,RIGHT(T3439,1)=$W$1),"",COUNTIF($T$3:T3439,T3439))</f>
        <v/>
      </c>
      <c r="S3439" s="6">
        <f t="shared" si="538"/>
        <v>0</v>
      </c>
      <c r="T3439" s="36">
        <f t="shared" si="539"/>
        <v>0</v>
      </c>
      <c r="V3439" s="6">
        <f t="shared" si="540"/>
        <v>0</v>
      </c>
      <c r="Y3439" s="8">
        <f t="shared" si="541"/>
        <v>46023</v>
      </c>
    </row>
    <row r="3440" spans="2:25" ht="18.75" x14ac:dyDescent="0.3">
      <c r="B3440" s="6">
        <f t="shared" si="533"/>
        <v>0</v>
      </c>
      <c r="C3440" s="6">
        <f t="shared" si="534"/>
        <v>0</v>
      </c>
      <c r="D3440" s="6" t="str">
        <f t="shared" si="535"/>
        <v/>
      </c>
      <c r="E3440" s="35" t="str">
        <f t="shared" si="532"/>
        <v/>
      </c>
      <c r="F3440" s="31"/>
      <c r="G3440" s="29"/>
      <c r="H3440" s="78" t="str">
        <f t="shared" si="536"/>
        <v/>
      </c>
      <c r="I3440" s="25"/>
      <c r="J3440" s="25"/>
      <c r="K3440" s="26"/>
      <c r="L3440" s="26"/>
      <c r="M3440" s="37"/>
      <c r="N3440" s="27"/>
      <c r="O3440" s="30"/>
      <c r="P3440" s="39" t="str">
        <f t="shared" si="537"/>
        <v/>
      </c>
      <c r="Q3440" s="40" t="str">
        <f>IF(OR(T3440=0,RIGHT(T3440,1)=$W$1),"",COUNTIF($T$3:T3440,T3440))</f>
        <v/>
      </c>
      <c r="S3440" s="6">
        <f t="shared" si="538"/>
        <v>0</v>
      </c>
      <c r="T3440" s="36">
        <f t="shared" si="539"/>
        <v>0</v>
      </c>
      <c r="V3440" s="6">
        <f t="shared" si="540"/>
        <v>0</v>
      </c>
      <c r="Y3440" s="8">
        <f t="shared" si="541"/>
        <v>46023</v>
      </c>
    </row>
    <row r="3441" spans="2:25" ht="18.75" x14ac:dyDescent="0.3">
      <c r="B3441" s="6">
        <f t="shared" si="533"/>
        <v>0</v>
      </c>
      <c r="C3441" s="6">
        <f t="shared" si="534"/>
        <v>0</v>
      </c>
      <c r="D3441" s="6" t="str">
        <f t="shared" si="535"/>
        <v/>
      </c>
      <c r="E3441" s="35" t="str">
        <f t="shared" si="532"/>
        <v/>
      </c>
      <c r="F3441" s="31"/>
      <c r="G3441" s="29"/>
      <c r="H3441" s="78" t="str">
        <f t="shared" si="536"/>
        <v/>
      </c>
      <c r="I3441" s="25"/>
      <c r="J3441" s="25"/>
      <c r="K3441" s="26"/>
      <c r="L3441" s="26"/>
      <c r="M3441" s="37"/>
      <c r="N3441" s="27"/>
      <c r="O3441" s="30"/>
      <c r="P3441" s="39" t="str">
        <f t="shared" si="537"/>
        <v/>
      </c>
      <c r="Q3441" s="40" t="str">
        <f>IF(OR(T3441=0,RIGHT(T3441,1)=$W$1),"",COUNTIF($T$3:T3441,T3441))</f>
        <v/>
      </c>
      <c r="S3441" s="6">
        <f t="shared" si="538"/>
        <v>0</v>
      </c>
      <c r="T3441" s="36">
        <f t="shared" si="539"/>
        <v>0</v>
      </c>
      <c r="V3441" s="6">
        <f t="shared" si="540"/>
        <v>0</v>
      </c>
      <c r="Y3441" s="8">
        <f t="shared" si="541"/>
        <v>46023</v>
      </c>
    </row>
    <row r="3442" spans="2:25" ht="18.75" x14ac:dyDescent="0.3">
      <c r="B3442" s="6">
        <f t="shared" si="533"/>
        <v>0</v>
      </c>
      <c r="C3442" s="6">
        <f t="shared" si="534"/>
        <v>0</v>
      </c>
      <c r="D3442" s="6" t="str">
        <f t="shared" si="535"/>
        <v/>
      </c>
      <c r="E3442" s="35" t="str">
        <f t="shared" si="532"/>
        <v/>
      </c>
      <c r="F3442" s="31"/>
      <c r="G3442" s="29"/>
      <c r="H3442" s="78" t="str">
        <f t="shared" si="536"/>
        <v/>
      </c>
      <c r="I3442" s="25"/>
      <c r="J3442" s="25"/>
      <c r="K3442" s="26"/>
      <c r="L3442" s="26"/>
      <c r="M3442" s="37"/>
      <c r="N3442" s="27"/>
      <c r="O3442" s="30"/>
      <c r="P3442" s="39" t="str">
        <f t="shared" si="537"/>
        <v/>
      </c>
      <c r="Q3442" s="40" t="str">
        <f>IF(OR(T3442=0,RIGHT(T3442,1)=$W$1),"",COUNTIF($T$3:T3442,T3442))</f>
        <v/>
      </c>
      <c r="S3442" s="6">
        <f t="shared" si="538"/>
        <v>0</v>
      </c>
      <c r="T3442" s="36">
        <f t="shared" si="539"/>
        <v>0</v>
      </c>
      <c r="V3442" s="6">
        <f t="shared" si="540"/>
        <v>0</v>
      </c>
      <c r="Y3442" s="8">
        <f t="shared" si="541"/>
        <v>46023</v>
      </c>
    </row>
    <row r="3443" spans="2:25" ht="18.75" x14ac:dyDescent="0.3">
      <c r="B3443" s="6">
        <f t="shared" si="533"/>
        <v>0</v>
      </c>
      <c r="C3443" s="6">
        <f t="shared" si="534"/>
        <v>0</v>
      </c>
      <c r="D3443" s="6" t="str">
        <f t="shared" si="535"/>
        <v/>
      </c>
      <c r="E3443" s="35" t="str">
        <f t="shared" si="532"/>
        <v/>
      </c>
      <c r="F3443" s="31"/>
      <c r="G3443" s="29"/>
      <c r="H3443" s="78" t="str">
        <f t="shared" si="536"/>
        <v/>
      </c>
      <c r="I3443" s="25"/>
      <c r="J3443" s="25"/>
      <c r="K3443" s="26"/>
      <c r="L3443" s="26"/>
      <c r="M3443" s="37"/>
      <c r="N3443" s="27"/>
      <c r="O3443" s="30"/>
      <c r="P3443" s="39" t="str">
        <f t="shared" si="537"/>
        <v/>
      </c>
      <c r="Q3443" s="40" t="str">
        <f>IF(OR(T3443=0,RIGHT(T3443,1)=$W$1),"",COUNTIF($T$3:T3443,T3443))</f>
        <v/>
      </c>
      <c r="S3443" s="6">
        <f t="shared" si="538"/>
        <v>0</v>
      </c>
      <c r="T3443" s="36">
        <f t="shared" si="539"/>
        <v>0</v>
      </c>
      <c r="V3443" s="6">
        <f t="shared" si="540"/>
        <v>0</v>
      </c>
      <c r="Y3443" s="8">
        <f t="shared" si="541"/>
        <v>46023</v>
      </c>
    </row>
    <row r="3444" spans="2:25" ht="18.75" x14ac:dyDescent="0.3">
      <c r="B3444" s="6">
        <f t="shared" si="533"/>
        <v>0</v>
      </c>
      <c r="C3444" s="6">
        <f t="shared" si="534"/>
        <v>0</v>
      </c>
      <c r="D3444" s="6" t="str">
        <f t="shared" si="535"/>
        <v/>
      </c>
      <c r="E3444" s="35" t="str">
        <f t="shared" si="532"/>
        <v/>
      </c>
      <c r="F3444" s="31"/>
      <c r="G3444" s="29"/>
      <c r="H3444" s="78" t="str">
        <f t="shared" si="536"/>
        <v/>
      </c>
      <c r="I3444" s="25"/>
      <c r="J3444" s="25"/>
      <c r="K3444" s="26"/>
      <c r="L3444" s="26"/>
      <c r="M3444" s="37"/>
      <c r="N3444" s="27"/>
      <c r="O3444" s="30"/>
      <c r="P3444" s="39" t="str">
        <f t="shared" si="537"/>
        <v/>
      </c>
      <c r="Q3444" s="40" t="str">
        <f>IF(OR(T3444=0,RIGHT(T3444,1)=$W$1),"",COUNTIF($T$3:T3444,T3444))</f>
        <v/>
      </c>
      <c r="S3444" s="6">
        <f t="shared" si="538"/>
        <v>0</v>
      </c>
      <c r="T3444" s="36">
        <f t="shared" si="539"/>
        <v>0</v>
      </c>
      <c r="V3444" s="6">
        <f t="shared" si="540"/>
        <v>0</v>
      </c>
      <c r="Y3444" s="8">
        <f t="shared" si="541"/>
        <v>46023</v>
      </c>
    </row>
    <row r="3445" spans="2:25" ht="18.75" x14ac:dyDescent="0.3">
      <c r="B3445" s="6">
        <f t="shared" si="533"/>
        <v>0</v>
      </c>
      <c r="C3445" s="6">
        <f t="shared" si="534"/>
        <v>0</v>
      </c>
      <c r="D3445" s="6" t="str">
        <f t="shared" si="535"/>
        <v/>
      </c>
      <c r="E3445" s="35" t="str">
        <f t="shared" si="532"/>
        <v/>
      </c>
      <c r="F3445" s="31"/>
      <c r="G3445" s="29"/>
      <c r="H3445" s="78" t="str">
        <f t="shared" si="536"/>
        <v/>
      </c>
      <c r="I3445" s="25"/>
      <c r="J3445" s="25"/>
      <c r="K3445" s="26"/>
      <c r="L3445" s="26"/>
      <c r="M3445" s="37"/>
      <c r="N3445" s="27"/>
      <c r="O3445" s="30"/>
      <c r="P3445" s="39" t="str">
        <f t="shared" si="537"/>
        <v/>
      </c>
      <c r="Q3445" s="40" t="str">
        <f>IF(OR(T3445=0,RIGHT(T3445,1)=$W$1),"",COUNTIF($T$3:T3445,T3445))</f>
        <v/>
      </c>
      <c r="S3445" s="6">
        <f t="shared" si="538"/>
        <v>0</v>
      </c>
      <c r="T3445" s="36">
        <f t="shared" si="539"/>
        <v>0</v>
      </c>
      <c r="V3445" s="6">
        <f t="shared" si="540"/>
        <v>0</v>
      </c>
      <c r="Y3445" s="8">
        <f t="shared" si="541"/>
        <v>46023</v>
      </c>
    </row>
    <row r="3446" spans="2:25" ht="18.75" x14ac:dyDescent="0.3">
      <c r="B3446" s="6">
        <f t="shared" si="533"/>
        <v>0</v>
      </c>
      <c r="C3446" s="6">
        <f t="shared" si="534"/>
        <v>0</v>
      </c>
      <c r="D3446" s="6" t="str">
        <f t="shared" si="535"/>
        <v/>
      </c>
      <c r="E3446" s="35" t="str">
        <f t="shared" si="532"/>
        <v/>
      </c>
      <c r="F3446" s="31"/>
      <c r="G3446" s="29"/>
      <c r="H3446" s="78" t="str">
        <f t="shared" si="536"/>
        <v/>
      </c>
      <c r="I3446" s="25"/>
      <c r="J3446" s="25"/>
      <c r="K3446" s="26"/>
      <c r="L3446" s="26"/>
      <c r="M3446" s="37"/>
      <c r="N3446" s="27"/>
      <c r="O3446" s="30"/>
      <c r="P3446" s="39" t="str">
        <f t="shared" si="537"/>
        <v/>
      </c>
      <c r="Q3446" s="40" t="str">
        <f>IF(OR(T3446=0,RIGHT(T3446,1)=$W$1),"",COUNTIF($T$3:T3446,T3446))</f>
        <v/>
      </c>
      <c r="S3446" s="6">
        <f t="shared" si="538"/>
        <v>0</v>
      </c>
      <c r="T3446" s="36">
        <f t="shared" si="539"/>
        <v>0</v>
      </c>
      <c r="V3446" s="6">
        <f t="shared" si="540"/>
        <v>0</v>
      </c>
      <c r="Y3446" s="8">
        <f t="shared" si="541"/>
        <v>46023</v>
      </c>
    </row>
    <row r="3447" spans="2:25" ht="18.75" x14ac:dyDescent="0.3">
      <c r="B3447" s="6">
        <f t="shared" si="533"/>
        <v>0</v>
      </c>
      <c r="C3447" s="6">
        <f t="shared" si="534"/>
        <v>0</v>
      </c>
      <c r="D3447" s="6" t="str">
        <f t="shared" si="535"/>
        <v/>
      </c>
      <c r="E3447" s="35" t="str">
        <f t="shared" si="532"/>
        <v/>
      </c>
      <c r="F3447" s="31"/>
      <c r="G3447" s="29"/>
      <c r="H3447" s="78" t="str">
        <f t="shared" si="536"/>
        <v/>
      </c>
      <c r="I3447" s="25"/>
      <c r="J3447" s="25"/>
      <c r="K3447" s="26"/>
      <c r="L3447" s="26"/>
      <c r="M3447" s="37"/>
      <c r="N3447" s="27"/>
      <c r="O3447" s="30"/>
      <c r="P3447" s="39" t="str">
        <f t="shared" si="537"/>
        <v/>
      </c>
      <c r="Q3447" s="40" t="str">
        <f>IF(OR(T3447=0,RIGHT(T3447,1)=$W$1),"",COUNTIF($T$3:T3447,T3447))</f>
        <v/>
      </c>
      <c r="S3447" s="6">
        <f t="shared" si="538"/>
        <v>0</v>
      </c>
      <c r="T3447" s="36">
        <f t="shared" si="539"/>
        <v>0</v>
      </c>
      <c r="V3447" s="6">
        <f t="shared" si="540"/>
        <v>0</v>
      </c>
      <c r="Y3447" s="8">
        <f t="shared" si="541"/>
        <v>46023</v>
      </c>
    </row>
    <row r="3448" spans="2:25" ht="18.75" x14ac:dyDescent="0.3">
      <c r="B3448" s="6">
        <f t="shared" si="533"/>
        <v>0</v>
      </c>
      <c r="C3448" s="6">
        <f t="shared" si="534"/>
        <v>0</v>
      </c>
      <c r="D3448" s="6" t="str">
        <f t="shared" si="535"/>
        <v/>
      </c>
      <c r="E3448" s="35" t="str">
        <f t="shared" si="532"/>
        <v/>
      </c>
      <c r="F3448" s="31"/>
      <c r="G3448" s="29"/>
      <c r="H3448" s="78" t="str">
        <f t="shared" si="536"/>
        <v/>
      </c>
      <c r="I3448" s="25"/>
      <c r="J3448" s="25"/>
      <c r="K3448" s="26"/>
      <c r="L3448" s="26"/>
      <c r="M3448" s="37"/>
      <c r="N3448" s="27"/>
      <c r="O3448" s="30"/>
      <c r="P3448" s="39" t="str">
        <f t="shared" si="537"/>
        <v/>
      </c>
      <c r="Q3448" s="40" t="str">
        <f>IF(OR(T3448=0,RIGHT(T3448,1)=$W$1),"",COUNTIF($T$3:T3448,T3448))</f>
        <v/>
      </c>
      <c r="S3448" s="6">
        <f t="shared" si="538"/>
        <v>0</v>
      </c>
      <c r="T3448" s="36">
        <f t="shared" si="539"/>
        <v>0</v>
      </c>
      <c r="V3448" s="6">
        <f t="shared" si="540"/>
        <v>0</v>
      </c>
      <c r="Y3448" s="8">
        <f t="shared" si="541"/>
        <v>46023</v>
      </c>
    </row>
    <row r="3449" spans="2:25" ht="18.75" x14ac:dyDescent="0.3">
      <c r="B3449" s="6">
        <f t="shared" si="533"/>
        <v>0</v>
      </c>
      <c r="C3449" s="6">
        <f t="shared" si="534"/>
        <v>0</v>
      </c>
      <c r="D3449" s="6" t="str">
        <f t="shared" si="535"/>
        <v/>
      </c>
      <c r="E3449" s="35" t="str">
        <f t="shared" si="532"/>
        <v/>
      </c>
      <c r="F3449" s="31"/>
      <c r="G3449" s="29"/>
      <c r="H3449" s="78" t="str">
        <f t="shared" si="536"/>
        <v/>
      </c>
      <c r="I3449" s="25"/>
      <c r="J3449" s="25"/>
      <c r="K3449" s="26"/>
      <c r="L3449" s="26"/>
      <c r="M3449" s="37"/>
      <c r="N3449" s="27"/>
      <c r="O3449" s="30"/>
      <c r="P3449" s="39" t="str">
        <f t="shared" si="537"/>
        <v/>
      </c>
      <c r="Q3449" s="40" t="str">
        <f>IF(OR(T3449=0,RIGHT(T3449,1)=$W$1),"",COUNTIF($T$3:T3449,T3449))</f>
        <v/>
      </c>
      <c r="S3449" s="6">
        <f t="shared" si="538"/>
        <v>0</v>
      </c>
      <c r="T3449" s="36">
        <f t="shared" si="539"/>
        <v>0</v>
      </c>
      <c r="V3449" s="6">
        <f t="shared" si="540"/>
        <v>0</v>
      </c>
      <c r="Y3449" s="8">
        <f t="shared" si="541"/>
        <v>46023</v>
      </c>
    </row>
    <row r="3450" spans="2:25" ht="18.75" x14ac:dyDescent="0.3">
      <c r="B3450" s="6">
        <f t="shared" si="533"/>
        <v>0</v>
      </c>
      <c r="C3450" s="6">
        <f t="shared" si="534"/>
        <v>0</v>
      </c>
      <c r="D3450" s="6" t="str">
        <f t="shared" si="535"/>
        <v/>
      </c>
      <c r="E3450" s="35" t="str">
        <f t="shared" si="532"/>
        <v/>
      </c>
      <c r="F3450" s="31"/>
      <c r="G3450" s="29"/>
      <c r="H3450" s="78" t="str">
        <f t="shared" si="536"/>
        <v/>
      </c>
      <c r="I3450" s="25"/>
      <c r="J3450" s="25"/>
      <c r="K3450" s="26"/>
      <c r="L3450" s="26"/>
      <c r="M3450" s="37"/>
      <c r="N3450" s="27"/>
      <c r="O3450" s="30"/>
      <c r="P3450" s="39" t="str">
        <f t="shared" si="537"/>
        <v/>
      </c>
      <c r="Q3450" s="40" t="str">
        <f>IF(OR(T3450=0,RIGHT(T3450,1)=$W$1),"",COUNTIF($T$3:T3450,T3450))</f>
        <v/>
      </c>
      <c r="S3450" s="6">
        <f t="shared" si="538"/>
        <v>0</v>
      </c>
      <c r="T3450" s="36">
        <f t="shared" si="539"/>
        <v>0</v>
      </c>
      <c r="V3450" s="6">
        <f t="shared" si="540"/>
        <v>0</v>
      </c>
      <c r="Y3450" s="8">
        <f t="shared" si="541"/>
        <v>46023</v>
      </c>
    </row>
    <row r="3451" spans="2:25" ht="18.75" x14ac:dyDescent="0.3">
      <c r="B3451" s="6">
        <f t="shared" si="533"/>
        <v>0</v>
      </c>
      <c r="C3451" s="6">
        <f t="shared" si="534"/>
        <v>0</v>
      </c>
      <c r="D3451" s="6" t="str">
        <f t="shared" si="535"/>
        <v/>
      </c>
      <c r="E3451" s="35" t="str">
        <f t="shared" si="532"/>
        <v/>
      </c>
      <c r="F3451" s="31"/>
      <c r="G3451" s="29"/>
      <c r="H3451" s="78" t="str">
        <f t="shared" si="536"/>
        <v/>
      </c>
      <c r="I3451" s="25"/>
      <c r="J3451" s="25"/>
      <c r="K3451" s="26"/>
      <c r="L3451" s="26"/>
      <c r="M3451" s="37"/>
      <c r="N3451" s="27"/>
      <c r="O3451" s="30"/>
      <c r="P3451" s="39" t="str">
        <f t="shared" si="537"/>
        <v/>
      </c>
      <c r="Q3451" s="40" t="str">
        <f>IF(OR(T3451=0,RIGHT(T3451,1)=$W$1),"",COUNTIF($T$3:T3451,T3451))</f>
        <v/>
      </c>
      <c r="S3451" s="6">
        <f t="shared" si="538"/>
        <v>0</v>
      </c>
      <c r="T3451" s="36">
        <f t="shared" si="539"/>
        <v>0</v>
      </c>
      <c r="V3451" s="6">
        <f t="shared" si="540"/>
        <v>0</v>
      </c>
      <c r="Y3451" s="8">
        <f t="shared" si="541"/>
        <v>46023</v>
      </c>
    </row>
    <row r="3452" spans="2:25" ht="18.75" x14ac:dyDescent="0.3">
      <c r="B3452" s="6">
        <f t="shared" si="533"/>
        <v>0</v>
      </c>
      <c r="C3452" s="6">
        <f t="shared" si="534"/>
        <v>0</v>
      </c>
      <c r="D3452" s="6" t="str">
        <f t="shared" si="535"/>
        <v/>
      </c>
      <c r="E3452" s="35" t="str">
        <f t="shared" si="532"/>
        <v/>
      </c>
      <c r="F3452" s="31"/>
      <c r="G3452" s="29"/>
      <c r="H3452" s="78" t="str">
        <f t="shared" si="536"/>
        <v/>
      </c>
      <c r="I3452" s="25"/>
      <c r="J3452" s="25"/>
      <c r="K3452" s="26"/>
      <c r="L3452" s="26"/>
      <c r="M3452" s="37"/>
      <c r="N3452" s="27"/>
      <c r="O3452" s="30"/>
      <c r="P3452" s="39" t="str">
        <f t="shared" si="537"/>
        <v/>
      </c>
      <c r="Q3452" s="40" t="str">
        <f>IF(OR(T3452=0,RIGHT(T3452,1)=$W$1),"",COUNTIF($T$3:T3452,T3452))</f>
        <v/>
      </c>
      <c r="S3452" s="6">
        <f t="shared" si="538"/>
        <v>0</v>
      </c>
      <c r="T3452" s="36">
        <f t="shared" si="539"/>
        <v>0</v>
      </c>
      <c r="V3452" s="6">
        <f t="shared" si="540"/>
        <v>0</v>
      </c>
      <c r="Y3452" s="8">
        <f t="shared" si="541"/>
        <v>46023</v>
      </c>
    </row>
    <row r="3453" spans="2:25" ht="18.75" x14ac:dyDescent="0.3">
      <c r="B3453" s="6">
        <f t="shared" si="533"/>
        <v>0</v>
      </c>
      <c r="C3453" s="6">
        <f t="shared" si="534"/>
        <v>0</v>
      </c>
      <c r="D3453" s="6" t="str">
        <f t="shared" si="535"/>
        <v/>
      </c>
      <c r="E3453" s="35" t="str">
        <f t="shared" si="532"/>
        <v/>
      </c>
      <c r="F3453" s="31"/>
      <c r="G3453" s="29"/>
      <c r="H3453" s="78" t="str">
        <f t="shared" si="536"/>
        <v/>
      </c>
      <c r="I3453" s="25"/>
      <c r="J3453" s="25"/>
      <c r="K3453" s="26"/>
      <c r="L3453" s="26"/>
      <c r="M3453" s="37"/>
      <c r="N3453" s="27"/>
      <c r="O3453" s="30"/>
      <c r="P3453" s="39" t="str">
        <f t="shared" si="537"/>
        <v/>
      </c>
      <c r="Q3453" s="40" t="str">
        <f>IF(OR(T3453=0,RIGHT(T3453,1)=$W$1),"",COUNTIF($T$3:T3453,T3453))</f>
        <v/>
      </c>
      <c r="S3453" s="6">
        <f t="shared" si="538"/>
        <v>0</v>
      </c>
      <c r="T3453" s="36">
        <f t="shared" si="539"/>
        <v>0</v>
      </c>
      <c r="V3453" s="6">
        <f t="shared" si="540"/>
        <v>0</v>
      </c>
      <c r="Y3453" s="8">
        <f t="shared" si="541"/>
        <v>46023</v>
      </c>
    </row>
    <row r="3454" spans="2:25" ht="18.75" x14ac:dyDescent="0.3">
      <c r="B3454" s="6">
        <f t="shared" si="533"/>
        <v>0</v>
      </c>
      <c r="C3454" s="6">
        <f t="shared" si="534"/>
        <v>0</v>
      </c>
      <c r="D3454" s="6" t="str">
        <f t="shared" si="535"/>
        <v/>
      </c>
      <c r="E3454" s="35" t="str">
        <f t="shared" si="532"/>
        <v/>
      </c>
      <c r="F3454" s="31"/>
      <c r="G3454" s="29"/>
      <c r="H3454" s="78" t="str">
        <f t="shared" si="536"/>
        <v/>
      </c>
      <c r="I3454" s="25"/>
      <c r="J3454" s="25"/>
      <c r="K3454" s="26"/>
      <c r="L3454" s="26"/>
      <c r="M3454" s="37"/>
      <c r="N3454" s="27"/>
      <c r="O3454" s="30"/>
      <c r="P3454" s="39" t="str">
        <f t="shared" si="537"/>
        <v/>
      </c>
      <c r="Q3454" s="40" t="str">
        <f>IF(OR(T3454=0,RIGHT(T3454,1)=$W$1),"",COUNTIF($T$3:T3454,T3454))</f>
        <v/>
      </c>
      <c r="S3454" s="6">
        <f t="shared" si="538"/>
        <v>0</v>
      </c>
      <c r="T3454" s="36">
        <f t="shared" si="539"/>
        <v>0</v>
      </c>
      <c r="V3454" s="6">
        <f t="shared" si="540"/>
        <v>0</v>
      </c>
      <c r="Y3454" s="8">
        <f t="shared" si="541"/>
        <v>46023</v>
      </c>
    </row>
    <row r="3455" spans="2:25" ht="18.75" x14ac:dyDescent="0.3">
      <c r="B3455" s="6">
        <f t="shared" si="533"/>
        <v>0</v>
      </c>
      <c r="C3455" s="6">
        <f t="shared" si="534"/>
        <v>0</v>
      </c>
      <c r="D3455" s="6" t="str">
        <f t="shared" si="535"/>
        <v/>
      </c>
      <c r="E3455" s="35" t="str">
        <f t="shared" si="532"/>
        <v/>
      </c>
      <c r="F3455" s="31"/>
      <c r="G3455" s="29"/>
      <c r="H3455" s="78" t="str">
        <f t="shared" si="536"/>
        <v/>
      </c>
      <c r="I3455" s="25"/>
      <c r="J3455" s="25"/>
      <c r="K3455" s="26"/>
      <c r="L3455" s="26"/>
      <c r="M3455" s="37"/>
      <c r="N3455" s="27"/>
      <c r="O3455" s="30"/>
      <c r="P3455" s="39" t="str">
        <f t="shared" si="537"/>
        <v/>
      </c>
      <c r="Q3455" s="40" t="str">
        <f>IF(OR(T3455=0,RIGHT(T3455,1)=$W$1),"",COUNTIF($T$3:T3455,T3455))</f>
        <v/>
      </c>
      <c r="S3455" s="6">
        <f t="shared" si="538"/>
        <v>0</v>
      </c>
      <c r="T3455" s="36">
        <f t="shared" si="539"/>
        <v>0</v>
      </c>
      <c r="V3455" s="6">
        <f t="shared" si="540"/>
        <v>0</v>
      </c>
      <c r="Y3455" s="8">
        <f t="shared" si="541"/>
        <v>46023</v>
      </c>
    </row>
    <row r="3456" spans="2:25" ht="18.75" x14ac:dyDescent="0.3">
      <c r="B3456" s="6">
        <f t="shared" si="533"/>
        <v>0</v>
      </c>
      <c r="C3456" s="6">
        <f t="shared" si="534"/>
        <v>0</v>
      </c>
      <c r="D3456" s="6" t="str">
        <f t="shared" si="535"/>
        <v/>
      </c>
      <c r="E3456" s="35" t="str">
        <f t="shared" si="532"/>
        <v/>
      </c>
      <c r="F3456" s="31"/>
      <c r="G3456" s="29"/>
      <c r="H3456" s="78" t="str">
        <f t="shared" si="536"/>
        <v/>
      </c>
      <c r="I3456" s="25"/>
      <c r="J3456" s="25"/>
      <c r="K3456" s="26"/>
      <c r="L3456" s="26"/>
      <c r="M3456" s="37"/>
      <c r="N3456" s="27"/>
      <c r="O3456" s="30"/>
      <c r="P3456" s="39" t="str">
        <f t="shared" si="537"/>
        <v/>
      </c>
      <c r="Q3456" s="40" t="str">
        <f>IF(OR(T3456=0,RIGHT(T3456,1)=$W$1),"",COUNTIF($T$3:T3456,T3456))</f>
        <v/>
      </c>
      <c r="S3456" s="6">
        <f t="shared" si="538"/>
        <v>0</v>
      </c>
      <c r="T3456" s="36">
        <f t="shared" si="539"/>
        <v>0</v>
      </c>
      <c r="V3456" s="6">
        <f t="shared" si="540"/>
        <v>0</v>
      </c>
      <c r="Y3456" s="8">
        <f t="shared" si="541"/>
        <v>46023</v>
      </c>
    </row>
    <row r="3457" spans="2:25" ht="18.75" x14ac:dyDescent="0.3">
      <c r="B3457" s="6">
        <f t="shared" si="533"/>
        <v>0</v>
      </c>
      <c r="C3457" s="6">
        <f t="shared" si="534"/>
        <v>0</v>
      </c>
      <c r="D3457" s="6" t="str">
        <f t="shared" si="535"/>
        <v/>
      </c>
      <c r="E3457" s="35" t="str">
        <f t="shared" si="532"/>
        <v/>
      </c>
      <c r="F3457" s="31"/>
      <c r="G3457" s="29"/>
      <c r="H3457" s="78" t="str">
        <f t="shared" si="536"/>
        <v/>
      </c>
      <c r="I3457" s="25"/>
      <c r="J3457" s="25"/>
      <c r="K3457" s="26"/>
      <c r="L3457" s="26"/>
      <c r="M3457" s="37"/>
      <c r="N3457" s="27"/>
      <c r="O3457" s="30"/>
      <c r="P3457" s="39" t="str">
        <f t="shared" si="537"/>
        <v/>
      </c>
      <c r="Q3457" s="40" t="str">
        <f>IF(OR(T3457=0,RIGHT(T3457,1)=$W$1),"",COUNTIF($T$3:T3457,T3457))</f>
        <v/>
      </c>
      <c r="S3457" s="6">
        <f t="shared" si="538"/>
        <v>0</v>
      </c>
      <c r="T3457" s="36">
        <f t="shared" si="539"/>
        <v>0</v>
      </c>
      <c r="V3457" s="6">
        <f t="shared" si="540"/>
        <v>0</v>
      </c>
      <c r="Y3457" s="8">
        <f t="shared" si="541"/>
        <v>46023</v>
      </c>
    </row>
    <row r="3458" spans="2:25" ht="18.75" x14ac:dyDescent="0.3">
      <c r="B3458" s="6">
        <f t="shared" si="533"/>
        <v>0</v>
      </c>
      <c r="C3458" s="6">
        <f t="shared" si="534"/>
        <v>0</v>
      </c>
      <c r="D3458" s="6" t="str">
        <f t="shared" si="535"/>
        <v/>
      </c>
      <c r="E3458" s="35" t="str">
        <f t="shared" si="532"/>
        <v/>
      </c>
      <c r="F3458" s="31"/>
      <c r="G3458" s="29"/>
      <c r="H3458" s="78" t="str">
        <f t="shared" si="536"/>
        <v/>
      </c>
      <c r="I3458" s="25"/>
      <c r="J3458" s="25"/>
      <c r="K3458" s="26"/>
      <c r="L3458" s="26"/>
      <c r="M3458" s="37"/>
      <c r="N3458" s="27"/>
      <c r="O3458" s="30"/>
      <c r="P3458" s="39" t="str">
        <f t="shared" si="537"/>
        <v/>
      </c>
      <c r="Q3458" s="40" t="str">
        <f>IF(OR(T3458=0,RIGHT(T3458,1)=$W$1),"",COUNTIF($T$3:T3458,T3458))</f>
        <v/>
      </c>
      <c r="S3458" s="6">
        <f t="shared" si="538"/>
        <v>0</v>
      </c>
      <c r="T3458" s="36">
        <f t="shared" si="539"/>
        <v>0</v>
      </c>
      <c r="V3458" s="6">
        <f t="shared" si="540"/>
        <v>0</v>
      </c>
      <c r="Y3458" s="8">
        <f t="shared" si="541"/>
        <v>46023</v>
      </c>
    </row>
    <row r="3459" spans="2:25" ht="18.75" x14ac:dyDescent="0.3">
      <c r="B3459" s="6">
        <f t="shared" si="533"/>
        <v>0</v>
      </c>
      <c r="C3459" s="6">
        <f t="shared" si="534"/>
        <v>0</v>
      </c>
      <c r="D3459" s="6" t="str">
        <f t="shared" si="535"/>
        <v/>
      </c>
      <c r="E3459" s="35" t="str">
        <f t="shared" ref="E3459:E3522" si="542">IF(D3459&lt;&gt;"",D3459&amp;" - "&amp;YEAR(F3459),"")</f>
        <v/>
      </c>
      <c r="F3459" s="31"/>
      <c r="G3459" s="29"/>
      <c r="H3459" s="78" t="str">
        <f t="shared" si="536"/>
        <v/>
      </c>
      <c r="I3459" s="25"/>
      <c r="J3459" s="25"/>
      <c r="K3459" s="26"/>
      <c r="L3459" s="26"/>
      <c r="M3459" s="37"/>
      <c r="N3459" s="27"/>
      <c r="O3459" s="30"/>
      <c r="P3459" s="39" t="str">
        <f t="shared" si="537"/>
        <v/>
      </c>
      <c r="Q3459" s="40" t="str">
        <f>IF(OR(T3459=0,RIGHT(T3459,1)=$W$1),"",COUNTIF($T$3:T3459,T3459))</f>
        <v/>
      </c>
      <c r="S3459" s="6">
        <f t="shared" si="538"/>
        <v>0</v>
      </c>
      <c r="T3459" s="36">
        <f t="shared" si="539"/>
        <v>0</v>
      </c>
      <c r="V3459" s="6">
        <f t="shared" si="540"/>
        <v>0</v>
      </c>
      <c r="Y3459" s="8">
        <f t="shared" si="541"/>
        <v>46023</v>
      </c>
    </row>
    <row r="3460" spans="2:25" ht="18.75" x14ac:dyDescent="0.3">
      <c r="B3460" s="6">
        <f t="shared" ref="B3460:B3523" si="543">IF($B$1=YEAR(F3460),B3459+1,B3459)</f>
        <v>0</v>
      </c>
      <c r="C3460" s="6">
        <f t="shared" ref="C3460:C3523" si="544">IF(AND($C$1=K3460,$Y$1=YEAR(F3460)),C3459+1,C3459)</f>
        <v>0</v>
      </c>
      <c r="D3460" s="6" t="str">
        <f t="shared" ref="D3460:D3523" si="545">IF(F3460&lt;&gt;0,IF(YEAR(F3460)&lt;&gt;YEAR(F3459),1,IF(M3460=$AI$1,D3459,D3459+1)),"")</f>
        <v/>
      </c>
      <c r="E3460" s="35" t="str">
        <f t="shared" si="542"/>
        <v/>
      </c>
      <c r="F3460" s="31"/>
      <c r="G3460" s="29"/>
      <c r="H3460" s="78" t="str">
        <f t="shared" ref="H3460:H3523" si="546">IF(G3460&lt;&gt;"",F3460,"")</f>
        <v/>
      </c>
      <c r="I3460" s="25"/>
      <c r="J3460" s="25"/>
      <c r="K3460" s="26"/>
      <c r="L3460" s="26"/>
      <c r="M3460" s="37"/>
      <c r="N3460" s="27"/>
      <c r="O3460" s="30"/>
      <c r="P3460" s="39" t="str">
        <f t="shared" ref="P3460:P3523" si="547">IF(OR(T3460=0,RIGHT(T3460,1)=$W$1),"",VLOOKUP(K3460,$AD$1:$AK$15,5,FALSE))</f>
        <v/>
      </c>
      <c r="Q3460" s="40" t="str">
        <f>IF(OR(T3460=0,RIGHT(T3460,1)=$W$1),"",COUNTIF($T$3:T3460,T3460))</f>
        <v/>
      </c>
      <c r="S3460" s="6">
        <f t="shared" ref="S3460:S3523" si="548">IF(AND($C$1=K3460,$Y$1=YEAR(F3460)),C3460,0)</f>
        <v>0</v>
      </c>
      <c r="T3460" s="36">
        <f t="shared" ref="T3460:T3523" si="549">IF(F3460=0,0,YEAR(F3460)&amp;VLOOKUP(K3460,$AD$1:$AE$15,2,FALSE))</f>
        <v>0</v>
      </c>
      <c r="V3460" s="6">
        <f t="shared" ref="V3460:V3523" si="550">IF(AND(YEAR(F3460)=$Y$1,K3460=$C$1,L3460&amp;$V$1&lt;&gt;$V$1),L3460,IF(AND(YEAR(F3460)=$Y$1,K3460=$C$1),1,0))</f>
        <v>0</v>
      </c>
      <c r="Y3460" s="8">
        <f t="shared" ref="Y3460:Y3523" si="551">IF(M3460&lt;&gt;$AI$1,$Y$2,F3459)</f>
        <v>46023</v>
      </c>
    </row>
    <row r="3461" spans="2:25" ht="18.75" x14ac:dyDescent="0.3">
      <c r="B3461" s="6">
        <f t="shared" si="543"/>
        <v>0</v>
      </c>
      <c r="C3461" s="6">
        <f t="shared" si="544"/>
        <v>0</v>
      </c>
      <c r="D3461" s="6" t="str">
        <f t="shared" si="545"/>
        <v/>
      </c>
      <c r="E3461" s="35" t="str">
        <f t="shared" si="542"/>
        <v/>
      </c>
      <c r="F3461" s="31"/>
      <c r="G3461" s="29"/>
      <c r="H3461" s="78" t="str">
        <f t="shared" si="546"/>
        <v/>
      </c>
      <c r="I3461" s="25"/>
      <c r="J3461" s="25"/>
      <c r="K3461" s="26"/>
      <c r="L3461" s="26"/>
      <c r="M3461" s="37"/>
      <c r="N3461" s="27"/>
      <c r="O3461" s="30"/>
      <c r="P3461" s="39" t="str">
        <f t="shared" si="547"/>
        <v/>
      </c>
      <c r="Q3461" s="40" t="str">
        <f>IF(OR(T3461=0,RIGHT(T3461,1)=$W$1),"",COUNTIF($T$3:T3461,T3461))</f>
        <v/>
      </c>
      <c r="S3461" s="6">
        <f t="shared" si="548"/>
        <v>0</v>
      </c>
      <c r="T3461" s="36">
        <f t="shared" si="549"/>
        <v>0</v>
      </c>
      <c r="V3461" s="6">
        <f t="shared" si="550"/>
        <v>0</v>
      </c>
      <c r="Y3461" s="8">
        <f t="shared" si="551"/>
        <v>46023</v>
      </c>
    </row>
    <row r="3462" spans="2:25" ht="18.75" x14ac:dyDescent="0.3">
      <c r="B3462" s="6">
        <f t="shared" si="543"/>
        <v>0</v>
      </c>
      <c r="C3462" s="6">
        <f t="shared" si="544"/>
        <v>0</v>
      </c>
      <c r="D3462" s="6" t="str">
        <f t="shared" si="545"/>
        <v/>
      </c>
      <c r="E3462" s="35" t="str">
        <f t="shared" si="542"/>
        <v/>
      </c>
      <c r="F3462" s="31"/>
      <c r="G3462" s="29"/>
      <c r="H3462" s="78" t="str">
        <f t="shared" si="546"/>
        <v/>
      </c>
      <c r="I3462" s="25"/>
      <c r="J3462" s="25"/>
      <c r="K3462" s="26"/>
      <c r="L3462" s="26"/>
      <c r="M3462" s="37"/>
      <c r="N3462" s="27"/>
      <c r="O3462" s="30"/>
      <c r="P3462" s="39" t="str">
        <f t="shared" si="547"/>
        <v/>
      </c>
      <c r="Q3462" s="40" t="str">
        <f>IF(OR(T3462=0,RIGHT(T3462,1)=$W$1),"",COUNTIF($T$3:T3462,T3462))</f>
        <v/>
      </c>
      <c r="S3462" s="6">
        <f t="shared" si="548"/>
        <v>0</v>
      </c>
      <c r="T3462" s="36">
        <f t="shared" si="549"/>
        <v>0</v>
      </c>
      <c r="V3462" s="6">
        <f t="shared" si="550"/>
        <v>0</v>
      </c>
      <c r="Y3462" s="8">
        <f t="shared" si="551"/>
        <v>46023</v>
      </c>
    </row>
    <row r="3463" spans="2:25" ht="18.75" x14ac:dyDescent="0.3">
      <c r="B3463" s="6">
        <f t="shared" si="543"/>
        <v>0</v>
      </c>
      <c r="C3463" s="6">
        <f t="shared" si="544"/>
        <v>0</v>
      </c>
      <c r="D3463" s="6" t="str">
        <f t="shared" si="545"/>
        <v/>
      </c>
      <c r="E3463" s="35" t="str">
        <f t="shared" si="542"/>
        <v/>
      </c>
      <c r="F3463" s="31"/>
      <c r="G3463" s="29"/>
      <c r="H3463" s="78" t="str">
        <f t="shared" si="546"/>
        <v/>
      </c>
      <c r="I3463" s="25"/>
      <c r="J3463" s="25"/>
      <c r="K3463" s="26"/>
      <c r="L3463" s="26"/>
      <c r="M3463" s="37"/>
      <c r="N3463" s="27"/>
      <c r="O3463" s="30"/>
      <c r="P3463" s="39" t="str">
        <f t="shared" si="547"/>
        <v/>
      </c>
      <c r="Q3463" s="40" t="str">
        <f>IF(OR(T3463=0,RIGHT(T3463,1)=$W$1),"",COUNTIF($T$3:T3463,T3463))</f>
        <v/>
      </c>
      <c r="S3463" s="6">
        <f t="shared" si="548"/>
        <v>0</v>
      </c>
      <c r="T3463" s="36">
        <f t="shared" si="549"/>
        <v>0</v>
      </c>
      <c r="V3463" s="6">
        <f t="shared" si="550"/>
        <v>0</v>
      </c>
      <c r="Y3463" s="8">
        <f t="shared" si="551"/>
        <v>46023</v>
      </c>
    </row>
    <row r="3464" spans="2:25" ht="18.75" x14ac:dyDescent="0.3">
      <c r="B3464" s="6">
        <f t="shared" si="543"/>
        <v>0</v>
      </c>
      <c r="C3464" s="6">
        <f t="shared" si="544"/>
        <v>0</v>
      </c>
      <c r="D3464" s="6" t="str">
        <f t="shared" si="545"/>
        <v/>
      </c>
      <c r="E3464" s="35" t="str">
        <f t="shared" si="542"/>
        <v/>
      </c>
      <c r="F3464" s="31"/>
      <c r="G3464" s="29"/>
      <c r="H3464" s="78" t="str">
        <f t="shared" si="546"/>
        <v/>
      </c>
      <c r="I3464" s="25"/>
      <c r="J3464" s="25"/>
      <c r="K3464" s="26"/>
      <c r="L3464" s="26"/>
      <c r="M3464" s="37"/>
      <c r="N3464" s="27"/>
      <c r="O3464" s="30"/>
      <c r="P3464" s="39" t="str">
        <f t="shared" si="547"/>
        <v/>
      </c>
      <c r="Q3464" s="40" t="str">
        <f>IF(OR(T3464=0,RIGHT(T3464,1)=$W$1),"",COUNTIF($T$3:T3464,T3464))</f>
        <v/>
      </c>
      <c r="S3464" s="6">
        <f t="shared" si="548"/>
        <v>0</v>
      </c>
      <c r="T3464" s="36">
        <f t="shared" si="549"/>
        <v>0</v>
      </c>
      <c r="V3464" s="6">
        <f t="shared" si="550"/>
        <v>0</v>
      </c>
      <c r="Y3464" s="8">
        <f t="shared" si="551"/>
        <v>46023</v>
      </c>
    </row>
    <row r="3465" spans="2:25" ht="18.75" x14ac:dyDescent="0.3">
      <c r="B3465" s="6">
        <f t="shared" si="543"/>
        <v>0</v>
      </c>
      <c r="C3465" s="6">
        <f t="shared" si="544"/>
        <v>0</v>
      </c>
      <c r="D3465" s="6" t="str">
        <f t="shared" si="545"/>
        <v/>
      </c>
      <c r="E3465" s="35" t="str">
        <f t="shared" si="542"/>
        <v/>
      </c>
      <c r="F3465" s="31"/>
      <c r="G3465" s="29"/>
      <c r="H3465" s="78" t="str">
        <f t="shared" si="546"/>
        <v/>
      </c>
      <c r="I3465" s="25"/>
      <c r="J3465" s="25"/>
      <c r="K3465" s="26"/>
      <c r="L3465" s="26"/>
      <c r="M3465" s="37"/>
      <c r="N3465" s="27"/>
      <c r="O3465" s="30"/>
      <c r="P3465" s="39" t="str">
        <f t="shared" si="547"/>
        <v/>
      </c>
      <c r="Q3465" s="40" t="str">
        <f>IF(OR(T3465=0,RIGHT(T3465,1)=$W$1),"",COUNTIF($T$3:T3465,T3465))</f>
        <v/>
      </c>
      <c r="S3465" s="6">
        <f t="shared" si="548"/>
        <v>0</v>
      </c>
      <c r="T3465" s="36">
        <f t="shared" si="549"/>
        <v>0</v>
      </c>
      <c r="V3465" s="6">
        <f t="shared" si="550"/>
        <v>0</v>
      </c>
      <c r="Y3465" s="8">
        <f t="shared" si="551"/>
        <v>46023</v>
      </c>
    </row>
    <row r="3466" spans="2:25" ht="18.75" x14ac:dyDescent="0.3">
      <c r="B3466" s="6">
        <f t="shared" si="543"/>
        <v>0</v>
      </c>
      <c r="C3466" s="6">
        <f t="shared" si="544"/>
        <v>0</v>
      </c>
      <c r="D3466" s="6" t="str">
        <f t="shared" si="545"/>
        <v/>
      </c>
      <c r="E3466" s="35" t="str">
        <f t="shared" si="542"/>
        <v/>
      </c>
      <c r="F3466" s="31"/>
      <c r="G3466" s="29"/>
      <c r="H3466" s="78" t="str">
        <f t="shared" si="546"/>
        <v/>
      </c>
      <c r="I3466" s="25"/>
      <c r="J3466" s="25"/>
      <c r="K3466" s="26"/>
      <c r="L3466" s="26"/>
      <c r="M3466" s="37"/>
      <c r="N3466" s="27"/>
      <c r="O3466" s="30"/>
      <c r="P3466" s="39" t="str">
        <f t="shared" si="547"/>
        <v/>
      </c>
      <c r="Q3466" s="40" t="str">
        <f>IF(OR(T3466=0,RIGHT(T3466,1)=$W$1),"",COUNTIF($T$3:T3466,T3466))</f>
        <v/>
      </c>
      <c r="S3466" s="6">
        <f t="shared" si="548"/>
        <v>0</v>
      </c>
      <c r="T3466" s="36">
        <f t="shared" si="549"/>
        <v>0</v>
      </c>
      <c r="V3466" s="6">
        <f t="shared" si="550"/>
        <v>0</v>
      </c>
      <c r="Y3466" s="8">
        <f t="shared" si="551"/>
        <v>46023</v>
      </c>
    </row>
    <row r="3467" spans="2:25" ht="18.75" x14ac:dyDescent="0.3">
      <c r="B3467" s="6">
        <f t="shared" si="543"/>
        <v>0</v>
      </c>
      <c r="C3467" s="6">
        <f t="shared" si="544"/>
        <v>0</v>
      </c>
      <c r="D3467" s="6" t="str">
        <f t="shared" si="545"/>
        <v/>
      </c>
      <c r="E3467" s="35" t="str">
        <f t="shared" si="542"/>
        <v/>
      </c>
      <c r="F3467" s="31"/>
      <c r="G3467" s="29"/>
      <c r="H3467" s="78" t="str">
        <f t="shared" si="546"/>
        <v/>
      </c>
      <c r="I3467" s="25"/>
      <c r="J3467" s="25"/>
      <c r="K3467" s="26"/>
      <c r="L3467" s="26"/>
      <c r="M3467" s="37"/>
      <c r="N3467" s="27"/>
      <c r="O3467" s="30"/>
      <c r="P3467" s="39" t="str">
        <f t="shared" si="547"/>
        <v/>
      </c>
      <c r="Q3467" s="40" t="str">
        <f>IF(OR(T3467=0,RIGHT(T3467,1)=$W$1),"",COUNTIF($T$3:T3467,T3467))</f>
        <v/>
      </c>
      <c r="S3467" s="6">
        <f t="shared" si="548"/>
        <v>0</v>
      </c>
      <c r="T3467" s="36">
        <f t="shared" si="549"/>
        <v>0</v>
      </c>
      <c r="V3467" s="6">
        <f t="shared" si="550"/>
        <v>0</v>
      </c>
      <c r="Y3467" s="8">
        <f t="shared" si="551"/>
        <v>46023</v>
      </c>
    </row>
    <row r="3468" spans="2:25" ht="18.75" x14ac:dyDescent="0.3">
      <c r="B3468" s="6">
        <f t="shared" si="543"/>
        <v>0</v>
      </c>
      <c r="C3468" s="6">
        <f t="shared" si="544"/>
        <v>0</v>
      </c>
      <c r="D3468" s="6" t="str">
        <f t="shared" si="545"/>
        <v/>
      </c>
      <c r="E3468" s="35" t="str">
        <f t="shared" si="542"/>
        <v/>
      </c>
      <c r="F3468" s="31"/>
      <c r="G3468" s="29"/>
      <c r="H3468" s="78" t="str">
        <f t="shared" si="546"/>
        <v/>
      </c>
      <c r="I3468" s="25"/>
      <c r="J3468" s="25"/>
      <c r="K3468" s="26"/>
      <c r="L3468" s="26"/>
      <c r="M3468" s="37"/>
      <c r="N3468" s="27"/>
      <c r="O3468" s="30"/>
      <c r="P3468" s="39" t="str">
        <f t="shared" si="547"/>
        <v/>
      </c>
      <c r="Q3468" s="40" t="str">
        <f>IF(OR(T3468=0,RIGHT(T3468,1)=$W$1),"",COUNTIF($T$3:T3468,T3468))</f>
        <v/>
      </c>
      <c r="S3468" s="6">
        <f t="shared" si="548"/>
        <v>0</v>
      </c>
      <c r="T3468" s="36">
        <f t="shared" si="549"/>
        <v>0</v>
      </c>
      <c r="V3468" s="6">
        <f t="shared" si="550"/>
        <v>0</v>
      </c>
      <c r="Y3468" s="8">
        <f t="shared" si="551"/>
        <v>46023</v>
      </c>
    </row>
    <row r="3469" spans="2:25" ht="18.75" x14ac:dyDescent="0.3">
      <c r="B3469" s="6">
        <f t="shared" si="543"/>
        <v>0</v>
      </c>
      <c r="C3469" s="6">
        <f t="shared" si="544"/>
        <v>0</v>
      </c>
      <c r="D3469" s="6" t="str">
        <f t="shared" si="545"/>
        <v/>
      </c>
      <c r="E3469" s="35" t="str">
        <f t="shared" si="542"/>
        <v/>
      </c>
      <c r="F3469" s="31"/>
      <c r="G3469" s="29"/>
      <c r="H3469" s="78" t="str">
        <f t="shared" si="546"/>
        <v/>
      </c>
      <c r="I3469" s="25"/>
      <c r="J3469" s="25"/>
      <c r="K3469" s="26"/>
      <c r="L3469" s="26"/>
      <c r="M3469" s="37"/>
      <c r="N3469" s="27"/>
      <c r="O3469" s="30"/>
      <c r="P3469" s="39" t="str">
        <f t="shared" si="547"/>
        <v/>
      </c>
      <c r="Q3469" s="40" t="str">
        <f>IF(OR(T3469=0,RIGHT(T3469,1)=$W$1),"",COUNTIF($T$3:T3469,T3469))</f>
        <v/>
      </c>
      <c r="S3469" s="6">
        <f t="shared" si="548"/>
        <v>0</v>
      </c>
      <c r="T3469" s="36">
        <f t="shared" si="549"/>
        <v>0</v>
      </c>
      <c r="V3469" s="6">
        <f t="shared" si="550"/>
        <v>0</v>
      </c>
      <c r="Y3469" s="8">
        <f t="shared" si="551"/>
        <v>46023</v>
      </c>
    </row>
    <row r="3470" spans="2:25" ht="18.75" x14ac:dyDescent="0.3">
      <c r="B3470" s="6">
        <f t="shared" si="543"/>
        <v>0</v>
      </c>
      <c r="C3470" s="6">
        <f t="shared" si="544"/>
        <v>0</v>
      </c>
      <c r="D3470" s="6" t="str">
        <f t="shared" si="545"/>
        <v/>
      </c>
      <c r="E3470" s="35" t="str">
        <f t="shared" si="542"/>
        <v/>
      </c>
      <c r="F3470" s="31"/>
      <c r="G3470" s="29"/>
      <c r="H3470" s="78" t="str">
        <f t="shared" si="546"/>
        <v/>
      </c>
      <c r="I3470" s="25"/>
      <c r="J3470" s="25"/>
      <c r="K3470" s="26"/>
      <c r="L3470" s="26"/>
      <c r="M3470" s="37"/>
      <c r="N3470" s="27"/>
      <c r="O3470" s="30"/>
      <c r="P3470" s="39" t="str">
        <f t="shared" si="547"/>
        <v/>
      </c>
      <c r="Q3470" s="40" t="str">
        <f>IF(OR(T3470=0,RIGHT(T3470,1)=$W$1),"",COUNTIF($T$3:T3470,T3470))</f>
        <v/>
      </c>
      <c r="S3470" s="6">
        <f t="shared" si="548"/>
        <v>0</v>
      </c>
      <c r="T3470" s="36">
        <f t="shared" si="549"/>
        <v>0</v>
      </c>
      <c r="V3470" s="6">
        <f t="shared" si="550"/>
        <v>0</v>
      </c>
      <c r="Y3470" s="8">
        <f t="shared" si="551"/>
        <v>46023</v>
      </c>
    </row>
    <row r="3471" spans="2:25" ht="18.75" x14ac:dyDescent="0.3">
      <c r="B3471" s="6">
        <f t="shared" si="543"/>
        <v>0</v>
      </c>
      <c r="C3471" s="6">
        <f t="shared" si="544"/>
        <v>0</v>
      </c>
      <c r="D3471" s="6" t="str">
        <f t="shared" si="545"/>
        <v/>
      </c>
      <c r="E3471" s="35" t="str">
        <f t="shared" si="542"/>
        <v/>
      </c>
      <c r="F3471" s="31"/>
      <c r="G3471" s="29"/>
      <c r="H3471" s="78" t="str">
        <f t="shared" si="546"/>
        <v/>
      </c>
      <c r="I3471" s="25"/>
      <c r="J3471" s="25"/>
      <c r="K3471" s="26"/>
      <c r="L3471" s="26"/>
      <c r="M3471" s="37"/>
      <c r="N3471" s="27"/>
      <c r="O3471" s="30"/>
      <c r="P3471" s="39" t="str">
        <f t="shared" si="547"/>
        <v/>
      </c>
      <c r="Q3471" s="40" t="str">
        <f>IF(OR(T3471=0,RIGHT(T3471,1)=$W$1),"",COUNTIF($T$3:T3471,T3471))</f>
        <v/>
      </c>
      <c r="S3471" s="6">
        <f t="shared" si="548"/>
        <v>0</v>
      </c>
      <c r="T3471" s="36">
        <f t="shared" si="549"/>
        <v>0</v>
      </c>
      <c r="V3471" s="6">
        <f t="shared" si="550"/>
        <v>0</v>
      </c>
      <c r="Y3471" s="8">
        <f t="shared" si="551"/>
        <v>46023</v>
      </c>
    </row>
    <row r="3472" spans="2:25" ht="18.75" x14ac:dyDescent="0.3">
      <c r="B3472" s="6">
        <f t="shared" si="543"/>
        <v>0</v>
      </c>
      <c r="C3472" s="6">
        <f t="shared" si="544"/>
        <v>0</v>
      </c>
      <c r="D3472" s="6" t="str">
        <f t="shared" si="545"/>
        <v/>
      </c>
      <c r="E3472" s="35" t="str">
        <f t="shared" si="542"/>
        <v/>
      </c>
      <c r="F3472" s="31"/>
      <c r="G3472" s="29"/>
      <c r="H3472" s="78" t="str">
        <f t="shared" si="546"/>
        <v/>
      </c>
      <c r="I3472" s="25"/>
      <c r="J3472" s="25"/>
      <c r="K3472" s="26"/>
      <c r="L3472" s="26"/>
      <c r="M3472" s="37"/>
      <c r="N3472" s="27"/>
      <c r="O3472" s="30"/>
      <c r="P3472" s="39" t="str">
        <f t="shared" si="547"/>
        <v/>
      </c>
      <c r="Q3472" s="40" t="str">
        <f>IF(OR(T3472=0,RIGHT(T3472,1)=$W$1),"",COUNTIF($T$3:T3472,T3472))</f>
        <v/>
      </c>
      <c r="S3472" s="6">
        <f t="shared" si="548"/>
        <v>0</v>
      </c>
      <c r="T3472" s="36">
        <f t="shared" si="549"/>
        <v>0</v>
      </c>
      <c r="V3472" s="6">
        <f t="shared" si="550"/>
        <v>0</v>
      </c>
      <c r="Y3472" s="8">
        <f t="shared" si="551"/>
        <v>46023</v>
      </c>
    </row>
    <row r="3473" spans="2:25" ht="18.75" x14ac:dyDescent="0.3">
      <c r="B3473" s="6">
        <f t="shared" si="543"/>
        <v>0</v>
      </c>
      <c r="C3473" s="6">
        <f t="shared" si="544"/>
        <v>0</v>
      </c>
      <c r="D3473" s="6" t="str">
        <f t="shared" si="545"/>
        <v/>
      </c>
      <c r="E3473" s="35" t="str">
        <f t="shared" si="542"/>
        <v/>
      </c>
      <c r="F3473" s="31"/>
      <c r="G3473" s="29"/>
      <c r="H3473" s="78" t="str">
        <f t="shared" si="546"/>
        <v/>
      </c>
      <c r="I3473" s="25"/>
      <c r="J3473" s="25"/>
      <c r="K3473" s="26"/>
      <c r="L3473" s="26"/>
      <c r="M3473" s="37"/>
      <c r="N3473" s="27"/>
      <c r="O3473" s="30"/>
      <c r="P3473" s="39" t="str">
        <f t="shared" si="547"/>
        <v/>
      </c>
      <c r="Q3473" s="40" t="str">
        <f>IF(OR(T3473=0,RIGHT(T3473,1)=$W$1),"",COUNTIF($T$3:T3473,T3473))</f>
        <v/>
      </c>
      <c r="S3473" s="6">
        <f t="shared" si="548"/>
        <v>0</v>
      </c>
      <c r="T3473" s="36">
        <f t="shared" si="549"/>
        <v>0</v>
      </c>
      <c r="V3473" s="6">
        <f t="shared" si="550"/>
        <v>0</v>
      </c>
      <c r="Y3473" s="8">
        <f t="shared" si="551"/>
        <v>46023</v>
      </c>
    </row>
    <row r="3474" spans="2:25" ht="18.75" x14ac:dyDescent="0.3">
      <c r="B3474" s="6">
        <f t="shared" si="543"/>
        <v>0</v>
      </c>
      <c r="C3474" s="6">
        <f t="shared" si="544"/>
        <v>0</v>
      </c>
      <c r="D3474" s="6" t="str">
        <f t="shared" si="545"/>
        <v/>
      </c>
      <c r="E3474" s="35" t="str">
        <f t="shared" si="542"/>
        <v/>
      </c>
      <c r="F3474" s="31"/>
      <c r="G3474" s="29"/>
      <c r="H3474" s="78" t="str">
        <f t="shared" si="546"/>
        <v/>
      </c>
      <c r="I3474" s="25"/>
      <c r="J3474" s="25"/>
      <c r="K3474" s="26"/>
      <c r="L3474" s="26"/>
      <c r="M3474" s="37"/>
      <c r="N3474" s="27"/>
      <c r="O3474" s="30"/>
      <c r="P3474" s="39" t="str">
        <f t="shared" si="547"/>
        <v/>
      </c>
      <c r="Q3474" s="40" t="str">
        <f>IF(OR(T3474=0,RIGHT(T3474,1)=$W$1),"",COUNTIF($T$3:T3474,T3474))</f>
        <v/>
      </c>
      <c r="S3474" s="6">
        <f t="shared" si="548"/>
        <v>0</v>
      </c>
      <c r="T3474" s="36">
        <f t="shared" si="549"/>
        <v>0</v>
      </c>
      <c r="V3474" s="6">
        <f t="shared" si="550"/>
        <v>0</v>
      </c>
      <c r="Y3474" s="8">
        <f t="shared" si="551"/>
        <v>46023</v>
      </c>
    </row>
    <row r="3475" spans="2:25" ht="18.75" x14ac:dyDescent="0.3">
      <c r="B3475" s="6">
        <f t="shared" si="543"/>
        <v>0</v>
      </c>
      <c r="C3475" s="6">
        <f t="shared" si="544"/>
        <v>0</v>
      </c>
      <c r="D3475" s="6" t="str">
        <f t="shared" si="545"/>
        <v/>
      </c>
      <c r="E3475" s="35" t="str">
        <f t="shared" si="542"/>
        <v/>
      </c>
      <c r="F3475" s="31"/>
      <c r="G3475" s="29"/>
      <c r="H3475" s="78" t="str">
        <f t="shared" si="546"/>
        <v/>
      </c>
      <c r="I3475" s="25"/>
      <c r="J3475" s="25"/>
      <c r="K3475" s="26"/>
      <c r="L3475" s="26"/>
      <c r="M3475" s="37"/>
      <c r="N3475" s="27"/>
      <c r="O3475" s="30"/>
      <c r="P3475" s="39" t="str">
        <f t="shared" si="547"/>
        <v/>
      </c>
      <c r="Q3475" s="40" t="str">
        <f>IF(OR(T3475=0,RIGHT(T3475,1)=$W$1),"",COUNTIF($T$3:T3475,T3475))</f>
        <v/>
      </c>
      <c r="S3475" s="6">
        <f t="shared" si="548"/>
        <v>0</v>
      </c>
      <c r="T3475" s="36">
        <f t="shared" si="549"/>
        <v>0</v>
      </c>
      <c r="V3475" s="6">
        <f t="shared" si="550"/>
        <v>0</v>
      </c>
      <c r="Y3475" s="8">
        <f t="shared" si="551"/>
        <v>46023</v>
      </c>
    </row>
    <row r="3476" spans="2:25" ht="18.75" x14ac:dyDescent="0.3">
      <c r="B3476" s="6">
        <f t="shared" si="543"/>
        <v>0</v>
      </c>
      <c r="C3476" s="6">
        <f t="shared" si="544"/>
        <v>0</v>
      </c>
      <c r="D3476" s="6" t="str">
        <f t="shared" si="545"/>
        <v/>
      </c>
      <c r="E3476" s="35" t="str">
        <f t="shared" si="542"/>
        <v/>
      </c>
      <c r="F3476" s="31"/>
      <c r="G3476" s="29"/>
      <c r="H3476" s="78" t="str">
        <f t="shared" si="546"/>
        <v/>
      </c>
      <c r="I3476" s="25"/>
      <c r="J3476" s="25"/>
      <c r="K3476" s="26"/>
      <c r="L3476" s="26"/>
      <c r="M3476" s="37"/>
      <c r="N3476" s="27"/>
      <c r="O3476" s="30"/>
      <c r="P3476" s="39" t="str">
        <f t="shared" si="547"/>
        <v/>
      </c>
      <c r="Q3476" s="40" t="str">
        <f>IF(OR(T3476=0,RIGHT(T3476,1)=$W$1),"",COUNTIF($T$3:T3476,T3476))</f>
        <v/>
      </c>
      <c r="S3476" s="6">
        <f t="shared" si="548"/>
        <v>0</v>
      </c>
      <c r="T3476" s="36">
        <f t="shared" si="549"/>
        <v>0</v>
      </c>
      <c r="V3476" s="6">
        <f t="shared" si="550"/>
        <v>0</v>
      </c>
      <c r="Y3476" s="8">
        <f t="shared" si="551"/>
        <v>46023</v>
      </c>
    </row>
    <row r="3477" spans="2:25" ht="18.75" x14ac:dyDescent="0.3">
      <c r="B3477" s="6">
        <f t="shared" si="543"/>
        <v>0</v>
      </c>
      <c r="C3477" s="6">
        <f t="shared" si="544"/>
        <v>0</v>
      </c>
      <c r="D3477" s="6" t="str">
        <f t="shared" si="545"/>
        <v/>
      </c>
      <c r="E3477" s="35" t="str">
        <f t="shared" si="542"/>
        <v/>
      </c>
      <c r="F3477" s="31"/>
      <c r="G3477" s="29"/>
      <c r="H3477" s="78" t="str">
        <f t="shared" si="546"/>
        <v/>
      </c>
      <c r="I3477" s="25"/>
      <c r="J3477" s="25"/>
      <c r="K3477" s="26"/>
      <c r="L3477" s="26"/>
      <c r="M3477" s="37"/>
      <c r="N3477" s="27"/>
      <c r="O3477" s="30"/>
      <c r="P3477" s="39" t="str">
        <f t="shared" si="547"/>
        <v/>
      </c>
      <c r="Q3477" s="40" t="str">
        <f>IF(OR(T3477=0,RIGHT(T3477,1)=$W$1),"",COUNTIF($T$3:T3477,T3477))</f>
        <v/>
      </c>
      <c r="S3477" s="6">
        <f t="shared" si="548"/>
        <v>0</v>
      </c>
      <c r="T3477" s="36">
        <f t="shared" si="549"/>
        <v>0</v>
      </c>
      <c r="V3477" s="6">
        <f t="shared" si="550"/>
        <v>0</v>
      </c>
      <c r="Y3477" s="8">
        <f t="shared" si="551"/>
        <v>46023</v>
      </c>
    </row>
    <row r="3478" spans="2:25" ht="18.75" x14ac:dyDescent="0.3">
      <c r="B3478" s="6">
        <f t="shared" si="543"/>
        <v>0</v>
      </c>
      <c r="C3478" s="6">
        <f t="shared" si="544"/>
        <v>0</v>
      </c>
      <c r="D3478" s="6" t="str">
        <f t="shared" si="545"/>
        <v/>
      </c>
      <c r="E3478" s="35" t="str">
        <f t="shared" si="542"/>
        <v/>
      </c>
      <c r="F3478" s="31"/>
      <c r="G3478" s="29"/>
      <c r="H3478" s="78" t="str">
        <f t="shared" si="546"/>
        <v/>
      </c>
      <c r="I3478" s="25"/>
      <c r="J3478" s="25"/>
      <c r="K3478" s="26"/>
      <c r="L3478" s="26"/>
      <c r="M3478" s="37"/>
      <c r="N3478" s="27"/>
      <c r="O3478" s="30"/>
      <c r="P3478" s="39" t="str">
        <f t="shared" si="547"/>
        <v/>
      </c>
      <c r="Q3478" s="40" t="str">
        <f>IF(OR(T3478=0,RIGHT(T3478,1)=$W$1),"",COUNTIF($T$3:T3478,T3478))</f>
        <v/>
      </c>
      <c r="S3478" s="6">
        <f t="shared" si="548"/>
        <v>0</v>
      </c>
      <c r="T3478" s="36">
        <f t="shared" si="549"/>
        <v>0</v>
      </c>
      <c r="V3478" s="6">
        <f t="shared" si="550"/>
        <v>0</v>
      </c>
      <c r="Y3478" s="8">
        <f t="shared" si="551"/>
        <v>46023</v>
      </c>
    </row>
    <row r="3479" spans="2:25" ht="18.75" x14ac:dyDescent="0.3">
      <c r="B3479" s="6">
        <f t="shared" si="543"/>
        <v>0</v>
      </c>
      <c r="C3479" s="6">
        <f t="shared" si="544"/>
        <v>0</v>
      </c>
      <c r="D3479" s="6" t="str">
        <f t="shared" si="545"/>
        <v/>
      </c>
      <c r="E3479" s="35" t="str">
        <f t="shared" si="542"/>
        <v/>
      </c>
      <c r="F3479" s="31"/>
      <c r="G3479" s="29"/>
      <c r="H3479" s="78" t="str">
        <f t="shared" si="546"/>
        <v/>
      </c>
      <c r="I3479" s="25"/>
      <c r="J3479" s="25"/>
      <c r="K3479" s="26"/>
      <c r="L3479" s="26"/>
      <c r="M3479" s="37"/>
      <c r="N3479" s="27"/>
      <c r="O3479" s="30"/>
      <c r="P3479" s="39" t="str">
        <f t="shared" si="547"/>
        <v/>
      </c>
      <c r="Q3479" s="40" t="str">
        <f>IF(OR(T3479=0,RIGHT(T3479,1)=$W$1),"",COUNTIF($T$3:T3479,T3479))</f>
        <v/>
      </c>
      <c r="S3479" s="6">
        <f t="shared" si="548"/>
        <v>0</v>
      </c>
      <c r="T3479" s="36">
        <f t="shared" si="549"/>
        <v>0</v>
      </c>
      <c r="V3479" s="6">
        <f t="shared" si="550"/>
        <v>0</v>
      </c>
      <c r="Y3479" s="8">
        <f t="shared" si="551"/>
        <v>46023</v>
      </c>
    </row>
    <row r="3480" spans="2:25" ht="18.75" x14ac:dyDescent="0.3">
      <c r="B3480" s="6">
        <f t="shared" si="543"/>
        <v>0</v>
      </c>
      <c r="C3480" s="6">
        <f t="shared" si="544"/>
        <v>0</v>
      </c>
      <c r="D3480" s="6" t="str">
        <f t="shared" si="545"/>
        <v/>
      </c>
      <c r="E3480" s="35" t="str">
        <f t="shared" si="542"/>
        <v/>
      </c>
      <c r="F3480" s="31"/>
      <c r="G3480" s="29"/>
      <c r="H3480" s="78" t="str">
        <f t="shared" si="546"/>
        <v/>
      </c>
      <c r="I3480" s="25"/>
      <c r="J3480" s="25"/>
      <c r="K3480" s="26"/>
      <c r="L3480" s="26"/>
      <c r="M3480" s="37"/>
      <c r="N3480" s="27"/>
      <c r="O3480" s="30"/>
      <c r="P3480" s="39" t="str">
        <f t="shared" si="547"/>
        <v/>
      </c>
      <c r="Q3480" s="40" t="str">
        <f>IF(OR(T3480=0,RIGHT(T3480,1)=$W$1),"",COUNTIF($T$3:T3480,T3480))</f>
        <v/>
      </c>
      <c r="S3480" s="6">
        <f t="shared" si="548"/>
        <v>0</v>
      </c>
      <c r="T3480" s="36">
        <f t="shared" si="549"/>
        <v>0</v>
      </c>
      <c r="V3480" s="6">
        <f t="shared" si="550"/>
        <v>0</v>
      </c>
      <c r="Y3480" s="8">
        <f t="shared" si="551"/>
        <v>46023</v>
      </c>
    </row>
    <row r="3481" spans="2:25" ht="18.75" x14ac:dyDescent="0.3">
      <c r="B3481" s="6">
        <f t="shared" si="543"/>
        <v>0</v>
      </c>
      <c r="C3481" s="6">
        <f t="shared" si="544"/>
        <v>0</v>
      </c>
      <c r="D3481" s="6" t="str">
        <f t="shared" si="545"/>
        <v/>
      </c>
      <c r="E3481" s="35" t="str">
        <f t="shared" si="542"/>
        <v/>
      </c>
      <c r="F3481" s="31"/>
      <c r="G3481" s="29"/>
      <c r="H3481" s="78" t="str">
        <f t="shared" si="546"/>
        <v/>
      </c>
      <c r="I3481" s="25"/>
      <c r="J3481" s="25"/>
      <c r="K3481" s="26"/>
      <c r="L3481" s="26"/>
      <c r="M3481" s="37"/>
      <c r="N3481" s="27"/>
      <c r="O3481" s="30"/>
      <c r="P3481" s="39" t="str">
        <f t="shared" si="547"/>
        <v/>
      </c>
      <c r="Q3481" s="40" t="str">
        <f>IF(OR(T3481=0,RIGHT(T3481,1)=$W$1),"",COUNTIF($T$3:T3481,T3481))</f>
        <v/>
      </c>
      <c r="S3481" s="6">
        <f t="shared" si="548"/>
        <v>0</v>
      </c>
      <c r="T3481" s="36">
        <f t="shared" si="549"/>
        <v>0</v>
      </c>
      <c r="V3481" s="6">
        <f t="shared" si="550"/>
        <v>0</v>
      </c>
      <c r="Y3481" s="8">
        <f t="shared" si="551"/>
        <v>46023</v>
      </c>
    </row>
    <row r="3482" spans="2:25" ht="18.75" x14ac:dyDescent="0.3">
      <c r="B3482" s="6">
        <f t="shared" si="543"/>
        <v>0</v>
      </c>
      <c r="C3482" s="6">
        <f t="shared" si="544"/>
        <v>0</v>
      </c>
      <c r="D3482" s="6" t="str">
        <f t="shared" si="545"/>
        <v/>
      </c>
      <c r="E3482" s="35" t="str">
        <f t="shared" si="542"/>
        <v/>
      </c>
      <c r="F3482" s="31"/>
      <c r="G3482" s="29"/>
      <c r="H3482" s="78" t="str">
        <f t="shared" si="546"/>
        <v/>
      </c>
      <c r="I3482" s="25"/>
      <c r="J3482" s="25"/>
      <c r="K3482" s="26"/>
      <c r="L3482" s="26"/>
      <c r="M3482" s="37"/>
      <c r="N3482" s="27"/>
      <c r="O3482" s="30"/>
      <c r="P3482" s="39" t="str">
        <f t="shared" si="547"/>
        <v/>
      </c>
      <c r="Q3482" s="40" t="str">
        <f>IF(OR(T3482=0,RIGHT(T3482,1)=$W$1),"",COUNTIF($T$3:T3482,T3482))</f>
        <v/>
      </c>
      <c r="S3482" s="6">
        <f t="shared" si="548"/>
        <v>0</v>
      </c>
      <c r="T3482" s="36">
        <f t="shared" si="549"/>
        <v>0</v>
      </c>
      <c r="V3482" s="6">
        <f t="shared" si="550"/>
        <v>0</v>
      </c>
      <c r="Y3482" s="8">
        <f t="shared" si="551"/>
        <v>46023</v>
      </c>
    </row>
    <row r="3483" spans="2:25" ht="18.75" x14ac:dyDescent="0.3">
      <c r="B3483" s="6">
        <f t="shared" si="543"/>
        <v>0</v>
      </c>
      <c r="C3483" s="6">
        <f t="shared" si="544"/>
        <v>0</v>
      </c>
      <c r="D3483" s="6" t="str">
        <f t="shared" si="545"/>
        <v/>
      </c>
      <c r="E3483" s="35" t="str">
        <f t="shared" si="542"/>
        <v/>
      </c>
      <c r="F3483" s="31"/>
      <c r="G3483" s="29"/>
      <c r="H3483" s="78" t="str">
        <f t="shared" si="546"/>
        <v/>
      </c>
      <c r="I3483" s="25"/>
      <c r="J3483" s="25"/>
      <c r="K3483" s="26"/>
      <c r="L3483" s="26"/>
      <c r="M3483" s="37"/>
      <c r="N3483" s="27"/>
      <c r="O3483" s="30"/>
      <c r="P3483" s="39" t="str">
        <f t="shared" si="547"/>
        <v/>
      </c>
      <c r="Q3483" s="40" t="str">
        <f>IF(OR(T3483=0,RIGHT(T3483,1)=$W$1),"",COUNTIF($T$3:T3483,T3483))</f>
        <v/>
      </c>
      <c r="S3483" s="6">
        <f t="shared" si="548"/>
        <v>0</v>
      </c>
      <c r="T3483" s="36">
        <f t="shared" si="549"/>
        <v>0</v>
      </c>
      <c r="V3483" s="6">
        <f t="shared" si="550"/>
        <v>0</v>
      </c>
      <c r="Y3483" s="8">
        <f t="shared" si="551"/>
        <v>46023</v>
      </c>
    </row>
    <row r="3484" spans="2:25" ht="18.75" x14ac:dyDescent="0.3">
      <c r="B3484" s="6">
        <f t="shared" si="543"/>
        <v>0</v>
      </c>
      <c r="C3484" s="6">
        <f t="shared" si="544"/>
        <v>0</v>
      </c>
      <c r="D3484" s="6" t="str">
        <f t="shared" si="545"/>
        <v/>
      </c>
      <c r="E3484" s="35" t="str">
        <f t="shared" si="542"/>
        <v/>
      </c>
      <c r="F3484" s="31"/>
      <c r="G3484" s="29"/>
      <c r="H3484" s="78" t="str">
        <f t="shared" si="546"/>
        <v/>
      </c>
      <c r="I3484" s="25"/>
      <c r="J3484" s="25"/>
      <c r="K3484" s="26"/>
      <c r="L3484" s="26"/>
      <c r="M3484" s="37"/>
      <c r="N3484" s="27"/>
      <c r="O3484" s="30"/>
      <c r="P3484" s="39" t="str">
        <f t="shared" si="547"/>
        <v/>
      </c>
      <c r="Q3484" s="40" t="str">
        <f>IF(OR(T3484=0,RIGHT(T3484,1)=$W$1),"",COUNTIF($T$3:T3484,T3484))</f>
        <v/>
      </c>
      <c r="S3484" s="6">
        <f t="shared" si="548"/>
        <v>0</v>
      </c>
      <c r="T3484" s="36">
        <f t="shared" si="549"/>
        <v>0</v>
      </c>
      <c r="V3484" s="6">
        <f t="shared" si="550"/>
        <v>0</v>
      </c>
      <c r="Y3484" s="8">
        <f t="shared" si="551"/>
        <v>46023</v>
      </c>
    </row>
    <row r="3485" spans="2:25" ht="18.75" x14ac:dyDescent="0.3">
      <c r="B3485" s="6">
        <f t="shared" si="543"/>
        <v>0</v>
      </c>
      <c r="C3485" s="6">
        <f t="shared" si="544"/>
        <v>0</v>
      </c>
      <c r="D3485" s="6" t="str">
        <f t="shared" si="545"/>
        <v/>
      </c>
      <c r="E3485" s="35" t="str">
        <f t="shared" si="542"/>
        <v/>
      </c>
      <c r="F3485" s="31"/>
      <c r="G3485" s="29"/>
      <c r="H3485" s="78" t="str">
        <f t="shared" si="546"/>
        <v/>
      </c>
      <c r="I3485" s="25"/>
      <c r="J3485" s="25"/>
      <c r="K3485" s="26"/>
      <c r="L3485" s="26"/>
      <c r="M3485" s="37"/>
      <c r="N3485" s="27"/>
      <c r="O3485" s="30"/>
      <c r="P3485" s="39" t="str">
        <f t="shared" si="547"/>
        <v/>
      </c>
      <c r="Q3485" s="40" t="str">
        <f>IF(OR(T3485=0,RIGHT(T3485,1)=$W$1),"",COUNTIF($T$3:T3485,T3485))</f>
        <v/>
      </c>
      <c r="S3485" s="6">
        <f t="shared" si="548"/>
        <v>0</v>
      </c>
      <c r="T3485" s="36">
        <f t="shared" si="549"/>
        <v>0</v>
      </c>
      <c r="V3485" s="6">
        <f t="shared" si="550"/>
        <v>0</v>
      </c>
      <c r="Y3485" s="8">
        <f t="shared" si="551"/>
        <v>46023</v>
      </c>
    </row>
    <row r="3486" spans="2:25" ht="18.75" x14ac:dyDescent="0.3">
      <c r="B3486" s="6">
        <f t="shared" si="543"/>
        <v>0</v>
      </c>
      <c r="C3486" s="6">
        <f t="shared" si="544"/>
        <v>0</v>
      </c>
      <c r="D3486" s="6" t="str">
        <f t="shared" si="545"/>
        <v/>
      </c>
      <c r="E3486" s="35" t="str">
        <f t="shared" si="542"/>
        <v/>
      </c>
      <c r="F3486" s="31"/>
      <c r="G3486" s="29"/>
      <c r="H3486" s="78" t="str">
        <f t="shared" si="546"/>
        <v/>
      </c>
      <c r="I3486" s="25"/>
      <c r="J3486" s="25"/>
      <c r="K3486" s="26"/>
      <c r="L3486" s="26"/>
      <c r="M3486" s="37"/>
      <c r="N3486" s="27"/>
      <c r="O3486" s="30"/>
      <c r="P3486" s="39" t="str">
        <f t="shared" si="547"/>
        <v/>
      </c>
      <c r="Q3486" s="40" t="str">
        <f>IF(OR(T3486=0,RIGHT(T3486,1)=$W$1),"",COUNTIF($T$3:T3486,T3486))</f>
        <v/>
      </c>
      <c r="S3486" s="6">
        <f t="shared" si="548"/>
        <v>0</v>
      </c>
      <c r="T3486" s="36">
        <f t="shared" si="549"/>
        <v>0</v>
      </c>
      <c r="V3486" s="6">
        <f t="shared" si="550"/>
        <v>0</v>
      </c>
      <c r="Y3486" s="8">
        <f t="shared" si="551"/>
        <v>46023</v>
      </c>
    </row>
    <row r="3487" spans="2:25" ht="18.75" x14ac:dyDescent="0.3">
      <c r="B3487" s="6">
        <f t="shared" si="543"/>
        <v>0</v>
      </c>
      <c r="C3487" s="6">
        <f t="shared" si="544"/>
        <v>0</v>
      </c>
      <c r="D3487" s="6" t="str">
        <f t="shared" si="545"/>
        <v/>
      </c>
      <c r="E3487" s="35" t="str">
        <f t="shared" si="542"/>
        <v/>
      </c>
      <c r="F3487" s="31"/>
      <c r="G3487" s="29"/>
      <c r="H3487" s="78" t="str">
        <f t="shared" si="546"/>
        <v/>
      </c>
      <c r="I3487" s="25"/>
      <c r="J3487" s="25"/>
      <c r="K3487" s="26"/>
      <c r="L3487" s="26"/>
      <c r="M3487" s="37"/>
      <c r="N3487" s="27"/>
      <c r="O3487" s="30"/>
      <c r="P3487" s="39" t="str">
        <f t="shared" si="547"/>
        <v/>
      </c>
      <c r="Q3487" s="40" t="str">
        <f>IF(OR(T3487=0,RIGHT(T3487,1)=$W$1),"",COUNTIF($T$3:T3487,T3487))</f>
        <v/>
      </c>
      <c r="S3487" s="6">
        <f t="shared" si="548"/>
        <v>0</v>
      </c>
      <c r="T3487" s="36">
        <f t="shared" si="549"/>
        <v>0</v>
      </c>
      <c r="V3487" s="6">
        <f t="shared" si="550"/>
        <v>0</v>
      </c>
      <c r="Y3487" s="8">
        <f t="shared" si="551"/>
        <v>46023</v>
      </c>
    </row>
    <row r="3488" spans="2:25" ht="18.75" x14ac:dyDescent="0.3">
      <c r="B3488" s="6">
        <f t="shared" si="543"/>
        <v>0</v>
      </c>
      <c r="C3488" s="6">
        <f t="shared" si="544"/>
        <v>0</v>
      </c>
      <c r="D3488" s="6" t="str">
        <f t="shared" si="545"/>
        <v/>
      </c>
      <c r="E3488" s="35" t="str">
        <f t="shared" si="542"/>
        <v/>
      </c>
      <c r="F3488" s="31"/>
      <c r="G3488" s="29"/>
      <c r="H3488" s="78" t="str">
        <f t="shared" si="546"/>
        <v/>
      </c>
      <c r="I3488" s="25"/>
      <c r="J3488" s="25"/>
      <c r="K3488" s="26"/>
      <c r="L3488" s="26"/>
      <c r="M3488" s="37"/>
      <c r="N3488" s="27"/>
      <c r="O3488" s="30"/>
      <c r="P3488" s="39" t="str">
        <f t="shared" si="547"/>
        <v/>
      </c>
      <c r="Q3488" s="40" t="str">
        <f>IF(OR(T3488=0,RIGHT(T3488,1)=$W$1),"",COUNTIF($T$3:T3488,T3488))</f>
        <v/>
      </c>
      <c r="S3488" s="6">
        <f t="shared" si="548"/>
        <v>0</v>
      </c>
      <c r="T3488" s="36">
        <f t="shared" si="549"/>
        <v>0</v>
      </c>
      <c r="V3488" s="6">
        <f t="shared" si="550"/>
        <v>0</v>
      </c>
      <c r="Y3488" s="8">
        <f t="shared" si="551"/>
        <v>46023</v>
      </c>
    </row>
    <row r="3489" spans="2:25" ht="18.75" x14ac:dyDescent="0.3">
      <c r="B3489" s="6">
        <f t="shared" si="543"/>
        <v>0</v>
      </c>
      <c r="C3489" s="6">
        <f t="shared" si="544"/>
        <v>0</v>
      </c>
      <c r="D3489" s="6" t="str">
        <f t="shared" si="545"/>
        <v/>
      </c>
      <c r="E3489" s="35" t="str">
        <f t="shared" si="542"/>
        <v/>
      </c>
      <c r="F3489" s="31"/>
      <c r="G3489" s="29"/>
      <c r="H3489" s="78" t="str">
        <f t="shared" si="546"/>
        <v/>
      </c>
      <c r="I3489" s="25"/>
      <c r="J3489" s="25"/>
      <c r="K3489" s="26"/>
      <c r="L3489" s="26"/>
      <c r="M3489" s="37"/>
      <c r="N3489" s="27"/>
      <c r="O3489" s="30"/>
      <c r="P3489" s="39" t="str">
        <f t="shared" si="547"/>
        <v/>
      </c>
      <c r="Q3489" s="40" t="str">
        <f>IF(OR(T3489=0,RIGHT(T3489,1)=$W$1),"",COUNTIF($T$3:T3489,T3489))</f>
        <v/>
      </c>
      <c r="S3489" s="6">
        <f t="shared" si="548"/>
        <v>0</v>
      </c>
      <c r="T3489" s="36">
        <f t="shared" si="549"/>
        <v>0</v>
      </c>
      <c r="V3489" s="6">
        <f t="shared" si="550"/>
        <v>0</v>
      </c>
      <c r="Y3489" s="8">
        <f t="shared" si="551"/>
        <v>46023</v>
      </c>
    </row>
    <row r="3490" spans="2:25" ht="18.75" x14ac:dyDescent="0.3">
      <c r="B3490" s="6">
        <f t="shared" si="543"/>
        <v>0</v>
      </c>
      <c r="C3490" s="6">
        <f t="shared" si="544"/>
        <v>0</v>
      </c>
      <c r="D3490" s="6" t="str">
        <f t="shared" si="545"/>
        <v/>
      </c>
      <c r="E3490" s="35" t="str">
        <f t="shared" si="542"/>
        <v/>
      </c>
      <c r="F3490" s="31"/>
      <c r="G3490" s="29"/>
      <c r="H3490" s="78" t="str">
        <f t="shared" si="546"/>
        <v/>
      </c>
      <c r="I3490" s="25"/>
      <c r="J3490" s="25"/>
      <c r="K3490" s="26"/>
      <c r="L3490" s="26"/>
      <c r="M3490" s="37"/>
      <c r="N3490" s="27"/>
      <c r="O3490" s="30"/>
      <c r="P3490" s="39" t="str">
        <f t="shared" si="547"/>
        <v/>
      </c>
      <c r="Q3490" s="40" t="str">
        <f>IF(OR(T3490=0,RIGHT(T3490,1)=$W$1),"",COUNTIF($T$3:T3490,T3490))</f>
        <v/>
      </c>
      <c r="S3490" s="6">
        <f t="shared" si="548"/>
        <v>0</v>
      </c>
      <c r="T3490" s="36">
        <f t="shared" si="549"/>
        <v>0</v>
      </c>
      <c r="V3490" s="6">
        <f t="shared" si="550"/>
        <v>0</v>
      </c>
      <c r="Y3490" s="8">
        <f t="shared" si="551"/>
        <v>46023</v>
      </c>
    </row>
    <row r="3491" spans="2:25" ht="18.75" x14ac:dyDescent="0.3">
      <c r="B3491" s="6">
        <f t="shared" si="543"/>
        <v>0</v>
      </c>
      <c r="C3491" s="6">
        <f t="shared" si="544"/>
        <v>0</v>
      </c>
      <c r="D3491" s="6" t="str">
        <f t="shared" si="545"/>
        <v/>
      </c>
      <c r="E3491" s="35" t="str">
        <f t="shared" si="542"/>
        <v/>
      </c>
      <c r="F3491" s="31"/>
      <c r="G3491" s="29"/>
      <c r="H3491" s="78" t="str">
        <f t="shared" si="546"/>
        <v/>
      </c>
      <c r="I3491" s="25"/>
      <c r="J3491" s="25"/>
      <c r="K3491" s="26"/>
      <c r="L3491" s="26"/>
      <c r="M3491" s="37"/>
      <c r="N3491" s="27"/>
      <c r="O3491" s="30"/>
      <c r="P3491" s="39" t="str">
        <f t="shared" si="547"/>
        <v/>
      </c>
      <c r="Q3491" s="40" t="str">
        <f>IF(OR(T3491=0,RIGHT(T3491,1)=$W$1),"",COUNTIF($T$3:T3491,T3491))</f>
        <v/>
      </c>
      <c r="S3491" s="6">
        <f t="shared" si="548"/>
        <v>0</v>
      </c>
      <c r="T3491" s="36">
        <f t="shared" si="549"/>
        <v>0</v>
      </c>
      <c r="V3491" s="6">
        <f t="shared" si="550"/>
        <v>0</v>
      </c>
      <c r="Y3491" s="8">
        <f t="shared" si="551"/>
        <v>46023</v>
      </c>
    </row>
    <row r="3492" spans="2:25" ht="18.75" x14ac:dyDescent="0.3">
      <c r="B3492" s="6">
        <f t="shared" si="543"/>
        <v>0</v>
      </c>
      <c r="C3492" s="6">
        <f t="shared" si="544"/>
        <v>0</v>
      </c>
      <c r="D3492" s="6" t="str">
        <f t="shared" si="545"/>
        <v/>
      </c>
      <c r="E3492" s="35" t="str">
        <f t="shared" si="542"/>
        <v/>
      </c>
      <c r="F3492" s="31"/>
      <c r="G3492" s="29"/>
      <c r="H3492" s="78" t="str">
        <f t="shared" si="546"/>
        <v/>
      </c>
      <c r="I3492" s="25"/>
      <c r="J3492" s="25"/>
      <c r="K3492" s="26"/>
      <c r="L3492" s="26"/>
      <c r="M3492" s="37"/>
      <c r="N3492" s="27"/>
      <c r="O3492" s="30"/>
      <c r="P3492" s="39" t="str">
        <f t="shared" si="547"/>
        <v/>
      </c>
      <c r="Q3492" s="40" t="str">
        <f>IF(OR(T3492=0,RIGHT(T3492,1)=$W$1),"",COUNTIF($T$3:T3492,T3492))</f>
        <v/>
      </c>
      <c r="S3492" s="6">
        <f t="shared" si="548"/>
        <v>0</v>
      </c>
      <c r="T3492" s="36">
        <f t="shared" si="549"/>
        <v>0</v>
      </c>
      <c r="V3492" s="6">
        <f t="shared" si="550"/>
        <v>0</v>
      </c>
      <c r="Y3492" s="8">
        <f t="shared" si="551"/>
        <v>46023</v>
      </c>
    </row>
    <row r="3493" spans="2:25" ht="18.75" x14ac:dyDescent="0.3">
      <c r="B3493" s="6">
        <f t="shared" si="543"/>
        <v>0</v>
      </c>
      <c r="C3493" s="6">
        <f t="shared" si="544"/>
        <v>0</v>
      </c>
      <c r="D3493" s="6" t="str">
        <f t="shared" si="545"/>
        <v/>
      </c>
      <c r="E3493" s="35" t="str">
        <f t="shared" si="542"/>
        <v/>
      </c>
      <c r="F3493" s="31"/>
      <c r="G3493" s="29"/>
      <c r="H3493" s="78" t="str">
        <f t="shared" si="546"/>
        <v/>
      </c>
      <c r="I3493" s="25"/>
      <c r="J3493" s="25"/>
      <c r="K3493" s="26"/>
      <c r="L3493" s="26"/>
      <c r="M3493" s="37"/>
      <c r="N3493" s="27"/>
      <c r="O3493" s="30"/>
      <c r="P3493" s="39" t="str">
        <f t="shared" si="547"/>
        <v/>
      </c>
      <c r="Q3493" s="40" t="str">
        <f>IF(OR(T3493=0,RIGHT(T3493,1)=$W$1),"",COUNTIF($T$3:T3493,T3493))</f>
        <v/>
      </c>
      <c r="S3493" s="6">
        <f t="shared" si="548"/>
        <v>0</v>
      </c>
      <c r="T3493" s="36">
        <f t="shared" si="549"/>
        <v>0</v>
      </c>
      <c r="V3493" s="6">
        <f t="shared" si="550"/>
        <v>0</v>
      </c>
      <c r="Y3493" s="8">
        <f t="shared" si="551"/>
        <v>46023</v>
      </c>
    </row>
    <row r="3494" spans="2:25" ht="18.75" x14ac:dyDescent="0.3">
      <c r="B3494" s="6">
        <f t="shared" si="543"/>
        <v>0</v>
      </c>
      <c r="C3494" s="6">
        <f t="shared" si="544"/>
        <v>0</v>
      </c>
      <c r="D3494" s="6" t="str">
        <f t="shared" si="545"/>
        <v/>
      </c>
      <c r="E3494" s="35" t="str">
        <f t="shared" si="542"/>
        <v/>
      </c>
      <c r="F3494" s="31"/>
      <c r="G3494" s="29"/>
      <c r="H3494" s="78" t="str">
        <f t="shared" si="546"/>
        <v/>
      </c>
      <c r="I3494" s="25"/>
      <c r="J3494" s="25"/>
      <c r="K3494" s="26"/>
      <c r="L3494" s="26"/>
      <c r="M3494" s="37"/>
      <c r="N3494" s="27"/>
      <c r="O3494" s="30"/>
      <c r="P3494" s="39" t="str">
        <f t="shared" si="547"/>
        <v/>
      </c>
      <c r="Q3494" s="40" t="str">
        <f>IF(OR(T3494=0,RIGHT(T3494,1)=$W$1),"",COUNTIF($T$3:T3494,T3494))</f>
        <v/>
      </c>
      <c r="S3494" s="6">
        <f t="shared" si="548"/>
        <v>0</v>
      </c>
      <c r="T3494" s="36">
        <f t="shared" si="549"/>
        <v>0</v>
      </c>
      <c r="V3494" s="6">
        <f t="shared" si="550"/>
        <v>0</v>
      </c>
      <c r="Y3494" s="8">
        <f t="shared" si="551"/>
        <v>46023</v>
      </c>
    </row>
    <row r="3495" spans="2:25" ht="18.75" x14ac:dyDescent="0.3">
      <c r="B3495" s="6">
        <f t="shared" si="543"/>
        <v>0</v>
      </c>
      <c r="C3495" s="6">
        <f t="shared" si="544"/>
        <v>0</v>
      </c>
      <c r="D3495" s="6" t="str">
        <f t="shared" si="545"/>
        <v/>
      </c>
      <c r="E3495" s="35" t="str">
        <f t="shared" si="542"/>
        <v/>
      </c>
      <c r="F3495" s="31"/>
      <c r="G3495" s="29"/>
      <c r="H3495" s="78" t="str">
        <f t="shared" si="546"/>
        <v/>
      </c>
      <c r="I3495" s="25"/>
      <c r="J3495" s="25"/>
      <c r="K3495" s="26"/>
      <c r="L3495" s="26"/>
      <c r="M3495" s="37"/>
      <c r="N3495" s="27"/>
      <c r="O3495" s="30"/>
      <c r="P3495" s="39" t="str">
        <f t="shared" si="547"/>
        <v/>
      </c>
      <c r="Q3495" s="40" t="str">
        <f>IF(OR(T3495=0,RIGHT(T3495,1)=$W$1),"",COUNTIF($T$3:T3495,T3495))</f>
        <v/>
      </c>
      <c r="S3495" s="6">
        <f t="shared" si="548"/>
        <v>0</v>
      </c>
      <c r="T3495" s="36">
        <f t="shared" si="549"/>
        <v>0</v>
      </c>
      <c r="V3495" s="6">
        <f t="shared" si="550"/>
        <v>0</v>
      </c>
      <c r="Y3495" s="8">
        <f t="shared" si="551"/>
        <v>46023</v>
      </c>
    </row>
    <row r="3496" spans="2:25" ht="18.75" x14ac:dyDescent="0.3">
      <c r="B3496" s="6">
        <f t="shared" si="543"/>
        <v>0</v>
      </c>
      <c r="C3496" s="6">
        <f t="shared" si="544"/>
        <v>0</v>
      </c>
      <c r="D3496" s="6" t="str">
        <f t="shared" si="545"/>
        <v/>
      </c>
      <c r="E3496" s="35" t="str">
        <f t="shared" si="542"/>
        <v/>
      </c>
      <c r="F3496" s="31"/>
      <c r="G3496" s="29"/>
      <c r="H3496" s="78" t="str">
        <f t="shared" si="546"/>
        <v/>
      </c>
      <c r="I3496" s="25"/>
      <c r="J3496" s="25"/>
      <c r="K3496" s="26"/>
      <c r="L3496" s="26"/>
      <c r="M3496" s="37"/>
      <c r="N3496" s="27"/>
      <c r="O3496" s="30"/>
      <c r="P3496" s="39" t="str">
        <f t="shared" si="547"/>
        <v/>
      </c>
      <c r="Q3496" s="40" t="str">
        <f>IF(OR(T3496=0,RIGHT(T3496,1)=$W$1),"",COUNTIF($T$3:T3496,T3496))</f>
        <v/>
      </c>
      <c r="S3496" s="6">
        <f t="shared" si="548"/>
        <v>0</v>
      </c>
      <c r="T3496" s="36">
        <f t="shared" si="549"/>
        <v>0</v>
      </c>
      <c r="V3496" s="6">
        <f t="shared" si="550"/>
        <v>0</v>
      </c>
      <c r="Y3496" s="8">
        <f t="shared" si="551"/>
        <v>46023</v>
      </c>
    </row>
    <row r="3497" spans="2:25" ht="18.75" x14ac:dyDescent="0.3">
      <c r="B3497" s="6">
        <f t="shared" si="543"/>
        <v>0</v>
      </c>
      <c r="C3497" s="6">
        <f t="shared" si="544"/>
        <v>0</v>
      </c>
      <c r="D3497" s="6" t="str">
        <f t="shared" si="545"/>
        <v/>
      </c>
      <c r="E3497" s="35" t="str">
        <f t="shared" si="542"/>
        <v/>
      </c>
      <c r="F3497" s="31"/>
      <c r="G3497" s="29"/>
      <c r="H3497" s="78" t="str">
        <f t="shared" si="546"/>
        <v/>
      </c>
      <c r="I3497" s="25"/>
      <c r="J3497" s="25"/>
      <c r="K3497" s="26"/>
      <c r="L3497" s="26"/>
      <c r="M3497" s="37"/>
      <c r="N3497" s="27"/>
      <c r="O3497" s="30"/>
      <c r="P3497" s="39" t="str">
        <f t="shared" si="547"/>
        <v/>
      </c>
      <c r="Q3497" s="40" t="str">
        <f>IF(OR(T3497=0,RIGHT(T3497,1)=$W$1),"",COUNTIF($T$3:T3497,T3497))</f>
        <v/>
      </c>
      <c r="S3497" s="6">
        <f t="shared" si="548"/>
        <v>0</v>
      </c>
      <c r="T3497" s="36">
        <f t="shared" si="549"/>
        <v>0</v>
      </c>
      <c r="V3497" s="6">
        <f t="shared" si="550"/>
        <v>0</v>
      </c>
      <c r="Y3497" s="8">
        <f t="shared" si="551"/>
        <v>46023</v>
      </c>
    </row>
    <row r="3498" spans="2:25" ht="18.75" x14ac:dyDescent="0.3">
      <c r="B3498" s="6">
        <f t="shared" si="543"/>
        <v>0</v>
      </c>
      <c r="C3498" s="6">
        <f t="shared" si="544"/>
        <v>0</v>
      </c>
      <c r="D3498" s="6" t="str">
        <f t="shared" si="545"/>
        <v/>
      </c>
      <c r="E3498" s="35" t="str">
        <f t="shared" si="542"/>
        <v/>
      </c>
      <c r="F3498" s="31"/>
      <c r="G3498" s="29"/>
      <c r="H3498" s="78" t="str">
        <f t="shared" si="546"/>
        <v/>
      </c>
      <c r="I3498" s="25"/>
      <c r="J3498" s="25"/>
      <c r="K3498" s="26"/>
      <c r="L3498" s="26"/>
      <c r="M3498" s="37"/>
      <c r="N3498" s="27"/>
      <c r="O3498" s="30"/>
      <c r="P3498" s="39" t="str">
        <f t="shared" si="547"/>
        <v/>
      </c>
      <c r="Q3498" s="40" t="str">
        <f>IF(OR(T3498=0,RIGHT(T3498,1)=$W$1),"",COUNTIF($T$3:T3498,T3498))</f>
        <v/>
      </c>
      <c r="S3498" s="6">
        <f t="shared" si="548"/>
        <v>0</v>
      </c>
      <c r="T3498" s="36">
        <f t="shared" si="549"/>
        <v>0</v>
      </c>
      <c r="V3498" s="6">
        <f t="shared" si="550"/>
        <v>0</v>
      </c>
      <c r="Y3498" s="8">
        <f t="shared" si="551"/>
        <v>46023</v>
      </c>
    </row>
    <row r="3499" spans="2:25" ht="18.75" x14ac:dyDescent="0.3">
      <c r="B3499" s="6">
        <f t="shared" si="543"/>
        <v>0</v>
      </c>
      <c r="C3499" s="6">
        <f t="shared" si="544"/>
        <v>0</v>
      </c>
      <c r="D3499" s="6" t="str">
        <f t="shared" si="545"/>
        <v/>
      </c>
      <c r="E3499" s="35" t="str">
        <f t="shared" si="542"/>
        <v/>
      </c>
      <c r="F3499" s="31"/>
      <c r="G3499" s="29"/>
      <c r="H3499" s="78" t="str">
        <f t="shared" si="546"/>
        <v/>
      </c>
      <c r="I3499" s="25"/>
      <c r="J3499" s="25"/>
      <c r="K3499" s="26"/>
      <c r="L3499" s="26"/>
      <c r="M3499" s="37"/>
      <c r="N3499" s="27"/>
      <c r="O3499" s="30"/>
      <c r="P3499" s="39" t="str">
        <f t="shared" si="547"/>
        <v/>
      </c>
      <c r="Q3499" s="40" t="str">
        <f>IF(OR(T3499=0,RIGHT(T3499,1)=$W$1),"",COUNTIF($T$3:T3499,T3499))</f>
        <v/>
      </c>
      <c r="S3499" s="6">
        <f t="shared" si="548"/>
        <v>0</v>
      </c>
      <c r="T3499" s="36">
        <f t="shared" si="549"/>
        <v>0</v>
      </c>
      <c r="V3499" s="6">
        <f t="shared" si="550"/>
        <v>0</v>
      </c>
      <c r="Y3499" s="8">
        <f t="shared" si="551"/>
        <v>46023</v>
      </c>
    </row>
    <row r="3500" spans="2:25" ht="18.75" x14ac:dyDescent="0.3">
      <c r="B3500" s="6">
        <f t="shared" si="543"/>
        <v>0</v>
      </c>
      <c r="C3500" s="6">
        <f t="shared" si="544"/>
        <v>0</v>
      </c>
      <c r="D3500" s="6" t="str">
        <f t="shared" si="545"/>
        <v/>
      </c>
      <c r="E3500" s="35" t="str">
        <f t="shared" si="542"/>
        <v/>
      </c>
      <c r="F3500" s="31"/>
      <c r="G3500" s="29"/>
      <c r="H3500" s="78" t="str">
        <f t="shared" si="546"/>
        <v/>
      </c>
      <c r="I3500" s="25"/>
      <c r="J3500" s="25"/>
      <c r="K3500" s="26"/>
      <c r="L3500" s="26"/>
      <c r="M3500" s="37"/>
      <c r="N3500" s="27"/>
      <c r="O3500" s="30"/>
      <c r="P3500" s="39" t="str">
        <f t="shared" si="547"/>
        <v/>
      </c>
      <c r="Q3500" s="40" t="str">
        <f>IF(OR(T3500=0,RIGHT(T3500,1)=$W$1),"",COUNTIF($T$3:T3500,T3500))</f>
        <v/>
      </c>
      <c r="S3500" s="6">
        <f t="shared" si="548"/>
        <v>0</v>
      </c>
      <c r="T3500" s="36">
        <f t="shared" si="549"/>
        <v>0</v>
      </c>
      <c r="V3500" s="6">
        <f t="shared" si="550"/>
        <v>0</v>
      </c>
      <c r="Y3500" s="8">
        <f t="shared" si="551"/>
        <v>46023</v>
      </c>
    </row>
    <row r="3501" spans="2:25" ht="18.75" x14ac:dyDescent="0.3">
      <c r="B3501" s="6">
        <f t="shared" si="543"/>
        <v>0</v>
      </c>
      <c r="C3501" s="6">
        <f t="shared" si="544"/>
        <v>0</v>
      </c>
      <c r="D3501" s="6" t="str">
        <f t="shared" si="545"/>
        <v/>
      </c>
      <c r="E3501" s="35" t="str">
        <f t="shared" si="542"/>
        <v/>
      </c>
      <c r="F3501" s="31"/>
      <c r="G3501" s="29"/>
      <c r="H3501" s="78" t="str">
        <f t="shared" si="546"/>
        <v/>
      </c>
      <c r="I3501" s="25"/>
      <c r="J3501" s="25"/>
      <c r="K3501" s="26"/>
      <c r="L3501" s="26"/>
      <c r="M3501" s="37"/>
      <c r="N3501" s="27"/>
      <c r="O3501" s="30"/>
      <c r="P3501" s="39" t="str">
        <f t="shared" si="547"/>
        <v/>
      </c>
      <c r="Q3501" s="40" t="str">
        <f>IF(OR(T3501=0,RIGHT(T3501,1)=$W$1),"",COUNTIF($T$3:T3501,T3501))</f>
        <v/>
      </c>
      <c r="S3501" s="6">
        <f t="shared" si="548"/>
        <v>0</v>
      </c>
      <c r="T3501" s="36">
        <f t="shared" si="549"/>
        <v>0</v>
      </c>
      <c r="V3501" s="6">
        <f t="shared" si="550"/>
        <v>0</v>
      </c>
      <c r="Y3501" s="8">
        <f t="shared" si="551"/>
        <v>46023</v>
      </c>
    </row>
    <row r="3502" spans="2:25" ht="18.75" x14ac:dyDescent="0.3">
      <c r="B3502" s="6">
        <f t="shared" si="543"/>
        <v>0</v>
      </c>
      <c r="C3502" s="6">
        <f t="shared" si="544"/>
        <v>0</v>
      </c>
      <c r="D3502" s="6" t="str">
        <f t="shared" si="545"/>
        <v/>
      </c>
      <c r="E3502" s="35" t="str">
        <f t="shared" si="542"/>
        <v/>
      </c>
      <c r="F3502" s="31"/>
      <c r="G3502" s="29"/>
      <c r="H3502" s="78" t="str">
        <f t="shared" si="546"/>
        <v/>
      </c>
      <c r="I3502" s="25"/>
      <c r="J3502" s="25"/>
      <c r="K3502" s="26"/>
      <c r="L3502" s="26"/>
      <c r="M3502" s="37"/>
      <c r="N3502" s="27"/>
      <c r="O3502" s="30"/>
      <c r="P3502" s="39" t="str">
        <f t="shared" si="547"/>
        <v/>
      </c>
      <c r="Q3502" s="40" t="str">
        <f>IF(OR(T3502=0,RIGHT(T3502,1)=$W$1),"",COUNTIF($T$3:T3502,T3502))</f>
        <v/>
      </c>
      <c r="S3502" s="6">
        <f t="shared" si="548"/>
        <v>0</v>
      </c>
      <c r="T3502" s="36">
        <f t="shared" si="549"/>
        <v>0</v>
      </c>
      <c r="V3502" s="6">
        <f t="shared" si="550"/>
        <v>0</v>
      </c>
      <c r="Y3502" s="8">
        <f t="shared" si="551"/>
        <v>46023</v>
      </c>
    </row>
    <row r="3503" spans="2:25" ht="18.75" x14ac:dyDescent="0.3">
      <c r="B3503" s="6">
        <f t="shared" si="543"/>
        <v>0</v>
      </c>
      <c r="C3503" s="6">
        <f t="shared" si="544"/>
        <v>0</v>
      </c>
      <c r="D3503" s="6" t="str">
        <f t="shared" si="545"/>
        <v/>
      </c>
      <c r="E3503" s="35" t="str">
        <f t="shared" si="542"/>
        <v/>
      </c>
      <c r="F3503" s="31"/>
      <c r="G3503" s="29"/>
      <c r="H3503" s="78" t="str">
        <f t="shared" si="546"/>
        <v/>
      </c>
      <c r="I3503" s="25"/>
      <c r="J3503" s="25"/>
      <c r="K3503" s="26"/>
      <c r="L3503" s="26"/>
      <c r="M3503" s="37"/>
      <c r="N3503" s="27"/>
      <c r="O3503" s="30"/>
      <c r="P3503" s="39" t="str">
        <f t="shared" si="547"/>
        <v/>
      </c>
      <c r="Q3503" s="40" t="str">
        <f>IF(OR(T3503=0,RIGHT(T3503,1)=$W$1),"",COUNTIF($T$3:T3503,T3503))</f>
        <v/>
      </c>
      <c r="S3503" s="6">
        <f t="shared" si="548"/>
        <v>0</v>
      </c>
      <c r="T3503" s="36">
        <f t="shared" si="549"/>
        <v>0</v>
      </c>
      <c r="V3503" s="6">
        <f t="shared" si="550"/>
        <v>0</v>
      </c>
      <c r="Y3503" s="8">
        <f t="shared" si="551"/>
        <v>46023</v>
      </c>
    </row>
    <row r="3504" spans="2:25" ht="18.75" x14ac:dyDescent="0.3">
      <c r="B3504" s="6">
        <f t="shared" si="543"/>
        <v>0</v>
      </c>
      <c r="C3504" s="6">
        <f t="shared" si="544"/>
        <v>0</v>
      </c>
      <c r="D3504" s="6" t="str">
        <f t="shared" si="545"/>
        <v/>
      </c>
      <c r="E3504" s="35" t="str">
        <f t="shared" si="542"/>
        <v/>
      </c>
      <c r="F3504" s="31"/>
      <c r="G3504" s="29"/>
      <c r="H3504" s="78" t="str">
        <f t="shared" si="546"/>
        <v/>
      </c>
      <c r="I3504" s="25"/>
      <c r="J3504" s="25"/>
      <c r="K3504" s="26"/>
      <c r="L3504" s="26"/>
      <c r="M3504" s="37"/>
      <c r="N3504" s="27"/>
      <c r="O3504" s="30"/>
      <c r="P3504" s="39" t="str">
        <f t="shared" si="547"/>
        <v/>
      </c>
      <c r="Q3504" s="40" t="str">
        <f>IF(OR(T3504=0,RIGHT(T3504,1)=$W$1),"",COUNTIF($T$3:T3504,T3504))</f>
        <v/>
      </c>
      <c r="S3504" s="6">
        <f t="shared" si="548"/>
        <v>0</v>
      </c>
      <c r="T3504" s="36">
        <f t="shared" si="549"/>
        <v>0</v>
      </c>
      <c r="V3504" s="6">
        <f t="shared" si="550"/>
        <v>0</v>
      </c>
      <c r="Y3504" s="8">
        <f t="shared" si="551"/>
        <v>46023</v>
      </c>
    </row>
    <row r="3505" spans="2:25" ht="18.75" x14ac:dyDescent="0.3">
      <c r="B3505" s="6">
        <f t="shared" si="543"/>
        <v>0</v>
      </c>
      <c r="C3505" s="6">
        <f t="shared" si="544"/>
        <v>0</v>
      </c>
      <c r="D3505" s="6" t="str">
        <f t="shared" si="545"/>
        <v/>
      </c>
      <c r="E3505" s="35" t="str">
        <f t="shared" si="542"/>
        <v/>
      </c>
      <c r="F3505" s="31"/>
      <c r="G3505" s="29"/>
      <c r="H3505" s="78" t="str">
        <f t="shared" si="546"/>
        <v/>
      </c>
      <c r="I3505" s="25"/>
      <c r="J3505" s="25"/>
      <c r="K3505" s="26"/>
      <c r="L3505" s="26"/>
      <c r="M3505" s="37"/>
      <c r="N3505" s="27"/>
      <c r="O3505" s="30"/>
      <c r="P3505" s="39" t="str">
        <f t="shared" si="547"/>
        <v/>
      </c>
      <c r="Q3505" s="40" t="str">
        <f>IF(OR(T3505=0,RIGHT(T3505,1)=$W$1),"",COUNTIF($T$3:T3505,T3505))</f>
        <v/>
      </c>
      <c r="S3505" s="6">
        <f t="shared" si="548"/>
        <v>0</v>
      </c>
      <c r="T3505" s="36">
        <f t="shared" si="549"/>
        <v>0</v>
      </c>
      <c r="V3505" s="6">
        <f t="shared" si="550"/>
        <v>0</v>
      </c>
      <c r="Y3505" s="8">
        <f t="shared" si="551"/>
        <v>46023</v>
      </c>
    </row>
    <row r="3506" spans="2:25" ht="18.75" x14ac:dyDescent="0.3">
      <c r="B3506" s="6">
        <f t="shared" si="543"/>
        <v>0</v>
      </c>
      <c r="C3506" s="6">
        <f t="shared" si="544"/>
        <v>0</v>
      </c>
      <c r="D3506" s="6" t="str">
        <f t="shared" si="545"/>
        <v/>
      </c>
      <c r="E3506" s="35" t="str">
        <f t="shared" si="542"/>
        <v/>
      </c>
      <c r="F3506" s="31"/>
      <c r="G3506" s="29"/>
      <c r="H3506" s="78" t="str">
        <f t="shared" si="546"/>
        <v/>
      </c>
      <c r="I3506" s="25"/>
      <c r="J3506" s="25"/>
      <c r="K3506" s="26"/>
      <c r="L3506" s="26"/>
      <c r="M3506" s="37"/>
      <c r="N3506" s="27"/>
      <c r="O3506" s="30"/>
      <c r="P3506" s="39" t="str">
        <f t="shared" si="547"/>
        <v/>
      </c>
      <c r="Q3506" s="40" t="str">
        <f>IF(OR(T3506=0,RIGHT(T3506,1)=$W$1),"",COUNTIF($T$3:T3506,T3506))</f>
        <v/>
      </c>
      <c r="S3506" s="6">
        <f t="shared" si="548"/>
        <v>0</v>
      </c>
      <c r="T3506" s="36">
        <f t="shared" si="549"/>
        <v>0</v>
      </c>
      <c r="V3506" s="6">
        <f t="shared" si="550"/>
        <v>0</v>
      </c>
      <c r="Y3506" s="8">
        <f t="shared" si="551"/>
        <v>46023</v>
      </c>
    </row>
    <row r="3507" spans="2:25" ht="18.75" x14ac:dyDescent="0.3">
      <c r="B3507" s="6">
        <f t="shared" si="543"/>
        <v>0</v>
      </c>
      <c r="C3507" s="6">
        <f t="shared" si="544"/>
        <v>0</v>
      </c>
      <c r="D3507" s="6" t="str">
        <f t="shared" si="545"/>
        <v/>
      </c>
      <c r="E3507" s="35" t="str">
        <f t="shared" si="542"/>
        <v/>
      </c>
      <c r="F3507" s="31"/>
      <c r="G3507" s="29"/>
      <c r="H3507" s="78" t="str">
        <f t="shared" si="546"/>
        <v/>
      </c>
      <c r="I3507" s="25"/>
      <c r="J3507" s="25"/>
      <c r="K3507" s="26"/>
      <c r="L3507" s="26"/>
      <c r="M3507" s="37"/>
      <c r="N3507" s="27"/>
      <c r="O3507" s="30"/>
      <c r="P3507" s="39" t="str">
        <f t="shared" si="547"/>
        <v/>
      </c>
      <c r="Q3507" s="40" t="str">
        <f>IF(OR(T3507=0,RIGHT(T3507,1)=$W$1),"",COUNTIF($T$3:T3507,T3507))</f>
        <v/>
      </c>
      <c r="S3507" s="6">
        <f t="shared" si="548"/>
        <v>0</v>
      </c>
      <c r="T3507" s="36">
        <f t="shared" si="549"/>
        <v>0</v>
      </c>
      <c r="V3507" s="6">
        <f t="shared" si="550"/>
        <v>0</v>
      </c>
      <c r="Y3507" s="8">
        <f t="shared" si="551"/>
        <v>46023</v>
      </c>
    </row>
    <row r="3508" spans="2:25" ht="18.75" x14ac:dyDescent="0.3">
      <c r="B3508" s="6">
        <f t="shared" si="543"/>
        <v>0</v>
      </c>
      <c r="C3508" s="6">
        <f t="shared" si="544"/>
        <v>0</v>
      </c>
      <c r="D3508" s="6" t="str">
        <f t="shared" si="545"/>
        <v/>
      </c>
      <c r="E3508" s="35" t="str">
        <f t="shared" si="542"/>
        <v/>
      </c>
      <c r="F3508" s="31"/>
      <c r="G3508" s="29"/>
      <c r="H3508" s="78" t="str">
        <f t="shared" si="546"/>
        <v/>
      </c>
      <c r="I3508" s="25"/>
      <c r="J3508" s="25"/>
      <c r="K3508" s="26"/>
      <c r="L3508" s="26"/>
      <c r="M3508" s="37"/>
      <c r="N3508" s="27"/>
      <c r="O3508" s="30"/>
      <c r="P3508" s="39" t="str">
        <f t="shared" si="547"/>
        <v/>
      </c>
      <c r="Q3508" s="40" t="str">
        <f>IF(OR(T3508=0,RIGHT(T3508,1)=$W$1),"",COUNTIF($T$3:T3508,T3508))</f>
        <v/>
      </c>
      <c r="S3508" s="6">
        <f t="shared" si="548"/>
        <v>0</v>
      </c>
      <c r="T3508" s="36">
        <f t="shared" si="549"/>
        <v>0</v>
      </c>
      <c r="V3508" s="6">
        <f t="shared" si="550"/>
        <v>0</v>
      </c>
      <c r="Y3508" s="8">
        <f t="shared" si="551"/>
        <v>46023</v>
      </c>
    </row>
    <row r="3509" spans="2:25" ht="18.75" x14ac:dyDescent="0.3">
      <c r="B3509" s="6">
        <f t="shared" si="543"/>
        <v>0</v>
      </c>
      <c r="C3509" s="6">
        <f t="shared" si="544"/>
        <v>0</v>
      </c>
      <c r="D3509" s="6" t="str">
        <f t="shared" si="545"/>
        <v/>
      </c>
      <c r="E3509" s="35" t="str">
        <f t="shared" si="542"/>
        <v/>
      </c>
      <c r="F3509" s="31"/>
      <c r="G3509" s="29"/>
      <c r="H3509" s="78" t="str">
        <f t="shared" si="546"/>
        <v/>
      </c>
      <c r="I3509" s="25"/>
      <c r="J3509" s="25"/>
      <c r="K3509" s="26"/>
      <c r="L3509" s="26"/>
      <c r="M3509" s="37"/>
      <c r="N3509" s="27"/>
      <c r="O3509" s="30"/>
      <c r="P3509" s="39" t="str">
        <f t="shared" si="547"/>
        <v/>
      </c>
      <c r="Q3509" s="40" t="str">
        <f>IF(OR(T3509=0,RIGHT(T3509,1)=$W$1),"",COUNTIF($T$3:T3509,T3509))</f>
        <v/>
      </c>
      <c r="S3509" s="6">
        <f t="shared" si="548"/>
        <v>0</v>
      </c>
      <c r="T3509" s="36">
        <f t="shared" si="549"/>
        <v>0</v>
      </c>
      <c r="V3509" s="6">
        <f t="shared" si="550"/>
        <v>0</v>
      </c>
      <c r="Y3509" s="8">
        <f t="shared" si="551"/>
        <v>46023</v>
      </c>
    </row>
    <row r="3510" spans="2:25" ht="18.75" x14ac:dyDescent="0.3">
      <c r="B3510" s="6">
        <f t="shared" si="543"/>
        <v>0</v>
      </c>
      <c r="C3510" s="6">
        <f t="shared" si="544"/>
        <v>0</v>
      </c>
      <c r="D3510" s="6" t="str">
        <f t="shared" si="545"/>
        <v/>
      </c>
      <c r="E3510" s="35" t="str">
        <f t="shared" si="542"/>
        <v/>
      </c>
      <c r="F3510" s="31"/>
      <c r="G3510" s="29"/>
      <c r="H3510" s="78" t="str">
        <f t="shared" si="546"/>
        <v/>
      </c>
      <c r="I3510" s="25"/>
      <c r="J3510" s="25"/>
      <c r="K3510" s="26"/>
      <c r="L3510" s="26"/>
      <c r="M3510" s="37"/>
      <c r="N3510" s="27"/>
      <c r="O3510" s="30"/>
      <c r="P3510" s="39" t="str">
        <f t="shared" si="547"/>
        <v/>
      </c>
      <c r="Q3510" s="40" t="str">
        <f>IF(OR(T3510=0,RIGHT(T3510,1)=$W$1),"",COUNTIF($T$3:T3510,T3510))</f>
        <v/>
      </c>
      <c r="S3510" s="6">
        <f t="shared" si="548"/>
        <v>0</v>
      </c>
      <c r="T3510" s="36">
        <f t="shared" si="549"/>
        <v>0</v>
      </c>
      <c r="V3510" s="6">
        <f t="shared" si="550"/>
        <v>0</v>
      </c>
      <c r="Y3510" s="8">
        <f t="shared" si="551"/>
        <v>46023</v>
      </c>
    </row>
    <row r="3511" spans="2:25" ht="18.75" x14ac:dyDescent="0.3">
      <c r="B3511" s="6">
        <f t="shared" si="543"/>
        <v>0</v>
      </c>
      <c r="C3511" s="6">
        <f t="shared" si="544"/>
        <v>0</v>
      </c>
      <c r="D3511" s="6" t="str">
        <f t="shared" si="545"/>
        <v/>
      </c>
      <c r="E3511" s="35" t="str">
        <f t="shared" si="542"/>
        <v/>
      </c>
      <c r="F3511" s="31"/>
      <c r="G3511" s="29"/>
      <c r="H3511" s="78" t="str">
        <f t="shared" si="546"/>
        <v/>
      </c>
      <c r="I3511" s="25"/>
      <c r="J3511" s="25"/>
      <c r="K3511" s="26"/>
      <c r="L3511" s="26"/>
      <c r="M3511" s="37"/>
      <c r="N3511" s="27"/>
      <c r="O3511" s="30"/>
      <c r="P3511" s="39" t="str">
        <f t="shared" si="547"/>
        <v/>
      </c>
      <c r="Q3511" s="40" t="str">
        <f>IF(OR(T3511=0,RIGHT(T3511,1)=$W$1),"",COUNTIF($T$3:T3511,T3511))</f>
        <v/>
      </c>
      <c r="S3511" s="6">
        <f t="shared" si="548"/>
        <v>0</v>
      </c>
      <c r="T3511" s="36">
        <f t="shared" si="549"/>
        <v>0</v>
      </c>
      <c r="V3511" s="6">
        <f t="shared" si="550"/>
        <v>0</v>
      </c>
      <c r="Y3511" s="8">
        <f t="shared" si="551"/>
        <v>46023</v>
      </c>
    </row>
    <row r="3512" spans="2:25" ht="18.75" x14ac:dyDescent="0.3">
      <c r="B3512" s="6">
        <f t="shared" si="543"/>
        <v>0</v>
      </c>
      <c r="C3512" s="6">
        <f t="shared" si="544"/>
        <v>0</v>
      </c>
      <c r="D3512" s="6" t="str">
        <f t="shared" si="545"/>
        <v/>
      </c>
      <c r="E3512" s="35" t="str">
        <f t="shared" si="542"/>
        <v/>
      </c>
      <c r="F3512" s="31"/>
      <c r="G3512" s="29"/>
      <c r="H3512" s="78" t="str">
        <f t="shared" si="546"/>
        <v/>
      </c>
      <c r="I3512" s="25"/>
      <c r="J3512" s="25"/>
      <c r="K3512" s="26"/>
      <c r="L3512" s="26"/>
      <c r="M3512" s="37"/>
      <c r="N3512" s="27"/>
      <c r="O3512" s="30"/>
      <c r="P3512" s="39" t="str">
        <f t="shared" si="547"/>
        <v/>
      </c>
      <c r="Q3512" s="40" t="str">
        <f>IF(OR(T3512=0,RIGHT(T3512,1)=$W$1),"",COUNTIF($T$3:T3512,T3512))</f>
        <v/>
      </c>
      <c r="S3512" s="6">
        <f t="shared" si="548"/>
        <v>0</v>
      </c>
      <c r="T3512" s="36">
        <f t="shared" si="549"/>
        <v>0</v>
      </c>
      <c r="V3512" s="6">
        <f t="shared" si="550"/>
        <v>0</v>
      </c>
      <c r="Y3512" s="8">
        <f t="shared" si="551"/>
        <v>46023</v>
      </c>
    </row>
    <row r="3513" spans="2:25" ht="18.75" x14ac:dyDescent="0.3">
      <c r="B3513" s="6">
        <f t="shared" si="543"/>
        <v>0</v>
      </c>
      <c r="C3513" s="6">
        <f t="shared" si="544"/>
        <v>0</v>
      </c>
      <c r="D3513" s="6" t="str">
        <f t="shared" si="545"/>
        <v/>
      </c>
      <c r="E3513" s="35" t="str">
        <f t="shared" si="542"/>
        <v/>
      </c>
      <c r="F3513" s="31"/>
      <c r="G3513" s="29"/>
      <c r="H3513" s="78" t="str">
        <f t="shared" si="546"/>
        <v/>
      </c>
      <c r="I3513" s="25"/>
      <c r="J3513" s="25"/>
      <c r="K3513" s="26"/>
      <c r="L3513" s="26"/>
      <c r="M3513" s="37"/>
      <c r="N3513" s="27"/>
      <c r="O3513" s="30"/>
      <c r="P3513" s="39" t="str">
        <f t="shared" si="547"/>
        <v/>
      </c>
      <c r="Q3513" s="40" t="str">
        <f>IF(OR(T3513=0,RIGHT(T3513,1)=$W$1),"",COUNTIF($T$3:T3513,T3513))</f>
        <v/>
      </c>
      <c r="S3513" s="6">
        <f t="shared" si="548"/>
        <v>0</v>
      </c>
      <c r="T3513" s="36">
        <f t="shared" si="549"/>
        <v>0</v>
      </c>
      <c r="V3513" s="6">
        <f t="shared" si="550"/>
        <v>0</v>
      </c>
      <c r="Y3513" s="8">
        <f t="shared" si="551"/>
        <v>46023</v>
      </c>
    </row>
    <row r="3514" spans="2:25" ht="18.75" x14ac:dyDescent="0.3">
      <c r="B3514" s="6">
        <f t="shared" si="543"/>
        <v>0</v>
      </c>
      <c r="C3514" s="6">
        <f t="shared" si="544"/>
        <v>0</v>
      </c>
      <c r="D3514" s="6" t="str">
        <f t="shared" si="545"/>
        <v/>
      </c>
      <c r="E3514" s="35" t="str">
        <f t="shared" si="542"/>
        <v/>
      </c>
      <c r="F3514" s="31"/>
      <c r="G3514" s="29"/>
      <c r="H3514" s="78" t="str">
        <f t="shared" si="546"/>
        <v/>
      </c>
      <c r="I3514" s="25"/>
      <c r="J3514" s="25"/>
      <c r="K3514" s="26"/>
      <c r="L3514" s="26"/>
      <c r="M3514" s="37"/>
      <c r="N3514" s="27"/>
      <c r="O3514" s="30"/>
      <c r="P3514" s="39" t="str">
        <f t="shared" si="547"/>
        <v/>
      </c>
      <c r="Q3514" s="40" t="str">
        <f>IF(OR(T3514=0,RIGHT(T3514,1)=$W$1),"",COUNTIF($T$3:T3514,T3514))</f>
        <v/>
      </c>
      <c r="S3514" s="6">
        <f t="shared" si="548"/>
        <v>0</v>
      </c>
      <c r="T3514" s="36">
        <f t="shared" si="549"/>
        <v>0</v>
      </c>
      <c r="V3514" s="6">
        <f t="shared" si="550"/>
        <v>0</v>
      </c>
      <c r="Y3514" s="8">
        <f t="shared" si="551"/>
        <v>46023</v>
      </c>
    </row>
    <row r="3515" spans="2:25" ht="18.75" x14ac:dyDescent="0.3">
      <c r="B3515" s="6">
        <f t="shared" si="543"/>
        <v>0</v>
      </c>
      <c r="C3515" s="6">
        <f t="shared" si="544"/>
        <v>0</v>
      </c>
      <c r="D3515" s="6" t="str">
        <f t="shared" si="545"/>
        <v/>
      </c>
      <c r="E3515" s="35" t="str">
        <f t="shared" si="542"/>
        <v/>
      </c>
      <c r="F3515" s="31"/>
      <c r="G3515" s="29"/>
      <c r="H3515" s="78" t="str">
        <f t="shared" si="546"/>
        <v/>
      </c>
      <c r="I3515" s="25"/>
      <c r="J3515" s="25"/>
      <c r="K3515" s="26"/>
      <c r="L3515" s="26"/>
      <c r="M3515" s="37"/>
      <c r="N3515" s="27"/>
      <c r="O3515" s="30"/>
      <c r="P3515" s="39" t="str">
        <f t="shared" si="547"/>
        <v/>
      </c>
      <c r="Q3515" s="40" t="str">
        <f>IF(OR(T3515=0,RIGHT(T3515,1)=$W$1),"",COUNTIF($T$3:T3515,T3515))</f>
        <v/>
      </c>
      <c r="S3515" s="6">
        <f t="shared" si="548"/>
        <v>0</v>
      </c>
      <c r="T3515" s="36">
        <f t="shared" si="549"/>
        <v>0</v>
      </c>
      <c r="V3515" s="6">
        <f t="shared" si="550"/>
        <v>0</v>
      </c>
      <c r="Y3515" s="8">
        <f t="shared" si="551"/>
        <v>46023</v>
      </c>
    </row>
    <row r="3516" spans="2:25" ht="18.75" x14ac:dyDescent="0.3">
      <c r="B3516" s="6">
        <f t="shared" si="543"/>
        <v>0</v>
      </c>
      <c r="C3516" s="6">
        <f t="shared" si="544"/>
        <v>0</v>
      </c>
      <c r="D3516" s="6" t="str">
        <f t="shared" si="545"/>
        <v/>
      </c>
      <c r="E3516" s="35" t="str">
        <f t="shared" si="542"/>
        <v/>
      </c>
      <c r="F3516" s="31"/>
      <c r="G3516" s="29"/>
      <c r="H3516" s="78" t="str">
        <f t="shared" si="546"/>
        <v/>
      </c>
      <c r="I3516" s="25"/>
      <c r="J3516" s="25"/>
      <c r="K3516" s="26"/>
      <c r="L3516" s="26"/>
      <c r="M3516" s="37"/>
      <c r="N3516" s="27"/>
      <c r="O3516" s="30"/>
      <c r="P3516" s="39" t="str">
        <f t="shared" si="547"/>
        <v/>
      </c>
      <c r="Q3516" s="40" t="str">
        <f>IF(OR(T3516=0,RIGHT(T3516,1)=$W$1),"",COUNTIF($T$3:T3516,T3516))</f>
        <v/>
      </c>
      <c r="S3516" s="6">
        <f t="shared" si="548"/>
        <v>0</v>
      </c>
      <c r="T3516" s="36">
        <f t="shared" si="549"/>
        <v>0</v>
      </c>
      <c r="V3516" s="6">
        <f t="shared" si="550"/>
        <v>0</v>
      </c>
      <c r="Y3516" s="8">
        <f t="shared" si="551"/>
        <v>46023</v>
      </c>
    </row>
    <row r="3517" spans="2:25" ht="18.75" x14ac:dyDescent="0.3">
      <c r="B3517" s="6">
        <f t="shared" si="543"/>
        <v>0</v>
      </c>
      <c r="C3517" s="6">
        <f t="shared" si="544"/>
        <v>0</v>
      </c>
      <c r="D3517" s="6" t="str">
        <f t="shared" si="545"/>
        <v/>
      </c>
      <c r="E3517" s="35" t="str">
        <f t="shared" si="542"/>
        <v/>
      </c>
      <c r="F3517" s="31"/>
      <c r="G3517" s="29"/>
      <c r="H3517" s="78" t="str">
        <f t="shared" si="546"/>
        <v/>
      </c>
      <c r="I3517" s="25"/>
      <c r="J3517" s="25"/>
      <c r="K3517" s="26"/>
      <c r="L3517" s="26"/>
      <c r="M3517" s="37"/>
      <c r="N3517" s="27"/>
      <c r="O3517" s="30"/>
      <c r="P3517" s="39" t="str">
        <f t="shared" si="547"/>
        <v/>
      </c>
      <c r="Q3517" s="40" t="str">
        <f>IF(OR(T3517=0,RIGHT(T3517,1)=$W$1),"",COUNTIF($T$3:T3517,T3517))</f>
        <v/>
      </c>
      <c r="S3517" s="6">
        <f t="shared" si="548"/>
        <v>0</v>
      </c>
      <c r="T3517" s="36">
        <f t="shared" si="549"/>
        <v>0</v>
      </c>
      <c r="V3517" s="6">
        <f t="shared" si="550"/>
        <v>0</v>
      </c>
      <c r="Y3517" s="8">
        <f t="shared" si="551"/>
        <v>46023</v>
      </c>
    </row>
    <row r="3518" spans="2:25" ht="18.75" x14ac:dyDescent="0.3">
      <c r="B3518" s="6">
        <f t="shared" si="543"/>
        <v>0</v>
      </c>
      <c r="C3518" s="6">
        <f t="shared" si="544"/>
        <v>0</v>
      </c>
      <c r="D3518" s="6" t="str">
        <f t="shared" si="545"/>
        <v/>
      </c>
      <c r="E3518" s="35" t="str">
        <f t="shared" si="542"/>
        <v/>
      </c>
      <c r="F3518" s="31"/>
      <c r="G3518" s="29"/>
      <c r="H3518" s="78" t="str">
        <f t="shared" si="546"/>
        <v/>
      </c>
      <c r="I3518" s="25"/>
      <c r="J3518" s="25"/>
      <c r="K3518" s="26"/>
      <c r="L3518" s="26"/>
      <c r="M3518" s="37"/>
      <c r="N3518" s="27"/>
      <c r="O3518" s="30"/>
      <c r="P3518" s="39" t="str">
        <f t="shared" si="547"/>
        <v/>
      </c>
      <c r="Q3518" s="40" t="str">
        <f>IF(OR(T3518=0,RIGHT(T3518,1)=$W$1),"",COUNTIF($T$3:T3518,T3518))</f>
        <v/>
      </c>
      <c r="S3518" s="6">
        <f t="shared" si="548"/>
        <v>0</v>
      </c>
      <c r="T3518" s="36">
        <f t="shared" si="549"/>
        <v>0</v>
      </c>
      <c r="V3518" s="6">
        <f t="shared" si="550"/>
        <v>0</v>
      </c>
      <c r="Y3518" s="8">
        <f t="shared" si="551"/>
        <v>46023</v>
      </c>
    </row>
    <row r="3519" spans="2:25" ht="18.75" x14ac:dyDescent="0.3">
      <c r="B3519" s="6">
        <f t="shared" si="543"/>
        <v>0</v>
      </c>
      <c r="C3519" s="6">
        <f t="shared" si="544"/>
        <v>0</v>
      </c>
      <c r="D3519" s="6" t="str">
        <f t="shared" si="545"/>
        <v/>
      </c>
      <c r="E3519" s="35" t="str">
        <f t="shared" si="542"/>
        <v/>
      </c>
      <c r="F3519" s="31"/>
      <c r="G3519" s="29"/>
      <c r="H3519" s="78" t="str">
        <f t="shared" si="546"/>
        <v/>
      </c>
      <c r="I3519" s="25"/>
      <c r="J3519" s="25"/>
      <c r="K3519" s="26"/>
      <c r="L3519" s="26"/>
      <c r="M3519" s="37"/>
      <c r="N3519" s="27"/>
      <c r="O3519" s="30"/>
      <c r="P3519" s="39" t="str">
        <f t="shared" si="547"/>
        <v/>
      </c>
      <c r="Q3519" s="40" t="str">
        <f>IF(OR(T3519=0,RIGHT(T3519,1)=$W$1),"",COUNTIF($T$3:T3519,T3519))</f>
        <v/>
      </c>
      <c r="S3519" s="6">
        <f t="shared" si="548"/>
        <v>0</v>
      </c>
      <c r="T3519" s="36">
        <f t="shared" si="549"/>
        <v>0</v>
      </c>
      <c r="V3519" s="6">
        <f t="shared" si="550"/>
        <v>0</v>
      </c>
      <c r="Y3519" s="8">
        <f t="shared" si="551"/>
        <v>46023</v>
      </c>
    </row>
    <row r="3520" spans="2:25" ht="18.75" x14ac:dyDescent="0.3">
      <c r="B3520" s="6">
        <f t="shared" si="543"/>
        <v>0</v>
      </c>
      <c r="C3520" s="6">
        <f t="shared" si="544"/>
        <v>0</v>
      </c>
      <c r="D3520" s="6" t="str">
        <f t="shared" si="545"/>
        <v/>
      </c>
      <c r="E3520" s="35" t="str">
        <f t="shared" si="542"/>
        <v/>
      </c>
      <c r="F3520" s="31"/>
      <c r="G3520" s="29"/>
      <c r="H3520" s="78" t="str">
        <f t="shared" si="546"/>
        <v/>
      </c>
      <c r="I3520" s="25"/>
      <c r="J3520" s="25"/>
      <c r="K3520" s="26"/>
      <c r="L3520" s="26"/>
      <c r="M3520" s="37"/>
      <c r="N3520" s="27"/>
      <c r="O3520" s="30"/>
      <c r="P3520" s="39" t="str">
        <f t="shared" si="547"/>
        <v/>
      </c>
      <c r="Q3520" s="40" t="str">
        <f>IF(OR(T3520=0,RIGHT(T3520,1)=$W$1),"",COUNTIF($T$3:T3520,T3520))</f>
        <v/>
      </c>
      <c r="S3520" s="6">
        <f t="shared" si="548"/>
        <v>0</v>
      </c>
      <c r="T3520" s="36">
        <f t="shared" si="549"/>
        <v>0</v>
      </c>
      <c r="V3520" s="6">
        <f t="shared" si="550"/>
        <v>0</v>
      </c>
      <c r="Y3520" s="8">
        <f t="shared" si="551"/>
        <v>46023</v>
      </c>
    </row>
    <row r="3521" spans="2:25" ht="18.75" x14ac:dyDescent="0.3">
      <c r="B3521" s="6">
        <f t="shared" si="543"/>
        <v>0</v>
      </c>
      <c r="C3521" s="6">
        <f t="shared" si="544"/>
        <v>0</v>
      </c>
      <c r="D3521" s="6" t="str">
        <f t="shared" si="545"/>
        <v/>
      </c>
      <c r="E3521" s="35" t="str">
        <f t="shared" si="542"/>
        <v/>
      </c>
      <c r="F3521" s="31"/>
      <c r="G3521" s="29"/>
      <c r="H3521" s="78" t="str">
        <f t="shared" si="546"/>
        <v/>
      </c>
      <c r="I3521" s="25"/>
      <c r="J3521" s="25"/>
      <c r="K3521" s="26"/>
      <c r="L3521" s="26"/>
      <c r="M3521" s="37"/>
      <c r="N3521" s="27"/>
      <c r="O3521" s="30"/>
      <c r="P3521" s="39" t="str">
        <f t="shared" si="547"/>
        <v/>
      </c>
      <c r="Q3521" s="40" t="str">
        <f>IF(OR(T3521=0,RIGHT(T3521,1)=$W$1),"",COUNTIF($T$3:T3521,T3521))</f>
        <v/>
      </c>
      <c r="S3521" s="6">
        <f t="shared" si="548"/>
        <v>0</v>
      </c>
      <c r="T3521" s="36">
        <f t="shared" si="549"/>
        <v>0</v>
      </c>
      <c r="V3521" s="6">
        <f t="shared" si="550"/>
        <v>0</v>
      </c>
      <c r="Y3521" s="8">
        <f t="shared" si="551"/>
        <v>46023</v>
      </c>
    </row>
    <row r="3522" spans="2:25" ht="18.75" x14ac:dyDescent="0.3">
      <c r="B3522" s="6">
        <f t="shared" si="543"/>
        <v>0</v>
      </c>
      <c r="C3522" s="6">
        <f t="shared" si="544"/>
        <v>0</v>
      </c>
      <c r="D3522" s="6" t="str">
        <f t="shared" si="545"/>
        <v/>
      </c>
      <c r="E3522" s="35" t="str">
        <f t="shared" si="542"/>
        <v/>
      </c>
      <c r="F3522" s="31"/>
      <c r="G3522" s="29"/>
      <c r="H3522" s="78" t="str">
        <f t="shared" si="546"/>
        <v/>
      </c>
      <c r="I3522" s="25"/>
      <c r="J3522" s="25"/>
      <c r="K3522" s="26"/>
      <c r="L3522" s="26"/>
      <c r="M3522" s="37"/>
      <c r="N3522" s="27"/>
      <c r="O3522" s="30"/>
      <c r="P3522" s="39" t="str">
        <f t="shared" si="547"/>
        <v/>
      </c>
      <c r="Q3522" s="40" t="str">
        <f>IF(OR(T3522=0,RIGHT(T3522,1)=$W$1),"",COUNTIF($T$3:T3522,T3522))</f>
        <v/>
      </c>
      <c r="S3522" s="6">
        <f t="shared" si="548"/>
        <v>0</v>
      </c>
      <c r="T3522" s="36">
        <f t="shared" si="549"/>
        <v>0</v>
      </c>
      <c r="V3522" s="6">
        <f t="shared" si="550"/>
        <v>0</v>
      </c>
      <c r="Y3522" s="8">
        <f t="shared" si="551"/>
        <v>46023</v>
      </c>
    </row>
    <row r="3523" spans="2:25" ht="18.75" x14ac:dyDescent="0.3">
      <c r="B3523" s="6">
        <f t="shared" si="543"/>
        <v>0</v>
      </c>
      <c r="C3523" s="6">
        <f t="shared" si="544"/>
        <v>0</v>
      </c>
      <c r="D3523" s="6" t="str">
        <f t="shared" si="545"/>
        <v/>
      </c>
      <c r="E3523" s="35" t="str">
        <f t="shared" ref="E3523:E3586" si="552">IF(D3523&lt;&gt;"",D3523&amp;" - "&amp;YEAR(F3523),"")</f>
        <v/>
      </c>
      <c r="F3523" s="31"/>
      <c r="G3523" s="29"/>
      <c r="H3523" s="78" t="str">
        <f t="shared" si="546"/>
        <v/>
      </c>
      <c r="I3523" s="25"/>
      <c r="J3523" s="25"/>
      <c r="K3523" s="26"/>
      <c r="L3523" s="26"/>
      <c r="M3523" s="37"/>
      <c r="N3523" s="27"/>
      <c r="O3523" s="30"/>
      <c r="P3523" s="39" t="str">
        <f t="shared" si="547"/>
        <v/>
      </c>
      <c r="Q3523" s="40" t="str">
        <f>IF(OR(T3523=0,RIGHT(T3523,1)=$W$1),"",COUNTIF($T$3:T3523,T3523))</f>
        <v/>
      </c>
      <c r="S3523" s="6">
        <f t="shared" si="548"/>
        <v>0</v>
      </c>
      <c r="T3523" s="36">
        <f t="shared" si="549"/>
        <v>0</v>
      </c>
      <c r="V3523" s="6">
        <f t="shared" si="550"/>
        <v>0</v>
      </c>
      <c r="Y3523" s="8">
        <f t="shared" si="551"/>
        <v>46023</v>
      </c>
    </row>
    <row r="3524" spans="2:25" ht="18.75" x14ac:dyDescent="0.3">
      <c r="B3524" s="6">
        <f t="shared" ref="B3524:B3587" si="553">IF($B$1=YEAR(F3524),B3523+1,B3523)</f>
        <v>0</v>
      </c>
      <c r="C3524" s="6">
        <f t="shared" ref="C3524:C3587" si="554">IF(AND($C$1=K3524,$Y$1=YEAR(F3524)),C3523+1,C3523)</f>
        <v>0</v>
      </c>
      <c r="D3524" s="6" t="str">
        <f t="shared" ref="D3524:D3587" si="555">IF(F3524&lt;&gt;0,IF(YEAR(F3524)&lt;&gt;YEAR(F3523),1,IF(M3524=$AI$1,D3523,D3523+1)),"")</f>
        <v/>
      </c>
      <c r="E3524" s="35" t="str">
        <f t="shared" si="552"/>
        <v/>
      </c>
      <c r="F3524" s="31"/>
      <c r="G3524" s="29"/>
      <c r="H3524" s="78" t="str">
        <f t="shared" ref="H3524:H3587" si="556">IF(G3524&lt;&gt;"",F3524,"")</f>
        <v/>
      </c>
      <c r="I3524" s="25"/>
      <c r="J3524" s="25"/>
      <c r="K3524" s="26"/>
      <c r="L3524" s="26"/>
      <c r="M3524" s="37"/>
      <c r="N3524" s="27"/>
      <c r="O3524" s="30"/>
      <c r="P3524" s="39" t="str">
        <f t="shared" ref="P3524:P3587" si="557">IF(OR(T3524=0,RIGHT(T3524,1)=$W$1),"",VLOOKUP(K3524,$AD$1:$AK$15,5,FALSE))</f>
        <v/>
      </c>
      <c r="Q3524" s="40" t="str">
        <f>IF(OR(T3524=0,RIGHT(T3524,1)=$W$1),"",COUNTIF($T$3:T3524,T3524))</f>
        <v/>
      </c>
      <c r="S3524" s="6">
        <f t="shared" ref="S3524:S3587" si="558">IF(AND($C$1=K3524,$Y$1=YEAR(F3524)),C3524,0)</f>
        <v>0</v>
      </c>
      <c r="T3524" s="36">
        <f t="shared" ref="T3524:T3587" si="559">IF(F3524=0,0,YEAR(F3524)&amp;VLOOKUP(K3524,$AD$1:$AE$15,2,FALSE))</f>
        <v>0</v>
      </c>
      <c r="V3524" s="6">
        <f t="shared" ref="V3524:V3587" si="560">IF(AND(YEAR(F3524)=$Y$1,K3524=$C$1,L3524&amp;$V$1&lt;&gt;$V$1),L3524,IF(AND(YEAR(F3524)=$Y$1,K3524=$C$1),1,0))</f>
        <v>0</v>
      </c>
      <c r="Y3524" s="8">
        <f t="shared" ref="Y3524:Y3587" si="561">IF(M3524&lt;&gt;$AI$1,$Y$2,F3523)</f>
        <v>46023</v>
      </c>
    </row>
    <row r="3525" spans="2:25" ht="18.75" x14ac:dyDescent="0.3">
      <c r="B3525" s="6">
        <f t="shared" si="553"/>
        <v>0</v>
      </c>
      <c r="C3525" s="6">
        <f t="shared" si="554"/>
        <v>0</v>
      </c>
      <c r="D3525" s="6" t="str">
        <f t="shared" si="555"/>
        <v/>
      </c>
      <c r="E3525" s="35" t="str">
        <f t="shared" si="552"/>
        <v/>
      </c>
      <c r="F3525" s="31"/>
      <c r="G3525" s="29"/>
      <c r="H3525" s="78" t="str">
        <f t="shared" si="556"/>
        <v/>
      </c>
      <c r="I3525" s="25"/>
      <c r="J3525" s="25"/>
      <c r="K3525" s="26"/>
      <c r="L3525" s="26"/>
      <c r="M3525" s="37"/>
      <c r="N3525" s="27"/>
      <c r="O3525" s="30"/>
      <c r="P3525" s="39" t="str">
        <f t="shared" si="557"/>
        <v/>
      </c>
      <c r="Q3525" s="40" t="str">
        <f>IF(OR(T3525=0,RIGHT(T3525,1)=$W$1),"",COUNTIF($T$3:T3525,T3525))</f>
        <v/>
      </c>
      <c r="S3525" s="6">
        <f t="shared" si="558"/>
        <v>0</v>
      </c>
      <c r="T3525" s="36">
        <f t="shared" si="559"/>
        <v>0</v>
      </c>
      <c r="V3525" s="6">
        <f t="shared" si="560"/>
        <v>0</v>
      </c>
      <c r="Y3525" s="8">
        <f t="shared" si="561"/>
        <v>46023</v>
      </c>
    </row>
    <row r="3526" spans="2:25" ht="18.75" x14ac:dyDescent="0.3">
      <c r="B3526" s="6">
        <f t="shared" si="553"/>
        <v>0</v>
      </c>
      <c r="C3526" s="6">
        <f t="shared" si="554"/>
        <v>0</v>
      </c>
      <c r="D3526" s="6" t="str">
        <f t="shared" si="555"/>
        <v/>
      </c>
      <c r="E3526" s="35" t="str">
        <f t="shared" si="552"/>
        <v/>
      </c>
      <c r="F3526" s="31"/>
      <c r="G3526" s="29"/>
      <c r="H3526" s="78" t="str">
        <f t="shared" si="556"/>
        <v/>
      </c>
      <c r="I3526" s="25"/>
      <c r="J3526" s="25"/>
      <c r="K3526" s="26"/>
      <c r="L3526" s="26"/>
      <c r="M3526" s="37"/>
      <c r="N3526" s="27"/>
      <c r="O3526" s="30"/>
      <c r="P3526" s="39" t="str">
        <f t="shared" si="557"/>
        <v/>
      </c>
      <c r="Q3526" s="40" t="str">
        <f>IF(OR(T3526=0,RIGHT(T3526,1)=$W$1),"",COUNTIF($T$3:T3526,T3526))</f>
        <v/>
      </c>
      <c r="S3526" s="6">
        <f t="shared" si="558"/>
        <v>0</v>
      </c>
      <c r="T3526" s="36">
        <f t="shared" si="559"/>
        <v>0</v>
      </c>
      <c r="V3526" s="6">
        <f t="shared" si="560"/>
        <v>0</v>
      </c>
      <c r="Y3526" s="8">
        <f t="shared" si="561"/>
        <v>46023</v>
      </c>
    </row>
    <row r="3527" spans="2:25" ht="18.75" x14ac:dyDescent="0.3">
      <c r="B3527" s="6">
        <f t="shared" si="553"/>
        <v>0</v>
      </c>
      <c r="C3527" s="6">
        <f t="shared" si="554"/>
        <v>0</v>
      </c>
      <c r="D3527" s="6" t="str">
        <f t="shared" si="555"/>
        <v/>
      </c>
      <c r="E3527" s="35" t="str">
        <f t="shared" si="552"/>
        <v/>
      </c>
      <c r="F3527" s="31"/>
      <c r="G3527" s="29"/>
      <c r="H3527" s="78" t="str">
        <f t="shared" si="556"/>
        <v/>
      </c>
      <c r="I3527" s="25"/>
      <c r="J3527" s="25"/>
      <c r="K3527" s="26"/>
      <c r="L3527" s="26"/>
      <c r="M3527" s="37"/>
      <c r="N3527" s="27"/>
      <c r="O3527" s="30"/>
      <c r="P3527" s="39" t="str">
        <f t="shared" si="557"/>
        <v/>
      </c>
      <c r="Q3527" s="40" t="str">
        <f>IF(OR(T3527=0,RIGHT(T3527,1)=$W$1),"",COUNTIF($T$3:T3527,T3527))</f>
        <v/>
      </c>
      <c r="S3527" s="6">
        <f t="shared" si="558"/>
        <v>0</v>
      </c>
      <c r="T3527" s="36">
        <f t="shared" si="559"/>
        <v>0</v>
      </c>
      <c r="V3527" s="6">
        <f t="shared" si="560"/>
        <v>0</v>
      </c>
      <c r="Y3527" s="8">
        <f t="shared" si="561"/>
        <v>46023</v>
      </c>
    </row>
    <row r="3528" spans="2:25" ht="18.75" x14ac:dyDescent="0.3">
      <c r="B3528" s="6">
        <f t="shared" si="553"/>
        <v>0</v>
      </c>
      <c r="C3528" s="6">
        <f t="shared" si="554"/>
        <v>0</v>
      </c>
      <c r="D3528" s="6" t="str">
        <f t="shared" si="555"/>
        <v/>
      </c>
      <c r="E3528" s="35" t="str">
        <f t="shared" si="552"/>
        <v/>
      </c>
      <c r="F3528" s="31"/>
      <c r="G3528" s="29"/>
      <c r="H3528" s="78" t="str">
        <f t="shared" si="556"/>
        <v/>
      </c>
      <c r="I3528" s="25"/>
      <c r="J3528" s="25"/>
      <c r="K3528" s="26"/>
      <c r="L3528" s="26"/>
      <c r="M3528" s="37"/>
      <c r="N3528" s="27"/>
      <c r="O3528" s="30"/>
      <c r="P3528" s="39" t="str">
        <f t="shared" si="557"/>
        <v/>
      </c>
      <c r="Q3528" s="40" t="str">
        <f>IF(OR(T3528=0,RIGHT(T3528,1)=$W$1),"",COUNTIF($T$3:T3528,T3528))</f>
        <v/>
      </c>
      <c r="S3528" s="6">
        <f t="shared" si="558"/>
        <v>0</v>
      </c>
      <c r="T3528" s="36">
        <f t="shared" si="559"/>
        <v>0</v>
      </c>
      <c r="V3528" s="6">
        <f t="shared" si="560"/>
        <v>0</v>
      </c>
      <c r="Y3528" s="8">
        <f t="shared" si="561"/>
        <v>46023</v>
      </c>
    </row>
    <row r="3529" spans="2:25" ht="18.75" x14ac:dyDescent="0.3">
      <c r="B3529" s="6">
        <f t="shared" si="553"/>
        <v>0</v>
      </c>
      <c r="C3529" s="6">
        <f t="shared" si="554"/>
        <v>0</v>
      </c>
      <c r="D3529" s="6" t="str">
        <f t="shared" si="555"/>
        <v/>
      </c>
      <c r="E3529" s="35" t="str">
        <f t="shared" si="552"/>
        <v/>
      </c>
      <c r="F3529" s="31"/>
      <c r="G3529" s="29"/>
      <c r="H3529" s="78" t="str">
        <f t="shared" si="556"/>
        <v/>
      </c>
      <c r="I3529" s="25"/>
      <c r="J3529" s="25"/>
      <c r="K3529" s="26"/>
      <c r="L3529" s="26"/>
      <c r="M3529" s="37"/>
      <c r="N3529" s="27"/>
      <c r="O3529" s="30"/>
      <c r="P3529" s="39" t="str">
        <f t="shared" si="557"/>
        <v/>
      </c>
      <c r="Q3529" s="40" t="str">
        <f>IF(OR(T3529=0,RIGHT(T3529,1)=$W$1),"",COUNTIF($T$3:T3529,T3529))</f>
        <v/>
      </c>
      <c r="S3529" s="6">
        <f t="shared" si="558"/>
        <v>0</v>
      </c>
      <c r="T3529" s="36">
        <f t="shared" si="559"/>
        <v>0</v>
      </c>
      <c r="V3529" s="6">
        <f t="shared" si="560"/>
        <v>0</v>
      </c>
      <c r="Y3529" s="8">
        <f t="shared" si="561"/>
        <v>46023</v>
      </c>
    </row>
    <row r="3530" spans="2:25" ht="18.75" x14ac:dyDescent="0.3">
      <c r="B3530" s="6">
        <f t="shared" si="553"/>
        <v>0</v>
      </c>
      <c r="C3530" s="6">
        <f t="shared" si="554"/>
        <v>0</v>
      </c>
      <c r="D3530" s="6" t="str">
        <f t="shared" si="555"/>
        <v/>
      </c>
      <c r="E3530" s="35" t="str">
        <f t="shared" si="552"/>
        <v/>
      </c>
      <c r="F3530" s="31"/>
      <c r="G3530" s="29"/>
      <c r="H3530" s="78" t="str">
        <f t="shared" si="556"/>
        <v/>
      </c>
      <c r="I3530" s="25"/>
      <c r="J3530" s="25"/>
      <c r="K3530" s="26"/>
      <c r="L3530" s="26"/>
      <c r="M3530" s="37"/>
      <c r="N3530" s="27"/>
      <c r="O3530" s="30"/>
      <c r="P3530" s="39" t="str">
        <f t="shared" si="557"/>
        <v/>
      </c>
      <c r="Q3530" s="40" t="str">
        <f>IF(OR(T3530=0,RIGHT(T3530,1)=$W$1),"",COUNTIF($T$3:T3530,T3530))</f>
        <v/>
      </c>
      <c r="S3530" s="6">
        <f t="shared" si="558"/>
        <v>0</v>
      </c>
      <c r="T3530" s="36">
        <f t="shared" si="559"/>
        <v>0</v>
      </c>
      <c r="V3530" s="6">
        <f t="shared" si="560"/>
        <v>0</v>
      </c>
      <c r="Y3530" s="8">
        <f t="shared" si="561"/>
        <v>46023</v>
      </c>
    </row>
    <row r="3531" spans="2:25" ht="18.75" x14ac:dyDescent="0.3">
      <c r="B3531" s="6">
        <f t="shared" si="553"/>
        <v>0</v>
      </c>
      <c r="C3531" s="6">
        <f t="shared" si="554"/>
        <v>0</v>
      </c>
      <c r="D3531" s="6" t="str">
        <f t="shared" si="555"/>
        <v/>
      </c>
      <c r="E3531" s="35" t="str">
        <f t="shared" si="552"/>
        <v/>
      </c>
      <c r="F3531" s="31"/>
      <c r="G3531" s="29"/>
      <c r="H3531" s="78" t="str">
        <f t="shared" si="556"/>
        <v/>
      </c>
      <c r="I3531" s="25"/>
      <c r="J3531" s="25"/>
      <c r="K3531" s="26"/>
      <c r="L3531" s="26"/>
      <c r="M3531" s="37"/>
      <c r="N3531" s="27"/>
      <c r="O3531" s="30"/>
      <c r="P3531" s="39" t="str">
        <f t="shared" si="557"/>
        <v/>
      </c>
      <c r="Q3531" s="40" t="str">
        <f>IF(OR(T3531=0,RIGHT(T3531,1)=$W$1),"",COUNTIF($T$3:T3531,T3531))</f>
        <v/>
      </c>
      <c r="S3531" s="6">
        <f t="shared" si="558"/>
        <v>0</v>
      </c>
      <c r="T3531" s="36">
        <f t="shared" si="559"/>
        <v>0</v>
      </c>
      <c r="V3531" s="6">
        <f t="shared" si="560"/>
        <v>0</v>
      </c>
      <c r="Y3531" s="8">
        <f t="shared" si="561"/>
        <v>46023</v>
      </c>
    </row>
    <row r="3532" spans="2:25" ht="18.75" x14ac:dyDescent="0.3">
      <c r="B3532" s="6">
        <f t="shared" si="553"/>
        <v>0</v>
      </c>
      <c r="C3532" s="6">
        <f t="shared" si="554"/>
        <v>0</v>
      </c>
      <c r="D3532" s="6" t="str">
        <f t="shared" si="555"/>
        <v/>
      </c>
      <c r="E3532" s="35" t="str">
        <f t="shared" si="552"/>
        <v/>
      </c>
      <c r="F3532" s="31"/>
      <c r="G3532" s="29"/>
      <c r="H3532" s="78" t="str">
        <f t="shared" si="556"/>
        <v/>
      </c>
      <c r="I3532" s="25"/>
      <c r="J3532" s="25"/>
      <c r="K3532" s="26"/>
      <c r="L3532" s="26"/>
      <c r="M3532" s="37"/>
      <c r="N3532" s="27"/>
      <c r="O3532" s="30"/>
      <c r="P3532" s="39" t="str">
        <f t="shared" si="557"/>
        <v/>
      </c>
      <c r="Q3532" s="40" t="str">
        <f>IF(OR(T3532=0,RIGHT(T3532,1)=$W$1),"",COUNTIF($T$3:T3532,T3532))</f>
        <v/>
      </c>
      <c r="S3532" s="6">
        <f t="shared" si="558"/>
        <v>0</v>
      </c>
      <c r="T3532" s="36">
        <f t="shared" si="559"/>
        <v>0</v>
      </c>
      <c r="V3532" s="6">
        <f t="shared" si="560"/>
        <v>0</v>
      </c>
      <c r="Y3532" s="8">
        <f t="shared" si="561"/>
        <v>46023</v>
      </c>
    </row>
    <row r="3533" spans="2:25" ht="18.75" x14ac:dyDescent="0.3">
      <c r="B3533" s="6">
        <f t="shared" si="553"/>
        <v>0</v>
      </c>
      <c r="C3533" s="6">
        <f t="shared" si="554"/>
        <v>0</v>
      </c>
      <c r="D3533" s="6" t="str">
        <f t="shared" si="555"/>
        <v/>
      </c>
      <c r="E3533" s="35" t="str">
        <f t="shared" si="552"/>
        <v/>
      </c>
      <c r="F3533" s="31"/>
      <c r="G3533" s="29"/>
      <c r="H3533" s="78" t="str">
        <f t="shared" si="556"/>
        <v/>
      </c>
      <c r="I3533" s="25"/>
      <c r="J3533" s="25"/>
      <c r="K3533" s="26"/>
      <c r="L3533" s="26"/>
      <c r="M3533" s="37"/>
      <c r="N3533" s="27"/>
      <c r="O3533" s="30"/>
      <c r="P3533" s="39" t="str">
        <f t="shared" si="557"/>
        <v/>
      </c>
      <c r="Q3533" s="40" t="str">
        <f>IF(OR(T3533=0,RIGHT(T3533,1)=$W$1),"",COUNTIF($T$3:T3533,T3533))</f>
        <v/>
      </c>
      <c r="S3533" s="6">
        <f t="shared" si="558"/>
        <v>0</v>
      </c>
      <c r="T3533" s="36">
        <f t="shared" si="559"/>
        <v>0</v>
      </c>
      <c r="V3533" s="6">
        <f t="shared" si="560"/>
        <v>0</v>
      </c>
      <c r="Y3533" s="8">
        <f t="shared" si="561"/>
        <v>46023</v>
      </c>
    </row>
    <row r="3534" spans="2:25" ht="18.75" x14ac:dyDescent="0.3">
      <c r="B3534" s="6">
        <f t="shared" si="553"/>
        <v>0</v>
      </c>
      <c r="C3534" s="6">
        <f t="shared" si="554"/>
        <v>0</v>
      </c>
      <c r="D3534" s="6" t="str">
        <f t="shared" si="555"/>
        <v/>
      </c>
      <c r="E3534" s="35" t="str">
        <f t="shared" si="552"/>
        <v/>
      </c>
      <c r="F3534" s="31"/>
      <c r="G3534" s="29"/>
      <c r="H3534" s="78" t="str">
        <f t="shared" si="556"/>
        <v/>
      </c>
      <c r="I3534" s="25"/>
      <c r="J3534" s="25"/>
      <c r="K3534" s="26"/>
      <c r="L3534" s="26"/>
      <c r="M3534" s="37"/>
      <c r="N3534" s="27"/>
      <c r="O3534" s="30"/>
      <c r="P3534" s="39" t="str">
        <f t="shared" si="557"/>
        <v/>
      </c>
      <c r="Q3534" s="40" t="str">
        <f>IF(OR(T3534=0,RIGHT(T3534,1)=$W$1),"",COUNTIF($T$3:T3534,T3534))</f>
        <v/>
      </c>
      <c r="S3534" s="6">
        <f t="shared" si="558"/>
        <v>0</v>
      </c>
      <c r="T3534" s="36">
        <f t="shared" si="559"/>
        <v>0</v>
      </c>
      <c r="V3534" s="6">
        <f t="shared" si="560"/>
        <v>0</v>
      </c>
      <c r="Y3534" s="8">
        <f t="shared" si="561"/>
        <v>46023</v>
      </c>
    </row>
    <row r="3535" spans="2:25" ht="18.75" x14ac:dyDescent="0.3">
      <c r="B3535" s="6">
        <f t="shared" si="553"/>
        <v>0</v>
      </c>
      <c r="C3535" s="6">
        <f t="shared" si="554"/>
        <v>0</v>
      </c>
      <c r="D3535" s="6" t="str">
        <f t="shared" si="555"/>
        <v/>
      </c>
      <c r="E3535" s="35" t="str">
        <f t="shared" si="552"/>
        <v/>
      </c>
      <c r="F3535" s="31"/>
      <c r="G3535" s="29"/>
      <c r="H3535" s="78" t="str">
        <f t="shared" si="556"/>
        <v/>
      </c>
      <c r="I3535" s="25"/>
      <c r="J3535" s="25"/>
      <c r="K3535" s="26"/>
      <c r="L3535" s="26"/>
      <c r="M3535" s="37"/>
      <c r="N3535" s="27"/>
      <c r="O3535" s="30"/>
      <c r="P3535" s="39" t="str">
        <f t="shared" si="557"/>
        <v/>
      </c>
      <c r="Q3535" s="40" t="str">
        <f>IF(OR(T3535=0,RIGHT(T3535,1)=$W$1),"",COUNTIF($T$3:T3535,T3535))</f>
        <v/>
      </c>
      <c r="S3535" s="6">
        <f t="shared" si="558"/>
        <v>0</v>
      </c>
      <c r="T3535" s="36">
        <f t="shared" si="559"/>
        <v>0</v>
      </c>
      <c r="V3535" s="6">
        <f t="shared" si="560"/>
        <v>0</v>
      </c>
      <c r="Y3535" s="8">
        <f t="shared" si="561"/>
        <v>46023</v>
      </c>
    </row>
    <row r="3536" spans="2:25" ht="18.75" x14ac:dyDescent="0.3">
      <c r="B3536" s="6">
        <f t="shared" si="553"/>
        <v>0</v>
      </c>
      <c r="C3536" s="6">
        <f t="shared" si="554"/>
        <v>0</v>
      </c>
      <c r="D3536" s="6" t="str">
        <f t="shared" si="555"/>
        <v/>
      </c>
      <c r="E3536" s="35" t="str">
        <f t="shared" si="552"/>
        <v/>
      </c>
      <c r="F3536" s="31"/>
      <c r="G3536" s="29"/>
      <c r="H3536" s="78" t="str">
        <f t="shared" si="556"/>
        <v/>
      </c>
      <c r="I3536" s="25"/>
      <c r="J3536" s="25"/>
      <c r="K3536" s="26"/>
      <c r="L3536" s="26"/>
      <c r="M3536" s="37"/>
      <c r="N3536" s="27"/>
      <c r="O3536" s="30"/>
      <c r="P3536" s="39" t="str">
        <f t="shared" si="557"/>
        <v/>
      </c>
      <c r="Q3536" s="40" t="str">
        <f>IF(OR(T3536=0,RIGHT(T3536,1)=$W$1),"",COUNTIF($T$3:T3536,T3536))</f>
        <v/>
      </c>
      <c r="S3536" s="6">
        <f t="shared" si="558"/>
        <v>0</v>
      </c>
      <c r="T3536" s="36">
        <f t="shared" si="559"/>
        <v>0</v>
      </c>
      <c r="V3536" s="6">
        <f t="shared" si="560"/>
        <v>0</v>
      </c>
      <c r="Y3536" s="8">
        <f t="shared" si="561"/>
        <v>46023</v>
      </c>
    </row>
    <row r="3537" spans="2:25" ht="18.75" x14ac:dyDescent="0.3">
      <c r="B3537" s="6">
        <f t="shared" si="553"/>
        <v>0</v>
      </c>
      <c r="C3537" s="6">
        <f t="shared" si="554"/>
        <v>0</v>
      </c>
      <c r="D3537" s="6" t="str">
        <f t="shared" si="555"/>
        <v/>
      </c>
      <c r="E3537" s="35" t="str">
        <f t="shared" si="552"/>
        <v/>
      </c>
      <c r="F3537" s="31"/>
      <c r="G3537" s="29"/>
      <c r="H3537" s="78" t="str">
        <f t="shared" si="556"/>
        <v/>
      </c>
      <c r="I3537" s="25"/>
      <c r="J3537" s="25"/>
      <c r="K3537" s="26"/>
      <c r="L3537" s="26"/>
      <c r="M3537" s="37"/>
      <c r="N3537" s="27"/>
      <c r="O3537" s="30"/>
      <c r="P3537" s="39" t="str">
        <f t="shared" si="557"/>
        <v/>
      </c>
      <c r="Q3537" s="40" t="str">
        <f>IF(OR(T3537=0,RIGHT(T3537,1)=$W$1),"",COUNTIF($T$3:T3537,T3537))</f>
        <v/>
      </c>
      <c r="S3537" s="6">
        <f t="shared" si="558"/>
        <v>0</v>
      </c>
      <c r="T3537" s="36">
        <f t="shared" si="559"/>
        <v>0</v>
      </c>
      <c r="V3537" s="6">
        <f t="shared" si="560"/>
        <v>0</v>
      </c>
      <c r="Y3537" s="8">
        <f t="shared" si="561"/>
        <v>46023</v>
      </c>
    </row>
    <row r="3538" spans="2:25" ht="18.75" x14ac:dyDescent="0.3">
      <c r="B3538" s="6">
        <f t="shared" si="553"/>
        <v>0</v>
      </c>
      <c r="C3538" s="6">
        <f t="shared" si="554"/>
        <v>0</v>
      </c>
      <c r="D3538" s="6" t="str">
        <f t="shared" si="555"/>
        <v/>
      </c>
      <c r="E3538" s="35" t="str">
        <f t="shared" si="552"/>
        <v/>
      </c>
      <c r="F3538" s="31"/>
      <c r="G3538" s="29"/>
      <c r="H3538" s="78" t="str">
        <f t="shared" si="556"/>
        <v/>
      </c>
      <c r="I3538" s="25"/>
      <c r="J3538" s="25"/>
      <c r="K3538" s="26"/>
      <c r="L3538" s="26"/>
      <c r="M3538" s="37"/>
      <c r="N3538" s="27"/>
      <c r="O3538" s="30"/>
      <c r="P3538" s="39" t="str">
        <f t="shared" si="557"/>
        <v/>
      </c>
      <c r="Q3538" s="40" t="str">
        <f>IF(OR(T3538=0,RIGHT(T3538,1)=$W$1),"",COUNTIF($T$3:T3538,T3538))</f>
        <v/>
      </c>
      <c r="S3538" s="6">
        <f t="shared" si="558"/>
        <v>0</v>
      </c>
      <c r="T3538" s="36">
        <f t="shared" si="559"/>
        <v>0</v>
      </c>
      <c r="V3538" s="6">
        <f t="shared" si="560"/>
        <v>0</v>
      </c>
      <c r="Y3538" s="8">
        <f t="shared" si="561"/>
        <v>46023</v>
      </c>
    </row>
    <row r="3539" spans="2:25" ht="18.75" x14ac:dyDescent="0.3">
      <c r="B3539" s="6">
        <f t="shared" si="553"/>
        <v>0</v>
      </c>
      <c r="C3539" s="6">
        <f t="shared" si="554"/>
        <v>0</v>
      </c>
      <c r="D3539" s="6" t="str">
        <f t="shared" si="555"/>
        <v/>
      </c>
      <c r="E3539" s="35" t="str">
        <f t="shared" si="552"/>
        <v/>
      </c>
      <c r="F3539" s="31"/>
      <c r="G3539" s="29"/>
      <c r="H3539" s="78" t="str">
        <f t="shared" si="556"/>
        <v/>
      </c>
      <c r="I3539" s="25"/>
      <c r="J3539" s="25"/>
      <c r="K3539" s="26"/>
      <c r="L3539" s="26"/>
      <c r="M3539" s="37"/>
      <c r="N3539" s="27"/>
      <c r="O3539" s="30"/>
      <c r="P3539" s="39" t="str">
        <f t="shared" si="557"/>
        <v/>
      </c>
      <c r="Q3539" s="40" t="str">
        <f>IF(OR(T3539=0,RIGHT(T3539,1)=$W$1),"",COUNTIF($T$3:T3539,T3539))</f>
        <v/>
      </c>
      <c r="S3539" s="6">
        <f t="shared" si="558"/>
        <v>0</v>
      </c>
      <c r="T3539" s="36">
        <f t="shared" si="559"/>
        <v>0</v>
      </c>
      <c r="V3539" s="6">
        <f t="shared" si="560"/>
        <v>0</v>
      </c>
      <c r="Y3539" s="8">
        <f t="shared" si="561"/>
        <v>46023</v>
      </c>
    </row>
    <row r="3540" spans="2:25" ht="18.75" x14ac:dyDescent="0.3">
      <c r="B3540" s="6">
        <f t="shared" si="553"/>
        <v>0</v>
      </c>
      <c r="C3540" s="6">
        <f t="shared" si="554"/>
        <v>0</v>
      </c>
      <c r="D3540" s="6" t="str">
        <f t="shared" si="555"/>
        <v/>
      </c>
      <c r="E3540" s="35" t="str">
        <f t="shared" si="552"/>
        <v/>
      </c>
      <c r="F3540" s="31"/>
      <c r="G3540" s="29"/>
      <c r="H3540" s="78" t="str">
        <f t="shared" si="556"/>
        <v/>
      </c>
      <c r="I3540" s="25"/>
      <c r="J3540" s="25"/>
      <c r="K3540" s="26"/>
      <c r="L3540" s="26"/>
      <c r="M3540" s="37"/>
      <c r="N3540" s="27"/>
      <c r="O3540" s="30"/>
      <c r="P3540" s="39" t="str">
        <f t="shared" si="557"/>
        <v/>
      </c>
      <c r="Q3540" s="40" t="str">
        <f>IF(OR(T3540=0,RIGHT(T3540,1)=$W$1),"",COUNTIF($T$3:T3540,T3540))</f>
        <v/>
      </c>
      <c r="S3540" s="6">
        <f t="shared" si="558"/>
        <v>0</v>
      </c>
      <c r="T3540" s="36">
        <f t="shared" si="559"/>
        <v>0</v>
      </c>
      <c r="V3540" s="6">
        <f t="shared" si="560"/>
        <v>0</v>
      </c>
      <c r="Y3540" s="8">
        <f t="shared" si="561"/>
        <v>46023</v>
      </c>
    </row>
    <row r="3541" spans="2:25" ht="18.75" x14ac:dyDescent="0.3">
      <c r="B3541" s="6">
        <f t="shared" si="553"/>
        <v>0</v>
      </c>
      <c r="C3541" s="6">
        <f t="shared" si="554"/>
        <v>0</v>
      </c>
      <c r="D3541" s="6" t="str">
        <f t="shared" si="555"/>
        <v/>
      </c>
      <c r="E3541" s="35" t="str">
        <f t="shared" si="552"/>
        <v/>
      </c>
      <c r="F3541" s="31"/>
      <c r="G3541" s="29"/>
      <c r="H3541" s="78" t="str">
        <f t="shared" si="556"/>
        <v/>
      </c>
      <c r="I3541" s="25"/>
      <c r="J3541" s="25"/>
      <c r="K3541" s="26"/>
      <c r="L3541" s="26"/>
      <c r="M3541" s="37"/>
      <c r="N3541" s="27"/>
      <c r="O3541" s="30"/>
      <c r="P3541" s="39" t="str">
        <f t="shared" si="557"/>
        <v/>
      </c>
      <c r="Q3541" s="40" t="str">
        <f>IF(OR(T3541=0,RIGHT(T3541,1)=$W$1),"",COUNTIF($T$3:T3541,T3541))</f>
        <v/>
      </c>
      <c r="S3541" s="6">
        <f t="shared" si="558"/>
        <v>0</v>
      </c>
      <c r="T3541" s="36">
        <f t="shared" si="559"/>
        <v>0</v>
      </c>
      <c r="V3541" s="6">
        <f t="shared" si="560"/>
        <v>0</v>
      </c>
      <c r="Y3541" s="8">
        <f t="shared" si="561"/>
        <v>46023</v>
      </c>
    </row>
    <row r="3542" spans="2:25" ht="18.75" x14ac:dyDescent="0.3">
      <c r="B3542" s="6">
        <f t="shared" si="553"/>
        <v>0</v>
      </c>
      <c r="C3542" s="6">
        <f t="shared" si="554"/>
        <v>0</v>
      </c>
      <c r="D3542" s="6" t="str">
        <f t="shared" si="555"/>
        <v/>
      </c>
      <c r="E3542" s="35" t="str">
        <f t="shared" si="552"/>
        <v/>
      </c>
      <c r="F3542" s="31"/>
      <c r="G3542" s="29"/>
      <c r="H3542" s="78" t="str">
        <f t="shared" si="556"/>
        <v/>
      </c>
      <c r="I3542" s="25"/>
      <c r="J3542" s="25"/>
      <c r="K3542" s="26"/>
      <c r="L3542" s="26"/>
      <c r="M3542" s="37"/>
      <c r="N3542" s="27"/>
      <c r="O3542" s="30"/>
      <c r="P3542" s="39" t="str">
        <f t="shared" si="557"/>
        <v/>
      </c>
      <c r="Q3542" s="40" t="str">
        <f>IF(OR(T3542=0,RIGHT(T3542,1)=$W$1),"",COUNTIF($T$3:T3542,T3542))</f>
        <v/>
      </c>
      <c r="S3542" s="6">
        <f t="shared" si="558"/>
        <v>0</v>
      </c>
      <c r="T3542" s="36">
        <f t="shared" si="559"/>
        <v>0</v>
      </c>
      <c r="V3542" s="6">
        <f t="shared" si="560"/>
        <v>0</v>
      </c>
      <c r="Y3542" s="8">
        <f t="shared" si="561"/>
        <v>46023</v>
      </c>
    </row>
    <row r="3543" spans="2:25" ht="18.75" x14ac:dyDescent="0.3">
      <c r="B3543" s="6">
        <f t="shared" si="553"/>
        <v>0</v>
      </c>
      <c r="C3543" s="6">
        <f t="shared" si="554"/>
        <v>0</v>
      </c>
      <c r="D3543" s="6" t="str">
        <f t="shared" si="555"/>
        <v/>
      </c>
      <c r="E3543" s="35" t="str">
        <f t="shared" si="552"/>
        <v/>
      </c>
      <c r="F3543" s="31"/>
      <c r="G3543" s="29"/>
      <c r="H3543" s="78" t="str">
        <f t="shared" si="556"/>
        <v/>
      </c>
      <c r="I3543" s="25"/>
      <c r="J3543" s="25"/>
      <c r="K3543" s="26"/>
      <c r="L3543" s="26"/>
      <c r="M3543" s="37"/>
      <c r="N3543" s="27"/>
      <c r="O3543" s="30"/>
      <c r="P3543" s="39" t="str">
        <f t="shared" si="557"/>
        <v/>
      </c>
      <c r="Q3543" s="40" t="str">
        <f>IF(OR(T3543=0,RIGHT(T3543,1)=$W$1),"",COUNTIF($T$3:T3543,T3543))</f>
        <v/>
      </c>
      <c r="S3543" s="6">
        <f t="shared" si="558"/>
        <v>0</v>
      </c>
      <c r="T3543" s="36">
        <f t="shared" si="559"/>
        <v>0</v>
      </c>
      <c r="V3543" s="6">
        <f t="shared" si="560"/>
        <v>0</v>
      </c>
      <c r="Y3543" s="8">
        <f t="shared" si="561"/>
        <v>46023</v>
      </c>
    </row>
    <row r="3544" spans="2:25" ht="18.75" x14ac:dyDescent="0.3">
      <c r="B3544" s="6">
        <f t="shared" si="553"/>
        <v>0</v>
      </c>
      <c r="C3544" s="6">
        <f t="shared" si="554"/>
        <v>0</v>
      </c>
      <c r="D3544" s="6" t="str">
        <f t="shared" si="555"/>
        <v/>
      </c>
      <c r="E3544" s="35" t="str">
        <f t="shared" si="552"/>
        <v/>
      </c>
      <c r="F3544" s="31"/>
      <c r="G3544" s="29"/>
      <c r="H3544" s="78" t="str">
        <f t="shared" si="556"/>
        <v/>
      </c>
      <c r="I3544" s="25"/>
      <c r="J3544" s="25"/>
      <c r="K3544" s="26"/>
      <c r="L3544" s="26"/>
      <c r="M3544" s="37"/>
      <c r="N3544" s="27"/>
      <c r="O3544" s="30"/>
      <c r="P3544" s="39" t="str">
        <f t="shared" si="557"/>
        <v/>
      </c>
      <c r="Q3544" s="40" t="str">
        <f>IF(OR(T3544=0,RIGHT(T3544,1)=$W$1),"",COUNTIF($T$3:T3544,T3544))</f>
        <v/>
      </c>
      <c r="S3544" s="6">
        <f t="shared" si="558"/>
        <v>0</v>
      </c>
      <c r="T3544" s="36">
        <f t="shared" si="559"/>
        <v>0</v>
      </c>
      <c r="V3544" s="6">
        <f t="shared" si="560"/>
        <v>0</v>
      </c>
      <c r="Y3544" s="8">
        <f t="shared" si="561"/>
        <v>46023</v>
      </c>
    </row>
    <row r="3545" spans="2:25" ht="18.75" x14ac:dyDescent="0.3">
      <c r="B3545" s="6">
        <f t="shared" si="553"/>
        <v>0</v>
      </c>
      <c r="C3545" s="6">
        <f t="shared" si="554"/>
        <v>0</v>
      </c>
      <c r="D3545" s="6" t="str">
        <f t="shared" si="555"/>
        <v/>
      </c>
      <c r="E3545" s="35" t="str">
        <f t="shared" si="552"/>
        <v/>
      </c>
      <c r="F3545" s="31"/>
      <c r="G3545" s="29"/>
      <c r="H3545" s="78" t="str">
        <f t="shared" si="556"/>
        <v/>
      </c>
      <c r="I3545" s="25"/>
      <c r="J3545" s="25"/>
      <c r="K3545" s="26"/>
      <c r="L3545" s="26"/>
      <c r="M3545" s="37"/>
      <c r="N3545" s="27"/>
      <c r="O3545" s="30"/>
      <c r="P3545" s="39" t="str">
        <f t="shared" si="557"/>
        <v/>
      </c>
      <c r="Q3545" s="40" t="str">
        <f>IF(OR(T3545=0,RIGHT(T3545,1)=$W$1),"",COUNTIF($T$3:T3545,T3545))</f>
        <v/>
      </c>
      <c r="S3545" s="6">
        <f t="shared" si="558"/>
        <v>0</v>
      </c>
      <c r="T3545" s="36">
        <f t="shared" si="559"/>
        <v>0</v>
      </c>
      <c r="V3545" s="6">
        <f t="shared" si="560"/>
        <v>0</v>
      </c>
      <c r="Y3545" s="8">
        <f t="shared" si="561"/>
        <v>46023</v>
      </c>
    </row>
    <row r="3546" spans="2:25" ht="18.75" x14ac:dyDescent="0.3">
      <c r="B3546" s="6">
        <f t="shared" si="553"/>
        <v>0</v>
      </c>
      <c r="C3546" s="6">
        <f t="shared" si="554"/>
        <v>0</v>
      </c>
      <c r="D3546" s="6" t="str">
        <f t="shared" si="555"/>
        <v/>
      </c>
      <c r="E3546" s="35" t="str">
        <f t="shared" si="552"/>
        <v/>
      </c>
      <c r="F3546" s="31"/>
      <c r="G3546" s="29"/>
      <c r="H3546" s="78" t="str">
        <f t="shared" si="556"/>
        <v/>
      </c>
      <c r="I3546" s="25"/>
      <c r="J3546" s="25"/>
      <c r="K3546" s="26"/>
      <c r="L3546" s="26"/>
      <c r="M3546" s="37"/>
      <c r="N3546" s="27"/>
      <c r="O3546" s="30"/>
      <c r="P3546" s="39" t="str">
        <f t="shared" si="557"/>
        <v/>
      </c>
      <c r="Q3546" s="40" t="str">
        <f>IF(OR(T3546=0,RIGHT(T3546,1)=$W$1),"",COUNTIF($T$3:T3546,T3546))</f>
        <v/>
      </c>
      <c r="S3546" s="6">
        <f t="shared" si="558"/>
        <v>0</v>
      </c>
      <c r="T3546" s="36">
        <f t="shared" si="559"/>
        <v>0</v>
      </c>
      <c r="V3546" s="6">
        <f t="shared" si="560"/>
        <v>0</v>
      </c>
      <c r="Y3546" s="8">
        <f t="shared" si="561"/>
        <v>46023</v>
      </c>
    </row>
    <row r="3547" spans="2:25" ht="18.75" x14ac:dyDescent="0.3">
      <c r="B3547" s="6">
        <f t="shared" si="553"/>
        <v>0</v>
      </c>
      <c r="C3547" s="6">
        <f t="shared" si="554"/>
        <v>0</v>
      </c>
      <c r="D3547" s="6" t="str">
        <f t="shared" si="555"/>
        <v/>
      </c>
      <c r="E3547" s="35" t="str">
        <f t="shared" si="552"/>
        <v/>
      </c>
      <c r="F3547" s="31"/>
      <c r="G3547" s="29"/>
      <c r="H3547" s="78" t="str">
        <f t="shared" si="556"/>
        <v/>
      </c>
      <c r="I3547" s="25"/>
      <c r="J3547" s="25"/>
      <c r="K3547" s="26"/>
      <c r="L3547" s="26"/>
      <c r="M3547" s="37"/>
      <c r="N3547" s="27"/>
      <c r="O3547" s="30"/>
      <c r="P3547" s="39" t="str">
        <f t="shared" si="557"/>
        <v/>
      </c>
      <c r="Q3547" s="40" t="str">
        <f>IF(OR(T3547=0,RIGHT(T3547,1)=$W$1),"",COUNTIF($T$3:T3547,T3547))</f>
        <v/>
      </c>
      <c r="S3547" s="6">
        <f t="shared" si="558"/>
        <v>0</v>
      </c>
      <c r="T3547" s="36">
        <f t="shared" si="559"/>
        <v>0</v>
      </c>
      <c r="V3547" s="6">
        <f t="shared" si="560"/>
        <v>0</v>
      </c>
      <c r="Y3547" s="8">
        <f t="shared" si="561"/>
        <v>46023</v>
      </c>
    </row>
    <row r="3548" spans="2:25" ht="18.75" x14ac:dyDescent="0.3">
      <c r="B3548" s="6">
        <f t="shared" si="553"/>
        <v>0</v>
      </c>
      <c r="C3548" s="6">
        <f t="shared" si="554"/>
        <v>0</v>
      </c>
      <c r="D3548" s="6" t="str">
        <f t="shared" si="555"/>
        <v/>
      </c>
      <c r="E3548" s="35" t="str">
        <f t="shared" si="552"/>
        <v/>
      </c>
      <c r="F3548" s="31"/>
      <c r="G3548" s="29"/>
      <c r="H3548" s="78" t="str">
        <f t="shared" si="556"/>
        <v/>
      </c>
      <c r="I3548" s="25"/>
      <c r="J3548" s="25"/>
      <c r="K3548" s="26"/>
      <c r="L3548" s="26"/>
      <c r="M3548" s="37"/>
      <c r="N3548" s="27"/>
      <c r="O3548" s="30"/>
      <c r="P3548" s="39" t="str">
        <f t="shared" si="557"/>
        <v/>
      </c>
      <c r="Q3548" s="40" t="str">
        <f>IF(OR(T3548=0,RIGHT(T3548,1)=$W$1),"",COUNTIF($T$3:T3548,T3548))</f>
        <v/>
      </c>
      <c r="S3548" s="6">
        <f t="shared" si="558"/>
        <v>0</v>
      </c>
      <c r="T3548" s="36">
        <f t="shared" si="559"/>
        <v>0</v>
      </c>
      <c r="V3548" s="6">
        <f t="shared" si="560"/>
        <v>0</v>
      </c>
      <c r="Y3548" s="8">
        <f t="shared" si="561"/>
        <v>46023</v>
      </c>
    </row>
    <row r="3549" spans="2:25" ht="18.75" x14ac:dyDescent="0.3">
      <c r="B3549" s="6">
        <f t="shared" si="553"/>
        <v>0</v>
      </c>
      <c r="C3549" s="6">
        <f t="shared" si="554"/>
        <v>0</v>
      </c>
      <c r="D3549" s="6" t="str">
        <f t="shared" si="555"/>
        <v/>
      </c>
      <c r="E3549" s="35" t="str">
        <f t="shared" si="552"/>
        <v/>
      </c>
      <c r="F3549" s="31"/>
      <c r="G3549" s="29"/>
      <c r="H3549" s="78" t="str">
        <f t="shared" si="556"/>
        <v/>
      </c>
      <c r="I3549" s="25"/>
      <c r="J3549" s="25"/>
      <c r="K3549" s="26"/>
      <c r="L3549" s="26"/>
      <c r="M3549" s="37"/>
      <c r="N3549" s="27"/>
      <c r="O3549" s="30"/>
      <c r="P3549" s="39" t="str">
        <f t="shared" si="557"/>
        <v/>
      </c>
      <c r="Q3549" s="40" t="str">
        <f>IF(OR(T3549=0,RIGHT(T3549,1)=$W$1),"",COUNTIF($T$3:T3549,T3549))</f>
        <v/>
      </c>
      <c r="S3549" s="6">
        <f t="shared" si="558"/>
        <v>0</v>
      </c>
      <c r="T3549" s="36">
        <f t="shared" si="559"/>
        <v>0</v>
      </c>
      <c r="V3549" s="6">
        <f t="shared" si="560"/>
        <v>0</v>
      </c>
      <c r="Y3549" s="8">
        <f t="shared" si="561"/>
        <v>46023</v>
      </c>
    </row>
    <row r="3550" spans="2:25" ht="18.75" x14ac:dyDescent="0.3">
      <c r="B3550" s="6">
        <f t="shared" si="553"/>
        <v>0</v>
      </c>
      <c r="C3550" s="6">
        <f t="shared" si="554"/>
        <v>0</v>
      </c>
      <c r="D3550" s="6" t="str">
        <f t="shared" si="555"/>
        <v/>
      </c>
      <c r="E3550" s="35" t="str">
        <f t="shared" si="552"/>
        <v/>
      </c>
      <c r="F3550" s="31"/>
      <c r="G3550" s="29"/>
      <c r="H3550" s="78" t="str">
        <f t="shared" si="556"/>
        <v/>
      </c>
      <c r="I3550" s="25"/>
      <c r="J3550" s="25"/>
      <c r="K3550" s="26"/>
      <c r="L3550" s="26"/>
      <c r="M3550" s="37"/>
      <c r="N3550" s="27"/>
      <c r="O3550" s="30"/>
      <c r="P3550" s="39" t="str">
        <f t="shared" si="557"/>
        <v/>
      </c>
      <c r="Q3550" s="40" t="str">
        <f>IF(OR(T3550=0,RIGHT(T3550,1)=$W$1),"",COUNTIF($T$3:T3550,T3550))</f>
        <v/>
      </c>
      <c r="S3550" s="6">
        <f t="shared" si="558"/>
        <v>0</v>
      </c>
      <c r="T3550" s="36">
        <f t="shared" si="559"/>
        <v>0</v>
      </c>
      <c r="V3550" s="6">
        <f t="shared" si="560"/>
        <v>0</v>
      </c>
      <c r="Y3550" s="8">
        <f t="shared" si="561"/>
        <v>46023</v>
      </c>
    </row>
    <row r="3551" spans="2:25" ht="18.75" x14ac:dyDescent="0.3">
      <c r="B3551" s="6">
        <f t="shared" si="553"/>
        <v>0</v>
      </c>
      <c r="C3551" s="6">
        <f t="shared" si="554"/>
        <v>0</v>
      </c>
      <c r="D3551" s="6" t="str">
        <f t="shared" si="555"/>
        <v/>
      </c>
      <c r="E3551" s="35" t="str">
        <f t="shared" si="552"/>
        <v/>
      </c>
      <c r="F3551" s="31"/>
      <c r="G3551" s="29"/>
      <c r="H3551" s="78" t="str">
        <f t="shared" si="556"/>
        <v/>
      </c>
      <c r="I3551" s="25"/>
      <c r="J3551" s="25"/>
      <c r="K3551" s="26"/>
      <c r="L3551" s="26"/>
      <c r="M3551" s="37"/>
      <c r="N3551" s="27"/>
      <c r="O3551" s="30"/>
      <c r="P3551" s="39" t="str">
        <f t="shared" si="557"/>
        <v/>
      </c>
      <c r="Q3551" s="40" t="str">
        <f>IF(OR(T3551=0,RIGHT(T3551,1)=$W$1),"",COUNTIF($T$3:T3551,T3551))</f>
        <v/>
      </c>
      <c r="S3551" s="6">
        <f t="shared" si="558"/>
        <v>0</v>
      </c>
      <c r="T3551" s="36">
        <f t="shared" si="559"/>
        <v>0</v>
      </c>
      <c r="V3551" s="6">
        <f t="shared" si="560"/>
        <v>0</v>
      </c>
      <c r="Y3551" s="8">
        <f t="shared" si="561"/>
        <v>46023</v>
      </c>
    </row>
    <row r="3552" spans="2:25" ht="18.75" x14ac:dyDescent="0.3">
      <c r="B3552" s="6">
        <f t="shared" si="553"/>
        <v>0</v>
      </c>
      <c r="C3552" s="6">
        <f t="shared" si="554"/>
        <v>0</v>
      </c>
      <c r="D3552" s="6" t="str">
        <f t="shared" si="555"/>
        <v/>
      </c>
      <c r="E3552" s="35" t="str">
        <f t="shared" si="552"/>
        <v/>
      </c>
      <c r="F3552" s="31"/>
      <c r="G3552" s="29"/>
      <c r="H3552" s="78" t="str">
        <f t="shared" si="556"/>
        <v/>
      </c>
      <c r="I3552" s="25"/>
      <c r="J3552" s="25"/>
      <c r="K3552" s="26"/>
      <c r="L3552" s="26"/>
      <c r="M3552" s="37"/>
      <c r="N3552" s="27"/>
      <c r="O3552" s="30"/>
      <c r="P3552" s="39" t="str">
        <f t="shared" si="557"/>
        <v/>
      </c>
      <c r="Q3552" s="40" t="str">
        <f>IF(OR(T3552=0,RIGHT(T3552,1)=$W$1),"",COUNTIF($T$3:T3552,T3552))</f>
        <v/>
      </c>
      <c r="S3552" s="6">
        <f t="shared" si="558"/>
        <v>0</v>
      </c>
      <c r="T3552" s="36">
        <f t="shared" si="559"/>
        <v>0</v>
      </c>
      <c r="V3552" s="6">
        <f t="shared" si="560"/>
        <v>0</v>
      </c>
      <c r="Y3552" s="8">
        <f t="shared" si="561"/>
        <v>46023</v>
      </c>
    </row>
    <row r="3553" spans="2:25" ht="18.75" x14ac:dyDescent="0.3">
      <c r="B3553" s="6">
        <f t="shared" si="553"/>
        <v>0</v>
      </c>
      <c r="C3553" s="6">
        <f t="shared" si="554"/>
        <v>0</v>
      </c>
      <c r="D3553" s="6" t="str">
        <f t="shared" si="555"/>
        <v/>
      </c>
      <c r="E3553" s="35" t="str">
        <f t="shared" si="552"/>
        <v/>
      </c>
      <c r="F3553" s="31"/>
      <c r="G3553" s="29"/>
      <c r="H3553" s="78" t="str">
        <f t="shared" si="556"/>
        <v/>
      </c>
      <c r="I3553" s="25"/>
      <c r="J3553" s="25"/>
      <c r="K3553" s="26"/>
      <c r="L3553" s="26"/>
      <c r="M3553" s="37"/>
      <c r="N3553" s="27"/>
      <c r="O3553" s="30"/>
      <c r="P3553" s="39" t="str">
        <f t="shared" si="557"/>
        <v/>
      </c>
      <c r="Q3553" s="40" t="str">
        <f>IF(OR(T3553=0,RIGHT(T3553,1)=$W$1),"",COUNTIF($T$3:T3553,T3553))</f>
        <v/>
      </c>
      <c r="S3553" s="6">
        <f t="shared" si="558"/>
        <v>0</v>
      </c>
      <c r="T3553" s="36">
        <f t="shared" si="559"/>
        <v>0</v>
      </c>
      <c r="V3553" s="6">
        <f t="shared" si="560"/>
        <v>0</v>
      </c>
      <c r="Y3553" s="8">
        <f t="shared" si="561"/>
        <v>46023</v>
      </c>
    </row>
    <row r="3554" spans="2:25" ht="18.75" x14ac:dyDescent="0.3">
      <c r="B3554" s="6">
        <f t="shared" si="553"/>
        <v>0</v>
      </c>
      <c r="C3554" s="6">
        <f t="shared" si="554"/>
        <v>0</v>
      </c>
      <c r="D3554" s="6" t="str">
        <f t="shared" si="555"/>
        <v/>
      </c>
      <c r="E3554" s="35" t="str">
        <f t="shared" si="552"/>
        <v/>
      </c>
      <c r="F3554" s="31"/>
      <c r="G3554" s="29"/>
      <c r="H3554" s="78" t="str">
        <f t="shared" si="556"/>
        <v/>
      </c>
      <c r="I3554" s="25"/>
      <c r="J3554" s="25"/>
      <c r="K3554" s="26"/>
      <c r="L3554" s="26"/>
      <c r="M3554" s="37"/>
      <c r="N3554" s="27"/>
      <c r="O3554" s="30"/>
      <c r="P3554" s="39" t="str">
        <f t="shared" si="557"/>
        <v/>
      </c>
      <c r="Q3554" s="40" t="str">
        <f>IF(OR(T3554=0,RIGHT(T3554,1)=$W$1),"",COUNTIF($T$3:T3554,T3554))</f>
        <v/>
      </c>
      <c r="S3554" s="6">
        <f t="shared" si="558"/>
        <v>0</v>
      </c>
      <c r="T3554" s="36">
        <f t="shared" si="559"/>
        <v>0</v>
      </c>
      <c r="V3554" s="6">
        <f t="shared" si="560"/>
        <v>0</v>
      </c>
      <c r="Y3554" s="8">
        <f t="shared" si="561"/>
        <v>46023</v>
      </c>
    </row>
    <row r="3555" spans="2:25" ht="18.75" x14ac:dyDescent="0.3">
      <c r="B3555" s="6">
        <f t="shared" si="553"/>
        <v>0</v>
      </c>
      <c r="C3555" s="6">
        <f t="shared" si="554"/>
        <v>0</v>
      </c>
      <c r="D3555" s="6" t="str">
        <f t="shared" si="555"/>
        <v/>
      </c>
      <c r="E3555" s="35" t="str">
        <f t="shared" si="552"/>
        <v/>
      </c>
      <c r="F3555" s="31"/>
      <c r="G3555" s="29"/>
      <c r="H3555" s="78" t="str">
        <f t="shared" si="556"/>
        <v/>
      </c>
      <c r="I3555" s="25"/>
      <c r="J3555" s="25"/>
      <c r="K3555" s="26"/>
      <c r="L3555" s="26"/>
      <c r="M3555" s="37"/>
      <c r="N3555" s="27"/>
      <c r="O3555" s="30"/>
      <c r="P3555" s="39" t="str">
        <f t="shared" si="557"/>
        <v/>
      </c>
      <c r="Q3555" s="40" t="str">
        <f>IF(OR(T3555=0,RIGHT(T3555,1)=$W$1),"",COUNTIF($T$3:T3555,T3555))</f>
        <v/>
      </c>
      <c r="S3555" s="6">
        <f t="shared" si="558"/>
        <v>0</v>
      </c>
      <c r="T3555" s="36">
        <f t="shared" si="559"/>
        <v>0</v>
      </c>
      <c r="V3555" s="6">
        <f t="shared" si="560"/>
        <v>0</v>
      </c>
      <c r="Y3555" s="8">
        <f t="shared" si="561"/>
        <v>46023</v>
      </c>
    </row>
    <row r="3556" spans="2:25" ht="18.75" x14ac:dyDescent="0.3">
      <c r="B3556" s="6">
        <f t="shared" si="553"/>
        <v>0</v>
      </c>
      <c r="C3556" s="6">
        <f t="shared" si="554"/>
        <v>0</v>
      </c>
      <c r="D3556" s="6" t="str">
        <f t="shared" si="555"/>
        <v/>
      </c>
      <c r="E3556" s="35" t="str">
        <f t="shared" si="552"/>
        <v/>
      </c>
      <c r="F3556" s="31"/>
      <c r="G3556" s="29"/>
      <c r="H3556" s="78" t="str">
        <f t="shared" si="556"/>
        <v/>
      </c>
      <c r="I3556" s="25"/>
      <c r="J3556" s="25"/>
      <c r="K3556" s="26"/>
      <c r="L3556" s="26"/>
      <c r="M3556" s="37"/>
      <c r="N3556" s="27"/>
      <c r="O3556" s="30"/>
      <c r="P3556" s="39" t="str">
        <f t="shared" si="557"/>
        <v/>
      </c>
      <c r="Q3556" s="40" t="str">
        <f>IF(OR(T3556=0,RIGHT(T3556,1)=$W$1),"",COUNTIF($T$3:T3556,T3556))</f>
        <v/>
      </c>
      <c r="S3556" s="6">
        <f t="shared" si="558"/>
        <v>0</v>
      </c>
      <c r="T3556" s="36">
        <f t="shared" si="559"/>
        <v>0</v>
      </c>
      <c r="V3556" s="6">
        <f t="shared" si="560"/>
        <v>0</v>
      </c>
      <c r="Y3556" s="8">
        <f t="shared" si="561"/>
        <v>46023</v>
      </c>
    </row>
    <row r="3557" spans="2:25" ht="18.75" x14ac:dyDescent="0.3">
      <c r="B3557" s="6">
        <f t="shared" si="553"/>
        <v>0</v>
      </c>
      <c r="C3557" s="6">
        <f t="shared" si="554"/>
        <v>0</v>
      </c>
      <c r="D3557" s="6" t="str">
        <f t="shared" si="555"/>
        <v/>
      </c>
      <c r="E3557" s="35" t="str">
        <f t="shared" si="552"/>
        <v/>
      </c>
      <c r="F3557" s="31"/>
      <c r="G3557" s="29"/>
      <c r="H3557" s="78" t="str">
        <f t="shared" si="556"/>
        <v/>
      </c>
      <c r="I3557" s="25"/>
      <c r="J3557" s="25"/>
      <c r="K3557" s="26"/>
      <c r="L3557" s="26"/>
      <c r="M3557" s="37"/>
      <c r="N3557" s="27"/>
      <c r="O3557" s="30"/>
      <c r="P3557" s="39" t="str">
        <f t="shared" si="557"/>
        <v/>
      </c>
      <c r="Q3557" s="40" t="str">
        <f>IF(OR(T3557=0,RIGHT(T3557,1)=$W$1),"",COUNTIF($T$3:T3557,T3557))</f>
        <v/>
      </c>
      <c r="S3557" s="6">
        <f t="shared" si="558"/>
        <v>0</v>
      </c>
      <c r="T3557" s="36">
        <f t="shared" si="559"/>
        <v>0</v>
      </c>
      <c r="V3557" s="6">
        <f t="shared" si="560"/>
        <v>0</v>
      </c>
      <c r="Y3557" s="8">
        <f t="shared" si="561"/>
        <v>46023</v>
      </c>
    </row>
    <row r="3558" spans="2:25" ht="18.75" x14ac:dyDescent="0.3">
      <c r="B3558" s="6">
        <f t="shared" si="553"/>
        <v>0</v>
      </c>
      <c r="C3558" s="6">
        <f t="shared" si="554"/>
        <v>0</v>
      </c>
      <c r="D3558" s="6" t="str">
        <f t="shared" si="555"/>
        <v/>
      </c>
      <c r="E3558" s="35" t="str">
        <f t="shared" si="552"/>
        <v/>
      </c>
      <c r="F3558" s="31"/>
      <c r="G3558" s="29"/>
      <c r="H3558" s="78" t="str">
        <f t="shared" si="556"/>
        <v/>
      </c>
      <c r="I3558" s="25"/>
      <c r="J3558" s="25"/>
      <c r="K3558" s="26"/>
      <c r="L3558" s="26"/>
      <c r="M3558" s="37"/>
      <c r="N3558" s="27"/>
      <c r="O3558" s="30"/>
      <c r="P3558" s="39" t="str">
        <f t="shared" si="557"/>
        <v/>
      </c>
      <c r="Q3558" s="40" t="str">
        <f>IF(OR(T3558=0,RIGHT(T3558,1)=$W$1),"",COUNTIF($T$3:T3558,T3558))</f>
        <v/>
      </c>
      <c r="S3558" s="6">
        <f t="shared" si="558"/>
        <v>0</v>
      </c>
      <c r="T3558" s="36">
        <f t="shared" si="559"/>
        <v>0</v>
      </c>
      <c r="V3558" s="6">
        <f t="shared" si="560"/>
        <v>0</v>
      </c>
      <c r="Y3558" s="8">
        <f t="shared" si="561"/>
        <v>46023</v>
      </c>
    </row>
    <row r="3559" spans="2:25" ht="18.75" x14ac:dyDescent="0.3">
      <c r="B3559" s="6">
        <f t="shared" si="553"/>
        <v>0</v>
      </c>
      <c r="C3559" s="6">
        <f t="shared" si="554"/>
        <v>0</v>
      </c>
      <c r="D3559" s="6" t="str">
        <f t="shared" si="555"/>
        <v/>
      </c>
      <c r="E3559" s="35" t="str">
        <f t="shared" si="552"/>
        <v/>
      </c>
      <c r="F3559" s="31"/>
      <c r="G3559" s="29"/>
      <c r="H3559" s="78" t="str">
        <f t="shared" si="556"/>
        <v/>
      </c>
      <c r="I3559" s="25"/>
      <c r="J3559" s="25"/>
      <c r="K3559" s="26"/>
      <c r="L3559" s="26"/>
      <c r="M3559" s="37"/>
      <c r="N3559" s="27"/>
      <c r="O3559" s="30"/>
      <c r="P3559" s="39" t="str">
        <f t="shared" si="557"/>
        <v/>
      </c>
      <c r="Q3559" s="40" t="str">
        <f>IF(OR(T3559=0,RIGHT(T3559,1)=$W$1),"",COUNTIF($T$3:T3559,T3559))</f>
        <v/>
      </c>
      <c r="S3559" s="6">
        <f t="shared" si="558"/>
        <v>0</v>
      </c>
      <c r="T3559" s="36">
        <f t="shared" si="559"/>
        <v>0</v>
      </c>
      <c r="V3559" s="6">
        <f t="shared" si="560"/>
        <v>0</v>
      </c>
      <c r="Y3559" s="8">
        <f t="shared" si="561"/>
        <v>46023</v>
      </c>
    </row>
    <row r="3560" spans="2:25" ht="18.75" x14ac:dyDescent="0.3">
      <c r="B3560" s="6">
        <f t="shared" si="553"/>
        <v>0</v>
      </c>
      <c r="C3560" s="6">
        <f t="shared" si="554"/>
        <v>0</v>
      </c>
      <c r="D3560" s="6" t="str">
        <f t="shared" si="555"/>
        <v/>
      </c>
      <c r="E3560" s="35" t="str">
        <f t="shared" si="552"/>
        <v/>
      </c>
      <c r="F3560" s="31"/>
      <c r="G3560" s="29"/>
      <c r="H3560" s="78" t="str">
        <f t="shared" si="556"/>
        <v/>
      </c>
      <c r="I3560" s="25"/>
      <c r="J3560" s="25"/>
      <c r="K3560" s="26"/>
      <c r="L3560" s="26"/>
      <c r="M3560" s="37"/>
      <c r="N3560" s="27"/>
      <c r="O3560" s="30"/>
      <c r="P3560" s="39" t="str">
        <f t="shared" si="557"/>
        <v/>
      </c>
      <c r="Q3560" s="40" t="str">
        <f>IF(OR(T3560=0,RIGHT(T3560,1)=$W$1),"",COUNTIF($T$3:T3560,T3560))</f>
        <v/>
      </c>
      <c r="S3560" s="6">
        <f t="shared" si="558"/>
        <v>0</v>
      </c>
      <c r="T3560" s="36">
        <f t="shared" si="559"/>
        <v>0</v>
      </c>
      <c r="V3560" s="6">
        <f t="shared" si="560"/>
        <v>0</v>
      </c>
      <c r="Y3560" s="8">
        <f t="shared" si="561"/>
        <v>46023</v>
      </c>
    </row>
    <row r="3561" spans="2:25" ht="18.75" x14ac:dyDescent="0.3">
      <c r="B3561" s="6">
        <f t="shared" si="553"/>
        <v>0</v>
      </c>
      <c r="C3561" s="6">
        <f t="shared" si="554"/>
        <v>0</v>
      </c>
      <c r="D3561" s="6" t="str">
        <f t="shared" si="555"/>
        <v/>
      </c>
      <c r="E3561" s="35" t="str">
        <f t="shared" si="552"/>
        <v/>
      </c>
      <c r="F3561" s="31"/>
      <c r="G3561" s="29"/>
      <c r="H3561" s="78" t="str">
        <f t="shared" si="556"/>
        <v/>
      </c>
      <c r="I3561" s="25"/>
      <c r="J3561" s="25"/>
      <c r="K3561" s="26"/>
      <c r="L3561" s="26"/>
      <c r="M3561" s="37"/>
      <c r="N3561" s="27"/>
      <c r="O3561" s="30"/>
      <c r="P3561" s="39" t="str">
        <f t="shared" si="557"/>
        <v/>
      </c>
      <c r="Q3561" s="40" t="str">
        <f>IF(OR(T3561=0,RIGHT(T3561,1)=$W$1),"",COUNTIF($T$3:T3561,T3561))</f>
        <v/>
      </c>
      <c r="S3561" s="6">
        <f t="shared" si="558"/>
        <v>0</v>
      </c>
      <c r="T3561" s="36">
        <f t="shared" si="559"/>
        <v>0</v>
      </c>
      <c r="V3561" s="6">
        <f t="shared" si="560"/>
        <v>0</v>
      </c>
      <c r="Y3561" s="8">
        <f t="shared" si="561"/>
        <v>46023</v>
      </c>
    </row>
    <row r="3562" spans="2:25" ht="18.75" x14ac:dyDescent="0.3">
      <c r="B3562" s="6">
        <f t="shared" si="553"/>
        <v>0</v>
      </c>
      <c r="C3562" s="6">
        <f t="shared" si="554"/>
        <v>0</v>
      </c>
      <c r="D3562" s="6" t="str">
        <f t="shared" si="555"/>
        <v/>
      </c>
      <c r="E3562" s="35" t="str">
        <f t="shared" si="552"/>
        <v/>
      </c>
      <c r="F3562" s="31"/>
      <c r="G3562" s="29"/>
      <c r="H3562" s="78" t="str">
        <f t="shared" si="556"/>
        <v/>
      </c>
      <c r="I3562" s="25"/>
      <c r="J3562" s="25"/>
      <c r="K3562" s="26"/>
      <c r="L3562" s="26"/>
      <c r="M3562" s="37"/>
      <c r="N3562" s="27"/>
      <c r="O3562" s="30"/>
      <c r="P3562" s="39" t="str">
        <f t="shared" si="557"/>
        <v/>
      </c>
      <c r="Q3562" s="40" t="str">
        <f>IF(OR(T3562=0,RIGHT(T3562,1)=$W$1),"",COUNTIF($T$3:T3562,T3562))</f>
        <v/>
      </c>
      <c r="S3562" s="6">
        <f t="shared" si="558"/>
        <v>0</v>
      </c>
      <c r="T3562" s="36">
        <f t="shared" si="559"/>
        <v>0</v>
      </c>
      <c r="V3562" s="6">
        <f t="shared" si="560"/>
        <v>0</v>
      </c>
      <c r="Y3562" s="8">
        <f t="shared" si="561"/>
        <v>46023</v>
      </c>
    </row>
    <row r="3563" spans="2:25" ht="18.75" x14ac:dyDescent="0.3">
      <c r="B3563" s="6">
        <f t="shared" si="553"/>
        <v>0</v>
      </c>
      <c r="C3563" s="6">
        <f t="shared" si="554"/>
        <v>0</v>
      </c>
      <c r="D3563" s="6" t="str">
        <f t="shared" si="555"/>
        <v/>
      </c>
      <c r="E3563" s="35" t="str">
        <f t="shared" si="552"/>
        <v/>
      </c>
      <c r="F3563" s="31"/>
      <c r="G3563" s="29"/>
      <c r="H3563" s="78" t="str">
        <f t="shared" si="556"/>
        <v/>
      </c>
      <c r="I3563" s="25"/>
      <c r="J3563" s="25"/>
      <c r="K3563" s="26"/>
      <c r="L3563" s="26"/>
      <c r="M3563" s="37"/>
      <c r="N3563" s="27"/>
      <c r="O3563" s="30"/>
      <c r="P3563" s="39" t="str">
        <f t="shared" si="557"/>
        <v/>
      </c>
      <c r="Q3563" s="40" t="str">
        <f>IF(OR(T3563=0,RIGHT(T3563,1)=$W$1),"",COUNTIF($T$3:T3563,T3563))</f>
        <v/>
      </c>
      <c r="S3563" s="6">
        <f t="shared" si="558"/>
        <v>0</v>
      </c>
      <c r="T3563" s="36">
        <f t="shared" si="559"/>
        <v>0</v>
      </c>
      <c r="V3563" s="6">
        <f t="shared" si="560"/>
        <v>0</v>
      </c>
      <c r="Y3563" s="8">
        <f t="shared" si="561"/>
        <v>46023</v>
      </c>
    </row>
    <row r="3564" spans="2:25" ht="18.75" x14ac:dyDescent="0.3">
      <c r="B3564" s="6">
        <f t="shared" si="553"/>
        <v>0</v>
      </c>
      <c r="C3564" s="6">
        <f t="shared" si="554"/>
        <v>0</v>
      </c>
      <c r="D3564" s="6" t="str">
        <f t="shared" si="555"/>
        <v/>
      </c>
      <c r="E3564" s="35" t="str">
        <f t="shared" si="552"/>
        <v/>
      </c>
      <c r="F3564" s="31"/>
      <c r="G3564" s="29"/>
      <c r="H3564" s="78" t="str">
        <f t="shared" si="556"/>
        <v/>
      </c>
      <c r="I3564" s="25"/>
      <c r="J3564" s="25"/>
      <c r="K3564" s="26"/>
      <c r="L3564" s="26"/>
      <c r="M3564" s="37"/>
      <c r="N3564" s="27"/>
      <c r="O3564" s="30"/>
      <c r="P3564" s="39" t="str">
        <f t="shared" si="557"/>
        <v/>
      </c>
      <c r="Q3564" s="40" t="str">
        <f>IF(OR(T3564=0,RIGHT(T3564,1)=$W$1),"",COUNTIF($T$3:T3564,T3564))</f>
        <v/>
      </c>
      <c r="S3564" s="6">
        <f t="shared" si="558"/>
        <v>0</v>
      </c>
      <c r="T3564" s="36">
        <f t="shared" si="559"/>
        <v>0</v>
      </c>
      <c r="V3564" s="6">
        <f t="shared" si="560"/>
        <v>0</v>
      </c>
      <c r="Y3564" s="8">
        <f t="shared" si="561"/>
        <v>46023</v>
      </c>
    </row>
    <row r="3565" spans="2:25" ht="18.75" x14ac:dyDescent="0.3">
      <c r="B3565" s="6">
        <f t="shared" si="553"/>
        <v>0</v>
      </c>
      <c r="C3565" s="6">
        <f t="shared" si="554"/>
        <v>0</v>
      </c>
      <c r="D3565" s="6" t="str">
        <f t="shared" si="555"/>
        <v/>
      </c>
      <c r="E3565" s="35" t="str">
        <f t="shared" si="552"/>
        <v/>
      </c>
      <c r="F3565" s="31"/>
      <c r="G3565" s="29"/>
      <c r="H3565" s="78" t="str">
        <f t="shared" si="556"/>
        <v/>
      </c>
      <c r="I3565" s="25"/>
      <c r="J3565" s="25"/>
      <c r="K3565" s="26"/>
      <c r="L3565" s="26"/>
      <c r="M3565" s="37"/>
      <c r="N3565" s="27"/>
      <c r="O3565" s="30"/>
      <c r="P3565" s="39" t="str">
        <f t="shared" si="557"/>
        <v/>
      </c>
      <c r="Q3565" s="40" t="str">
        <f>IF(OR(T3565=0,RIGHT(T3565,1)=$W$1),"",COUNTIF($T$3:T3565,T3565))</f>
        <v/>
      </c>
      <c r="S3565" s="6">
        <f t="shared" si="558"/>
        <v>0</v>
      </c>
      <c r="T3565" s="36">
        <f t="shared" si="559"/>
        <v>0</v>
      </c>
      <c r="V3565" s="6">
        <f t="shared" si="560"/>
        <v>0</v>
      </c>
      <c r="Y3565" s="8">
        <f t="shared" si="561"/>
        <v>46023</v>
      </c>
    </row>
    <row r="3566" spans="2:25" ht="18.75" x14ac:dyDescent="0.3">
      <c r="B3566" s="6">
        <f t="shared" si="553"/>
        <v>0</v>
      </c>
      <c r="C3566" s="6">
        <f t="shared" si="554"/>
        <v>0</v>
      </c>
      <c r="D3566" s="6" t="str">
        <f t="shared" si="555"/>
        <v/>
      </c>
      <c r="E3566" s="35" t="str">
        <f t="shared" si="552"/>
        <v/>
      </c>
      <c r="F3566" s="31"/>
      <c r="G3566" s="29"/>
      <c r="H3566" s="78" t="str">
        <f t="shared" si="556"/>
        <v/>
      </c>
      <c r="I3566" s="25"/>
      <c r="J3566" s="25"/>
      <c r="K3566" s="26"/>
      <c r="L3566" s="26"/>
      <c r="M3566" s="37"/>
      <c r="N3566" s="27"/>
      <c r="O3566" s="30"/>
      <c r="P3566" s="39" t="str">
        <f t="shared" si="557"/>
        <v/>
      </c>
      <c r="Q3566" s="40" t="str">
        <f>IF(OR(T3566=0,RIGHT(T3566,1)=$W$1),"",COUNTIF($T$3:T3566,T3566))</f>
        <v/>
      </c>
      <c r="S3566" s="6">
        <f t="shared" si="558"/>
        <v>0</v>
      </c>
      <c r="T3566" s="36">
        <f t="shared" si="559"/>
        <v>0</v>
      </c>
      <c r="V3566" s="6">
        <f t="shared" si="560"/>
        <v>0</v>
      </c>
      <c r="Y3566" s="8">
        <f t="shared" si="561"/>
        <v>46023</v>
      </c>
    </row>
    <row r="3567" spans="2:25" ht="18.75" x14ac:dyDescent="0.3">
      <c r="B3567" s="6">
        <f t="shared" si="553"/>
        <v>0</v>
      </c>
      <c r="C3567" s="6">
        <f t="shared" si="554"/>
        <v>0</v>
      </c>
      <c r="D3567" s="6" t="str">
        <f t="shared" si="555"/>
        <v/>
      </c>
      <c r="E3567" s="35" t="str">
        <f t="shared" si="552"/>
        <v/>
      </c>
      <c r="F3567" s="31"/>
      <c r="G3567" s="29"/>
      <c r="H3567" s="78" t="str">
        <f t="shared" si="556"/>
        <v/>
      </c>
      <c r="I3567" s="25"/>
      <c r="J3567" s="25"/>
      <c r="K3567" s="26"/>
      <c r="L3567" s="26"/>
      <c r="M3567" s="37"/>
      <c r="N3567" s="27"/>
      <c r="O3567" s="30"/>
      <c r="P3567" s="39" t="str">
        <f t="shared" si="557"/>
        <v/>
      </c>
      <c r="Q3567" s="40" t="str">
        <f>IF(OR(T3567=0,RIGHT(T3567,1)=$W$1),"",COUNTIF($T$3:T3567,T3567))</f>
        <v/>
      </c>
      <c r="S3567" s="6">
        <f t="shared" si="558"/>
        <v>0</v>
      </c>
      <c r="T3567" s="36">
        <f t="shared" si="559"/>
        <v>0</v>
      </c>
      <c r="V3567" s="6">
        <f t="shared" si="560"/>
        <v>0</v>
      </c>
      <c r="Y3567" s="8">
        <f t="shared" si="561"/>
        <v>46023</v>
      </c>
    </row>
    <row r="3568" spans="2:25" ht="18.75" x14ac:dyDescent="0.3">
      <c r="B3568" s="6">
        <f t="shared" si="553"/>
        <v>0</v>
      </c>
      <c r="C3568" s="6">
        <f t="shared" si="554"/>
        <v>0</v>
      </c>
      <c r="D3568" s="6" t="str">
        <f t="shared" si="555"/>
        <v/>
      </c>
      <c r="E3568" s="35" t="str">
        <f t="shared" si="552"/>
        <v/>
      </c>
      <c r="F3568" s="31"/>
      <c r="G3568" s="29"/>
      <c r="H3568" s="78" t="str">
        <f t="shared" si="556"/>
        <v/>
      </c>
      <c r="I3568" s="25"/>
      <c r="J3568" s="25"/>
      <c r="K3568" s="26"/>
      <c r="L3568" s="26"/>
      <c r="M3568" s="37"/>
      <c r="N3568" s="27"/>
      <c r="O3568" s="30"/>
      <c r="P3568" s="39" t="str">
        <f t="shared" si="557"/>
        <v/>
      </c>
      <c r="Q3568" s="40" t="str">
        <f>IF(OR(T3568=0,RIGHT(T3568,1)=$W$1),"",COUNTIF($T$3:T3568,T3568))</f>
        <v/>
      </c>
      <c r="S3568" s="6">
        <f t="shared" si="558"/>
        <v>0</v>
      </c>
      <c r="T3568" s="36">
        <f t="shared" si="559"/>
        <v>0</v>
      </c>
      <c r="V3568" s="6">
        <f t="shared" si="560"/>
        <v>0</v>
      </c>
      <c r="Y3568" s="8">
        <f t="shared" si="561"/>
        <v>46023</v>
      </c>
    </row>
    <row r="3569" spans="2:25" ht="18.75" x14ac:dyDescent="0.3">
      <c r="B3569" s="6">
        <f t="shared" si="553"/>
        <v>0</v>
      </c>
      <c r="C3569" s="6">
        <f t="shared" si="554"/>
        <v>0</v>
      </c>
      <c r="D3569" s="6" t="str">
        <f t="shared" si="555"/>
        <v/>
      </c>
      <c r="E3569" s="35" t="str">
        <f t="shared" si="552"/>
        <v/>
      </c>
      <c r="F3569" s="31"/>
      <c r="G3569" s="29"/>
      <c r="H3569" s="78" t="str">
        <f t="shared" si="556"/>
        <v/>
      </c>
      <c r="I3569" s="25"/>
      <c r="J3569" s="25"/>
      <c r="K3569" s="26"/>
      <c r="L3569" s="26"/>
      <c r="M3569" s="37"/>
      <c r="N3569" s="27"/>
      <c r="O3569" s="30"/>
      <c r="P3569" s="39" t="str">
        <f t="shared" si="557"/>
        <v/>
      </c>
      <c r="Q3569" s="40" t="str">
        <f>IF(OR(T3569=0,RIGHT(T3569,1)=$W$1),"",COUNTIF($T$3:T3569,T3569))</f>
        <v/>
      </c>
      <c r="S3569" s="6">
        <f t="shared" si="558"/>
        <v>0</v>
      </c>
      <c r="T3569" s="36">
        <f t="shared" si="559"/>
        <v>0</v>
      </c>
      <c r="V3569" s="6">
        <f t="shared" si="560"/>
        <v>0</v>
      </c>
      <c r="Y3569" s="8">
        <f t="shared" si="561"/>
        <v>46023</v>
      </c>
    </row>
    <row r="3570" spans="2:25" ht="18.75" x14ac:dyDescent="0.3">
      <c r="B3570" s="6">
        <f t="shared" si="553"/>
        <v>0</v>
      </c>
      <c r="C3570" s="6">
        <f t="shared" si="554"/>
        <v>0</v>
      </c>
      <c r="D3570" s="6" t="str">
        <f t="shared" si="555"/>
        <v/>
      </c>
      <c r="E3570" s="35" t="str">
        <f t="shared" si="552"/>
        <v/>
      </c>
      <c r="F3570" s="31"/>
      <c r="G3570" s="29"/>
      <c r="H3570" s="78" t="str">
        <f t="shared" si="556"/>
        <v/>
      </c>
      <c r="I3570" s="25"/>
      <c r="J3570" s="25"/>
      <c r="K3570" s="26"/>
      <c r="L3570" s="26"/>
      <c r="M3570" s="37"/>
      <c r="N3570" s="27"/>
      <c r="O3570" s="30"/>
      <c r="P3570" s="39" t="str">
        <f t="shared" si="557"/>
        <v/>
      </c>
      <c r="Q3570" s="40" t="str">
        <f>IF(OR(T3570=0,RIGHT(T3570,1)=$W$1),"",COUNTIF($T$3:T3570,T3570))</f>
        <v/>
      </c>
      <c r="S3570" s="6">
        <f t="shared" si="558"/>
        <v>0</v>
      </c>
      <c r="T3570" s="36">
        <f t="shared" si="559"/>
        <v>0</v>
      </c>
      <c r="V3570" s="6">
        <f t="shared" si="560"/>
        <v>0</v>
      </c>
      <c r="Y3570" s="8">
        <f t="shared" si="561"/>
        <v>46023</v>
      </c>
    </row>
    <row r="3571" spans="2:25" ht="18.75" x14ac:dyDescent="0.3">
      <c r="B3571" s="6">
        <f t="shared" si="553"/>
        <v>0</v>
      </c>
      <c r="C3571" s="6">
        <f t="shared" si="554"/>
        <v>0</v>
      </c>
      <c r="D3571" s="6" t="str">
        <f t="shared" si="555"/>
        <v/>
      </c>
      <c r="E3571" s="35" t="str">
        <f t="shared" si="552"/>
        <v/>
      </c>
      <c r="F3571" s="31"/>
      <c r="G3571" s="29"/>
      <c r="H3571" s="78" t="str">
        <f t="shared" si="556"/>
        <v/>
      </c>
      <c r="I3571" s="25"/>
      <c r="J3571" s="25"/>
      <c r="K3571" s="26"/>
      <c r="L3571" s="26"/>
      <c r="M3571" s="37"/>
      <c r="N3571" s="27"/>
      <c r="O3571" s="30"/>
      <c r="P3571" s="39" t="str">
        <f t="shared" si="557"/>
        <v/>
      </c>
      <c r="Q3571" s="40" t="str">
        <f>IF(OR(T3571=0,RIGHT(T3571,1)=$W$1),"",COUNTIF($T$3:T3571,T3571))</f>
        <v/>
      </c>
      <c r="S3571" s="6">
        <f t="shared" si="558"/>
        <v>0</v>
      </c>
      <c r="T3571" s="36">
        <f t="shared" si="559"/>
        <v>0</v>
      </c>
      <c r="V3571" s="6">
        <f t="shared" si="560"/>
        <v>0</v>
      </c>
      <c r="Y3571" s="8">
        <f t="shared" si="561"/>
        <v>46023</v>
      </c>
    </row>
    <row r="3572" spans="2:25" ht="18.75" x14ac:dyDescent="0.3">
      <c r="B3572" s="6">
        <f t="shared" si="553"/>
        <v>0</v>
      </c>
      <c r="C3572" s="6">
        <f t="shared" si="554"/>
        <v>0</v>
      </c>
      <c r="D3572" s="6" t="str">
        <f t="shared" si="555"/>
        <v/>
      </c>
      <c r="E3572" s="35" t="str">
        <f t="shared" si="552"/>
        <v/>
      </c>
      <c r="F3572" s="31"/>
      <c r="G3572" s="29"/>
      <c r="H3572" s="78" t="str">
        <f t="shared" si="556"/>
        <v/>
      </c>
      <c r="I3572" s="25"/>
      <c r="J3572" s="25"/>
      <c r="K3572" s="26"/>
      <c r="L3572" s="26"/>
      <c r="M3572" s="37"/>
      <c r="N3572" s="27"/>
      <c r="O3572" s="30"/>
      <c r="P3572" s="39" t="str">
        <f t="shared" si="557"/>
        <v/>
      </c>
      <c r="Q3572" s="40" t="str">
        <f>IF(OR(T3572=0,RIGHT(T3572,1)=$W$1),"",COUNTIF($T$3:T3572,T3572))</f>
        <v/>
      </c>
      <c r="S3572" s="6">
        <f t="shared" si="558"/>
        <v>0</v>
      </c>
      <c r="T3572" s="36">
        <f t="shared" si="559"/>
        <v>0</v>
      </c>
      <c r="V3572" s="6">
        <f t="shared" si="560"/>
        <v>0</v>
      </c>
      <c r="Y3572" s="8">
        <f t="shared" si="561"/>
        <v>46023</v>
      </c>
    </row>
    <row r="3573" spans="2:25" ht="18.75" x14ac:dyDescent="0.3">
      <c r="B3573" s="6">
        <f t="shared" si="553"/>
        <v>0</v>
      </c>
      <c r="C3573" s="6">
        <f t="shared" si="554"/>
        <v>0</v>
      </c>
      <c r="D3573" s="6" t="str">
        <f t="shared" si="555"/>
        <v/>
      </c>
      <c r="E3573" s="35" t="str">
        <f t="shared" si="552"/>
        <v/>
      </c>
      <c r="F3573" s="31"/>
      <c r="G3573" s="29"/>
      <c r="H3573" s="78" t="str">
        <f t="shared" si="556"/>
        <v/>
      </c>
      <c r="I3573" s="25"/>
      <c r="J3573" s="25"/>
      <c r="K3573" s="26"/>
      <c r="L3573" s="26"/>
      <c r="M3573" s="37"/>
      <c r="N3573" s="27"/>
      <c r="O3573" s="30"/>
      <c r="P3573" s="39" t="str">
        <f t="shared" si="557"/>
        <v/>
      </c>
      <c r="Q3573" s="40" t="str">
        <f>IF(OR(T3573=0,RIGHT(T3573,1)=$W$1),"",COUNTIF($T$3:T3573,T3573))</f>
        <v/>
      </c>
      <c r="S3573" s="6">
        <f t="shared" si="558"/>
        <v>0</v>
      </c>
      <c r="T3573" s="36">
        <f t="shared" si="559"/>
        <v>0</v>
      </c>
      <c r="V3573" s="6">
        <f t="shared" si="560"/>
        <v>0</v>
      </c>
      <c r="Y3573" s="8">
        <f t="shared" si="561"/>
        <v>46023</v>
      </c>
    </row>
    <row r="3574" spans="2:25" ht="18.75" x14ac:dyDescent="0.3">
      <c r="B3574" s="6">
        <f t="shared" si="553"/>
        <v>0</v>
      </c>
      <c r="C3574" s="6">
        <f t="shared" si="554"/>
        <v>0</v>
      </c>
      <c r="D3574" s="6" t="str">
        <f t="shared" si="555"/>
        <v/>
      </c>
      <c r="E3574" s="35" t="str">
        <f t="shared" si="552"/>
        <v/>
      </c>
      <c r="F3574" s="31"/>
      <c r="G3574" s="29"/>
      <c r="H3574" s="78" t="str">
        <f t="shared" si="556"/>
        <v/>
      </c>
      <c r="I3574" s="25"/>
      <c r="J3574" s="25"/>
      <c r="K3574" s="26"/>
      <c r="L3574" s="26"/>
      <c r="M3574" s="37"/>
      <c r="N3574" s="27"/>
      <c r="O3574" s="30"/>
      <c r="P3574" s="39" t="str">
        <f t="shared" si="557"/>
        <v/>
      </c>
      <c r="Q3574" s="40" t="str">
        <f>IF(OR(T3574=0,RIGHT(T3574,1)=$W$1),"",COUNTIF($T$3:T3574,T3574))</f>
        <v/>
      </c>
      <c r="S3574" s="6">
        <f t="shared" si="558"/>
        <v>0</v>
      </c>
      <c r="T3574" s="36">
        <f t="shared" si="559"/>
        <v>0</v>
      </c>
      <c r="V3574" s="6">
        <f t="shared" si="560"/>
        <v>0</v>
      </c>
      <c r="Y3574" s="8">
        <f t="shared" si="561"/>
        <v>46023</v>
      </c>
    </row>
    <row r="3575" spans="2:25" ht="18.75" x14ac:dyDescent="0.3">
      <c r="B3575" s="6">
        <f t="shared" si="553"/>
        <v>0</v>
      </c>
      <c r="C3575" s="6">
        <f t="shared" si="554"/>
        <v>0</v>
      </c>
      <c r="D3575" s="6" t="str">
        <f t="shared" si="555"/>
        <v/>
      </c>
      <c r="E3575" s="35" t="str">
        <f t="shared" si="552"/>
        <v/>
      </c>
      <c r="F3575" s="31"/>
      <c r="G3575" s="29"/>
      <c r="H3575" s="78" t="str">
        <f t="shared" si="556"/>
        <v/>
      </c>
      <c r="I3575" s="25"/>
      <c r="J3575" s="25"/>
      <c r="K3575" s="26"/>
      <c r="L3575" s="26"/>
      <c r="M3575" s="37"/>
      <c r="N3575" s="27"/>
      <c r="O3575" s="30"/>
      <c r="P3575" s="39" t="str">
        <f t="shared" si="557"/>
        <v/>
      </c>
      <c r="Q3575" s="40" t="str">
        <f>IF(OR(T3575=0,RIGHT(T3575,1)=$W$1),"",COUNTIF($T$3:T3575,T3575))</f>
        <v/>
      </c>
      <c r="S3575" s="6">
        <f t="shared" si="558"/>
        <v>0</v>
      </c>
      <c r="T3575" s="36">
        <f t="shared" si="559"/>
        <v>0</v>
      </c>
      <c r="V3575" s="6">
        <f t="shared" si="560"/>
        <v>0</v>
      </c>
      <c r="Y3575" s="8">
        <f t="shared" si="561"/>
        <v>46023</v>
      </c>
    </row>
    <row r="3576" spans="2:25" ht="18.75" x14ac:dyDescent="0.3">
      <c r="B3576" s="6">
        <f t="shared" si="553"/>
        <v>0</v>
      </c>
      <c r="C3576" s="6">
        <f t="shared" si="554"/>
        <v>0</v>
      </c>
      <c r="D3576" s="6" t="str">
        <f t="shared" si="555"/>
        <v/>
      </c>
      <c r="E3576" s="35" t="str">
        <f t="shared" si="552"/>
        <v/>
      </c>
      <c r="F3576" s="31"/>
      <c r="G3576" s="29"/>
      <c r="H3576" s="78" t="str">
        <f t="shared" si="556"/>
        <v/>
      </c>
      <c r="I3576" s="25"/>
      <c r="J3576" s="25"/>
      <c r="K3576" s="26"/>
      <c r="L3576" s="26"/>
      <c r="M3576" s="37"/>
      <c r="N3576" s="27"/>
      <c r="O3576" s="30"/>
      <c r="P3576" s="39" t="str">
        <f t="shared" si="557"/>
        <v/>
      </c>
      <c r="Q3576" s="40" t="str">
        <f>IF(OR(T3576=0,RIGHT(T3576,1)=$W$1),"",COUNTIF($T$3:T3576,T3576))</f>
        <v/>
      </c>
      <c r="S3576" s="6">
        <f t="shared" si="558"/>
        <v>0</v>
      </c>
      <c r="T3576" s="36">
        <f t="shared" si="559"/>
        <v>0</v>
      </c>
      <c r="V3576" s="6">
        <f t="shared" si="560"/>
        <v>0</v>
      </c>
      <c r="Y3576" s="8">
        <f t="shared" si="561"/>
        <v>46023</v>
      </c>
    </row>
    <row r="3577" spans="2:25" ht="18.75" x14ac:dyDescent="0.3">
      <c r="B3577" s="6">
        <f t="shared" si="553"/>
        <v>0</v>
      </c>
      <c r="C3577" s="6">
        <f t="shared" si="554"/>
        <v>0</v>
      </c>
      <c r="D3577" s="6" t="str">
        <f t="shared" si="555"/>
        <v/>
      </c>
      <c r="E3577" s="35" t="str">
        <f t="shared" si="552"/>
        <v/>
      </c>
      <c r="F3577" s="31"/>
      <c r="G3577" s="29"/>
      <c r="H3577" s="78" t="str">
        <f t="shared" si="556"/>
        <v/>
      </c>
      <c r="I3577" s="25"/>
      <c r="J3577" s="25"/>
      <c r="K3577" s="26"/>
      <c r="L3577" s="26"/>
      <c r="M3577" s="37"/>
      <c r="N3577" s="27"/>
      <c r="O3577" s="30"/>
      <c r="P3577" s="39" t="str">
        <f t="shared" si="557"/>
        <v/>
      </c>
      <c r="Q3577" s="40" t="str">
        <f>IF(OR(T3577=0,RIGHT(T3577,1)=$W$1),"",COUNTIF($T$3:T3577,T3577))</f>
        <v/>
      </c>
      <c r="S3577" s="6">
        <f t="shared" si="558"/>
        <v>0</v>
      </c>
      <c r="T3577" s="36">
        <f t="shared" si="559"/>
        <v>0</v>
      </c>
      <c r="V3577" s="6">
        <f t="shared" si="560"/>
        <v>0</v>
      </c>
      <c r="Y3577" s="8">
        <f t="shared" si="561"/>
        <v>46023</v>
      </c>
    </row>
    <row r="3578" spans="2:25" ht="18.75" x14ac:dyDescent="0.3">
      <c r="B3578" s="6">
        <f t="shared" si="553"/>
        <v>0</v>
      </c>
      <c r="C3578" s="6">
        <f t="shared" si="554"/>
        <v>0</v>
      </c>
      <c r="D3578" s="6" t="str">
        <f t="shared" si="555"/>
        <v/>
      </c>
      <c r="E3578" s="35" t="str">
        <f t="shared" si="552"/>
        <v/>
      </c>
      <c r="F3578" s="31"/>
      <c r="G3578" s="29"/>
      <c r="H3578" s="78" t="str">
        <f t="shared" si="556"/>
        <v/>
      </c>
      <c r="I3578" s="25"/>
      <c r="J3578" s="25"/>
      <c r="K3578" s="26"/>
      <c r="L3578" s="26"/>
      <c r="M3578" s="37"/>
      <c r="N3578" s="27"/>
      <c r="O3578" s="30"/>
      <c r="P3578" s="39" t="str">
        <f t="shared" si="557"/>
        <v/>
      </c>
      <c r="Q3578" s="40" t="str">
        <f>IF(OR(T3578=0,RIGHT(T3578,1)=$W$1),"",COUNTIF($T$3:T3578,T3578))</f>
        <v/>
      </c>
      <c r="S3578" s="6">
        <f t="shared" si="558"/>
        <v>0</v>
      </c>
      <c r="T3578" s="36">
        <f t="shared" si="559"/>
        <v>0</v>
      </c>
      <c r="V3578" s="6">
        <f t="shared" si="560"/>
        <v>0</v>
      </c>
      <c r="Y3578" s="8">
        <f t="shared" si="561"/>
        <v>46023</v>
      </c>
    </row>
    <row r="3579" spans="2:25" ht="18.75" x14ac:dyDescent="0.3">
      <c r="B3579" s="6">
        <f t="shared" si="553"/>
        <v>0</v>
      </c>
      <c r="C3579" s="6">
        <f t="shared" si="554"/>
        <v>0</v>
      </c>
      <c r="D3579" s="6" t="str">
        <f t="shared" si="555"/>
        <v/>
      </c>
      <c r="E3579" s="35" t="str">
        <f t="shared" si="552"/>
        <v/>
      </c>
      <c r="F3579" s="31"/>
      <c r="G3579" s="29"/>
      <c r="H3579" s="78" t="str">
        <f t="shared" si="556"/>
        <v/>
      </c>
      <c r="I3579" s="25"/>
      <c r="J3579" s="25"/>
      <c r="K3579" s="26"/>
      <c r="L3579" s="26"/>
      <c r="M3579" s="37"/>
      <c r="N3579" s="27"/>
      <c r="O3579" s="30"/>
      <c r="P3579" s="39" t="str">
        <f t="shared" si="557"/>
        <v/>
      </c>
      <c r="Q3579" s="40" t="str">
        <f>IF(OR(T3579=0,RIGHT(T3579,1)=$W$1),"",COUNTIF($T$3:T3579,T3579))</f>
        <v/>
      </c>
      <c r="S3579" s="6">
        <f t="shared" si="558"/>
        <v>0</v>
      </c>
      <c r="T3579" s="36">
        <f t="shared" si="559"/>
        <v>0</v>
      </c>
      <c r="V3579" s="6">
        <f t="shared" si="560"/>
        <v>0</v>
      </c>
      <c r="Y3579" s="8">
        <f t="shared" si="561"/>
        <v>46023</v>
      </c>
    </row>
    <row r="3580" spans="2:25" ht="18.75" x14ac:dyDescent="0.3">
      <c r="B3580" s="6">
        <f t="shared" si="553"/>
        <v>0</v>
      </c>
      <c r="C3580" s="6">
        <f t="shared" si="554"/>
        <v>0</v>
      </c>
      <c r="D3580" s="6" t="str">
        <f t="shared" si="555"/>
        <v/>
      </c>
      <c r="E3580" s="35" t="str">
        <f t="shared" si="552"/>
        <v/>
      </c>
      <c r="F3580" s="31"/>
      <c r="G3580" s="29"/>
      <c r="H3580" s="78" t="str">
        <f t="shared" si="556"/>
        <v/>
      </c>
      <c r="I3580" s="25"/>
      <c r="J3580" s="25"/>
      <c r="K3580" s="26"/>
      <c r="L3580" s="26"/>
      <c r="M3580" s="37"/>
      <c r="N3580" s="27"/>
      <c r="O3580" s="30"/>
      <c r="P3580" s="39" t="str">
        <f t="shared" si="557"/>
        <v/>
      </c>
      <c r="Q3580" s="40" t="str">
        <f>IF(OR(T3580=0,RIGHT(T3580,1)=$W$1),"",COUNTIF($T$3:T3580,T3580))</f>
        <v/>
      </c>
      <c r="S3580" s="6">
        <f t="shared" si="558"/>
        <v>0</v>
      </c>
      <c r="T3580" s="36">
        <f t="shared" si="559"/>
        <v>0</v>
      </c>
      <c r="V3580" s="6">
        <f t="shared" si="560"/>
        <v>0</v>
      </c>
      <c r="Y3580" s="8">
        <f t="shared" si="561"/>
        <v>46023</v>
      </c>
    </row>
    <row r="3581" spans="2:25" ht="18.75" x14ac:dyDescent="0.3">
      <c r="B3581" s="6">
        <f t="shared" si="553"/>
        <v>0</v>
      </c>
      <c r="C3581" s="6">
        <f t="shared" si="554"/>
        <v>0</v>
      </c>
      <c r="D3581" s="6" t="str">
        <f t="shared" si="555"/>
        <v/>
      </c>
      <c r="E3581" s="35" t="str">
        <f t="shared" si="552"/>
        <v/>
      </c>
      <c r="F3581" s="31"/>
      <c r="G3581" s="29"/>
      <c r="H3581" s="78" t="str">
        <f t="shared" si="556"/>
        <v/>
      </c>
      <c r="I3581" s="25"/>
      <c r="J3581" s="25"/>
      <c r="K3581" s="26"/>
      <c r="L3581" s="26"/>
      <c r="M3581" s="37"/>
      <c r="N3581" s="27"/>
      <c r="O3581" s="30"/>
      <c r="P3581" s="39" t="str">
        <f t="shared" si="557"/>
        <v/>
      </c>
      <c r="Q3581" s="40" t="str">
        <f>IF(OR(T3581=0,RIGHT(T3581,1)=$W$1),"",COUNTIF($T$3:T3581,T3581))</f>
        <v/>
      </c>
      <c r="S3581" s="6">
        <f t="shared" si="558"/>
        <v>0</v>
      </c>
      <c r="T3581" s="36">
        <f t="shared" si="559"/>
        <v>0</v>
      </c>
      <c r="V3581" s="6">
        <f t="shared" si="560"/>
        <v>0</v>
      </c>
      <c r="Y3581" s="8">
        <f t="shared" si="561"/>
        <v>46023</v>
      </c>
    </row>
    <row r="3582" spans="2:25" ht="18.75" x14ac:dyDescent="0.3">
      <c r="B3582" s="6">
        <f t="shared" si="553"/>
        <v>0</v>
      </c>
      <c r="C3582" s="6">
        <f t="shared" si="554"/>
        <v>0</v>
      </c>
      <c r="D3582" s="6" t="str">
        <f t="shared" si="555"/>
        <v/>
      </c>
      <c r="E3582" s="35" t="str">
        <f t="shared" si="552"/>
        <v/>
      </c>
      <c r="F3582" s="31"/>
      <c r="G3582" s="29"/>
      <c r="H3582" s="78" t="str">
        <f t="shared" si="556"/>
        <v/>
      </c>
      <c r="I3582" s="25"/>
      <c r="J3582" s="25"/>
      <c r="K3582" s="26"/>
      <c r="L3582" s="26"/>
      <c r="M3582" s="37"/>
      <c r="N3582" s="27"/>
      <c r="O3582" s="30"/>
      <c r="P3582" s="39" t="str">
        <f t="shared" si="557"/>
        <v/>
      </c>
      <c r="Q3582" s="40" t="str">
        <f>IF(OR(T3582=0,RIGHT(T3582,1)=$W$1),"",COUNTIF($T$3:T3582,T3582))</f>
        <v/>
      </c>
      <c r="S3582" s="6">
        <f t="shared" si="558"/>
        <v>0</v>
      </c>
      <c r="T3582" s="36">
        <f t="shared" si="559"/>
        <v>0</v>
      </c>
      <c r="V3582" s="6">
        <f t="shared" si="560"/>
        <v>0</v>
      </c>
      <c r="Y3582" s="8">
        <f t="shared" si="561"/>
        <v>46023</v>
      </c>
    </row>
    <row r="3583" spans="2:25" ht="18.75" x14ac:dyDescent="0.3">
      <c r="B3583" s="6">
        <f t="shared" si="553"/>
        <v>0</v>
      </c>
      <c r="C3583" s="6">
        <f t="shared" si="554"/>
        <v>0</v>
      </c>
      <c r="D3583" s="6" t="str">
        <f t="shared" si="555"/>
        <v/>
      </c>
      <c r="E3583" s="35" t="str">
        <f t="shared" si="552"/>
        <v/>
      </c>
      <c r="F3583" s="31"/>
      <c r="G3583" s="29"/>
      <c r="H3583" s="78" t="str">
        <f t="shared" si="556"/>
        <v/>
      </c>
      <c r="I3583" s="25"/>
      <c r="J3583" s="25"/>
      <c r="K3583" s="26"/>
      <c r="L3583" s="26"/>
      <c r="M3583" s="37"/>
      <c r="N3583" s="27"/>
      <c r="O3583" s="30"/>
      <c r="P3583" s="39" t="str">
        <f t="shared" si="557"/>
        <v/>
      </c>
      <c r="Q3583" s="40" t="str">
        <f>IF(OR(T3583=0,RIGHT(T3583,1)=$W$1),"",COUNTIF($T$3:T3583,T3583))</f>
        <v/>
      </c>
      <c r="S3583" s="6">
        <f t="shared" si="558"/>
        <v>0</v>
      </c>
      <c r="T3583" s="36">
        <f t="shared" si="559"/>
        <v>0</v>
      </c>
      <c r="V3583" s="6">
        <f t="shared" si="560"/>
        <v>0</v>
      </c>
      <c r="Y3583" s="8">
        <f t="shared" si="561"/>
        <v>46023</v>
      </c>
    </row>
    <row r="3584" spans="2:25" ht="18.75" x14ac:dyDescent="0.3">
      <c r="B3584" s="6">
        <f t="shared" si="553"/>
        <v>0</v>
      </c>
      <c r="C3584" s="6">
        <f t="shared" si="554"/>
        <v>0</v>
      </c>
      <c r="D3584" s="6" t="str">
        <f t="shared" si="555"/>
        <v/>
      </c>
      <c r="E3584" s="35" t="str">
        <f t="shared" si="552"/>
        <v/>
      </c>
      <c r="F3584" s="31"/>
      <c r="G3584" s="29"/>
      <c r="H3584" s="78" t="str">
        <f t="shared" si="556"/>
        <v/>
      </c>
      <c r="I3584" s="25"/>
      <c r="J3584" s="25"/>
      <c r="K3584" s="26"/>
      <c r="L3584" s="26"/>
      <c r="M3584" s="37"/>
      <c r="N3584" s="27"/>
      <c r="O3584" s="30"/>
      <c r="P3584" s="39" t="str">
        <f t="shared" si="557"/>
        <v/>
      </c>
      <c r="Q3584" s="40" t="str">
        <f>IF(OR(T3584=0,RIGHT(T3584,1)=$W$1),"",COUNTIF($T$3:T3584,T3584))</f>
        <v/>
      </c>
      <c r="S3584" s="6">
        <f t="shared" si="558"/>
        <v>0</v>
      </c>
      <c r="T3584" s="36">
        <f t="shared" si="559"/>
        <v>0</v>
      </c>
      <c r="V3584" s="6">
        <f t="shared" si="560"/>
        <v>0</v>
      </c>
      <c r="Y3584" s="8">
        <f t="shared" si="561"/>
        <v>46023</v>
      </c>
    </row>
    <row r="3585" spans="2:25" ht="18.75" x14ac:dyDescent="0.3">
      <c r="B3585" s="6">
        <f t="shared" si="553"/>
        <v>0</v>
      </c>
      <c r="C3585" s="6">
        <f t="shared" si="554"/>
        <v>0</v>
      </c>
      <c r="D3585" s="6" t="str">
        <f t="shared" si="555"/>
        <v/>
      </c>
      <c r="E3585" s="35" t="str">
        <f t="shared" si="552"/>
        <v/>
      </c>
      <c r="F3585" s="31"/>
      <c r="G3585" s="29"/>
      <c r="H3585" s="78" t="str">
        <f t="shared" si="556"/>
        <v/>
      </c>
      <c r="I3585" s="25"/>
      <c r="J3585" s="25"/>
      <c r="K3585" s="26"/>
      <c r="L3585" s="26"/>
      <c r="M3585" s="37"/>
      <c r="N3585" s="27"/>
      <c r="O3585" s="30"/>
      <c r="P3585" s="39" t="str">
        <f t="shared" si="557"/>
        <v/>
      </c>
      <c r="Q3585" s="40" t="str">
        <f>IF(OR(T3585=0,RIGHT(T3585,1)=$W$1),"",COUNTIF($T$3:T3585,T3585))</f>
        <v/>
      </c>
      <c r="S3585" s="6">
        <f t="shared" si="558"/>
        <v>0</v>
      </c>
      <c r="T3585" s="36">
        <f t="shared" si="559"/>
        <v>0</v>
      </c>
      <c r="V3585" s="6">
        <f t="shared" si="560"/>
        <v>0</v>
      </c>
      <c r="Y3585" s="8">
        <f t="shared" si="561"/>
        <v>46023</v>
      </c>
    </row>
    <row r="3586" spans="2:25" ht="18.75" x14ac:dyDescent="0.3">
      <c r="B3586" s="6">
        <f t="shared" si="553"/>
        <v>0</v>
      </c>
      <c r="C3586" s="6">
        <f t="shared" si="554"/>
        <v>0</v>
      </c>
      <c r="D3586" s="6" t="str">
        <f t="shared" si="555"/>
        <v/>
      </c>
      <c r="E3586" s="35" t="str">
        <f t="shared" si="552"/>
        <v/>
      </c>
      <c r="F3586" s="31"/>
      <c r="G3586" s="29"/>
      <c r="H3586" s="78" t="str">
        <f t="shared" si="556"/>
        <v/>
      </c>
      <c r="I3586" s="25"/>
      <c r="J3586" s="25"/>
      <c r="K3586" s="26"/>
      <c r="L3586" s="26"/>
      <c r="M3586" s="37"/>
      <c r="N3586" s="27"/>
      <c r="O3586" s="30"/>
      <c r="P3586" s="39" t="str">
        <f t="shared" si="557"/>
        <v/>
      </c>
      <c r="Q3586" s="40" t="str">
        <f>IF(OR(T3586=0,RIGHT(T3586,1)=$W$1),"",COUNTIF($T$3:T3586,T3586))</f>
        <v/>
      </c>
      <c r="S3586" s="6">
        <f t="shared" si="558"/>
        <v>0</v>
      </c>
      <c r="T3586" s="36">
        <f t="shared" si="559"/>
        <v>0</v>
      </c>
      <c r="V3586" s="6">
        <f t="shared" si="560"/>
        <v>0</v>
      </c>
      <c r="Y3586" s="8">
        <f t="shared" si="561"/>
        <v>46023</v>
      </c>
    </row>
    <row r="3587" spans="2:25" ht="18.75" x14ac:dyDescent="0.3">
      <c r="B3587" s="6">
        <f t="shared" si="553"/>
        <v>0</v>
      </c>
      <c r="C3587" s="6">
        <f t="shared" si="554"/>
        <v>0</v>
      </c>
      <c r="D3587" s="6" t="str">
        <f t="shared" si="555"/>
        <v/>
      </c>
      <c r="E3587" s="35" t="str">
        <f t="shared" ref="E3587:E3650" si="562">IF(D3587&lt;&gt;"",D3587&amp;" - "&amp;YEAR(F3587),"")</f>
        <v/>
      </c>
      <c r="F3587" s="31"/>
      <c r="G3587" s="29"/>
      <c r="H3587" s="78" t="str">
        <f t="shared" si="556"/>
        <v/>
      </c>
      <c r="I3587" s="25"/>
      <c r="J3587" s="25"/>
      <c r="K3587" s="26"/>
      <c r="L3587" s="26"/>
      <c r="M3587" s="37"/>
      <c r="N3587" s="27"/>
      <c r="O3587" s="30"/>
      <c r="P3587" s="39" t="str">
        <f t="shared" si="557"/>
        <v/>
      </c>
      <c r="Q3587" s="40" t="str">
        <f>IF(OR(T3587=0,RIGHT(T3587,1)=$W$1),"",COUNTIF($T$3:T3587,T3587))</f>
        <v/>
      </c>
      <c r="S3587" s="6">
        <f t="shared" si="558"/>
        <v>0</v>
      </c>
      <c r="T3587" s="36">
        <f t="shared" si="559"/>
        <v>0</v>
      </c>
      <c r="V3587" s="6">
        <f t="shared" si="560"/>
        <v>0</v>
      </c>
      <c r="Y3587" s="8">
        <f t="shared" si="561"/>
        <v>46023</v>
      </c>
    </row>
    <row r="3588" spans="2:25" ht="18.75" x14ac:dyDescent="0.3">
      <c r="B3588" s="6">
        <f t="shared" ref="B3588:B3651" si="563">IF($B$1=YEAR(F3588),B3587+1,B3587)</f>
        <v>0</v>
      </c>
      <c r="C3588" s="6">
        <f t="shared" ref="C3588:C3651" si="564">IF(AND($C$1=K3588,$Y$1=YEAR(F3588)),C3587+1,C3587)</f>
        <v>0</v>
      </c>
      <c r="D3588" s="6" t="str">
        <f t="shared" ref="D3588:D3651" si="565">IF(F3588&lt;&gt;0,IF(YEAR(F3588)&lt;&gt;YEAR(F3587),1,IF(M3588=$AI$1,D3587,D3587+1)),"")</f>
        <v/>
      </c>
      <c r="E3588" s="35" t="str">
        <f t="shared" si="562"/>
        <v/>
      </c>
      <c r="F3588" s="31"/>
      <c r="G3588" s="29"/>
      <c r="H3588" s="78" t="str">
        <f t="shared" ref="H3588:H3651" si="566">IF(G3588&lt;&gt;"",F3588,"")</f>
        <v/>
      </c>
      <c r="I3588" s="25"/>
      <c r="J3588" s="25"/>
      <c r="K3588" s="26"/>
      <c r="L3588" s="26"/>
      <c r="M3588" s="37"/>
      <c r="N3588" s="27"/>
      <c r="O3588" s="30"/>
      <c r="P3588" s="39" t="str">
        <f t="shared" ref="P3588:P3651" si="567">IF(OR(T3588=0,RIGHT(T3588,1)=$W$1),"",VLOOKUP(K3588,$AD$1:$AK$15,5,FALSE))</f>
        <v/>
      </c>
      <c r="Q3588" s="40" t="str">
        <f>IF(OR(T3588=0,RIGHT(T3588,1)=$W$1),"",COUNTIF($T$3:T3588,T3588))</f>
        <v/>
      </c>
      <c r="S3588" s="6">
        <f t="shared" ref="S3588:S3651" si="568">IF(AND($C$1=K3588,$Y$1=YEAR(F3588)),C3588,0)</f>
        <v>0</v>
      </c>
      <c r="T3588" s="36">
        <f t="shared" ref="T3588:T3651" si="569">IF(F3588=0,0,YEAR(F3588)&amp;VLOOKUP(K3588,$AD$1:$AE$15,2,FALSE))</f>
        <v>0</v>
      </c>
      <c r="V3588" s="6">
        <f t="shared" ref="V3588:V3651" si="570">IF(AND(YEAR(F3588)=$Y$1,K3588=$C$1,L3588&amp;$V$1&lt;&gt;$V$1),L3588,IF(AND(YEAR(F3588)=$Y$1,K3588=$C$1),1,0))</f>
        <v>0</v>
      </c>
      <c r="Y3588" s="8">
        <f t="shared" ref="Y3588:Y3651" si="571">IF(M3588&lt;&gt;$AI$1,$Y$2,F3587)</f>
        <v>46023</v>
      </c>
    </row>
    <row r="3589" spans="2:25" ht="18.75" x14ac:dyDescent="0.3">
      <c r="B3589" s="6">
        <f t="shared" si="563"/>
        <v>0</v>
      </c>
      <c r="C3589" s="6">
        <f t="shared" si="564"/>
        <v>0</v>
      </c>
      <c r="D3589" s="6" t="str">
        <f t="shared" si="565"/>
        <v/>
      </c>
      <c r="E3589" s="35" t="str">
        <f t="shared" si="562"/>
        <v/>
      </c>
      <c r="F3589" s="31"/>
      <c r="G3589" s="29"/>
      <c r="H3589" s="78" t="str">
        <f t="shared" si="566"/>
        <v/>
      </c>
      <c r="I3589" s="25"/>
      <c r="J3589" s="25"/>
      <c r="K3589" s="26"/>
      <c r="L3589" s="26"/>
      <c r="M3589" s="37"/>
      <c r="N3589" s="27"/>
      <c r="O3589" s="30"/>
      <c r="P3589" s="39" t="str">
        <f t="shared" si="567"/>
        <v/>
      </c>
      <c r="Q3589" s="40" t="str">
        <f>IF(OR(T3589=0,RIGHT(T3589,1)=$W$1),"",COUNTIF($T$3:T3589,T3589))</f>
        <v/>
      </c>
      <c r="S3589" s="6">
        <f t="shared" si="568"/>
        <v>0</v>
      </c>
      <c r="T3589" s="36">
        <f t="shared" si="569"/>
        <v>0</v>
      </c>
      <c r="V3589" s="6">
        <f t="shared" si="570"/>
        <v>0</v>
      </c>
      <c r="Y3589" s="8">
        <f t="shared" si="571"/>
        <v>46023</v>
      </c>
    </row>
    <row r="3590" spans="2:25" ht="18.75" x14ac:dyDescent="0.3">
      <c r="B3590" s="6">
        <f t="shared" si="563"/>
        <v>0</v>
      </c>
      <c r="C3590" s="6">
        <f t="shared" si="564"/>
        <v>0</v>
      </c>
      <c r="D3590" s="6" t="str">
        <f t="shared" si="565"/>
        <v/>
      </c>
      <c r="E3590" s="35" t="str">
        <f t="shared" si="562"/>
        <v/>
      </c>
      <c r="F3590" s="31"/>
      <c r="G3590" s="29"/>
      <c r="H3590" s="78" t="str">
        <f t="shared" si="566"/>
        <v/>
      </c>
      <c r="I3590" s="25"/>
      <c r="J3590" s="25"/>
      <c r="K3590" s="26"/>
      <c r="L3590" s="26"/>
      <c r="M3590" s="37"/>
      <c r="N3590" s="27"/>
      <c r="O3590" s="30"/>
      <c r="P3590" s="39" t="str">
        <f t="shared" si="567"/>
        <v/>
      </c>
      <c r="Q3590" s="40" t="str">
        <f>IF(OR(T3590=0,RIGHT(T3590,1)=$W$1),"",COUNTIF($T$3:T3590,T3590))</f>
        <v/>
      </c>
      <c r="S3590" s="6">
        <f t="shared" si="568"/>
        <v>0</v>
      </c>
      <c r="T3590" s="36">
        <f t="shared" si="569"/>
        <v>0</v>
      </c>
      <c r="V3590" s="6">
        <f t="shared" si="570"/>
        <v>0</v>
      </c>
      <c r="Y3590" s="8">
        <f t="shared" si="571"/>
        <v>46023</v>
      </c>
    </row>
    <row r="3591" spans="2:25" ht="18.75" x14ac:dyDescent="0.3">
      <c r="B3591" s="6">
        <f t="shared" si="563"/>
        <v>0</v>
      </c>
      <c r="C3591" s="6">
        <f t="shared" si="564"/>
        <v>0</v>
      </c>
      <c r="D3591" s="6" t="str">
        <f t="shared" si="565"/>
        <v/>
      </c>
      <c r="E3591" s="35" t="str">
        <f t="shared" si="562"/>
        <v/>
      </c>
      <c r="F3591" s="31"/>
      <c r="G3591" s="29"/>
      <c r="H3591" s="78" t="str">
        <f t="shared" si="566"/>
        <v/>
      </c>
      <c r="I3591" s="25"/>
      <c r="J3591" s="25"/>
      <c r="K3591" s="26"/>
      <c r="L3591" s="26"/>
      <c r="M3591" s="37"/>
      <c r="N3591" s="27"/>
      <c r="O3591" s="30"/>
      <c r="P3591" s="39" t="str">
        <f t="shared" si="567"/>
        <v/>
      </c>
      <c r="Q3591" s="40" t="str">
        <f>IF(OR(T3591=0,RIGHT(T3591,1)=$W$1),"",COUNTIF($T$3:T3591,T3591))</f>
        <v/>
      </c>
      <c r="S3591" s="6">
        <f t="shared" si="568"/>
        <v>0</v>
      </c>
      <c r="T3591" s="36">
        <f t="shared" si="569"/>
        <v>0</v>
      </c>
      <c r="V3591" s="6">
        <f t="shared" si="570"/>
        <v>0</v>
      </c>
      <c r="Y3591" s="8">
        <f t="shared" si="571"/>
        <v>46023</v>
      </c>
    </row>
    <row r="3592" spans="2:25" ht="18.75" x14ac:dyDescent="0.3">
      <c r="B3592" s="6">
        <f t="shared" si="563"/>
        <v>0</v>
      </c>
      <c r="C3592" s="6">
        <f t="shared" si="564"/>
        <v>0</v>
      </c>
      <c r="D3592" s="6" t="str">
        <f t="shared" si="565"/>
        <v/>
      </c>
      <c r="E3592" s="35" t="str">
        <f t="shared" si="562"/>
        <v/>
      </c>
      <c r="F3592" s="31"/>
      <c r="G3592" s="29"/>
      <c r="H3592" s="78" t="str">
        <f t="shared" si="566"/>
        <v/>
      </c>
      <c r="I3592" s="25"/>
      <c r="J3592" s="25"/>
      <c r="K3592" s="26"/>
      <c r="L3592" s="26"/>
      <c r="M3592" s="37"/>
      <c r="N3592" s="27"/>
      <c r="O3592" s="30"/>
      <c r="P3592" s="39" t="str">
        <f t="shared" si="567"/>
        <v/>
      </c>
      <c r="Q3592" s="40" t="str">
        <f>IF(OR(T3592=0,RIGHT(T3592,1)=$W$1),"",COUNTIF($T$3:T3592,T3592))</f>
        <v/>
      </c>
      <c r="S3592" s="6">
        <f t="shared" si="568"/>
        <v>0</v>
      </c>
      <c r="T3592" s="36">
        <f t="shared" si="569"/>
        <v>0</v>
      </c>
      <c r="V3592" s="6">
        <f t="shared" si="570"/>
        <v>0</v>
      </c>
      <c r="Y3592" s="8">
        <f t="shared" si="571"/>
        <v>46023</v>
      </c>
    </row>
    <row r="3593" spans="2:25" ht="18.75" x14ac:dyDescent="0.3">
      <c r="B3593" s="6">
        <f t="shared" si="563"/>
        <v>0</v>
      </c>
      <c r="C3593" s="6">
        <f t="shared" si="564"/>
        <v>0</v>
      </c>
      <c r="D3593" s="6" t="str">
        <f t="shared" si="565"/>
        <v/>
      </c>
      <c r="E3593" s="35" t="str">
        <f t="shared" si="562"/>
        <v/>
      </c>
      <c r="F3593" s="31"/>
      <c r="G3593" s="29"/>
      <c r="H3593" s="78" t="str">
        <f t="shared" si="566"/>
        <v/>
      </c>
      <c r="I3593" s="25"/>
      <c r="J3593" s="25"/>
      <c r="K3593" s="26"/>
      <c r="L3593" s="26"/>
      <c r="M3593" s="37"/>
      <c r="N3593" s="27"/>
      <c r="O3593" s="30"/>
      <c r="P3593" s="39" t="str">
        <f t="shared" si="567"/>
        <v/>
      </c>
      <c r="Q3593" s="40" t="str">
        <f>IF(OR(T3593=0,RIGHT(T3593,1)=$W$1),"",COUNTIF($T$3:T3593,T3593))</f>
        <v/>
      </c>
      <c r="S3593" s="6">
        <f t="shared" si="568"/>
        <v>0</v>
      </c>
      <c r="T3593" s="36">
        <f t="shared" si="569"/>
        <v>0</v>
      </c>
      <c r="V3593" s="6">
        <f t="shared" si="570"/>
        <v>0</v>
      </c>
      <c r="Y3593" s="8">
        <f t="shared" si="571"/>
        <v>46023</v>
      </c>
    </row>
    <row r="3594" spans="2:25" ht="18.75" x14ac:dyDescent="0.3">
      <c r="B3594" s="6">
        <f t="shared" si="563"/>
        <v>0</v>
      </c>
      <c r="C3594" s="6">
        <f t="shared" si="564"/>
        <v>0</v>
      </c>
      <c r="D3594" s="6" t="str">
        <f t="shared" si="565"/>
        <v/>
      </c>
      <c r="E3594" s="35" t="str">
        <f t="shared" si="562"/>
        <v/>
      </c>
      <c r="F3594" s="31"/>
      <c r="G3594" s="29"/>
      <c r="H3594" s="78" t="str">
        <f t="shared" si="566"/>
        <v/>
      </c>
      <c r="I3594" s="25"/>
      <c r="J3594" s="25"/>
      <c r="K3594" s="26"/>
      <c r="L3594" s="26"/>
      <c r="M3594" s="37"/>
      <c r="N3594" s="27"/>
      <c r="O3594" s="30"/>
      <c r="P3594" s="39" t="str">
        <f t="shared" si="567"/>
        <v/>
      </c>
      <c r="Q3594" s="40" t="str">
        <f>IF(OR(T3594=0,RIGHT(T3594,1)=$W$1),"",COUNTIF($T$3:T3594,T3594))</f>
        <v/>
      </c>
      <c r="S3594" s="6">
        <f t="shared" si="568"/>
        <v>0</v>
      </c>
      <c r="T3594" s="36">
        <f t="shared" si="569"/>
        <v>0</v>
      </c>
      <c r="V3594" s="6">
        <f t="shared" si="570"/>
        <v>0</v>
      </c>
      <c r="Y3594" s="8">
        <f t="shared" si="571"/>
        <v>46023</v>
      </c>
    </row>
    <row r="3595" spans="2:25" ht="18.75" x14ac:dyDescent="0.3">
      <c r="B3595" s="6">
        <f t="shared" si="563"/>
        <v>0</v>
      </c>
      <c r="C3595" s="6">
        <f t="shared" si="564"/>
        <v>0</v>
      </c>
      <c r="D3595" s="6" t="str">
        <f t="shared" si="565"/>
        <v/>
      </c>
      <c r="E3595" s="35" t="str">
        <f t="shared" si="562"/>
        <v/>
      </c>
      <c r="F3595" s="31"/>
      <c r="G3595" s="29"/>
      <c r="H3595" s="78" t="str">
        <f t="shared" si="566"/>
        <v/>
      </c>
      <c r="I3595" s="25"/>
      <c r="J3595" s="25"/>
      <c r="K3595" s="26"/>
      <c r="L3595" s="26"/>
      <c r="M3595" s="37"/>
      <c r="N3595" s="27"/>
      <c r="O3595" s="30"/>
      <c r="P3595" s="39" t="str">
        <f t="shared" si="567"/>
        <v/>
      </c>
      <c r="Q3595" s="40" t="str">
        <f>IF(OR(T3595=0,RIGHT(T3595,1)=$W$1),"",COUNTIF($T$3:T3595,T3595))</f>
        <v/>
      </c>
      <c r="S3595" s="6">
        <f t="shared" si="568"/>
        <v>0</v>
      </c>
      <c r="T3595" s="36">
        <f t="shared" si="569"/>
        <v>0</v>
      </c>
      <c r="V3595" s="6">
        <f t="shared" si="570"/>
        <v>0</v>
      </c>
      <c r="Y3595" s="8">
        <f t="shared" si="571"/>
        <v>46023</v>
      </c>
    </row>
    <row r="3596" spans="2:25" ht="18.75" x14ac:dyDescent="0.3">
      <c r="B3596" s="6">
        <f t="shared" si="563"/>
        <v>0</v>
      </c>
      <c r="C3596" s="6">
        <f t="shared" si="564"/>
        <v>0</v>
      </c>
      <c r="D3596" s="6" t="str">
        <f t="shared" si="565"/>
        <v/>
      </c>
      <c r="E3596" s="35" t="str">
        <f t="shared" si="562"/>
        <v/>
      </c>
      <c r="F3596" s="31"/>
      <c r="G3596" s="29"/>
      <c r="H3596" s="78" t="str">
        <f t="shared" si="566"/>
        <v/>
      </c>
      <c r="I3596" s="25"/>
      <c r="J3596" s="25"/>
      <c r="K3596" s="26"/>
      <c r="L3596" s="26"/>
      <c r="M3596" s="37"/>
      <c r="N3596" s="27"/>
      <c r="O3596" s="30"/>
      <c r="P3596" s="39" t="str">
        <f t="shared" si="567"/>
        <v/>
      </c>
      <c r="Q3596" s="40" t="str">
        <f>IF(OR(T3596=0,RIGHT(T3596,1)=$W$1),"",COUNTIF($T$3:T3596,T3596))</f>
        <v/>
      </c>
      <c r="S3596" s="6">
        <f t="shared" si="568"/>
        <v>0</v>
      </c>
      <c r="T3596" s="36">
        <f t="shared" si="569"/>
        <v>0</v>
      </c>
      <c r="V3596" s="6">
        <f t="shared" si="570"/>
        <v>0</v>
      </c>
      <c r="Y3596" s="8">
        <f t="shared" si="571"/>
        <v>46023</v>
      </c>
    </row>
    <row r="3597" spans="2:25" ht="18.75" x14ac:dyDescent="0.3">
      <c r="B3597" s="6">
        <f t="shared" si="563"/>
        <v>0</v>
      </c>
      <c r="C3597" s="6">
        <f t="shared" si="564"/>
        <v>0</v>
      </c>
      <c r="D3597" s="6" t="str">
        <f t="shared" si="565"/>
        <v/>
      </c>
      <c r="E3597" s="35" t="str">
        <f t="shared" si="562"/>
        <v/>
      </c>
      <c r="F3597" s="31"/>
      <c r="G3597" s="29"/>
      <c r="H3597" s="78" t="str">
        <f t="shared" si="566"/>
        <v/>
      </c>
      <c r="I3597" s="25"/>
      <c r="J3597" s="25"/>
      <c r="K3597" s="26"/>
      <c r="L3597" s="26"/>
      <c r="M3597" s="37"/>
      <c r="N3597" s="27"/>
      <c r="O3597" s="30"/>
      <c r="P3597" s="39" t="str">
        <f t="shared" si="567"/>
        <v/>
      </c>
      <c r="Q3597" s="40" t="str">
        <f>IF(OR(T3597=0,RIGHT(T3597,1)=$W$1),"",COUNTIF($T$3:T3597,T3597))</f>
        <v/>
      </c>
      <c r="S3597" s="6">
        <f t="shared" si="568"/>
        <v>0</v>
      </c>
      <c r="T3597" s="36">
        <f t="shared" si="569"/>
        <v>0</v>
      </c>
      <c r="V3597" s="6">
        <f t="shared" si="570"/>
        <v>0</v>
      </c>
      <c r="Y3597" s="8">
        <f t="shared" si="571"/>
        <v>46023</v>
      </c>
    </row>
    <row r="3598" spans="2:25" ht="18.75" x14ac:dyDescent="0.3">
      <c r="B3598" s="6">
        <f t="shared" si="563"/>
        <v>0</v>
      </c>
      <c r="C3598" s="6">
        <f t="shared" si="564"/>
        <v>0</v>
      </c>
      <c r="D3598" s="6" t="str">
        <f t="shared" si="565"/>
        <v/>
      </c>
      <c r="E3598" s="35" t="str">
        <f t="shared" si="562"/>
        <v/>
      </c>
      <c r="F3598" s="31"/>
      <c r="G3598" s="29"/>
      <c r="H3598" s="78" t="str">
        <f t="shared" si="566"/>
        <v/>
      </c>
      <c r="I3598" s="25"/>
      <c r="J3598" s="25"/>
      <c r="K3598" s="26"/>
      <c r="L3598" s="26"/>
      <c r="M3598" s="37"/>
      <c r="N3598" s="27"/>
      <c r="O3598" s="30"/>
      <c r="P3598" s="39" t="str">
        <f t="shared" si="567"/>
        <v/>
      </c>
      <c r="Q3598" s="40" t="str">
        <f>IF(OR(T3598=0,RIGHT(T3598,1)=$W$1),"",COUNTIF($T$3:T3598,T3598))</f>
        <v/>
      </c>
      <c r="S3598" s="6">
        <f t="shared" si="568"/>
        <v>0</v>
      </c>
      <c r="T3598" s="36">
        <f t="shared" si="569"/>
        <v>0</v>
      </c>
      <c r="V3598" s="6">
        <f t="shared" si="570"/>
        <v>0</v>
      </c>
      <c r="Y3598" s="8">
        <f t="shared" si="571"/>
        <v>46023</v>
      </c>
    </row>
    <row r="3599" spans="2:25" ht="18.75" x14ac:dyDescent="0.3">
      <c r="B3599" s="6">
        <f t="shared" si="563"/>
        <v>0</v>
      </c>
      <c r="C3599" s="6">
        <f t="shared" si="564"/>
        <v>0</v>
      </c>
      <c r="D3599" s="6" t="str">
        <f t="shared" si="565"/>
        <v/>
      </c>
      <c r="E3599" s="35" t="str">
        <f t="shared" si="562"/>
        <v/>
      </c>
      <c r="F3599" s="31"/>
      <c r="G3599" s="29"/>
      <c r="H3599" s="78" t="str">
        <f t="shared" si="566"/>
        <v/>
      </c>
      <c r="I3599" s="25"/>
      <c r="J3599" s="25"/>
      <c r="K3599" s="26"/>
      <c r="L3599" s="26"/>
      <c r="M3599" s="37"/>
      <c r="N3599" s="27"/>
      <c r="O3599" s="30"/>
      <c r="P3599" s="39" t="str">
        <f t="shared" si="567"/>
        <v/>
      </c>
      <c r="Q3599" s="40" t="str">
        <f>IF(OR(T3599=0,RIGHT(T3599,1)=$W$1),"",COUNTIF($T$3:T3599,T3599))</f>
        <v/>
      </c>
      <c r="S3599" s="6">
        <f t="shared" si="568"/>
        <v>0</v>
      </c>
      <c r="T3599" s="36">
        <f t="shared" si="569"/>
        <v>0</v>
      </c>
      <c r="V3599" s="6">
        <f t="shared" si="570"/>
        <v>0</v>
      </c>
      <c r="Y3599" s="8">
        <f t="shared" si="571"/>
        <v>46023</v>
      </c>
    </row>
    <row r="3600" spans="2:25" ht="18.75" x14ac:dyDescent="0.3">
      <c r="B3600" s="6">
        <f t="shared" si="563"/>
        <v>0</v>
      </c>
      <c r="C3600" s="6">
        <f t="shared" si="564"/>
        <v>0</v>
      </c>
      <c r="D3600" s="6" t="str">
        <f t="shared" si="565"/>
        <v/>
      </c>
      <c r="E3600" s="35" t="str">
        <f t="shared" si="562"/>
        <v/>
      </c>
      <c r="F3600" s="31"/>
      <c r="G3600" s="29"/>
      <c r="H3600" s="78" t="str">
        <f t="shared" si="566"/>
        <v/>
      </c>
      <c r="I3600" s="25"/>
      <c r="J3600" s="25"/>
      <c r="K3600" s="26"/>
      <c r="L3600" s="26"/>
      <c r="M3600" s="37"/>
      <c r="N3600" s="27"/>
      <c r="O3600" s="30"/>
      <c r="P3600" s="39" t="str">
        <f t="shared" si="567"/>
        <v/>
      </c>
      <c r="Q3600" s="40" t="str">
        <f>IF(OR(T3600=0,RIGHT(T3600,1)=$W$1),"",COUNTIF($T$3:T3600,T3600))</f>
        <v/>
      </c>
      <c r="S3600" s="6">
        <f t="shared" si="568"/>
        <v>0</v>
      </c>
      <c r="T3600" s="36">
        <f t="shared" si="569"/>
        <v>0</v>
      </c>
      <c r="V3600" s="6">
        <f t="shared" si="570"/>
        <v>0</v>
      </c>
      <c r="Y3600" s="8">
        <f t="shared" si="571"/>
        <v>46023</v>
      </c>
    </row>
    <row r="3601" spans="2:25" ht="18.75" x14ac:dyDescent="0.3">
      <c r="B3601" s="6">
        <f t="shared" si="563"/>
        <v>0</v>
      </c>
      <c r="C3601" s="6">
        <f t="shared" si="564"/>
        <v>0</v>
      </c>
      <c r="D3601" s="6" t="str">
        <f t="shared" si="565"/>
        <v/>
      </c>
      <c r="E3601" s="35" t="str">
        <f t="shared" si="562"/>
        <v/>
      </c>
      <c r="F3601" s="31"/>
      <c r="G3601" s="29"/>
      <c r="H3601" s="78" t="str">
        <f t="shared" si="566"/>
        <v/>
      </c>
      <c r="I3601" s="25"/>
      <c r="J3601" s="25"/>
      <c r="K3601" s="26"/>
      <c r="L3601" s="26"/>
      <c r="M3601" s="37"/>
      <c r="N3601" s="27"/>
      <c r="O3601" s="30"/>
      <c r="P3601" s="39" t="str">
        <f t="shared" si="567"/>
        <v/>
      </c>
      <c r="Q3601" s="40" t="str">
        <f>IF(OR(T3601=0,RIGHT(T3601,1)=$W$1),"",COUNTIF($T$3:T3601,T3601))</f>
        <v/>
      </c>
      <c r="S3601" s="6">
        <f t="shared" si="568"/>
        <v>0</v>
      </c>
      <c r="T3601" s="36">
        <f t="shared" si="569"/>
        <v>0</v>
      </c>
      <c r="V3601" s="6">
        <f t="shared" si="570"/>
        <v>0</v>
      </c>
      <c r="Y3601" s="8">
        <f t="shared" si="571"/>
        <v>46023</v>
      </c>
    </row>
    <row r="3602" spans="2:25" ht="18.75" x14ac:dyDescent="0.3">
      <c r="B3602" s="6">
        <f t="shared" si="563"/>
        <v>0</v>
      </c>
      <c r="C3602" s="6">
        <f t="shared" si="564"/>
        <v>0</v>
      </c>
      <c r="D3602" s="6" t="str">
        <f t="shared" si="565"/>
        <v/>
      </c>
      <c r="E3602" s="35" t="str">
        <f t="shared" si="562"/>
        <v/>
      </c>
      <c r="F3602" s="31"/>
      <c r="G3602" s="29"/>
      <c r="H3602" s="78" t="str">
        <f t="shared" si="566"/>
        <v/>
      </c>
      <c r="I3602" s="25"/>
      <c r="J3602" s="25"/>
      <c r="K3602" s="26"/>
      <c r="L3602" s="26"/>
      <c r="M3602" s="37"/>
      <c r="N3602" s="27"/>
      <c r="O3602" s="30"/>
      <c r="P3602" s="39" t="str">
        <f t="shared" si="567"/>
        <v/>
      </c>
      <c r="Q3602" s="40" t="str">
        <f>IF(OR(T3602=0,RIGHT(T3602,1)=$W$1),"",COUNTIF($T$3:T3602,T3602))</f>
        <v/>
      </c>
      <c r="S3602" s="6">
        <f t="shared" si="568"/>
        <v>0</v>
      </c>
      <c r="T3602" s="36">
        <f t="shared" si="569"/>
        <v>0</v>
      </c>
      <c r="V3602" s="6">
        <f t="shared" si="570"/>
        <v>0</v>
      </c>
      <c r="Y3602" s="8">
        <f t="shared" si="571"/>
        <v>46023</v>
      </c>
    </row>
    <row r="3603" spans="2:25" ht="18.75" x14ac:dyDescent="0.3">
      <c r="B3603" s="6">
        <f t="shared" si="563"/>
        <v>0</v>
      </c>
      <c r="C3603" s="6">
        <f t="shared" si="564"/>
        <v>0</v>
      </c>
      <c r="D3603" s="6" t="str">
        <f t="shared" si="565"/>
        <v/>
      </c>
      <c r="E3603" s="35" t="str">
        <f t="shared" si="562"/>
        <v/>
      </c>
      <c r="F3603" s="31"/>
      <c r="G3603" s="29"/>
      <c r="H3603" s="78" t="str">
        <f t="shared" si="566"/>
        <v/>
      </c>
      <c r="I3603" s="25"/>
      <c r="J3603" s="25"/>
      <c r="K3603" s="26"/>
      <c r="L3603" s="26"/>
      <c r="M3603" s="37"/>
      <c r="N3603" s="27"/>
      <c r="O3603" s="30"/>
      <c r="P3603" s="39" t="str">
        <f t="shared" si="567"/>
        <v/>
      </c>
      <c r="Q3603" s="40" t="str">
        <f>IF(OR(T3603=0,RIGHT(T3603,1)=$W$1),"",COUNTIF($T$3:T3603,T3603))</f>
        <v/>
      </c>
      <c r="S3603" s="6">
        <f t="shared" si="568"/>
        <v>0</v>
      </c>
      <c r="T3603" s="36">
        <f t="shared" si="569"/>
        <v>0</v>
      </c>
      <c r="V3603" s="6">
        <f t="shared" si="570"/>
        <v>0</v>
      </c>
      <c r="Y3603" s="8">
        <f t="shared" si="571"/>
        <v>46023</v>
      </c>
    </row>
    <row r="3604" spans="2:25" ht="18.75" x14ac:dyDescent="0.3">
      <c r="B3604" s="6">
        <f t="shared" si="563"/>
        <v>0</v>
      </c>
      <c r="C3604" s="6">
        <f t="shared" si="564"/>
        <v>0</v>
      </c>
      <c r="D3604" s="6" t="str">
        <f t="shared" si="565"/>
        <v/>
      </c>
      <c r="E3604" s="35" t="str">
        <f t="shared" si="562"/>
        <v/>
      </c>
      <c r="F3604" s="31"/>
      <c r="G3604" s="29"/>
      <c r="H3604" s="78" t="str">
        <f t="shared" si="566"/>
        <v/>
      </c>
      <c r="I3604" s="25"/>
      <c r="J3604" s="25"/>
      <c r="K3604" s="26"/>
      <c r="L3604" s="26"/>
      <c r="M3604" s="37"/>
      <c r="N3604" s="27"/>
      <c r="O3604" s="30"/>
      <c r="P3604" s="39" t="str">
        <f t="shared" si="567"/>
        <v/>
      </c>
      <c r="Q3604" s="40" t="str">
        <f>IF(OR(T3604=0,RIGHT(T3604,1)=$W$1),"",COUNTIF($T$3:T3604,T3604))</f>
        <v/>
      </c>
      <c r="S3604" s="6">
        <f t="shared" si="568"/>
        <v>0</v>
      </c>
      <c r="T3604" s="36">
        <f t="shared" si="569"/>
        <v>0</v>
      </c>
      <c r="V3604" s="6">
        <f t="shared" si="570"/>
        <v>0</v>
      </c>
      <c r="Y3604" s="8">
        <f t="shared" si="571"/>
        <v>46023</v>
      </c>
    </row>
    <row r="3605" spans="2:25" ht="18.75" x14ac:dyDescent="0.3">
      <c r="B3605" s="6">
        <f t="shared" si="563"/>
        <v>0</v>
      </c>
      <c r="C3605" s="6">
        <f t="shared" si="564"/>
        <v>0</v>
      </c>
      <c r="D3605" s="6" t="str">
        <f t="shared" si="565"/>
        <v/>
      </c>
      <c r="E3605" s="35" t="str">
        <f t="shared" si="562"/>
        <v/>
      </c>
      <c r="F3605" s="31"/>
      <c r="G3605" s="29"/>
      <c r="H3605" s="78" t="str">
        <f t="shared" si="566"/>
        <v/>
      </c>
      <c r="I3605" s="25"/>
      <c r="J3605" s="25"/>
      <c r="K3605" s="26"/>
      <c r="L3605" s="26"/>
      <c r="M3605" s="37"/>
      <c r="N3605" s="27"/>
      <c r="O3605" s="30"/>
      <c r="P3605" s="39" t="str">
        <f t="shared" si="567"/>
        <v/>
      </c>
      <c r="Q3605" s="40" t="str">
        <f>IF(OR(T3605=0,RIGHT(T3605,1)=$W$1),"",COUNTIF($T$3:T3605,T3605))</f>
        <v/>
      </c>
      <c r="S3605" s="6">
        <f t="shared" si="568"/>
        <v>0</v>
      </c>
      <c r="T3605" s="36">
        <f t="shared" si="569"/>
        <v>0</v>
      </c>
      <c r="V3605" s="6">
        <f t="shared" si="570"/>
        <v>0</v>
      </c>
      <c r="Y3605" s="8">
        <f t="shared" si="571"/>
        <v>46023</v>
      </c>
    </row>
    <row r="3606" spans="2:25" ht="18.75" x14ac:dyDescent="0.3">
      <c r="B3606" s="6">
        <f t="shared" si="563"/>
        <v>0</v>
      </c>
      <c r="C3606" s="6">
        <f t="shared" si="564"/>
        <v>0</v>
      </c>
      <c r="D3606" s="6" t="str">
        <f t="shared" si="565"/>
        <v/>
      </c>
      <c r="E3606" s="35" t="str">
        <f t="shared" si="562"/>
        <v/>
      </c>
      <c r="F3606" s="31"/>
      <c r="G3606" s="29"/>
      <c r="H3606" s="78" t="str">
        <f t="shared" si="566"/>
        <v/>
      </c>
      <c r="I3606" s="25"/>
      <c r="J3606" s="25"/>
      <c r="K3606" s="26"/>
      <c r="L3606" s="26"/>
      <c r="M3606" s="37"/>
      <c r="N3606" s="27"/>
      <c r="O3606" s="30"/>
      <c r="P3606" s="39" t="str">
        <f t="shared" si="567"/>
        <v/>
      </c>
      <c r="Q3606" s="40" t="str">
        <f>IF(OR(T3606=0,RIGHT(T3606,1)=$W$1),"",COUNTIF($T$3:T3606,T3606))</f>
        <v/>
      </c>
      <c r="S3606" s="6">
        <f t="shared" si="568"/>
        <v>0</v>
      </c>
      <c r="T3606" s="36">
        <f t="shared" si="569"/>
        <v>0</v>
      </c>
      <c r="V3606" s="6">
        <f t="shared" si="570"/>
        <v>0</v>
      </c>
      <c r="Y3606" s="8">
        <f t="shared" si="571"/>
        <v>46023</v>
      </c>
    </row>
    <row r="3607" spans="2:25" ht="18.75" x14ac:dyDescent="0.3">
      <c r="B3607" s="6">
        <f t="shared" si="563"/>
        <v>0</v>
      </c>
      <c r="C3607" s="6">
        <f t="shared" si="564"/>
        <v>0</v>
      </c>
      <c r="D3607" s="6" t="str">
        <f t="shared" si="565"/>
        <v/>
      </c>
      <c r="E3607" s="35" t="str">
        <f t="shared" si="562"/>
        <v/>
      </c>
      <c r="F3607" s="31"/>
      <c r="G3607" s="29"/>
      <c r="H3607" s="78" t="str">
        <f t="shared" si="566"/>
        <v/>
      </c>
      <c r="I3607" s="25"/>
      <c r="J3607" s="25"/>
      <c r="K3607" s="26"/>
      <c r="L3607" s="26"/>
      <c r="M3607" s="37"/>
      <c r="N3607" s="27"/>
      <c r="O3607" s="30"/>
      <c r="P3607" s="39" t="str">
        <f t="shared" si="567"/>
        <v/>
      </c>
      <c r="Q3607" s="40" t="str">
        <f>IF(OR(T3607=0,RIGHT(T3607,1)=$W$1),"",COUNTIF($T$3:T3607,T3607))</f>
        <v/>
      </c>
      <c r="S3607" s="6">
        <f t="shared" si="568"/>
        <v>0</v>
      </c>
      <c r="T3607" s="36">
        <f t="shared" si="569"/>
        <v>0</v>
      </c>
      <c r="V3607" s="6">
        <f t="shared" si="570"/>
        <v>0</v>
      </c>
      <c r="Y3607" s="8">
        <f t="shared" si="571"/>
        <v>46023</v>
      </c>
    </row>
    <row r="3608" spans="2:25" ht="18.75" x14ac:dyDescent="0.3">
      <c r="B3608" s="6">
        <f t="shared" si="563"/>
        <v>0</v>
      </c>
      <c r="C3608" s="6">
        <f t="shared" si="564"/>
        <v>0</v>
      </c>
      <c r="D3608" s="6" t="str">
        <f t="shared" si="565"/>
        <v/>
      </c>
      <c r="E3608" s="35" t="str">
        <f t="shared" si="562"/>
        <v/>
      </c>
      <c r="F3608" s="31"/>
      <c r="G3608" s="29"/>
      <c r="H3608" s="78" t="str">
        <f t="shared" si="566"/>
        <v/>
      </c>
      <c r="I3608" s="25"/>
      <c r="J3608" s="25"/>
      <c r="K3608" s="26"/>
      <c r="L3608" s="26"/>
      <c r="M3608" s="37"/>
      <c r="N3608" s="27"/>
      <c r="O3608" s="30"/>
      <c r="P3608" s="39" t="str">
        <f t="shared" si="567"/>
        <v/>
      </c>
      <c r="Q3608" s="40" t="str">
        <f>IF(OR(T3608=0,RIGHT(T3608,1)=$W$1),"",COUNTIF($T$3:T3608,T3608))</f>
        <v/>
      </c>
      <c r="S3608" s="6">
        <f t="shared" si="568"/>
        <v>0</v>
      </c>
      <c r="T3608" s="36">
        <f t="shared" si="569"/>
        <v>0</v>
      </c>
      <c r="V3608" s="6">
        <f t="shared" si="570"/>
        <v>0</v>
      </c>
      <c r="Y3608" s="8">
        <f t="shared" si="571"/>
        <v>46023</v>
      </c>
    </row>
    <row r="3609" spans="2:25" ht="18.75" x14ac:dyDescent="0.3">
      <c r="B3609" s="6">
        <f t="shared" si="563"/>
        <v>0</v>
      </c>
      <c r="C3609" s="6">
        <f t="shared" si="564"/>
        <v>0</v>
      </c>
      <c r="D3609" s="6" t="str">
        <f t="shared" si="565"/>
        <v/>
      </c>
      <c r="E3609" s="35" t="str">
        <f t="shared" si="562"/>
        <v/>
      </c>
      <c r="F3609" s="31"/>
      <c r="G3609" s="29"/>
      <c r="H3609" s="78" t="str">
        <f t="shared" si="566"/>
        <v/>
      </c>
      <c r="I3609" s="25"/>
      <c r="J3609" s="25"/>
      <c r="K3609" s="26"/>
      <c r="L3609" s="26"/>
      <c r="M3609" s="37"/>
      <c r="N3609" s="27"/>
      <c r="O3609" s="30"/>
      <c r="P3609" s="39" t="str">
        <f t="shared" si="567"/>
        <v/>
      </c>
      <c r="Q3609" s="40" t="str">
        <f>IF(OR(T3609=0,RIGHT(T3609,1)=$W$1),"",COUNTIF($T$3:T3609,T3609))</f>
        <v/>
      </c>
      <c r="S3609" s="6">
        <f t="shared" si="568"/>
        <v>0</v>
      </c>
      <c r="T3609" s="36">
        <f t="shared" si="569"/>
        <v>0</v>
      </c>
      <c r="V3609" s="6">
        <f t="shared" si="570"/>
        <v>0</v>
      </c>
      <c r="Y3609" s="8">
        <f t="shared" si="571"/>
        <v>46023</v>
      </c>
    </row>
    <row r="3610" spans="2:25" ht="18.75" x14ac:dyDescent="0.3">
      <c r="B3610" s="6">
        <f t="shared" si="563"/>
        <v>0</v>
      </c>
      <c r="C3610" s="6">
        <f t="shared" si="564"/>
        <v>0</v>
      </c>
      <c r="D3610" s="6" t="str">
        <f t="shared" si="565"/>
        <v/>
      </c>
      <c r="E3610" s="35" t="str">
        <f t="shared" si="562"/>
        <v/>
      </c>
      <c r="F3610" s="31"/>
      <c r="G3610" s="29"/>
      <c r="H3610" s="78" t="str">
        <f t="shared" si="566"/>
        <v/>
      </c>
      <c r="I3610" s="25"/>
      <c r="J3610" s="25"/>
      <c r="K3610" s="26"/>
      <c r="L3610" s="26"/>
      <c r="M3610" s="37"/>
      <c r="N3610" s="27"/>
      <c r="O3610" s="30"/>
      <c r="P3610" s="39" t="str">
        <f t="shared" si="567"/>
        <v/>
      </c>
      <c r="Q3610" s="40" t="str">
        <f>IF(OR(T3610=0,RIGHT(T3610,1)=$W$1),"",COUNTIF($T$3:T3610,T3610))</f>
        <v/>
      </c>
      <c r="S3610" s="6">
        <f t="shared" si="568"/>
        <v>0</v>
      </c>
      <c r="T3610" s="36">
        <f t="shared" si="569"/>
        <v>0</v>
      </c>
      <c r="V3610" s="6">
        <f t="shared" si="570"/>
        <v>0</v>
      </c>
      <c r="Y3610" s="8">
        <f t="shared" si="571"/>
        <v>46023</v>
      </c>
    </row>
    <row r="3611" spans="2:25" ht="18.75" x14ac:dyDescent="0.3">
      <c r="B3611" s="6">
        <f t="shared" si="563"/>
        <v>0</v>
      </c>
      <c r="C3611" s="6">
        <f t="shared" si="564"/>
        <v>0</v>
      </c>
      <c r="D3611" s="6" t="str">
        <f t="shared" si="565"/>
        <v/>
      </c>
      <c r="E3611" s="35" t="str">
        <f t="shared" si="562"/>
        <v/>
      </c>
      <c r="F3611" s="31"/>
      <c r="G3611" s="29"/>
      <c r="H3611" s="78" t="str">
        <f t="shared" si="566"/>
        <v/>
      </c>
      <c r="I3611" s="25"/>
      <c r="J3611" s="25"/>
      <c r="K3611" s="26"/>
      <c r="L3611" s="26"/>
      <c r="M3611" s="37"/>
      <c r="N3611" s="27"/>
      <c r="O3611" s="30"/>
      <c r="P3611" s="39" t="str">
        <f t="shared" si="567"/>
        <v/>
      </c>
      <c r="Q3611" s="40" t="str">
        <f>IF(OR(T3611=0,RIGHT(T3611,1)=$W$1),"",COUNTIF($T$3:T3611,T3611))</f>
        <v/>
      </c>
      <c r="S3611" s="6">
        <f t="shared" si="568"/>
        <v>0</v>
      </c>
      <c r="T3611" s="36">
        <f t="shared" si="569"/>
        <v>0</v>
      </c>
      <c r="V3611" s="6">
        <f t="shared" si="570"/>
        <v>0</v>
      </c>
      <c r="Y3611" s="8">
        <f t="shared" si="571"/>
        <v>46023</v>
      </c>
    </row>
    <row r="3612" spans="2:25" ht="18.75" x14ac:dyDescent="0.3">
      <c r="B3612" s="6">
        <f t="shared" si="563"/>
        <v>0</v>
      </c>
      <c r="C3612" s="6">
        <f t="shared" si="564"/>
        <v>0</v>
      </c>
      <c r="D3612" s="6" t="str">
        <f t="shared" si="565"/>
        <v/>
      </c>
      <c r="E3612" s="35" t="str">
        <f t="shared" si="562"/>
        <v/>
      </c>
      <c r="F3612" s="31"/>
      <c r="G3612" s="29"/>
      <c r="H3612" s="78" t="str">
        <f t="shared" si="566"/>
        <v/>
      </c>
      <c r="I3612" s="25"/>
      <c r="J3612" s="25"/>
      <c r="K3612" s="26"/>
      <c r="L3612" s="26"/>
      <c r="M3612" s="37"/>
      <c r="N3612" s="27"/>
      <c r="O3612" s="30"/>
      <c r="P3612" s="39" t="str">
        <f t="shared" si="567"/>
        <v/>
      </c>
      <c r="Q3612" s="40" t="str">
        <f>IF(OR(T3612=0,RIGHT(T3612,1)=$W$1),"",COUNTIF($T$3:T3612,T3612))</f>
        <v/>
      </c>
      <c r="S3612" s="6">
        <f t="shared" si="568"/>
        <v>0</v>
      </c>
      <c r="T3612" s="36">
        <f t="shared" si="569"/>
        <v>0</v>
      </c>
      <c r="V3612" s="6">
        <f t="shared" si="570"/>
        <v>0</v>
      </c>
      <c r="Y3612" s="8">
        <f t="shared" si="571"/>
        <v>46023</v>
      </c>
    </row>
    <row r="3613" spans="2:25" ht="18.75" x14ac:dyDescent="0.3">
      <c r="B3613" s="6">
        <f t="shared" si="563"/>
        <v>0</v>
      </c>
      <c r="C3613" s="6">
        <f t="shared" si="564"/>
        <v>0</v>
      </c>
      <c r="D3613" s="6" t="str">
        <f t="shared" si="565"/>
        <v/>
      </c>
      <c r="E3613" s="35" t="str">
        <f t="shared" si="562"/>
        <v/>
      </c>
      <c r="F3613" s="31"/>
      <c r="G3613" s="29"/>
      <c r="H3613" s="78" t="str">
        <f t="shared" si="566"/>
        <v/>
      </c>
      <c r="I3613" s="25"/>
      <c r="J3613" s="25"/>
      <c r="K3613" s="26"/>
      <c r="L3613" s="26"/>
      <c r="M3613" s="37"/>
      <c r="N3613" s="27"/>
      <c r="O3613" s="30"/>
      <c r="P3613" s="39" t="str">
        <f t="shared" si="567"/>
        <v/>
      </c>
      <c r="Q3613" s="40" t="str">
        <f>IF(OR(T3613=0,RIGHT(T3613,1)=$W$1),"",COUNTIF($T$3:T3613,T3613))</f>
        <v/>
      </c>
      <c r="S3613" s="6">
        <f t="shared" si="568"/>
        <v>0</v>
      </c>
      <c r="T3613" s="36">
        <f t="shared" si="569"/>
        <v>0</v>
      </c>
      <c r="V3613" s="6">
        <f t="shared" si="570"/>
        <v>0</v>
      </c>
      <c r="Y3613" s="8">
        <f t="shared" si="571"/>
        <v>46023</v>
      </c>
    </row>
    <row r="3614" spans="2:25" ht="18.75" x14ac:dyDescent="0.3">
      <c r="B3614" s="6">
        <f t="shared" si="563"/>
        <v>0</v>
      </c>
      <c r="C3614" s="6">
        <f t="shared" si="564"/>
        <v>0</v>
      </c>
      <c r="D3614" s="6" t="str">
        <f t="shared" si="565"/>
        <v/>
      </c>
      <c r="E3614" s="35" t="str">
        <f t="shared" si="562"/>
        <v/>
      </c>
      <c r="F3614" s="31"/>
      <c r="G3614" s="29"/>
      <c r="H3614" s="78" t="str">
        <f t="shared" si="566"/>
        <v/>
      </c>
      <c r="I3614" s="25"/>
      <c r="J3614" s="25"/>
      <c r="K3614" s="26"/>
      <c r="L3614" s="26"/>
      <c r="M3614" s="37"/>
      <c r="N3614" s="27"/>
      <c r="O3614" s="30"/>
      <c r="P3614" s="39" t="str">
        <f t="shared" si="567"/>
        <v/>
      </c>
      <c r="Q3614" s="40" t="str">
        <f>IF(OR(T3614=0,RIGHT(T3614,1)=$W$1),"",COUNTIF($T$3:T3614,T3614))</f>
        <v/>
      </c>
      <c r="S3614" s="6">
        <f t="shared" si="568"/>
        <v>0</v>
      </c>
      <c r="T3614" s="36">
        <f t="shared" si="569"/>
        <v>0</v>
      </c>
      <c r="V3614" s="6">
        <f t="shared" si="570"/>
        <v>0</v>
      </c>
      <c r="Y3614" s="8">
        <f t="shared" si="571"/>
        <v>46023</v>
      </c>
    </row>
    <row r="3615" spans="2:25" ht="18.75" x14ac:dyDescent="0.3">
      <c r="B3615" s="6">
        <f t="shared" si="563"/>
        <v>0</v>
      </c>
      <c r="C3615" s="6">
        <f t="shared" si="564"/>
        <v>0</v>
      </c>
      <c r="D3615" s="6" t="str">
        <f t="shared" si="565"/>
        <v/>
      </c>
      <c r="E3615" s="35" t="str">
        <f t="shared" si="562"/>
        <v/>
      </c>
      <c r="F3615" s="31"/>
      <c r="G3615" s="29"/>
      <c r="H3615" s="78" t="str">
        <f t="shared" si="566"/>
        <v/>
      </c>
      <c r="I3615" s="25"/>
      <c r="J3615" s="25"/>
      <c r="K3615" s="26"/>
      <c r="L3615" s="26"/>
      <c r="M3615" s="37"/>
      <c r="N3615" s="27"/>
      <c r="O3615" s="30"/>
      <c r="P3615" s="39" t="str">
        <f t="shared" si="567"/>
        <v/>
      </c>
      <c r="Q3615" s="40" t="str">
        <f>IF(OR(T3615=0,RIGHT(T3615,1)=$W$1),"",COUNTIF($T$3:T3615,T3615))</f>
        <v/>
      </c>
      <c r="S3615" s="6">
        <f t="shared" si="568"/>
        <v>0</v>
      </c>
      <c r="T3615" s="36">
        <f t="shared" si="569"/>
        <v>0</v>
      </c>
      <c r="V3615" s="6">
        <f t="shared" si="570"/>
        <v>0</v>
      </c>
      <c r="Y3615" s="8">
        <f t="shared" si="571"/>
        <v>46023</v>
      </c>
    </row>
    <row r="3616" spans="2:25" ht="18.75" x14ac:dyDescent="0.3">
      <c r="B3616" s="6">
        <f t="shared" si="563"/>
        <v>0</v>
      </c>
      <c r="C3616" s="6">
        <f t="shared" si="564"/>
        <v>0</v>
      </c>
      <c r="D3616" s="6" t="str">
        <f t="shared" si="565"/>
        <v/>
      </c>
      <c r="E3616" s="35" t="str">
        <f t="shared" si="562"/>
        <v/>
      </c>
      <c r="F3616" s="31"/>
      <c r="G3616" s="29"/>
      <c r="H3616" s="78" t="str">
        <f t="shared" si="566"/>
        <v/>
      </c>
      <c r="I3616" s="25"/>
      <c r="J3616" s="25"/>
      <c r="K3616" s="26"/>
      <c r="L3616" s="26"/>
      <c r="M3616" s="37"/>
      <c r="N3616" s="27"/>
      <c r="O3616" s="30"/>
      <c r="P3616" s="39" t="str">
        <f t="shared" si="567"/>
        <v/>
      </c>
      <c r="Q3616" s="40" t="str">
        <f>IF(OR(T3616=0,RIGHT(T3616,1)=$W$1),"",COUNTIF($T$3:T3616,T3616))</f>
        <v/>
      </c>
      <c r="S3616" s="6">
        <f t="shared" si="568"/>
        <v>0</v>
      </c>
      <c r="T3616" s="36">
        <f t="shared" si="569"/>
        <v>0</v>
      </c>
      <c r="V3616" s="6">
        <f t="shared" si="570"/>
        <v>0</v>
      </c>
      <c r="Y3616" s="8">
        <f t="shared" si="571"/>
        <v>46023</v>
      </c>
    </row>
    <row r="3617" spans="2:25" ht="18.75" x14ac:dyDescent="0.3">
      <c r="B3617" s="6">
        <f t="shared" si="563"/>
        <v>0</v>
      </c>
      <c r="C3617" s="6">
        <f t="shared" si="564"/>
        <v>0</v>
      </c>
      <c r="D3617" s="6" t="str">
        <f t="shared" si="565"/>
        <v/>
      </c>
      <c r="E3617" s="35" t="str">
        <f t="shared" si="562"/>
        <v/>
      </c>
      <c r="F3617" s="31"/>
      <c r="G3617" s="29"/>
      <c r="H3617" s="78" t="str">
        <f t="shared" si="566"/>
        <v/>
      </c>
      <c r="I3617" s="25"/>
      <c r="J3617" s="25"/>
      <c r="K3617" s="26"/>
      <c r="L3617" s="26"/>
      <c r="M3617" s="37"/>
      <c r="N3617" s="27"/>
      <c r="O3617" s="30"/>
      <c r="P3617" s="39" t="str">
        <f t="shared" si="567"/>
        <v/>
      </c>
      <c r="Q3617" s="40" t="str">
        <f>IF(OR(T3617=0,RIGHT(T3617,1)=$W$1),"",COUNTIF($T$3:T3617,T3617))</f>
        <v/>
      </c>
      <c r="S3617" s="6">
        <f t="shared" si="568"/>
        <v>0</v>
      </c>
      <c r="T3617" s="36">
        <f t="shared" si="569"/>
        <v>0</v>
      </c>
      <c r="V3617" s="6">
        <f t="shared" si="570"/>
        <v>0</v>
      </c>
      <c r="Y3617" s="8">
        <f t="shared" si="571"/>
        <v>46023</v>
      </c>
    </row>
    <row r="3618" spans="2:25" ht="18.75" x14ac:dyDescent="0.3">
      <c r="B3618" s="6">
        <f t="shared" si="563"/>
        <v>0</v>
      </c>
      <c r="C3618" s="6">
        <f t="shared" si="564"/>
        <v>0</v>
      </c>
      <c r="D3618" s="6" t="str">
        <f t="shared" si="565"/>
        <v/>
      </c>
      <c r="E3618" s="35" t="str">
        <f t="shared" si="562"/>
        <v/>
      </c>
      <c r="F3618" s="31"/>
      <c r="G3618" s="29"/>
      <c r="H3618" s="78" t="str">
        <f t="shared" si="566"/>
        <v/>
      </c>
      <c r="I3618" s="25"/>
      <c r="J3618" s="25"/>
      <c r="K3618" s="26"/>
      <c r="L3618" s="26"/>
      <c r="M3618" s="37"/>
      <c r="N3618" s="27"/>
      <c r="O3618" s="30"/>
      <c r="P3618" s="39" t="str">
        <f t="shared" si="567"/>
        <v/>
      </c>
      <c r="Q3618" s="40" t="str">
        <f>IF(OR(T3618=0,RIGHT(T3618,1)=$W$1),"",COUNTIF($T$3:T3618,T3618))</f>
        <v/>
      </c>
      <c r="S3618" s="6">
        <f t="shared" si="568"/>
        <v>0</v>
      </c>
      <c r="T3618" s="36">
        <f t="shared" si="569"/>
        <v>0</v>
      </c>
      <c r="V3618" s="6">
        <f t="shared" si="570"/>
        <v>0</v>
      </c>
      <c r="Y3618" s="8">
        <f t="shared" si="571"/>
        <v>46023</v>
      </c>
    </row>
    <row r="3619" spans="2:25" ht="18.75" x14ac:dyDescent="0.3">
      <c r="B3619" s="6">
        <f t="shared" si="563"/>
        <v>0</v>
      </c>
      <c r="C3619" s="6">
        <f t="shared" si="564"/>
        <v>0</v>
      </c>
      <c r="D3619" s="6" t="str">
        <f t="shared" si="565"/>
        <v/>
      </c>
      <c r="E3619" s="35" t="str">
        <f t="shared" si="562"/>
        <v/>
      </c>
      <c r="F3619" s="31"/>
      <c r="G3619" s="29"/>
      <c r="H3619" s="78" t="str">
        <f t="shared" si="566"/>
        <v/>
      </c>
      <c r="I3619" s="25"/>
      <c r="J3619" s="25"/>
      <c r="K3619" s="26"/>
      <c r="L3619" s="26"/>
      <c r="M3619" s="37"/>
      <c r="N3619" s="27"/>
      <c r="O3619" s="30"/>
      <c r="P3619" s="39" t="str">
        <f t="shared" si="567"/>
        <v/>
      </c>
      <c r="Q3619" s="40" t="str">
        <f>IF(OR(T3619=0,RIGHT(T3619,1)=$W$1),"",COUNTIF($T$3:T3619,T3619))</f>
        <v/>
      </c>
      <c r="S3619" s="6">
        <f t="shared" si="568"/>
        <v>0</v>
      </c>
      <c r="T3619" s="36">
        <f t="shared" si="569"/>
        <v>0</v>
      </c>
      <c r="V3619" s="6">
        <f t="shared" si="570"/>
        <v>0</v>
      </c>
      <c r="Y3619" s="8">
        <f t="shared" si="571"/>
        <v>46023</v>
      </c>
    </row>
    <row r="3620" spans="2:25" ht="18.75" x14ac:dyDescent="0.3">
      <c r="B3620" s="6">
        <f t="shared" si="563"/>
        <v>0</v>
      </c>
      <c r="C3620" s="6">
        <f t="shared" si="564"/>
        <v>0</v>
      </c>
      <c r="D3620" s="6" t="str">
        <f t="shared" si="565"/>
        <v/>
      </c>
      <c r="E3620" s="35" t="str">
        <f t="shared" si="562"/>
        <v/>
      </c>
      <c r="F3620" s="31"/>
      <c r="G3620" s="29"/>
      <c r="H3620" s="78" t="str">
        <f t="shared" si="566"/>
        <v/>
      </c>
      <c r="I3620" s="25"/>
      <c r="J3620" s="25"/>
      <c r="K3620" s="26"/>
      <c r="L3620" s="26"/>
      <c r="M3620" s="37"/>
      <c r="N3620" s="27"/>
      <c r="O3620" s="30"/>
      <c r="P3620" s="39" t="str">
        <f t="shared" si="567"/>
        <v/>
      </c>
      <c r="Q3620" s="40" t="str">
        <f>IF(OR(T3620=0,RIGHT(T3620,1)=$W$1),"",COUNTIF($T$3:T3620,T3620))</f>
        <v/>
      </c>
      <c r="S3620" s="6">
        <f t="shared" si="568"/>
        <v>0</v>
      </c>
      <c r="T3620" s="36">
        <f t="shared" si="569"/>
        <v>0</v>
      </c>
      <c r="V3620" s="6">
        <f t="shared" si="570"/>
        <v>0</v>
      </c>
      <c r="Y3620" s="8">
        <f t="shared" si="571"/>
        <v>46023</v>
      </c>
    </row>
    <row r="3621" spans="2:25" ht="18.75" x14ac:dyDescent="0.3">
      <c r="B3621" s="6">
        <f t="shared" si="563"/>
        <v>0</v>
      </c>
      <c r="C3621" s="6">
        <f t="shared" si="564"/>
        <v>0</v>
      </c>
      <c r="D3621" s="6" t="str">
        <f t="shared" si="565"/>
        <v/>
      </c>
      <c r="E3621" s="35" t="str">
        <f t="shared" si="562"/>
        <v/>
      </c>
      <c r="F3621" s="31"/>
      <c r="G3621" s="29"/>
      <c r="H3621" s="78" t="str">
        <f t="shared" si="566"/>
        <v/>
      </c>
      <c r="I3621" s="25"/>
      <c r="J3621" s="25"/>
      <c r="K3621" s="26"/>
      <c r="L3621" s="26"/>
      <c r="M3621" s="37"/>
      <c r="N3621" s="27"/>
      <c r="O3621" s="30"/>
      <c r="P3621" s="39" t="str">
        <f t="shared" si="567"/>
        <v/>
      </c>
      <c r="Q3621" s="40" t="str">
        <f>IF(OR(T3621=0,RIGHT(T3621,1)=$W$1),"",COUNTIF($T$3:T3621,T3621))</f>
        <v/>
      </c>
      <c r="S3621" s="6">
        <f t="shared" si="568"/>
        <v>0</v>
      </c>
      <c r="T3621" s="36">
        <f t="shared" si="569"/>
        <v>0</v>
      </c>
      <c r="V3621" s="6">
        <f t="shared" si="570"/>
        <v>0</v>
      </c>
      <c r="Y3621" s="8">
        <f t="shared" si="571"/>
        <v>46023</v>
      </c>
    </row>
    <row r="3622" spans="2:25" ht="18.75" x14ac:dyDescent="0.3">
      <c r="B3622" s="6">
        <f t="shared" si="563"/>
        <v>0</v>
      </c>
      <c r="C3622" s="6">
        <f t="shared" si="564"/>
        <v>0</v>
      </c>
      <c r="D3622" s="6" t="str">
        <f t="shared" si="565"/>
        <v/>
      </c>
      <c r="E3622" s="35" t="str">
        <f t="shared" si="562"/>
        <v/>
      </c>
      <c r="F3622" s="31"/>
      <c r="G3622" s="29"/>
      <c r="H3622" s="78" t="str">
        <f t="shared" si="566"/>
        <v/>
      </c>
      <c r="I3622" s="25"/>
      <c r="J3622" s="25"/>
      <c r="K3622" s="26"/>
      <c r="L3622" s="26"/>
      <c r="M3622" s="37"/>
      <c r="N3622" s="27"/>
      <c r="O3622" s="30"/>
      <c r="P3622" s="39" t="str">
        <f t="shared" si="567"/>
        <v/>
      </c>
      <c r="Q3622" s="40" t="str">
        <f>IF(OR(T3622=0,RIGHT(T3622,1)=$W$1),"",COUNTIF($T$3:T3622,T3622))</f>
        <v/>
      </c>
      <c r="S3622" s="6">
        <f t="shared" si="568"/>
        <v>0</v>
      </c>
      <c r="T3622" s="36">
        <f t="shared" si="569"/>
        <v>0</v>
      </c>
      <c r="V3622" s="6">
        <f t="shared" si="570"/>
        <v>0</v>
      </c>
      <c r="Y3622" s="8">
        <f t="shared" si="571"/>
        <v>46023</v>
      </c>
    </row>
    <row r="3623" spans="2:25" ht="18.75" x14ac:dyDescent="0.3">
      <c r="B3623" s="6">
        <f t="shared" si="563"/>
        <v>0</v>
      </c>
      <c r="C3623" s="6">
        <f t="shared" si="564"/>
        <v>0</v>
      </c>
      <c r="D3623" s="6" t="str">
        <f t="shared" si="565"/>
        <v/>
      </c>
      <c r="E3623" s="35" t="str">
        <f t="shared" si="562"/>
        <v/>
      </c>
      <c r="F3623" s="31"/>
      <c r="G3623" s="29"/>
      <c r="H3623" s="78" t="str">
        <f t="shared" si="566"/>
        <v/>
      </c>
      <c r="I3623" s="25"/>
      <c r="J3623" s="25"/>
      <c r="K3623" s="26"/>
      <c r="L3623" s="26"/>
      <c r="M3623" s="37"/>
      <c r="N3623" s="27"/>
      <c r="O3623" s="30"/>
      <c r="P3623" s="39" t="str">
        <f t="shared" si="567"/>
        <v/>
      </c>
      <c r="Q3623" s="40" t="str">
        <f>IF(OR(T3623=0,RIGHT(T3623,1)=$W$1),"",COUNTIF($T$3:T3623,T3623))</f>
        <v/>
      </c>
      <c r="S3623" s="6">
        <f t="shared" si="568"/>
        <v>0</v>
      </c>
      <c r="T3623" s="36">
        <f t="shared" si="569"/>
        <v>0</v>
      </c>
      <c r="V3623" s="6">
        <f t="shared" si="570"/>
        <v>0</v>
      </c>
      <c r="Y3623" s="8">
        <f t="shared" si="571"/>
        <v>46023</v>
      </c>
    </row>
    <row r="3624" spans="2:25" ht="18.75" x14ac:dyDescent="0.3">
      <c r="B3624" s="6">
        <f t="shared" si="563"/>
        <v>0</v>
      </c>
      <c r="C3624" s="6">
        <f t="shared" si="564"/>
        <v>0</v>
      </c>
      <c r="D3624" s="6" t="str">
        <f t="shared" si="565"/>
        <v/>
      </c>
      <c r="E3624" s="35" t="str">
        <f t="shared" si="562"/>
        <v/>
      </c>
      <c r="F3624" s="31"/>
      <c r="G3624" s="29"/>
      <c r="H3624" s="78" t="str">
        <f t="shared" si="566"/>
        <v/>
      </c>
      <c r="I3624" s="25"/>
      <c r="J3624" s="25"/>
      <c r="K3624" s="26"/>
      <c r="L3624" s="26"/>
      <c r="M3624" s="37"/>
      <c r="N3624" s="27"/>
      <c r="O3624" s="30"/>
      <c r="P3624" s="39" t="str">
        <f t="shared" si="567"/>
        <v/>
      </c>
      <c r="Q3624" s="40" t="str">
        <f>IF(OR(T3624=0,RIGHT(T3624,1)=$W$1),"",COUNTIF($T$3:T3624,T3624))</f>
        <v/>
      </c>
      <c r="S3624" s="6">
        <f t="shared" si="568"/>
        <v>0</v>
      </c>
      <c r="T3624" s="36">
        <f t="shared" si="569"/>
        <v>0</v>
      </c>
      <c r="V3624" s="6">
        <f t="shared" si="570"/>
        <v>0</v>
      </c>
      <c r="Y3624" s="8">
        <f t="shared" si="571"/>
        <v>46023</v>
      </c>
    </row>
    <row r="3625" spans="2:25" ht="18.75" x14ac:dyDescent="0.3">
      <c r="B3625" s="6">
        <f t="shared" si="563"/>
        <v>0</v>
      </c>
      <c r="C3625" s="6">
        <f t="shared" si="564"/>
        <v>0</v>
      </c>
      <c r="D3625" s="6" t="str">
        <f t="shared" si="565"/>
        <v/>
      </c>
      <c r="E3625" s="35" t="str">
        <f t="shared" si="562"/>
        <v/>
      </c>
      <c r="F3625" s="31"/>
      <c r="G3625" s="29"/>
      <c r="H3625" s="78" t="str">
        <f t="shared" si="566"/>
        <v/>
      </c>
      <c r="I3625" s="25"/>
      <c r="J3625" s="25"/>
      <c r="K3625" s="26"/>
      <c r="L3625" s="26"/>
      <c r="M3625" s="37"/>
      <c r="N3625" s="27"/>
      <c r="O3625" s="30"/>
      <c r="P3625" s="39" t="str">
        <f t="shared" si="567"/>
        <v/>
      </c>
      <c r="Q3625" s="40" t="str">
        <f>IF(OR(T3625=0,RIGHT(T3625,1)=$W$1),"",COUNTIF($T$3:T3625,T3625))</f>
        <v/>
      </c>
      <c r="S3625" s="6">
        <f t="shared" si="568"/>
        <v>0</v>
      </c>
      <c r="T3625" s="36">
        <f t="shared" si="569"/>
        <v>0</v>
      </c>
      <c r="V3625" s="6">
        <f t="shared" si="570"/>
        <v>0</v>
      </c>
      <c r="Y3625" s="8">
        <f t="shared" si="571"/>
        <v>46023</v>
      </c>
    </row>
    <row r="3626" spans="2:25" ht="18.75" x14ac:dyDescent="0.3">
      <c r="B3626" s="6">
        <f t="shared" si="563"/>
        <v>0</v>
      </c>
      <c r="C3626" s="6">
        <f t="shared" si="564"/>
        <v>0</v>
      </c>
      <c r="D3626" s="6" t="str">
        <f t="shared" si="565"/>
        <v/>
      </c>
      <c r="E3626" s="35" t="str">
        <f t="shared" si="562"/>
        <v/>
      </c>
      <c r="F3626" s="31"/>
      <c r="G3626" s="29"/>
      <c r="H3626" s="78" t="str">
        <f t="shared" si="566"/>
        <v/>
      </c>
      <c r="I3626" s="25"/>
      <c r="J3626" s="25"/>
      <c r="K3626" s="26"/>
      <c r="L3626" s="26"/>
      <c r="M3626" s="37"/>
      <c r="N3626" s="27"/>
      <c r="O3626" s="30"/>
      <c r="P3626" s="39" t="str">
        <f t="shared" si="567"/>
        <v/>
      </c>
      <c r="Q3626" s="40" t="str">
        <f>IF(OR(T3626=0,RIGHT(T3626,1)=$W$1),"",COUNTIF($T$3:T3626,T3626))</f>
        <v/>
      </c>
      <c r="S3626" s="6">
        <f t="shared" si="568"/>
        <v>0</v>
      </c>
      <c r="T3626" s="36">
        <f t="shared" si="569"/>
        <v>0</v>
      </c>
      <c r="V3626" s="6">
        <f t="shared" si="570"/>
        <v>0</v>
      </c>
      <c r="Y3626" s="8">
        <f t="shared" si="571"/>
        <v>46023</v>
      </c>
    </row>
    <row r="3627" spans="2:25" ht="18.75" x14ac:dyDescent="0.3">
      <c r="B3627" s="6">
        <f t="shared" si="563"/>
        <v>0</v>
      </c>
      <c r="C3627" s="6">
        <f t="shared" si="564"/>
        <v>0</v>
      </c>
      <c r="D3627" s="6" t="str">
        <f t="shared" si="565"/>
        <v/>
      </c>
      <c r="E3627" s="35" t="str">
        <f t="shared" si="562"/>
        <v/>
      </c>
      <c r="F3627" s="31"/>
      <c r="G3627" s="29"/>
      <c r="H3627" s="78" t="str">
        <f t="shared" si="566"/>
        <v/>
      </c>
      <c r="I3627" s="25"/>
      <c r="J3627" s="25"/>
      <c r="K3627" s="26"/>
      <c r="L3627" s="26"/>
      <c r="M3627" s="37"/>
      <c r="N3627" s="27"/>
      <c r="O3627" s="30"/>
      <c r="P3627" s="39" t="str">
        <f t="shared" si="567"/>
        <v/>
      </c>
      <c r="Q3627" s="40" t="str">
        <f>IF(OR(T3627=0,RIGHT(T3627,1)=$W$1),"",COUNTIF($T$3:T3627,T3627))</f>
        <v/>
      </c>
      <c r="S3627" s="6">
        <f t="shared" si="568"/>
        <v>0</v>
      </c>
      <c r="T3627" s="36">
        <f t="shared" si="569"/>
        <v>0</v>
      </c>
      <c r="V3627" s="6">
        <f t="shared" si="570"/>
        <v>0</v>
      </c>
      <c r="Y3627" s="8">
        <f t="shared" si="571"/>
        <v>46023</v>
      </c>
    </row>
    <row r="3628" spans="2:25" ht="18.75" x14ac:dyDescent="0.3">
      <c r="B3628" s="6">
        <f t="shared" si="563"/>
        <v>0</v>
      </c>
      <c r="C3628" s="6">
        <f t="shared" si="564"/>
        <v>0</v>
      </c>
      <c r="D3628" s="6" t="str">
        <f t="shared" si="565"/>
        <v/>
      </c>
      <c r="E3628" s="35" t="str">
        <f t="shared" si="562"/>
        <v/>
      </c>
      <c r="F3628" s="31"/>
      <c r="G3628" s="29"/>
      <c r="H3628" s="78" t="str">
        <f t="shared" si="566"/>
        <v/>
      </c>
      <c r="I3628" s="25"/>
      <c r="J3628" s="25"/>
      <c r="K3628" s="26"/>
      <c r="L3628" s="26"/>
      <c r="M3628" s="37"/>
      <c r="N3628" s="27"/>
      <c r="O3628" s="30"/>
      <c r="P3628" s="39" t="str">
        <f t="shared" si="567"/>
        <v/>
      </c>
      <c r="Q3628" s="40" t="str">
        <f>IF(OR(T3628=0,RIGHT(T3628,1)=$W$1),"",COUNTIF($T$3:T3628,T3628))</f>
        <v/>
      </c>
      <c r="S3628" s="6">
        <f t="shared" si="568"/>
        <v>0</v>
      </c>
      <c r="T3628" s="36">
        <f t="shared" si="569"/>
        <v>0</v>
      </c>
      <c r="V3628" s="6">
        <f t="shared" si="570"/>
        <v>0</v>
      </c>
      <c r="Y3628" s="8">
        <f t="shared" si="571"/>
        <v>46023</v>
      </c>
    </row>
    <row r="3629" spans="2:25" ht="18.75" x14ac:dyDescent="0.3">
      <c r="B3629" s="6">
        <f t="shared" si="563"/>
        <v>0</v>
      </c>
      <c r="C3629" s="6">
        <f t="shared" si="564"/>
        <v>0</v>
      </c>
      <c r="D3629" s="6" t="str">
        <f t="shared" si="565"/>
        <v/>
      </c>
      <c r="E3629" s="35" t="str">
        <f t="shared" si="562"/>
        <v/>
      </c>
      <c r="F3629" s="31"/>
      <c r="G3629" s="29"/>
      <c r="H3629" s="78" t="str">
        <f t="shared" si="566"/>
        <v/>
      </c>
      <c r="I3629" s="25"/>
      <c r="J3629" s="25"/>
      <c r="K3629" s="26"/>
      <c r="L3629" s="26"/>
      <c r="M3629" s="37"/>
      <c r="N3629" s="27"/>
      <c r="O3629" s="30"/>
      <c r="P3629" s="39" t="str">
        <f t="shared" si="567"/>
        <v/>
      </c>
      <c r="Q3629" s="40" t="str">
        <f>IF(OR(T3629=0,RIGHT(T3629,1)=$W$1),"",COUNTIF($T$3:T3629,T3629))</f>
        <v/>
      </c>
      <c r="S3629" s="6">
        <f t="shared" si="568"/>
        <v>0</v>
      </c>
      <c r="T3629" s="36">
        <f t="shared" si="569"/>
        <v>0</v>
      </c>
      <c r="V3629" s="6">
        <f t="shared" si="570"/>
        <v>0</v>
      </c>
      <c r="Y3629" s="8">
        <f t="shared" si="571"/>
        <v>46023</v>
      </c>
    </row>
    <row r="3630" spans="2:25" ht="18.75" x14ac:dyDescent="0.3">
      <c r="B3630" s="6">
        <f t="shared" si="563"/>
        <v>0</v>
      </c>
      <c r="C3630" s="6">
        <f t="shared" si="564"/>
        <v>0</v>
      </c>
      <c r="D3630" s="6" t="str">
        <f t="shared" si="565"/>
        <v/>
      </c>
      <c r="E3630" s="35" t="str">
        <f t="shared" si="562"/>
        <v/>
      </c>
      <c r="F3630" s="31"/>
      <c r="G3630" s="29"/>
      <c r="H3630" s="78" t="str">
        <f t="shared" si="566"/>
        <v/>
      </c>
      <c r="I3630" s="25"/>
      <c r="J3630" s="25"/>
      <c r="K3630" s="26"/>
      <c r="L3630" s="26"/>
      <c r="M3630" s="37"/>
      <c r="N3630" s="27"/>
      <c r="O3630" s="30"/>
      <c r="P3630" s="39" t="str">
        <f t="shared" si="567"/>
        <v/>
      </c>
      <c r="Q3630" s="40" t="str">
        <f>IF(OR(T3630=0,RIGHT(T3630,1)=$W$1),"",COUNTIF($T$3:T3630,T3630))</f>
        <v/>
      </c>
      <c r="S3630" s="6">
        <f t="shared" si="568"/>
        <v>0</v>
      </c>
      <c r="T3630" s="36">
        <f t="shared" si="569"/>
        <v>0</v>
      </c>
      <c r="V3630" s="6">
        <f t="shared" si="570"/>
        <v>0</v>
      </c>
      <c r="Y3630" s="8">
        <f t="shared" si="571"/>
        <v>46023</v>
      </c>
    </row>
    <row r="3631" spans="2:25" ht="18.75" x14ac:dyDescent="0.3">
      <c r="B3631" s="6">
        <f t="shared" si="563"/>
        <v>0</v>
      </c>
      <c r="C3631" s="6">
        <f t="shared" si="564"/>
        <v>0</v>
      </c>
      <c r="D3631" s="6" t="str">
        <f t="shared" si="565"/>
        <v/>
      </c>
      <c r="E3631" s="35" t="str">
        <f t="shared" si="562"/>
        <v/>
      </c>
      <c r="F3631" s="31"/>
      <c r="G3631" s="29"/>
      <c r="H3631" s="78" t="str">
        <f t="shared" si="566"/>
        <v/>
      </c>
      <c r="I3631" s="25"/>
      <c r="J3631" s="25"/>
      <c r="K3631" s="26"/>
      <c r="L3631" s="26"/>
      <c r="M3631" s="37"/>
      <c r="N3631" s="27"/>
      <c r="O3631" s="30"/>
      <c r="P3631" s="39" t="str">
        <f t="shared" si="567"/>
        <v/>
      </c>
      <c r="Q3631" s="40" t="str">
        <f>IF(OR(T3631=0,RIGHT(T3631,1)=$W$1),"",COUNTIF($T$3:T3631,T3631))</f>
        <v/>
      </c>
      <c r="S3631" s="6">
        <f t="shared" si="568"/>
        <v>0</v>
      </c>
      <c r="T3631" s="36">
        <f t="shared" si="569"/>
        <v>0</v>
      </c>
      <c r="V3631" s="6">
        <f t="shared" si="570"/>
        <v>0</v>
      </c>
      <c r="Y3631" s="8">
        <f t="shared" si="571"/>
        <v>46023</v>
      </c>
    </row>
    <row r="3632" spans="2:25" ht="18.75" x14ac:dyDescent="0.3">
      <c r="B3632" s="6">
        <f t="shared" si="563"/>
        <v>0</v>
      </c>
      <c r="C3632" s="6">
        <f t="shared" si="564"/>
        <v>0</v>
      </c>
      <c r="D3632" s="6" t="str">
        <f t="shared" si="565"/>
        <v/>
      </c>
      <c r="E3632" s="35" t="str">
        <f t="shared" si="562"/>
        <v/>
      </c>
      <c r="F3632" s="31"/>
      <c r="G3632" s="29"/>
      <c r="H3632" s="78" t="str">
        <f t="shared" si="566"/>
        <v/>
      </c>
      <c r="I3632" s="25"/>
      <c r="J3632" s="25"/>
      <c r="K3632" s="26"/>
      <c r="L3632" s="26"/>
      <c r="M3632" s="37"/>
      <c r="N3632" s="27"/>
      <c r="O3632" s="30"/>
      <c r="P3632" s="39" t="str">
        <f t="shared" si="567"/>
        <v/>
      </c>
      <c r="Q3632" s="40" t="str">
        <f>IF(OR(T3632=0,RIGHT(T3632,1)=$W$1),"",COUNTIF($T$3:T3632,T3632))</f>
        <v/>
      </c>
      <c r="S3632" s="6">
        <f t="shared" si="568"/>
        <v>0</v>
      </c>
      <c r="T3632" s="36">
        <f t="shared" si="569"/>
        <v>0</v>
      </c>
      <c r="V3632" s="6">
        <f t="shared" si="570"/>
        <v>0</v>
      </c>
      <c r="Y3632" s="8">
        <f t="shared" si="571"/>
        <v>46023</v>
      </c>
    </row>
    <row r="3633" spans="2:25" ht="18.75" x14ac:dyDescent="0.3">
      <c r="B3633" s="6">
        <f t="shared" si="563"/>
        <v>0</v>
      </c>
      <c r="C3633" s="6">
        <f t="shared" si="564"/>
        <v>0</v>
      </c>
      <c r="D3633" s="6" t="str">
        <f t="shared" si="565"/>
        <v/>
      </c>
      <c r="E3633" s="35" t="str">
        <f t="shared" si="562"/>
        <v/>
      </c>
      <c r="F3633" s="31"/>
      <c r="G3633" s="29"/>
      <c r="H3633" s="78" t="str">
        <f t="shared" si="566"/>
        <v/>
      </c>
      <c r="I3633" s="25"/>
      <c r="J3633" s="25"/>
      <c r="K3633" s="26"/>
      <c r="L3633" s="26"/>
      <c r="M3633" s="37"/>
      <c r="N3633" s="27"/>
      <c r="O3633" s="30"/>
      <c r="P3633" s="39" t="str">
        <f t="shared" si="567"/>
        <v/>
      </c>
      <c r="Q3633" s="40" t="str">
        <f>IF(OR(T3633=0,RIGHT(T3633,1)=$W$1),"",COUNTIF($T$3:T3633,T3633))</f>
        <v/>
      </c>
      <c r="S3633" s="6">
        <f t="shared" si="568"/>
        <v>0</v>
      </c>
      <c r="T3633" s="36">
        <f t="shared" si="569"/>
        <v>0</v>
      </c>
      <c r="V3633" s="6">
        <f t="shared" si="570"/>
        <v>0</v>
      </c>
      <c r="Y3633" s="8">
        <f t="shared" si="571"/>
        <v>46023</v>
      </c>
    </row>
    <row r="3634" spans="2:25" ht="18.75" x14ac:dyDescent="0.3">
      <c r="B3634" s="6">
        <f t="shared" si="563"/>
        <v>0</v>
      </c>
      <c r="C3634" s="6">
        <f t="shared" si="564"/>
        <v>0</v>
      </c>
      <c r="D3634" s="6" t="str">
        <f t="shared" si="565"/>
        <v/>
      </c>
      <c r="E3634" s="35" t="str">
        <f t="shared" si="562"/>
        <v/>
      </c>
      <c r="F3634" s="31"/>
      <c r="G3634" s="29"/>
      <c r="H3634" s="78" t="str">
        <f t="shared" si="566"/>
        <v/>
      </c>
      <c r="I3634" s="25"/>
      <c r="J3634" s="25"/>
      <c r="K3634" s="26"/>
      <c r="L3634" s="26"/>
      <c r="M3634" s="37"/>
      <c r="N3634" s="27"/>
      <c r="O3634" s="30"/>
      <c r="P3634" s="39" t="str">
        <f t="shared" si="567"/>
        <v/>
      </c>
      <c r="Q3634" s="40" t="str">
        <f>IF(OR(T3634=0,RIGHT(T3634,1)=$W$1),"",COUNTIF($T$3:T3634,T3634))</f>
        <v/>
      </c>
      <c r="S3634" s="6">
        <f t="shared" si="568"/>
        <v>0</v>
      </c>
      <c r="T3634" s="36">
        <f t="shared" si="569"/>
        <v>0</v>
      </c>
      <c r="V3634" s="6">
        <f t="shared" si="570"/>
        <v>0</v>
      </c>
      <c r="Y3634" s="8">
        <f t="shared" si="571"/>
        <v>46023</v>
      </c>
    </row>
    <row r="3635" spans="2:25" ht="18.75" x14ac:dyDescent="0.3">
      <c r="B3635" s="6">
        <f t="shared" si="563"/>
        <v>0</v>
      </c>
      <c r="C3635" s="6">
        <f t="shared" si="564"/>
        <v>0</v>
      </c>
      <c r="D3635" s="6" t="str">
        <f t="shared" si="565"/>
        <v/>
      </c>
      <c r="E3635" s="35" t="str">
        <f t="shared" si="562"/>
        <v/>
      </c>
      <c r="F3635" s="31"/>
      <c r="G3635" s="29"/>
      <c r="H3635" s="78" t="str">
        <f t="shared" si="566"/>
        <v/>
      </c>
      <c r="I3635" s="25"/>
      <c r="J3635" s="25"/>
      <c r="K3635" s="26"/>
      <c r="L3635" s="26"/>
      <c r="M3635" s="37"/>
      <c r="N3635" s="27"/>
      <c r="O3635" s="30"/>
      <c r="P3635" s="39" t="str">
        <f t="shared" si="567"/>
        <v/>
      </c>
      <c r="Q3635" s="40" t="str">
        <f>IF(OR(T3635=0,RIGHT(T3635,1)=$W$1),"",COUNTIF($T$3:T3635,T3635))</f>
        <v/>
      </c>
      <c r="S3635" s="6">
        <f t="shared" si="568"/>
        <v>0</v>
      </c>
      <c r="T3635" s="36">
        <f t="shared" si="569"/>
        <v>0</v>
      </c>
      <c r="V3635" s="6">
        <f t="shared" si="570"/>
        <v>0</v>
      </c>
      <c r="Y3635" s="8">
        <f t="shared" si="571"/>
        <v>46023</v>
      </c>
    </row>
    <row r="3636" spans="2:25" ht="18.75" x14ac:dyDescent="0.3">
      <c r="B3636" s="6">
        <f t="shared" si="563"/>
        <v>0</v>
      </c>
      <c r="C3636" s="6">
        <f t="shared" si="564"/>
        <v>0</v>
      </c>
      <c r="D3636" s="6" t="str">
        <f t="shared" si="565"/>
        <v/>
      </c>
      <c r="E3636" s="35" t="str">
        <f t="shared" si="562"/>
        <v/>
      </c>
      <c r="F3636" s="31"/>
      <c r="G3636" s="29"/>
      <c r="H3636" s="78" t="str">
        <f t="shared" si="566"/>
        <v/>
      </c>
      <c r="I3636" s="25"/>
      <c r="J3636" s="25"/>
      <c r="K3636" s="26"/>
      <c r="L3636" s="26"/>
      <c r="M3636" s="37"/>
      <c r="N3636" s="27"/>
      <c r="O3636" s="30"/>
      <c r="P3636" s="39" t="str">
        <f t="shared" si="567"/>
        <v/>
      </c>
      <c r="Q3636" s="40" t="str">
        <f>IF(OR(T3636=0,RIGHT(T3636,1)=$W$1),"",COUNTIF($T$3:T3636,T3636))</f>
        <v/>
      </c>
      <c r="S3636" s="6">
        <f t="shared" si="568"/>
        <v>0</v>
      </c>
      <c r="T3636" s="36">
        <f t="shared" si="569"/>
        <v>0</v>
      </c>
      <c r="V3636" s="6">
        <f t="shared" si="570"/>
        <v>0</v>
      </c>
      <c r="Y3636" s="8">
        <f t="shared" si="571"/>
        <v>46023</v>
      </c>
    </row>
    <row r="3637" spans="2:25" ht="18.75" x14ac:dyDescent="0.3">
      <c r="B3637" s="6">
        <f t="shared" si="563"/>
        <v>0</v>
      </c>
      <c r="C3637" s="6">
        <f t="shared" si="564"/>
        <v>0</v>
      </c>
      <c r="D3637" s="6" t="str">
        <f t="shared" si="565"/>
        <v/>
      </c>
      <c r="E3637" s="35" t="str">
        <f t="shared" si="562"/>
        <v/>
      </c>
      <c r="F3637" s="31"/>
      <c r="G3637" s="29"/>
      <c r="H3637" s="78" t="str">
        <f t="shared" si="566"/>
        <v/>
      </c>
      <c r="I3637" s="25"/>
      <c r="J3637" s="25"/>
      <c r="K3637" s="26"/>
      <c r="L3637" s="26"/>
      <c r="M3637" s="37"/>
      <c r="N3637" s="27"/>
      <c r="O3637" s="30"/>
      <c r="P3637" s="39" t="str">
        <f t="shared" si="567"/>
        <v/>
      </c>
      <c r="Q3637" s="40" t="str">
        <f>IF(OR(T3637=0,RIGHT(T3637,1)=$W$1),"",COUNTIF($T$3:T3637,T3637))</f>
        <v/>
      </c>
      <c r="S3637" s="6">
        <f t="shared" si="568"/>
        <v>0</v>
      </c>
      <c r="T3637" s="36">
        <f t="shared" si="569"/>
        <v>0</v>
      </c>
      <c r="V3637" s="6">
        <f t="shared" si="570"/>
        <v>0</v>
      </c>
      <c r="Y3637" s="8">
        <f t="shared" si="571"/>
        <v>46023</v>
      </c>
    </row>
    <row r="3638" spans="2:25" ht="18.75" x14ac:dyDescent="0.3">
      <c r="B3638" s="6">
        <f t="shared" si="563"/>
        <v>0</v>
      </c>
      <c r="C3638" s="6">
        <f t="shared" si="564"/>
        <v>0</v>
      </c>
      <c r="D3638" s="6" t="str">
        <f t="shared" si="565"/>
        <v/>
      </c>
      <c r="E3638" s="35" t="str">
        <f t="shared" si="562"/>
        <v/>
      </c>
      <c r="F3638" s="31"/>
      <c r="G3638" s="29"/>
      <c r="H3638" s="78" t="str">
        <f t="shared" si="566"/>
        <v/>
      </c>
      <c r="I3638" s="25"/>
      <c r="J3638" s="25"/>
      <c r="K3638" s="26"/>
      <c r="L3638" s="26"/>
      <c r="M3638" s="37"/>
      <c r="N3638" s="27"/>
      <c r="O3638" s="30"/>
      <c r="P3638" s="39" t="str">
        <f t="shared" si="567"/>
        <v/>
      </c>
      <c r="Q3638" s="40" t="str">
        <f>IF(OR(T3638=0,RIGHT(T3638,1)=$W$1),"",COUNTIF($T$3:T3638,T3638))</f>
        <v/>
      </c>
      <c r="S3638" s="6">
        <f t="shared" si="568"/>
        <v>0</v>
      </c>
      <c r="T3638" s="36">
        <f t="shared" si="569"/>
        <v>0</v>
      </c>
      <c r="V3638" s="6">
        <f t="shared" si="570"/>
        <v>0</v>
      </c>
      <c r="Y3638" s="8">
        <f t="shared" si="571"/>
        <v>46023</v>
      </c>
    </row>
    <row r="3639" spans="2:25" ht="18.75" x14ac:dyDescent="0.3">
      <c r="B3639" s="6">
        <f t="shared" si="563"/>
        <v>0</v>
      </c>
      <c r="C3639" s="6">
        <f t="shared" si="564"/>
        <v>0</v>
      </c>
      <c r="D3639" s="6" t="str">
        <f t="shared" si="565"/>
        <v/>
      </c>
      <c r="E3639" s="35" t="str">
        <f t="shared" si="562"/>
        <v/>
      </c>
      <c r="F3639" s="31"/>
      <c r="G3639" s="29"/>
      <c r="H3639" s="78" t="str">
        <f t="shared" si="566"/>
        <v/>
      </c>
      <c r="I3639" s="25"/>
      <c r="J3639" s="25"/>
      <c r="K3639" s="26"/>
      <c r="L3639" s="26"/>
      <c r="M3639" s="37"/>
      <c r="N3639" s="27"/>
      <c r="O3639" s="30"/>
      <c r="P3639" s="39" t="str">
        <f t="shared" si="567"/>
        <v/>
      </c>
      <c r="Q3639" s="40" t="str">
        <f>IF(OR(T3639=0,RIGHT(T3639,1)=$W$1),"",COUNTIF($T$3:T3639,T3639))</f>
        <v/>
      </c>
      <c r="S3639" s="6">
        <f t="shared" si="568"/>
        <v>0</v>
      </c>
      <c r="T3639" s="36">
        <f t="shared" si="569"/>
        <v>0</v>
      </c>
      <c r="V3639" s="6">
        <f t="shared" si="570"/>
        <v>0</v>
      </c>
      <c r="Y3639" s="8">
        <f t="shared" si="571"/>
        <v>46023</v>
      </c>
    </row>
    <row r="3640" spans="2:25" ht="18.75" x14ac:dyDescent="0.3">
      <c r="B3640" s="6">
        <f t="shared" si="563"/>
        <v>0</v>
      </c>
      <c r="C3640" s="6">
        <f t="shared" si="564"/>
        <v>0</v>
      </c>
      <c r="D3640" s="6" t="str">
        <f t="shared" si="565"/>
        <v/>
      </c>
      <c r="E3640" s="35" t="str">
        <f t="shared" si="562"/>
        <v/>
      </c>
      <c r="F3640" s="31"/>
      <c r="G3640" s="29"/>
      <c r="H3640" s="78" t="str">
        <f t="shared" si="566"/>
        <v/>
      </c>
      <c r="I3640" s="25"/>
      <c r="J3640" s="25"/>
      <c r="K3640" s="26"/>
      <c r="L3640" s="26"/>
      <c r="M3640" s="37"/>
      <c r="N3640" s="27"/>
      <c r="O3640" s="30"/>
      <c r="P3640" s="39" t="str">
        <f t="shared" si="567"/>
        <v/>
      </c>
      <c r="Q3640" s="40" t="str">
        <f>IF(OR(T3640=0,RIGHT(T3640,1)=$W$1),"",COUNTIF($T$3:T3640,T3640))</f>
        <v/>
      </c>
      <c r="S3640" s="6">
        <f t="shared" si="568"/>
        <v>0</v>
      </c>
      <c r="T3640" s="36">
        <f t="shared" si="569"/>
        <v>0</v>
      </c>
      <c r="V3640" s="6">
        <f t="shared" si="570"/>
        <v>0</v>
      </c>
      <c r="Y3640" s="8">
        <f t="shared" si="571"/>
        <v>46023</v>
      </c>
    </row>
    <row r="3641" spans="2:25" ht="18.75" x14ac:dyDescent="0.3">
      <c r="B3641" s="6">
        <f t="shared" si="563"/>
        <v>0</v>
      </c>
      <c r="C3641" s="6">
        <f t="shared" si="564"/>
        <v>0</v>
      </c>
      <c r="D3641" s="6" t="str">
        <f t="shared" si="565"/>
        <v/>
      </c>
      <c r="E3641" s="35" t="str">
        <f t="shared" si="562"/>
        <v/>
      </c>
      <c r="F3641" s="31"/>
      <c r="G3641" s="29"/>
      <c r="H3641" s="78" t="str">
        <f t="shared" si="566"/>
        <v/>
      </c>
      <c r="I3641" s="25"/>
      <c r="J3641" s="25"/>
      <c r="K3641" s="26"/>
      <c r="L3641" s="26"/>
      <c r="M3641" s="37"/>
      <c r="N3641" s="27"/>
      <c r="O3641" s="30"/>
      <c r="P3641" s="39" t="str">
        <f t="shared" si="567"/>
        <v/>
      </c>
      <c r="Q3641" s="40" t="str">
        <f>IF(OR(T3641=0,RIGHT(T3641,1)=$W$1),"",COUNTIF($T$3:T3641,T3641))</f>
        <v/>
      </c>
      <c r="S3641" s="6">
        <f t="shared" si="568"/>
        <v>0</v>
      </c>
      <c r="T3641" s="36">
        <f t="shared" si="569"/>
        <v>0</v>
      </c>
      <c r="V3641" s="6">
        <f t="shared" si="570"/>
        <v>0</v>
      </c>
      <c r="Y3641" s="8">
        <f t="shared" si="571"/>
        <v>46023</v>
      </c>
    </row>
    <row r="3642" spans="2:25" ht="18.75" x14ac:dyDescent="0.3">
      <c r="B3642" s="6">
        <f t="shared" si="563"/>
        <v>0</v>
      </c>
      <c r="C3642" s="6">
        <f t="shared" si="564"/>
        <v>0</v>
      </c>
      <c r="D3642" s="6" t="str">
        <f t="shared" si="565"/>
        <v/>
      </c>
      <c r="E3642" s="35" t="str">
        <f t="shared" si="562"/>
        <v/>
      </c>
      <c r="F3642" s="31"/>
      <c r="G3642" s="29"/>
      <c r="H3642" s="78" t="str">
        <f t="shared" si="566"/>
        <v/>
      </c>
      <c r="I3642" s="25"/>
      <c r="J3642" s="25"/>
      <c r="K3642" s="26"/>
      <c r="L3642" s="26"/>
      <c r="M3642" s="37"/>
      <c r="N3642" s="27"/>
      <c r="O3642" s="30"/>
      <c r="P3642" s="39" t="str">
        <f t="shared" si="567"/>
        <v/>
      </c>
      <c r="Q3642" s="40" t="str">
        <f>IF(OR(T3642=0,RIGHT(T3642,1)=$W$1),"",COUNTIF($T$3:T3642,T3642))</f>
        <v/>
      </c>
      <c r="S3642" s="6">
        <f t="shared" si="568"/>
        <v>0</v>
      </c>
      <c r="T3642" s="36">
        <f t="shared" si="569"/>
        <v>0</v>
      </c>
      <c r="V3642" s="6">
        <f t="shared" si="570"/>
        <v>0</v>
      </c>
      <c r="Y3642" s="8">
        <f t="shared" si="571"/>
        <v>46023</v>
      </c>
    </row>
    <row r="3643" spans="2:25" ht="18.75" x14ac:dyDescent="0.3">
      <c r="B3643" s="6">
        <f t="shared" si="563"/>
        <v>0</v>
      </c>
      <c r="C3643" s="6">
        <f t="shared" si="564"/>
        <v>0</v>
      </c>
      <c r="D3643" s="6" t="str">
        <f t="shared" si="565"/>
        <v/>
      </c>
      <c r="E3643" s="35" t="str">
        <f t="shared" si="562"/>
        <v/>
      </c>
      <c r="F3643" s="31"/>
      <c r="G3643" s="29"/>
      <c r="H3643" s="78" t="str">
        <f t="shared" si="566"/>
        <v/>
      </c>
      <c r="I3643" s="25"/>
      <c r="J3643" s="25"/>
      <c r="K3643" s="26"/>
      <c r="L3643" s="26"/>
      <c r="M3643" s="37"/>
      <c r="N3643" s="27"/>
      <c r="O3643" s="30"/>
      <c r="P3643" s="39" t="str">
        <f t="shared" si="567"/>
        <v/>
      </c>
      <c r="Q3643" s="40" t="str">
        <f>IF(OR(T3643=0,RIGHT(T3643,1)=$W$1),"",COUNTIF($T$3:T3643,T3643))</f>
        <v/>
      </c>
      <c r="S3643" s="6">
        <f t="shared" si="568"/>
        <v>0</v>
      </c>
      <c r="T3643" s="36">
        <f t="shared" si="569"/>
        <v>0</v>
      </c>
      <c r="V3643" s="6">
        <f t="shared" si="570"/>
        <v>0</v>
      </c>
      <c r="Y3643" s="8">
        <f t="shared" si="571"/>
        <v>46023</v>
      </c>
    </row>
    <row r="3644" spans="2:25" ht="18.75" x14ac:dyDescent="0.3">
      <c r="B3644" s="6">
        <f t="shared" si="563"/>
        <v>0</v>
      </c>
      <c r="C3644" s="6">
        <f t="shared" si="564"/>
        <v>0</v>
      </c>
      <c r="D3644" s="6" t="str">
        <f t="shared" si="565"/>
        <v/>
      </c>
      <c r="E3644" s="35" t="str">
        <f t="shared" si="562"/>
        <v/>
      </c>
      <c r="F3644" s="31"/>
      <c r="G3644" s="29"/>
      <c r="H3644" s="78" t="str">
        <f t="shared" si="566"/>
        <v/>
      </c>
      <c r="I3644" s="25"/>
      <c r="J3644" s="25"/>
      <c r="K3644" s="26"/>
      <c r="L3644" s="26"/>
      <c r="M3644" s="37"/>
      <c r="N3644" s="27"/>
      <c r="O3644" s="30"/>
      <c r="P3644" s="39" t="str">
        <f t="shared" si="567"/>
        <v/>
      </c>
      <c r="Q3644" s="40" t="str">
        <f>IF(OR(T3644=0,RIGHT(T3644,1)=$W$1),"",COUNTIF($T$3:T3644,T3644))</f>
        <v/>
      </c>
      <c r="S3644" s="6">
        <f t="shared" si="568"/>
        <v>0</v>
      </c>
      <c r="T3644" s="36">
        <f t="shared" si="569"/>
        <v>0</v>
      </c>
      <c r="V3644" s="6">
        <f t="shared" si="570"/>
        <v>0</v>
      </c>
      <c r="Y3644" s="8">
        <f t="shared" si="571"/>
        <v>46023</v>
      </c>
    </row>
    <row r="3645" spans="2:25" ht="18.75" x14ac:dyDescent="0.3">
      <c r="B3645" s="6">
        <f t="shared" si="563"/>
        <v>0</v>
      </c>
      <c r="C3645" s="6">
        <f t="shared" si="564"/>
        <v>0</v>
      </c>
      <c r="D3645" s="6" t="str">
        <f t="shared" si="565"/>
        <v/>
      </c>
      <c r="E3645" s="35" t="str">
        <f t="shared" si="562"/>
        <v/>
      </c>
      <c r="F3645" s="31"/>
      <c r="G3645" s="29"/>
      <c r="H3645" s="78" t="str">
        <f t="shared" si="566"/>
        <v/>
      </c>
      <c r="I3645" s="25"/>
      <c r="J3645" s="25"/>
      <c r="K3645" s="26"/>
      <c r="L3645" s="26"/>
      <c r="M3645" s="37"/>
      <c r="N3645" s="27"/>
      <c r="O3645" s="30"/>
      <c r="P3645" s="39" t="str">
        <f t="shared" si="567"/>
        <v/>
      </c>
      <c r="Q3645" s="40" t="str">
        <f>IF(OR(T3645=0,RIGHT(T3645,1)=$W$1),"",COUNTIF($T$3:T3645,T3645))</f>
        <v/>
      </c>
      <c r="S3645" s="6">
        <f t="shared" si="568"/>
        <v>0</v>
      </c>
      <c r="T3645" s="36">
        <f t="shared" si="569"/>
        <v>0</v>
      </c>
      <c r="V3645" s="6">
        <f t="shared" si="570"/>
        <v>0</v>
      </c>
      <c r="Y3645" s="8">
        <f t="shared" si="571"/>
        <v>46023</v>
      </c>
    </row>
    <row r="3646" spans="2:25" ht="18.75" x14ac:dyDescent="0.3">
      <c r="B3646" s="6">
        <f t="shared" si="563"/>
        <v>0</v>
      </c>
      <c r="C3646" s="6">
        <f t="shared" si="564"/>
        <v>0</v>
      </c>
      <c r="D3646" s="6" t="str">
        <f t="shared" si="565"/>
        <v/>
      </c>
      <c r="E3646" s="35" t="str">
        <f t="shared" si="562"/>
        <v/>
      </c>
      <c r="F3646" s="31"/>
      <c r="G3646" s="29"/>
      <c r="H3646" s="78" t="str">
        <f t="shared" si="566"/>
        <v/>
      </c>
      <c r="I3646" s="25"/>
      <c r="J3646" s="25"/>
      <c r="K3646" s="26"/>
      <c r="L3646" s="26"/>
      <c r="M3646" s="37"/>
      <c r="N3646" s="27"/>
      <c r="O3646" s="30"/>
      <c r="P3646" s="39" t="str">
        <f t="shared" si="567"/>
        <v/>
      </c>
      <c r="Q3646" s="40" t="str">
        <f>IF(OR(T3646=0,RIGHT(T3646,1)=$W$1),"",COUNTIF($T$3:T3646,T3646))</f>
        <v/>
      </c>
      <c r="S3646" s="6">
        <f t="shared" si="568"/>
        <v>0</v>
      </c>
      <c r="T3646" s="36">
        <f t="shared" si="569"/>
        <v>0</v>
      </c>
      <c r="V3646" s="6">
        <f t="shared" si="570"/>
        <v>0</v>
      </c>
      <c r="Y3646" s="8">
        <f t="shared" si="571"/>
        <v>46023</v>
      </c>
    </row>
    <row r="3647" spans="2:25" ht="18.75" x14ac:dyDescent="0.3">
      <c r="B3647" s="6">
        <f t="shared" si="563"/>
        <v>0</v>
      </c>
      <c r="C3647" s="6">
        <f t="shared" si="564"/>
        <v>0</v>
      </c>
      <c r="D3647" s="6" t="str">
        <f t="shared" si="565"/>
        <v/>
      </c>
      <c r="E3647" s="35" t="str">
        <f t="shared" si="562"/>
        <v/>
      </c>
      <c r="F3647" s="31"/>
      <c r="G3647" s="29"/>
      <c r="H3647" s="78" t="str">
        <f t="shared" si="566"/>
        <v/>
      </c>
      <c r="I3647" s="25"/>
      <c r="J3647" s="25"/>
      <c r="K3647" s="26"/>
      <c r="L3647" s="26"/>
      <c r="M3647" s="37"/>
      <c r="N3647" s="27"/>
      <c r="O3647" s="30"/>
      <c r="P3647" s="39" t="str">
        <f t="shared" si="567"/>
        <v/>
      </c>
      <c r="Q3647" s="40" t="str">
        <f>IF(OR(T3647=0,RIGHT(T3647,1)=$W$1),"",COUNTIF($T$3:T3647,T3647))</f>
        <v/>
      </c>
      <c r="S3647" s="6">
        <f t="shared" si="568"/>
        <v>0</v>
      </c>
      <c r="T3647" s="36">
        <f t="shared" si="569"/>
        <v>0</v>
      </c>
      <c r="V3647" s="6">
        <f t="shared" si="570"/>
        <v>0</v>
      </c>
      <c r="Y3647" s="8">
        <f t="shared" si="571"/>
        <v>46023</v>
      </c>
    </row>
    <row r="3648" spans="2:25" ht="18.75" x14ac:dyDescent="0.3">
      <c r="B3648" s="6">
        <f t="shared" si="563"/>
        <v>0</v>
      </c>
      <c r="C3648" s="6">
        <f t="shared" si="564"/>
        <v>0</v>
      </c>
      <c r="D3648" s="6" t="str">
        <f t="shared" si="565"/>
        <v/>
      </c>
      <c r="E3648" s="35" t="str">
        <f t="shared" si="562"/>
        <v/>
      </c>
      <c r="F3648" s="31"/>
      <c r="G3648" s="29"/>
      <c r="H3648" s="78" t="str">
        <f t="shared" si="566"/>
        <v/>
      </c>
      <c r="I3648" s="25"/>
      <c r="J3648" s="25"/>
      <c r="K3648" s="26"/>
      <c r="L3648" s="26"/>
      <c r="M3648" s="37"/>
      <c r="N3648" s="27"/>
      <c r="O3648" s="30"/>
      <c r="P3648" s="39" t="str">
        <f t="shared" si="567"/>
        <v/>
      </c>
      <c r="Q3648" s="40" t="str">
        <f>IF(OR(T3648=0,RIGHT(T3648,1)=$W$1),"",COUNTIF($T$3:T3648,T3648))</f>
        <v/>
      </c>
      <c r="S3648" s="6">
        <f t="shared" si="568"/>
        <v>0</v>
      </c>
      <c r="T3648" s="36">
        <f t="shared" si="569"/>
        <v>0</v>
      </c>
      <c r="V3648" s="6">
        <f t="shared" si="570"/>
        <v>0</v>
      </c>
      <c r="Y3648" s="8">
        <f t="shared" si="571"/>
        <v>46023</v>
      </c>
    </row>
    <row r="3649" spans="2:25" ht="18.75" x14ac:dyDescent="0.3">
      <c r="B3649" s="6">
        <f t="shared" si="563"/>
        <v>0</v>
      </c>
      <c r="C3649" s="6">
        <f t="shared" si="564"/>
        <v>0</v>
      </c>
      <c r="D3649" s="6" t="str">
        <f t="shared" si="565"/>
        <v/>
      </c>
      <c r="E3649" s="35" t="str">
        <f t="shared" si="562"/>
        <v/>
      </c>
      <c r="F3649" s="31"/>
      <c r="G3649" s="29"/>
      <c r="H3649" s="78" t="str">
        <f t="shared" si="566"/>
        <v/>
      </c>
      <c r="I3649" s="25"/>
      <c r="J3649" s="25"/>
      <c r="K3649" s="26"/>
      <c r="L3649" s="26"/>
      <c r="M3649" s="37"/>
      <c r="N3649" s="27"/>
      <c r="O3649" s="30"/>
      <c r="P3649" s="39" t="str">
        <f t="shared" si="567"/>
        <v/>
      </c>
      <c r="Q3649" s="40" t="str">
        <f>IF(OR(T3649=0,RIGHT(T3649,1)=$W$1),"",COUNTIF($T$3:T3649,T3649))</f>
        <v/>
      </c>
      <c r="S3649" s="6">
        <f t="shared" si="568"/>
        <v>0</v>
      </c>
      <c r="T3649" s="36">
        <f t="shared" si="569"/>
        <v>0</v>
      </c>
      <c r="V3649" s="6">
        <f t="shared" si="570"/>
        <v>0</v>
      </c>
      <c r="Y3649" s="8">
        <f t="shared" si="571"/>
        <v>46023</v>
      </c>
    </row>
    <row r="3650" spans="2:25" ht="18.75" x14ac:dyDescent="0.3">
      <c r="B3650" s="6">
        <f t="shared" si="563"/>
        <v>0</v>
      </c>
      <c r="C3650" s="6">
        <f t="shared" si="564"/>
        <v>0</v>
      </c>
      <c r="D3650" s="6" t="str">
        <f t="shared" si="565"/>
        <v/>
      </c>
      <c r="E3650" s="35" t="str">
        <f t="shared" si="562"/>
        <v/>
      </c>
      <c r="F3650" s="31"/>
      <c r="G3650" s="29"/>
      <c r="H3650" s="78" t="str">
        <f t="shared" si="566"/>
        <v/>
      </c>
      <c r="I3650" s="25"/>
      <c r="J3650" s="25"/>
      <c r="K3650" s="26"/>
      <c r="L3650" s="26"/>
      <c r="M3650" s="37"/>
      <c r="N3650" s="27"/>
      <c r="O3650" s="30"/>
      <c r="P3650" s="39" t="str">
        <f t="shared" si="567"/>
        <v/>
      </c>
      <c r="Q3650" s="40" t="str">
        <f>IF(OR(T3650=0,RIGHT(T3650,1)=$W$1),"",COUNTIF($T$3:T3650,T3650))</f>
        <v/>
      </c>
      <c r="S3650" s="6">
        <f t="shared" si="568"/>
        <v>0</v>
      </c>
      <c r="T3650" s="36">
        <f t="shared" si="569"/>
        <v>0</v>
      </c>
      <c r="V3650" s="6">
        <f t="shared" si="570"/>
        <v>0</v>
      </c>
      <c r="Y3650" s="8">
        <f t="shared" si="571"/>
        <v>46023</v>
      </c>
    </row>
    <row r="3651" spans="2:25" ht="18.75" x14ac:dyDescent="0.3">
      <c r="B3651" s="6">
        <f t="shared" si="563"/>
        <v>0</v>
      </c>
      <c r="C3651" s="6">
        <f t="shared" si="564"/>
        <v>0</v>
      </c>
      <c r="D3651" s="6" t="str">
        <f t="shared" si="565"/>
        <v/>
      </c>
      <c r="E3651" s="35" t="str">
        <f t="shared" ref="E3651:E3714" si="572">IF(D3651&lt;&gt;"",D3651&amp;" - "&amp;YEAR(F3651),"")</f>
        <v/>
      </c>
      <c r="F3651" s="31"/>
      <c r="G3651" s="29"/>
      <c r="H3651" s="78" t="str">
        <f t="shared" si="566"/>
        <v/>
      </c>
      <c r="I3651" s="25"/>
      <c r="J3651" s="25"/>
      <c r="K3651" s="26"/>
      <c r="L3651" s="26"/>
      <c r="M3651" s="37"/>
      <c r="N3651" s="27"/>
      <c r="O3651" s="30"/>
      <c r="P3651" s="39" t="str">
        <f t="shared" si="567"/>
        <v/>
      </c>
      <c r="Q3651" s="40" t="str">
        <f>IF(OR(T3651=0,RIGHT(T3651,1)=$W$1),"",COUNTIF($T$3:T3651,T3651))</f>
        <v/>
      </c>
      <c r="S3651" s="6">
        <f t="shared" si="568"/>
        <v>0</v>
      </c>
      <c r="T3651" s="36">
        <f t="shared" si="569"/>
        <v>0</v>
      </c>
      <c r="V3651" s="6">
        <f t="shared" si="570"/>
        <v>0</v>
      </c>
      <c r="Y3651" s="8">
        <f t="shared" si="571"/>
        <v>46023</v>
      </c>
    </row>
    <row r="3652" spans="2:25" ht="18.75" x14ac:dyDescent="0.3">
      <c r="B3652" s="6">
        <f t="shared" ref="B3652:B3715" si="573">IF($B$1=YEAR(F3652),B3651+1,B3651)</f>
        <v>0</v>
      </c>
      <c r="C3652" s="6">
        <f t="shared" ref="C3652:C3715" si="574">IF(AND($C$1=K3652,$Y$1=YEAR(F3652)),C3651+1,C3651)</f>
        <v>0</v>
      </c>
      <c r="D3652" s="6" t="str">
        <f t="shared" ref="D3652:D3715" si="575">IF(F3652&lt;&gt;0,IF(YEAR(F3652)&lt;&gt;YEAR(F3651),1,IF(M3652=$AI$1,D3651,D3651+1)),"")</f>
        <v/>
      </c>
      <c r="E3652" s="35" t="str">
        <f t="shared" si="572"/>
        <v/>
      </c>
      <c r="F3652" s="31"/>
      <c r="G3652" s="29"/>
      <c r="H3652" s="78" t="str">
        <f t="shared" ref="H3652:H3715" si="576">IF(G3652&lt;&gt;"",F3652,"")</f>
        <v/>
      </c>
      <c r="I3652" s="25"/>
      <c r="J3652" s="25"/>
      <c r="K3652" s="26"/>
      <c r="L3652" s="26"/>
      <c r="M3652" s="37"/>
      <c r="N3652" s="27"/>
      <c r="O3652" s="30"/>
      <c r="P3652" s="39" t="str">
        <f t="shared" ref="P3652:P3715" si="577">IF(OR(T3652=0,RIGHT(T3652,1)=$W$1),"",VLOOKUP(K3652,$AD$1:$AK$15,5,FALSE))</f>
        <v/>
      </c>
      <c r="Q3652" s="40" t="str">
        <f>IF(OR(T3652=0,RIGHT(T3652,1)=$W$1),"",COUNTIF($T$3:T3652,T3652))</f>
        <v/>
      </c>
      <c r="S3652" s="6">
        <f t="shared" ref="S3652:S3715" si="578">IF(AND($C$1=K3652,$Y$1=YEAR(F3652)),C3652,0)</f>
        <v>0</v>
      </c>
      <c r="T3652" s="36">
        <f t="shared" ref="T3652:T3715" si="579">IF(F3652=0,0,YEAR(F3652)&amp;VLOOKUP(K3652,$AD$1:$AE$15,2,FALSE))</f>
        <v>0</v>
      </c>
      <c r="V3652" s="6">
        <f t="shared" ref="V3652:V3715" si="580">IF(AND(YEAR(F3652)=$Y$1,K3652=$C$1,L3652&amp;$V$1&lt;&gt;$V$1),L3652,IF(AND(YEAR(F3652)=$Y$1,K3652=$C$1),1,0))</f>
        <v>0</v>
      </c>
      <c r="Y3652" s="8">
        <f t="shared" ref="Y3652:Y3715" si="581">IF(M3652&lt;&gt;$AI$1,$Y$2,F3651)</f>
        <v>46023</v>
      </c>
    </row>
    <row r="3653" spans="2:25" ht="18.75" x14ac:dyDescent="0.3">
      <c r="B3653" s="6">
        <f t="shared" si="573"/>
        <v>0</v>
      </c>
      <c r="C3653" s="6">
        <f t="shared" si="574"/>
        <v>0</v>
      </c>
      <c r="D3653" s="6" t="str">
        <f t="shared" si="575"/>
        <v/>
      </c>
      <c r="E3653" s="35" t="str">
        <f t="shared" si="572"/>
        <v/>
      </c>
      <c r="F3653" s="31"/>
      <c r="G3653" s="29"/>
      <c r="H3653" s="78" t="str">
        <f t="shared" si="576"/>
        <v/>
      </c>
      <c r="I3653" s="25"/>
      <c r="J3653" s="25"/>
      <c r="K3653" s="26"/>
      <c r="L3653" s="26"/>
      <c r="M3653" s="37"/>
      <c r="N3653" s="27"/>
      <c r="O3653" s="30"/>
      <c r="P3653" s="39" t="str">
        <f t="shared" si="577"/>
        <v/>
      </c>
      <c r="Q3653" s="40" t="str">
        <f>IF(OR(T3653=0,RIGHT(T3653,1)=$W$1),"",COUNTIF($T$3:T3653,T3653))</f>
        <v/>
      </c>
      <c r="S3653" s="6">
        <f t="shared" si="578"/>
        <v>0</v>
      </c>
      <c r="T3653" s="36">
        <f t="shared" si="579"/>
        <v>0</v>
      </c>
      <c r="V3653" s="6">
        <f t="shared" si="580"/>
        <v>0</v>
      </c>
      <c r="Y3653" s="8">
        <f t="shared" si="581"/>
        <v>46023</v>
      </c>
    </row>
    <row r="3654" spans="2:25" ht="18.75" x14ac:dyDescent="0.3">
      <c r="B3654" s="6">
        <f t="shared" si="573"/>
        <v>0</v>
      </c>
      <c r="C3654" s="6">
        <f t="shared" si="574"/>
        <v>0</v>
      </c>
      <c r="D3654" s="6" t="str">
        <f t="shared" si="575"/>
        <v/>
      </c>
      <c r="E3654" s="35" t="str">
        <f t="shared" si="572"/>
        <v/>
      </c>
      <c r="F3654" s="31"/>
      <c r="G3654" s="29"/>
      <c r="H3654" s="78" t="str">
        <f t="shared" si="576"/>
        <v/>
      </c>
      <c r="I3654" s="25"/>
      <c r="J3654" s="25"/>
      <c r="K3654" s="26"/>
      <c r="L3654" s="26"/>
      <c r="M3654" s="37"/>
      <c r="N3654" s="27"/>
      <c r="O3654" s="30"/>
      <c r="P3654" s="39" t="str">
        <f t="shared" si="577"/>
        <v/>
      </c>
      <c r="Q3654" s="40" t="str">
        <f>IF(OR(T3654=0,RIGHT(T3654,1)=$W$1),"",COUNTIF($T$3:T3654,T3654))</f>
        <v/>
      </c>
      <c r="S3654" s="6">
        <f t="shared" si="578"/>
        <v>0</v>
      </c>
      <c r="T3654" s="36">
        <f t="shared" si="579"/>
        <v>0</v>
      </c>
      <c r="V3654" s="6">
        <f t="shared" si="580"/>
        <v>0</v>
      </c>
      <c r="Y3654" s="8">
        <f t="shared" si="581"/>
        <v>46023</v>
      </c>
    </row>
    <row r="3655" spans="2:25" ht="18.75" x14ac:dyDescent="0.3">
      <c r="B3655" s="6">
        <f t="shared" si="573"/>
        <v>0</v>
      </c>
      <c r="C3655" s="6">
        <f t="shared" si="574"/>
        <v>0</v>
      </c>
      <c r="D3655" s="6" t="str">
        <f t="shared" si="575"/>
        <v/>
      </c>
      <c r="E3655" s="35" t="str">
        <f t="shared" si="572"/>
        <v/>
      </c>
      <c r="F3655" s="31"/>
      <c r="G3655" s="29"/>
      <c r="H3655" s="78" t="str">
        <f t="shared" si="576"/>
        <v/>
      </c>
      <c r="I3655" s="25"/>
      <c r="J3655" s="25"/>
      <c r="K3655" s="26"/>
      <c r="L3655" s="26"/>
      <c r="M3655" s="37"/>
      <c r="N3655" s="27"/>
      <c r="O3655" s="30"/>
      <c r="P3655" s="39" t="str">
        <f t="shared" si="577"/>
        <v/>
      </c>
      <c r="Q3655" s="40" t="str">
        <f>IF(OR(T3655=0,RIGHT(T3655,1)=$W$1),"",COUNTIF($T$3:T3655,T3655))</f>
        <v/>
      </c>
      <c r="S3655" s="6">
        <f t="shared" si="578"/>
        <v>0</v>
      </c>
      <c r="T3655" s="36">
        <f t="shared" si="579"/>
        <v>0</v>
      </c>
      <c r="V3655" s="6">
        <f t="shared" si="580"/>
        <v>0</v>
      </c>
      <c r="Y3655" s="8">
        <f t="shared" si="581"/>
        <v>46023</v>
      </c>
    </row>
    <row r="3656" spans="2:25" ht="18.75" x14ac:dyDescent="0.3">
      <c r="B3656" s="6">
        <f t="shared" si="573"/>
        <v>0</v>
      </c>
      <c r="C3656" s="6">
        <f t="shared" si="574"/>
        <v>0</v>
      </c>
      <c r="D3656" s="6" t="str">
        <f t="shared" si="575"/>
        <v/>
      </c>
      <c r="E3656" s="35" t="str">
        <f t="shared" si="572"/>
        <v/>
      </c>
      <c r="F3656" s="31"/>
      <c r="G3656" s="29"/>
      <c r="H3656" s="78" t="str">
        <f t="shared" si="576"/>
        <v/>
      </c>
      <c r="I3656" s="25"/>
      <c r="J3656" s="25"/>
      <c r="K3656" s="26"/>
      <c r="L3656" s="26"/>
      <c r="M3656" s="37"/>
      <c r="N3656" s="27"/>
      <c r="O3656" s="30"/>
      <c r="P3656" s="39" t="str">
        <f t="shared" si="577"/>
        <v/>
      </c>
      <c r="Q3656" s="40" t="str">
        <f>IF(OR(T3656=0,RIGHT(T3656,1)=$W$1),"",COUNTIF($T$3:T3656,T3656))</f>
        <v/>
      </c>
      <c r="S3656" s="6">
        <f t="shared" si="578"/>
        <v>0</v>
      </c>
      <c r="T3656" s="36">
        <f t="shared" si="579"/>
        <v>0</v>
      </c>
      <c r="V3656" s="6">
        <f t="shared" si="580"/>
        <v>0</v>
      </c>
      <c r="Y3656" s="8">
        <f t="shared" si="581"/>
        <v>46023</v>
      </c>
    </row>
    <row r="3657" spans="2:25" ht="18.75" x14ac:dyDescent="0.3">
      <c r="B3657" s="6">
        <f t="shared" si="573"/>
        <v>0</v>
      </c>
      <c r="C3657" s="6">
        <f t="shared" si="574"/>
        <v>0</v>
      </c>
      <c r="D3657" s="6" t="str">
        <f t="shared" si="575"/>
        <v/>
      </c>
      <c r="E3657" s="35" t="str">
        <f t="shared" si="572"/>
        <v/>
      </c>
      <c r="F3657" s="31"/>
      <c r="G3657" s="29"/>
      <c r="H3657" s="78" t="str">
        <f t="shared" si="576"/>
        <v/>
      </c>
      <c r="I3657" s="25"/>
      <c r="J3657" s="25"/>
      <c r="K3657" s="26"/>
      <c r="L3657" s="26"/>
      <c r="M3657" s="37"/>
      <c r="N3657" s="27"/>
      <c r="O3657" s="30"/>
      <c r="P3657" s="39" t="str">
        <f t="shared" si="577"/>
        <v/>
      </c>
      <c r="Q3657" s="40" t="str">
        <f>IF(OR(T3657=0,RIGHT(T3657,1)=$W$1),"",COUNTIF($T$3:T3657,T3657))</f>
        <v/>
      </c>
      <c r="S3657" s="6">
        <f t="shared" si="578"/>
        <v>0</v>
      </c>
      <c r="T3657" s="36">
        <f t="shared" si="579"/>
        <v>0</v>
      </c>
      <c r="V3657" s="6">
        <f t="shared" si="580"/>
        <v>0</v>
      </c>
      <c r="Y3657" s="8">
        <f t="shared" si="581"/>
        <v>46023</v>
      </c>
    </row>
    <row r="3658" spans="2:25" ht="18.75" x14ac:dyDescent="0.3">
      <c r="B3658" s="6">
        <f t="shared" si="573"/>
        <v>0</v>
      </c>
      <c r="C3658" s="6">
        <f t="shared" si="574"/>
        <v>0</v>
      </c>
      <c r="D3658" s="6" t="str">
        <f t="shared" si="575"/>
        <v/>
      </c>
      <c r="E3658" s="35" t="str">
        <f t="shared" si="572"/>
        <v/>
      </c>
      <c r="F3658" s="31"/>
      <c r="G3658" s="29"/>
      <c r="H3658" s="78" t="str">
        <f t="shared" si="576"/>
        <v/>
      </c>
      <c r="I3658" s="25"/>
      <c r="J3658" s="25"/>
      <c r="K3658" s="26"/>
      <c r="L3658" s="26"/>
      <c r="M3658" s="37"/>
      <c r="N3658" s="27"/>
      <c r="O3658" s="30"/>
      <c r="P3658" s="39" t="str">
        <f t="shared" si="577"/>
        <v/>
      </c>
      <c r="Q3658" s="40" t="str">
        <f>IF(OR(T3658=0,RIGHT(T3658,1)=$W$1),"",COUNTIF($T$3:T3658,T3658))</f>
        <v/>
      </c>
      <c r="S3658" s="6">
        <f t="shared" si="578"/>
        <v>0</v>
      </c>
      <c r="T3658" s="36">
        <f t="shared" si="579"/>
        <v>0</v>
      </c>
      <c r="V3658" s="6">
        <f t="shared" si="580"/>
        <v>0</v>
      </c>
      <c r="Y3658" s="8">
        <f t="shared" si="581"/>
        <v>46023</v>
      </c>
    </row>
    <row r="3659" spans="2:25" ht="18.75" x14ac:dyDescent="0.3">
      <c r="B3659" s="6">
        <f t="shared" si="573"/>
        <v>0</v>
      </c>
      <c r="C3659" s="6">
        <f t="shared" si="574"/>
        <v>0</v>
      </c>
      <c r="D3659" s="6" t="str">
        <f t="shared" si="575"/>
        <v/>
      </c>
      <c r="E3659" s="35" t="str">
        <f t="shared" si="572"/>
        <v/>
      </c>
      <c r="F3659" s="31"/>
      <c r="G3659" s="29"/>
      <c r="H3659" s="78" t="str">
        <f t="shared" si="576"/>
        <v/>
      </c>
      <c r="I3659" s="25"/>
      <c r="J3659" s="25"/>
      <c r="K3659" s="26"/>
      <c r="L3659" s="26"/>
      <c r="M3659" s="37"/>
      <c r="N3659" s="27"/>
      <c r="O3659" s="30"/>
      <c r="P3659" s="39" t="str">
        <f t="shared" si="577"/>
        <v/>
      </c>
      <c r="Q3659" s="40" t="str">
        <f>IF(OR(T3659=0,RIGHT(T3659,1)=$W$1),"",COUNTIF($T$3:T3659,T3659))</f>
        <v/>
      </c>
      <c r="S3659" s="6">
        <f t="shared" si="578"/>
        <v>0</v>
      </c>
      <c r="T3659" s="36">
        <f t="shared" si="579"/>
        <v>0</v>
      </c>
      <c r="V3659" s="6">
        <f t="shared" si="580"/>
        <v>0</v>
      </c>
      <c r="Y3659" s="8">
        <f t="shared" si="581"/>
        <v>46023</v>
      </c>
    </row>
    <row r="3660" spans="2:25" ht="18.75" x14ac:dyDescent="0.3">
      <c r="B3660" s="6">
        <f t="shared" si="573"/>
        <v>0</v>
      </c>
      <c r="C3660" s="6">
        <f t="shared" si="574"/>
        <v>0</v>
      </c>
      <c r="D3660" s="6" t="str">
        <f t="shared" si="575"/>
        <v/>
      </c>
      <c r="E3660" s="35" t="str">
        <f t="shared" si="572"/>
        <v/>
      </c>
      <c r="F3660" s="31"/>
      <c r="G3660" s="29"/>
      <c r="H3660" s="78" t="str">
        <f t="shared" si="576"/>
        <v/>
      </c>
      <c r="I3660" s="25"/>
      <c r="J3660" s="25"/>
      <c r="K3660" s="26"/>
      <c r="L3660" s="26"/>
      <c r="M3660" s="37"/>
      <c r="N3660" s="27"/>
      <c r="O3660" s="30"/>
      <c r="P3660" s="39" t="str">
        <f t="shared" si="577"/>
        <v/>
      </c>
      <c r="Q3660" s="40" t="str">
        <f>IF(OR(T3660=0,RIGHT(T3660,1)=$W$1),"",COUNTIF($T$3:T3660,T3660))</f>
        <v/>
      </c>
      <c r="S3660" s="6">
        <f t="shared" si="578"/>
        <v>0</v>
      </c>
      <c r="T3660" s="36">
        <f t="shared" si="579"/>
        <v>0</v>
      </c>
      <c r="V3660" s="6">
        <f t="shared" si="580"/>
        <v>0</v>
      </c>
      <c r="Y3660" s="8">
        <f t="shared" si="581"/>
        <v>46023</v>
      </c>
    </row>
    <row r="3661" spans="2:25" ht="18.75" x14ac:dyDescent="0.3">
      <c r="B3661" s="6">
        <f t="shared" si="573"/>
        <v>0</v>
      </c>
      <c r="C3661" s="6">
        <f t="shared" si="574"/>
        <v>0</v>
      </c>
      <c r="D3661" s="6" t="str">
        <f t="shared" si="575"/>
        <v/>
      </c>
      <c r="E3661" s="35" t="str">
        <f t="shared" si="572"/>
        <v/>
      </c>
      <c r="F3661" s="31"/>
      <c r="G3661" s="29"/>
      <c r="H3661" s="78" t="str">
        <f t="shared" si="576"/>
        <v/>
      </c>
      <c r="I3661" s="25"/>
      <c r="J3661" s="25"/>
      <c r="K3661" s="26"/>
      <c r="L3661" s="26"/>
      <c r="M3661" s="37"/>
      <c r="N3661" s="27"/>
      <c r="O3661" s="30"/>
      <c r="P3661" s="39" t="str">
        <f t="shared" si="577"/>
        <v/>
      </c>
      <c r="Q3661" s="40" t="str">
        <f>IF(OR(T3661=0,RIGHT(T3661,1)=$W$1),"",COUNTIF($T$3:T3661,T3661))</f>
        <v/>
      </c>
      <c r="S3661" s="6">
        <f t="shared" si="578"/>
        <v>0</v>
      </c>
      <c r="T3661" s="36">
        <f t="shared" si="579"/>
        <v>0</v>
      </c>
      <c r="V3661" s="6">
        <f t="shared" si="580"/>
        <v>0</v>
      </c>
      <c r="Y3661" s="8">
        <f t="shared" si="581"/>
        <v>46023</v>
      </c>
    </row>
    <row r="3662" spans="2:25" ht="18.75" x14ac:dyDescent="0.3">
      <c r="B3662" s="6">
        <f t="shared" si="573"/>
        <v>0</v>
      </c>
      <c r="C3662" s="6">
        <f t="shared" si="574"/>
        <v>0</v>
      </c>
      <c r="D3662" s="6" t="str">
        <f t="shared" si="575"/>
        <v/>
      </c>
      <c r="E3662" s="35" t="str">
        <f t="shared" si="572"/>
        <v/>
      </c>
      <c r="F3662" s="31"/>
      <c r="G3662" s="29"/>
      <c r="H3662" s="78" t="str">
        <f t="shared" si="576"/>
        <v/>
      </c>
      <c r="I3662" s="25"/>
      <c r="J3662" s="25"/>
      <c r="K3662" s="26"/>
      <c r="L3662" s="26"/>
      <c r="M3662" s="37"/>
      <c r="N3662" s="27"/>
      <c r="O3662" s="30"/>
      <c r="P3662" s="39" t="str">
        <f t="shared" si="577"/>
        <v/>
      </c>
      <c r="Q3662" s="40" t="str">
        <f>IF(OR(T3662=0,RIGHT(T3662,1)=$W$1),"",COUNTIF($T$3:T3662,T3662))</f>
        <v/>
      </c>
      <c r="S3662" s="6">
        <f t="shared" si="578"/>
        <v>0</v>
      </c>
      <c r="T3662" s="36">
        <f t="shared" si="579"/>
        <v>0</v>
      </c>
      <c r="V3662" s="6">
        <f t="shared" si="580"/>
        <v>0</v>
      </c>
      <c r="Y3662" s="8">
        <f t="shared" si="581"/>
        <v>46023</v>
      </c>
    </row>
    <row r="3663" spans="2:25" ht="18.75" x14ac:dyDescent="0.3">
      <c r="B3663" s="6">
        <f t="shared" si="573"/>
        <v>0</v>
      </c>
      <c r="C3663" s="6">
        <f t="shared" si="574"/>
        <v>0</v>
      </c>
      <c r="D3663" s="6" t="str">
        <f t="shared" si="575"/>
        <v/>
      </c>
      <c r="E3663" s="35" t="str">
        <f t="shared" si="572"/>
        <v/>
      </c>
      <c r="F3663" s="31"/>
      <c r="G3663" s="29"/>
      <c r="H3663" s="78" t="str">
        <f t="shared" si="576"/>
        <v/>
      </c>
      <c r="I3663" s="25"/>
      <c r="J3663" s="25"/>
      <c r="K3663" s="26"/>
      <c r="L3663" s="26"/>
      <c r="M3663" s="37"/>
      <c r="N3663" s="27"/>
      <c r="O3663" s="30"/>
      <c r="P3663" s="39" t="str">
        <f t="shared" si="577"/>
        <v/>
      </c>
      <c r="Q3663" s="40" t="str">
        <f>IF(OR(T3663=0,RIGHT(T3663,1)=$W$1),"",COUNTIF($T$3:T3663,T3663))</f>
        <v/>
      </c>
      <c r="S3663" s="6">
        <f t="shared" si="578"/>
        <v>0</v>
      </c>
      <c r="T3663" s="36">
        <f t="shared" si="579"/>
        <v>0</v>
      </c>
      <c r="V3663" s="6">
        <f t="shared" si="580"/>
        <v>0</v>
      </c>
      <c r="Y3663" s="8">
        <f t="shared" si="581"/>
        <v>46023</v>
      </c>
    </row>
    <row r="3664" spans="2:25" ht="18.75" x14ac:dyDescent="0.3">
      <c r="B3664" s="6">
        <f t="shared" si="573"/>
        <v>0</v>
      </c>
      <c r="C3664" s="6">
        <f t="shared" si="574"/>
        <v>0</v>
      </c>
      <c r="D3664" s="6" t="str">
        <f t="shared" si="575"/>
        <v/>
      </c>
      <c r="E3664" s="35" t="str">
        <f t="shared" si="572"/>
        <v/>
      </c>
      <c r="F3664" s="31"/>
      <c r="G3664" s="29"/>
      <c r="H3664" s="78" t="str">
        <f t="shared" si="576"/>
        <v/>
      </c>
      <c r="I3664" s="25"/>
      <c r="J3664" s="25"/>
      <c r="K3664" s="26"/>
      <c r="L3664" s="26"/>
      <c r="M3664" s="37"/>
      <c r="N3664" s="27"/>
      <c r="O3664" s="30"/>
      <c r="P3664" s="39" t="str">
        <f t="shared" si="577"/>
        <v/>
      </c>
      <c r="Q3664" s="40" t="str">
        <f>IF(OR(T3664=0,RIGHT(T3664,1)=$W$1),"",COUNTIF($T$3:T3664,T3664))</f>
        <v/>
      </c>
      <c r="S3664" s="6">
        <f t="shared" si="578"/>
        <v>0</v>
      </c>
      <c r="T3664" s="36">
        <f t="shared" si="579"/>
        <v>0</v>
      </c>
      <c r="V3664" s="6">
        <f t="shared" si="580"/>
        <v>0</v>
      </c>
      <c r="Y3664" s="8">
        <f t="shared" si="581"/>
        <v>46023</v>
      </c>
    </row>
    <row r="3665" spans="2:25" ht="18.75" x14ac:dyDescent="0.3">
      <c r="B3665" s="6">
        <f t="shared" si="573"/>
        <v>0</v>
      </c>
      <c r="C3665" s="6">
        <f t="shared" si="574"/>
        <v>0</v>
      </c>
      <c r="D3665" s="6" t="str">
        <f t="shared" si="575"/>
        <v/>
      </c>
      <c r="E3665" s="35" t="str">
        <f t="shared" si="572"/>
        <v/>
      </c>
      <c r="F3665" s="31"/>
      <c r="G3665" s="29"/>
      <c r="H3665" s="78" t="str">
        <f t="shared" si="576"/>
        <v/>
      </c>
      <c r="I3665" s="25"/>
      <c r="J3665" s="25"/>
      <c r="K3665" s="26"/>
      <c r="L3665" s="26"/>
      <c r="M3665" s="37"/>
      <c r="N3665" s="27"/>
      <c r="O3665" s="30"/>
      <c r="P3665" s="39" t="str">
        <f t="shared" si="577"/>
        <v/>
      </c>
      <c r="Q3665" s="40" t="str">
        <f>IF(OR(T3665=0,RIGHT(T3665,1)=$W$1),"",COUNTIF($T$3:T3665,T3665))</f>
        <v/>
      </c>
      <c r="S3665" s="6">
        <f t="shared" si="578"/>
        <v>0</v>
      </c>
      <c r="T3665" s="36">
        <f t="shared" si="579"/>
        <v>0</v>
      </c>
      <c r="V3665" s="6">
        <f t="shared" si="580"/>
        <v>0</v>
      </c>
      <c r="Y3665" s="8">
        <f t="shared" si="581"/>
        <v>46023</v>
      </c>
    </row>
    <row r="3666" spans="2:25" ht="18.75" x14ac:dyDescent="0.3">
      <c r="B3666" s="6">
        <f t="shared" si="573"/>
        <v>0</v>
      </c>
      <c r="C3666" s="6">
        <f t="shared" si="574"/>
        <v>0</v>
      </c>
      <c r="D3666" s="6" t="str">
        <f t="shared" si="575"/>
        <v/>
      </c>
      <c r="E3666" s="35" t="str">
        <f t="shared" si="572"/>
        <v/>
      </c>
      <c r="F3666" s="31"/>
      <c r="G3666" s="29"/>
      <c r="H3666" s="78" t="str">
        <f t="shared" si="576"/>
        <v/>
      </c>
      <c r="I3666" s="25"/>
      <c r="J3666" s="25"/>
      <c r="K3666" s="26"/>
      <c r="L3666" s="26"/>
      <c r="M3666" s="37"/>
      <c r="N3666" s="27"/>
      <c r="O3666" s="30"/>
      <c r="P3666" s="39" t="str">
        <f t="shared" si="577"/>
        <v/>
      </c>
      <c r="Q3666" s="40" t="str">
        <f>IF(OR(T3666=0,RIGHT(T3666,1)=$W$1),"",COUNTIF($T$3:T3666,T3666))</f>
        <v/>
      </c>
      <c r="S3666" s="6">
        <f t="shared" si="578"/>
        <v>0</v>
      </c>
      <c r="T3666" s="36">
        <f t="shared" si="579"/>
        <v>0</v>
      </c>
      <c r="V3666" s="6">
        <f t="shared" si="580"/>
        <v>0</v>
      </c>
      <c r="Y3666" s="8">
        <f t="shared" si="581"/>
        <v>46023</v>
      </c>
    </row>
    <row r="3667" spans="2:25" ht="18.75" x14ac:dyDescent="0.3">
      <c r="B3667" s="6">
        <f t="shared" si="573"/>
        <v>0</v>
      </c>
      <c r="C3667" s="6">
        <f t="shared" si="574"/>
        <v>0</v>
      </c>
      <c r="D3667" s="6" t="str">
        <f t="shared" si="575"/>
        <v/>
      </c>
      <c r="E3667" s="35" t="str">
        <f t="shared" si="572"/>
        <v/>
      </c>
      <c r="F3667" s="31"/>
      <c r="G3667" s="29"/>
      <c r="H3667" s="78" t="str">
        <f t="shared" si="576"/>
        <v/>
      </c>
      <c r="I3667" s="25"/>
      <c r="J3667" s="25"/>
      <c r="K3667" s="26"/>
      <c r="L3667" s="26"/>
      <c r="M3667" s="37"/>
      <c r="N3667" s="27"/>
      <c r="O3667" s="30"/>
      <c r="P3667" s="39" t="str">
        <f t="shared" si="577"/>
        <v/>
      </c>
      <c r="Q3667" s="40" t="str">
        <f>IF(OR(T3667=0,RIGHT(T3667,1)=$W$1),"",COUNTIF($T$3:T3667,T3667))</f>
        <v/>
      </c>
      <c r="S3667" s="6">
        <f t="shared" si="578"/>
        <v>0</v>
      </c>
      <c r="T3667" s="36">
        <f t="shared" si="579"/>
        <v>0</v>
      </c>
      <c r="V3667" s="6">
        <f t="shared" si="580"/>
        <v>0</v>
      </c>
      <c r="Y3667" s="8">
        <f t="shared" si="581"/>
        <v>46023</v>
      </c>
    </row>
    <row r="3668" spans="2:25" ht="18.75" x14ac:dyDescent="0.3">
      <c r="B3668" s="6">
        <f t="shared" si="573"/>
        <v>0</v>
      </c>
      <c r="C3668" s="6">
        <f t="shared" si="574"/>
        <v>0</v>
      </c>
      <c r="D3668" s="6" t="str">
        <f t="shared" si="575"/>
        <v/>
      </c>
      <c r="E3668" s="35" t="str">
        <f t="shared" si="572"/>
        <v/>
      </c>
      <c r="F3668" s="31"/>
      <c r="G3668" s="29"/>
      <c r="H3668" s="78" t="str">
        <f t="shared" si="576"/>
        <v/>
      </c>
      <c r="I3668" s="25"/>
      <c r="J3668" s="25"/>
      <c r="K3668" s="26"/>
      <c r="L3668" s="26"/>
      <c r="M3668" s="37"/>
      <c r="N3668" s="27"/>
      <c r="O3668" s="30"/>
      <c r="P3668" s="39" t="str">
        <f t="shared" si="577"/>
        <v/>
      </c>
      <c r="Q3668" s="40" t="str">
        <f>IF(OR(T3668=0,RIGHT(T3668,1)=$W$1),"",COUNTIF($T$3:T3668,T3668))</f>
        <v/>
      </c>
      <c r="S3668" s="6">
        <f t="shared" si="578"/>
        <v>0</v>
      </c>
      <c r="T3668" s="36">
        <f t="shared" si="579"/>
        <v>0</v>
      </c>
      <c r="V3668" s="6">
        <f t="shared" si="580"/>
        <v>0</v>
      </c>
      <c r="Y3668" s="8">
        <f t="shared" si="581"/>
        <v>46023</v>
      </c>
    </row>
    <row r="3669" spans="2:25" ht="18.75" x14ac:dyDescent="0.3">
      <c r="B3669" s="6">
        <f t="shared" si="573"/>
        <v>0</v>
      </c>
      <c r="C3669" s="6">
        <f t="shared" si="574"/>
        <v>0</v>
      </c>
      <c r="D3669" s="6" t="str">
        <f t="shared" si="575"/>
        <v/>
      </c>
      <c r="E3669" s="35" t="str">
        <f t="shared" si="572"/>
        <v/>
      </c>
      <c r="F3669" s="31"/>
      <c r="G3669" s="29"/>
      <c r="H3669" s="78" t="str">
        <f t="shared" si="576"/>
        <v/>
      </c>
      <c r="I3669" s="25"/>
      <c r="J3669" s="25"/>
      <c r="K3669" s="26"/>
      <c r="L3669" s="26"/>
      <c r="M3669" s="37"/>
      <c r="N3669" s="27"/>
      <c r="O3669" s="30"/>
      <c r="P3669" s="39" t="str">
        <f t="shared" si="577"/>
        <v/>
      </c>
      <c r="Q3669" s="40" t="str">
        <f>IF(OR(T3669=0,RIGHT(T3669,1)=$W$1),"",COUNTIF($T$3:T3669,T3669))</f>
        <v/>
      </c>
      <c r="S3669" s="6">
        <f t="shared" si="578"/>
        <v>0</v>
      </c>
      <c r="T3669" s="36">
        <f t="shared" si="579"/>
        <v>0</v>
      </c>
      <c r="V3669" s="6">
        <f t="shared" si="580"/>
        <v>0</v>
      </c>
      <c r="Y3669" s="8">
        <f t="shared" si="581"/>
        <v>46023</v>
      </c>
    </row>
    <row r="3670" spans="2:25" ht="18.75" x14ac:dyDescent="0.3">
      <c r="B3670" s="6">
        <f t="shared" si="573"/>
        <v>0</v>
      </c>
      <c r="C3670" s="6">
        <f t="shared" si="574"/>
        <v>0</v>
      </c>
      <c r="D3670" s="6" t="str">
        <f t="shared" si="575"/>
        <v/>
      </c>
      <c r="E3670" s="35" t="str">
        <f t="shared" si="572"/>
        <v/>
      </c>
      <c r="F3670" s="31"/>
      <c r="G3670" s="29"/>
      <c r="H3670" s="78" t="str">
        <f t="shared" si="576"/>
        <v/>
      </c>
      <c r="I3670" s="25"/>
      <c r="J3670" s="25"/>
      <c r="K3670" s="26"/>
      <c r="L3670" s="26"/>
      <c r="M3670" s="37"/>
      <c r="N3670" s="27"/>
      <c r="O3670" s="30"/>
      <c r="P3670" s="39" t="str">
        <f t="shared" si="577"/>
        <v/>
      </c>
      <c r="Q3670" s="40" t="str">
        <f>IF(OR(T3670=0,RIGHT(T3670,1)=$W$1),"",COUNTIF($T$3:T3670,T3670))</f>
        <v/>
      </c>
      <c r="S3670" s="6">
        <f t="shared" si="578"/>
        <v>0</v>
      </c>
      <c r="T3670" s="36">
        <f t="shared" si="579"/>
        <v>0</v>
      </c>
      <c r="V3670" s="6">
        <f t="shared" si="580"/>
        <v>0</v>
      </c>
      <c r="Y3670" s="8">
        <f t="shared" si="581"/>
        <v>46023</v>
      </c>
    </row>
    <row r="3671" spans="2:25" ht="18.75" x14ac:dyDescent="0.3">
      <c r="B3671" s="6">
        <f t="shared" si="573"/>
        <v>0</v>
      </c>
      <c r="C3671" s="6">
        <f t="shared" si="574"/>
        <v>0</v>
      </c>
      <c r="D3671" s="6" t="str">
        <f t="shared" si="575"/>
        <v/>
      </c>
      <c r="E3671" s="35" t="str">
        <f t="shared" si="572"/>
        <v/>
      </c>
      <c r="F3671" s="31"/>
      <c r="G3671" s="29"/>
      <c r="H3671" s="78" t="str">
        <f t="shared" si="576"/>
        <v/>
      </c>
      <c r="I3671" s="25"/>
      <c r="J3671" s="25"/>
      <c r="K3671" s="26"/>
      <c r="L3671" s="26"/>
      <c r="M3671" s="37"/>
      <c r="N3671" s="27"/>
      <c r="O3671" s="30"/>
      <c r="P3671" s="39" t="str">
        <f t="shared" si="577"/>
        <v/>
      </c>
      <c r="Q3671" s="40" t="str">
        <f>IF(OR(T3671=0,RIGHT(T3671,1)=$W$1),"",COUNTIF($T$3:T3671,T3671))</f>
        <v/>
      </c>
      <c r="S3671" s="6">
        <f t="shared" si="578"/>
        <v>0</v>
      </c>
      <c r="T3671" s="36">
        <f t="shared" si="579"/>
        <v>0</v>
      </c>
      <c r="V3671" s="6">
        <f t="shared" si="580"/>
        <v>0</v>
      </c>
      <c r="Y3671" s="8">
        <f t="shared" si="581"/>
        <v>46023</v>
      </c>
    </row>
    <row r="3672" spans="2:25" ht="18.75" x14ac:dyDescent="0.3">
      <c r="B3672" s="6">
        <f t="shared" si="573"/>
        <v>0</v>
      </c>
      <c r="C3672" s="6">
        <f t="shared" si="574"/>
        <v>0</v>
      </c>
      <c r="D3672" s="6" t="str">
        <f t="shared" si="575"/>
        <v/>
      </c>
      <c r="E3672" s="35" t="str">
        <f t="shared" si="572"/>
        <v/>
      </c>
      <c r="F3672" s="31"/>
      <c r="G3672" s="29"/>
      <c r="H3672" s="78" t="str">
        <f t="shared" si="576"/>
        <v/>
      </c>
      <c r="I3672" s="25"/>
      <c r="J3672" s="25"/>
      <c r="K3672" s="26"/>
      <c r="L3672" s="26"/>
      <c r="M3672" s="37"/>
      <c r="N3672" s="27"/>
      <c r="O3672" s="30"/>
      <c r="P3672" s="39" t="str">
        <f t="shared" si="577"/>
        <v/>
      </c>
      <c r="Q3672" s="40" t="str">
        <f>IF(OR(T3672=0,RIGHT(T3672,1)=$W$1),"",COUNTIF($T$3:T3672,T3672))</f>
        <v/>
      </c>
      <c r="S3672" s="6">
        <f t="shared" si="578"/>
        <v>0</v>
      </c>
      <c r="T3672" s="36">
        <f t="shared" si="579"/>
        <v>0</v>
      </c>
      <c r="V3672" s="6">
        <f t="shared" si="580"/>
        <v>0</v>
      </c>
      <c r="Y3672" s="8">
        <f t="shared" si="581"/>
        <v>46023</v>
      </c>
    </row>
    <row r="3673" spans="2:25" ht="18.75" x14ac:dyDescent="0.3">
      <c r="B3673" s="6">
        <f t="shared" si="573"/>
        <v>0</v>
      </c>
      <c r="C3673" s="6">
        <f t="shared" si="574"/>
        <v>0</v>
      </c>
      <c r="D3673" s="6" t="str">
        <f t="shared" si="575"/>
        <v/>
      </c>
      <c r="E3673" s="35" t="str">
        <f t="shared" si="572"/>
        <v/>
      </c>
      <c r="F3673" s="31"/>
      <c r="G3673" s="29"/>
      <c r="H3673" s="78" t="str">
        <f t="shared" si="576"/>
        <v/>
      </c>
      <c r="I3673" s="25"/>
      <c r="J3673" s="25"/>
      <c r="K3673" s="26"/>
      <c r="L3673" s="26"/>
      <c r="M3673" s="37"/>
      <c r="N3673" s="27"/>
      <c r="O3673" s="30"/>
      <c r="P3673" s="39" t="str">
        <f t="shared" si="577"/>
        <v/>
      </c>
      <c r="Q3673" s="40" t="str">
        <f>IF(OR(T3673=0,RIGHT(T3673,1)=$W$1),"",COUNTIF($T$3:T3673,T3673))</f>
        <v/>
      </c>
      <c r="S3673" s="6">
        <f t="shared" si="578"/>
        <v>0</v>
      </c>
      <c r="T3673" s="36">
        <f t="shared" si="579"/>
        <v>0</v>
      </c>
      <c r="V3673" s="6">
        <f t="shared" si="580"/>
        <v>0</v>
      </c>
      <c r="Y3673" s="8">
        <f t="shared" si="581"/>
        <v>46023</v>
      </c>
    </row>
    <row r="3674" spans="2:25" ht="18.75" x14ac:dyDescent="0.3">
      <c r="B3674" s="6">
        <f t="shared" si="573"/>
        <v>0</v>
      </c>
      <c r="C3674" s="6">
        <f t="shared" si="574"/>
        <v>0</v>
      </c>
      <c r="D3674" s="6" t="str">
        <f t="shared" si="575"/>
        <v/>
      </c>
      <c r="E3674" s="35" t="str">
        <f t="shared" si="572"/>
        <v/>
      </c>
      <c r="F3674" s="31"/>
      <c r="G3674" s="29"/>
      <c r="H3674" s="78" t="str">
        <f t="shared" si="576"/>
        <v/>
      </c>
      <c r="I3674" s="25"/>
      <c r="J3674" s="25"/>
      <c r="K3674" s="26"/>
      <c r="L3674" s="26"/>
      <c r="M3674" s="37"/>
      <c r="N3674" s="27"/>
      <c r="O3674" s="30"/>
      <c r="P3674" s="39" t="str">
        <f t="shared" si="577"/>
        <v/>
      </c>
      <c r="Q3674" s="40" t="str">
        <f>IF(OR(T3674=0,RIGHT(T3674,1)=$W$1),"",COUNTIF($T$3:T3674,T3674))</f>
        <v/>
      </c>
      <c r="S3674" s="6">
        <f t="shared" si="578"/>
        <v>0</v>
      </c>
      <c r="T3674" s="36">
        <f t="shared" si="579"/>
        <v>0</v>
      </c>
      <c r="V3674" s="6">
        <f t="shared" si="580"/>
        <v>0</v>
      </c>
      <c r="Y3674" s="8">
        <f t="shared" si="581"/>
        <v>46023</v>
      </c>
    </row>
    <row r="3675" spans="2:25" ht="18.75" x14ac:dyDescent="0.3">
      <c r="B3675" s="6">
        <f t="shared" si="573"/>
        <v>0</v>
      </c>
      <c r="C3675" s="6">
        <f t="shared" si="574"/>
        <v>0</v>
      </c>
      <c r="D3675" s="6" t="str">
        <f t="shared" si="575"/>
        <v/>
      </c>
      <c r="E3675" s="35" t="str">
        <f t="shared" si="572"/>
        <v/>
      </c>
      <c r="F3675" s="31"/>
      <c r="G3675" s="29"/>
      <c r="H3675" s="78" t="str">
        <f t="shared" si="576"/>
        <v/>
      </c>
      <c r="I3675" s="25"/>
      <c r="J3675" s="25"/>
      <c r="K3675" s="26"/>
      <c r="L3675" s="26"/>
      <c r="M3675" s="37"/>
      <c r="N3675" s="27"/>
      <c r="O3675" s="30"/>
      <c r="P3675" s="39" t="str">
        <f t="shared" si="577"/>
        <v/>
      </c>
      <c r="Q3675" s="40" t="str">
        <f>IF(OR(T3675=0,RIGHT(T3675,1)=$W$1),"",COUNTIF($T$3:T3675,T3675))</f>
        <v/>
      </c>
      <c r="S3675" s="6">
        <f t="shared" si="578"/>
        <v>0</v>
      </c>
      <c r="T3675" s="36">
        <f t="shared" si="579"/>
        <v>0</v>
      </c>
      <c r="V3675" s="6">
        <f t="shared" si="580"/>
        <v>0</v>
      </c>
      <c r="Y3675" s="8">
        <f t="shared" si="581"/>
        <v>46023</v>
      </c>
    </row>
    <row r="3676" spans="2:25" ht="18.75" x14ac:dyDescent="0.3">
      <c r="B3676" s="6">
        <f t="shared" si="573"/>
        <v>0</v>
      </c>
      <c r="C3676" s="6">
        <f t="shared" si="574"/>
        <v>0</v>
      </c>
      <c r="D3676" s="6" t="str">
        <f t="shared" si="575"/>
        <v/>
      </c>
      <c r="E3676" s="35" t="str">
        <f t="shared" si="572"/>
        <v/>
      </c>
      <c r="F3676" s="31"/>
      <c r="G3676" s="29"/>
      <c r="H3676" s="78" t="str">
        <f t="shared" si="576"/>
        <v/>
      </c>
      <c r="I3676" s="25"/>
      <c r="J3676" s="25"/>
      <c r="K3676" s="26"/>
      <c r="L3676" s="26"/>
      <c r="M3676" s="37"/>
      <c r="N3676" s="27"/>
      <c r="O3676" s="30"/>
      <c r="P3676" s="39" t="str">
        <f t="shared" si="577"/>
        <v/>
      </c>
      <c r="Q3676" s="40" t="str">
        <f>IF(OR(T3676=0,RIGHT(T3676,1)=$W$1),"",COUNTIF($T$3:T3676,T3676))</f>
        <v/>
      </c>
      <c r="S3676" s="6">
        <f t="shared" si="578"/>
        <v>0</v>
      </c>
      <c r="T3676" s="36">
        <f t="shared" si="579"/>
        <v>0</v>
      </c>
      <c r="V3676" s="6">
        <f t="shared" si="580"/>
        <v>0</v>
      </c>
      <c r="Y3676" s="8">
        <f t="shared" si="581"/>
        <v>46023</v>
      </c>
    </row>
    <row r="3677" spans="2:25" ht="18.75" x14ac:dyDescent="0.3">
      <c r="B3677" s="6">
        <f t="shared" si="573"/>
        <v>0</v>
      </c>
      <c r="C3677" s="6">
        <f t="shared" si="574"/>
        <v>0</v>
      </c>
      <c r="D3677" s="6" t="str">
        <f t="shared" si="575"/>
        <v/>
      </c>
      <c r="E3677" s="35" t="str">
        <f t="shared" si="572"/>
        <v/>
      </c>
      <c r="F3677" s="31"/>
      <c r="G3677" s="29"/>
      <c r="H3677" s="78" t="str">
        <f t="shared" si="576"/>
        <v/>
      </c>
      <c r="I3677" s="25"/>
      <c r="J3677" s="25"/>
      <c r="K3677" s="26"/>
      <c r="L3677" s="26"/>
      <c r="M3677" s="37"/>
      <c r="N3677" s="27"/>
      <c r="O3677" s="30"/>
      <c r="P3677" s="39" t="str">
        <f t="shared" si="577"/>
        <v/>
      </c>
      <c r="Q3677" s="40" t="str">
        <f>IF(OR(T3677=0,RIGHT(T3677,1)=$W$1),"",COUNTIF($T$3:T3677,T3677))</f>
        <v/>
      </c>
      <c r="S3677" s="6">
        <f t="shared" si="578"/>
        <v>0</v>
      </c>
      <c r="T3677" s="36">
        <f t="shared" si="579"/>
        <v>0</v>
      </c>
      <c r="V3677" s="6">
        <f t="shared" si="580"/>
        <v>0</v>
      </c>
      <c r="Y3677" s="8">
        <f t="shared" si="581"/>
        <v>46023</v>
      </c>
    </row>
    <row r="3678" spans="2:25" ht="18.75" x14ac:dyDescent="0.3">
      <c r="B3678" s="6">
        <f t="shared" si="573"/>
        <v>0</v>
      </c>
      <c r="C3678" s="6">
        <f t="shared" si="574"/>
        <v>0</v>
      </c>
      <c r="D3678" s="6" t="str">
        <f t="shared" si="575"/>
        <v/>
      </c>
      <c r="E3678" s="35" t="str">
        <f t="shared" si="572"/>
        <v/>
      </c>
      <c r="F3678" s="31"/>
      <c r="G3678" s="29"/>
      <c r="H3678" s="78" t="str">
        <f t="shared" si="576"/>
        <v/>
      </c>
      <c r="I3678" s="25"/>
      <c r="J3678" s="25"/>
      <c r="K3678" s="26"/>
      <c r="L3678" s="26"/>
      <c r="M3678" s="37"/>
      <c r="N3678" s="27"/>
      <c r="O3678" s="30"/>
      <c r="P3678" s="39" t="str">
        <f t="shared" si="577"/>
        <v/>
      </c>
      <c r="Q3678" s="40" t="str">
        <f>IF(OR(T3678=0,RIGHT(T3678,1)=$W$1),"",COUNTIF($T$3:T3678,T3678))</f>
        <v/>
      </c>
      <c r="S3678" s="6">
        <f t="shared" si="578"/>
        <v>0</v>
      </c>
      <c r="T3678" s="36">
        <f t="shared" si="579"/>
        <v>0</v>
      </c>
      <c r="V3678" s="6">
        <f t="shared" si="580"/>
        <v>0</v>
      </c>
      <c r="Y3678" s="8">
        <f t="shared" si="581"/>
        <v>46023</v>
      </c>
    </row>
    <row r="3679" spans="2:25" ht="18.75" x14ac:dyDescent="0.3">
      <c r="B3679" s="6">
        <f t="shared" si="573"/>
        <v>0</v>
      </c>
      <c r="C3679" s="6">
        <f t="shared" si="574"/>
        <v>0</v>
      </c>
      <c r="D3679" s="6" t="str">
        <f t="shared" si="575"/>
        <v/>
      </c>
      <c r="E3679" s="35" t="str">
        <f t="shared" si="572"/>
        <v/>
      </c>
      <c r="F3679" s="31"/>
      <c r="G3679" s="29"/>
      <c r="H3679" s="78" t="str">
        <f t="shared" si="576"/>
        <v/>
      </c>
      <c r="I3679" s="25"/>
      <c r="J3679" s="25"/>
      <c r="K3679" s="26"/>
      <c r="L3679" s="26"/>
      <c r="M3679" s="37"/>
      <c r="N3679" s="27"/>
      <c r="O3679" s="30"/>
      <c r="P3679" s="39" t="str">
        <f t="shared" si="577"/>
        <v/>
      </c>
      <c r="Q3679" s="40" t="str">
        <f>IF(OR(T3679=0,RIGHT(T3679,1)=$W$1),"",COUNTIF($T$3:T3679,T3679))</f>
        <v/>
      </c>
      <c r="S3679" s="6">
        <f t="shared" si="578"/>
        <v>0</v>
      </c>
      <c r="T3679" s="36">
        <f t="shared" si="579"/>
        <v>0</v>
      </c>
      <c r="V3679" s="6">
        <f t="shared" si="580"/>
        <v>0</v>
      </c>
      <c r="Y3679" s="8">
        <f t="shared" si="581"/>
        <v>46023</v>
      </c>
    </row>
    <row r="3680" spans="2:25" ht="18.75" x14ac:dyDescent="0.3">
      <c r="B3680" s="6">
        <f t="shared" si="573"/>
        <v>0</v>
      </c>
      <c r="C3680" s="6">
        <f t="shared" si="574"/>
        <v>0</v>
      </c>
      <c r="D3680" s="6" t="str">
        <f t="shared" si="575"/>
        <v/>
      </c>
      <c r="E3680" s="35" t="str">
        <f t="shared" si="572"/>
        <v/>
      </c>
      <c r="F3680" s="31"/>
      <c r="G3680" s="29"/>
      <c r="H3680" s="78" t="str">
        <f t="shared" si="576"/>
        <v/>
      </c>
      <c r="I3680" s="25"/>
      <c r="J3680" s="25"/>
      <c r="K3680" s="26"/>
      <c r="L3680" s="26"/>
      <c r="M3680" s="37"/>
      <c r="N3680" s="27"/>
      <c r="O3680" s="30"/>
      <c r="P3680" s="39" t="str">
        <f t="shared" si="577"/>
        <v/>
      </c>
      <c r="Q3680" s="40" t="str">
        <f>IF(OR(T3680=0,RIGHT(T3680,1)=$W$1),"",COUNTIF($T$3:T3680,T3680))</f>
        <v/>
      </c>
      <c r="S3680" s="6">
        <f t="shared" si="578"/>
        <v>0</v>
      </c>
      <c r="T3680" s="36">
        <f t="shared" si="579"/>
        <v>0</v>
      </c>
      <c r="V3680" s="6">
        <f t="shared" si="580"/>
        <v>0</v>
      </c>
      <c r="Y3680" s="8">
        <f t="shared" si="581"/>
        <v>46023</v>
      </c>
    </row>
    <row r="3681" spans="2:25" ht="18.75" x14ac:dyDescent="0.3">
      <c r="B3681" s="6">
        <f t="shared" si="573"/>
        <v>0</v>
      </c>
      <c r="C3681" s="6">
        <f t="shared" si="574"/>
        <v>0</v>
      </c>
      <c r="D3681" s="6" t="str">
        <f t="shared" si="575"/>
        <v/>
      </c>
      <c r="E3681" s="35" t="str">
        <f t="shared" si="572"/>
        <v/>
      </c>
      <c r="F3681" s="31"/>
      <c r="G3681" s="29"/>
      <c r="H3681" s="78" t="str">
        <f t="shared" si="576"/>
        <v/>
      </c>
      <c r="I3681" s="25"/>
      <c r="J3681" s="25"/>
      <c r="K3681" s="26"/>
      <c r="L3681" s="26"/>
      <c r="M3681" s="37"/>
      <c r="N3681" s="27"/>
      <c r="O3681" s="30"/>
      <c r="P3681" s="39" t="str">
        <f t="shared" si="577"/>
        <v/>
      </c>
      <c r="Q3681" s="40" t="str">
        <f>IF(OR(T3681=0,RIGHT(T3681,1)=$W$1),"",COUNTIF($T$3:T3681,T3681))</f>
        <v/>
      </c>
      <c r="S3681" s="6">
        <f t="shared" si="578"/>
        <v>0</v>
      </c>
      <c r="T3681" s="36">
        <f t="shared" si="579"/>
        <v>0</v>
      </c>
      <c r="V3681" s="6">
        <f t="shared" si="580"/>
        <v>0</v>
      </c>
      <c r="Y3681" s="8">
        <f t="shared" si="581"/>
        <v>46023</v>
      </c>
    </row>
    <row r="3682" spans="2:25" ht="18.75" x14ac:dyDescent="0.3">
      <c r="B3682" s="6">
        <f t="shared" si="573"/>
        <v>0</v>
      </c>
      <c r="C3682" s="6">
        <f t="shared" si="574"/>
        <v>0</v>
      </c>
      <c r="D3682" s="6" t="str">
        <f t="shared" si="575"/>
        <v/>
      </c>
      <c r="E3682" s="35" t="str">
        <f t="shared" si="572"/>
        <v/>
      </c>
      <c r="F3682" s="31"/>
      <c r="G3682" s="29"/>
      <c r="H3682" s="78" t="str">
        <f t="shared" si="576"/>
        <v/>
      </c>
      <c r="I3682" s="25"/>
      <c r="J3682" s="25"/>
      <c r="K3682" s="26"/>
      <c r="L3682" s="26"/>
      <c r="M3682" s="37"/>
      <c r="N3682" s="27"/>
      <c r="O3682" s="30"/>
      <c r="P3682" s="39" t="str">
        <f t="shared" si="577"/>
        <v/>
      </c>
      <c r="Q3682" s="40" t="str">
        <f>IF(OR(T3682=0,RIGHT(T3682,1)=$W$1),"",COUNTIF($T$3:T3682,T3682))</f>
        <v/>
      </c>
      <c r="S3682" s="6">
        <f t="shared" si="578"/>
        <v>0</v>
      </c>
      <c r="T3682" s="36">
        <f t="shared" si="579"/>
        <v>0</v>
      </c>
      <c r="V3682" s="6">
        <f t="shared" si="580"/>
        <v>0</v>
      </c>
      <c r="Y3682" s="8">
        <f t="shared" si="581"/>
        <v>46023</v>
      </c>
    </row>
    <row r="3683" spans="2:25" ht="18.75" x14ac:dyDescent="0.3">
      <c r="B3683" s="6">
        <f t="shared" si="573"/>
        <v>0</v>
      </c>
      <c r="C3683" s="6">
        <f t="shared" si="574"/>
        <v>0</v>
      </c>
      <c r="D3683" s="6" t="str">
        <f t="shared" si="575"/>
        <v/>
      </c>
      <c r="E3683" s="35" t="str">
        <f t="shared" si="572"/>
        <v/>
      </c>
      <c r="F3683" s="31"/>
      <c r="G3683" s="29"/>
      <c r="H3683" s="78" t="str">
        <f t="shared" si="576"/>
        <v/>
      </c>
      <c r="I3683" s="25"/>
      <c r="J3683" s="25"/>
      <c r="K3683" s="26"/>
      <c r="L3683" s="26"/>
      <c r="M3683" s="37"/>
      <c r="N3683" s="27"/>
      <c r="O3683" s="30"/>
      <c r="P3683" s="39" t="str">
        <f t="shared" si="577"/>
        <v/>
      </c>
      <c r="Q3683" s="40" t="str">
        <f>IF(OR(T3683=0,RIGHT(T3683,1)=$W$1),"",COUNTIF($T$3:T3683,T3683))</f>
        <v/>
      </c>
      <c r="S3683" s="6">
        <f t="shared" si="578"/>
        <v>0</v>
      </c>
      <c r="T3683" s="36">
        <f t="shared" si="579"/>
        <v>0</v>
      </c>
      <c r="V3683" s="6">
        <f t="shared" si="580"/>
        <v>0</v>
      </c>
      <c r="Y3683" s="8">
        <f t="shared" si="581"/>
        <v>46023</v>
      </c>
    </row>
    <row r="3684" spans="2:25" ht="18.75" x14ac:dyDescent="0.3">
      <c r="B3684" s="6">
        <f t="shared" si="573"/>
        <v>0</v>
      </c>
      <c r="C3684" s="6">
        <f t="shared" si="574"/>
        <v>0</v>
      </c>
      <c r="D3684" s="6" t="str">
        <f t="shared" si="575"/>
        <v/>
      </c>
      <c r="E3684" s="35" t="str">
        <f t="shared" si="572"/>
        <v/>
      </c>
      <c r="F3684" s="31"/>
      <c r="G3684" s="29"/>
      <c r="H3684" s="78" t="str">
        <f t="shared" si="576"/>
        <v/>
      </c>
      <c r="I3684" s="25"/>
      <c r="J3684" s="25"/>
      <c r="K3684" s="26"/>
      <c r="L3684" s="26"/>
      <c r="M3684" s="37"/>
      <c r="N3684" s="27"/>
      <c r="O3684" s="30"/>
      <c r="P3684" s="39" t="str">
        <f t="shared" si="577"/>
        <v/>
      </c>
      <c r="Q3684" s="40" t="str">
        <f>IF(OR(T3684=0,RIGHT(T3684,1)=$W$1),"",COUNTIF($T$3:T3684,T3684))</f>
        <v/>
      </c>
      <c r="S3684" s="6">
        <f t="shared" si="578"/>
        <v>0</v>
      </c>
      <c r="T3684" s="36">
        <f t="shared" si="579"/>
        <v>0</v>
      </c>
      <c r="V3684" s="6">
        <f t="shared" si="580"/>
        <v>0</v>
      </c>
      <c r="Y3684" s="8">
        <f t="shared" si="581"/>
        <v>46023</v>
      </c>
    </row>
    <row r="3685" spans="2:25" ht="18.75" x14ac:dyDescent="0.3">
      <c r="B3685" s="6">
        <f t="shared" si="573"/>
        <v>0</v>
      </c>
      <c r="C3685" s="6">
        <f t="shared" si="574"/>
        <v>0</v>
      </c>
      <c r="D3685" s="6" t="str">
        <f t="shared" si="575"/>
        <v/>
      </c>
      <c r="E3685" s="35" t="str">
        <f t="shared" si="572"/>
        <v/>
      </c>
      <c r="F3685" s="31"/>
      <c r="G3685" s="29"/>
      <c r="H3685" s="78" t="str">
        <f t="shared" si="576"/>
        <v/>
      </c>
      <c r="I3685" s="25"/>
      <c r="J3685" s="25"/>
      <c r="K3685" s="26"/>
      <c r="L3685" s="26"/>
      <c r="M3685" s="37"/>
      <c r="N3685" s="27"/>
      <c r="O3685" s="30"/>
      <c r="P3685" s="39" t="str">
        <f t="shared" si="577"/>
        <v/>
      </c>
      <c r="Q3685" s="40" t="str">
        <f>IF(OR(T3685=0,RIGHT(T3685,1)=$W$1),"",COUNTIF($T$3:T3685,T3685))</f>
        <v/>
      </c>
      <c r="S3685" s="6">
        <f t="shared" si="578"/>
        <v>0</v>
      </c>
      <c r="T3685" s="36">
        <f t="shared" si="579"/>
        <v>0</v>
      </c>
      <c r="V3685" s="6">
        <f t="shared" si="580"/>
        <v>0</v>
      </c>
      <c r="Y3685" s="8">
        <f t="shared" si="581"/>
        <v>46023</v>
      </c>
    </row>
    <row r="3686" spans="2:25" ht="18.75" x14ac:dyDescent="0.3">
      <c r="B3686" s="6">
        <f t="shared" si="573"/>
        <v>0</v>
      </c>
      <c r="C3686" s="6">
        <f t="shared" si="574"/>
        <v>0</v>
      </c>
      <c r="D3686" s="6" t="str">
        <f t="shared" si="575"/>
        <v/>
      </c>
      <c r="E3686" s="35" t="str">
        <f t="shared" si="572"/>
        <v/>
      </c>
      <c r="F3686" s="31"/>
      <c r="G3686" s="29"/>
      <c r="H3686" s="78" t="str">
        <f t="shared" si="576"/>
        <v/>
      </c>
      <c r="I3686" s="25"/>
      <c r="J3686" s="25"/>
      <c r="K3686" s="26"/>
      <c r="L3686" s="26"/>
      <c r="M3686" s="37"/>
      <c r="N3686" s="27"/>
      <c r="O3686" s="30"/>
      <c r="P3686" s="39" t="str">
        <f t="shared" si="577"/>
        <v/>
      </c>
      <c r="Q3686" s="40" t="str">
        <f>IF(OR(T3686=0,RIGHT(T3686,1)=$W$1),"",COUNTIF($T$3:T3686,T3686))</f>
        <v/>
      </c>
      <c r="S3686" s="6">
        <f t="shared" si="578"/>
        <v>0</v>
      </c>
      <c r="T3686" s="36">
        <f t="shared" si="579"/>
        <v>0</v>
      </c>
      <c r="V3686" s="6">
        <f t="shared" si="580"/>
        <v>0</v>
      </c>
      <c r="Y3686" s="8">
        <f t="shared" si="581"/>
        <v>46023</v>
      </c>
    </row>
    <row r="3687" spans="2:25" ht="18.75" x14ac:dyDescent="0.3">
      <c r="B3687" s="6">
        <f t="shared" si="573"/>
        <v>0</v>
      </c>
      <c r="C3687" s="6">
        <f t="shared" si="574"/>
        <v>0</v>
      </c>
      <c r="D3687" s="6" t="str">
        <f t="shared" si="575"/>
        <v/>
      </c>
      <c r="E3687" s="35" t="str">
        <f t="shared" si="572"/>
        <v/>
      </c>
      <c r="F3687" s="31"/>
      <c r="G3687" s="29"/>
      <c r="H3687" s="78" t="str">
        <f t="shared" si="576"/>
        <v/>
      </c>
      <c r="I3687" s="25"/>
      <c r="J3687" s="25"/>
      <c r="K3687" s="26"/>
      <c r="L3687" s="26"/>
      <c r="M3687" s="37"/>
      <c r="N3687" s="27"/>
      <c r="O3687" s="30"/>
      <c r="P3687" s="39" t="str">
        <f t="shared" si="577"/>
        <v/>
      </c>
      <c r="Q3687" s="40" t="str">
        <f>IF(OR(T3687=0,RIGHT(T3687,1)=$W$1),"",COUNTIF($T$3:T3687,T3687))</f>
        <v/>
      </c>
      <c r="S3687" s="6">
        <f t="shared" si="578"/>
        <v>0</v>
      </c>
      <c r="T3687" s="36">
        <f t="shared" si="579"/>
        <v>0</v>
      </c>
      <c r="V3687" s="6">
        <f t="shared" si="580"/>
        <v>0</v>
      </c>
      <c r="Y3687" s="8">
        <f t="shared" si="581"/>
        <v>46023</v>
      </c>
    </row>
    <row r="3688" spans="2:25" ht="18.75" x14ac:dyDescent="0.3">
      <c r="B3688" s="6">
        <f t="shared" si="573"/>
        <v>0</v>
      </c>
      <c r="C3688" s="6">
        <f t="shared" si="574"/>
        <v>0</v>
      </c>
      <c r="D3688" s="6" t="str">
        <f t="shared" si="575"/>
        <v/>
      </c>
      <c r="E3688" s="35" t="str">
        <f t="shared" si="572"/>
        <v/>
      </c>
      <c r="F3688" s="31"/>
      <c r="G3688" s="29"/>
      <c r="H3688" s="78" t="str">
        <f t="shared" si="576"/>
        <v/>
      </c>
      <c r="I3688" s="25"/>
      <c r="J3688" s="25"/>
      <c r="K3688" s="26"/>
      <c r="L3688" s="26"/>
      <c r="M3688" s="37"/>
      <c r="N3688" s="27"/>
      <c r="O3688" s="30"/>
      <c r="P3688" s="39" t="str">
        <f t="shared" si="577"/>
        <v/>
      </c>
      <c r="Q3688" s="40" t="str">
        <f>IF(OR(T3688=0,RIGHT(T3688,1)=$W$1),"",COUNTIF($T$3:T3688,T3688))</f>
        <v/>
      </c>
      <c r="S3688" s="6">
        <f t="shared" si="578"/>
        <v>0</v>
      </c>
      <c r="T3688" s="36">
        <f t="shared" si="579"/>
        <v>0</v>
      </c>
      <c r="V3688" s="6">
        <f t="shared" si="580"/>
        <v>0</v>
      </c>
      <c r="Y3688" s="8">
        <f t="shared" si="581"/>
        <v>46023</v>
      </c>
    </row>
    <row r="3689" spans="2:25" ht="18.75" x14ac:dyDescent="0.3">
      <c r="B3689" s="6">
        <f t="shared" si="573"/>
        <v>0</v>
      </c>
      <c r="C3689" s="6">
        <f t="shared" si="574"/>
        <v>0</v>
      </c>
      <c r="D3689" s="6" t="str">
        <f t="shared" si="575"/>
        <v/>
      </c>
      <c r="E3689" s="35" t="str">
        <f t="shared" si="572"/>
        <v/>
      </c>
      <c r="F3689" s="31"/>
      <c r="G3689" s="29"/>
      <c r="H3689" s="78" t="str">
        <f t="shared" si="576"/>
        <v/>
      </c>
      <c r="I3689" s="25"/>
      <c r="J3689" s="25"/>
      <c r="K3689" s="26"/>
      <c r="L3689" s="26"/>
      <c r="M3689" s="37"/>
      <c r="N3689" s="27"/>
      <c r="O3689" s="30"/>
      <c r="P3689" s="39" t="str">
        <f t="shared" si="577"/>
        <v/>
      </c>
      <c r="Q3689" s="40" t="str">
        <f>IF(OR(T3689=0,RIGHT(T3689,1)=$W$1),"",COUNTIF($T$3:T3689,T3689))</f>
        <v/>
      </c>
      <c r="S3689" s="6">
        <f t="shared" si="578"/>
        <v>0</v>
      </c>
      <c r="T3689" s="36">
        <f t="shared" si="579"/>
        <v>0</v>
      </c>
      <c r="V3689" s="6">
        <f t="shared" si="580"/>
        <v>0</v>
      </c>
      <c r="Y3689" s="8">
        <f t="shared" si="581"/>
        <v>46023</v>
      </c>
    </row>
    <row r="3690" spans="2:25" ht="18.75" x14ac:dyDescent="0.3">
      <c r="B3690" s="6">
        <f t="shared" si="573"/>
        <v>0</v>
      </c>
      <c r="C3690" s="6">
        <f t="shared" si="574"/>
        <v>0</v>
      </c>
      <c r="D3690" s="6" t="str">
        <f t="shared" si="575"/>
        <v/>
      </c>
      <c r="E3690" s="35" t="str">
        <f t="shared" si="572"/>
        <v/>
      </c>
      <c r="F3690" s="31"/>
      <c r="G3690" s="29"/>
      <c r="H3690" s="78" t="str">
        <f t="shared" si="576"/>
        <v/>
      </c>
      <c r="I3690" s="25"/>
      <c r="J3690" s="25"/>
      <c r="K3690" s="26"/>
      <c r="L3690" s="26"/>
      <c r="M3690" s="37"/>
      <c r="N3690" s="27"/>
      <c r="O3690" s="30"/>
      <c r="P3690" s="39" t="str">
        <f t="shared" si="577"/>
        <v/>
      </c>
      <c r="Q3690" s="40" t="str">
        <f>IF(OR(T3690=0,RIGHT(T3690,1)=$W$1),"",COUNTIF($T$3:T3690,T3690))</f>
        <v/>
      </c>
      <c r="S3690" s="6">
        <f t="shared" si="578"/>
        <v>0</v>
      </c>
      <c r="T3690" s="36">
        <f t="shared" si="579"/>
        <v>0</v>
      </c>
      <c r="V3690" s="6">
        <f t="shared" si="580"/>
        <v>0</v>
      </c>
      <c r="Y3690" s="8">
        <f t="shared" si="581"/>
        <v>46023</v>
      </c>
    </row>
    <row r="3691" spans="2:25" ht="18.75" x14ac:dyDescent="0.3">
      <c r="B3691" s="6">
        <f t="shared" si="573"/>
        <v>0</v>
      </c>
      <c r="C3691" s="6">
        <f t="shared" si="574"/>
        <v>0</v>
      </c>
      <c r="D3691" s="6" t="str">
        <f t="shared" si="575"/>
        <v/>
      </c>
      <c r="E3691" s="35" t="str">
        <f t="shared" si="572"/>
        <v/>
      </c>
      <c r="F3691" s="31"/>
      <c r="G3691" s="29"/>
      <c r="H3691" s="78" t="str">
        <f t="shared" si="576"/>
        <v/>
      </c>
      <c r="I3691" s="25"/>
      <c r="J3691" s="25"/>
      <c r="K3691" s="26"/>
      <c r="L3691" s="26"/>
      <c r="M3691" s="37"/>
      <c r="N3691" s="27"/>
      <c r="O3691" s="30"/>
      <c r="P3691" s="39" t="str">
        <f t="shared" si="577"/>
        <v/>
      </c>
      <c r="Q3691" s="40" t="str">
        <f>IF(OR(T3691=0,RIGHT(T3691,1)=$W$1),"",COUNTIF($T$3:T3691,T3691))</f>
        <v/>
      </c>
      <c r="S3691" s="6">
        <f t="shared" si="578"/>
        <v>0</v>
      </c>
      <c r="T3691" s="36">
        <f t="shared" si="579"/>
        <v>0</v>
      </c>
      <c r="V3691" s="6">
        <f t="shared" si="580"/>
        <v>0</v>
      </c>
      <c r="Y3691" s="8">
        <f t="shared" si="581"/>
        <v>46023</v>
      </c>
    </row>
    <row r="3692" spans="2:25" ht="18.75" x14ac:dyDescent="0.3">
      <c r="B3692" s="6">
        <f t="shared" si="573"/>
        <v>0</v>
      </c>
      <c r="C3692" s="6">
        <f t="shared" si="574"/>
        <v>0</v>
      </c>
      <c r="D3692" s="6" t="str">
        <f t="shared" si="575"/>
        <v/>
      </c>
      <c r="E3692" s="35" t="str">
        <f t="shared" si="572"/>
        <v/>
      </c>
      <c r="F3692" s="31"/>
      <c r="G3692" s="29"/>
      <c r="H3692" s="78" t="str">
        <f t="shared" si="576"/>
        <v/>
      </c>
      <c r="I3692" s="25"/>
      <c r="J3692" s="25"/>
      <c r="K3692" s="26"/>
      <c r="L3692" s="26"/>
      <c r="M3692" s="37"/>
      <c r="N3692" s="27"/>
      <c r="O3692" s="30"/>
      <c r="P3692" s="39" t="str">
        <f t="shared" si="577"/>
        <v/>
      </c>
      <c r="Q3692" s="40" t="str">
        <f>IF(OR(T3692=0,RIGHT(T3692,1)=$W$1),"",COUNTIF($T$3:T3692,T3692))</f>
        <v/>
      </c>
      <c r="S3692" s="6">
        <f t="shared" si="578"/>
        <v>0</v>
      </c>
      <c r="T3692" s="36">
        <f t="shared" si="579"/>
        <v>0</v>
      </c>
      <c r="V3692" s="6">
        <f t="shared" si="580"/>
        <v>0</v>
      </c>
      <c r="Y3692" s="8">
        <f t="shared" si="581"/>
        <v>46023</v>
      </c>
    </row>
    <row r="3693" spans="2:25" ht="18.75" x14ac:dyDescent="0.3">
      <c r="B3693" s="6">
        <f t="shared" si="573"/>
        <v>0</v>
      </c>
      <c r="C3693" s="6">
        <f t="shared" si="574"/>
        <v>0</v>
      </c>
      <c r="D3693" s="6" t="str">
        <f t="shared" si="575"/>
        <v/>
      </c>
      <c r="E3693" s="35" t="str">
        <f t="shared" si="572"/>
        <v/>
      </c>
      <c r="F3693" s="31"/>
      <c r="G3693" s="29"/>
      <c r="H3693" s="78" t="str">
        <f t="shared" si="576"/>
        <v/>
      </c>
      <c r="I3693" s="25"/>
      <c r="J3693" s="25"/>
      <c r="K3693" s="26"/>
      <c r="L3693" s="26"/>
      <c r="M3693" s="37"/>
      <c r="N3693" s="27"/>
      <c r="O3693" s="30"/>
      <c r="P3693" s="39" t="str">
        <f t="shared" si="577"/>
        <v/>
      </c>
      <c r="Q3693" s="40" t="str">
        <f>IF(OR(T3693=0,RIGHT(T3693,1)=$W$1),"",COUNTIF($T$3:T3693,T3693))</f>
        <v/>
      </c>
      <c r="S3693" s="6">
        <f t="shared" si="578"/>
        <v>0</v>
      </c>
      <c r="T3693" s="36">
        <f t="shared" si="579"/>
        <v>0</v>
      </c>
      <c r="V3693" s="6">
        <f t="shared" si="580"/>
        <v>0</v>
      </c>
      <c r="Y3693" s="8">
        <f t="shared" si="581"/>
        <v>46023</v>
      </c>
    </row>
    <row r="3694" spans="2:25" ht="18.75" x14ac:dyDescent="0.3">
      <c r="B3694" s="6">
        <f t="shared" si="573"/>
        <v>0</v>
      </c>
      <c r="C3694" s="6">
        <f t="shared" si="574"/>
        <v>0</v>
      </c>
      <c r="D3694" s="6" t="str">
        <f t="shared" si="575"/>
        <v/>
      </c>
      <c r="E3694" s="35" t="str">
        <f t="shared" si="572"/>
        <v/>
      </c>
      <c r="F3694" s="31"/>
      <c r="G3694" s="29"/>
      <c r="H3694" s="78" t="str">
        <f t="shared" si="576"/>
        <v/>
      </c>
      <c r="I3694" s="25"/>
      <c r="J3694" s="25"/>
      <c r="K3694" s="26"/>
      <c r="L3694" s="26"/>
      <c r="M3694" s="37"/>
      <c r="N3694" s="27"/>
      <c r="O3694" s="30"/>
      <c r="P3694" s="39" t="str">
        <f t="shared" si="577"/>
        <v/>
      </c>
      <c r="Q3694" s="40" t="str">
        <f>IF(OR(T3694=0,RIGHT(T3694,1)=$W$1),"",COUNTIF($T$3:T3694,T3694))</f>
        <v/>
      </c>
      <c r="S3694" s="6">
        <f t="shared" si="578"/>
        <v>0</v>
      </c>
      <c r="T3694" s="36">
        <f t="shared" si="579"/>
        <v>0</v>
      </c>
      <c r="V3694" s="6">
        <f t="shared" si="580"/>
        <v>0</v>
      </c>
      <c r="Y3694" s="8">
        <f t="shared" si="581"/>
        <v>46023</v>
      </c>
    </row>
    <row r="3695" spans="2:25" ht="18.75" x14ac:dyDescent="0.3">
      <c r="B3695" s="6">
        <f t="shared" si="573"/>
        <v>0</v>
      </c>
      <c r="C3695" s="6">
        <f t="shared" si="574"/>
        <v>0</v>
      </c>
      <c r="D3695" s="6" t="str">
        <f t="shared" si="575"/>
        <v/>
      </c>
      <c r="E3695" s="35" t="str">
        <f t="shared" si="572"/>
        <v/>
      </c>
      <c r="F3695" s="31"/>
      <c r="G3695" s="29"/>
      <c r="H3695" s="78" t="str">
        <f t="shared" si="576"/>
        <v/>
      </c>
      <c r="I3695" s="25"/>
      <c r="J3695" s="25"/>
      <c r="K3695" s="26"/>
      <c r="L3695" s="26"/>
      <c r="M3695" s="37"/>
      <c r="N3695" s="27"/>
      <c r="O3695" s="30"/>
      <c r="P3695" s="39" t="str">
        <f t="shared" si="577"/>
        <v/>
      </c>
      <c r="Q3695" s="40" t="str">
        <f>IF(OR(T3695=0,RIGHT(T3695,1)=$W$1),"",COUNTIF($T$3:T3695,T3695))</f>
        <v/>
      </c>
      <c r="S3695" s="6">
        <f t="shared" si="578"/>
        <v>0</v>
      </c>
      <c r="T3695" s="36">
        <f t="shared" si="579"/>
        <v>0</v>
      </c>
      <c r="V3695" s="6">
        <f t="shared" si="580"/>
        <v>0</v>
      </c>
      <c r="Y3695" s="8">
        <f t="shared" si="581"/>
        <v>46023</v>
      </c>
    </row>
    <row r="3696" spans="2:25" ht="18.75" x14ac:dyDescent="0.3">
      <c r="B3696" s="6">
        <f t="shared" si="573"/>
        <v>0</v>
      </c>
      <c r="C3696" s="6">
        <f t="shared" si="574"/>
        <v>0</v>
      </c>
      <c r="D3696" s="6" t="str">
        <f t="shared" si="575"/>
        <v/>
      </c>
      <c r="E3696" s="35" t="str">
        <f t="shared" si="572"/>
        <v/>
      </c>
      <c r="F3696" s="31"/>
      <c r="G3696" s="29"/>
      <c r="H3696" s="78" t="str">
        <f t="shared" si="576"/>
        <v/>
      </c>
      <c r="I3696" s="25"/>
      <c r="J3696" s="25"/>
      <c r="K3696" s="26"/>
      <c r="L3696" s="26"/>
      <c r="M3696" s="37"/>
      <c r="N3696" s="27"/>
      <c r="O3696" s="30"/>
      <c r="P3696" s="39" t="str">
        <f t="shared" si="577"/>
        <v/>
      </c>
      <c r="Q3696" s="40" t="str">
        <f>IF(OR(T3696=0,RIGHT(T3696,1)=$W$1),"",COUNTIF($T$3:T3696,T3696))</f>
        <v/>
      </c>
      <c r="S3696" s="6">
        <f t="shared" si="578"/>
        <v>0</v>
      </c>
      <c r="T3696" s="36">
        <f t="shared" si="579"/>
        <v>0</v>
      </c>
      <c r="V3696" s="6">
        <f t="shared" si="580"/>
        <v>0</v>
      </c>
      <c r="Y3696" s="8">
        <f t="shared" si="581"/>
        <v>46023</v>
      </c>
    </row>
    <row r="3697" spans="2:25" ht="18.75" x14ac:dyDescent="0.3">
      <c r="B3697" s="6">
        <f t="shared" si="573"/>
        <v>0</v>
      </c>
      <c r="C3697" s="6">
        <f t="shared" si="574"/>
        <v>0</v>
      </c>
      <c r="D3697" s="6" t="str">
        <f t="shared" si="575"/>
        <v/>
      </c>
      <c r="E3697" s="35" t="str">
        <f t="shared" si="572"/>
        <v/>
      </c>
      <c r="F3697" s="31"/>
      <c r="G3697" s="29"/>
      <c r="H3697" s="78" t="str">
        <f t="shared" si="576"/>
        <v/>
      </c>
      <c r="I3697" s="25"/>
      <c r="J3697" s="25"/>
      <c r="K3697" s="26"/>
      <c r="L3697" s="26"/>
      <c r="M3697" s="37"/>
      <c r="N3697" s="27"/>
      <c r="O3697" s="30"/>
      <c r="P3697" s="39" t="str">
        <f t="shared" si="577"/>
        <v/>
      </c>
      <c r="Q3697" s="40" t="str">
        <f>IF(OR(T3697=0,RIGHT(T3697,1)=$W$1),"",COUNTIF($T$3:T3697,T3697))</f>
        <v/>
      </c>
      <c r="S3697" s="6">
        <f t="shared" si="578"/>
        <v>0</v>
      </c>
      <c r="T3697" s="36">
        <f t="shared" si="579"/>
        <v>0</v>
      </c>
      <c r="V3697" s="6">
        <f t="shared" si="580"/>
        <v>0</v>
      </c>
      <c r="Y3697" s="8">
        <f t="shared" si="581"/>
        <v>46023</v>
      </c>
    </row>
    <row r="3698" spans="2:25" ht="18.75" x14ac:dyDescent="0.3">
      <c r="B3698" s="6">
        <f t="shared" si="573"/>
        <v>0</v>
      </c>
      <c r="C3698" s="6">
        <f t="shared" si="574"/>
        <v>0</v>
      </c>
      <c r="D3698" s="6" t="str">
        <f t="shared" si="575"/>
        <v/>
      </c>
      <c r="E3698" s="35" t="str">
        <f t="shared" si="572"/>
        <v/>
      </c>
      <c r="F3698" s="31"/>
      <c r="G3698" s="29"/>
      <c r="H3698" s="78" t="str">
        <f t="shared" si="576"/>
        <v/>
      </c>
      <c r="I3698" s="25"/>
      <c r="J3698" s="25"/>
      <c r="K3698" s="26"/>
      <c r="L3698" s="26"/>
      <c r="M3698" s="37"/>
      <c r="N3698" s="27"/>
      <c r="O3698" s="30"/>
      <c r="P3698" s="39" t="str">
        <f t="shared" si="577"/>
        <v/>
      </c>
      <c r="Q3698" s="40" t="str">
        <f>IF(OR(T3698=0,RIGHT(T3698,1)=$W$1),"",COUNTIF($T$3:T3698,T3698))</f>
        <v/>
      </c>
      <c r="S3698" s="6">
        <f t="shared" si="578"/>
        <v>0</v>
      </c>
      <c r="T3698" s="36">
        <f t="shared" si="579"/>
        <v>0</v>
      </c>
      <c r="V3698" s="6">
        <f t="shared" si="580"/>
        <v>0</v>
      </c>
      <c r="Y3698" s="8">
        <f t="shared" si="581"/>
        <v>46023</v>
      </c>
    </row>
    <row r="3699" spans="2:25" ht="18.75" x14ac:dyDescent="0.3">
      <c r="B3699" s="6">
        <f t="shared" si="573"/>
        <v>0</v>
      </c>
      <c r="C3699" s="6">
        <f t="shared" si="574"/>
        <v>0</v>
      </c>
      <c r="D3699" s="6" t="str">
        <f t="shared" si="575"/>
        <v/>
      </c>
      <c r="E3699" s="35" t="str">
        <f t="shared" si="572"/>
        <v/>
      </c>
      <c r="F3699" s="31"/>
      <c r="G3699" s="29"/>
      <c r="H3699" s="78" t="str">
        <f t="shared" si="576"/>
        <v/>
      </c>
      <c r="I3699" s="25"/>
      <c r="J3699" s="25"/>
      <c r="K3699" s="26"/>
      <c r="L3699" s="26"/>
      <c r="M3699" s="37"/>
      <c r="N3699" s="27"/>
      <c r="O3699" s="30"/>
      <c r="P3699" s="39" t="str">
        <f t="shared" si="577"/>
        <v/>
      </c>
      <c r="Q3699" s="40" t="str">
        <f>IF(OR(T3699=0,RIGHT(T3699,1)=$W$1),"",COUNTIF($T$3:T3699,T3699))</f>
        <v/>
      </c>
      <c r="S3699" s="6">
        <f t="shared" si="578"/>
        <v>0</v>
      </c>
      <c r="T3699" s="36">
        <f t="shared" si="579"/>
        <v>0</v>
      </c>
      <c r="V3699" s="6">
        <f t="shared" si="580"/>
        <v>0</v>
      </c>
      <c r="Y3699" s="8">
        <f t="shared" si="581"/>
        <v>46023</v>
      </c>
    </row>
    <row r="3700" spans="2:25" ht="18.75" x14ac:dyDescent="0.3">
      <c r="B3700" s="6">
        <f t="shared" si="573"/>
        <v>0</v>
      </c>
      <c r="C3700" s="6">
        <f t="shared" si="574"/>
        <v>0</v>
      </c>
      <c r="D3700" s="6" t="str">
        <f t="shared" si="575"/>
        <v/>
      </c>
      <c r="E3700" s="35" t="str">
        <f t="shared" si="572"/>
        <v/>
      </c>
      <c r="F3700" s="31"/>
      <c r="G3700" s="29"/>
      <c r="H3700" s="78" t="str">
        <f t="shared" si="576"/>
        <v/>
      </c>
      <c r="I3700" s="25"/>
      <c r="J3700" s="25"/>
      <c r="K3700" s="26"/>
      <c r="L3700" s="26"/>
      <c r="M3700" s="37"/>
      <c r="N3700" s="27"/>
      <c r="O3700" s="30"/>
      <c r="P3700" s="39" t="str">
        <f t="shared" si="577"/>
        <v/>
      </c>
      <c r="Q3700" s="40" t="str">
        <f>IF(OR(T3700=0,RIGHT(T3700,1)=$W$1),"",COUNTIF($T$3:T3700,T3700))</f>
        <v/>
      </c>
      <c r="S3700" s="6">
        <f t="shared" si="578"/>
        <v>0</v>
      </c>
      <c r="T3700" s="36">
        <f t="shared" si="579"/>
        <v>0</v>
      </c>
      <c r="V3700" s="6">
        <f t="shared" si="580"/>
        <v>0</v>
      </c>
      <c r="Y3700" s="8">
        <f t="shared" si="581"/>
        <v>46023</v>
      </c>
    </row>
    <row r="3701" spans="2:25" ht="18.75" x14ac:dyDescent="0.3">
      <c r="B3701" s="6">
        <f t="shared" si="573"/>
        <v>0</v>
      </c>
      <c r="C3701" s="6">
        <f t="shared" si="574"/>
        <v>0</v>
      </c>
      <c r="D3701" s="6" t="str">
        <f t="shared" si="575"/>
        <v/>
      </c>
      <c r="E3701" s="35" t="str">
        <f t="shared" si="572"/>
        <v/>
      </c>
      <c r="F3701" s="31"/>
      <c r="G3701" s="29"/>
      <c r="H3701" s="78" t="str">
        <f t="shared" si="576"/>
        <v/>
      </c>
      <c r="I3701" s="25"/>
      <c r="J3701" s="25"/>
      <c r="K3701" s="26"/>
      <c r="L3701" s="26"/>
      <c r="M3701" s="37"/>
      <c r="N3701" s="27"/>
      <c r="O3701" s="30"/>
      <c r="P3701" s="39" t="str">
        <f t="shared" si="577"/>
        <v/>
      </c>
      <c r="Q3701" s="40" t="str">
        <f>IF(OR(T3701=0,RIGHT(T3701,1)=$W$1),"",COUNTIF($T$3:T3701,T3701))</f>
        <v/>
      </c>
      <c r="S3701" s="6">
        <f t="shared" si="578"/>
        <v>0</v>
      </c>
      <c r="T3701" s="36">
        <f t="shared" si="579"/>
        <v>0</v>
      </c>
      <c r="V3701" s="6">
        <f t="shared" si="580"/>
        <v>0</v>
      </c>
      <c r="Y3701" s="8">
        <f t="shared" si="581"/>
        <v>46023</v>
      </c>
    </row>
    <row r="3702" spans="2:25" ht="18.75" x14ac:dyDescent="0.3">
      <c r="B3702" s="6">
        <f t="shared" si="573"/>
        <v>0</v>
      </c>
      <c r="C3702" s="6">
        <f t="shared" si="574"/>
        <v>0</v>
      </c>
      <c r="D3702" s="6" t="str">
        <f t="shared" si="575"/>
        <v/>
      </c>
      <c r="E3702" s="35" t="str">
        <f t="shared" si="572"/>
        <v/>
      </c>
      <c r="F3702" s="31"/>
      <c r="G3702" s="29"/>
      <c r="H3702" s="78" t="str">
        <f t="shared" si="576"/>
        <v/>
      </c>
      <c r="I3702" s="25"/>
      <c r="J3702" s="25"/>
      <c r="K3702" s="26"/>
      <c r="L3702" s="26"/>
      <c r="M3702" s="37"/>
      <c r="N3702" s="27"/>
      <c r="O3702" s="30"/>
      <c r="P3702" s="39" t="str">
        <f t="shared" si="577"/>
        <v/>
      </c>
      <c r="Q3702" s="40" t="str">
        <f>IF(OR(T3702=0,RIGHT(T3702,1)=$W$1),"",COUNTIF($T$3:T3702,T3702))</f>
        <v/>
      </c>
      <c r="S3702" s="6">
        <f t="shared" si="578"/>
        <v>0</v>
      </c>
      <c r="T3702" s="36">
        <f t="shared" si="579"/>
        <v>0</v>
      </c>
      <c r="V3702" s="6">
        <f t="shared" si="580"/>
        <v>0</v>
      </c>
      <c r="Y3702" s="8">
        <f t="shared" si="581"/>
        <v>46023</v>
      </c>
    </row>
    <row r="3703" spans="2:25" ht="18.75" x14ac:dyDescent="0.3">
      <c r="B3703" s="6">
        <f t="shared" si="573"/>
        <v>0</v>
      </c>
      <c r="C3703" s="6">
        <f t="shared" si="574"/>
        <v>0</v>
      </c>
      <c r="D3703" s="6" t="str">
        <f t="shared" si="575"/>
        <v/>
      </c>
      <c r="E3703" s="35" t="str">
        <f t="shared" si="572"/>
        <v/>
      </c>
      <c r="F3703" s="31"/>
      <c r="G3703" s="29"/>
      <c r="H3703" s="78" t="str">
        <f t="shared" si="576"/>
        <v/>
      </c>
      <c r="I3703" s="25"/>
      <c r="J3703" s="25"/>
      <c r="K3703" s="26"/>
      <c r="L3703" s="26"/>
      <c r="M3703" s="37"/>
      <c r="N3703" s="27"/>
      <c r="O3703" s="30"/>
      <c r="P3703" s="39" t="str">
        <f t="shared" si="577"/>
        <v/>
      </c>
      <c r="Q3703" s="40" t="str">
        <f>IF(OR(T3703=0,RIGHT(T3703,1)=$W$1),"",COUNTIF($T$3:T3703,T3703))</f>
        <v/>
      </c>
      <c r="S3703" s="6">
        <f t="shared" si="578"/>
        <v>0</v>
      </c>
      <c r="T3703" s="36">
        <f t="shared" si="579"/>
        <v>0</v>
      </c>
      <c r="V3703" s="6">
        <f t="shared" si="580"/>
        <v>0</v>
      </c>
      <c r="Y3703" s="8">
        <f t="shared" si="581"/>
        <v>46023</v>
      </c>
    </row>
    <row r="3704" spans="2:25" ht="18.75" x14ac:dyDescent="0.3">
      <c r="B3704" s="6">
        <f t="shared" si="573"/>
        <v>0</v>
      </c>
      <c r="C3704" s="6">
        <f t="shared" si="574"/>
        <v>0</v>
      </c>
      <c r="D3704" s="6" t="str">
        <f t="shared" si="575"/>
        <v/>
      </c>
      <c r="E3704" s="35" t="str">
        <f t="shared" si="572"/>
        <v/>
      </c>
      <c r="F3704" s="31"/>
      <c r="G3704" s="29"/>
      <c r="H3704" s="78" t="str">
        <f t="shared" si="576"/>
        <v/>
      </c>
      <c r="I3704" s="25"/>
      <c r="J3704" s="25"/>
      <c r="K3704" s="26"/>
      <c r="L3704" s="26"/>
      <c r="M3704" s="37"/>
      <c r="N3704" s="27"/>
      <c r="O3704" s="30"/>
      <c r="P3704" s="39" t="str">
        <f t="shared" si="577"/>
        <v/>
      </c>
      <c r="Q3704" s="40" t="str">
        <f>IF(OR(T3704=0,RIGHT(T3704,1)=$W$1),"",COUNTIF($T$3:T3704,T3704))</f>
        <v/>
      </c>
      <c r="S3704" s="6">
        <f t="shared" si="578"/>
        <v>0</v>
      </c>
      <c r="T3704" s="36">
        <f t="shared" si="579"/>
        <v>0</v>
      </c>
      <c r="V3704" s="6">
        <f t="shared" si="580"/>
        <v>0</v>
      </c>
      <c r="Y3704" s="8">
        <f t="shared" si="581"/>
        <v>46023</v>
      </c>
    </row>
    <row r="3705" spans="2:25" ht="18.75" x14ac:dyDescent="0.3">
      <c r="B3705" s="6">
        <f t="shared" si="573"/>
        <v>0</v>
      </c>
      <c r="C3705" s="6">
        <f t="shared" si="574"/>
        <v>0</v>
      </c>
      <c r="D3705" s="6" t="str">
        <f t="shared" si="575"/>
        <v/>
      </c>
      <c r="E3705" s="35" t="str">
        <f t="shared" si="572"/>
        <v/>
      </c>
      <c r="F3705" s="31"/>
      <c r="G3705" s="29"/>
      <c r="H3705" s="78" t="str">
        <f t="shared" si="576"/>
        <v/>
      </c>
      <c r="I3705" s="25"/>
      <c r="J3705" s="25"/>
      <c r="K3705" s="26"/>
      <c r="L3705" s="26"/>
      <c r="M3705" s="37"/>
      <c r="N3705" s="27"/>
      <c r="O3705" s="30"/>
      <c r="P3705" s="39" t="str">
        <f t="shared" si="577"/>
        <v/>
      </c>
      <c r="Q3705" s="40" t="str">
        <f>IF(OR(T3705=0,RIGHT(T3705,1)=$W$1),"",COUNTIF($T$3:T3705,T3705))</f>
        <v/>
      </c>
      <c r="S3705" s="6">
        <f t="shared" si="578"/>
        <v>0</v>
      </c>
      <c r="T3705" s="36">
        <f t="shared" si="579"/>
        <v>0</v>
      </c>
      <c r="V3705" s="6">
        <f t="shared" si="580"/>
        <v>0</v>
      </c>
      <c r="Y3705" s="8">
        <f t="shared" si="581"/>
        <v>46023</v>
      </c>
    </row>
    <row r="3706" spans="2:25" ht="18.75" x14ac:dyDescent="0.3">
      <c r="B3706" s="6">
        <f t="shared" si="573"/>
        <v>0</v>
      </c>
      <c r="C3706" s="6">
        <f t="shared" si="574"/>
        <v>0</v>
      </c>
      <c r="D3706" s="6" t="str">
        <f t="shared" si="575"/>
        <v/>
      </c>
      <c r="E3706" s="35" t="str">
        <f t="shared" si="572"/>
        <v/>
      </c>
      <c r="F3706" s="31"/>
      <c r="G3706" s="29"/>
      <c r="H3706" s="78" t="str">
        <f t="shared" si="576"/>
        <v/>
      </c>
      <c r="I3706" s="25"/>
      <c r="J3706" s="25"/>
      <c r="K3706" s="26"/>
      <c r="L3706" s="26"/>
      <c r="M3706" s="37"/>
      <c r="N3706" s="27"/>
      <c r="O3706" s="30"/>
      <c r="P3706" s="39" t="str">
        <f t="shared" si="577"/>
        <v/>
      </c>
      <c r="Q3706" s="40" t="str">
        <f>IF(OR(T3706=0,RIGHT(T3706,1)=$W$1),"",COUNTIF($T$3:T3706,T3706))</f>
        <v/>
      </c>
      <c r="S3706" s="6">
        <f t="shared" si="578"/>
        <v>0</v>
      </c>
      <c r="T3706" s="36">
        <f t="shared" si="579"/>
        <v>0</v>
      </c>
      <c r="V3706" s="6">
        <f t="shared" si="580"/>
        <v>0</v>
      </c>
      <c r="Y3706" s="8">
        <f t="shared" si="581"/>
        <v>46023</v>
      </c>
    </row>
    <row r="3707" spans="2:25" ht="18.75" x14ac:dyDescent="0.3">
      <c r="B3707" s="6">
        <f t="shared" si="573"/>
        <v>0</v>
      </c>
      <c r="C3707" s="6">
        <f t="shared" si="574"/>
        <v>0</v>
      </c>
      <c r="D3707" s="6" t="str">
        <f t="shared" si="575"/>
        <v/>
      </c>
      <c r="E3707" s="35" t="str">
        <f t="shared" si="572"/>
        <v/>
      </c>
      <c r="F3707" s="31"/>
      <c r="G3707" s="29"/>
      <c r="H3707" s="78" t="str">
        <f t="shared" si="576"/>
        <v/>
      </c>
      <c r="I3707" s="25"/>
      <c r="J3707" s="25"/>
      <c r="K3707" s="26"/>
      <c r="L3707" s="26"/>
      <c r="M3707" s="37"/>
      <c r="N3707" s="27"/>
      <c r="O3707" s="30"/>
      <c r="P3707" s="39" t="str">
        <f t="shared" si="577"/>
        <v/>
      </c>
      <c r="Q3707" s="40" t="str">
        <f>IF(OR(T3707=0,RIGHT(T3707,1)=$W$1),"",COUNTIF($T$3:T3707,T3707))</f>
        <v/>
      </c>
      <c r="S3707" s="6">
        <f t="shared" si="578"/>
        <v>0</v>
      </c>
      <c r="T3707" s="36">
        <f t="shared" si="579"/>
        <v>0</v>
      </c>
      <c r="V3707" s="6">
        <f t="shared" si="580"/>
        <v>0</v>
      </c>
      <c r="Y3707" s="8">
        <f t="shared" si="581"/>
        <v>46023</v>
      </c>
    </row>
    <row r="3708" spans="2:25" ht="18.75" x14ac:dyDescent="0.3">
      <c r="B3708" s="6">
        <f t="shared" si="573"/>
        <v>0</v>
      </c>
      <c r="C3708" s="6">
        <f t="shared" si="574"/>
        <v>0</v>
      </c>
      <c r="D3708" s="6" t="str">
        <f t="shared" si="575"/>
        <v/>
      </c>
      <c r="E3708" s="35" t="str">
        <f t="shared" si="572"/>
        <v/>
      </c>
      <c r="F3708" s="31"/>
      <c r="G3708" s="29"/>
      <c r="H3708" s="78" t="str">
        <f t="shared" si="576"/>
        <v/>
      </c>
      <c r="I3708" s="25"/>
      <c r="J3708" s="25"/>
      <c r="K3708" s="26"/>
      <c r="L3708" s="26"/>
      <c r="M3708" s="37"/>
      <c r="N3708" s="27"/>
      <c r="O3708" s="30"/>
      <c r="P3708" s="39" t="str">
        <f t="shared" si="577"/>
        <v/>
      </c>
      <c r="Q3708" s="40" t="str">
        <f>IF(OR(T3708=0,RIGHT(T3708,1)=$W$1),"",COUNTIF($T$3:T3708,T3708))</f>
        <v/>
      </c>
      <c r="S3708" s="6">
        <f t="shared" si="578"/>
        <v>0</v>
      </c>
      <c r="T3708" s="36">
        <f t="shared" si="579"/>
        <v>0</v>
      </c>
      <c r="V3708" s="6">
        <f t="shared" si="580"/>
        <v>0</v>
      </c>
      <c r="Y3708" s="8">
        <f t="shared" si="581"/>
        <v>46023</v>
      </c>
    </row>
    <row r="3709" spans="2:25" ht="18.75" x14ac:dyDescent="0.3">
      <c r="B3709" s="6">
        <f t="shared" si="573"/>
        <v>0</v>
      </c>
      <c r="C3709" s="6">
        <f t="shared" si="574"/>
        <v>0</v>
      </c>
      <c r="D3709" s="6" t="str">
        <f t="shared" si="575"/>
        <v/>
      </c>
      <c r="E3709" s="35" t="str">
        <f t="shared" si="572"/>
        <v/>
      </c>
      <c r="F3709" s="31"/>
      <c r="G3709" s="29"/>
      <c r="H3709" s="78" t="str">
        <f t="shared" si="576"/>
        <v/>
      </c>
      <c r="I3709" s="25"/>
      <c r="J3709" s="25"/>
      <c r="K3709" s="26"/>
      <c r="L3709" s="26"/>
      <c r="M3709" s="37"/>
      <c r="N3709" s="27"/>
      <c r="O3709" s="30"/>
      <c r="P3709" s="39" t="str">
        <f t="shared" si="577"/>
        <v/>
      </c>
      <c r="Q3709" s="40" t="str">
        <f>IF(OR(T3709=0,RIGHT(T3709,1)=$W$1),"",COUNTIF($T$3:T3709,T3709))</f>
        <v/>
      </c>
      <c r="S3709" s="6">
        <f t="shared" si="578"/>
        <v>0</v>
      </c>
      <c r="T3709" s="36">
        <f t="shared" si="579"/>
        <v>0</v>
      </c>
      <c r="V3709" s="6">
        <f t="shared" si="580"/>
        <v>0</v>
      </c>
      <c r="Y3709" s="8">
        <f t="shared" si="581"/>
        <v>46023</v>
      </c>
    </row>
    <row r="3710" spans="2:25" ht="18.75" x14ac:dyDescent="0.3">
      <c r="B3710" s="6">
        <f t="shared" si="573"/>
        <v>0</v>
      </c>
      <c r="C3710" s="6">
        <f t="shared" si="574"/>
        <v>0</v>
      </c>
      <c r="D3710" s="6" t="str">
        <f t="shared" si="575"/>
        <v/>
      </c>
      <c r="E3710" s="35" t="str">
        <f t="shared" si="572"/>
        <v/>
      </c>
      <c r="F3710" s="31"/>
      <c r="G3710" s="29"/>
      <c r="H3710" s="78" t="str">
        <f t="shared" si="576"/>
        <v/>
      </c>
      <c r="I3710" s="25"/>
      <c r="J3710" s="25"/>
      <c r="K3710" s="26"/>
      <c r="L3710" s="26"/>
      <c r="M3710" s="37"/>
      <c r="N3710" s="27"/>
      <c r="O3710" s="30"/>
      <c r="P3710" s="39" t="str">
        <f t="shared" si="577"/>
        <v/>
      </c>
      <c r="Q3710" s="40" t="str">
        <f>IF(OR(T3710=0,RIGHT(T3710,1)=$W$1),"",COUNTIF($T$3:T3710,T3710))</f>
        <v/>
      </c>
      <c r="S3710" s="6">
        <f t="shared" si="578"/>
        <v>0</v>
      </c>
      <c r="T3710" s="36">
        <f t="shared" si="579"/>
        <v>0</v>
      </c>
      <c r="V3710" s="6">
        <f t="shared" si="580"/>
        <v>0</v>
      </c>
      <c r="Y3710" s="8">
        <f t="shared" si="581"/>
        <v>46023</v>
      </c>
    </row>
    <row r="3711" spans="2:25" ht="18.75" x14ac:dyDescent="0.3">
      <c r="B3711" s="6">
        <f t="shared" si="573"/>
        <v>0</v>
      </c>
      <c r="C3711" s="6">
        <f t="shared" si="574"/>
        <v>0</v>
      </c>
      <c r="D3711" s="6" t="str">
        <f t="shared" si="575"/>
        <v/>
      </c>
      <c r="E3711" s="35" t="str">
        <f t="shared" si="572"/>
        <v/>
      </c>
      <c r="F3711" s="31"/>
      <c r="G3711" s="29"/>
      <c r="H3711" s="78" t="str">
        <f t="shared" si="576"/>
        <v/>
      </c>
      <c r="I3711" s="25"/>
      <c r="J3711" s="25"/>
      <c r="K3711" s="26"/>
      <c r="L3711" s="26"/>
      <c r="M3711" s="37"/>
      <c r="N3711" s="27"/>
      <c r="O3711" s="30"/>
      <c r="P3711" s="39" t="str">
        <f t="shared" si="577"/>
        <v/>
      </c>
      <c r="Q3711" s="40" t="str">
        <f>IF(OR(T3711=0,RIGHT(T3711,1)=$W$1),"",COUNTIF($T$3:T3711,T3711))</f>
        <v/>
      </c>
      <c r="S3711" s="6">
        <f t="shared" si="578"/>
        <v>0</v>
      </c>
      <c r="T3711" s="36">
        <f t="shared" si="579"/>
        <v>0</v>
      </c>
      <c r="V3711" s="6">
        <f t="shared" si="580"/>
        <v>0</v>
      </c>
      <c r="Y3711" s="8">
        <f t="shared" si="581"/>
        <v>46023</v>
      </c>
    </row>
    <row r="3712" spans="2:25" ht="18.75" x14ac:dyDescent="0.3">
      <c r="B3712" s="6">
        <f t="shared" si="573"/>
        <v>0</v>
      </c>
      <c r="C3712" s="6">
        <f t="shared" si="574"/>
        <v>0</v>
      </c>
      <c r="D3712" s="6" t="str">
        <f t="shared" si="575"/>
        <v/>
      </c>
      <c r="E3712" s="35" t="str">
        <f t="shared" si="572"/>
        <v/>
      </c>
      <c r="F3712" s="31"/>
      <c r="G3712" s="29"/>
      <c r="H3712" s="78" t="str">
        <f t="shared" si="576"/>
        <v/>
      </c>
      <c r="I3712" s="25"/>
      <c r="J3712" s="25"/>
      <c r="K3712" s="26"/>
      <c r="L3712" s="26"/>
      <c r="M3712" s="37"/>
      <c r="N3712" s="27"/>
      <c r="O3712" s="30"/>
      <c r="P3712" s="39" t="str">
        <f t="shared" si="577"/>
        <v/>
      </c>
      <c r="Q3712" s="40" t="str">
        <f>IF(OR(T3712=0,RIGHT(T3712,1)=$W$1),"",COUNTIF($T$3:T3712,T3712))</f>
        <v/>
      </c>
      <c r="S3712" s="6">
        <f t="shared" si="578"/>
        <v>0</v>
      </c>
      <c r="T3712" s="36">
        <f t="shared" si="579"/>
        <v>0</v>
      </c>
      <c r="V3712" s="6">
        <f t="shared" si="580"/>
        <v>0</v>
      </c>
      <c r="Y3712" s="8">
        <f t="shared" si="581"/>
        <v>46023</v>
      </c>
    </row>
    <row r="3713" spans="2:25" ht="18.75" x14ac:dyDescent="0.3">
      <c r="B3713" s="6">
        <f t="shared" si="573"/>
        <v>0</v>
      </c>
      <c r="C3713" s="6">
        <f t="shared" si="574"/>
        <v>0</v>
      </c>
      <c r="D3713" s="6" t="str">
        <f t="shared" si="575"/>
        <v/>
      </c>
      <c r="E3713" s="35" t="str">
        <f t="shared" si="572"/>
        <v/>
      </c>
      <c r="F3713" s="31"/>
      <c r="G3713" s="29"/>
      <c r="H3713" s="78" t="str">
        <f t="shared" si="576"/>
        <v/>
      </c>
      <c r="I3713" s="25"/>
      <c r="J3713" s="25"/>
      <c r="K3713" s="26"/>
      <c r="L3713" s="26"/>
      <c r="M3713" s="37"/>
      <c r="N3713" s="27"/>
      <c r="O3713" s="30"/>
      <c r="P3713" s="39" t="str">
        <f t="shared" si="577"/>
        <v/>
      </c>
      <c r="Q3713" s="40" t="str">
        <f>IF(OR(T3713=0,RIGHT(T3713,1)=$W$1),"",COUNTIF($T$3:T3713,T3713))</f>
        <v/>
      </c>
      <c r="S3713" s="6">
        <f t="shared" si="578"/>
        <v>0</v>
      </c>
      <c r="T3713" s="36">
        <f t="shared" si="579"/>
        <v>0</v>
      </c>
      <c r="V3713" s="6">
        <f t="shared" si="580"/>
        <v>0</v>
      </c>
      <c r="Y3713" s="8">
        <f t="shared" si="581"/>
        <v>46023</v>
      </c>
    </row>
    <row r="3714" spans="2:25" ht="18.75" x14ac:dyDescent="0.3">
      <c r="B3714" s="6">
        <f t="shared" si="573"/>
        <v>0</v>
      </c>
      <c r="C3714" s="6">
        <f t="shared" si="574"/>
        <v>0</v>
      </c>
      <c r="D3714" s="6" t="str">
        <f t="shared" si="575"/>
        <v/>
      </c>
      <c r="E3714" s="35" t="str">
        <f t="shared" si="572"/>
        <v/>
      </c>
      <c r="F3714" s="31"/>
      <c r="G3714" s="29"/>
      <c r="H3714" s="78" t="str">
        <f t="shared" si="576"/>
        <v/>
      </c>
      <c r="I3714" s="25"/>
      <c r="J3714" s="25"/>
      <c r="K3714" s="26"/>
      <c r="L3714" s="26"/>
      <c r="M3714" s="37"/>
      <c r="N3714" s="27"/>
      <c r="O3714" s="30"/>
      <c r="P3714" s="39" t="str">
        <f t="shared" si="577"/>
        <v/>
      </c>
      <c r="Q3714" s="40" t="str">
        <f>IF(OR(T3714=0,RIGHT(T3714,1)=$W$1),"",COUNTIF($T$3:T3714,T3714))</f>
        <v/>
      </c>
      <c r="S3714" s="6">
        <f t="shared" si="578"/>
        <v>0</v>
      </c>
      <c r="T3714" s="36">
        <f t="shared" si="579"/>
        <v>0</v>
      </c>
      <c r="V3714" s="6">
        <f t="shared" si="580"/>
        <v>0</v>
      </c>
      <c r="Y3714" s="8">
        <f t="shared" si="581"/>
        <v>46023</v>
      </c>
    </row>
    <row r="3715" spans="2:25" ht="18.75" x14ac:dyDescent="0.3">
      <c r="B3715" s="6">
        <f t="shared" si="573"/>
        <v>0</v>
      </c>
      <c r="C3715" s="6">
        <f t="shared" si="574"/>
        <v>0</v>
      </c>
      <c r="D3715" s="6" t="str">
        <f t="shared" si="575"/>
        <v/>
      </c>
      <c r="E3715" s="35" t="str">
        <f t="shared" ref="E3715:E3778" si="582">IF(D3715&lt;&gt;"",D3715&amp;" - "&amp;YEAR(F3715),"")</f>
        <v/>
      </c>
      <c r="F3715" s="31"/>
      <c r="G3715" s="29"/>
      <c r="H3715" s="78" t="str">
        <f t="shared" si="576"/>
        <v/>
      </c>
      <c r="I3715" s="25"/>
      <c r="J3715" s="25"/>
      <c r="K3715" s="26"/>
      <c r="L3715" s="26"/>
      <c r="M3715" s="37"/>
      <c r="N3715" s="27"/>
      <c r="O3715" s="30"/>
      <c r="P3715" s="39" t="str">
        <f t="shared" si="577"/>
        <v/>
      </c>
      <c r="Q3715" s="40" t="str">
        <f>IF(OR(T3715=0,RIGHT(T3715,1)=$W$1),"",COUNTIF($T$3:T3715,T3715))</f>
        <v/>
      </c>
      <c r="S3715" s="6">
        <f t="shared" si="578"/>
        <v>0</v>
      </c>
      <c r="T3715" s="36">
        <f t="shared" si="579"/>
        <v>0</v>
      </c>
      <c r="V3715" s="6">
        <f t="shared" si="580"/>
        <v>0</v>
      </c>
      <c r="Y3715" s="8">
        <f t="shared" si="581"/>
        <v>46023</v>
      </c>
    </row>
    <row r="3716" spans="2:25" ht="18.75" x14ac:dyDescent="0.3">
      <c r="B3716" s="6">
        <f t="shared" ref="B3716:B3779" si="583">IF($B$1=YEAR(F3716),B3715+1,B3715)</f>
        <v>0</v>
      </c>
      <c r="C3716" s="6">
        <f t="shared" ref="C3716:C3779" si="584">IF(AND($C$1=K3716,$Y$1=YEAR(F3716)),C3715+1,C3715)</f>
        <v>0</v>
      </c>
      <c r="D3716" s="6" t="str">
        <f t="shared" ref="D3716:D3779" si="585">IF(F3716&lt;&gt;0,IF(YEAR(F3716)&lt;&gt;YEAR(F3715),1,IF(M3716=$AI$1,D3715,D3715+1)),"")</f>
        <v/>
      </c>
      <c r="E3716" s="35" t="str">
        <f t="shared" si="582"/>
        <v/>
      </c>
      <c r="F3716" s="31"/>
      <c r="G3716" s="29"/>
      <c r="H3716" s="78" t="str">
        <f t="shared" ref="H3716:H3779" si="586">IF(G3716&lt;&gt;"",F3716,"")</f>
        <v/>
      </c>
      <c r="I3716" s="25"/>
      <c r="J3716" s="25"/>
      <c r="K3716" s="26"/>
      <c r="L3716" s="26"/>
      <c r="M3716" s="37"/>
      <c r="N3716" s="27"/>
      <c r="O3716" s="30"/>
      <c r="P3716" s="39" t="str">
        <f t="shared" ref="P3716:P3779" si="587">IF(OR(T3716=0,RIGHT(T3716,1)=$W$1),"",VLOOKUP(K3716,$AD$1:$AK$15,5,FALSE))</f>
        <v/>
      </c>
      <c r="Q3716" s="40" t="str">
        <f>IF(OR(T3716=0,RIGHT(T3716,1)=$W$1),"",COUNTIF($T$3:T3716,T3716))</f>
        <v/>
      </c>
      <c r="S3716" s="6">
        <f t="shared" ref="S3716:S3779" si="588">IF(AND($C$1=K3716,$Y$1=YEAR(F3716)),C3716,0)</f>
        <v>0</v>
      </c>
      <c r="T3716" s="36">
        <f t="shared" ref="T3716:T3779" si="589">IF(F3716=0,0,YEAR(F3716)&amp;VLOOKUP(K3716,$AD$1:$AE$15,2,FALSE))</f>
        <v>0</v>
      </c>
      <c r="V3716" s="6">
        <f t="shared" ref="V3716:V3779" si="590">IF(AND(YEAR(F3716)=$Y$1,K3716=$C$1,L3716&amp;$V$1&lt;&gt;$V$1),L3716,IF(AND(YEAR(F3716)=$Y$1,K3716=$C$1),1,0))</f>
        <v>0</v>
      </c>
      <c r="Y3716" s="8">
        <f t="shared" ref="Y3716:Y3779" si="591">IF(M3716&lt;&gt;$AI$1,$Y$2,F3715)</f>
        <v>46023</v>
      </c>
    </row>
    <row r="3717" spans="2:25" ht="18.75" x14ac:dyDescent="0.3">
      <c r="B3717" s="6">
        <f t="shared" si="583"/>
        <v>0</v>
      </c>
      <c r="C3717" s="6">
        <f t="shared" si="584"/>
        <v>0</v>
      </c>
      <c r="D3717" s="6" t="str">
        <f t="shared" si="585"/>
        <v/>
      </c>
      <c r="E3717" s="35" t="str">
        <f t="shared" si="582"/>
        <v/>
      </c>
      <c r="F3717" s="31"/>
      <c r="G3717" s="29"/>
      <c r="H3717" s="78" t="str">
        <f t="shared" si="586"/>
        <v/>
      </c>
      <c r="I3717" s="25"/>
      <c r="J3717" s="25"/>
      <c r="K3717" s="26"/>
      <c r="L3717" s="26"/>
      <c r="M3717" s="37"/>
      <c r="N3717" s="27"/>
      <c r="O3717" s="30"/>
      <c r="P3717" s="39" t="str">
        <f t="shared" si="587"/>
        <v/>
      </c>
      <c r="Q3717" s="40" t="str">
        <f>IF(OR(T3717=0,RIGHT(T3717,1)=$W$1),"",COUNTIF($T$3:T3717,T3717))</f>
        <v/>
      </c>
      <c r="S3717" s="6">
        <f t="shared" si="588"/>
        <v>0</v>
      </c>
      <c r="T3717" s="36">
        <f t="shared" si="589"/>
        <v>0</v>
      </c>
      <c r="V3717" s="6">
        <f t="shared" si="590"/>
        <v>0</v>
      </c>
      <c r="Y3717" s="8">
        <f t="shared" si="591"/>
        <v>46023</v>
      </c>
    </row>
    <row r="3718" spans="2:25" ht="18.75" x14ac:dyDescent="0.3">
      <c r="B3718" s="6">
        <f t="shared" si="583"/>
        <v>0</v>
      </c>
      <c r="C3718" s="6">
        <f t="shared" si="584"/>
        <v>0</v>
      </c>
      <c r="D3718" s="6" t="str">
        <f t="shared" si="585"/>
        <v/>
      </c>
      <c r="E3718" s="35" t="str">
        <f t="shared" si="582"/>
        <v/>
      </c>
      <c r="F3718" s="31"/>
      <c r="G3718" s="29"/>
      <c r="H3718" s="78" t="str">
        <f t="shared" si="586"/>
        <v/>
      </c>
      <c r="I3718" s="25"/>
      <c r="J3718" s="25"/>
      <c r="K3718" s="26"/>
      <c r="L3718" s="26"/>
      <c r="M3718" s="37"/>
      <c r="N3718" s="27"/>
      <c r="O3718" s="30"/>
      <c r="P3718" s="39" t="str">
        <f t="shared" si="587"/>
        <v/>
      </c>
      <c r="Q3718" s="40" t="str">
        <f>IF(OR(T3718=0,RIGHT(T3718,1)=$W$1),"",COUNTIF($T$3:T3718,T3718))</f>
        <v/>
      </c>
      <c r="S3718" s="6">
        <f t="shared" si="588"/>
        <v>0</v>
      </c>
      <c r="T3718" s="36">
        <f t="shared" si="589"/>
        <v>0</v>
      </c>
      <c r="V3718" s="6">
        <f t="shared" si="590"/>
        <v>0</v>
      </c>
      <c r="Y3718" s="8">
        <f t="shared" si="591"/>
        <v>46023</v>
      </c>
    </row>
    <row r="3719" spans="2:25" ht="18.75" x14ac:dyDescent="0.3">
      <c r="B3719" s="6">
        <f t="shared" si="583"/>
        <v>0</v>
      </c>
      <c r="C3719" s="6">
        <f t="shared" si="584"/>
        <v>0</v>
      </c>
      <c r="D3719" s="6" t="str">
        <f t="shared" si="585"/>
        <v/>
      </c>
      <c r="E3719" s="35" t="str">
        <f t="shared" si="582"/>
        <v/>
      </c>
      <c r="F3719" s="31"/>
      <c r="G3719" s="29"/>
      <c r="H3719" s="78" t="str">
        <f t="shared" si="586"/>
        <v/>
      </c>
      <c r="I3719" s="25"/>
      <c r="J3719" s="25"/>
      <c r="K3719" s="26"/>
      <c r="L3719" s="26"/>
      <c r="M3719" s="37"/>
      <c r="N3719" s="27"/>
      <c r="O3719" s="30"/>
      <c r="P3719" s="39" t="str">
        <f t="shared" si="587"/>
        <v/>
      </c>
      <c r="Q3719" s="40" t="str">
        <f>IF(OR(T3719=0,RIGHT(T3719,1)=$W$1),"",COUNTIF($T$3:T3719,T3719))</f>
        <v/>
      </c>
      <c r="S3719" s="6">
        <f t="shared" si="588"/>
        <v>0</v>
      </c>
      <c r="T3719" s="36">
        <f t="shared" si="589"/>
        <v>0</v>
      </c>
      <c r="V3719" s="6">
        <f t="shared" si="590"/>
        <v>0</v>
      </c>
      <c r="Y3719" s="8">
        <f t="shared" si="591"/>
        <v>46023</v>
      </c>
    </row>
    <row r="3720" spans="2:25" ht="18.75" x14ac:dyDescent="0.3">
      <c r="B3720" s="6">
        <f t="shared" si="583"/>
        <v>0</v>
      </c>
      <c r="C3720" s="6">
        <f t="shared" si="584"/>
        <v>0</v>
      </c>
      <c r="D3720" s="6" t="str">
        <f t="shared" si="585"/>
        <v/>
      </c>
      <c r="E3720" s="35" t="str">
        <f t="shared" si="582"/>
        <v/>
      </c>
      <c r="F3720" s="31"/>
      <c r="G3720" s="29"/>
      <c r="H3720" s="78" t="str">
        <f t="shared" si="586"/>
        <v/>
      </c>
      <c r="I3720" s="25"/>
      <c r="J3720" s="25"/>
      <c r="K3720" s="26"/>
      <c r="L3720" s="26"/>
      <c r="M3720" s="37"/>
      <c r="N3720" s="27"/>
      <c r="O3720" s="30"/>
      <c r="P3720" s="39" t="str">
        <f t="shared" si="587"/>
        <v/>
      </c>
      <c r="Q3720" s="40" t="str">
        <f>IF(OR(T3720=0,RIGHT(T3720,1)=$W$1),"",COUNTIF($T$3:T3720,T3720))</f>
        <v/>
      </c>
      <c r="S3720" s="6">
        <f t="shared" si="588"/>
        <v>0</v>
      </c>
      <c r="T3720" s="36">
        <f t="shared" si="589"/>
        <v>0</v>
      </c>
      <c r="V3720" s="6">
        <f t="shared" si="590"/>
        <v>0</v>
      </c>
      <c r="Y3720" s="8">
        <f t="shared" si="591"/>
        <v>46023</v>
      </c>
    </row>
    <row r="3721" spans="2:25" ht="18.75" x14ac:dyDescent="0.3">
      <c r="B3721" s="6">
        <f t="shared" si="583"/>
        <v>0</v>
      </c>
      <c r="C3721" s="6">
        <f t="shared" si="584"/>
        <v>0</v>
      </c>
      <c r="D3721" s="6" t="str">
        <f t="shared" si="585"/>
        <v/>
      </c>
      <c r="E3721" s="35" t="str">
        <f t="shared" si="582"/>
        <v/>
      </c>
      <c r="F3721" s="31"/>
      <c r="G3721" s="29"/>
      <c r="H3721" s="78" t="str">
        <f t="shared" si="586"/>
        <v/>
      </c>
      <c r="I3721" s="25"/>
      <c r="J3721" s="25"/>
      <c r="K3721" s="26"/>
      <c r="L3721" s="26"/>
      <c r="M3721" s="37"/>
      <c r="N3721" s="27"/>
      <c r="O3721" s="30"/>
      <c r="P3721" s="39" t="str">
        <f t="shared" si="587"/>
        <v/>
      </c>
      <c r="Q3721" s="40" t="str">
        <f>IF(OR(T3721=0,RIGHT(T3721,1)=$W$1),"",COUNTIF($T$3:T3721,T3721))</f>
        <v/>
      </c>
      <c r="S3721" s="6">
        <f t="shared" si="588"/>
        <v>0</v>
      </c>
      <c r="T3721" s="36">
        <f t="shared" si="589"/>
        <v>0</v>
      </c>
      <c r="V3721" s="6">
        <f t="shared" si="590"/>
        <v>0</v>
      </c>
      <c r="Y3721" s="8">
        <f t="shared" si="591"/>
        <v>46023</v>
      </c>
    </row>
    <row r="3722" spans="2:25" ht="18.75" x14ac:dyDescent="0.3">
      <c r="B3722" s="6">
        <f t="shared" si="583"/>
        <v>0</v>
      </c>
      <c r="C3722" s="6">
        <f t="shared" si="584"/>
        <v>0</v>
      </c>
      <c r="D3722" s="6" t="str">
        <f t="shared" si="585"/>
        <v/>
      </c>
      <c r="E3722" s="35" t="str">
        <f t="shared" si="582"/>
        <v/>
      </c>
      <c r="F3722" s="31"/>
      <c r="G3722" s="29"/>
      <c r="H3722" s="78" t="str">
        <f t="shared" si="586"/>
        <v/>
      </c>
      <c r="I3722" s="25"/>
      <c r="J3722" s="25"/>
      <c r="K3722" s="26"/>
      <c r="L3722" s="26"/>
      <c r="M3722" s="37"/>
      <c r="N3722" s="27"/>
      <c r="O3722" s="30"/>
      <c r="P3722" s="39" t="str">
        <f t="shared" si="587"/>
        <v/>
      </c>
      <c r="Q3722" s="40" t="str">
        <f>IF(OR(T3722=0,RIGHT(T3722,1)=$W$1),"",COUNTIF($T$3:T3722,T3722))</f>
        <v/>
      </c>
      <c r="S3722" s="6">
        <f t="shared" si="588"/>
        <v>0</v>
      </c>
      <c r="T3722" s="36">
        <f t="shared" si="589"/>
        <v>0</v>
      </c>
      <c r="V3722" s="6">
        <f t="shared" si="590"/>
        <v>0</v>
      </c>
      <c r="Y3722" s="8">
        <f t="shared" si="591"/>
        <v>46023</v>
      </c>
    </row>
    <row r="3723" spans="2:25" ht="18.75" x14ac:dyDescent="0.3">
      <c r="B3723" s="6">
        <f t="shared" si="583"/>
        <v>0</v>
      </c>
      <c r="C3723" s="6">
        <f t="shared" si="584"/>
        <v>0</v>
      </c>
      <c r="D3723" s="6" t="str">
        <f t="shared" si="585"/>
        <v/>
      </c>
      <c r="E3723" s="35" t="str">
        <f t="shared" si="582"/>
        <v/>
      </c>
      <c r="F3723" s="31"/>
      <c r="G3723" s="29"/>
      <c r="H3723" s="78" t="str">
        <f t="shared" si="586"/>
        <v/>
      </c>
      <c r="I3723" s="25"/>
      <c r="J3723" s="25"/>
      <c r="K3723" s="26"/>
      <c r="L3723" s="26"/>
      <c r="M3723" s="37"/>
      <c r="N3723" s="27"/>
      <c r="O3723" s="30"/>
      <c r="P3723" s="39" t="str">
        <f t="shared" si="587"/>
        <v/>
      </c>
      <c r="Q3723" s="40" t="str">
        <f>IF(OR(T3723=0,RIGHT(T3723,1)=$W$1),"",COUNTIF($T$3:T3723,T3723))</f>
        <v/>
      </c>
      <c r="S3723" s="6">
        <f t="shared" si="588"/>
        <v>0</v>
      </c>
      <c r="T3723" s="36">
        <f t="shared" si="589"/>
        <v>0</v>
      </c>
      <c r="V3723" s="6">
        <f t="shared" si="590"/>
        <v>0</v>
      </c>
      <c r="Y3723" s="8">
        <f t="shared" si="591"/>
        <v>46023</v>
      </c>
    </row>
    <row r="3724" spans="2:25" ht="18.75" x14ac:dyDescent="0.3">
      <c r="B3724" s="6">
        <f t="shared" si="583"/>
        <v>0</v>
      </c>
      <c r="C3724" s="6">
        <f t="shared" si="584"/>
        <v>0</v>
      </c>
      <c r="D3724" s="6" t="str">
        <f t="shared" si="585"/>
        <v/>
      </c>
      <c r="E3724" s="35" t="str">
        <f t="shared" si="582"/>
        <v/>
      </c>
      <c r="F3724" s="31"/>
      <c r="G3724" s="29"/>
      <c r="H3724" s="78" t="str">
        <f t="shared" si="586"/>
        <v/>
      </c>
      <c r="I3724" s="25"/>
      <c r="J3724" s="25"/>
      <c r="K3724" s="26"/>
      <c r="L3724" s="26"/>
      <c r="M3724" s="37"/>
      <c r="N3724" s="27"/>
      <c r="O3724" s="30"/>
      <c r="P3724" s="39" t="str">
        <f t="shared" si="587"/>
        <v/>
      </c>
      <c r="Q3724" s="40" t="str">
        <f>IF(OR(T3724=0,RIGHT(T3724,1)=$W$1),"",COUNTIF($T$3:T3724,T3724))</f>
        <v/>
      </c>
      <c r="S3724" s="6">
        <f t="shared" si="588"/>
        <v>0</v>
      </c>
      <c r="T3724" s="36">
        <f t="shared" si="589"/>
        <v>0</v>
      </c>
      <c r="V3724" s="6">
        <f t="shared" si="590"/>
        <v>0</v>
      </c>
      <c r="Y3724" s="8">
        <f t="shared" si="591"/>
        <v>46023</v>
      </c>
    </row>
    <row r="3725" spans="2:25" ht="18.75" x14ac:dyDescent="0.3">
      <c r="B3725" s="6">
        <f t="shared" si="583"/>
        <v>0</v>
      </c>
      <c r="C3725" s="6">
        <f t="shared" si="584"/>
        <v>0</v>
      </c>
      <c r="D3725" s="6" t="str">
        <f t="shared" si="585"/>
        <v/>
      </c>
      <c r="E3725" s="35" t="str">
        <f t="shared" si="582"/>
        <v/>
      </c>
      <c r="F3725" s="31"/>
      <c r="G3725" s="29"/>
      <c r="H3725" s="78" t="str">
        <f t="shared" si="586"/>
        <v/>
      </c>
      <c r="I3725" s="25"/>
      <c r="J3725" s="25"/>
      <c r="K3725" s="26"/>
      <c r="L3725" s="26"/>
      <c r="M3725" s="37"/>
      <c r="N3725" s="27"/>
      <c r="O3725" s="30"/>
      <c r="P3725" s="39" t="str">
        <f t="shared" si="587"/>
        <v/>
      </c>
      <c r="Q3725" s="40" t="str">
        <f>IF(OR(T3725=0,RIGHT(T3725,1)=$W$1),"",COUNTIF($T$3:T3725,T3725))</f>
        <v/>
      </c>
      <c r="S3725" s="6">
        <f t="shared" si="588"/>
        <v>0</v>
      </c>
      <c r="T3725" s="36">
        <f t="shared" si="589"/>
        <v>0</v>
      </c>
      <c r="V3725" s="6">
        <f t="shared" si="590"/>
        <v>0</v>
      </c>
      <c r="Y3725" s="8">
        <f t="shared" si="591"/>
        <v>46023</v>
      </c>
    </row>
    <row r="3726" spans="2:25" ht="18.75" x14ac:dyDescent="0.3">
      <c r="B3726" s="6">
        <f t="shared" si="583"/>
        <v>0</v>
      </c>
      <c r="C3726" s="6">
        <f t="shared" si="584"/>
        <v>0</v>
      </c>
      <c r="D3726" s="6" t="str">
        <f t="shared" si="585"/>
        <v/>
      </c>
      <c r="E3726" s="35" t="str">
        <f t="shared" si="582"/>
        <v/>
      </c>
      <c r="F3726" s="31"/>
      <c r="G3726" s="29"/>
      <c r="H3726" s="78" t="str">
        <f t="shared" si="586"/>
        <v/>
      </c>
      <c r="I3726" s="25"/>
      <c r="J3726" s="25"/>
      <c r="K3726" s="26"/>
      <c r="L3726" s="26"/>
      <c r="M3726" s="37"/>
      <c r="N3726" s="27"/>
      <c r="O3726" s="30"/>
      <c r="P3726" s="39" t="str">
        <f t="shared" si="587"/>
        <v/>
      </c>
      <c r="Q3726" s="40" t="str">
        <f>IF(OR(T3726=0,RIGHT(T3726,1)=$W$1),"",COUNTIF($T$3:T3726,T3726))</f>
        <v/>
      </c>
      <c r="S3726" s="6">
        <f t="shared" si="588"/>
        <v>0</v>
      </c>
      <c r="T3726" s="36">
        <f t="shared" si="589"/>
        <v>0</v>
      </c>
      <c r="V3726" s="6">
        <f t="shared" si="590"/>
        <v>0</v>
      </c>
      <c r="Y3726" s="8">
        <f t="shared" si="591"/>
        <v>46023</v>
      </c>
    </row>
    <row r="3727" spans="2:25" ht="18.75" x14ac:dyDescent="0.3">
      <c r="B3727" s="6">
        <f t="shared" si="583"/>
        <v>0</v>
      </c>
      <c r="C3727" s="6">
        <f t="shared" si="584"/>
        <v>0</v>
      </c>
      <c r="D3727" s="6" t="str">
        <f t="shared" si="585"/>
        <v/>
      </c>
      <c r="E3727" s="35" t="str">
        <f t="shared" si="582"/>
        <v/>
      </c>
      <c r="F3727" s="31"/>
      <c r="G3727" s="29"/>
      <c r="H3727" s="78" t="str">
        <f t="shared" si="586"/>
        <v/>
      </c>
      <c r="I3727" s="25"/>
      <c r="J3727" s="25"/>
      <c r="K3727" s="26"/>
      <c r="L3727" s="26"/>
      <c r="M3727" s="37"/>
      <c r="N3727" s="27"/>
      <c r="O3727" s="30"/>
      <c r="P3727" s="39" t="str">
        <f t="shared" si="587"/>
        <v/>
      </c>
      <c r="Q3727" s="40" t="str">
        <f>IF(OR(T3727=0,RIGHT(T3727,1)=$W$1),"",COUNTIF($T$3:T3727,T3727))</f>
        <v/>
      </c>
      <c r="S3727" s="6">
        <f t="shared" si="588"/>
        <v>0</v>
      </c>
      <c r="T3727" s="36">
        <f t="shared" si="589"/>
        <v>0</v>
      </c>
      <c r="V3727" s="6">
        <f t="shared" si="590"/>
        <v>0</v>
      </c>
      <c r="Y3727" s="8">
        <f t="shared" si="591"/>
        <v>46023</v>
      </c>
    </row>
    <row r="3728" spans="2:25" ht="18.75" x14ac:dyDescent="0.3">
      <c r="B3728" s="6">
        <f t="shared" si="583"/>
        <v>0</v>
      </c>
      <c r="C3728" s="6">
        <f t="shared" si="584"/>
        <v>0</v>
      </c>
      <c r="D3728" s="6" t="str">
        <f t="shared" si="585"/>
        <v/>
      </c>
      <c r="E3728" s="35" t="str">
        <f t="shared" si="582"/>
        <v/>
      </c>
      <c r="F3728" s="31"/>
      <c r="G3728" s="29"/>
      <c r="H3728" s="78" t="str">
        <f t="shared" si="586"/>
        <v/>
      </c>
      <c r="I3728" s="25"/>
      <c r="J3728" s="25"/>
      <c r="K3728" s="26"/>
      <c r="L3728" s="26"/>
      <c r="M3728" s="37"/>
      <c r="N3728" s="27"/>
      <c r="O3728" s="30"/>
      <c r="P3728" s="39" t="str">
        <f t="shared" si="587"/>
        <v/>
      </c>
      <c r="Q3728" s="40" t="str">
        <f>IF(OR(T3728=0,RIGHT(T3728,1)=$W$1),"",COUNTIF($T$3:T3728,T3728))</f>
        <v/>
      </c>
      <c r="S3728" s="6">
        <f t="shared" si="588"/>
        <v>0</v>
      </c>
      <c r="T3728" s="36">
        <f t="shared" si="589"/>
        <v>0</v>
      </c>
      <c r="V3728" s="6">
        <f t="shared" si="590"/>
        <v>0</v>
      </c>
      <c r="Y3728" s="8">
        <f t="shared" si="591"/>
        <v>46023</v>
      </c>
    </row>
    <row r="3729" spans="2:25" ht="18.75" x14ac:dyDescent="0.3">
      <c r="B3729" s="6">
        <f t="shared" si="583"/>
        <v>0</v>
      </c>
      <c r="C3729" s="6">
        <f t="shared" si="584"/>
        <v>0</v>
      </c>
      <c r="D3729" s="6" t="str">
        <f t="shared" si="585"/>
        <v/>
      </c>
      <c r="E3729" s="35" t="str">
        <f t="shared" si="582"/>
        <v/>
      </c>
      <c r="F3729" s="31"/>
      <c r="G3729" s="29"/>
      <c r="H3729" s="78" t="str">
        <f t="shared" si="586"/>
        <v/>
      </c>
      <c r="I3729" s="25"/>
      <c r="J3729" s="25"/>
      <c r="K3729" s="26"/>
      <c r="L3729" s="26"/>
      <c r="M3729" s="37"/>
      <c r="N3729" s="27"/>
      <c r="O3729" s="30"/>
      <c r="P3729" s="39" t="str">
        <f t="shared" si="587"/>
        <v/>
      </c>
      <c r="Q3729" s="40" t="str">
        <f>IF(OR(T3729=0,RIGHT(T3729,1)=$W$1),"",COUNTIF($T$3:T3729,T3729))</f>
        <v/>
      </c>
      <c r="S3729" s="6">
        <f t="shared" si="588"/>
        <v>0</v>
      </c>
      <c r="T3729" s="36">
        <f t="shared" si="589"/>
        <v>0</v>
      </c>
      <c r="V3729" s="6">
        <f t="shared" si="590"/>
        <v>0</v>
      </c>
      <c r="Y3729" s="8">
        <f t="shared" si="591"/>
        <v>46023</v>
      </c>
    </row>
    <row r="3730" spans="2:25" ht="18.75" x14ac:dyDescent="0.3">
      <c r="B3730" s="6">
        <f t="shared" si="583"/>
        <v>0</v>
      </c>
      <c r="C3730" s="6">
        <f t="shared" si="584"/>
        <v>0</v>
      </c>
      <c r="D3730" s="6" t="str">
        <f t="shared" si="585"/>
        <v/>
      </c>
      <c r="E3730" s="35" t="str">
        <f t="shared" si="582"/>
        <v/>
      </c>
      <c r="F3730" s="31"/>
      <c r="G3730" s="29"/>
      <c r="H3730" s="78" t="str">
        <f t="shared" si="586"/>
        <v/>
      </c>
      <c r="I3730" s="25"/>
      <c r="J3730" s="25"/>
      <c r="K3730" s="26"/>
      <c r="L3730" s="26"/>
      <c r="M3730" s="37"/>
      <c r="N3730" s="27"/>
      <c r="O3730" s="30"/>
      <c r="P3730" s="39" t="str">
        <f t="shared" si="587"/>
        <v/>
      </c>
      <c r="Q3730" s="40" t="str">
        <f>IF(OR(T3730=0,RIGHT(T3730,1)=$W$1),"",COUNTIF($T$3:T3730,T3730))</f>
        <v/>
      </c>
      <c r="S3730" s="6">
        <f t="shared" si="588"/>
        <v>0</v>
      </c>
      <c r="T3730" s="36">
        <f t="shared" si="589"/>
        <v>0</v>
      </c>
      <c r="V3730" s="6">
        <f t="shared" si="590"/>
        <v>0</v>
      </c>
      <c r="Y3730" s="8">
        <f t="shared" si="591"/>
        <v>46023</v>
      </c>
    </row>
    <row r="3731" spans="2:25" ht="18.75" x14ac:dyDescent="0.3">
      <c r="B3731" s="6">
        <f t="shared" si="583"/>
        <v>0</v>
      </c>
      <c r="C3731" s="6">
        <f t="shared" si="584"/>
        <v>0</v>
      </c>
      <c r="D3731" s="6" t="str">
        <f t="shared" si="585"/>
        <v/>
      </c>
      <c r="E3731" s="35" t="str">
        <f t="shared" si="582"/>
        <v/>
      </c>
      <c r="F3731" s="31"/>
      <c r="G3731" s="29"/>
      <c r="H3731" s="78" t="str">
        <f t="shared" si="586"/>
        <v/>
      </c>
      <c r="I3731" s="25"/>
      <c r="J3731" s="25"/>
      <c r="K3731" s="26"/>
      <c r="L3731" s="26"/>
      <c r="M3731" s="37"/>
      <c r="N3731" s="27"/>
      <c r="O3731" s="30"/>
      <c r="P3731" s="39" t="str">
        <f t="shared" si="587"/>
        <v/>
      </c>
      <c r="Q3731" s="40" t="str">
        <f>IF(OR(T3731=0,RIGHT(T3731,1)=$W$1),"",COUNTIF($T$3:T3731,T3731))</f>
        <v/>
      </c>
      <c r="S3731" s="6">
        <f t="shared" si="588"/>
        <v>0</v>
      </c>
      <c r="T3731" s="36">
        <f t="shared" si="589"/>
        <v>0</v>
      </c>
      <c r="V3731" s="6">
        <f t="shared" si="590"/>
        <v>0</v>
      </c>
      <c r="Y3731" s="8">
        <f t="shared" si="591"/>
        <v>46023</v>
      </c>
    </row>
    <row r="3732" spans="2:25" ht="18.75" x14ac:dyDescent="0.3">
      <c r="B3732" s="6">
        <f t="shared" si="583"/>
        <v>0</v>
      </c>
      <c r="C3732" s="6">
        <f t="shared" si="584"/>
        <v>0</v>
      </c>
      <c r="D3732" s="6" t="str">
        <f t="shared" si="585"/>
        <v/>
      </c>
      <c r="E3732" s="35" t="str">
        <f t="shared" si="582"/>
        <v/>
      </c>
      <c r="F3732" s="31"/>
      <c r="G3732" s="29"/>
      <c r="H3732" s="78" t="str">
        <f t="shared" si="586"/>
        <v/>
      </c>
      <c r="I3732" s="25"/>
      <c r="J3732" s="25"/>
      <c r="K3732" s="26"/>
      <c r="L3732" s="26"/>
      <c r="M3732" s="37"/>
      <c r="N3732" s="27"/>
      <c r="O3732" s="30"/>
      <c r="P3732" s="39" t="str">
        <f t="shared" si="587"/>
        <v/>
      </c>
      <c r="Q3732" s="40" t="str">
        <f>IF(OR(T3732=0,RIGHT(T3732,1)=$W$1),"",COUNTIF($T$3:T3732,T3732))</f>
        <v/>
      </c>
      <c r="S3732" s="6">
        <f t="shared" si="588"/>
        <v>0</v>
      </c>
      <c r="T3732" s="36">
        <f t="shared" si="589"/>
        <v>0</v>
      </c>
      <c r="V3732" s="6">
        <f t="shared" si="590"/>
        <v>0</v>
      </c>
      <c r="Y3732" s="8">
        <f t="shared" si="591"/>
        <v>46023</v>
      </c>
    </row>
    <row r="3733" spans="2:25" ht="18.75" x14ac:dyDescent="0.3">
      <c r="B3733" s="6">
        <f t="shared" si="583"/>
        <v>0</v>
      </c>
      <c r="C3733" s="6">
        <f t="shared" si="584"/>
        <v>0</v>
      </c>
      <c r="D3733" s="6" t="str">
        <f t="shared" si="585"/>
        <v/>
      </c>
      <c r="E3733" s="35" t="str">
        <f t="shared" si="582"/>
        <v/>
      </c>
      <c r="F3733" s="31"/>
      <c r="G3733" s="29"/>
      <c r="H3733" s="78" t="str">
        <f t="shared" si="586"/>
        <v/>
      </c>
      <c r="I3733" s="25"/>
      <c r="J3733" s="25"/>
      <c r="K3733" s="26"/>
      <c r="L3733" s="26"/>
      <c r="M3733" s="37"/>
      <c r="N3733" s="27"/>
      <c r="O3733" s="30"/>
      <c r="P3733" s="39" t="str">
        <f t="shared" si="587"/>
        <v/>
      </c>
      <c r="Q3733" s="40" t="str">
        <f>IF(OR(T3733=0,RIGHT(T3733,1)=$W$1),"",COUNTIF($T$3:T3733,T3733))</f>
        <v/>
      </c>
      <c r="S3733" s="6">
        <f t="shared" si="588"/>
        <v>0</v>
      </c>
      <c r="T3733" s="36">
        <f t="shared" si="589"/>
        <v>0</v>
      </c>
      <c r="V3733" s="6">
        <f t="shared" si="590"/>
        <v>0</v>
      </c>
      <c r="Y3733" s="8">
        <f t="shared" si="591"/>
        <v>46023</v>
      </c>
    </row>
    <row r="3734" spans="2:25" ht="18.75" x14ac:dyDescent="0.3">
      <c r="B3734" s="6">
        <f t="shared" si="583"/>
        <v>0</v>
      </c>
      <c r="C3734" s="6">
        <f t="shared" si="584"/>
        <v>0</v>
      </c>
      <c r="D3734" s="6" t="str">
        <f t="shared" si="585"/>
        <v/>
      </c>
      <c r="E3734" s="35" t="str">
        <f t="shared" si="582"/>
        <v/>
      </c>
      <c r="F3734" s="31"/>
      <c r="G3734" s="29"/>
      <c r="H3734" s="78" t="str">
        <f t="shared" si="586"/>
        <v/>
      </c>
      <c r="I3734" s="25"/>
      <c r="J3734" s="25"/>
      <c r="K3734" s="26"/>
      <c r="L3734" s="26"/>
      <c r="M3734" s="37"/>
      <c r="N3734" s="27"/>
      <c r="O3734" s="30"/>
      <c r="P3734" s="39" t="str">
        <f t="shared" si="587"/>
        <v/>
      </c>
      <c r="Q3734" s="40" t="str">
        <f>IF(OR(T3734=0,RIGHT(T3734,1)=$W$1),"",COUNTIF($T$3:T3734,T3734))</f>
        <v/>
      </c>
      <c r="S3734" s="6">
        <f t="shared" si="588"/>
        <v>0</v>
      </c>
      <c r="T3734" s="36">
        <f t="shared" si="589"/>
        <v>0</v>
      </c>
      <c r="V3734" s="6">
        <f t="shared" si="590"/>
        <v>0</v>
      </c>
      <c r="Y3734" s="8">
        <f t="shared" si="591"/>
        <v>46023</v>
      </c>
    </row>
    <row r="3735" spans="2:25" ht="18.75" x14ac:dyDescent="0.3">
      <c r="B3735" s="6">
        <f t="shared" si="583"/>
        <v>0</v>
      </c>
      <c r="C3735" s="6">
        <f t="shared" si="584"/>
        <v>0</v>
      </c>
      <c r="D3735" s="6" t="str">
        <f t="shared" si="585"/>
        <v/>
      </c>
      <c r="E3735" s="35" t="str">
        <f t="shared" si="582"/>
        <v/>
      </c>
      <c r="F3735" s="31"/>
      <c r="G3735" s="29"/>
      <c r="H3735" s="78" t="str">
        <f t="shared" si="586"/>
        <v/>
      </c>
      <c r="I3735" s="25"/>
      <c r="J3735" s="25"/>
      <c r="K3735" s="26"/>
      <c r="L3735" s="26"/>
      <c r="M3735" s="37"/>
      <c r="N3735" s="27"/>
      <c r="O3735" s="30"/>
      <c r="P3735" s="39" t="str">
        <f t="shared" si="587"/>
        <v/>
      </c>
      <c r="Q3735" s="40" t="str">
        <f>IF(OR(T3735=0,RIGHT(T3735,1)=$W$1),"",COUNTIF($T$3:T3735,T3735))</f>
        <v/>
      </c>
      <c r="S3735" s="6">
        <f t="shared" si="588"/>
        <v>0</v>
      </c>
      <c r="T3735" s="36">
        <f t="shared" si="589"/>
        <v>0</v>
      </c>
      <c r="V3735" s="6">
        <f t="shared" si="590"/>
        <v>0</v>
      </c>
      <c r="Y3735" s="8">
        <f t="shared" si="591"/>
        <v>46023</v>
      </c>
    </row>
    <row r="3736" spans="2:25" ht="18.75" x14ac:dyDescent="0.3">
      <c r="B3736" s="6">
        <f t="shared" si="583"/>
        <v>0</v>
      </c>
      <c r="C3736" s="6">
        <f t="shared" si="584"/>
        <v>0</v>
      </c>
      <c r="D3736" s="6" t="str">
        <f t="shared" si="585"/>
        <v/>
      </c>
      <c r="E3736" s="35" t="str">
        <f t="shared" si="582"/>
        <v/>
      </c>
      <c r="F3736" s="31"/>
      <c r="G3736" s="29"/>
      <c r="H3736" s="78" t="str">
        <f t="shared" si="586"/>
        <v/>
      </c>
      <c r="I3736" s="25"/>
      <c r="J3736" s="25"/>
      <c r="K3736" s="26"/>
      <c r="L3736" s="26"/>
      <c r="M3736" s="37"/>
      <c r="N3736" s="27"/>
      <c r="O3736" s="30"/>
      <c r="P3736" s="39" t="str">
        <f t="shared" si="587"/>
        <v/>
      </c>
      <c r="Q3736" s="40" t="str">
        <f>IF(OR(T3736=0,RIGHT(T3736,1)=$W$1),"",COUNTIF($T$3:T3736,T3736))</f>
        <v/>
      </c>
      <c r="S3736" s="6">
        <f t="shared" si="588"/>
        <v>0</v>
      </c>
      <c r="T3736" s="36">
        <f t="shared" si="589"/>
        <v>0</v>
      </c>
      <c r="V3736" s="6">
        <f t="shared" si="590"/>
        <v>0</v>
      </c>
      <c r="Y3736" s="8">
        <f t="shared" si="591"/>
        <v>46023</v>
      </c>
    </row>
    <row r="3737" spans="2:25" ht="18.75" x14ac:dyDescent="0.3">
      <c r="B3737" s="6">
        <f t="shared" si="583"/>
        <v>0</v>
      </c>
      <c r="C3737" s="6">
        <f t="shared" si="584"/>
        <v>0</v>
      </c>
      <c r="D3737" s="6" t="str">
        <f t="shared" si="585"/>
        <v/>
      </c>
      <c r="E3737" s="35" t="str">
        <f t="shared" si="582"/>
        <v/>
      </c>
      <c r="F3737" s="31"/>
      <c r="G3737" s="29"/>
      <c r="H3737" s="78" t="str">
        <f t="shared" si="586"/>
        <v/>
      </c>
      <c r="I3737" s="25"/>
      <c r="J3737" s="25"/>
      <c r="K3737" s="26"/>
      <c r="L3737" s="26"/>
      <c r="M3737" s="37"/>
      <c r="N3737" s="27"/>
      <c r="O3737" s="30"/>
      <c r="P3737" s="39" t="str">
        <f t="shared" si="587"/>
        <v/>
      </c>
      <c r="Q3737" s="40" t="str">
        <f>IF(OR(T3737=0,RIGHT(T3737,1)=$W$1),"",COUNTIF($T$3:T3737,T3737))</f>
        <v/>
      </c>
      <c r="S3737" s="6">
        <f t="shared" si="588"/>
        <v>0</v>
      </c>
      <c r="T3737" s="36">
        <f t="shared" si="589"/>
        <v>0</v>
      </c>
      <c r="V3737" s="6">
        <f t="shared" si="590"/>
        <v>0</v>
      </c>
      <c r="Y3737" s="8">
        <f t="shared" si="591"/>
        <v>46023</v>
      </c>
    </row>
    <row r="3738" spans="2:25" ht="18.75" x14ac:dyDescent="0.3">
      <c r="B3738" s="6">
        <f t="shared" si="583"/>
        <v>0</v>
      </c>
      <c r="C3738" s="6">
        <f t="shared" si="584"/>
        <v>0</v>
      </c>
      <c r="D3738" s="6" t="str">
        <f t="shared" si="585"/>
        <v/>
      </c>
      <c r="E3738" s="35" t="str">
        <f t="shared" si="582"/>
        <v/>
      </c>
      <c r="F3738" s="31"/>
      <c r="G3738" s="29"/>
      <c r="H3738" s="78" t="str">
        <f t="shared" si="586"/>
        <v/>
      </c>
      <c r="I3738" s="25"/>
      <c r="J3738" s="25"/>
      <c r="K3738" s="26"/>
      <c r="L3738" s="26"/>
      <c r="M3738" s="37"/>
      <c r="N3738" s="27"/>
      <c r="O3738" s="30"/>
      <c r="P3738" s="39" t="str">
        <f t="shared" si="587"/>
        <v/>
      </c>
      <c r="Q3738" s="40" t="str">
        <f>IF(OR(T3738=0,RIGHT(T3738,1)=$W$1),"",COUNTIF($T$3:T3738,T3738))</f>
        <v/>
      </c>
      <c r="S3738" s="6">
        <f t="shared" si="588"/>
        <v>0</v>
      </c>
      <c r="T3738" s="36">
        <f t="shared" si="589"/>
        <v>0</v>
      </c>
      <c r="V3738" s="6">
        <f t="shared" si="590"/>
        <v>0</v>
      </c>
      <c r="Y3738" s="8">
        <f t="shared" si="591"/>
        <v>46023</v>
      </c>
    </row>
    <row r="3739" spans="2:25" ht="18.75" x14ac:dyDescent="0.3">
      <c r="B3739" s="6">
        <f t="shared" si="583"/>
        <v>0</v>
      </c>
      <c r="C3739" s="6">
        <f t="shared" si="584"/>
        <v>0</v>
      </c>
      <c r="D3739" s="6" t="str">
        <f t="shared" si="585"/>
        <v/>
      </c>
      <c r="E3739" s="35" t="str">
        <f t="shared" si="582"/>
        <v/>
      </c>
      <c r="F3739" s="31"/>
      <c r="G3739" s="29"/>
      <c r="H3739" s="78" t="str">
        <f t="shared" si="586"/>
        <v/>
      </c>
      <c r="I3739" s="25"/>
      <c r="J3739" s="25"/>
      <c r="K3739" s="26"/>
      <c r="L3739" s="26"/>
      <c r="M3739" s="37"/>
      <c r="N3739" s="27"/>
      <c r="O3739" s="30"/>
      <c r="P3739" s="39" t="str">
        <f t="shared" si="587"/>
        <v/>
      </c>
      <c r="Q3739" s="40" t="str">
        <f>IF(OR(T3739=0,RIGHT(T3739,1)=$W$1),"",COUNTIF($T$3:T3739,T3739))</f>
        <v/>
      </c>
      <c r="S3739" s="6">
        <f t="shared" si="588"/>
        <v>0</v>
      </c>
      <c r="T3739" s="36">
        <f t="shared" si="589"/>
        <v>0</v>
      </c>
      <c r="V3739" s="6">
        <f t="shared" si="590"/>
        <v>0</v>
      </c>
      <c r="Y3739" s="8">
        <f t="shared" si="591"/>
        <v>46023</v>
      </c>
    </row>
    <row r="3740" spans="2:25" ht="18.75" x14ac:dyDescent="0.3">
      <c r="B3740" s="6">
        <f t="shared" si="583"/>
        <v>0</v>
      </c>
      <c r="C3740" s="6">
        <f t="shared" si="584"/>
        <v>0</v>
      </c>
      <c r="D3740" s="6" t="str">
        <f t="shared" si="585"/>
        <v/>
      </c>
      <c r="E3740" s="35" t="str">
        <f t="shared" si="582"/>
        <v/>
      </c>
      <c r="F3740" s="31"/>
      <c r="G3740" s="29"/>
      <c r="H3740" s="78" t="str">
        <f t="shared" si="586"/>
        <v/>
      </c>
      <c r="I3740" s="25"/>
      <c r="J3740" s="25"/>
      <c r="K3740" s="26"/>
      <c r="L3740" s="26"/>
      <c r="M3740" s="37"/>
      <c r="N3740" s="27"/>
      <c r="O3740" s="30"/>
      <c r="P3740" s="39" t="str">
        <f t="shared" si="587"/>
        <v/>
      </c>
      <c r="Q3740" s="40" t="str">
        <f>IF(OR(T3740=0,RIGHT(T3740,1)=$W$1),"",COUNTIF($T$3:T3740,T3740))</f>
        <v/>
      </c>
      <c r="S3740" s="6">
        <f t="shared" si="588"/>
        <v>0</v>
      </c>
      <c r="T3740" s="36">
        <f t="shared" si="589"/>
        <v>0</v>
      </c>
      <c r="V3740" s="6">
        <f t="shared" si="590"/>
        <v>0</v>
      </c>
      <c r="Y3740" s="8">
        <f t="shared" si="591"/>
        <v>46023</v>
      </c>
    </row>
    <row r="3741" spans="2:25" ht="18.75" x14ac:dyDescent="0.3">
      <c r="B3741" s="6">
        <f t="shared" si="583"/>
        <v>0</v>
      </c>
      <c r="C3741" s="6">
        <f t="shared" si="584"/>
        <v>0</v>
      </c>
      <c r="D3741" s="6" t="str">
        <f t="shared" si="585"/>
        <v/>
      </c>
      <c r="E3741" s="35" t="str">
        <f t="shared" si="582"/>
        <v/>
      </c>
      <c r="F3741" s="31"/>
      <c r="G3741" s="29"/>
      <c r="H3741" s="78" t="str">
        <f t="shared" si="586"/>
        <v/>
      </c>
      <c r="I3741" s="25"/>
      <c r="J3741" s="25"/>
      <c r="K3741" s="26"/>
      <c r="L3741" s="26"/>
      <c r="M3741" s="37"/>
      <c r="N3741" s="27"/>
      <c r="O3741" s="30"/>
      <c r="P3741" s="39" t="str">
        <f t="shared" si="587"/>
        <v/>
      </c>
      <c r="Q3741" s="40" t="str">
        <f>IF(OR(T3741=0,RIGHT(T3741,1)=$W$1),"",COUNTIF($T$3:T3741,T3741))</f>
        <v/>
      </c>
      <c r="S3741" s="6">
        <f t="shared" si="588"/>
        <v>0</v>
      </c>
      <c r="T3741" s="36">
        <f t="shared" si="589"/>
        <v>0</v>
      </c>
      <c r="V3741" s="6">
        <f t="shared" si="590"/>
        <v>0</v>
      </c>
      <c r="Y3741" s="8">
        <f t="shared" si="591"/>
        <v>46023</v>
      </c>
    </row>
    <row r="3742" spans="2:25" ht="18.75" x14ac:dyDescent="0.3">
      <c r="B3742" s="6">
        <f t="shared" si="583"/>
        <v>0</v>
      </c>
      <c r="C3742" s="6">
        <f t="shared" si="584"/>
        <v>0</v>
      </c>
      <c r="D3742" s="6" t="str">
        <f t="shared" si="585"/>
        <v/>
      </c>
      <c r="E3742" s="35" t="str">
        <f t="shared" si="582"/>
        <v/>
      </c>
      <c r="F3742" s="31"/>
      <c r="G3742" s="29"/>
      <c r="H3742" s="78" t="str">
        <f t="shared" si="586"/>
        <v/>
      </c>
      <c r="I3742" s="25"/>
      <c r="J3742" s="25"/>
      <c r="K3742" s="26"/>
      <c r="L3742" s="26"/>
      <c r="M3742" s="37"/>
      <c r="N3742" s="27"/>
      <c r="O3742" s="30"/>
      <c r="P3742" s="39" t="str">
        <f t="shared" si="587"/>
        <v/>
      </c>
      <c r="Q3742" s="40" t="str">
        <f>IF(OR(T3742=0,RIGHT(T3742,1)=$W$1),"",COUNTIF($T$3:T3742,T3742))</f>
        <v/>
      </c>
      <c r="S3742" s="6">
        <f t="shared" si="588"/>
        <v>0</v>
      </c>
      <c r="T3742" s="36">
        <f t="shared" si="589"/>
        <v>0</v>
      </c>
      <c r="V3742" s="6">
        <f t="shared" si="590"/>
        <v>0</v>
      </c>
      <c r="Y3742" s="8">
        <f t="shared" si="591"/>
        <v>46023</v>
      </c>
    </row>
    <row r="3743" spans="2:25" ht="18.75" x14ac:dyDescent="0.3">
      <c r="B3743" s="6">
        <f t="shared" si="583"/>
        <v>0</v>
      </c>
      <c r="C3743" s="6">
        <f t="shared" si="584"/>
        <v>0</v>
      </c>
      <c r="D3743" s="6" t="str">
        <f t="shared" si="585"/>
        <v/>
      </c>
      <c r="E3743" s="35" t="str">
        <f t="shared" si="582"/>
        <v/>
      </c>
      <c r="F3743" s="31"/>
      <c r="G3743" s="29"/>
      <c r="H3743" s="78" t="str">
        <f t="shared" si="586"/>
        <v/>
      </c>
      <c r="I3743" s="25"/>
      <c r="J3743" s="25"/>
      <c r="K3743" s="26"/>
      <c r="L3743" s="26"/>
      <c r="M3743" s="37"/>
      <c r="N3743" s="27"/>
      <c r="O3743" s="30"/>
      <c r="P3743" s="39" t="str">
        <f t="shared" si="587"/>
        <v/>
      </c>
      <c r="Q3743" s="40" t="str">
        <f>IF(OR(T3743=0,RIGHT(T3743,1)=$W$1),"",COUNTIF($T$3:T3743,T3743))</f>
        <v/>
      </c>
      <c r="S3743" s="6">
        <f t="shared" si="588"/>
        <v>0</v>
      </c>
      <c r="T3743" s="36">
        <f t="shared" si="589"/>
        <v>0</v>
      </c>
      <c r="V3743" s="6">
        <f t="shared" si="590"/>
        <v>0</v>
      </c>
      <c r="Y3743" s="8">
        <f t="shared" si="591"/>
        <v>46023</v>
      </c>
    </row>
    <row r="3744" spans="2:25" ht="18.75" x14ac:dyDescent="0.3">
      <c r="B3744" s="6">
        <f t="shared" si="583"/>
        <v>0</v>
      </c>
      <c r="C3744" s="6">
        <f t="shared" si="584"/>
        <v>0</v>
      </c>
      <c r="D3744" s="6" t="str">
        <f t="shared" si="585"/>
        <v/>
      </c>
      <c r="E3744" s="35" t="str">
        <f t="shared" si="582"/>
        <v/>
      </c>
      <c r="F3744" s="31"/>
      <c r="G3744" s="29"/>
      <c r="H3744" s="78" t="str">
        <f t="shared" si="586"/>
        <v/>
      </c>
      <c r="I3744" s="25"/>
      <c r="J3744" s="25"/>
      <c r="K3744" s="26"/>
      <c r="L3744" s="26"/>
      <c r="M3744" s="37"/>
      <c r="N3744" s="27"/>
      <c r="O3744" s="30"/>
      <c r="P3744" s="39" t="str">
        <f t="shared" si="587"/>
        <v/>
      </c>
      <c r="Q3744" s="40" t="str">
        <f>IF(OR(T3744=0,RIGHT(T3744,1)=$W$1),"",COUNTIF($T$3:T3744,T3744))</f>
        <v/>
      </c>
      <c r="S3744" s="6">
        <f t="shared" si="588"/>
        <v>0</v>
      </c>
      <c r="T3744" s="36">
        <f t="shared" si="589"/>
        <v>0</v>
      </c>
      <c r="V3744" s="6">
        <f t="shared" si="590"/>
        <v>0</v>
      </c>
      <c r="Y3744" s="8">
        <f t="shared" si="591"/>
        <v>46023</v>
      </c>
    </row>
    <row r="3745" spans="2:25" ht="18.75" x14ac:dyDescent="0.3">
      <c r="B3745" s="6">
        <f t="shared" si="583"/>
        <v>0</v>
      </c>
      <c r="C3745" s="6">
        <f t="shared" si="584"/>
        <v>0</v>
      </c>
      <c r="D3745" s="6" t="str">
        <f t="shared" si="585"/>
        <v/>
      </c>
      <c r="E3745" s="35" t="str">
        <f t="shared" si="582"/>
        <v/>
      </c>
      <c r="F3745" s="31"/>
      <c r="G3745" s="29"/>
      <c r="H3745" s="78" t="str">
        <f t="shared" si="586"/>
        <v/>
      </c>
      <c r="I3745" s="25"/>
      <c r="J3745" s="25"/>
      <c r="K3745" s="26"/>
      <c r="L3745" s="26"/>
      <c r="M3745" s="37"/>
      <c r="N3745" s="27"/>
      <c r="O3745" s="30"/>
      <c r="P3745" s="39" t="str">
        <f t="shared" si="587"/>
        <v/>
      </c>
      <c r="Q3745" s="40" t="str">
        <f>IF(OR(T3745=0,RIGHT(T3745,1)=$W$1),"",COUNTIF($T$3:T3745,T3745))</f>
        <v/>
      </c>
      <c r="S3745" s="6">
        <f t="shared" si="588"/>
        <v>0</v>
      </c>
      <c r="T3745" s="36">
        <f t="shared" si="589"/>
        <v>0</v>
      </c>
      <c r="V3745" s="6">
        <f t="shared" si="590"/>
        <v>0</v>
      </c>
      <c r="Y3745" s="8">
        <f t="shared" si="591"/>
        <v>46023</v>
      </c>
    </row>
    <row r="3746" spans="2:25" ht="18.75" x14ac:dyDescent="0.3">
      <c r="B3746" s="6">
        <f t="shared" si="583"/>
        <v>0</v>
      </c>
      <c r="C3746" s="6">
        <f t="shared" si="584"/>
        <v>0</v>
      </c>
      <c r="D3746" s="6" t="str">
        <f t="shared" si="585"/>
        <v/>
      </c>
      <c r="E3746" s="35" t="str">
        <f t="shared" si="582"/>
        <v/>
      </c>
      <c r="F3746" s="31"/>
      <c r="G3746" s="29"/>
      <c r="H3746" s="78" t="str">
        <f t="shared" si="586"/>
        <v/>
      </c>
      <c r="I3746" s="25"/>
      <c r="J3746" s="25"/>
      <c r="K3746" s="26"/>
      <c r="L3746" s="26"/>
      <c r="M3746" s="37"/>
      <c r="N3746" s="27"/>
      <c r="O3746" s="30"/>
      <c r="P3746" s="39" t="str">
        <f t="shared" si="587"/>
        <v/>
      </c>
      <c r="Q3746" s="40" t="str">
        <f>IF(OR(T3746=0,RIGHT(T3746,1)=$W$1),"",COUNTIF($T$3:T3746,T3746))</f>
        <v/>
      </c>
      <c r="S3746" s="6">
        <f t="shared" si="588"/>
        <v>0</v>
      </c>
      <c r="T3746" s="36">
        <f t="shared" si="589"/>
        <v>0</v>
      </c>
      <c r="V3746" s="6">
        <f t="shared" si="590"/>
        <v>0</v>
      </c>
      <c r="Y3746" s="8">
        <f t="shared" si="591"/>
        <v>46023</v>
      </c>
    </row>
    <row r="3747" spans="2:25" ht="18.75" x14ac:dyDescent="0.3">
      <c r="B3747" s="6">
        <f t="shared" si="583"/>
        <v>0</v>
      </c>
      <c r="C3747" s="6">
        <f t="shared" si="584"/>
        <v>0</v>
      </c>
      <c r="D3747" s="6" t="str">
        <f t="shared" si="585"/>
        <v/>
      </c>
      <c r="E3747" s="35" t="str">
        <f t="shared" si="582"/>
        <v/>
      </c>
      <c r="F3747" s="31"/>
      <c r="G3747" s="29"/>
      <c r="H3747" s="78" t="str">
        <f t="shared" si="586"/>
        <v/>
      </c>
      <c r="I3747" s="25"/>
      <c r="J3747" s="25"/>
      <c r="K3747" s="26"/>
      <c r="L3747" s="26"/>
      <c r="M3747" s="37"/>
      <c r="N3747" s="27"/>
      <c r="O3747" s="30"/>
      <c r="P3747" s="39" t="str">
        <f t="shared" si="587"/>
        <v/>
      </c>
      <c r="Q3747" s="40" t="str">
        <f>IF(OR(T3747=0,RIGHT(T3747,1)=$W$1),"",COUNTIF($T$3:T3747,T3747))</f>
        <v/>
      </c>
      <c r="S3747" s="6">
        <f t="shared" si="588"/>
        <v>0</v>
      </c>
      <c r="T3747" s="36">
        <f t="shared" si="589"/>
        <v>0</v>
      </c>
      <c r="V3747" s="6">
        <f t="shared" si="590"/>
        <v>0</v>
      </c>
      <c r="Y3747" s="8">
        <f t="shared" si="591"/>
        <v>46023</v>
      </c>
    </row>
    <row r="3748" spans="2:25" ht="18.75" x14ac:dyDescent="0.3">
      <c r="B3748" s="6">
        <f t="shared" si="583"/>
        <v>0</v>
      </c>
      <c r="C3748" s="6">
        <f t="shared" si="584"/>
        <v>0</v>
      </c>
      <c r="D3748" s="6" t="str">
        <f t="shared" si="585"/>
        <v/>
      </c>
      <c r="E3748" s="35" t="str">
        <f t="shared" si="582"/>
        <v/>
      </c>
      <c r="F3748" s="31"/>
      <c r="G3748" s="29"/>
      <c r="H3748" s="78" t="str">
        <f t="shared" si="586"/>
        <v/>
      </c>
      <c r="I3748" s="25"/>
      <c r="J3748" s="25"/>
      <c r="K3748" s="26"/>
      <c r="L3748" s="26"/>
      <c r="M3748" s="37"/>
      <c r="N3748" s="27"/>
      <c r="O3748" s="30"/>
      <c r="P3748" s="39" t="str">
        <f t="shared" si="587"/>
        <v/>
      </c>
      <c r="Q3748" s="40" t="str">
        <f>IF(OR(T3748=0,RIGHT(T3748,1)=$W$1),"",COUNTIF($T$3:T3748,T3748))</f>
        <v/>
      </c>
      <c r="S3748" s="6">
        <f t="shared" si="588"/>
        <v>0</v>
      </c>
      <c r="T3748" s="36">
        <f t="shared" si="589"/>
        <v>0</v>
      </c>
      <c r="V3748" s="6">
        <f t="shared" si="590"/>
        <v>0</v>
      </c>
      <c r="Y3748" s="8">
        <f t="shared" si="591"/>
        <v>46023</v>
      </c>
    </row>
    <row r="3749" spans="2:25" ht="18.75" x14ac:dyDescent="0.3">
      <c r="B3749" s="6">
        <f t="shared" si="583"/>
        <v>0</v>
      </c>
      <c r="C3749" s="6">
        <f t="shared" si="584"/>
        <v>0</v>
      </c>
      <c r="D3749" s="6" t="str">
        <f t="shared" si="585"/>
        <v/>
      </c>
      <c r="E3749" s="35" t="str">
        <f t="shared" si="582"/>
        <v/>
      </c>
      <c r="F3749" s="31"/>
      <c r="G3749" s="29"/>
      <c r="H3749" s="78" t="str">
        <f t="shared" si="586"/>
        <v/>
      </c>
      <c r="I3749" s="25"/>
      <c r="J3749" s="25"/>
      <c r="K3749" s="26"/>
      <c r="L3749" s="26"/>
      <c r="M3749" s="37"/>
      <c r="N3749" s="27"/>
      <c r="O3749" s="30"/>
      <c r="P3749" s="39" t="str">
        <f t="shared" si="587"/>
        <v/>
      </c>
      <c r="Q3749" s="40" t="str">
        <f>IF(OR(T3749=0,RIGHT(T3749,1)=$W$1),"",COUNTIF($T$3:T3749,T3749))</f>
        <v/>
      </c>
      <c r="S3749" s="6">
        <f t="shared" si="588"/>
        <v>0</v>
      </c>
      <c r="T3749" s="36">
        <f t="shared" si="589"/>
        <v>0</v>
      </c>
      <c r="V3749" s="6">
        <f t="shared" si="590"/>
        <v>0</v>
      </c>
      <c r="Y3749" s="8">
        <f t="shared" si="591"/>
        <v>46023</v>
      </c>
    </row>
    <row r="3750" spans="2:25" ht="18.75" x14ac:dyDescent="0.3">
      <c r="B3750" s="6">
        <f t="shared" si="583"/>
        <v>0</v>
      </c>
      <c r="C3750" s="6">
        <f t="shared" si="584"/>
        <v>0</v>
      </c>
      <c r="D3750" s="6" t="str">
        <f t="shared" si="585"/>
        <v/>
      </c>
      <c r="E3750" s="35" t="str">
        <f t="shared" si="582"/>
        <v/>
      </c>
      <c r="F3750" s="31"/>
      <c r="G3750" s="29"/>
      <c r="H3750" s="78" t="str">
        <f t="shared" si="586"/>
        <v/>
      </c>
      <c r="I3750" s="25"/>
      <c r="J3750" s="25"/>
      <c r="K3750" s="26"/>
      <c r="L3750" s="26"/>
      <c r="M3750" s="37"/>
      <c r="N3750" s="27"/>
      <c r="O3750" s="30"/>
      <c r="P3750" s="39" t="str">
        <f t="shared" si="587"/>
        <v/>
      </c>
      <c r="Q3750" s="40" t="str">
        <f>IF(OR(T3750=0,RIGHT(T3750,1)=$W$1),"",COUNTIF($T$3:T3750,T3750))</f>
        <v/>
      </c>
      <c r="S3750" s="6">
        <f t="shared" si="588"/>
        <v>0</v>
      </c>
      <c r="T3750" s="36">
        <f t="shared" si="589"/>
        <v>0</v>
      </c>
      <c r="V3750" s="6">
        <f t="shared" si="590"/>
        <v>0</v>
      </c>
      <c r="Y3750" s="8">
        <f t="shared" si="591"/>
        <v>46023</v>
      </c>
    </row>
    <row r="3751" spans="2:25" ht="18.75" x14ac:dyDescent="0.3">
      <c r="B3751" s="6">
        <f t="shared" si="583"/>
        <v>0</v>
      </c>
      <c r="C3751" s="6">
        <f t="shared" si="584"/>
        <v>0</v>
      </c>
      <c r="D3751" s="6" t="str">
        <f t="shared" si="585"/>
        <v/>
      </c>
      <c r="E3751" s="35" t="str">
        <f t="shared" si="582"/>
        <v/>
      </c>
      <c r="F3751" s="31"/>
      <c r="G3751" s="29"/>
      <c r="H3751" s="78" t="str">
        <f t="shared" si="586"/>
        <v/>
      </c>
      <c r="I3751" s="25"/>
      <c r="J3751" s="25"/>
      <c r="K3751" s="26"/>
      <c r="L3751" s="26"/>
      <c r="M3751" s="37"/>
      <c r="N3751" s="27"/>
      <c r="O3751" s="30"/>
      <c r="P3751" s="39" t="str">
        <f t="shared" si="587"/>
        <v/>
      </c>
      <c r="Q3751" s="40" t="str">
        <f>IF(OR(T3751=0,RIGHT(T3751,1)=$W$1),"",COUNTIF($T$3:T3751,T3751))</f>
        <v/>
      </c>
      <c r="S3751" s="6">
        <f t="shared" si="588"/>
        <v>0</v>
      </c>
      <c r="T3751" s="36">
        <f t="shared" si="589"/>
        <v>0</v>
      </c>
      <c r="V3751" s="6">
        <f t="shared" si="590"/>
        <v>0</v>
      </c>
      <c r="Y3751" s="8">
        <f t="shared" si="591"/>
        <v>46023</v>
      </c>
    </row>
    <row r="3752" spans="2:25" ht="18.75" x14ac:dyDescent="0.3">
      <c r="B3752" s="6">
        <f t="shared" si="583"/>
        <v>0</v>
      </c>
      <c r="C3752" s="6">
        <f t="shared" si="584"/>
        <v>0</v>
      </c>
      <c r="D3752" s="6" t="str">
        <f t="shared" si="585"/>
        <v/>
      </c>
      <c r="E3752" s="35" t="str">
        <f t="shared" si="582"/>
        <v/>
      </c>
      <c r="F3752" s="31"/>
      <c r="G3752" s="29"/>
      <c r="H3752" s="78" t="str">
        <f t="shared" si="586"/>
        <v/>
      </c>
      <c r="I3752" s="25"/>
      <c r="J3752" s="25"/>
      <c r="K3752" s="26"/>
      <c r="L3752" s="26"/>
      <c r="M3752" s="37"/>
      <c r="N3752" s="27"/>
      <c r="O3752" s="30"/>
      <c r="P3752" s="39" t="str">
        <f t="shared" si="587"/>
        <v/>
      </c>
      <c r="Q3752" s="40" t="str">
        <f>IF(OR(T3752=0,RIGHT(T3752,1)=$W$1),"",COUNTIF($T$3:T3752,T3752))</f>
        <v/>
      </c>
      <c r="S3752" s="6">
        <f t="shared" si="588"/>
        <v>0</v>
      </c>
      <c r="T3752" s="36">
        <f t="shared" si="589"/>
        <v>0</v>
      </c>
      <c r="V3752" s="6">
        <f t="shared" si="590"/>
        <v>0</v>
      </c>
      <c r="Y3752" s="8">
        <f t="shared" si="591"/>
        <v>46023</v>
      </c>
    </row>
    <row r="3753" spans="2:25" ht="18.75" x14ac:dyDescent="0.3">
      <c r="B3753" s="6">
        <f t="shared" si="583"/>
        <v>0</v>
      </c>
      <c r="C3753" s="6">
        <f t="shared" si="584"/>
        <v>0</v>
      </c>
      <c r="D3753" s="6" t="str">
        <f t="shared" si="585"/>
        <v/>
      </c>
      <c r="E3753" s="35" t="str">
        <f t="shared" si="582"/>
        <v/>
      </c>
      <c r="F3753" s="31"/>
      <c r="G3753" s="29"/>
      <c r="H3753" s="78" t="str">
        <f t="shared" si="586"/>
        <v/>
      </c>
      <c r="I3753" s="25"/>
      <c r="J3753" s="25"/>
      <c r="K3753" s="26"/>
      <c r="L3753" s="26"/>
      <c r="M3753" s="37"/>
      <c r="N3753" s="27"/>
      <c r="O3753" s="30"/>
      <c r="P3753" s="39" t="str">
        <f t="shared" si="587"/>
        <v/>
      </c>
      <c r="Q3753" s="40" t="str">
        <f>IF(OR(T3753=0,RIGHT(T3753,1)=$W$1),"",COUNTIF($T$3:T3753,T3753))</f>
        <v/>
      </c>
      <c r="S3753" s="6">
        <f t="shared" si="588"/>
        <v>0</v>
      </c>
      <c r="T3753" s="36">
        <f t="shared" si="589"/>
        <v>0</v>
      </c>
      <c r="V3753" s="6">
        <f t="shared" si="590"/>
        <v>0</v>
      </c>
      <c r="Y3753" s="8">
        <f t="shared" si="591"/>
        <v>46023</v>
      </c>
    </row>
    <row r="3754" spans="2:25" ht="18.75" x14ac:dyDescent="0.3">
      <c r="B3754" s="6">
        <f t="shared" si="583"/>
        <v>0</v>
      </c>
      <c r="C3754" s="6">
        <f t="shared" si="584"/>
        <v>0</v>
      </c>
      <c r="D3754" s="6" t="str">
        <f t="shared" si="585"/>
        <v/>
      </c>
      <c r="E3754" s="35" t="str">
        <f t="shared" si="582"/>
        <v/>
      </c>
      <c r="F3754" s="31"/>
      <c r="G3754" s="29"/>
      <c r="H3754" s="78" t="str">
        <f t="shared" si="586"/>
        <v/>
      </c>
      <c r="I3754" s="25"/>
      <c r="J3754" s="25"/>
      <c r="K3754" s="26"/>
      <c r="L3754" s="26"/>
      <c r="M3754" s="37"/>
      <c r="N3754" s="27"/>
      <c r="O3754" s="30"/>
      <c r="P3754" s="39" t="str">
        <f t="shared" si="587"/>
        <v/>
      </c>
      <c r="Q3754" s="40" t="str">
        <f>IF(OR(T3754=0,RIGHT(T3754,1)=$W$1),"",COUNTIF($T$3:T3754,T3754))</f>
        <v/>
      </c>
      <c r="S3754" s="6">
        <f t="shared" si="588"/>
        <v>0</v>
      </c>
      <c r="T3754" s="36">
        <f t="shared" si="589"/>
        <v>0</v>
      </c>
      <c r="V3754" s="6">
        <f t="shared" si="590"/>
        <v>0</v>
      </c>
      <c r="Y3754" s="8">
        <f t="shared" si="591"/>
        <v>46023</v>
      </c>
    </row>
    <row r="3755" spans="2:25" ht="18.75" x14ac:dyDescent="0.3">
      <c r="B3755" s="6">
        <f t="shared" si="583"/>
        <v>0</v>
      </c>
      <c r="C3755" s="6">
        <f t="shared" si="584"/>
        <v>0</v>
      </c>
      <c r="D3755" s="6" t="str">
        <f t="shared" si="585"/>
        <v/>
      </c>
      <c r="E3755" s="35" t="str">
        <f t="shared" si="582"/>
        <v/>
      </c>
      <c r="F3755" s="31"/>
      <c r="G3755" s="29"/>
      <c r="H3755" s="78" t="str">
        <f t="shared" si="586"/>
        <v/>
      </c>
      <c r="I3755" s="25"/>
      <c r="J3755" s="25"/>
      <c r="K3755" s="26"/>
      <c r="L3755" s="26"/>
      <c r="M3755" s="37"/>
      <c r="N3755" s="27"/>
      <c r="O3755" s="30"/>
      <c r="P3755" s="39" t="str">
        <f t="shared" si="587"/>
        <v/>
      </c>
      <c r="Q3755" s="40" t="str">
        <f>IF(OR(T3755=0,RIGHT(T3755,1)=$W$1),"",COUNTIF($T$3:T3755,T3755))</f>
        <v/>
      </c>
      <c r="S3755" s="6">
        <f t="shared" si="588"/>
        <v>0</v>
      </c>
      <c r="T3755" s="36">
        <f t="shared" si="589"/>
        <v>0</v>
      </c>
      <c r="V3755" s="6">
        <f t="shared" si="590"/>
        <v>0</v>
      </c>
      <c r="Y3755" s="8">
        <f t="shared" si="591"/>
        <v>46023</v>
      </c>
    </row>
    <row r="3756" spans="2:25" ht="18.75" x14ac:dyDescent="0.3">
      <c r="B3756" s="6">
        <f t="shared" si="583"/>
        <v>0</v>
      </c>
      <c r="C3756" s="6">
        <f t="shared" si="584"/>
        <v>0</v>
      </c>
      <c r="D3756" s="6" t="str">
        <f t="shared" si="585"/>
        <v/>
      </c>
      <c r="E3756" s="35" t="str">
        <f t="shared" si="582"/>
        <v/>
      </c>
      <c r="F3756" s="31"/>
      <c r="G3756" s="29"/>
      <c r="H3756" s="78" t="str">
        <f t="shared" si="586"/>
        <v/>
      </c>
      <c r="I3756" s="25"/>
      <c r="J3756" s="25"/>
      <c r="K3756" s="26"/>
      <c r="L3756" s="26"/>
      <c r="M3756" s="37"/>
      <c r="N3756" s="27"/>
      <c r="O3756" s="30"/>
      <c r="P3756" s="39" t="str">
        <f t="shared" si="587"/>
        <v/>
      </c>
      <c r="Q3756" s="40" t="str">
        <f>IF(OR(T3756=0,RIGHT(T3756,1)=$W$1),"",COUNTIF($T$3:T3756,T3756))</f>
        <v/>
      </c>
      <c r="S3756" s="6">
        <f t="shared" si="588"/>
        <v>0</v>
      </c>
      <c r="T3756" s="36">
        <f t="shared" si="589"/>
        <v>0</v>
      </c>
      <c r="V3756" s="6">
        <f t="shared" si="590"/>
        <v>0</v>
      </c>
      <c r="Y3756" s="8">
        <f t="shared" si="591"/>
        <v>46023</v>
      </c>
    </row>
    <row r="3757" spans="2:25" ht="18.75" x14ac:dyDescent="0.3">
      <c r="B3757" s="6">
        <f t="shared" si="583"/>
        <v>0</v>
      </c>
      <c r="C3757" s="6">
        <f t="shared" si="584"/>
        <v>0</v>
      </c>
      <c r="D3757" s="6" t="str">
        <f t="shared" si="585"/>
        <v/>
      </c>
      <c r="E3757" s="35" t="str">
        <f t="shared" si="582"/>
        <v/>
      </c>
      <c r="F3757" s="31"/>
      <c r="G3757" s="29"/>
      <c r="H3757" s="78" t="str">
        <f t="shared" si="586"/>
        <v/>
      </c>
      <c r="I3757" s="25"/>
      <c r="J3757" s="25"/>
      <c r="K3757" s="26"/>
      <c r="L3757" s="26"/>
      <c r="M3757" s="37"/>
      <c r="N3757" s="27"/>
      <c r="O3757" s="30"/>
      <c r="P3757" s="39" t="str">
        <f t="shared" si="587"/>
        <v/>
      </c>
      <c r="Q3757" s="40" t="str">
        <f>IF(OR(T3757=0,RIGHT(T3757,1)=$W$1),"",COUNTIF($T$3:T3757,T3757))</f>
        <v/>
      </c>
      <c r="S3757" s="6">
        <f t="shared" si="588"/>
        <v>0</v>
      </c>
      <c r="T3757" s="36">
        <f t="shared" si="589"/>
        <v>0</v>
      </c>
      <c r="V3757" s="6">
        <f t="shared" si="590"/>
        <v>0</v>
      </c>
      <c r="Y3757" s="8">
        <f t="shared" si="591"/>
        <v>46023</v>
      </c>
    </row>
    <row r="3758" spans="2:25" ht="18.75" x14ac:dyDescent="0.3">
      <c r="B3758" s="6">
        <f t="shared" si="583"/>
        <v>0</v>
      </c>
      <c r="C3758" s="6">
        <f t="shared" si="584"/>
        <v>0</v>
      </c>
      <c r="D3758" s="6" t="str">
        <f t="shared" si="585"/>
        <v/>
      </c>
      <c r="E3758" s="35" t="str">
        <f t="shared" si="582"/>
        <v/>
      </c>
      <c r="F3758" s="31"/>
      <c r="G3758" s="29"/>
      <c r="H3758" s="78" t="str">
        <f t="shared" si="586"/>
        <v/>
      </c>
      <c r="I3758" s="25"/>
      <c r="J3758" s="25"/>
      <c r="K3758" s="26"/>
      <c r="L3758" s="26"/>
      <c r="M3758" s="37"/>
      <c r="N3758" s="27"/>
      <c r="O3758" s="30"/>
      <c r="P3758" s="39" t="str">
        <f t="shared" si="587"/>
        <v/>
      </c>
      <c r="Q3758" s="40" t="str">
        <f>IF(OR(T3758=0,RIGHT(T3758,1)=$W$1),"",COUNTIF($T$3:T3758,T3758))</f>
        <v/>
      </c>
      <c r="S3758" s="6">
        <f t="shared" si="588"/>
        <v>0</v>
      </c>
      <c r="T3758" s="36">
        <f t="shared" si="589"/>
        <v>0</v>
      </c>
      <c r="V3758" s="6">
        <f t="shared" si="590"/>
        <v>0</v>
      </c>
      <c r="Y3758" s="8">
        <f t="shared" si="591"/>
        <v>46023</v>
      </c>
    </row>
    <row r="3759" spans="2:25" ht="18.75" x14ac:dyDescent="0.3">
      <c r="B3759" s="6">
        <f t="shared" si="583"/>
        <v>0</v>
      </c>
      <c r="C3759" s="6">
        <f t="shared" si="584"/>
        <v>0</v>
      </c>
      <c r="D3759" s="6" t="str">
        <f t="shared" si="585"/>
        <v/>
      </c>
      <c r="E3759" s="35" t="str">
        <f t="shared" si="582"/>
        <v/>
      </c>
      <c r="F3759" s="31"/>
      <c r="G3759" s="29"/>
      <c r="H3759" s="78" t="str">
        <f t="shared" si="586"/>
        <v/>
      </c>
      <c r="I3759" s="25"/>
      <c r="J3759" s="25"/>
      <c r="K3759" s="26"/>
      <c r="L3759" s="26"/>
      <c r="M3759" s="37"/>
      <c r="N3759" s="27"/>
      <c r="O3759" s="30"/>
      <c r="P3759" s="39" t="str">
        <f t="shared" si="587"/>
        <v/>
      </c>
      <c r="Q3759" s="40" t="str">
        <f>IF(OR(T3759=0,RIGHT(T3759,1)=$W$1),"",COUNTIF($T$3:T3759,T3759))</f>
        <v/>
      </c>
      <c r="S3759" s="6">
        <f t="shared" si="588"/>
        <v>0</v>
      </c>
      <c r="T3759" s="36">
        <f t="shared" si="589"/>
        <v>0</v>
      </c>
      <c r="V3759" s="6">
        <f t="shared" si="590"/>
        <v>0</v>
      </c>
      <c r="Y3759" s="8">
        <f t="shared" si="591"/>
        <v>46023</v>
      </c>
    </row>
    <row r="3760" spans="2:25" ht="18.75" x14ac:dyDescent="0.3">
      <c r="B3760" s="6">
        <f t="shared" si="583"/>
        <v>0</v>
      </c>
      <c r="C3760" s="6">
        <f t="shared" si="584"/>
        <v>0</v>
      </c>
      <c r="D3760" s="6" t="str">
        <f t="shared" si="585"/>
        <v/>
      </c>
      <c r="E3760" s="35" t="str">
        <f t="shared" si="582"/>
        <v/>
      </c>
      <c r="F3760" s="31"/>
      <c r="G3760" s="29"/>
      <c r="H3760" s="78" t="str">
        <f t="shared" si="586"/>
        <v/>
      </c>
      <c r="I3760" s="25"/>
      <c r="J3760" s="25"/>
      <c r="K3760" s="26"/>
      <c r="L3760" s="26"/>
      <c r="M3760" s="37"/>
      <c r="N3760" s="27"/>
      <c r="O3760" s="30"/>
      <c r="P3760" s="39" t="str">
        <f t="shared" si="587"/>
        <v/>
      </c>
      <c r="Q3760" s="40" t="str">
        <f>IF(OR(T3760=0,RIGHT(T3760,1)=$W$1),"",COUNTIF($T$3:T3760,T3760))</f>
        <v/>
      </c>
      <c r="S3760" s="6">
        <f t="shared" si="588"/>
        <v>0</v>
      </c>
      <c r="T3760" s="36">
        <f t="shared" si="589"/>
        <v>0</v>
      </c>
      <c r="V3760" s="6">
        <f t="shared" si="590"/>
        <v>0</v>
      </c>
      <c r="Y3760" s="8">
        <f t="shared" si="591"/>
        <v>46023</v>
      </c>
    </row>
    <row r="3761" spans="2:25" ht="18.75" x14ac:dyDescent="0.3">
      <c r="B3761" s="6">
        <f t="shared" si="583"/>
        <v>0</v>
      </c>
      <c r="C3761" s="6">
        <f t="shared" si="584"/>
        <v>0</v>
      </c>
      <c r="D3761" s="6" t="str">
        <f t="shared" si="585"/>
        <v/>
      </c>
      <c r="E3761" s="35" t="str">
        <f t="shared" si="582"/>
        <v/>
      </c>
      <c r="F3761" s="31"/>
      <c r="G3761" s="29"/>
      <c r="H3761" s="78" t="str">
        <f t="shared" si="586"/>
        <v/>
      </c>
      <c r="I3761" s="25"/>
      <c r="J3761" s="25"/>
      <c r="K3761" s="26"/>
      <c r="L3761" s="26"/>
      <c r="M3761" s="37"/>
      <c r="N3761" s="27"/>
      <c r="O3761" s="30"/>
      <c r="P3761" s="39" t="str">
        <f t="shared" si="587"/>
        <v/>
      </c>
      <c r="Q3761" s="40" t="str">
        <f>IF(OR(T3761=0,RIGHT(T3761,1)=$W$1),"",COUNTIF($T$3:T3761,T3761))</f>
        <v/>
      </c>
      <c r="S3761" s="6">
        <f t="shared" si="588"/>
        <v>0</v>
      </c>
      <c r="T3761" s="36">
        <f t="shared" si="589"/>
        <v>0</v>
      </c>
      <c r="V3761" s="6">
        <f t="shared" si="590"/>
        <v>0</v>
      </c>
      <c r="Y3761" s="8">
        <f t="shared" si="591"/>
        <v>46023</v>
      </c>
    </row>
    <row r="3762" spans="2:25" ht="18.75" x14ac:dyDescent="0.3">
      <c r="B3762" s="6">
        <f t="shared" si="583"/>
        <v>0</v>
      </c>
      <c r="C3762" s="6">
        <f t="shared" si="584"/>
        <v>0</v>
      </c>
      <c r="D3762" s="6" t="str">
        <f t="shared" si="585"/>
        <v/>
      </c>
      <c r="E3762" s="35" t="str">
        <f t="shared" si="582"/>
        <v/>
      </c>
      <c r="F3762" s="31"/>
      <c r="G3762" s="29"/>
      <c r="H3762" s="78" t="str">
        <f t="shared" si="586"/>
        <v/>
      </c>
      <c r="I3762" s="25"/>
      <c r="J3762" s="25"/>
      <c r="K3762" s="26"/>
      <c r="L3762" s="26"/>
      <c r="M3762" s="37"/>
      <c r="N3762" s="27"/>
      <c r="O3762" s="30"/>
      <c r="P3762" s="39" t="str">
        <f t="shared" si="587"/>
        <v/>
      </c>
      <c r="Q3762" s="40" t="str">
        <f>IF(OR(T3762=0,RIGHT(T3762,1)=$W$1),"",COUNTIF($T$3:T3762,T3762))</f>
        <v/>
      </c>
      <c r="S3762" s="6">
        <f t="shared" si="588"/>
        <v>0</v>
      </c>
      <c r="T3762" s="36">
        <f t="shared" si="589"/>
        <v>0</v>
      </c>
      <c r="V3762" s="6">
        <f t="shared" si="590"/>
        <v>0</v>
      </c>
      <c r="Y3762" s="8">
        <f t="shared" si="591"/>
        <v>46023</v>
      </c>
    </row>
    <row r="3763" spans="2:25" ht="18.75" x14ac:dyDescent="0.3">
      <c r="B3763" s="6">
        <f t="shared" si="583"/>
        <v>0</v>
      </c>
      <c r="C3763" s="6">
        <f t="shared" si="584"/>
        <v>0</v>
      </c>
      <c r="D3763" s="6" t="str">
        <f t="shared" si="585"/>
        <v/>
      </c>
      <c r="E3763" s="35" t="str">
        <f t="shared" si="582"/>
        <v/>
      </c>
      <c r="F3763" s="31"/>
      <c r="G3763" s="29"/>
      <c r="H3763" s="78" t="str">
        <f t="shared" si="586"/>
        <v/>
      </c>
      <c r="I3763" s="25"/>
      <c r="J3763" s="25"/>
      <c r="K3763" s="26"/>
      <c r="L3763" s="26"/>
      <c r="M3763" s="37"/>
      <c r="N3763" s="27"/>
      <c r="O3763" s="30"/>
      <c r="P3763" s="39" t="str">
        <f t="shared" si="587"/>
        <v/>
      </c>
      <c r="Q3763" s="40" t="str">
        <f>IF(OR(T3763=0,RIGHT(T3763,1)=$W$1),"",COUNTIF($T$3:T3763,T3763))</f>
        <v/>
      </c>
      <c r="S3763" s="6">
        <f t="shared" si="588"/>
        <v>0</v>
      </c>
      <c r="T3763" s="36">
        <f t="shared" si="589"/>
        <v>0</v>
      </c>
      <c r="V3763" s="6">
        <f t="shared" si="590"/>
        <v>0</v>
      </c>
      <c r="Y3763" s="8">
        <f t="shared" si="591"/>
        <v>46023</v>
      </c>
    </row>
    <row r="3764" spans="2:25" ht="18.75" x14ac:dyDescent="0.3">
      <c r="B3764" s="6">
        <f t="shared" si="583"/>
        <v>0</v>
      </c>
      <c r="C3764" s="6">
        <f t="shared" si="584"/>
        <v>0</v>
      </c>
      <c r="D3764" s="6" t="str">
        <f t="shared" si="585"/>
        <v/>
      </c>
      <c r="E3764" s="35" t="str">
        <f t="shared" si="582"/>
        <v/>
      </c>
      <c r="F3764" s="31"/>
      <c r="G3764" s="29"/>
      <c r="H3764" s="78" t="str">
        <f t="shared" si="586"/>
        <v/>
      </c>
      <c r="I3764" s="25"/>
      <c r="J3764" s="25"/>
      <c r="K3764" s="26"/>
      <c r="L3764" s="26"/>
      <c r="M3764" s="37"/>
      <c r="N3764" s="27"/>
      <c r="O3764" s="30"/>
      <c r="P3764" s="39" t="str">
        <f t="shared" si="587"/>
        <v/>
      </c>
      <c r="Q3764" s="40" t="str">
        <f>IF(OR(T3764=0,RIGHT(T3764,1)=$W$1),"",COUNTIF($T$3:T3764,T3764))</f>
        <v/>
      </c>
      <c r="S3764" s="6">
        <f t="shared" si="588"/>
        <v>0</v>
      </c>
      <c r="T3764" s="36">
        <f t="shared" si="589"/>
        <v>0</v>
      </c>
      <c r="V3764" s="6">
        <f t="shared" si="590"/>
        <v>0</v>
      </c>
      <c r="Y3764" s="8">
        <f t="shared" si="591"/>
        <v>46023</v>
      </c>
    </row>
    <row r="3765" spans="2:25" ht="18.75" x14ac:dyDescent="0.3">
      <c r="B3765" s="6">
        <f t="shared" si="583"/>
        <v>0</v>
      </c>
      <c r="C3765" s="6">
        <f t="shared" si="584"/>
        <v>0</v>
      </c>
      <c r="D3765" s="6" t="str">
        <f t="shared" si="585"/>
        <v/>
      </c>
      <c r="E3765" s="35" t="str">
        <f t="shared" si="582"/>
        <v/>
      </c>
      <c r="F3765" s="31"/>
      <c r="G3765" s="29"/>
      <c r="H3765" s="78" t="str">
        <f t="shared" si="586"/>
        <v/>
      </c>
      <c r="I3765" s="25"/>
      <c r="J3765" s="25"/>
      <c r="K3765" s="26"/>
      <c r="L3765" s="26"/>
      <c r="M3765" s="37"/>
      <c r="N3765" s="27"/>
      <c r="O3765" s="30"/>
      <c r="P3765" s="39" t="str">
        <f t="shared" si="587"/>
        <v/>
      </c>
      <c r="Q3765" s="40" t="str">
        <f>IF(OR(T3765=0,RIGHT(T3765,1)=$W$1),"",COUNTIF($T$3:T3765,T3765))</f>
        <v/>
      </c>
      <c r="S3765" s="6">
        <f t="shared" si="588"/>
        <v>0</v>
      </c>
      <c r="T3765" s="36">
        <f t="shared" si="589"/>
        <v>0</v>
      </c>
      <c r="V3765" s="6">
        <f t="shared" si="590"/>
        <v>0</v>
      </c>
      <c r="Y3765" s="8">
        <f t="shared" si="591"/>
        <v>46023</v>
      </c>
    </row>
    <row r="3766" spans="2:25" ht="18.75" x14ac:dyDescent="0.3">
      <c r="B3766" s="6">
        <f t="shared" si="583"/>
        <v>0</v>
      </c>
      <c r="C3766" s="6">
        <f t="shared" si="584"/>
        <v>0</v>
      </c>
      <c r="D3766" s="6" t="str">
        <f t="shared" si="585"/>
        <v/>
      </c>
      <c r="E3766" s="35" t="str">
        <f t="shared" si="582"/>
        <v/>
      </c>
      <c r="F3766" s="31"/>
      <c r="G3766" s="29"/>
      <c r="H3766" s="78" t="str">
        <f t="shared" si="586"/>
        <v/>
      </c>
      <c r="I3766" s="25"/>
      <c r="J3766" s="25"/>
      <c r="K3766" s="26"/>
      <c r="L3766" s="26"/>
      <c r="M3766" s="37"/>
      <c r="N3766" s="27"/>
      <c r="O3766" s="30"/>
      <c r="P3766" s="39" t="str">
        <f t="shared" si="587"/>
        <v/>
      </c>
      <c r="Q3766" s="40" t="str">
        <f>IF(OR(T3766=0,RIGHT(T3766,1)=$W$1),"",COUNTIF($T$3:T3766,T3766))</f>
        <v/>
      </c>
      <c r="S3766" s="6">
        <f t="shared" si="588"/>
        <v>0</v>
      </c>
      <c r="T3766" s="36">
        <f t="shared" si="589"/>
        <v>0</v>
      </c>
      <c r="V3766" s="6">
        <f t="shared" si="590"/>
        <v>0</v>
      </c>
      <c r="Y3766" s="8">
        <f t="shared" si="591"/>
        <v>46023</v>
      </c>
    </row>
    <row r="3767" spans="2:25" ht="18.75" x14ac:dyDescent="0.3">
      <c r="B3767" s="6">
        <f t="shared" si="583"/>
        <v>0</v>
      </c>
      <c r="C3767" s="6">
        <f t="shared" si="584"/>
        <v>0</v>
      </c>
      <c r="D3767" s="6" t="str">
        <f t="shared" si="585"/>
        <v/>
      </c>
      <c r="E3767" s="35" t="str">
        <f t="shared" si="582"/>
        <v/>
      </c>
      <c r="F3767" s="31"/>
      <c r="G3767" s="29"/>
      <c r="H3767" s="78" t="str">
        <f t="shared" si="586"/>
        <v/>
      </c>
      <c r="I3767" s="25"/>
      <c r="J3767" s="25"/>
      <c r="K3767" s="26"/>
      <c r="L3767" s="26"/>
      <c r="M3767" s="37"/>
      <c r="N3767" s="27"/>
      <c r="O3767" s="30"/>
      <c r="P3767" s="39" t="str">
        <f t="shared" si="587"/>
        <v/>
      </c>
      <c r="Q3767" s="40" t="str">
        <f>IF(OR(T3767=0,RIGHT(T3767,1)=$W$1),"",COUNTIF($T$3:T3767,T3767))</f>
        <v/>
      </c>
      <c r="S3767" s="6">
        <f t="shared" si="588"/>
        <v>0</v>
      </c>
      <c r="T3767" s="36">
        <f t="shared" si="589"/>
        <v>0</v>
      </c>
      <c r="V3767" s="6">
        <f t="shared" si="590"/>
        <v>0</v>
      </c>
      <c r="Y3767" s="8">
        <f t="shared" si="591"/>
        <v>46023</v>
      </c>
    </row>
    <row r="3768" spans="2:25" ht="18.75" x14ac:dyDescent="0.3">
      <c r="B3768" s="6">
        <f t="shared" si="583"/>
        <v>0</v>
      </c>
      <c r="C3768" s="6">
        <f t="shared" si="584"/>
        <v>0</v>
      </c>
      <c r="D3768" s="6" t="str">
        <f t="shared" si="585"/>
        <v/>
      </c>
      <c r="E3768" s="35" t="str">
        <f t="shared" si="582"/>
        <v/>
      </c>
      <c r="F3768" s="31"/>
      <c r="G3768" s="29"/>
      <c r="H3768" s="78" t="str">
        <f t="shared" si="586"/>
        <v/>
      </c>
      <c r="I3768" s="25"/>
      <c r="J3768" s="25"/>
      <c r="K3768" s="26"/>
      <c r="L3768" s="26"/>
      <c r="M3768" s="37"/>
      <c r="N3768" s="27"/>
      <c r="O3768" s="30"/>
      <c r="P3768" s="39" t="str">
        <f t="shared" si="587"/>
        <v/>
      </c>
      <c r="Q3768" s="40" t="str">
        <f>IF(OR(T3768=0,RIGHT(T3768,1)=$W$1),"",COUNTIF($T$3:T3768,T3768))</f>
        <v/>
      </c>
      <c r="S3768" s="6">
        <f t="shared" si="588"/>
        <v>0</v>
      </c>
      <c r="T3768" s="36">
        <f t="shared" si="589"/>
        <v>0</v>
      </c>
      <c r="V3768" s="6">
        <f t="shared" si="590"/>
        <v>0</v>
      </c>
      <c r="Y3768" s="8">
        <f t="shared" si="591"/>
        <v>46023</v>
      </c>
    </row>
    <row r="3769" spans="2:25" ht="18.75" x14ac:dyDescent="0.3">
      <c r="B3769" s="6">
        <f t="shared" si="583"/>
        <v>0</v>
      </c>
      <c r="C3769" s="6">
        <f t="shared" si="584"/>
        <v>0</v>
      </c>
      <c r="D3769" s="6" t="str">
        <f t="shared" si="585"/>
        <v/>
      </c>
      <c r="E3769" s="35" t="str">
        <f t="shared" si="582"/>
        <v/>
      </c>
      <c r="F3769" s="31"/>
      <c r="G3769" s="29"/>
      <c r="H3769" s="78" t="str">
        <f t="shared" si="586"/>
        <v/>
      </c>
      <c r="I3769" s="25"/>
      <c r="J3769" s="25"/>
      <c r="K3769" s="26"/>
      <c r="L3769" s="26"/>
      <c r="M3769" s="37"/>
      <c r="N3769" s="27"/>
      <c r="O3769" s="30"/>
      <c r="P3769" s="39" t="str">
        <f t="shared" si="587"/>
        <v/>
      </c>
      <c r="Q3769" s="40" t="str">
        <f>IF(OR(T3769=0,RIGHT(T3769,1)=$W$1),"",COUNTIF($T$3:T3769,T3769))</f>
        <v/>
      </c>
      <c r="S3769" s="6">
        <f t="shared" si="588"/>
        <v>0</v>
      </c>
      <c r="T3769" s="36">
        <f t="shared" si="589"/>
        <v>0</v>
      </c>
      <c r="V3769" s="6">
        <f t="shared" si="590"/>
        <v>0</v>
      </c>
      <c r="Y3769" s="8">
        <f t="shared" si="591"/>
        <v>46023</v>
      </c>
    </row>
    <row r="3770" spans="2:25" ht="18.75" x14ac:dyDescent="0.3">
      <c r="B3770" s="6">
        <f t="shared" si="583"/>
        <v>0</v>
      </c>
      <c r="C3770" s="6">
        <f t="shared" si="584"/>
        <v>0</v>
      </c>
      <c r="D3770" s="6" t="str">
        <f t="shared" si="585"/>
        <v/>
      </c>
      <c r="E3770" s="35" t="str">
        <f t="shared" si="582"/>
        <v/>
      </c>
      <c r="F3770" s="31"/>
      <c r="G3770" s="29"/>
      <c r="H3770" s="78" t="str">
        <f t="shared" si="586"/>
        <v/>
      </c>
      <c r="I3770" s="25"/>
      <c r="J3770" s="25"/>
      <c r="K3770" s="26"/>
      <c r="L3770" s="26"/>
      <c r="M3770" s="37"/>
      <c r="N3770" s="27"/>
      <c r="O3770" s="30"/>
      <c r="P3770" s="39" t="str">
        <f t="shared" si="587"/>
        <v/>
      </c>
      <c r="Q3770" s="40" t="str">
        <f>IF(OR(T3770=0,RIGHT(T3770,1)=$W$1),"",COUNTIF($T$3:T3770,T3770))</f>
        <v/>
      </c>
      <c r="S3770" s="6">
        <f t="shared" si="588"/>
        <v>0</v>
      </c>
      <c r="T3770" s="36">
        <f t="shared" si="589"/>
        <v>0</v>
      </c>
      <c r="V3770" s="6">
        <f t="shared" si="590"/>
        <v>0</v>
      </c>
      <c r="Y3770" s="8">
        <f t="shared" si="591"/>
        <v>46023</v>
      </c>
    </row>
    <row r="3771" spans="2:25" ht="18.75" x14ac:dyDescent="0.3">
      <c r="B3771" s="6">
        <f t="shared" si="583"/>
        <v>0</v>
      </c>
      <c r="C3771" s="6">
        <f t="shared" si="584"/>
        <v>0</v>
      </c>
      <c r="D3771" s="6" t="str">
        <f t="shared" si="585"/>
        <v/>
      </c>
      <c r="E3771" s="35" t="str">
        <f t="shared" si="582"/>
        <v/>
      </c>
      <c r="F3771" s="31"/>
      <c r="G3771" s="29"/>
      <c r="H3771" s="78" t="str">
        <f t="shared" si="586"/>
        <v/>
      </c>
      <c r="I3771" s="25"/>
      <c r="J3771" s="25"/>
      <c r="K3771" s="26"/>
      <c r="L3771" s="26"/>
      <c r="M3771" s="37"/>
      <c r="N3771" s="27"/>
      <c r="O3771" s="30"/>
      <c r="P3771" s="39" t="str">
        <f t="shared" si="587"/>
        <v/>
      </c>
      <c r="Q3771" s="40" t="str">
        <f>IF(OR(T3771=0,RIGHT(T3771,1)=$W$1),"",COUNTIF($T$3:T3771,T3771))</f>
        <v/>
      </c>
      <c r="S3771" s="6">
        <f t="shared" si="588"/>
        <v>0</v>
      </c>
      <c r="T3771" s="36">
        <f t="shared" si="589"/>
        <v>0</v>
      </c>
      <c r="V3771" s="6">
        <f t="shared" si="590"/>
        <v>0</v>
      </c>
      <c r="Y3771" s="8">
        <f t="shared" si="591"/>
        <v>46023</v>
      </c>
    </row>
    <row r="3772" spans="2:25" ht="18.75" x14ac:dyDescent="0.3">
      <c r="B3772" s="6">
        <f t="shared" si="583"/>
        <v>0</v>
      </c>
      <c r="C3772" s="6">
        <f t="shared" si="584"/>
        <v>0</v>
      </c>
      <c r="D3772" s="6" t="str">
        <f t="shared" si="585"/>
        <v/>
      </c>
      <c r="E3772" s="35" t="str">
        <f t="shared" si="582"/>
        <v/>
      </c>
      <c r="F3772" s="31"/>
      <c r="G3772" s="29"/>
      <c r="H3772" s="78" t="str">
        <f t="shared" si="586"/>
        <v/>
      </c>
      <c r="I3772" s="25"/>
      <c r="J3772" s="25"/>
      <c r="K3772" s="26"/>
      <c r="L3772" s="26"/>
      <c r="M3772" s="37"/>
      <c r="N3772" s="27"/>
      <c r="O3772" s="30"/>
      <c r="P3772" s="39" t="str">
        <f t="shared" si="587"/>
        <v/>
      </c>
      <c r="Q3772" s="40" t="str">
        <f>IF(OR(T3772=0,RIGHT(T3772,1)=$W$1),"",COUNTIF($T$3:T3772,T3772))</f>
        <v/>
      </c>
      <c r="S3772" s="6">
        <f t="shared" si="588"/>
        <v>0</v>
      </c>
      <c r="T3772" s="36">
        <f t="shared" si="589"/>
        <v>0</v>
      </c>
      <c r="V3772" s="6">
        <f t="shared" si="590"/>
        <v>0</v>
      </c>
      <c r="Y3772" s="8">
        <f t="shared" si="591"/>
        <v>46023</v>
      </c>
    </row>
    <row r="3773" spans="2:25" ht="18.75" x14ac:dyDescent="0.3">
      <c r="B3773" s="6">
        <f t="shared" si="583"/>
        <v>0</v>
      </c>
      <c r="C3773" s="6">
        <f t="shared" si="584"/>
        <v>0</v>
      </c>
      <c r="D3773" s="6" t="str">
        <f t="shared" si="585"/>
        <v/>
      </c>
      <c r="E3773" s="35" t="str">
        <f t="shared" si="582"/>
        <v/>
      </c>
      <c r="F3773" s="31"/>
      <c r="G3773" s="29"/>
      <c r="H3773" s="78" t="str">
        <f t="shared" si="586"/>
        <v/>
      </c>
      <c r="I3773" s="25"/>
      <c r="J3773" s="25"/>
      <c r="K3773" s="26"/>
      <c r="L3773" s="26"/>
      <c r="M3773" s="37"/>
      <c r="N3773" s="27"/>
      <c r="O3773" s="30"/>
      <c r="P3773" s="39" t="str">
        <f t="shared" si="587"/>
        <v/>
      </c>
      <c r="Q3773" s="40" t="str">
        <f>IF(OR(T3773=0,RIGHT(T3773,1)=$W$1),"",COUNTIF($T$3:T3773,T3773))</f>
        <v/>
      </c>
      <c r="S3773" s="6">
        <f t="shared" si="588"/>
        <v>0</v>
      </c>
      <c r="T3773" s="36">
        <f t="shared" si="589"/>
        <v>0</v>
      </c>
      <c r="V3773" s="6">
        <f t="shared" si="590"/>
        <v>0</v>
      </c>
      <c r="Y3773" s="8">
        <f t="shared" si="591"/>
        <v>46023</v>
      </c>
    </row>
    <row r="3774" spans="2:25" ht="18.75" x14ac:dyDescent="0.3">
      <c r="B3774" s="6">
        <f t="shared" si="583"/>
        <v>0</v>
      </c>
      <c r="C3774" s="6">
        <f t="shared" si="584"/>
        <v>0</v>
      </c>
      <c r="D3774" s="6" t="str">
        <f t="shared" si="585"/>
        <v/>
      </c>
      <c r="E3774" s="35" t="str">
        <f t="shared" si="582"/>
        <v/>
      </c>
      <c r="F3774" s="31"/>
      <c r="G3774" s="29"/>
      <c r="H3774" s="78" t="str">
        <f t="shared" si="586"/>
        <v/>
      </c>
      <c r="I3774" s="25"/>
      <c r="J3774" s="25"/>
      <c r="K3774" s="26"/>
      <c r="L3774" s="26"/>
      <c r="M3774" s="37"/>
      <c r="N3774" s="27"/>
      <c r="O3774" s="30"/>
      <c r="P3774" s="39" t="str">
        <f t="shared" si="587"/>
        <v/>
      </c>
      <c r="Q3774" s="40" t="str">
        <f>IF(OR(T3774=0,RIGHT(T3774,1)=$W$1),"",COUNTIF($T$3:T3774,T3774))</f>
        <v/>
      </c>
      <c r="S3774" s="6">
        <f t="shared" si="588"/>
        <v>0</v>
      </c>
      <c r="T3774" s="36">
        <f t="shared" si="589"/>
        <v>0</v>
      </c>
      <c r="V3774" s="6">
        <f t="shared" si="590"/>
        <v>0</v>
      </c>
      <c r="Y3774" s="8">
        <f t="shared" si="591"/>
        <v>46023</v>
      </c>
    </row>
    <row r="3775" spans="2:25" ht="18.75" x14ac:dyDescent="0.3">
      <c r="B3775" s="6">
        <f t="shared" si="583"/>
        <v>0</v>
      </c>
      <c r="C3775" s="6">
        <f t="shared" si="584"/>
        <v>0</v>
      </c>
      <c r="D3775" s="6" t="str">
        <f t="shared" si="585"/>
        <v/>
      </c>
      <c r="E3775" s="35" t="str">
        <f t="shared" si="582"/>
        <v/>
      </c>
      <c r="F3775" s="31"/>
      <c r="G3775" s="29"/>
      <c r="H3775" s="78" t="str">
        <f t="shared" si="586"/>
        <v/>
      </c>
      <c r="I3775" s="25"/>
      <c r="J3775" s="25"/>
      <c r="K3775" s="26"/>
      <c r="L3775" s="26"/>
      <c r="M3775" s="37"/>
      <c r="N3775" s="27"/>
      <c r="O3775" s="30"/>
      <c r="P3775" s="39" t="str">
        <f t="shared" si="587"/>
        <v/>
      </c>
      <c r="Q3775" s="40" t="str">
        <f>IF(OR(T3775=0,RIGHT(T3775,1)=$W$1),"",COUNTIF($T$3:T3775,T3775))</f>
        <v/>
      </c>
      <c r="S3775" s="6">
        <f t="shared" si="588"/>
        <v>0</v>
      </c>
      <c r="T3775" s="36">
        <f t="shared" si="589"/>
        <v>0</v>
      </c>
      <c r="V3775" s="6">
        <f t="shared" si="590"/>
        <v>0</v>
      </c>
      <c r="Y3775" s="8">
        <f t="shared" si="591"/>
        <v>46023</v>
      </c>
    </row>
    <row r="3776" spans="2:25" ht="18.75" x14ac:dyDescent="0.3">
      <c r="B3776" s="6">
        <f t="shared" si="583"/>
        <v>0</v>
      </c>
      <c r="C3776" s="6">
        <f t="shared" si="584"/>
        <v>0</v>
      </c>
      <c r="D3776" s="6" t="str">
        <f t="shared" si="585"/>
        <v/>
      </c>
      <c r="E3776" s="35" t="str">
        <f t="shared" si="582"/>
        <v/>
      </c>
      <c r="F3776" s="31"/>
      <c r="G3776" s="29"/>
      <c r="H3776" s="78" t="str">
        <f t="shared" si="586"/>
        <v/>
      </c>
      <c r="I3776" s="25"/>
      <c r="J3776" s="25"/>
      <c r="K3776" s="26"/>
      <c r="L3776" s="26"/>
      <c r="M3776" s="37"/>
      <c r="N3776" s="27"/>
      <c r="O3776" s="30"/>
      <c r="P3776" s="39" t="str">
        <f t="shared" si="587"/>
        <v/>
      </c>
      <c r="Q3776" s="40" t="str">
        <f>IF(OR(T3776=0,RIGHT(T3776,1)=$W$1),"",COUNTIF($T$3:T3776,T3776))</f>
        <v/>
      </c>
      <c r="S3776" s="6">
        <f t="shared" si="588"/>
        <v>0</v>
      </c>
      <c r="T3776" s="36">
        <f t="shared" si="589"/>
        <v>0</v>
      </c>
      <c r="V3776" s="6">
        <f t="shared" si="590"/>
        <v>0</v>
      </c>
      <c r="Y3776" s="8">
        <f t="shared" si="591"/>
        <v>46023</v>
      </c>
    </row>
    <row r="3777" spans="2:25" ht="18.75" x14ac:dyDescent="0.3">
      <c r="B3777" s="6">
        <f t="shared" si="583"/>
        <v>0</v>
      </c>
      <c r="C3777" s="6">
        <f t="shared" si="584"/>
        <v>0</v>
      </c>
      <c r="D3777" s="6" t="str">
        <f t="shared" si="585"/>
        <v/>
      </c>
      <c r="E3777" s="35" t="str">
        <f t="shared" si="582"/>
        <v/>
      </c>
      <c r="F3777" s="31"/>
      <c r="G3777" s="29"/>
      <c r="H3777" s="78" t="str">
        <f t="shared" si="586"/>
        <v/>
      </c>
      <c r="I3777" s="25"/>
      <c r="J3777" s="25"/>
      <c r="K3777" s="26"/>
      <c r="L3777" s="26"/>
      <c r="M3777" s="37"/>
      <c r="N3777" s="27"/>
      <c r="O3777" s="30"/>
      <c r="P3777" s="39" t="str">
        <f t="shared" si="587"/>
        <v/>
      </c>
      <c r="Q3777" s="40" t="str">
        <f>IF(OR(T3777=0,RIGHT(T3777,1)=$W$1),"",COUNTIF($T$3:T3777,T3777))</f>
        <v/>
      </c>
      <c r="S3777" s="6">
        <f t="shared" si="588"/>
        <v>0</v>
      </c>
      <c r="T3777" s="36">
        <f t="shared" si="589"/>
        <v>0</v>
      </c>
      <c r="V3777" s="6">
        <f t="shared" si="590"/>
        <v>0</v>
      </c>
      <c r="Y3777" s="8">
        <f t="shared" si="591"/>
        <v>46023</v>
      </c>
    </row>
    <row r="3778" spans="2:25" ht="18.75" x14ac:dyDescent="0.3">
      <c r="B3778" s="6">
        <f t="shared" si="583"/>
        <v>0</v>
      </c>
      <c r="C3778" s="6">
        <f t="shared" si="584"/>
        <v>0</v>
      </c>
      <c r="D3778" s="6" t="str">
        <f t="shared" si="585"/>
        <v/>
      </c>
      <c r="E3778" s="35" t="str">
        <f t="shared" si="582"/>
        <v/>
      </c>
      <c r="F3778" s="31"/>
      <c r="G3778" s="29"/>
      <c r="H3778" s="78" t="str">
        <f t="shared" si="586"/>
        <v/>
      </c>
      <c r="I3778" s="25"/>
      <c r="J3778" s="25"/>
      <c r="K3778" s="26"/>
      <c r="L3778" s="26"/>
      <c r="M3778" s="37"/>
      <c r="N3778" s="27"/>
      <c r="O3778" s="30"/>
      <c r="P3778" s="39" t="str">
        <f t="shared" si="587"/>
        <v/>
      </c>
      <c r="Q3778" s="40" t="str">
        <f>IF(OR(T3778=0,RIGHT(T3778,1)=$W$1),"",COUNTIF($T$3:T3778,T3778))</f>
        <v/>
      </c>
      <c r="S3778" s="6">
        <f t="shared" si="588"/>
        <v>0</v>
      </c>
      <c r="T3778" s="36">
        <f t="shared" si="589"/>
        <v>0</v>
      </c>
      <c r="V3778" s="6">
        <f t="shared" si="590"/>
        <v>0</v>
      </c>
      <c r="Y3778" s="8">
        <f t="shared" si="591"/>
        <v>46023</v>
      </c>
    </row>
    <row r="3779" spans="2:25" ht="18.75" x14ac:dyDescent="0.3">
      <c r="B3779" s="6">
        <f t="shared" si="583"/>
        <v>0</v>
      </c>
      <c r="C3779" s="6">
        <f t="shared" si="584"/>
        <v>0</v>
      </c>
      <c r="D3779" s="6" t="str">
        <f t="shared" si="585"/>
        <v/>
      </c>
      <c r="E3779" s="35" t="str">
        <f t="shared" ref="E3779:E3842" si="592">IF(D3779&lt;&gt;"",D3779&amp;" - "&amp;YEAR(F3779),"")</f>
        <v/>
      </c>
      <c r="F3779" s="31"/>
      <c r="G3779" s="29"/>
      <c r="H3779" s="78" t="str">
        <f t="shared" si="586"/>
        <v/>
      </c>
      <c r="I3779" s="25"/>
      <c r="J3779" s="25"/>
      <c r="K3779" s="26"/>
      <c r="L3779" s="26"/>
      <c r="M3779" s="37"/>
      <c r="N3779" s="27"/>
      <c r="O3779" s="30"/>
      <c r="P3779" s="39" t="str">
        <f t="shared" si="587"/>
        <v/>
      </c>
      <c r="Q3779" s="40" t="str">
        <f>IF(OR(T3779=0,RIGHT(T3779,1)=$W$1),"",COUNTIF($T$3:T3779,T3779))</f>
        <v/>
      </c>
      <c r="S3779" s="6">
        <f t="shared" si="588"/>
        <v>0</v>
      </c>
      <c r="T3779" s="36">
        <f t="shared" si="589"/>
        <v>0</v>
      </c>
      <c r="V3779" s="6">
        <f t="shared" si="590"/>
        <v>0</v>
      </c>
      <c r="Y3779" s="8">
        <f t="shared" si="591"/>
        <v>46023</v>
      </c>
    </row>
    <row r="3780" spans="2:25" ht="18.75" x14ac:dyDescent="0.3">
      <c r="B3780" s="6">
        <f t="shared" ref="B3780:B3843" si="593">IF($B$1=YEAR(F3780),B3779+1,B3779)</f>
        <v>0</v>
      </c>
      <c r="C3780" s="6">
        <f t="shared" ref="C3780:C3843" si="594">IF(AND($C$1=K3780,$Y$1=YEAR(F3780)),C3779+1,C3779)</f>
        <v>0</v>
      </c>
      <c r="D3780" s="6" t="str">
        <f t="shared" ref="D3780:D3843" si="595">IF(F3780&lt;&gt;0,IF(YEAR(F3780)&lt;&gt;YEAR(F3779),1,IF(M3780=$AI$1,D3779,D3779+1)),"")</f>
        <v/>
      </c>
      <c r="E3780" s="35" t="str">
        <f t="shared" si="592"/>
        <v/>
      </c>
      <c r="F3780" s="31"/>
      <c r="G3780" s="29"/>
      <c r="H3780" s="78" t="str">
        <f t="shared" ref="H3780:H3843" si="596">IF(G3780&lt;&gt;"",F3780,"")</f>
        <v/>
      </c>
      <c r="I3780" s="25"/>
      <c r="J3780" s="25"/>
      <c r="K3780" s="26"/>
      <c r="L3780" s="26"/>
      <c r="M3780" s="37"/>
      <c r="N3780" s="27"/>
      <c r="O3780" s="30"/>
      <c r="P3780" s="39" t="str">
        <f t="shared" ref="P3780:P3843" si="597">IF(OR(T3780=0,RIGHT(T3780,1)=$W$1),"",VLOOKUP(K3780,$AD$1:$AK$15,5,FALSE))</f>
        <v/>
      </c>
      <c r="Q3780" s="40" t="str">
        <f>IF(OR(T3780=0,RIGHT(T3780,1)=$W$1),"",COUNTIF($T$3:T3780,T3780))</f>
        <v/>
      </c>
      <c r="S3780" s="6">
        <f t="shared" ref="S3780:S3843" si="598">IF(AND($C$1=K3780,$Y$1=YEAR(F3780)),C3780,0)</f>
        <v>0</v>
      </c>
      <c r="T3780" s="36">
        <f t="shared" ref="T3780:T3843" si="599">IF(F3780=0,0,YEAR(F3780)&amp;VLOOKUP(K3780,$AD$1:$AE$15,2,FALSE))</f>
        <v>0</v>
      </c>
      <c r="V3780" s="6">
        <f t="shared" ref="V3780:V3843" si="600">IF(AND(YEAR(F3780)=$Y$1,K3780=$C$1,L3780&amp;$V$1&lt;&gt;$V$1),L3780,IF(AND(YEAR(F3780)=$Y$1,K3780=$C$1),1,0))</f>
        <v>0</v>
      </c>
      <c r="Y3780" s="8">
        <f t="shared" ref="Y3780:Y3843" si="601">IF(M3780&lt;&gt;$AI$1,$Y$2,F3779)</f>
        <v>46023</v>
      </c>
    </row>
    <row r="3781" spans="2:25" ht="18.75" x14ac:dyDescent="0.3">
      <c r="B3781" s="6">
        <f t="shared" si="593"/>
        <v>0</v>
      </c>
      <c r="C3781" s="6">
        <f t="shared" si="594"/>
        <v>0</v>
      </c>
      <c r="D3781" s="6" t="str">
        <f t="shared" si="595"/>
        <v/>
      </c>
      <c r="E3781" s="35" t="str">
        <f t="shared" si="592"/>
        <v/>
      </c>
      <c r="F3781" s="31"/>
      <c r="G3781" s="29"/>
      <c r="H3781" s="78" t="str">
        <f t="shared" si="596"/>
        <v/>
      </c>
      <c r="I3781" s="25"/>
      <c r="J3781" s="25"/>
      <c r="K3781" s="26"/>
      <c r="L3781" s="26"/>
      <c r="M3781" s="37"/>
      <c r="N3781" s="27"/>
      <c r="O3781" s="30"/>
      <c r="P3781" s="39" t="str">
        <f t="shared" si="597"/>
        <v/>
      </c>
      <c r="Q3781" s="40" t="str">
        <f>IF(OR(T3781=0,RIGHT(T3781,1)=$W$1),"",COUNTIF($T$3:T3781,T3781))</f>
        <v/>
      </c>
      <c r="S3781" s="6">
        <f t="shared" si="598"/>
        <v>0</v>
      </c>
      <c r="T3781" s="36">
        <f t="shared" si="599"/>
        <v>0</v>
      </c>
      <c r="V3781" s="6">
        <f t="shared" si="600"/>
        <v>0</v>
      </c>
      <c r="Y3781" s="8">
        <f t="shared" si="601"/>
        <v>46023</v>
      </c>
    </row>
    <row r="3782" spans="2:25" ht="18.75" x14ac:dyDescent="0.3">
      <c r="B3782" s="6">
        <f t="shared" si="593"/>
        <v>0</v>
      </c>
      <c r="C3782" s="6">
        <f t="shared" si="594"/>
        <v>0</v>
      </c>
      <c r="D3782" s="6" t="str">
        <f t="shared" si="595"/>
        <v/>
      </c>
      <c r="E3782" s="35" t="str">
        <f t="shared" si="592"/>
        <v/>
      </c>
      <c r="F3782" s="31"/>
      <c r="G3782" s="29"/>
      <c r="H3782" s="78" t="str">
        <f t="shared" si="596"/>
        <v/>
      </c>
      <c r="I3782" s="25"/>
      <c r="J3782" s="25"/>
      <c r="K3782" s="26"/>
      <c r="L3782" s="26"/>
      <c r="M3782" s="37"/>
      <c r="N3782" s="27"/>
      <c r="O3782" s="30"/>
      <c r="P3782" s="39" t="str">
        <f t="shared" si="597"/>
        <v/>
      </c>
      <c r="Q3782" s="40" t="str">
        <f>IF(OR(T3782=0,RIGHT(T3782,1)=$W$1),"",COUNTIF($T$3:T3782,T3782))</f>
        <v/>
      </c>
      <c r="S3782" s="6">
        <f t="shared" si="598"/>
        <v>0</v>
      </c>
      <c r="T3782" s="36">
        <f t="shared" si="599"/>
        <v>0</v>
      </c>
      <c r="V3782" s="6">
        <f t="shared" si="600"/>
        <v>0</v>
      </c>
      <c r="Y3782" s="8">
        <f t="shared" si="601"/>
        <v>46023</v>
      </c>
    </row>
    <row r="3783" spans="2:25" ht="18.75" x14ac:dyDescent="0.3">
      <c r="B3783" s="6">
        <f t="shared" si="593"/>
        <v>0</v>
      </c>
      <c r="C3783" s="6">
        <f t="shared" si="594"/>
        <v>0</v>
      </c>
      <c r="D3783" s="6" t="str">
        <f t="shared" si="595"/>
        <v/>
      </c>
      <c r="E3783" s="35" t="str">
        <f t="shared" si="592"/>
        <v/>
      </c>
      <c r="F3783" s="31"/>
      <c r="G3783" s="29"/>
      <c r="H3783" s="78" t="str">
        <f t="shared" si="596"/>
        <v/>
      </c>
      <c r="I3783" s="25"/>
      <c r="J3783" s="25"/>
      <c r="K3783" s="26"/>
      <c r="L3783" s="26"/>
      <c r="M3783" s="37"/>
      <c r="N3783" s="27"/>
      <c r="O3783" s="30"/>
      <c r="P3783" s="39" t="str">
        <f t="shared" si="597"/>
        <v/>
      </c>
      <c r="Q3783" s="40" t="str">
        <f>IF(OR(T3783=0,RIGHT(T3783,1)=$W$1),"",COUNTIF($T$3:T3783,T3783))</f>
        <v/>
      </c>
      <c r="S3783" s="6">
        <f t="shared" si="598"/>
        <v>0</v>
      </c>
      <c r="T3783" s="36">
        <f t="shared" si="599"/>
        <v>0</v>
      </c>
      <c r="V3783" s="6">
        <f t="shared" si="600"/>
        <v>0</v>
      </c>
      <c r="Y3783" s="8">
        <f t="shared" si="601"/>
        <v>46023</v>
      </c>
    </row>
    <row r="3784" spans="2:25" ht="18.75" x14ac:dyDescent="0.3">
      <c r="B3784" s="6">
        <f t="shared" si="593"/>
        <v>0</v>
      </c>
      <c r="C3784" s="6">
        <f t="shared" si="594"/>
        <v>0</v>
      </c>
      <c r="D3784" s="6" t="str">
        <f t="shared" si="595"/>
        <v/>
      </c>
      <c r="E3784" s="35" t="str">
        <f t="shared" si="592"/>
        <v/>
      </c>
      <c r="F3784" s="31"/>
      <c r="G3784" s="29"/>
      <c r="H3784" s="78" t="str">
        <f t="shared" si="596"/>
        <v/>
      </c>
      <c r="I3784" s="25"/>
      <c r="J3784" s="25"/>
      <c r="K3784" s="26"/>
      <c r="L3784" s="26"/>
      <c r="M3784" s="37"/>
      <c r="N3784" s="27"/>
      <c r="O3784" s="30"/>
      <c r="P3784" s="39" t="str">
        <f t="shared" si="597"/>
        <v/>
      </c>
      <c r="Q3784" s="40" t="str">
        <f>IF(OR(T3784=0,RIGHT(T3784,1)=$W$1),"",COUNTIF($T$3:T3784,T3784))</f>
        <v/>
      </c>
      <c r="S3784" s="6">
        <f t="shared" si="598"/>
        <v>0</v>
      </c>
      <c r="T3784" s="36">
        <f t="shared" si="599"/>
        <v>0</v>
      </c>
      <c r="V3784" s="6">
        <f t="shared" si="600"/>
        <v>0</v>
      </c>
      <c r="Y3784" s="8">
        <f t="shared" si="601"/>
        <v>46023</v>
      </c>
    </row>
    <row r="3785" spans="2:25" ht="18.75" x14ac:dyDescent="0.3">
      <c r="B3785" s="6">
        <f t="shared" si="593"/>
        <v>0</v>
      </c>
      <c r="C3785" s="6">
        <f t="shared" si="594"/>
        <v>0</v>
      </c>
      <c r="D3785" s="6" t="str">
        <f t="shared" si="595"/>
        <v/>
      </c>
      <c r="E3785" s="35" t="str">
        <f t="shared" si="592"/>
        <v/>
      </c>
      <c r="F3785" s="31"/>
      <c r="G3785" s="29"/>
      <c r="H3785" s="78" t="str">
        <f t="shared" si="596"/>
        <v/>
      </c>
      <c r="I3785" s="25"/>
      <c r="J3785" s="25"/>
      <c r="K3785" s="26"/>
      <c r="L3785" s="26"/>
      <c r="M3785" s="37"/>
      <c r="N3785" s="27"/>
      <c r="O3785" s="30"/>
      <c r="P3785" s="39" t="str">
        <f t="shared" si="597"/>
        <v/>
      </c>
      <c r="Q3785" s="40" t="str">
        <f>IF(OR(T3785=0,RIGHT(T3785,1)=$W$1),"",COUNTIF($T$3:T3785,T3785))</f>
        <v/>
      </c>
      <c r="S3785" s="6">
        <f t="shared" si="598"/>
        <v>0</v>
      </c>
      <c r="T3785" s="36">
        <f t="shared" si="599"/>
        <v>0</v>
      </c>
      <c r="V3785" s="6">
        <f t="shared" si="600"/>
        <v>0</v>
      </c>
      <c r="Y3785" s="8">
        <f t="shared" si="601"/>
        <v>46023</v>
      </c>
    </row>
    <row r="3786" spans="2:25" ht="18.75" x14ac:dyDescent="0.3">
      <c r="B3786" s="6">
        <f t="shared" si="593"/>
        <v>0</v>
      </c>
      <c r="C3786" s="6">
        <f t="shared" si="594"/>
        <v>0</v>
      </c>
      <c r="D3786" s="6" t="str">
        <f t="shared" si="595"/>
        <v/>
      </c>
      <c r="E3786" s="35" t="str">
        <f t="shared" si="592"/>
        <v/>
      </c>
      <c r="F3786" s="31"/>
      <c r="G3786" s="29"/>
      <c r="H3786" s="78" t="str">
        <f t="shared" si="596"/>
        <v/>
      </c>
      <c r="I3786" s="25"/>
      <c r="J3786" s="25"/>
      <c r="K3786" s="26"/>
      <c r="L3786" s="26"/>
      <c r="M3786" s="37"/>
      <c r="N3786" s="27"/>
      <c r="O3786" s="30"/>
      <c r="P3786" s="39" t="str">
        <f t="shared" si="597"/>
        <v/>
      </c>
      <c r="Q3786" s="40" t="str">
        <f>IF(OR(T3786=0,RIGHT(T3786,1)=$W$1),"",COUNTIF($T$3:T3786,T3786))</f>
        <v/>
      </c>
      <c r="S3786" s="6">
        <f t="shared" si="598"/>
        <v>0</v>
      </c>
      <c r="T3786" s="36">
        <f t="shared" si="599"/>
        <v>0</v>
      </c>
      <c r="V3786" s="6">
        <f t="shared" si="600"/>
        <v>0</v>
      </c>
      <c r="Y3786" s="8">
        <f t="shared" si="601"/>
        <v>46023</v>
      </c>
    </row>
    <row r="3787" spans="2:25" ht="18.75" x14ac:dyDescent="0.3">
      <c r="B3787" s="6">
        <f t="shared" si="593"/>
        <v>0</v>
      </c>
      <c r="C3787" s="6">
        <f t="shared" si="594"/>
        <v>0</v>
      </c>
      <c r="D3787" s="6" t="str">
        <f t="shared" si="595"/>
        <v/>
      </c>
      <c r="E3787" s="35" t="str">
        <f t="shared" si="592"/>
        <v/>
      </c>
      <c r="F3787" s="31"/>
      <c r="G3787" s="29"/>
      <c r="H3787" s="78" t="str">
        <f t="shared" si="596"/>
        <v/>
      </c>
      <c r="I3787" s="25"/>
      <c r="J3787" s="25"/>
      <c r="K3787" s="26"/>
      <c r="L3787" s="26"/>
      <c r="M3787" s="37"/>
      <c r="N3787" s="27"/>
      <c r="O3787" s="30"/>
      <c r="P3787" s="39" t="str">
        <f t="shared" si="597"/>
        <v/>
      </c>
      <c r="Q3787" s="40" t="str">
        <f>IF(OR(T3787=0,RIGHT(T3787,1)=$W$1),"",COUNTIF($T$3:T3787,T3787))</f>
        <v/>
      </c>
      <c r="S3787" s="6">
        <f t="shared" si="598"/>
        <v>0</v>
      </c>
      <c r="T3787" s="36">
        <f t="shared" si="599"/>
        <v>0</v>
      </c>
      <c r="V3787" s="6">
        <f t="shared" si="600"/>
        <v>0</v>
      </c>
      <c r="Y3787" s="8">
        <f t="shared" si="601"/>
        <v>46023</v>
      </c>
    </row>
    <row r="3788" spans="2:25" ht="18.75" x14ac:dyDescent="0.3">
      <c r="B3788" s="6">
        <f t="shared" si="593"/>
        <v>0</v>
      </c>
      <c r="C3788" s="6">
        <f t="shared" si="594"/>
        <v>0</v>
      </c>
      <c r="D3788" s="6" t="str">
        <f t="shared" si="595"/>
        <v/>
      </c>
      <c r="E3788" s="35" t="str">
        <f t="shared" si="592"/>
        <v/>
      </c>
      <c r="F3788" s="31"/>
      <c r="G3788" s="29"/>
      <c r="H3788" s="78" t="str">
        <f t="shared" si="596"/>
        <v/>
      </c>
      <c r="I3788" s="25"/>
      <c r="J3788" s="25"/>
      <c r="K3788" s="26"/>
      <c r="L3788" s="26"/>
      <c r="M3788" s="37"/>
      <c r="N3788" s="27"/>
      <c r="O3788" s="30"/>
      <c r="P3788" s="39" t="str">
        <f t="shared" si="597"/>
        <v/>
      </c>
      <c r="Q3788" s="40" t="str">
        <f>IF(OR(T3788=0,RIGHT(T3788,1)=$W$1),"",COUNTIF($T$3:T3788,T3788))</f>
        <v/>
      </c>
      <c r="S3788" s="6">
        <f t="shared" si="598"/>
        <v>0</v>
      </c>
      <c r="T3788" s="36">
        <f t="shared" si="599"/>
        <v>0</v>
      </c>
      <c r="V3788" s="6">
        <f t="shared" si="600"/>
        <v>0</v>
      </c>
      <c r="Y3788" s="8">
        <f t="shared" si="601"/>
        <v>46023</v>
      </c>
    </row>
    <row r="3789" spans="2:25" ht="18.75" x14ac:dyDescent="0.3">
      <c r="B3789" s="6">
        <f t="shared" si="593"/>
        <v>0</v>
      </c>
      <c r="C3789" s="6">
        <f t="shared" si="594"/>
        <v>0</v>
      </c>
      <c r="D3789" s="6" t="str">
        <f t="shared" si="595"/>
        <v/>
      </c>
      <c r="E3789" s="35" t="str">
        <f t="shared" si="592"/>
        <v/>
      </c>
      <c r="F3789" s="31"/>
      <c r="G3789" s="29"/>
      <c r="H3789" s="78" t="str">
        <f t="shared" si="596"/>
        <v/>
      </c>
      <c r="I3789" s="25"/>
      <c r="J3789" s="25"/>
      <c r="K3789" s="26"/>
      <c r="L3789" s="26"/>
      <c r="M3789" s="37"/>
      <c r="N3789" s="27"/>
      <c r="O3789" s="30"/>
      <c r="P3789" s="39" t="str">
        <f t="shared" si="597"/>
        <v/>
      </c>
      <c r="Q3789" s="40" t="str">
        <f>IF(OR(T3789=0,RIGHT(T3789,1)=$W$1),"",COUNTIF($T$3:T3789,T3789))</f>
        <v/>
      </c>
      <c r="S3789" s="6">
        <f t="shared" si="598"/>
        <v>0</v>
      </c>
      <c r="T3789" s="36">
        <f t="shared" si="599"/>
        <v>0</v>
      </c>
      <c r="V3789" s="6">
        <f t="shared" si="600"/>
        <v>0</v>
      </c>
      <c r="Y3789" s="8">
        <f t="shared" si="601"/>
        <v>46023</v>
      </c>
    </row>
    <row r="3790" spans="2:25" ht="18.75" x14ac:dyDescent="0.3">
      <c r="B3790" s="6">
        <f t="shared" si="593"/>
        <v>0</v>
      </c>
      <c r="C3790" s="6">
        <f t="shared" si="594"/>
        <v>0</v>
      </c>
      <c r="D3790" s="6" t="str">
        <f t="shared" si="595"/>
        <v/>
      </c>
      <c r="E3790" s="35" t="str">
        <f t="shared" si="592"/>
        <v/>
      </c>
      <c r="F3790" s="31"/>
      <c r="G3790" s="29"/>
      <c r="H3790" s="78" t="str">
        <f t="shared" si="596"/>
        <v/>
      </c>
      <c r="I3790" s="25"/>
      <c r="J3790" s="25"/>
      <c r="K3790" s="26"/>
      <c r="L3790" s="26"/>
      <c r="M3790" s="37"/>
      <c r="N3790" s="27"/>
      <c r="O3790" s="30"/>
      <c r="P3790" s="39" t="str">
        <f t="shared" si="597"/>
        <v/>
      </c>
      <c r="Q3790" s="40" t="str">
        <f>IF(OR(T3790=0,RIGHT(T3790,1)=$W$1),"",COUNTIF($T$3:T3790,T3790))</f>
        <v/>
      </c>
      <c r="S3790" s="6">
        <f t="shared" si="598"/>
        <v>0</v>
      </c>
      <c r="T3790" s="36">
        <f t="shared" si="599"/>
        <v>0</v>
      </c>
      <c r="V3790" s="6">
        <f t="shared" si="600"/>
        <v>0</v>
      </c>
      <c r="Y3790" s="8">
        <f t="shared" si="601"/>
        <v>46023</v>
      </c>
    </row>
    <row r="3791" spans="2:25" ht="18.75" x14ac:dyDescent="0.3">
      <c r="B3791" s="6">
        <f t="shared" si="593"/>
        <v>0</v>
      </c>
      <c r="C3791" s="6">
        <f t="shared" si="594"/>
        <v>0</v>
      </c>
      <c r="D3791" s="6" t="str">
        <f t="shared" si="595"/>
        <v/>
      </c>
      <c r="E3791" s="35" t="str">
        <f t="shared" si="592"/>
        <v/>
      </c>
      <c r="F3791" s="31"/>
      <c r="G3791" s="29"/>
      <c r="H3791" s="78" t="str">
        <f t="shared" si="596"/>
        <v/>
      </c>
      <c r="I3791" s="25"/>
      <c r="J3791" s="25"/>
      <c r="K3791" s="26"/>
      <c r="L3791" s="26"/>
      <c r="M3791" s="37"/>
      <c r="N3791" s="27"/>
      <c r="O3791" s="30"/>
      <c r="P3791" s="39" t="str">
        <f t="shared" si="597"/>
        <v/>
      </c>
      <c r="Q3791" s="40" t="str">
        <f>IF(OR(T3791=0,RIGHT(T3791,1)=$W$1),"",COUNTIF($T$3:T3791,T3791))</f>
        <v/>
      </c>
      <c r="S3791" s="6">
        <f t="shared" si="598"/>
        <v>0</v>
      </c>
      <c r="T3791" s="36">
        <f t="shared" si="599"/>
        <v>0</v>
      </c>
      <c r="V3791" s="6">
        <f t="shared" si="600"/>
        <v>0</v>
      </c>
      <c r="Y3791" s="8">
        <f t="shared" si="601"/>
        <v>46023</v>
      </c>
    </row>
    <row r="3792" spans="2:25" ht="18.75" x14ac:dyDescent="0.3">
      <c r="B3792" s="6">
        <f t="shared" si="593"/>
        <v>0</v>
      </c>
      <c r="C3792" s="6">
        <f t="shared" si="594"/>
        <v>0</v>
      </c>
      <c r="D3792" s="6" t="str">
        <f t="shared" si="595"/>
        <v/>
      </c>
      <c r="E3792" s="35" t="str">
        <f t="shared" si="592"/>
        <v/>
      </c>
      <c r="F3792" s="31"/>
      <c r="G3792" s="29"/>
      <c r="H3792" s="78" t="str">
        <f t="shared" si="596"/>
        <v/>
      </c>
      <c r="I3792" s="25"/>
      <c r="J3792" s="25"/>
      <c r="K3792" s="26"/>
      <c r="L3792" s="26"/>
      <c r="M3792" s="37"/>
      <c r="N3792" s="27"/>
      <c r="O3792" s="30"/>
      <c r="P3792" s="39" t="str">
        <f t="shared" si="597"/>
        <v/>
      </c>
      <c r="Q3792" s="40" t="str">
        <f>IF(OR(T3792=0,RIGHT(T3792,1)=$W$1),"",COUNTIF($T$3:T3792,T3792))</f>
        <v/>
      </c>
      <c r="S3792" s="6">
        <f t="shared" si="598"/>
        <v>0</v>
      </c>
      <c r="T3792" s="36">
        <f t="shared" si="599"/>
        <v>0</v>
      </c>
      <c r="V3792" s="6">
        <f t="shared" si="600"/>
        <v>0</v>
      </c>
      <c r="Y3792" s="8">
        <f t="shared" si="601"/>
        <v>46023</v>
      </c>
    </row>
    <row r="3793" spans="2:25" ht="18.75" x14ac:dyDescent="0.3">
      <c r="B3793" s="6">
        <f t="shared" si="593"/>
        <v>0</v>
      </c>
      <c r="C3793" s="6">
        <f t="shared" si="594"/>
        <v>0</v>
      </c>
      <c r="D3793" s="6" t="str">
        <f t="shared" si="595"/>
        <v/>
      </c>
      <c r="E3793" s="35" t="str">
        <f t="shared" si="592"/>
        <v/>
      </c>
      <c r="F3793" s="31"/>
      <c r="G3793" s="29"/>
      <c r="H3793" s="78" t="str">
        <f t="shared" si="596"/>
        <v/>
      </c>
      <c r="I3793" s="25"/>
      <c r="J3793" s="25"/>
      <c r="K3793" s="26"/>
      <c r="L3793" s="26"/>
      <c r="M3793" s="37"/>
      <c r="N3793" s="27"/>
      <c r="O3793" s="30"/>
      <c r="P3793" s="39" t="str">
        <f t="shared" si="597"/>
        <v/>
      </c>
      <c r="Q3793" s="40" t="str">
        <f>IF(OR(T3793=0,RIGHT(T3793,1)=$W$1),"",COUNTIF($T$3:T3793,T3793))</f>
        <v/>
      </c>
      <c r="S3793" s="6">
        <f t="shared" si="598"/>
        <v>0</v>
      </c>
      <c r="T3793" s="36">
        <f t="shared" si="599"/>
        <v>0</v>
      </c>
      <c r="V3793" s="6">
        <f t="shared" si="600"/>
        <v>0</v>
      </c>
      <c r="Y3793" s="8">
        <f t="shared" si="601"/>
        <v>46023</v>
      </c>
    </row>
    <row r="3794" spans="2:25" ht="18.75" x14ac:dyDescent="0.3">
      <c r="B3794" s="6">
        <f t="shared" si="593"/>
        <v>0</v>
      </c>
      <c r="C3794" s="6">
        <f t="shared" si="594"/>
        <v>0</v>
      </c>
      <c r="D3794" s="6" t="str">
        <f t="shared" si="595"/>
        <v/>
      </c>
      <c r="E3794" s="35" t="str">
        <f t="shared" si="592"/>
        <v/>
      </c>
      <c r="F3794" s="31"/>
      <c r="G3794" s="29"/>
      <c r="H3794" s="78" t="str">
        <f t="shared" si="596"/>
        <v/>
      </c>
      <c r="I3794" s="25"/>
      <c r="J3794" s="25"/>
      <c r="K3794" s="26"/>
      <c r="L3794" s="26"/>
      <c r="M3794" s="37"/>
      <c r="N3794" s="27"/>
      <c r="O3794" s="30"/>
      <c r="P3794" s="39" t="str">
        <f t="shared" si="597"/>
        <v/>
      </c>
      <c r="Q3794" s="40" t="str">
        <f>IF(OR(T3794=0,RIGHT(T3794,1)=$W$1),"",COUNTIF($T$3:T3794,T3794))</f>
        <v/>
      </c>
      <c r="S3794" s="6">
        <f t="shared" si="598"/>
        <v>0</v>
      </c>
      <c r="T3794" s="36">
        <f t="shared" si="599"/>
        <v>0</v>
      </c>
      <c r="V3794" s="6">
        <f t="shared" si="600"/>
        <v>0</v>
      </c>
      <c r="Y3794" s="8">
        <f t="shared" si="601"/>
        <v>46023</v>
      </c>
    </row>
    <row r="3795" spans="2:25" ht="18.75" x14ac:dyDescent="0.3">
      <c r="B3795" s="6">
        <f t="shared" si="593"/>
        <v>0</v>
      </c>
      <c r="C3795" s="6">
        <f t="shared" si="594"/>
        <v>0</v>
      </c>
      <c r="D3795" s="6" t="str">
        <f t="shared" si="595"/>
        <v/>
      </c>
      <c r="E3795" s="35" t="str">
        <f t="shared" si="592"/>
        <v/>
      </c>
      <c r="F3795" s="31"/>
      <c r="G3795" s="29"/>
      <c r="H3795" s="78" t="str">
        <f t="shared" si="596"/>
        <v/>
      </c>
      <c r="I3795" s="25"/>
      <c r="J3795" s="25"/>
      <c r="K3795" s="26"/>
      <c r="L3795" s="26"/>
      <c r="M3795" s="37"/>
      <c r="N3795" s="27"/>
      <c r="O3795" s="30"/>
      <c r="P3795" s="39" t="str">
        <f t="shared" si="597"/>
        <v/>
      </c>
      <c r="Q3795" s="40" t="str">
        <f>IF(OR(T3795=0,RIGHT(T3795,1)=$W$1),"",COUNTIF($T$3:T3795,T3795))</f>
        <v/>
      </c>
      <c r="S3795" s="6">
        <f t="shared" si="598"/>
        <v>0</v>
      </c>
      <c r="T3795" s="36">
        <f t="shared" si="599"/>
        <v>0</v>
      </c>
      <c r="V3795" s="6">
        <f t="shared" si="600"/>
        <v>0</v>
      </c>
      <c r="Y3795" s="8">
        <f t="shared" si="601"/>
        <v>46023</v>
      </c>
    </row>
    <row r="3796" spans="2:25" ht="18.75" x14ac:dyDescent="0.3">
      <c r="B3796" s="6">
        <f t="shared" si="593"/>
        <v>0</v>
      </c>
      <c r="C3796" s="6">
        <f t="shared" si="594"/>
        <v>0</v>
      </c>
      <c r="D3796" s="6" t="str">
        <f t="shared" si="595"/>
        <v/>
      </c>
      <c r="E3796" s="35" t="str">
        <f t="shared" si="592"/>
        <v/>
      </c>
      <c r="F3796" s="31"/>
      <c r="G3796" s="29"/>
      <c r="H3796" s="78" t="str">
        <f t="shared" si="596"/>
        <v/>
      </c>
      <c r="I3796" s="25"/>
      <c r="J3796" s="25"/>
      <c r="K3796" s="26"/>
      <c r="L3796" s="26"/>
      <c r="M3796" s="37"/>
      <c r="N3796" s="27"/>
      <c r="O3796" s="30"/>
      <c r="P3796" s="39" t="str">
        <f t="shared" si="597"/>
        <v/>
      </c>
      <c r="Q3796" s="40" t="str">
        <f>IF(OR(T3796=0,RIGHT(T3796,1)=$W$1),"",COUNTIF($T$3:T3796,T3796))</f>
        <v/>
      </c>
      <c r="S3796" s="6">
        <f t="shared" si="598"/>
        <v>0</v>
      </c>
      <c r="T3796" s="36">
        <f t="shared" si="599"/>
        <v>0</v>
      </c>
      <c r="V3796" s="6">
        <f t="shared" si="600"/>
        <v>0</v>
      </c>
      <c r="Y3796" s="8">
        <f t="shared" si="601"/>
        <v>46023</v>
      </c>
    </row>
    <row r="3797" spans="2:25" ht="18.75" x14ac:dyDescent="0.3">
      <c r="B3797" s="6">
        <f t="shared" si="593"/>
        <v>0</v>
      </c>
      <c r="C3797" s="6">
        <f t="shared" si="594"/>
        <v>0</v>
      </c>
      <c r="D3797" s="6" t="str">
        <f t="shared" si="595"/>
        <v/>
      </c>
      <c r="E3797" s="35" t="str">
        <f t="shared" si="592"/>
        <v/>
      </c>
      <c r="F3797" s="31"/>
      <c r="G3797" s="29"/>
      <c r="H3797" s="78" t="str">
        <f t="shared" si="596"/>
        <v/>
      </c>
      <c r="I3797" s="25"/>
      <c r="J3797" s="25"/>
      <c r="K3797" s="26"/>
      <c r="L3797" s="26"/>
      <c r="M3797" s="37"/>
      <c r="N3797" s="27"/>
      <c r="O3797" s="30"/>
      <c r="P3797" s="39" t="str">
        <f t="shared" si="597"/>
        <v/>
      </c>
      <c r="Q3797" s="40" t="str">
        <f>IF(OR(T3797=0,RIGHT(T3797,1)=$W$1),"",COUNTIF($T$3:T3797,T3797))</f>
        <v/>
      </c>
      <c r="S3797" s="6">
        <f t="shared" si="598"/>
        <v>0</v>
      </c>
      <c r="T3797" s="36">
        <f t="shared" si="599"/>
        <v>0</v>
      </c>
      <c r="V3797" s="6">
        <f t="shared" si="600"/>
        <v>0</v>
      </c>
      <c r="Y3797" s="8">
        <f t="shared" si="601"/>
        <v>46023</v>
      </c>
    </row>
    <row r="3798" spans="2:25" ht="18.75" x14ac:dyDescent="0.3">
      <c r="B3798" s="6">
        <f t="shared" si="593"/>
        <v>0</v>
      </c>
      <c r="C3798" s="6">
        <f t="shared" si="594"/>
        <v>0</v>
      </c>
      <c r="D3798" s="6" t="str">
        <f t="shared" si="595"/>
        <v/>
      </c>
      <c r="E3798" s="35" t="str">
        <f t="shared" si="592"/>
        <v/>
      </c>
      <c r="F3798" s="31"/>
      <c r="G3798" s="29"/>
      <c r="H3798" s="78" t="str">
        <f t="shared" si="596"/>
        <v/>
      </c>
      <c r="I3798" s="25"/>
      <c r="J3798" s="25"/>
      <c r="K3798" s="26"/>
      <c r="L3798" s="26"/>
      <c r="M3798" s="37"/>
      <c r="N3798" s="27"/>
      <c r="O3798" s="30"/>
      <c r="P3798" s="39" t="str">
        <f t="shared" si="597"/>
        <v/>
      </c>
      <c r="Q3798" s="40" t="str">
        <f>IF(OR(T3798=0,RIGHT(T3798,1)=$W$1),"",COUNTIF($T$3:T3798,T3798))</f>
        <v/>
      </c>
      <c r="S3798" s="6">
        <f t="shared" si="598"/>
        <v>0</v>
      </c>
      <c r="T3798" s="36">
        <f t="shared" si="599"/>
        <v>0</v>
      </c>
      <c r="V3798" s="6">
        <f t="shared" si="600"/>
        <v>0</v>
      </c>
      <c r="Y3798" s="8">
        <f t="shared" si="601"/>
        <v>46023</v>
      </c>
    </row>
    <row r="3799" spans="2:25" ht="18.75" x14ac:dyDescent="0.3">
      <c r="B3799" s="6">
        <f t="shared" si="593"/>
        <v>0</v>
      </c>
      <c r="C3799" s="6">
        <f t="shared" si="594"/>
        <v>0</v>
      </c>
      <c r="D3799" s="6" t="str">
        <f t="shared" si="595"/>
        <v/>
      </c>
      <c r="E3799" s="35" t="str">
        <f t="shared" si="592"/>
        <v/>
      </c>
      <c r="F3799" s="31"/>
      <c r="G3799" s="29"/>
      <c r="H3799" s="78" t="str">
        <f t="shared" si="596"/>
        <v/>
      </c>
      <c r="I3799" s="25"/>
      <c r="J3799" s="25"/>
      <c r="K3799" s="26"/>
      <c r="L3799" s="26"/>
      <c r="M3799" s="37"/>
      <c r="N3799" s="27"/>
      <c r="O3799" s="30"/>
      <c r="P3799" s="39" t="str">
        <f t="shared" si="597"/>
        <v/>
      </c>
      <c r="Q3799" s="40" t="str">
        <f>IF(OR(T3799=0,RIGHT(T3799,1)=$W$1),"",COUNTIF($T$3:T3799,T3799))</f>
        <v/>
      </c>
      <c r="S3799" s="6">
        <f t="shared" si="598"/>
        <v>0</v>
      </c>
      <c r="T3799" s="36">
        <f t="shared" si="599"/>
        <v>0</v>
      </c>
      <c r="V3799" s="6">
        <f t="shared" si="600"/>
        <v>0</v>
      </c>
      <c r="Y3799" s="8">
        <f t="shared" si="601"/>
        <v>46023</v>
      </c>
    </row>
    <row r="3800" spans="2:25" ht="18.75" x14ac:dyDescent="0.3">
      <c r="B3800" s="6">
        <f t="shared" si="593"/>
        <v>0</v>
      </c>
      <c r="C3800" s="6">
        <f t="shared" si="594"/>
        <v>0</v>
      </c>
      <c r="D3800" s="6" t="str">
        <f t="shared" si="595"/>
        <v/>
      </c>
      <c r="E3800" s="35" t="str">
        <f t="shared" si="592"/>
        <v/>
      </c>
      <c r="F3800" s="31"/>
      <c r="G3800" s="29"/>
      <c r="H3800" s="78" t="str">
        <f t="shared" si="596"/>
        <v/>
      </c>
      <c r="I3800" s="25"/>
      <c r="J3800" s="25"/>
      <c r="K3800" s="26"/>
      <c r="L3800" s="26"/>
      <c r="M3800" s="37"/>
      <c r="N3800" s="27"/>
      <c r="O3800" s="30"/>
      <c r="P3800" s="39" t="str">
        <f t="shared" si="597"/>
        <v/>
      </c>
      <c r="Q3800" s="40" t="str">
        <f>IF(OR(T3800=0,RIGHT(T3800,1)=$W$1),"",COUNTIF($T$3:T3800,T3800))</f>
        <v/>
      </c>
      <c r="S3800" s="6">
        <f t="shared" si="598"/>
        <v>0</v>
      </c>
      <c r="T3800" s="36">
        <f t="shared" si="599"/>
        <v>0</v>
      </c>
      <c r="V3800" s="6">
        <f t="shared" si="600"/>
        <v>0</v>
      </c>
      <c r="Y3800" s="8">
        <f t="shared" si="601"/>
        <v>46023</v>
      </c>
    </row>
    <row r="3801" spans="2:25" ht="18.75" x14ac:dyDescent="0.3">
      <c r="B3801" s="6">
        <f t="shared" si="593"/>
        <v>0</v>
      </c>
      <c r="C3801" s="6">
        <f t="shared" si="594"/>
        <v>0</v>
      </c>
      <c r="D3801" s="6" t="str">
        <f t="shared" si="595"/>
        <v/>
      </c>
      <c r="E3801" s="35" t="str">
        <f t="shared" si="592"/>
        <v/>
      </c>
      <c r="F3801" s="31"/>
      <c r="G3801" s="29"/>
      <c r="H3801" s="78" t="str">
        <f t="shared" si="596"/>
        <v/>
      </c>
      <c r="I3801" s="25"/>
      <c r="J3801" s="25"/>
      <c r="K3801" s="26"/>
      <c r="L3801" s="26"/>
      <c r="M3801" s="37"/>
      <c r="N3801" s="27"/>
      <c r="O3801" s="30"/>
      <c r="P3801" s="39" t="str">
        <f t="shared" si="597"/>
        <v/>
      </c>
      <c r="Q3801" s="40" t="str">
        <f>IF(OR(T3801=0,RIGHT(T3801,1)=$W$1),"",COUNTIF($T$3:T3801,T3801))</f>
        <v/>
      </c>
      <c r="S3801" s="6">
        <f t="shared" si="598"/>
        <v>0</v>
      </c>
      <c r="T3801" s="36">
        <f t="shared" si="599"/>
        <v>0</v>
      </c>
      <c r="V3801" s="6">
        <f t="shared" si="600"/>
        <v>0</v>
      </c>
      <c r="Y3801" s="8">
        <f t="shared" si="601"/>
        <v>46023</v>
      </c>
    </row>
    <row r="3802" spans="2:25" ht="18.75" x14ac:dyDescent="0.3">
      <c r="B3802" s="6">
        <f t="shared" si="593"/>
        <v>0</v>
      </c>
      <c r="C3802" s="6">
        <f t="shared" si="594"/>
        <v>0</v>
      </c>
      <c r="D3802" s="6" t="str">
        <f t="shared" si="595"/>
        <v/>
      </c>
      <c r="E3802" s="35" t="str">
        <f t="shared" si="592"/>
        <v/>
      </c>
      <c r="F3802" s="31"/>
      <c r="G3802" s="29"/>
      <c r="H3802" s="78" t="str">
        <f t="shared" si="596"/>
        <v/>
      </c>
      <c r="I3802" s="25"/>
      <c r="J3802" s="25"/>
      <c r="K3802" s="26"/>
      <c r="L3802" s="26"/>
      <c r="M3802" s="37"/>
      <c r="N3802" s="27"/>
      <c r="O3802" s="30"/>
      <c r="P3802" s="39" t="str">
        <f t="shared" si="597"/>
        <v/>
      </c>
      <c r="Q3802" s="40" t="str">
        <f>IF(OR(T3802=0,RIGHT(T3802,1)=$W$1),"",COUNTIF($T$3:T3802,T3802))</f>
        <v/>
      </c>
      <c r="S3802" s="6">
        <f t="shared" si="598"/>
        <v>0</v>
      </c>
      <c r="T3802" s="36">
        <f t="shared" si="599"/>
        <v>0</v>
      </c>
      <c r="V3802" s="6">
        <f t="shared" si="600"/>
        <v>0</v>
      </c>
      <c r="Y3802" s="8">
        <f t="shared" si="601"/>
        <v>46023</v>
      </c>
    </row>
    <row r="3803" spans="2:25" ht="18.75" x14ac:dyDescent="0.3">
      <c r="B3803" s="6">
        <f t="shared" si="593"/>
        <v>0</v>
      </c>
      <c r="C3803" s="6">
        <f t="shared" si="594"/>
        <v>0</v>
      </c>
      <c r="D3803" s="6" t="str">
        <f t="shared" si="595"/>
        <v/>
      </c>
      <c r="E3803" s="35" t="str">
        <f t="shared" si="592"/>
        <v/>
      </c>
      <c r="F3803" s="31"/>
      <c r="G3803" s="29"/>
      <c r="H3803" s="78" t="str">
        <f t="shared" si="596"/>
        <v/>
      </c>
      <c r="I3803" s="25"/>
      <c r="J3803" s="25"/>
      <c r="K3803" s="26"/>
      <c r="L3803" s="26"/>
      <c r="M3803" s="37"/>
      <c r="N3803" s="27"/>
      <c r="O3803" s="30"/>
      <c r="P3803" s="39" t="str">
        <f t="shared" si="597"/>
        <v/>
      </c>
      <c r="Q3803" s="40" t="str">
        <f>IF(OR(T3803=0,RIGHT(T3803,1)=$W$1),"",COUNTIF($T$3:T3803,T3803))</f>
        <v/>
      </c>
      <c r="S3803" s="6">
        <f t="shared" si="598"/>
        <v>0</v>
      </c>
      <c r="T3803" s="36">
        <f t="shared" si="599"/>
        <v>0</v>
      </c>
      <c r="V3803" s="6">
        <f t="shared" si="600"/>
        <v>0</v>
      </c>
      <c r="Y3803" s="8">
        <f t="shared" si="601"/>
        <v>46023</v>
      </c>
    </row>
    <row r="3804" spans="2:25" ht="18.75" x14ac:dyDescent="0.3">
      <c r="B3804" s="6">
        <f t="shared" si="593"/>
        <v>0</v>
      </c>
      <c r="C3804" s="6">
        <f t="shared" si="594"/>
        <v>0</v>
      </c>
      <c r="D3804" s="6" t="str">
        <f t="shared" si="595"/>
        <v/>
      </c>
      <c r="E3804" s="35" t="str">
        <f t="shared" si="592"/>
        <v/>
      </c>
      <c r="F3804" s="31"/>
      <c r="G3804" s="29"/>
      <c r="H3804" s="78" t="str">
        <f t="shared" si="596"/>
        <v/>
      </c>
      <c r="I3804" s="25"/>
      <c r="J3804" s="25"/>
      <c r="K3804" s="26"/>
      <c r="L3804" s="26"/>
      <c r="M3804" s="37"/>
      <c r="N3804" s="27"/>
      <c r="O3804" s="30"/>
      <c r="P3804" s="39" t="str">
        <f t="shared" si="597"/>
        <v/>
      </c>
      <c r="Q3804" s="40" t="str">
        <f>IF(OR(T3804=0,RIGHT(T3804,1)=$W$1),"",COUNTIF($T$3:T3804,T3804))</f>
        <v/>
      </c>
      <c r="S3804" s="6">
        <f t="shared" si="598"/>
        <v>0</v>
      </c>
      <c r="T3804" s="36">
        <f t="shared" si="599"/>
        <v>0</v>
      </c>
      <c r="V3804" s="6">
        <f t="shared" si="600"/>
        <v>0</v>
      </c>
      <c r="Y3804" s="8">
        <f t="shared" si="601"/>
        <v>46023</v>
      </c>
    </row>
    <row r="3805" spans="2:25" ht="18.75" x14ac:dyDescent="0.3">
      <c r="B3805" s="6">
        <f t="shared" si="593"/>
        <v>0</v>
      </c>
      <c r="C3805" s="6">
        <f t="shared" si="594"/>
        <v>0</v>
      </c>
      <c r="D3805" s="6" t="str">
        <f t="shared" si="595"/>
        <v/>
      </c>
      <c r="E3805" s="35" t="str">
        <f t="shared" si="592"/>
        <v/>
      </c>
      <c r="F3805" s="31"/>
      <c r="G3805" s="29"/>
      <c r="H3805" s="78" t="str">
        <f t="shared" si="596"/>
        <v/>
      </c>
      <c r="I3805" s="25"/>
      <c r="J3805" s="25"/>
      <c r="K3805" s="26"/>
      <c r="L3805" s="26"/>
      <c r="M3805" s="37"/>
      <c r="N3805" s="27"/>
      <c r="O3805" s="30"/>
      <c r="P3805" s="39" t="str">
        <f t="shared" si="597"/>
        <v/>
      </c>
      <c r="Q3805" s="40" t="str">
        <f>IF(OR(T3805=0,RIGHT(T3805,1)=$W$1),"",COUNTIF($T$3:T3805,T3805))</f>
        <v/>
      </c>
      <c r="S3805" s="6">
        <f t="shared" si="598"/>
        <v>0</v>
      </c>
      <c r="T3805" s="36">
        <f t="shared" si="599"/>
        <v>0</v>
      </c>
      <c r="V3805" s="6">
        <f t="shared" si="600"/>
        <v>0</v>
      </c>
      <c r="Y3805" s="8">
        <f t="shared" si="601"/>
        <v>46023</v>
      </c>
    </row>
    <row r="3806" spans="2:25" ht="18.75" x14ac:dyDescent="0.3">
      <c r="B3806" s="6">
        <f t="shared" si="593"/>
        <v>0</v>
      </c>
      <c r="C3806" s="6">
        <f t="shared" si="594"/>
        <v>0</v>
      </c>
      <c r="D3806" s="6" t="str">
        <f t="shared" si="595"/>
        <v/>
      </c>
      <c r="E3806" s="35" t="str">
        <f t="shared" si="592"/>
        <v/>
      </c>
      <c r="F3806" s="31"/>
      <c r="G3806" s="29"/>
      <c r="H3806" s="78" t="str">
        <f t="shared" si="596"/>
        <v/>
      </c>
      <c r="I3806" s="25"/>
      <c r="J3806" s="25"/>
      <c r="K3806" s="26"/>
      <c r="L3806" s="26"/>
      <c r="M3806" s="37"/>
      <c r="N3806" s="27"/>
      <c r="O3806" s="30"/>
      <c r="P3806" s="39" t="str">
        <f t="shared" si="597"/>
        <v/>
      </c>
      <c r="Q3806" s="40" t="str">
        <f>IF(OR(T3806=0,RIGHT(T3806,1)=$W$1),"",COUNTIF($T$3:T3806,T3806))</f>
        <v/>
      </c>
      <c r="S3806" s="6">
        <f t="shared" si="598"/>
        <v>0</v>
      </c>
      <c r="T3806" s="36">
        <f t="shared" si="599"/>
        <v>0</v>
      </c>
      <c r="V3806" s="6">
        <f t="shared" si="600"/>
        <v>0</v>
      </c>
      <c r="Y3806" s="8">
        <f t="shared" si="601"/>
        <v>46023</v>
      </c>
    </row>
    <row r="3807" spans="2:25" ht="18.75" x14ac:dyDescent="0.3">
      <c r="B3807" s="6">
        <f t="shared" si="593"/>
        <v>0</v>
      </c>
      <c r="C3807" s="6">
        <f t="shared" si="594"/>
        <v>0</v>
      </c>
      <c r="D3807" s="6" t="str">
        <f t="shared" si="595"/>
        <v/>
      </c>
      <c r="E3807" s="35" t="str">
        <f t="shared" si="592"/>
        <v/>
      </c>
      <c r="F3807" s="31"/>
      <c r="G3807" s="29"/>
      <c r="H3807" s="78" t="str">
        <f t="shared" si="596"/>
        <v/>
      </c>
      <c r="I3807" s="25"/>
      <c r="J3807" s="25"/>
      <c r="K3807" s="26"/>
      <c r="L3807" s="26"/>
      <c r="M3807" s="37"/>
      <c r="N3807" s="27"/>
      <c r="O3807" s="30"/>
      <c r="P3807" s="39" t="str">
        <f t="shared" si="597"/>
        <v/>
      </c>
      <c r="Q3807" s="40" t="str">
        <f>IF(OR(T3807=0,RIGHT(T3807,1)=$W$1),"",COUNTIF($T$3:T3807,T3807))</f>
        <v/>
      </c>
      <c r="S3807" s="6">
        <f t="shared" si="598"/>
        <v>0</v>
      </c>
      <c r="T3807" s="36">
        <f t="shared" si="599"/>
        <v>0</v>
      </c>
      <c r="V3807" s="6">
        <f t="shared" si="600"/>
        <v>0</v>
      </c>
      <c r="Y3807" s="8">
        <f t="shared" si="601"/>
        <v>46023</v>
      </c>
    </row>
    <row r="3808" spans="2:25" ht="18.75" x14ac:dyDescent="0.3">
      <c r="B3808" s="6">
        <f t="shared" si="593"/>
        <v>0</v>
      </c>
      <c r="C3808" s="6">
        <f t="shared" si="594"/>
        <v>0</v>
      </c>
      <c r="D3808" s="6" t="str">
        <f t="shared" si="595"/>
        <v/>
      </c>
      <c r="E3808" s="35" t="str">
        <f t="shared" si="592"/>
        <v/>
      </c>
      <c r="F3808" s="31"/>
      <c r="G3808" s="29"/>
      <c r="H3808" s="78" t="str">
        <f t="shared" si="596"/>
        <v/>
      </c>
      <c r="I3808" s="25"/>
      <c r="J3808" s="25"/>
      <c r="K3808" s="26"/>
      <c r="L3808" s="26"/>
      <c r="M3808" s="37"/>
      <c r="N3808" s="27"/>
      <c r="O3808" s="30"/>
      <c r="P3808" s="39" t="str">
        <f t="shared" si="597"/>
        <v/>
      </c>
      <c r="Q3808" s="40" t="str">
        <f>IF(OR(T3808=0,RIGHT(T3808,1)=$W$1),"",COUNTIF($T$3:T3808,T3808))</f>
        <v/>
      </c>
      <c r="S3808" s="6">
        <f t="shared" si="598"/>
        <v>0</v>
      </c>
      <c r="T3808" s="36">
        <f t="shared" si="599"/>
        <v>0</v>
      </c>
      <c r="V3808" s="6">
        <f t="shared" si="600"/>
        <v>0</v>
      </c>
      <c r="Y3808" s="8">
        <f t="shared" si="601"/>
        <v>46023</v>
      </c>
    </row>
    <row r="3809" spans="2:25" ht="18.75" x14ac:dyDescent="0.3">
      <c r="B3809" s="6">
        <f t="shared" si="593"/>
        <v>0</v>
      </c>
      <c r="C3809" s="6">
        <f t="shared" si="594"/>
        <v>0</v>
      </c>
      <c r="D3809" s="6" t="str">
        <f t="shared" si="595"/>
        <v/>
      </c>
      <c r="E3809" s="35" t="str">
        <f t="shared" si="592"/>
        <v/>
      </c>
      <c r="F3809" s="31"/>
      <c r="G3809" s="29"/>
      <c r="H3809" s="78" t="str">
        <f t="shared" si="596"/>
        <v/>
      </c>
      <c r="I3809" s="25"/>
      <c r="J3809" s="25"/>
      <c r="K3809" s="26"/>
      <c r="L3809" s="26"/>
      <c r="M3809" s="37"/>
      <c r="N3809" s="27"/>
      <c r="O3809" s="30"/>
      <c r="P3809" s="39" t="str">
        <f t="shared" si="597"/>
        <v/>
      </c>
      <c r="Q3809" s="40" t="str">
        <f>IF(OR(T3809=0,RIGHT(T3809,1)=$W$1),"",COUNTIF($T$3:T3809,T3809))</f>
        <v/>
      </c>
      <c r="S3809" s="6">
        <f t="shared" si="598"/>
        <v>0</v>
      </c>
      <c r="T3809" s="36">
        <f t="shared" si="599"/>
        <v>0</v>
      </c>
      <c r="V3809" s="6">
        <f t="shared" si="600"/>
        <v>0</v>
      </c>
      <c r="Y3809" s="8">
        <f t="shared" si="601"/>
        <v>46023</v>
      </c>
    </row>
    <row r="3810" spans="2:25" ht="18.75" x14ac:dyDescent="0.3">
      <c r="B3810" s="6">
        <f t="shared" si="593"/>
        <v>0</v>
      </c>
      <c r="C3810" s="6">
        <f t="shared" si="594"/>
        <v>0</v>
      </c>
      <c r="D3810" s="6" t="str">
        <f t="shared" si="595"/>
        <v/>
      </c>
      <c r="E3810" s="35" t="str">
        <f t="shared" si="592"/>
        <v/>
      </c>
      <c r="F3810" s="31"/>
      <c r="G3810" s="29"/>
      <c r="H3810" s="78" t="str">
        <f t="shared" si="596"/>
        <v/>
      </c>
      <c r="I3810" s="25"/>
      <c r="J3810" s="25"/>
      <c r="K3810" s="26"/>
      <c r="L3810" s="26"/>
      <c r="M3810" s="37"/>
      <c r="N3810" s="27"/>
      <c r="O3810" s="30"/>
      <c r="P3810" s="39" t="str">
        <f t="shared" si="597"/>
        <v/>
      </c>
      <c r="Q3810" s="40" t="str">
        <f>IF(OR(T3810=0,RIGHT(T3810,1)=$W$1),"",COUNTIF($T$3:T3810,T3810))</f>
        <v/>
      </c>
      <c r="S3810" s="6">
        <f t="shared" si="598"/>
        <v>0</v>
      </c>
      <c r="T3810" s="36">
        <f t="shared" si="599"/>
        <v>0</v>
      </c>
      <c r="V3810" s="6">
        <f t="shared" si="600"/>
        <v>0</v>
      </c>
      <c r="Y3810" s="8">
        <f t="shared" si="601"/>
        <v>46023</v>
      </c>
    </row>
    <row r="3811" spans="2:25" ht="18.75" x14ac:dyDescent="0.3">
      <c r="B3811" s="6">
        <f t="shared" si="593"/>
        <v>0</v>
      </c>
      <c r="C3811" s="6">
        <f t="shared" si="594"/>
        <v>0</v>
      </c>
      <c r="D3811" s="6" t="str">
        <f t="shared" si="595"/>
        <v/>
      </c>
      <c r="E3811" s="35" t="str">
        <f t="shared" si="592"/>
        <v/>
      </c>
      <c r="F3811" s="31"/>
      <c r="G3811" s="29"/>
      <c r="H3811" s="78" t="str">
        <f t="shared" si="596"/>
        <v/>
      </c>
      <c r="I3811" s="25"/>
      <c r="J3811" s="25"/>
      <c r="K3811" s="26"/>
      <c r="L3811" s="26"/>
      <c r="M3811" s="37"/>
      <c r="N3811" s="27"/>
      <c r="O3811" s="30"/>
      <c r="P3811" s="39" t="str">
        <f t="shared" si="597"/>
        <v/>
      </c>
      <c r="Q3811" s="40" t="str">
        <f>IF(OR(T3811=0,RIGHT(T3811,1)=$W$1),"",COUNTIF($T$3:T3811,T3811))</f>
        <v/>
      </c>
      <c r="S3811" s="6">
        <f t="shared" si="598"/>
        <v>0</v>
      </c>
      <c r="T3811" s="36">
        <f t="shared" si="599"/>
        <v>0</v>
      </c>
      <c r="V3811" s="6">
        <f t="shared" si="600"/>
        <v>0</v>
      </c>
      <c r="Y3811" s="8">
        <f t="shared" si="601"/>
        <v>46023</v>
      </c>
    </row>
    <row r="3812" spans="2:25" ht="18.75" x14ac:dyDescent="0.3">
      <c r="B3812" s="6">
        <f t="shared" si="593"/>
        <v>0</v>
      </c>
      <c r="C3812" s="6">
        <f t="shared" si="594"/>
        <v>0</v>
      </c>
      <c r="D3812" s="6" t="str">
        <f t="shared" si="595"/>
        <v/>
      </c>
      <c r="E3812" s="35" t="str">
        <f t="shared" si="592"/>
        <v/>
      </c>
      <c r="F3812" s="31"/>
      <c r="G3812" s="29"/>
      <c r="H3812" s="78" t="str">
        <f t="shared" si="596"/>
        <v/>
      </c>
      <c r="I3812" s="25"/>
      <c r="J3812" s="25"/>
      <c r="K3812" s="26"/>
      <c r="L3812" s="26"/>
      <c r="M3812" s="37"/>
      <c r="N3812" s="27"/>
      <c r="O3812" s="30"/>
      <c r="P3812" s="39" t="str">
        <f t="shared" si="597"/>
        <v/>
      </c>
      <c r="Q3812" s="40" t="str">
        <f>IF(OR(T3812=0,RIGHT(T3812,1)=$W$1),"",COUNTIF($T$3:T3812,T3812))</f>
        <v/>
      </c>
      <c r="S3812" s="6">
        <f t="shared" si="598"/>
        <v>0</v>
      </c>
      <c r="T3812" s="36">
        <f t="shared" si="599"/>
        <v>0</v>
      </c>
      <c r="V3812" s="6">
        <f t="shared" si="600"/>
        <v>0</v>
      </c>
      <c r="Y3812" s="8">
        <f t="shared" si="601"/>
        <v>46023</v>
      </c>
    </row>
    <row r="3813" spans="2:25" ht="18.75" x14ac:dyDescent="0.3">
      <c r="B3813" s="6">
        <f t="shared" si="593"/>
        <v>0</v>
      </c>
      <c r="C3813" s="6">
        <f t="shared" si="594"/>
        <v>0</v>
      </c>
      <c r="D3813" s="6" t="str">
        <f t="shared" si="595"/>
        <v/>
      </c>
      <c r="E3813" s="35" t="str">
        <f t="shared" si="592"/>
        <v/>
      </c>
      <c r="F3813" s="31"/>
      <c r="G3813" s="29"/>
      <c r="H3813" s="78" t="str">
        <f t="shared" si="596"/>
        <v/>
      </c>
      <c r="I3813" s="25"/>
      <c r="J3813" s="25"/>
      <c r="K3813" s="26"/>
      <c r="L3813" s="26"/>
      <c r="M3813" s="37"/>
      <c r="N3813" s="27"/>
      <c r="O3813" s="30"/>
      <c r="P3813" s="39" t="str">
        <f t="shared" si="597"/>
        <v/>
      </c>
      <c r="Q3813" s="40" t="str">
        <f>IF(OR(T3813=0,RIGHT(T3813,1)=$W$1),"",COUNTIF($T$3:T3813,T3813))</f>
        <v/>
      </c>
      <c r="S3813" s="6">
        <f t="shared" si="598"/>
        <v>0</v>
      </c>
      <c r="T3813" s="36">
        <f t="shared" si="599"/>
        <v>0</v>
      </c>
      <c r="V3813" s="6">
        <f t="shared" si="600"/>
        <v>0</v>
      </c>
      <c r="Y3813" s="8">
        <f t="shared" si="601"/>
        <v>46023</v>
      </c>
    </row>
    <row r="3814" spans="2:25" ht="18.75" x14ac:dyDescent="0.3">
      <c r="B3814" s="6">
        <f t="shared" si="593"/>
        <v>0</v>
      </c>
      <c r="C3814" s="6">
        <f t="shared" si="594"/>
        <v>0</v>
      </c>
      <c r="D3814" s="6" t="str">
        <f t="shared" si="595"/>
        <v/>
      </c>
      <c r="E3814" s="35" t="str">
        <f t="shared" si="592"/>
        <v/>
      </c>
      <c r="F3814" s="31"/>
      <c r="G3814" s="29"/>
      <c r="H3814" s="78" t="str">
        <f t="shared" si="596"/>
        <v/>
      </c>
      <c r="I3814" s="25"/>
      <c r="J3814" s="25"/>
      <c r="K3814" s="26"/>
      <c r="L3814" s="26"/>
      <c r="M3814" s="37"/>
      <c r="N3814" s="27"/>
      <c r="O3814" s="30"/>
      <c r="P3814" s="39" t="str">
        <f t="shared" si="597"/>
        <v/>
      </c>
      <c r="Q3814" s="40" t="str">
        <f>IF(OR(T3814=0,RIGHT(T3814,1)=$W$1),"",COUNTIF($T$3:T3814,T3814))</f>
        <v/>
      </c>
      <c r="S3814" s="6">
        <f t="shared" si="598"/>
        <v>0</v>
      </c>
      <c r="T3814" s="36">
        <f t="shared" si="599"/>
        <v>0</v>
      </c>
      <c r="V3814" s="6">
        <f t="shared" si="600"/>
        <v>0</v>
      </c>
      <c r="Y3814" s="8">
        <f t="shared" si="601"/>
        <v>46023</v>
      </c>
    </row>
    <row r="3815" spans="2:25" ht="18.75" x14ac:dyDescent="0.3">
      <c r="B3815" s="6">
        <f t="shared" si="593"/>
        <v>0</v>
      </c>
      <c r="C3815" s="6">
        <f t="shared" si="594"/>
        <v>0</v>
      </c>
      <c r="D3815" s="6" t="str">
        <f t="shared" si="595"/>
        <v/>
      </c>
      <c r="E3815" s="35" t="str">
        <f t="shared" si="592"/>
        <v/>
      </c>
      <c r="F3815" s="31"/>
      <c r="G3815" s="29"/>
      <c r="H3815" s="78" t="str">
        <f t="shared" si="596"/>
        <v/>
      </c>
      <c r="I3815" s="25"/>
      <c r="J3815" s="25"/>
      <c r="K3815" s="26"/>
      <c r="L3815" s="26"/>
      <c r="M3815" s="37"/>
      <c r="N3815" s="27"/>
      <c r="O3815" s="30"/>
      <c r="P3815" s="39" t="str">
        <f t="shared" si="597"/>
        <v/>
      </c>
      <c r="Q3815" s="40" t="str">
        <f>IF(OR(T3815=0,RIGHT(T3815,1)=$W$1),"",COUNTIF($T$3:T3815,T3815))</f>
        <v/>
      </c>
      <c r="S3815" s="6">
        <f t="shared" si="598"/>
        <v>0</v>
      </c>
      <c r="T3815" s="36">
        <f t="shared" si="599"/>
        <v>0</v>
      </c>
      <c r="V3815" s="6">
        <f t="shared" si="600"/>
        <v>0</v>
      </c>
      <c r="Y3815" s="8">
        <f t="shared" si="601"/>
        <v>46023</v>
      </c>
    </row>
    <row r="3816" spans="2:25" ht="18.75" x14ac:dyDescent="0.3">
      <c r="B3816" s="6">
        <f t="shared" si="593"/>
        <v>0</v>
      </c>
      <c r="C3816" s="6">
        <f t="shared" si="594"/>
        <v>0</v>
      </c>
      <c r="D3816" s="6" t="str">
        <f t="shared" si="595"/>
        <v/>
      </c>
      <c r="E3816" s="35" t="str">
        <f t="shared" si="592"/>
        <v/>
      </c>
      <c r="F3816" s="31"/>
      <c r="G3816" s="29"/>
      <c r="H3816" s="78" t="str">
        <f t="shared" si="596"/>
        <v/>
      </c>
      <c r="I3816" s="25"/>
      <c r="J3816" s="25"/>
      <c r="K3816" s="26"/>
      <c r="L3816" s="26"/>
      <c r="M3816" s="37"/>
      <c r="N3816" s="27"/>
      <c r="O3816" s="30"/>
      <c r="P3816" s="39" t="str">
        <f t="shared" si="597"/>
        <v/>
      </c>
      <c r="Q3816" s="40" t="str">
        <f>IF(OR(T3816=0,RIGHT(T3816,1)=$W$1),"",COUNTIF($T$3:T3816,T3816))</f>
        <v/>
      </c>
      <c r="S3816" s="6">
        <f t="shared" si="598"/>
        <v>0</v>
      </c>
      <c r="T3816" s="36">
        <f t="shared" si="599"/>
        <v>0</v>
      </c>
      <c r="V3816" s="6">
        <f t="shared" si="600"/>
        <v>0</v>
      </c>
      <c r="Y3816" s="8">
        <f t="shared" si="601"/>
        <v>46023</v>
      </c>
    </row>
    <row r="3817" spans="2:25" ht="18.75" x14ac:dyDescent="0.3">
      <c r="B3817" s="6">
        <f t="shared" si="593"/>
        <v>0</v>
      </c>
      <c r="C3817" s="6">
        <f t="shared" si="594"/>
        <v>0</v>
      </c>
      <c r="D3817" s="6" t="str">
        <f t="shared" si="595"/>
        <v/>
      </c>
      <c r="E3817" s="35" t="str">
        <f t="shared" si="592"/>
        <v/>
      </c>
      <c r="F3817" s="31"/>
      <c r="G3817" s="29"/>
      <c r="H3817" s="78" t="str">
        <f t="shared" si="596"/>
        <v/>
      </c>
      <c r="I3817" s="25"/>
      <c r="J3817" s="25"/>
      <c r="K3817" s="26"/>
      <c r="L3817" s="26"/>
      <c r="M3817" s="37"/>
      <c r="N3817" s="27"/>
      <c r="O3817" s="30"/>
      <c r="P3817" s="39" t="str">
        <f t="shared" si="597"/>
        <v/>
      </c>
      <c r="Q3817" s="40" t="str">
        <f>IF(OR(T3817=0,RIGHT(T3817,1)=$W$1),"",COUNTIF($T$3:T3817,T3817))</f>
        <v/>
      </c>
      <c r="S3817" s="6">
        <f t="shared" si="598"/>
        <v>0</v>
      </c>
      <c r="T3817" s="36">
        <f t="shared" si="599"/>
        <v>0</v>
      </c>
      <c r="V3817" s="6">
        <f t="shared" si="600"/>
        <v>0</v>
      </c>
      <c r="Y3817" s="8">
        <f t="shared" si="601"/>
        <v>46023</v>
      </c>
    </row>
    <row r="3818" spans="2:25" ht="18.75" x14ac:dyDescent="0.3">
      <c r="B3818" s="6">
        <f t="shared" si="593"/>
        <v>0</v>
      </c>
      <c r="C3818" s="6">
        <f t="shared" si="594"/>
        <v>0</v>
      </c>
      <c r="D3818" s="6" t="str">
        <f t="shared" si="595"/>
        <v/>
      </c>
      <c r="E3818" s="35" t="str">
        <f t="shared" si="592"/>
        <v/>
      </c>
      <c r="F3818" s="31"/>
      <c r="G3818" s="29"/>
      <c r="H3818" s="78" t="str">
        <f t="shared" si="596"/>
        <v/>
      </c>
      <c r="I3818" s="25"/>
      <c r="J3818" s="25"/>
      <c r="K3818" s="26"/>
      <c r="L3818" s="26"/>
      <c r="M3818" s="37"/>
      <c r="N3818" s="27"/>
      <c r="O3818" s="30"/>
      <c r="P3818" s="39" t="str">
        <f t="shared" si="597"/>
        <v/>
      </c>
      <c r="Q3818" s="40" t="str">
        <f>IF(OR(T3818=0,RIGHT(T3818,1)=$W$1),"",COUNTIF($T$3:T3818,T3818))</f>
        <v/>
      </c>
      <c r="S3818" s="6">
        <f t="shared" si="598"/>
        <v>0</v>
      </c>
      <c r="T3818" s="36">
        <f t="shared" si="599"/>
        <v>0</v>
      </c>
      <c r="V3818" s="6">
        <f t="shared" si="600"/>
        <v>0</v>
      </c>
      <c r="Y3818" s="8">
        <f t="shared" si="601"/>
        <v>46023</v>
      </c>
    </row>
    <row r="3819" spans="2:25" ht="18.75" x14ac:dyDescent="0.3">
      <c r="B3819" s="6">
        <f t="shared" si="593"/>
        <v>0</v>
      </c>
      <c r="C3819" s="6">
        <f t="shared" si="594"/>
        <v>0</v>
      </c>
      <c r="D3819" s="6" t="str">
        <f t="shared" si="595"/>
        <v/>
      </c>
      <c r="E3819" s="35" t="str">
        <f t="shared" si="592"/>
        <v/>
      </c>
      <c r="F3819" s="31"/>
      <c r="G3819" s="29"/>
      <c r="H3819" s="78" t="str">
        <f t="shared" si="596"/>
        <v/>
      </c>
      <c r="I3819" s="25"/>
      <c r="J3819" s="25"/>
      <c r="K3819" s="26"/>
      <c r="L3819" s="26"/>
      <c r="M3819" s="37"/>
      <c r="N3819" s="27"/>
      <c r="O3819" s="30"/>
      <c r="P3819" s="39" t="str">
        <f t="shared" si="597"/>
        <v/>
      </c>
      <c r="Q3819" s="40" t="str">
        <f>IF(OR(T3819=0,RIGHT(T3819,1)=$W$1),"",COUNTIF($T$3:T3819,T3819))</f>
        <v/>
      </c>
      <c r="S3819" s="6">
        <f t="shared" si="598"/>
        <v>0</v>
      </c>
      <c r="T3819" s="36">
        <f t="shared" si="599"/>
        <v>0</v>
      </c>
      <c r="V3819" s="6">
        <f t="shared" si="600"/>
        <v>0</v>
      </c>
      <c r="Y3819" s="8">
        <f t="shared" si="601"/>
        <v>46023</v>
      </c>
    </row>
    <row r="3820" spans="2:25" ht="18.75" x14ac:dyDescent="0.3">
      <c r="B3820" s="6">
        <f t="shared" si="593"/>
        <v>0</v>
      </c>
      <c r="C3820" s="6">
        <f t="shared" si="594"/>
        <v>0</v>
      </c>
      <c r="D3820" s="6" t="str">
        <f t="shared" si="595"/>
        <v/>
      </c>
      <c r="E3820" s="35" t="str">
        <f t="shared" si="592"/>
        <v/>
      </c>
      <c r="F3820" s="31"/>
      <c r="G3820" s="29"/>
      <c r="H3820" s="78" t="str">
        <f t="shared" si="596"/>
        <v/>
      </c>
      <c r="I3820" s="25"/>
      <c r="J3820" s="25"/>
      <c r="K3820" s="26"/>
      <c r="L3820" s="26"/>
      <c r="M3820" s="37"/>
      <c r="N3820" s="27"/>
      <c r="O3820" s="30"/>
      <c r="P3820" s="39" t="str">
        <f t="shared" si="597"/>
        <v/>
      </c>
      <c r="Q3820" s="40" t="str">
        <f>IF(OR(T3820=0,RIGHT(T3820,1)=$W$1),"",COUNTIF($T$3:T3820,T3820))</f>
        <v/>
      </c>
      <c r="S3820" s="6">
        <f t="shared" si="598"/>
        <v>0</v>
      </c>
      <c r="T3820" s="36">
        <f t="shared" si="599"/>
        <v>0</v>
      </c>
      <c r="V3820" s="6">
        <f t="shared" si="600"/>
        <v>0</v>
      </c>
      <c r="Y3820" s="8">
        <f t="shared" si="601"/>
        <v>46023</v>
      </c>
    </row>
    <row r="3821" spans="2:25" ht="18.75" x14ac:dyDescent="0.3">
      <c r="B3821" s="6">
        <f t="shared" si="593"/>
        <v>0</v>
      </c>
      <c r="C3821" s="6">
        <f t="shared" si="594"/>
        <v>0</v>
      </c>
      <c r="D3821" s="6" t="str">
        <f t="shared" si="595"/>
        <v/>
      </c>
      <c r="E3821" s="35" t="str">
        <f t="shared" si="592"/>
        <v/>
      </c>
      <c r="F3821" s="31"/>
      <c r="G3821" s="29"/>
      <c r="H3821" s="78" t="str">
        <f t="shared" si="596"/>
        <v/>
      </c>
      <c r="I3821" s="25"/>
      <c r="J3821" s="25"/>
      <c r="K3821" s="26"/>
      <c r="L3821" s="26"/>
      <c r="M3821" s="37"/>
      <c r="N3821" s="27"/>
      <c r="O3821" s="30"/>
      <c r="P3821" s="39" t="str">
        <f t="shared" si="597"/>
        <v/>
      </c>
      <c r="Q3821" s="40" t="str">
        <f>IF(OR(T3821=0,RIGHT(T3821,1)=$W$1),"",COUNTIF($T$3:T3821,T3821))</f>
        <v/>
      </c>
      <c r="S3821" s="6">
        <f t="shared" si="598"/>
        <v>0</v>
      </c>
      <c r="T3821" s="36">
        <f t="shared" si="599"/>
        <v>0</v>
      </c>
      <c r="V3821" s="6">
        <f t="shared" si="600"/>
        <v>0</v>
      </c>
      <c r="Y3821" s="8">
        <f t="shared" si="601"/>
        <v>46023</v>
      </c>
    </row>
    <row r="3822" spans="2:25" ht="18.75" x14ac:dyDescent="0.3">
      <c r="B3822" s="6">
        <f t="shared" si="593"/>
        <v>0</v>
      </c>
      <c r="C3822" s="6">
        <f t="shared" si="594"/>
        <v>0</v>
      </c>
      <c r="D3822" s="6" t="str">
        <f t="shared" si="595"/>
        <v/>
      </c>
      <c r="E3822" s="35" t="str">
        <f t="shared" si="592"/>
        <v/>
      </c>
      <c r="F3822" s="31"/>
      <c r="G3822" s="29"/>
      <c r="H3822" s="78" t="str">
        <f t="shared" si="596"/>
        <v/>
      </c>
      <c r="I3822" s="25"/>
      <c r="J3822" s="25"/>
      <c r="K3822" s="26"/>
      <c r="L3822" s="26"/>
      <c r="M3822" s="37"/>
      <c r="N3822" s="27"/>
      <c r="O3822" s="30"/>
      <c r="P3822" s="39" t="str">
        <f t="shared" si="597"/>
        <v/>
      </c>
      <c r="Q3822" s="40" t="str">
        <f>IF(OR(T3822=0,RIGHT(T3822,1)=$W$1),"",COUNTIF($T$3:T3822,T3822))</f>
        <v/>
      </c>
      <c r="S3822" s="6">
        <f t="shared" si="598"/>
        <v>0</v>
      </c>
      <c r="T3822" s="36">
        <f t="shared" si="599"/>
        <v>0</v>
      </c>
      <c r="V3822" s="6">
        <f t="shared" si="600"/>
        <v>0</v>
      </c>
      <c r="Y3822" s="8">
        <f t="shared" si="601"/>
        <v>46023</v>
      </c>
    </row>
    <row r="3823" spans="2:25" ht="18.75" x14ac:dyDescent="0.3">
      <c r="B3823" s="6">
        <f t="shared" si="593"/>
        <v>0</v>
      </c>
      <c r="C3823" s="6">
        <f t="shared" si="594"/>
        <v>0</v>
      </c>
      <c r="D3823" s="6" t="str">
        <f t="shared" si="595"/>
        <v/>
      </c>
      <c r="E3823" s="35" t="str">
        <f t="shared" si="592"/>
        <v/>
      </c>
      <c r="F3823" s="31"/>
      <c r="G3823" s="29"/>
      <c r="H3823" s="78" t="str">
        <f t="shared" si="596"/>
        <v/>
      </c>
      <c r="I3823" s="25"/>
      <c r="J3823" s="25"/>
      <c r="K3823" s="26"/>
      <c r="L3823" s="26"/>
      <c r="M3823" s="37"/>
      <c r="N3823" s="27"/>
      <c r="O3823" s="30"/>
      <c r="P3823" s="39" t="str">
        <f t="shared" si="597"/>
        <v/>
      </c>
      <c r="Q3823" s="40" t="str">
        <f>IF(OR(T3823=0,RIGHT(T3823,1)=$W$1),"",COUNTIF($T$3:T3823,T3823))</f>
        <v/>
      </c>
      <c r="S3823" s="6">
        <f t="shared" si="598"/>
        <v>0</v>
      </c>
      <c r="T3823" s="36">
        <f t="shared" si="599"/>
        <v>0</v>
      </c>
      <c r="V3823" s="6">
        <f t="shared" si="600"/>
        <v>0</v>
      </c>
      <c r="Y3823" s="8">
        <f t="shared" si="601"/>
        <v>46023</v>
      </c>
    </row>
    <row r="3824" spans="2:25" ht="18.75" x14ac:dyDescent="0.3">
      <c r="B3824" s="6">
        <f t="shared" si="593"/>
        <v>0</v>
      </c>
      <c r="C3824" s="6">
        <f t="shared" si="594"/>
        <v>0</v>
      </c>
      <c r="D3824" s="6" t="str">
        <f t="shared" si="595"/>
        <v/>
      </c>
      <c r="E3824" s="35" t="str">
        <f t="shared" si="592"/>
        <v/>
      </c>
      <c r="F3824" s="31"/>
      <c r="G3824" s="29"/>
      <c r="H3824" s="78" t="str">
        <f t="shared" si="596"/>
        <v/>
      </c>
      <c r="I3824" s="25"/>
      <c r="J3824" s="25"/>
      <c r="K3824" s="26"/>
      <c r="L3824" s="26"/>
      <c r="M3824" s="37"/>
      <c r="N3824" s="27"/>
      <c r="O3824" s="30"/>
      <c r="P3824" s="39" t="str">
        <f t="shared" si="597"/>
        <v/>
      </c>
      <c r="Q3824" s="40" t="str">
        <f>IF(OR(T3824=0,RIGHT(T3824,1)=$W$1),"",COUNTIF($T$3:T3824,T3824))</f>
        <v/>
      </c>
      <c r="S3824" s="6">
        <f t="shared" si="598"/>
        <v>0</v>
      </c>
      <c r="T3824" s="36">
        <f t="shared" si="599"/>
        <v>0</v>
      </c>
      <c r="V3824" s="6">
        <f t="shared" si="600"/>
        <v>0</v>
      </c>
      <c r="Y3824" s="8">
        <f t="shared" si="601"/>
        <v>46023</v>
      </c>
    </row>
    <row r="3825" spans="2:25" ht="18.75" x14ac:dyDescent="0.3">
      <c r="B3825" s="6">
        <f t="shared" si="593"/>
        <v>0</v>
      </c>
      <c r="C3825" s="6">
        <f t="shared" si="594"/>
        <v>0</v>
      </c>
      <c r="D3825" s="6" t="str">
        <f t="shared" si="595"/>
        <v/>
      </c>
      <c r="E3825" s="35" t="str">
        <f t="shared" si="592"/>
        <v/>
      </c>
      <c r="F3825" s="31"/>
      <c r="G3825" s="29"/>
      <c r="H3825" s="78" t="str">
        <f t="shared" si="596"/>
        <v/>
      </c>
      <c r="I3825" s="25"/>
      <c r="J3825" s="25"/>
      <c r="K3825" s="26"/>
      <c r="L3825" s="26"/>
      <c r="M3825" s="37"/>
      <c r="N3825" s="27"/>
      <c r="O3825" s="30"/>
      <c r="P3825" s="39" t="str">
        <f t="shared" si="597"/>
        <v/>
      </c>
      <c r="Q3825" s="40" t="str">
        <f>IF(OR(T3825=0,RIGHT(T3825,1)=$W$1),"",COUNTIF($T$3:T3825,T3825))</f>
        <v/>
      </c>
      <c r="S3825" s="6">
        <f t="shared" si="598"/>
        <v>0</v>
      </c>
      <c r="T3825" s="36">
        <f t="shared" si="599"/>
        <v>0</v>
      </c>
      <c r="V3825" s="6">
        <f t="shared" si="600"/>
        <v>0</v>
      </c>
      <c r="Y3825" s="8">
        <f t="shared" si="601"/>
        <v>46023</v>
      </c>
    </row>
    <row r="3826" spans="2:25" ht="18.75" x14ac:dyDescent="0.3">
      <c r="B3826" s="6">
        <f t="shared" si="593"/>
        <v>0</v>
      </c>
      <c r="C3826" s="6">
        <f t="shared" si="594"/>
        <v>0</v>
      </c>
      <c r="D3826" s="6" t="str">
        <f t="shared" si="595"/>
        <v/>
      </c>
      <c r="E3826" s="35" t="str">
        <f t="shared" si="592"/>
        <v/>
      </c>
      <c r="F3826" s="31"/>
      <c r="G3826" s="29"/>
      <c r="H3826" s="78" t="str">
        <f t="shared" si="596"/>
        <v/>
      </c>
      <c r="I3826" s="25"/>
      <c r="J3826" s="25"/>
      <c r="K3826" s="26"/>
      <c r="L3826" s="26"/>
      <c r="M3826" s="37"/>
      <c r="N3826" s="27"/>
      <c r="O3826" s="30"/>
      <c r="P3826" s="39" t="str">
        <f t="shared" si="597"/>
        <v/>
      </c>
      <c r="Q3826" s="40" t="str">
        <f>IF(OR(T3826=0,RIGHT(T3826,1)=$W$1),"",COUNTIF($T$3:T3826,T3826))</f>
        <v/>
      </c>
      <c r="S3826" s="6">
        <f t="shared" si="598"/>
        <v>0</v>
      </c>
      <c r="T3826" s="36">
        <f t="shared" si="599"/>
        <v>0</v>
      </c>
      <c r="V3826" s="6">
        <f t="shared" si="600"/>
        <v>0</v>
      </c>
      <c r="Y3826" s="8">
        <f t="shared" si="601"/>
        <v>46023</v>
      </c>
    </row>
    <row r="3827" spans="2:25" ht="18.75" x14ac:dyDescent="0.3">
      <c r="B3827" s="6">
        <f t="shared" si="593"/>
        <v>0</v>
      </c>
      <c r="C3827" s="6">
        <f t="shared" si="594"/>
        <v>0</v>
      </c>
      <c r="D3827" s="6" t="str">
        <f t="shared" si="595"/>
        <v/>
      </c>
      <c r="E3827" s="35" t="str">
        <f t="shared" si="592"/>
        <v/>
      </c>
      <c r="F3827" s="31"/>
      <c r="G3827" s="29"/>
      <c r="H3827" s="78" t="str">
        <f t="shared" si="596"/>
        <v/>
      </c>
      <c r="I3827" s="25"/>
      <c r="J3827" s="25"/>
      <c r="K3827" s="26"/>
      <c r="L3827" s="26"/>
      <c r="M3827" s="37"/>
      <c r="N3827" s="27"/>
      <c r="O3827" s="30"/>
      <c r="P3827" s="39" t="str">
        <f t="shared" si="597"/>
        <v/>
      </c>
      <c r="Q3827" s="40" t="str">
        <f>IF(OR(T3827=0,RIGHT(T3827,1)=$W$1),"",COUNTIF($T$3:T3827,T3827))</f>
        <v/>
      </c>
      <c r="S3827" s="6">
        <f t="shared" si="598"/>
        <v>0</v>
      </c>
      <c r="T3827" s="36">
        <f t="shared" si="599"/>
        <v>0</v>
      </c>
      <c r="V3827" s="6">
        <f t="shared" si="600"/>
        <v>0</v>
      </c>
      <c r="Y3827" s="8">
        <f t="shared" si="601"/>
        <v>46023</v>
      </c>
    </row>
    <row r="3828" spans="2:25" ht="18.75" x14ac:dyDescent="0.3">
      <c r="B3828" s="6">
        <f t="shared" si="593"/>
        <v>0</v>
      </c>
      <c r="C3828" s="6">
        <f t="shared" si="594"/>
        <v>0</v>
      </c>
      <c r="D3828" s="6" t="str">
        <f t="shared" si="595"/>
        <v/>
      </c>
      <c r="E3828" s="35" t="str">
        <f t="shared" si="592"/>
        <v/>
      </c>
      <c r="F3828" s="31"/>
      <c r="G3828" s="29"/>
      <c r="H3828" s="78" t="str">
        <f t="shared" si="596"/>
        <v/>
      </c>
      <c r="I3828" s="25"/>
      <c r="J3828" s="25"/>
      <c r="K3828" s="26"/>
      <c r="L3828" s="26"/>
      <c r="M3828" s="37"/>
      <c r="N3828" s="27"/>
      <c r="O3828" s="30"/>
      <c r="P3828" s="39" t="str">
        <f t="shared" si="597"/>
        <v/>
      </c>
      <c r="Q3828" s="40" t="str">
        <f>IF(OR(T3828=0,RIGHT(T3828,1)=$W$1),"",COUNTIF($T$3:T3828,T3828))</f>
        <v/>
      </c>
      <c r="S3828" s="6">
        <f t="shared" si="598"/>
        <v>0</v>
      </c>
      <c r="T3828" s="36">
        <f t="shared" si="599"/>
        <v>0</v>
      </c>
      <c r="V3828" s="6">
        <f t="shared" si="600"/>
        <v>0</v>
      </c>
      <c r="Y3828" s="8">
        <f t="shared" si="601"/>
        <v>46023</v>
      </c>
    </row>
    <row r="3829" spans="2:25" ht="18.75" x14ac:dyDescent="0.3">
      <c r="B3829" s="6">
        <f t="shared" si="593"/>
        <v>0</v>
      </c>
      <c r="C3829" s="6">
        <f t="shared" si="594"/>
        <v>0</v>
      </c>
      <c r="D3829" s="6" t="str">
        <f t="shared" si="595"/>
        <v/>
      </c>
      <c r="E3829" s="35" t="str">
        <f t="shared" si="592"/>
        <v/>
      </c>
      <c r="F3829" s="31"/>
      <c r="G3829" s="29"/>
      <c r="H3829" s="78" t="str">
        <f t="shared" si="596"/>
        <v/>
      </c>
      <c r="I3829" s="25"/>
      <c r="J3829" s="25"/>
      <c r="K3829" s="26"/>
      <c r="L3829" s="26"/>
      <c r="M3829" s="37"/>
      <c r="N3829" s="27"/>
      <c r="O3829" s="30"/>
      <c r="P3829" s="39" t="str">
        <f t="shared" si="597"/>
        <v/>
      </c>
      <c r="Q3829" s="40" t="str">
        <f>IF(OR(T3829=0,RIGHT(T3829,1)=$W$1),"",COUNTIF($T$3:T3829,T3829))</f>
        <v/>
      </c>
      <c r="S3829" s="6">
        <f t="shared" si="598"/>
        <v>0</v>
      </c>
      <c r="T3829" s="36">
        <f t="shared" si="599"/>
        <v>0</v>
      </c>
      <c r="V3829" s="6">
        <f t="shared" si="600"/>
        <v>0</v>
      </c>
      <c r="Y3829" s="8">
        <f t="shared" si="601"/>
        <v>46023</v>
      </c>
    </row>
    <row r="3830" spans="2:25" ht="18.75" x14ac:dyDescent="0.3">
      <c r="B3830" s="6">
        <f t="shared" si="593"/>
        <v>0</v>
      </c>
      <c r="C3830" s="6">
        <f t="shared" si="594"/>
        <v>0</v>
      </c>
      <c r="D3830" s="6" t="str">
        <f t="shared" si="595"/>
        <v/>
      </c>
      <c r="E3830" s="35" t="str">
        <f t="shared" si="592"/>
        <v/>
      </c>
      <c r="F3830" s="31"/>
      <c r="G3830" s="29"/>
      <c r="H3830" s="78" t="str">
        <f t="shared" si="596"/>
        <v/>
      </c>
      <c r="I3830" s="25"/>
      <c r="J3830" s="25"/>
      <c r="K3830" s="26"/>
      <c r="L3830" s="26"/>
      <c r="M3830" s="37"/>
      <c r="N3830" s="27"/>
      <c r="O3830" s="30"/>
      <c r="P3830" s="39" t="str">
        <f t="shared" si="597"/>
        <v/>
      </c>
      <c r="Q3830" s="40" t="str">
        <f>IF(OR(T3830=0,RIGHT(T3830,1)=$W$1),"",COUNTIF($T$3:T3830,T3830))</f>
        <v/>
      </c>
      <c r="S3830" s="6">
        <f t="shared" si="598"/>
        <v>0</v>
      </c>
      <c r="T3830" s="36">
        <f t="shared" si="599"/>
        <v>0</v>
      </c>
      <c r="V3830" s="6">
        <f t="shared" si="600"/>
        <v>0</v>
      </c>
      <c r="Y3830" s="8">
        <f t="shared" si="601"/>
        <v>46023</v>
      </c>
    </row>
    <row r="3831" spans="2:25" ht="18.75" x14ac:dyDescent="0.3">
      <c r="B3831" s="6">
        <f t="shared" si="593"/>
        <v>0</v>
      </c>
      <c r="C3831" s="6">
        <f t="shared" si="594"/>
        <v>0</v>
      </c>
      <c r="D3831" s="6" t="str">
        <f t="shared" si="595"/>
        <v/>
      </c>
      <c r="E3831" s="35" t="str">
        <f t="shared" si="592"/>
        <v/>
      </c>
      <c r="F3831" s="31"/>
      <c r="G3831" s="29"/>
      <c r="H3831" s="78" t="str">
        <f t="shared" si="596"/>
        <v/>
      </c>
      <c r="I3831" s="25"/>
      <c r="J3831" s="25"/>
      <c r="K3831" s="26"/>
      <c r="L3831" s="26"/>
      <c r="M3831" s="37"/>
      <c r="N3831" s="27"/>
      <c r="O3831" s="30"/>
      <c r="P3831" s="39" t="str">
        <f t="shared" si="597"/>
        <v/>
      </c>
      <c r="Q3831" s="40" t="str">
        <f>IF(OR(T3831=0,RIGHT(T3831,1)=$W$1),"",COUNTIF($T$3:T3831,T3831))</f>
        <v/>
      </c>
      <c r="S3831" s="6">
        <f t="shared" si="598"/>
        <v>0</v>
      </c>
      <c r="T3831" s="36">
        <f t="shared" si="599"/>
        <v>0</v>
      </c>
      <c r="V3831" s="6">
        <f t="shared" si="600"/>
        <v>0</v>
      </c>
      <c r="Y3831" s="8">
        <f t="shared" si="601"/>
        <v>46023</v>
      </c>
    </row>
    <row r="3832" spans="2:25" ht="18.75" x14ac:dyDescent="0.3">
      <c r="B3832" s="6">
        <f t="shared" si="593"/>
        <v>0</v>
      </c>
      <c r="C3832" s="6">
        <f t="shared" si="594"/>
        <v>0</v>
      </c>
      <c r="D3832" s="6" t="str">
        <f t="shared" si="595"/>
        <v/>
      </c>
      <c r="E3832" s="35" t="str">
        <f t="shared" si="592"/>
        <v/>
      </c>
      <c r="F3832" s="31"/>
      <c r="G3832" s="29"/>
      <c r="H3832" s="78" t="str">
        <f t="shared" si="596"/>
        <v/>
      </c>
      <c r="I3832" s="25"/>
      <c r="J3832" s="25"/>
      <c r="K3832" s="26"/>
      <c r="L3832" s="26"/>
      <c r="M3832" s="37"/>
      <c r="N3832" s="27"/>
      <c r="O3832" s="30"/>
      <c r="P3832" s="39" t="str">
        <f t="shared" si="597"/>
        <v/>
      </c>
      <c r="Q3832" s="40" t="str">
        <f>IF(OR(T3832=0,RIGHT(T3832,1)=$W$1),"",COUNTIF($T$3:T3832,T3832))</f>
        <v/>
      </c>
      <c r="S3832" s="6">
        <f t="shared" si="598"/>
        <v>0</v>
      </c>
      <c r="T3832" s="36">
        <f t="shared" si="599"/>
        <v>0</v>
      </c>
      <c r="V3832" s="6">
        <f t="shared" si="600"/>
        <v>0</v>
      </c>
      <c r="Y3832" s="8">
        <f t="shared" si="601"/>
        <v>46023</v>
      </c>
    </row>
    <row r="3833" spans="2:25" ht="18.75" x14ac:dyDescent="0.3">
      <c r="B3833" s="6">
        <f t="shared" si="593"/>
        <v>0</v>
      </c>
      <c r="C3833" s="6">
        <f t="shared" si="594"/>
        <v>0</v>
      </c>
      <c r="D3833" s="6" t="str">
        <f t="shared" si="595"/>
        <v/>
      </c>
      <c r="E3833" s="35" t="str">
        <f t="shared" si="592"/>
        <v/>
      </c>
      <c r="F3833" s="31"/>
      <c r="G3833" s="29"/>
      <c r="H3833" s="78" t="str">
        <f t="shared" si="596"/>
        <v/>
      </c>
      <c r="I3833" s="25"/>
      <c r="J3833" s="25"/>
      <c r="K3833" s="26"/>
      <c r="L3833" s="26"/>
      <c r="M3833" s="37"/>
      <c r="N3833" s="27"/>
      <c r="O3833" s="30"/>
      <c r="P3833" s="39" t="str">
        <f t="shared" si="597"/>
        <v/>
      </c>
      <c r="Q3833" s="40" t="str">
        <f>IF(OR(T3833=0,RIGHT(T3833,1)=$W$1),"",COUNTIF($T$3:T3833,T3833))</f>
        <v/>
      </c>
      <c r="S3833" s="6">
        <f t="shared" si="598"/>
        <v>0</v>
      </c>
      <c r="T3833" s="36">
        <f t="shared" si="599"/>
        <v>0</v>
      </c>
      <c r="V3833" s="6">
        <f t="shared" si="600"/>
        <v>0</v>
      </c>
      <c r="Y3833" s="8">
        <f t="shared" si="601"/>
        <v>46023</v>
      </c>
    </row>
    <row r="3834" spans="2:25" ht="18.75" x14ac:dyDescent="0.3">
      <c r="B3834" s="6">
        <f t="shared" si="593"/>
        <v>0</v>
      </c>
      <c r="C3834" s="6">
        <f t="shared" si="594"/>
        <v>0</v>
      </c>
      <c r="D3834" s="6" t="str">
        <f t="shared" si="595"/>
        <v/>
      </c>
      <c r="E3834" s="35" t="str">
        <f t="shared" si="592"/>
        <v/>
      </c>
      <c r="F3834" s="31"/>
      <c r="G3834" s="29"/>
      <c r="H3834" s="78" t="str">
        <f t="shared" si="596"/>
        <v/>
      </c>
      <c r="I3834" s="25"/>
      <c r="J3834" s="25"/>
      <c r="K3834" s="26"/>
      <c r="L3834" s="26"/>
      <c r="M3834" s="37"/>
      <c r="N3834" s="27"/>
      <c r="O3834" s="30"/>
      <c r="P3834" s="39" t="str">
        <f t="shared" si="597"/>
        <v/>
      </c>
      <c r="Q3834" s="40" t="str">
        <f>IF(OR(T3834=0,RIGHT(T3834,1)=$W$1),"",COUNTIF($T$3:T3834,T3834))</f>
        <v/>
      </c>
      <c r="S3834" s="6">
        <f t="shared" si="598"/>
        <v>0</v>
      </c>
      <c r="T3834" s="36">
        <f t="shared" si="599"/>
        <v>0</v>
      </c>
      <c r="V3834" s="6">
        <f t="shared" si="600"/>
        <v>0</v>
      </c>
      <c r="Y3834" s="8">
        <f t="shared" si="601"/>
        <v>46023</v>
      </c>
    </row>
    <row r="3835" spans="2:25" ht="18.75" x14ac:dyDescent="0.3">
      <c r="B3835" s="6">
        <f t="shared" si="593"/>
        <v>0</v>
      </c>
      <c r="C3835" s="6">
        <f t="shared" si="594"/>
        <v>0</v>
      </c>
      <c r="D3835" s="6" t="str">
        <f t="shared" si="595"/>
        <v/>
      </c>
      <c r="E3835" s="35" t="str">
        <f t="shared" si="592"/>
        <v/>
      </c>
      <c r="F3835" s="31"/>
      <c r="G3835" s="29"/>
      <c r="H3835" s="78" t="str">
        <f t="shared" si="596"/>
        <v/>
      </c>
      <c r="I3835" s="25"/>
      <c r="J3835" s="25"/>
      <c r="K3835" s="26"/>
      <c r="L3835" s="26"/>
      <c r="M3835" s="37"/>
      <c r="N3835" s="27"/>
      <c r="O3835" s="30"/>
      <c r="P3835" s="39" t="str">
        <f t="shared" si="597"/>
        <v/>
      </c>
      <c r="Q3835" s="40" t="str">
        <f>IF(OR(T3835=0,RIGHT(T3835,1)=$W$1),"",COUNTIF($T$3:T3835,T3835))</f>
        <v/>
      </c>
      <c r="S3835" s="6">
        <f t="shared" si="598"/>
        <v>0</v>
      </c>
      <c r="T3835" s="36">
        <f t="shared" si="599"/>
        <v>0</v>
      </c>
      <c r="V3835" s="6">
        <f t="shared" si="600"/>
        <v>0</v>
      </c>
      <c r="Y3835" s="8">
        <f t="shared" si="601"/>
        <v>46023</v>
      </c>
    </row>
    <row r="3836" spans="2:25" ht="18.75" x14ac:dyDescent="0.3">
      <c r="B3836" s="6">
        <f t="shared" si="593"/>
        <v>0</v>
      </c>
      <c r="C3836" s="6">
        <f t="shared" si="594"/>
        <v>0</v>
      </c>
      <c r="D3836" s="6" t="str">
        <f t="shared" si="595"/>
        <v/>
      </c>
      <c r="E3836" s="35" t="str">
        <f t="shared" si="592"/>
        <v/>
      </c>
      <c r="F3836" s="31"/>
      <c r="G3836" s="29"/>
      <c r="H3836" s="78" t="str">
        <f t="shared" si="596"/>
        <v/>
      </c>
      <c r="I3836" s="25"/>
      <c r="J3836" s="25"/>
      <c r="K3836" s="26"/>
      <c r="L3836" s="26"/>
      <c r="M3836" s="37"/>
      <c r="N3836" s="27"/>
      <c r="O3836" s="30"/>
      <c r="P3836" s="39" t="str">
        <f t="shared" si="597"/>
        <v/>
      </c>
      <c r="Q3836" s="40" t="str">
        <f>IF(OR(T3836=0,RIGHT(T3836,1)=$W$1),"",COUNTIF($T$3:T3836,T3836))</f>
        <v/>
      </c>
      <c r="S3836" s="6">
        <f t="shared" si="598"/>
        <v>0</v>
      </c>
      <c r="T3836" s="36">
        <f t="shared" si="599"/>
        <v>0</v>
      </c>
      <c r="V3836" s="6">
        <f t="shared" si="600"/>
        <v>0</v>
      </c>
      <c r="Y3836" s="8">
        <f t="shared" si="601"/>
        <v>46023</v>
      </c>
    </row>
    <row r="3837" spans="2:25" ht="18.75" x14ac:dyDescent="0.3">
      <c r="B3837" s="6">
        <f t="shared" si="593"/>
        <v>0</v>
      </c>
      <c r="C3837" s="6">
        <f t="shared" si="594"/>
        <v>0</v>
      </c>
      <c r="D3837" s="6" t="str">
        <f t="shared" si="595"/>
        <v/>
      </c>
      <c r="E3837" s="35" t="str">
        <f t="shared" si="592"/>
        <v/>
      </c>
      <c r="F3837" s="31"/>
      <c r="G3837" s="29"/>
      <c r="H3837" s="78" t="str">
        <f t="shared" si="596"/>
        <v/>
      </c>
      <c r="I3837" s="25"/>
      <c r="J3837" s="25"/>
      <c r="K3837" s="26"/>
      <c r="L3837" s="26"/>
      <c r="M3837" s="37"/>
      <c r="N3837" s="27"/>
      <c r="O3837" s="30"/>
      <c r="P3837" s="39" t="str">
        <f t="shared" si="597"/>
        <v/>
      </c>
      <c r="Q3837" s="40" t="str">
        <f>IF(OR(T3837=0,RIGHT(T3837,1)=$W$1),"",COUNTIF($T$3:T3837,T3837))</f>
        <v/>
      </c>
      <c r="S3837" s="6">
        <f t="shared" si="598"/>
        <v>0</v>
      </c>
      <c r="T3837" s="36">
        <f t="shared" si="599"/>
        <v>0</v>
      </c>
      <c r="V3837" s="6">
        <f t="shared" si="600"/>
        <v>0</v>
      </c>
      <c r="Y3837" s="8">
        <f t="shared" si="601"/>
        <v>46023</v>
      </c>
    </row>
    <row r="3838" spans="2:25" ht="18.75" x14ac:dyDescent="0.3">
      <c r="B3838" s="6">
        <f t="shared" si="593"/>
        <v>0</v>
      </c>
      <c r="C3838" s="6">
        <f t="shared" si="594"/>
        <v>0</v>
      </c>
      <c r="D3838" s="6" t="str">
        <f t="shared" si="595"/>
        <v/>
      </c>
      <c r="E3838" s="35" t="str">
        <f t="shared" si="592"/>
        <v/>
      </c>
      <c r="F3838" s="31"/>
      <c r="G3838" s="29"/>
      <c r="H3838" s="78" t="str">
        <f t="shared" si="596"/>
        <v/>
      </c>
      <c r="I3838" s="25"/>
      <c r="J3838" s="25"/>
      <c r="K3838" s="26"/>
      <c r="L3838" s="26"/>
      <c r="M3838" s="37"/>
      <c r="N3838" s="27"/>
      <c r="O3838" s="30"/>
      <c r="P3838" s="39" t="str">
        <f t="shared" si="597"/>
        <v/>
      </c>
      <c r="Q3838" s="40" t="str">
        <f>IF(OR(T3838=0,RIGHT(T3838,1)=$W$1),"",COUNTIF($T$3:T3838,T3838))</f>
        <v/>
      </c>
      <c r="S3838" s="6">
        <f t="shared" si="598"/>
        <v>0</v>
      </c>
      <c r="T3838" s="36">
        <f t="shared" si="599"/>
        <v>0</v>
      </c>
      <c r="V3838" s="6">
        <f t="shared" si="600"/>
        <v>0</v>
      </c>
      <c r="Y3838" s="8">
        <f t="shared" si="601"/>
        <v>46023</v>
      </c>
    </row>
    <row r="3839" spans="2:25" ht="18.75" x14ac:dyDescent="0.3">
      <c r="B3839" s="6">
        <f t="shared" si="593"/>
        <v>0</v>
      </c>
      <c r="C3839" s="6">
        <f t="shared" si="594"/>
        <v>0</v>
      </c>
      <c r="D3839" s="6" t="str">
        <f t="shared" si="595"/>
        <v/>
      </c>
      <c r="E3839" s="35" t="str">
        <f t="shared" si="592"/>
        <v/>
      </c>
      <c r="F3839" s="31"/>
      <c r="G3839" s="29"/>
      <c r="H3839" s="78" t="str">
        <f t="shared" si="596"/>
        <v/>
      </c>
      <c r="I3839" s="25"/>
      <c r="J3839" s="25"/>
      <c r="K3839" s="26"/>
      <c r="L3839" s="26"/>
      <c r="M3839" s="37"/>
      <c r="N3839" s="27"/>
      <c r="O3839" s="30"/>
      <c r="P3839" s="39" t="str">
        <f t="shared" si="597"/>
        <v/>
      </c>
      <c r="Q3839" s="40" t="str">
        <f>IF(OR(T3839=0,RIGHT(T3839,1)=$W$1),"",COUNTIF($T$3:T3839,T3839))</f>
        <v/>
      </c>
      <c r="S3839" s="6">
        <f t="shared" si="598"/>
        <v>0</v>
      </c>
      <c r="T3839" s="36">
        <f t="shared" si="599"/>
        <v>0</v>
      </c>
      <c r="V3839" s="6">
        <f t="shared" si="600"/>
        <v>0</v>
      </c>
      <c r="Y3839" s="8">
        <f t="shared" si="601"/>
        <v>46023</v>
      </c>
    </row>
    <row r="3840" spans="2:25" ht="18.75" x14ac:dyDescent="0.3">
      <c r="B3840" s="6">
        <f t="shared" si="593"/>
        <v>0</v>
      </c>
      <c r="C3840" s="6">
        <f t="shared" si="594"/>
        <v>0</v>
      </c>
      <c r="D3840" s="6" t="str">
        <f t="shared" si="595"/>
        <v/>
      </c>
      <c r="E3840" s="35" t="str">
        <f t="shared" si="592"/>
        <v/>
      </c>
      <c r="F3840" s="31"/>
      <c r="G3840" s="29"/>
      <c r="H3840" s="78" t="str">
        <f t="shared" si="596"/>
        <v/>
      </c>
      <c r="I3840" s="25"/>
      <c r="J3840" s="25"/>
      <c r="K3840" s="26"/>
      <c r="L3840" s="26"/>
      <c r="M3840" s="37"/>
      <c r="N3840" s="27"/>
      <c r="O3840" s="30"/>
      <c r="P3840" s="39" t="str">
        <f t="shared" si="597"/>
        <v/>
      </c>
      <c r="Q3840" s="40" t="str">
        <f>IF(OR(T3840=0,RIGHT(T3840,1)=$W$1),"",COUNTIF($T$3:T3840,T3840))</f>
        <v/>
      </c>
      <c r="S3840" s="6">
        <f t="shared" si="598"/>
        <v>0</v>
      </c>
      <c r="T3840" s="36">
        <f t="shared" si="599"/>
        <v>0</v>
      </c>
      <c r="V3840" s="6">
        <f t="shared" si="600"/>
        <v>0</v>
      </c>
      <c r="Y3840" s="8">
        <f t="shared" si="601"/>
        <v>46023</v>
      </c>
    </row>
    <row r="3841" spans="2:25" ht="18.75" x14ac:dyDescent="0.3">
      <c r="B3841" s="6">
        <f t="shared" si="593"/>
        <v>0</v>
      </c>
      <c r="C3841" s="6">
        <f t="shared" si="594"/>
        <v>0</v>
      </c>
      <c r="D3841" s="6" t="str">
        <f t="shared" si="595"/>
        <v/>
      </c>
      <c r="E3841" s="35" t="str">
        <f t="shared" si="592"/>
        <v/>
      </c>
      <c r="F3841" s="31"/>
      <c r="G3841" s="29"/>
      <c r="H3841" s="78" t="str">
        <f t="shared" si="596"/>
        <v/>
      </c>
      <c r="I3841" s="25"/>
      <c r="J3841" s="25"/>
      <c r="K3841" s="26"/>
      <c r="L3841" s="26"/>
      <c r="M3841" s="37"/>
      <c r="N3841" s="27"/>
      <c r="O3841" s="30"/>
      <c r="P3841" s="39" t="str">
        <f t="shared" si="597"/>
        <v/>
      </c>
      <c r="Q3841" s="40" t="str">
        <f>IF(OR(T3841=0,RIGHT(T3841,1)=$W$1),"",COUNTIF($T$3:T3841,T3841))</f>
        <v/>
      </c>
      <c r="S3841" s="6">
        <f t="shared" si="598"/>
        <v>0</v>
      </c>
      <c r="T3841" s="36">
        <f t="shared" si="599"/>
        <v>0</v>
      </c>
      <c r="V3841" s="6">
        <f t="shared" si="600"/>
        <v>0</v>
      </c>
      <c r="Y3841" s="8">
        <f t="shared" si="601"/>
        <v>46023</v>
      </c>
    </row>
    <row r="3842" spans="2:25" ht="18.75" x14ac:dyDescent="0.3">
      <c r="B3842" s="6">
        <f t="shared" si="593"/>
        <v>0</v>
      </c>
      <c r="C3842" s="6">
        <f t="shared" si="594"/>
        <v>0</v>
      </c>
      <c r="D3842" s="6" t="str">
        <f t="shared" si="595"/>
        <v/>
      </c>
      <c r="E3842" s="35" t="str">
        <f t="shared" si="592"/>
        <v/>
      </c>
      <c r="F3842" s="31"/>
      <c r="G3842" s="29"/>
      <c r="H3842" s="78" t="str">
        <f t="shared" si="596"/>
        <v/>
      </c>
      <c r="I3842" s="25"/>
      <c r="J3842" s="25"/>
      <c r="K3842" s="26"/>
      <c r="L3842" s="26"/>
      <c r="M3842" s="37"/>
      <c r="N3842" s="27"/>
      <c r="O3842" s="30"/>
      <c r="P3842" s="39" t="str">
        <f t="shared" si="597"/>
        <v/>
      </c>
      <c r="Q3842" s="40" t="str">
        <f>IF(OR(T3842=0,RIGHT(T3842,1)=$W$1),"",COUNTIF($T$3:T3842,T3842))</f>
        <v/>
      </c>
      <c r="S3842" s="6">
        <f t="shared" si="598"/>
        <v>0</v>
      </c>
      <c r="T3842" s="36">
        <f t="shared" si="599"/>
        <v>0</v>
      </c>
      <c r="V3842" s="6">
        <f t="shared" si="600"/>
        <v>0</v>
      </c>
      <c r="Y3842" s="8">
        <f t="shared" si="601"/>
        <v>46023</v>
      </c>
    </row>
    <row r="3843" spans="2:25" ht="18.75" x14ac:dyDescent="0.3">
      <c r="B3843" s="6">
        <f t="shared" si="593"/>
        <v>0</v>
      </c>
      <c r="C3843" s="6">
        <f t="shared" si="594"/>
        <v>0</v>
      </c>
      <c r="D3843" s="6" t="str">
        <f t="shared" si="595"/>
        <v/>
      </c>
      <c r="E3843" s="35" t="str">
        <f t="shared" ref="E3843:E3906" si="602">IF(D3843&lt;&gt;"",D3843&amp;" - "&amp;YEAR(F3843),"")</f>
        <v/>
      </c>
      <c r="F3843" s="31"/>
      <c r="G3843" s="29"/>
      <c r="H3843" s="78" t="str">
        <f t="shared" si="596"/>
        <v/>
      </c>
      <c r="I3843" s="25"/>
      <c r="J3843" s="25"/>
      <c r="K3843" s="26"/>
      <c r="L3843" s="26"/>
      <c r="M3843" s="37"/>
      <c r="N3843" s="27"/>
      <c r="O3843" s="30"/>
      <c r="P3843" s="39" t="str">
        <f t="shared" si="597"/>
        <v/>
      </c>
      <c r="Q3843" s="40" t="str">
        <f>IF(OR(T3843=0,RIGHT(T3843,1)=$W$1),"",COUNTIF($T$3:T3843,T3843))</f>
        <v/>
      </c>
      <c r="S3843" s="6">
        <f t="shared" si="598"/>
        <v>0</v>
      </c>
      <c r="T3843" s="36">
        <f t="shared" si="599"/>
        <v>0</v>
      </c>
      <c r="V3843" s="6">
        <f t="shared" si="600"/>
        <v>0</v>
      </c>
      <c r="Y3843" s="8">
        <f t="shared" si="601"/>
        <v>46023</v>
      </c>
    </row>
    <row r="3844" spans="2:25" ht="18.75" x14ac:dyDescent="0.3">
      <c r="B3844" s="6">
        <f t="shared" ref="B3844:B3907" si="603">IF($B$1=YEAR(F3844),B3843+1,B3843)</f>
        <v>0</v>
      </c>
      <c r="C3844" s="6">
        <f t="shared" ref="C3844:C3907" si="604">IF(AND($C$1=K3844,$Y$1=YEAR(F3844)),C3843+1,C3843)</f>
        <v>0</v>
      </c>
      <c r="D3844" s="6" t="str">
        <f t="shared" ref="D3844:D3907" si="605">IF(F3844&lt;&gt;0,IF(YEAR(F3844)&lt;&gt;YEAR(F3843),1,IF(M3844=$AI$1,D3843,D3843+1)),"")</f>
        <v/>
      </c>
      <c r="E3844" s="35" t="str">
        <f t="shared" si="602"/>
        <v/>
      </c>
      <c r="F3844" s="31"/>
      <c r="G3844" s="29"/>
      <c r="H3844" s="78" t="str">
        <f t="shared" ref="H3844:H3907" si="606">IF(G3844&lt;&gt;"",F3844,"")</f>
        <v/>
      </c>
      <c r="I3844" s="25"/>
      <c r="J3844" s="25"/>
      <c r="K3844" s="26"/>
      <c r="L3844" s="26"/>
      <c r="M3844" s="37"/>
      <c r="N3844" s="27"/>
      <c r="O3844" s="30"/>
      <c r="P3844" s="39" t="str">
        <f t="shared" ref="P3844:P3907" si="607">IF(OR(T3844=0,RIGHT(T3844,1)=$W$1),"",VLOOKUP(K3844,$AD$1:$AK$15,5,FALSE))</f>
        <v/>
      </c>
      <c r="Q3844" s="40" t="str">
        <f>IF(OR(T3844=0,RIGHT(T3844,1)=$W$1),"",COUNTIF($T$3:T3844,T3844))</f>
        <v/>
      </c>
      <c r="S3844" s="6">
        <f t="shared" ref="S3844:S3907" si="608">IF(AND($C$1=K3844,$Y$1=YEAR(F3844)),C3844,0)</f>
        <v>0</v>
      </c>
      <c r="T3844" s="36">
        <f t="shared" ref="T3844:T3907" si="609">IF(F3844=0,0,YEAR(F3844)&amp;VLOOKUP(K3844,$AD$1:$AE$15,2,FALSE))</f>
        <v>0</v>
      </c>
      <c r="V3844" s="6">
        <f t="shared" ref="V3844:V3907" si="610">IF(AND(YEAR(F3844)=$Y$1,K3844=$C$1,L3844&amp;$V$1&lt;&gt;$V$1),L3844,IF(AND(YEAR(F3844)=$Y$1,K3844=$C$1),1,0))</f>
        <v>0</v>
      </c>
      <c r="Y3844" s="8">
        <f t="shared" ref="Y3844:Y3907" si="611">IF(M3844&lt;&gt;$AI$1,$Y$2,F3843)</f>
        <v>46023</v>
      </c>
    </row>
    <row r="3845" spans="2:25" ht="18.75" x14ac:dyDescent="0.3">
      <c r="B3845" s="6">
        <f t="shared" si="603"/>
        <v>0</v>
      </c>
      <c r="C3845" s="6">
        <f t="shared" si="604"/>
        <v>0</v>
      </c>
      <c r="D3845" s="6" t="str">
        <f t="shared" si="605"/>
        <v/>
      </c>
      <c r="E3845" s="35" t="str">
        <f t="shared" si="602"/>
        <v/>
      </c>
      <c r="F3845" s="31"/>
      <c r="G3845" s="29"/>
      <c r="H3845" s="78" t="str">
        <f t="shared" si="606"/>
        <v/>
      </c>
      <c r="I3845" s="25"/>
      <c r="J3845" s="25"/>
      <c r="K3845" s="26"/>
      <c r="L3845" s="26"/>
      <c r="M3845" s="37"/>
      <c r="N3845" s="27"/>
      <c r="O3845" s="30"/>
      <c r="P3845" s="39" t="str">
        <f t="shared" si="607"/>
        <v/>
      </c>
      <c r="Q3845" s="40" t="str">
        <f>IF(OR(T3845=0,RIGHT(T3845,1)=$W$1),"",COUNTIF($T$3:T3845,T3845))</f>
        <v/>
      </c>
      <c r="S3845" s="6">
        <f t="shared" si="608"/>
        <v>0</v>
      </c>
      <c r="T3845" s="36">
        <f t="shared" si="609"/>
        <v>0</v>
      </c>
      <c r="V3845" s="6">
        <f t="shared" si="610"/>
        <v>0</v>
      </c>
      <c r="Y3845" s="8">
        <f t="shared" si="611"/>
        <v>46023</v>
      </c>
    </row>
    <row r="3846" spans="2:25" ht="18.75" x14ac:dyDescent="0.3">
      <c r="B3846" s="6">
        <f t="shared" si="603"/>
        <v>0</v>
      </c>
      <c r="C3846" s="6">
        <f t="shared" si="604"/>
        <v>0</v>
      </c>
      <c r="D3846" s="6" t="str">
        <f t="shared" si="605"/>
        <v/>
      </c>
      <c r="E3846" s="35" t="str">
        <f t="shared" si="602"/>
        <v/>
      </c>
      <c r="F3846" s="31"/>
      <c r="G3846" s="29"/>
      <c r="H3846" s="78" t="str">
        <f t="shared" si="606"/>
        <v/>
      </c>
      <c r="I3846" s="25"/>
      <c r="J3846" s="25"/>
      <c r="K3846" s="26"/>
      <c r="L3846" s="26"/>
      <c r="M3846" s="37"/>
      <c r="N3846" s="27"/>
      <c r="O3846" s="30"/>
      <c r="P3846" s="39" t="str">
        <f t="shared" si="607"/>
        <v/>
      </c>
      <c r="Q3846" s="40" t="str">
        <f>IF(OR(T3846=0,RIGHT(T3846,1)=$W$1),"",COUNTIF($T$3:T3846,T3846))</f>
        <v/>
      </c>
      <c r="S3846" s="6">
        <f t="shared" si="608"/>
        <v>0</v>
      </c>
      <c r="T3846" s="36">
        <f t="shared" si="609"/>
        <v>0</v>
      </c>
      <c r="V3846" s="6">
        <f t="shared" si="610"/>
        <v>0</v>
      </c>
      <c r="Y3846" s="8">
        <f t="shared" si="611"/>
        <v>46023</v>
      </c>
    </row>
    <row r="3847" spans="2:25" ht="18.75" x14ac:dyDescent="0.3">
      <c r="B3847" s="6">
        <f t="shared" si="603"/>
        <v>0</v>
      </c>
      <c r="C3847" s="6">
        <f t="shared" si="604"/>
        <v>0</v>
      </c>
      <c r="D3847" s="6" t="str">
        <f t="shared" si="605"/>
        <v/>
      </c>
      <c r="E3847" s="35" t="str">
        <f t="shared" si="602"/>
        <v/>
      </c>
      <c r="F3847" s="31"/>
      <c r="G3847" s="29"/>
      <c r="H3847" s="78" t="str">
        <f t="shared" si="606"/>
        <v/>
      </c>
      <c r="I3847" s="25"/>
      <c r="J3847" s="25"/>
      <c r="K3847" s="26"/>
      <c r="L3847" s="26"/>
      <c r="M3847" s="37"/>
      <c r="N3847" s="27"/>
      <c r="O3847" s="30"/>
      <c r="P3847" s="39" t="str">
        <f t="shared" si="607"/>
        <v/>
      </c>
      <c r="Q3847" s="40" t="str">
        <f>IF(OR(T3847=0,RIGHT(T3847,1)=$W$1),"",COUNTIF($T$3:T3847,T3847))</f>
        <v/>
      </c>
      <c r="S3847" s="6">
        <f t="shared" si="608"/>
        <v>0</v>
      </c>
      <c r="T3847" s="36">
        <f t="shared" si="609"/>
        <v>0</v>
      </c>
      <c r="V3847" s="6">
        <f t="shared" si="610"/>
        <v>0</v>
      </c>
      <c r="Y3847" s="8">
        <f t="shared" si="611"/>
        <v>46023</v>
      </c>
    </row>
    <row r="3848" spans="2:25" ht="18.75" x14ac:dyDescent="0.3">
      <c r="B3848" s="6">
        <f t="shared" si="603"/>
        <v>0</v>
      </c>
      <c r="C3848" s="6">
        <f t="shared" si="604"/>
        <v>0</v>
      </c>
      <c r="D3848" s="6" t="str">
        <f t="shared" si="605"/>
        <v/>
      </c>
      <c r="E3848" s="35" t="str">
        <f t="shared" si="602"/>
        <v/>
      </c>
      <c r="F3848" s="31"/>
      <c r="G3848" s="29"/>
      <c r="H3848" s="78" t="str">
        <f t="shared" si="606"/>
        <v/>
      </c>
      <c r="I3848" s="25"/>
      <c r="J3848" s="25"/>
      <c r="K3848" s="26"/>
      <c r="L3848" s="26"/>
      <c r="M3848" s="37"/>
      <c r="N3848" s="27"/>
      <c r="O3848" s="30"/>
      <c r="P3848" s="39" t="str">
        <f t="shared" si="607"/>
        <v/>
      </c>
      <c r="Q3848" s="40" t="str">
        <f>IF(OR(T3848=0,RIGHT(T3848,1)=$W$1),"",COUNTIF($T$3:T3848,T3848))</f>
        <v/>
      </c>
      <c r="S3848" s="6">
        <f t="shared" si="608"/>
        <v>0</v>
      </c>
      <c r="T3848" s="36">
        <f t="shared" si="609"/>
        <v>0</v>
      </c>
      <c r="V3848" s="6">
        <f t="shared" si="610"/>
        <v>0</v>
      </c>
      <c r="Y3848" s="8">
        <f t="shared" si="611"/>
        <v>46023</v>
      </c>
    </row>
    <row r="3849" spans="2:25" ht="18.75" x14ac:dyDescent="0.3">
      <c r="B3849" s="6">
        <f t="shared" si="603"/>
        <v>0</v>
      </c>
      <c r="C3849" s="6">
        <f t="shared" si="604"/>
        <v>0</v>
      </c>
      <c r="D3849" s="6" t="str">
        <f t="shared" si="605"/>
        <v/>
      </c>
      <c r="E3849" s="35" t="str">
        <f t="shared" si="602"/>
        <v/>
      </c>
      <c r="F3849" s="31"/>
      <c r="G3849" s="29"/>
      <c r="H3849" s="78" t="str">
        <f t="shared" si="606"/>
        <v/>
      </c>
      <c r="I3849" s="25"/>
      <c r="J3849" s="25"/>
      <c r="K3849" s="26"/>
      <c r="L3849" s="26"/>
      <c r="M3849" s="37"/>
      <c r="N3849" s="27"/>
      <c r="O3849" s="30"/>
      <c r="P3849" s="39" t="str">
        <f t="shared" si="607"/>
        <v/>
      </c>
      <c r="Q3849" s="40" t="str">
        <f>IF(OR(T3849=0,RIGHT(T3849,1)=$W$1),"",COUNTIF($T$3:T3849,T3849))</f>
        <v/>
      </c>
      <c r="S3849" s="6">
        <f t="shared" si="608"/>
        <v>0</v>
      </c>
      <c r="T3849" s="36">
        <f t="shared" si="609"/>
        <v>0</v>
      </c>
      <c r="V3849" s="6">
        <f t="shared" si="610"/>
        <v>0</v>
      </c>
      <c r="Y3849" s="8">
        <f t="shared" si="611"/>
        <v>46023</v>
      </c>
    </row>
    <row r="3850" spans="2:25" ht="18.75" x14ac:dyDescent="0.3">
      <c r="B3850" s="6">
        <f t="shared" si="603"/>
        <v>0</v>
      </c>
      <c r="C3850" s="6">
        <f t="shared" si="604"/>
        <v>0</v>
      </c>
      <c r="D3850" s="6" t="str">
        <f t="shared" si="605"/>
        <v/>
      </c>
      <c r="E3850" s="35" t="str">
        <f t="shared" si="602"/>
        <v/>
      </c>
      <c r="F3850" s="31"/>
      <c r="G3850" s="29"/>
      <c r="H3850" s="78" t="str">
        <f t="shared" si="606"/>
        <v/>
      </c>
      <c r="I3850" s="25"/>
      <c r="J3850" s="25"/>
      <c r="K3850" s="26"/>
      <c r="L3850" s="26"/>
      <c r="M3850" s="37"/>
      <c r="N3850" s="27"/>
      <c r="O3850" s="30"/>
      <c r="P3850" s="39" t="str">
        <f t="shared" si="607"/>
        <v/>
      </c>
      <c r="Q3850" s="40" t="str">
        <f>IF(OR(T3850=0,RIGHT(T3850,1)=$W$1),"",COUNTIF($T$3:T3850,T3850))</f>
        <v/>
      </c>
      <c r="S3850" s="6">
        <f t="shared" si="608"/>
        <v>0</v>
      </c>
      <c r="T3850" s="36">
        <f t="shared" si="609"/>
        <v>0</v>
      </c>
      <c r="V3850" s="6">
        <f t="shared" si="610"/>
        <v>0</v>
      </c>
      <c r="Y3850" s="8">
        <f t="shared" si="611"/>
        <v>46023</v>
      </c>
    </row>
    <row r="3851" spans="2:25" ht="18.75" x14ac:dyDescent="0.3">
      <c r="B3851" s="6">
        <f t="shared" si="603"/>
        <v>0</v>
      </c>
      <c r="C3851" s="6">
        <f t="shared" si="604"/>
        <v>0</v>
      </c>
      <c r="D3851" s="6" t="str">
        <f t="shared" si="605"/>
        <v/>
      </c>
      <c r="E3851" s="35" t="str">
        <f t="shared" si="602"/>
        <v/>
      </c>
      <c r="F3851" s="31"/>
      <c r="G3851" s="29"/>
      <c r="H3851" s="78" t="str">
        <f t="shared" si="606"/>
        <v/>
      </c>
      <c r="I3851" s="25"/>
      <c r="J3851" s="25"/>
      <c r="K3851" s="26"/>
      <c r="L3851" s="26"/>
      <c r="M3851" s="37"/>
      <c r="N3851" s="27"/>
      <c r="O3851" s="30"/>
      <c r="P3851" s="39" t="str">
        <f t="shared" si="607"/>
        <v/>
      </c>
      <c r="Q3851" s="40" t="str">
        <f>IF(OR(T3851=0,RIGHT(T3851,1)=$W$1),"",COUNTIF($T$3:T3851,T3851))</f>
        <v/>
      </c>
      <c r="S3851" s="6">
        <f t="shared" si="608"/>
        <v>0</v>
      </c>
      <c r="T3851" s="36">
        <f t="shared" si="609"/>
        <v>0</v>
      </c>
      <c r="V3851" s="6">
        <f t="shared" si="610"/>
        <v>0</v>
      </c>
      <c r="Y3851" s="8">
        <f t="shared" si="611"/>
        <v>46023</v>
      </c>
    </row>
    <row r="3852" spans="2:25" ht="18.75" x14ac:dyDescent="0.3">
      <c r="B3852" s="6">
        <f t="shared" si="603"/>
        <v>0</v>
      </c>
      <c r="C3852" s="6">
        <f t="shared" si="604"/>
        <v>0</v>
      </c>
      <c r="D3852" s="6" t="str">
        <f t="shared" si="605"/>
        <v/>
      </c>
      <c r="E3852" s="35" t="str">
        <f t="shared" si="602"/>
        <v/>
      </c>
      <c r="F3852" s="31"/>
      <c r="G3852" s="29"/>
      <c r="H3852" s="78" t="str">
        <f t="shared" si="606"/>
        <v/>
      </c>
      <c r="I3852" s="25"/>
      <c r="J3852" s="25"/>
      <c r="K3852" s="26"/>
      <c r="L3852" s="26"/>
      <c r="M3852" s="37"/>
      <c r="N3852" s="27"/>
      <c r="O3852" s="30"/>
      <c r="P3852" s="39" t="str">
        <f t="shared" si="607"/>
        <v/>
      </c>
      <c r="Q3852" s="40" t="str">
        <f>IF(OR(T3852=0,RIGHT(T3852,1)=$W$1),"",COUNTIF($T$3:T3852,T3852))</f>
        <v/>
      </c>
      <c r="S3852" s="6">
        <f t="shared" si="608"/>
        <v>0</v>
      </c>
      <c r="T3852" s="36">
        <f t="shared" si="609"/>
        <v>0</v>
      </c>
      <c r="V3852" s="6">
        <f t="shared" si="610"/>
        <v>0</v>
      </c>
      <c r="Y3852" s="8">
        <f t="shared" si="611"/>
        <v>46023</v>
      </c>
    </row>
    <row r="3853" spans="2:25" ht="18.75" x14ac:dyDescent="0.3">
      <c r="B3853" s="6">
        <f t="shared" si="603"/>
        <v>0</v>
      </c>
      <c r="C3853" s="6">
        <f t="shared" si="604"/>
        <v>0</v>
      </c>
      <c r="D3853" s="6" t="str">
        <f t="shared" si="605"/>
        <v/>
      </c>
      <c r="E3853" s="35" t="str">
        <f t="shared" si="602"/>
        <v/>
      </c>
      <c r="F3853" s="31"/>
      <c r="G3853" s="29"/>
      <c r="H3853" s="78" t="str">
        <f t="shared" si="606"/>
        <v/>
      </c>
      <c r="I3853" s="25"/>
      <c r="J3853" s="25"/>
      <c r="K3853" s="26"/>
      <c r="L3853" s="26"/>
      <c r="M3853" s="37"/>
      <c r="N3853" s="27"/>
      <c r="O3853" s="30"/>
      <c r="P3853" s="39" t="str">
        <f t="shared" si="607"/>
        <v/>
      </c>
      <c r="Q3853" s="40" t="str">
        <f>IF(OR(T3853=0,RIGHT(T3853,1)=$W$1),"",COUNTIF($T$3:T3853,T3853))</f>
        <v/>
      </c>
      <c r="S3853" s="6">
        <f t="shared" si="608"/>
        <v>0</v>
      </c>
      <c r="T3853" s="36">
        <f t="shared" si="609"/>
        <v>0</v>
      </c>
      <c r="V3853" s="6">
        <f t="shared" si="610"/>
        <v>0</v>
      </c>
      <c r="Y3853" s="8">
        <f t="shared" si="611"/>
        <v>46023</v>
      </c>
    </row>
    <row r="3854" spans="2:25" ht="18.75" x14ac:dyDescent="0.3">
      <c r="B3854" s="6">
        <f t="shared" si="603"/>
        <v>0</v>
      </c>
      <c r="C3854" s="6">
        <f t="shared" si="604"/>
        <v>0</v>
      </c>
      <c r="D3854" s="6" t="str">
        <f t="shared" si="605"/>
        <v/>
      </c>
      <c r="E3854" s="35" t="str">
        <f t="shared" si="602"/>
        <v/>
      </c>
      <c r="F3854" s="31"/>
      <c r="G3854" s="29"/>
      <c r="H3854" s="78" t="str">
        <f t="shared" si="606"/>
        <v/>
      </c>
      <c r="I3854" s="25"/>
      <c r="J3854" s="25"/>
      <c r="K3854" s="26"/>
      <c r="L3854" s="26"/>
      <c r="M3854" s="37"/>
      <c r="N3854" s="27"/>
      <c r="O3854" s="30"/>
      <c r="P3854" s="39" t="str">
        <f t="shared" si="607"/>
        <v/>
      </c>
      <c r="Q3854" s="40" t="str">
        <f>IF(OR(T3854=0,RIGHT(T3854,1)=$W$1),"",COUNTIF($T$3:T3854,T3854))</f>
        <v/>
      </c>
      <c r="S3854" s="6">
        <f t="shared" si="608"/>
        <v>0</v>
      </c>
      <c r="T3854" s="36">
        <f t="shared" si="609"/>
        <v>0</v>
      </c>
      <c r="V3854" s="6">
        <f t="shared" si="610"/>
        <v>0</v>
      </c>
      <c r="Y3854" s="8">
        <f t="shared" si="611"/>
        <v>46023</v>
      </c>
    </row>
    <row r="3855" spans="2:25" ht="18.75" x14ac:dyDescent="0.3">
      <c r="B3855" s="6">
        <f t="shared" si="603"/>
        <v>0</v>
      </c>
      <c r="C3855" s="6">
        <f t="shared" si="604"/>
        <v>0</v>
      </c>
      <c r="D3855" s="6" t="str">
        <f t="shared" si="605"/>
        <v/>
      </c>
      <c r="E3855" s="35" t="str">
        <f t="shared" si="602"/>
        <v/>
      </c>
      <c r="F3855" s="31"/>
      <c r="G3855" s="29"/>
      <c r="H3855" s="78" t="str">
        <f t="shared" si="606"/>
        <v/>
      </c>
      <c r="I3855" s="25"/>
      <c r="J3855" s="25"/>
      <c r="K3855" s="26"/>
      <c r="L3855" s="26"/>
      <c r="M3855" s="37"/>
      <c r="N3855" s="27"/>
      <c r="O3855" s="30"/>
      <c r="P3855" s="39" t="str">
        <f t="shared" si="607"/>
        <v/>
      </c>
      <c r="Q3855" s="40" t="str">
        <f>IF(OR(T3855=0,RIGHT(T3855,1)=$W$1),"",COUNTIF($T$3:T3855,T3855))</f>
        <v/>
      </c>
      <c r="S3855" s="6">
        <f t="shared" si="608"/>
        <v>0</v>
      </c>
      <c r="T3855" s="36">
        <f t="shared" si="609"/>
        <v>0</v>
      </c>
      <c r="V3855" s="6">
        <f t="shared" si="610"/>
        <v>0</v>
      </c>
      <c r="Y3855" s="8">
        <f t="shared" si="611"/>
        <v>46023</v>
      </c>
    </row>
    <row r="3856" spans="2:25" ht="18.75" x14ac:dyDescent="0.3">
      <c r="B3856" s="6">
        <f t="shared" si="603"/>
        <v>0</v>
      </c>
      <c r="C3856" s="6">
        <f t="shared" si="604"/>
        <v>0</v>
      </c>
      <c r="D3856" s="6" t="str">
        <f t="shared" si="605"/>
        <v/>
      </c>
      <c r="E3856" s="35" t="str">
        <f t="shared" si="602"/>
        <v/>
      </c>
      <c r="F3856" s="31"/>
      <c r="G3856" s="29"/>
      <c r="H3856" s="78" t="str">
        <f t="shared" si="606"/>
        <v/>
      </c>
      <c r="I3856" s="25"/>
      <c r="J3856" s="25"/>
      <c r="K3856" s="26"/>
      <c r="L3856" s="26"/>
      <c r="M3856" s="37"/>
      <c r="N3856" s="27"/>
      <c r="O3856" s="30"/>
      <c r="P3856" s="39" t="str">
        <f t="shared" si="607"/>
        <v/>
      </c>
      <c r="Q3856" s="40" t="str">
        <f>IF(OR(T3856=0,RIGHT(T3856,1)=$W$1),"",COUNTIF($T$3:T3856,T3856))</f>
        <v/>
      </c>
      <c r="S3856" s="6">
        <f t="shared" si="608"/>
        <v>0</v>
      </c>
      <c r="T3856" s="36">
        <f t="shared" si="609"/>
        <v>0</v>
      </c>
      <c r="V3856" s="6">
        <f t="shared" si="610"/>
        <v>0</v>
      </c>
      <c r="Y3856" s="8">
        <f t="shared" si="611"/>
        <v>46023</v>
      </c>
    </row>
    <row r="3857" spans="2:25" ht="18.75" x14ac:dyDescent="0.3">
      <c r="B3857" s="6">
        <f t="shared" si="603"/>
        <v>0</v>
      </c>
      <c r="C3857" s="6">
        <f t="shared" si="604"/>
        <v>0</v>
      </c>
      <c r="D3857" s="6" t="str">
        <f t="shared" si="605"/>
        <v/>
      </c>
      <c r="E3857" s="35" t="str">
        <f t="shared" si="602"/>
        <v/>
      </c>
      <c r="F3857" s="31"/>
      <c r="G3857" s="29"/>
      <c r="H3857" s="78" t="str">
        <f t="shared" si="606"/>
        <v/>
      </c>
      <c r="I3857" s="25"/>
      <c r="J3857" s="25"/>
      <c r="K3857" s="26"/>
      <c r="L3857" s="26"/>
      <c r="M3857" s="37"/>
      <c r="N3857" s="27"/>
      <c r="O3857" s="30"/>
      <c r="P3857" s="39" t="str">
        <f t="shared" si="607"/>
        <v/>
      </c>
      <c r="Q3857" s="40" t="str">
        <f>IF(OR(T3857=0,RIGHT(T3857,1)=$W$1),"",COUNTIF($T$3:T3857,T3857))</f>
        <v/>
      </c>
      <c r="S3857" s="6">
        <f t="shared" si="608"/>
        <v>0</v>
      </c>
      <c r="T3857" s="36">
        <f t="shared" si="609"/>
        <v>0</v>
      </c>
      <c r="V3857" s="6">
        <f t="shared" si="610"/>
        <v>0</v>
      </c>
      <c r="Y3857" s="8">
        <f t="shared" si="611"/>
        <v>46023</v>
      </c>
    </row>
    <row r="3858" spans="2:25" ht="18.75" x14ac:dyDescent="0.3">
      <c r="B3858" s="6">
        <f t="shared" si="603"/>
        <v>0</v>
      </c>
      <c r="C3858" s="6">
        <f t="shared" si="604"/>
        <v>0</v>
      </c>
      <c r="D3858" s="6" t="str">
        <f t="shared" si="605"/>
        <v/>
      </c>
      <c r="E3858" s="35" t="str">
        <f t="shared" si="602"/>
        <v/>
      </c>
      <c r="F3858" s="31"/>
      <c r="G3858" s="29"/>
      <c r="H3858" s="78" t="str">
        <f t="shared" si="606"/>
        <v/>
      </c>
      <c r="I3858" s="25"/>
      <c r="J3858" s="25"/>
      <c r="K3858" s="26"/>
      <c r="L3858" s="26"/>
      <c r="M3858" s="37"/>
      <c r="N3858" s="27"/>
      <c r="O3858" s="30"/>
      <c r="P3858" s="39" t="str">
        <f t="shared" si="607"/>
        <v/>
      </c>
      <c r="Q3858" s="40" t="str">
        <f>IF(OR(T3858=0,RIGHT(T3858,1)=$W$1),"",COUNTIF($T$3:T3858,T3858))</f>
        <v/>
      </c>
      <c r="S3858" s="6">
        <f t="shared" si="608"/>
        <v>0</v>
      </c>
      <c r="T3858" s="36">
        <f t="shared" si="609"/>
        <v>0</v>
      </c>
      <c r="V3858" s="6">
        <f t="shared" si="610"/>
        <v>0</v>
      </c>
      <c r="Y3858" s="8">
        <f t="shared" si="611"/>
        <v>46023</v>
      </c>
    </row>
    <row r="3859" spans="2:25" ht="18.75" x14ac:dyDescent="0.3">
      <c r="B3859" s="6">
        <f t="shared" si="603"/>
        <v>0</v>
      </c>
      <c r="C3859" s="6">
        <f t="shared" si="604"/>
        <v>0</v>
      </c>
      <c r="D3859" s="6" t="str">
        <f t="shared" si="605"/>
        <v/>
      </c>
      <c r="E3859" s="35" t="str">
        <f t="shared" si="602"/>
        <v/>
      </c>
      <c r="F3859" s="31"/>
      <c r="G3859" s="29"/>
      <c r="H3859" s="78" t="str">
        <f t="shared" si="606"/>
        <v/>
      </c>
      <c r="I3859" s="25"/>
      <c r="J3859" s="25"/>
      <c r="K3859" s="26"/>
      <c r="L3859" s="26"/>
      <c r="M3859" s="37"/>
      <c r="N3859" s="27"/>
      <c r="O3859" s="30"/>
      <c r="P3859" s="39" t="str">
        <f t="shared" si="607"/>
        <v/>
      </c>
      <c r="Q3859" s="40" t="str">
        <f>IF(OR(T3859=0,RIGHT(T3859,1)=$W$1),"",COUNTIF($T$3:T3859,T3859))</f>
        <v/>
      </c>
      <c r="S3859" s="6">
        <f t="shared" si="608"/>
        <v>0</v>
      </c>
      <c r="T3859" s="36">
        <f t="shared" si="609"/>
        <v>0</v>
      </c>
      <c r="V3859" s="6">
        <f t="shared" si="610"/>
        <v>0</v>
      </c>
      <c r="Y3859" s="8">
        <f t="shared" si="611"/>
        <v>46023</v>
      </c>
    </row>
    <row r="3860" spans="2:25" ht="18.75" x14ac:dyDescent="0.3">
      <c r="B3860" s="6">
        <f t="shared" si="603"/>
        <v>0</v>
      </c>
      <c r="C3860" s="6">
        <f t="shared" si="604"/>
        <v>0</v>
      </c>
      <c r="D3860" s="6" t="str">
        <f t="shared" si="605"/>
        <v/>
      </c>
      <c r="E3860" s="35" t="str">
        <f t="shared" si="602"/>
        <v/>
      </c>
      <c r="F3860" s="31"/>
      <c r="G3860" s="29"/>
      <c r="H3860" s="78" t="str">
        <f t="shared" si="606"/>
        <v/>
      </c>
      <c r="I3860" s="25"/>
      <c r="J3860" s="25"/>
      <c r="K3860" s="26"/>
      <c r="L3860" s="26"/>
      <c r="M3860" s="37"/>
      <c r="N3860" s="27"/>
      <c r="O3860" s="30"/>
      <c r="P3860" s="39" t="str">
        <f t="shared" si="607"/>
        <v/>
      </c>
      <c r="Q3860" s="40" t="str">
        <f>IF(OR(T3860=0,RIGHT(T3860,1)=$W$1),"",COUNTIF($T$3:T3860,T3860))</f>
        <v/>
      </c>
      <c r="S3860" s="6">
        <f t="shared" si="608"/>
        <v>0</v>
      </c>
      <c r="T3860" s="36">
        <f t="shared" si="609"/>
        <v>0</v>
      </c>
      <c r="V3860" s="6">
        <f t="shared" si="610"/>
        <v>0</v>
      </c>
      <c r="Y3860" s="8">
        <f t="shared" si="611"/>
        <v>46023</v>
      </c>
    </row>
    <row r="3861" spans="2:25" ht="18.75" x14ac:dyDescent="0.3">
      <c r="B3861" s="6">
        <f t="shared" si="603"/>
        <v>0</v>
      </c>
      <c r="C3861" s="6">
        <f t="shared" si="604"/>
        <v>0</v>
      </c>
      <c r="D3861" s="6" t="str">
        <f t="shared" si="605"/>
        <v/>
      </c>
      <c r="E3861" s="35" t="str">
        <f t="shared" si="602"/>
        <v/>
      </c>
      <c r="F3861" s="31"/>
      <c r="G3861" s="29"/>
      <c r="H3861" s="78" t="str">
        <f t="shared" si="606"/>
        <v/>
      </c>
      <c r="I3861" s="25"/>
      <c r="J3861" s="25"/>
      <c r="K3861" s="26"/>
      <c r="L3861" s="26"/>
      <c r="M3861" s="37"/>
      <c r="N3861" s="27"/>
      <c r="O3861" s="30"/>
      <c r="P3861" s="39" t="str">
        <f t="shared" si="607"/>
        <v/>
      </c>
      <c r="Q3861" s="40" t="str">
        <f>IF(OR(T3861=0,RIGHT(T3861,1)=$W$1),"",COUNTIF($T$3:T3861,T3861))</f>
        <v/>
      </c>
      <c r="S3861" s="6">
        <f t="shared" si="608"/>
        <v>0</v>
      </c>
      <c r="T3861" s="36">
        <f t="shared" si="609"/>
        <v>0</v>
      </c>
      <c r="V3861" s="6">
        <f t="shared" si="610"/>
        <v>0</v>
      </c>
      <c r="Y3861" s="8">
        <f t="shared" si="611"/>
        <v>46023</v>
      </c>
    </row>
    <row r="3862" spans="2:25" ht="18.75" x14ac:dyDescent="0.3">
      <c r="B3862" s="6">
        <f t="shared" si="603"/>
        <v>0</v>
      </c>
      <c r="C3862" s="6">
        <f t="shared" si="604"/>
        <v>0</v>
      </c>
      <c r="D3862" s="6" t="str">
        <f t="shared" si="605"/>
        <v/>
      </c>
      <c r="E3862" s="35" t="str">
        <f t="shared" si="602"/>
        <v/>
      </c>
      <c r="F3862" s="31"/>
      <c r="G3862" s="29"/>
      <c r="H3862" s="78" t="str">
        <f t="shared" si="606"/>
        <v/>
      </c>
      <c r="I3862" s="25"/>
      <c r="J3862" s="25"/>
      <c r="K3862" s="26"/>
      <c r="L3862" s="26"/>
      <c r="M3862" s="37"/>
      <c r="N3862" s="27"/>
      <c r="O3862" s="30"/>
      <c r="P3862" s="39" t="str">
        <f t="shared" si="607"/>
        <v/>
      </c>
      <c r="Q3862" s="40" t="str">
        <f>IF(OR(T3862=0,RIGHT(T3862,1)=$W$1),"",COUNTIF($T$3:T3862,T3862))</f>
        <v/>
      </c>
      <c r="S3862" s="6">
        <f t="shared" si="608"/>
        <v>0</v>
      </c>
      <c r="T3862" s="36">
        <f t="shared" si="609"/>
        <v>0</v>
      </c>
      <c r="V3862" s="6">
        <f t="shared" si="610"/>
        <v>0</v>
      </c>
      <c r="Y3862" s="8">
        <f t="shared" si="611"/>
        <v>46023</v>
      </c>
    </row>
    <row r="3863" spans="2:25" ht="18.75" x14ac:dyDescent="0.3">
      <c r="B3863" s="6">
        <f t="shared" si="603"/>
        <v>0</v>
      </c>
      <c r="C3863" s="6">
        <f t="shared" si="604"/>
        <v>0</v>
      </c>
      <c r="D3863" s="6" t="str">
        <f t="shared" si="605"/>
        <v/>
      </c>
      <c r="E3863" s="35" t="str">
        <f t="shared" si="602"/>
        <v/>
      </c>
      <c r="F3863" s="31"/>
      <c r="G3863" s="29"/>
      <c r="H3863" s="78" t="str">
        <f t="shared" si="606"/>
        <v/>
      </c>
      <c r="I3863" s="25"/>
      <c r="J3863" s="25"/>
      <c r="K3863" s="26"/>
      <c r="L3863" s="26"/>
      <c r="M3863" s="37"/>
      <c r="N3863" s="27"/>
      <c r="O3863" s="30"/>
      <c r="P3863" s="39" t="str">
        <f t="shared" si="607"/>
        <v/>
      </c>
      <c r="Q3863" s="40" t="str">
        <f>IF(OR(T3863=0,RIGHT(T3863,1)=$W$1),"",COUNTIF($T$3:T3863,T3863))</f>
        <v/>
      </c>
      <c r="S3863" s="6">
        <f t="shared" si="608"/>
        <v>0</v>
      </c>
      <c r="T3863" s="36">
        <f t="shared" si="609"/>
        <v>0</v>
      </c>
      <c r="V3863" s="6">
        <f t="shared" si="610"/>
        <v>0</v>
      </c>
      <c r="Y3863" s="8">
        <f t="shared" si="611"/>
        <v>46023</v>
      </c>
    </row>
    <row r="3864" spans="2:25" ht="18.75" x14ac:dyDescent="0.3">
      <c r="B3864" s="6">
        <f t="shared" si="603"/>
        <v>0</v>
      </c>
      <c r="C3864" s="6">
        <f t="shared" si="604"/>
        <v>0</v>
      </c>
      <c r="D3864" s="6" t="str">
        <f t="shared" si="605"/>
        <v/>
      </c>
      <c r="E3864" s="35" t="str">
        <f t="shared" si="602"/>
        <v/>
      </c>
      <c r="F3864" s="31"/>
      <c r="G3864" s="29"/>
      <c r="H3864" s="78" t="str">
        <f t="shared" si="606"/>
        <v/>
      </c>
      <c r="I3864" s="25"/>
      <c r="J3864" s="25"/>
      <c r="K3864" s="26"/>
      <c r="L3864" s="26"/>
      <c r="M3864" s="37"/>
      <c r="N3864" s="27"/>
      <c r="O3864" s="30"/>
      <c r="P3864" s="39" t="str">
        <f t="shared" si="607"/>
        <v/>
      </c>
      <c r="Q3864" s="40" t="str">
        <f>IF(OR(T3864=0,RIGHT(T3864,1)=$W$1),"",COUNTIF($T$3:T3864,T3864))</f>
        <v/>
      </c>
      <c r="S3864" s="6">
        <f t="shared" si="608"/>
        <v>0</v>
      </c>
      <c r="T3864" s="36">
        <f t="shared" si="609"/>
        <v>0</v>
      </c>
      <c r="V3864" s="6">
        <f t="shared" si="610"/>
        <v>0</v>
      </c>
      <c r="Y3864" s="8">
        <f t="shared" si="611"/>
        <v>46023</v>
      </c>
    </row>
    <row r="3865" spans="2:25" ht="18.75" x14ac:dyDescent="0.3">
      <c r="B3865" s="6">
        <f t="shared" si="603"/>
        <v>0</v>
      </c>
      <c r="C3865" s="6">
        <f t="shared" si="604"/>
        <v>0</v>
      </c>
      <c r="D3865" s="6" t="str">
        <f t="shared" si="605"/>
        <v/>
      </c>
      <c r="E3865" s="35" t="str">
        <f t="shared" si="602"/>
        <v/>
      </c>
      <c r="F3865" s="31"/>
      <c r="G3865" s="29"/>
      <c r="H3865" s="78" t="str">
        <f t="shared" si="606"/>
        <v/>
      </c>
      <c r="I3865" s="25"/>
      <c r="J3865" s="25"/>
      <c r="K3865" s="26"/>
      <c r="L3865" s="26"/>
      <c r="M3865" s="37"/>
      <c r="N3865" s="27"/>
      <c r="O3865" s="30"/>
      <c r="P3865" s="39" t="str">
        <f t="shared" si="607"/>
        <v/>
      </c>
      <c r="Q3865" s="40" t="str">
        <f>IF(OR(T3865=0,RIGHT(T3865,1)=$W$1),"",COUNTIF($T$3:T3865,T3865))</f>
        <v/>
      </c>
      <c r="S3865" s="6">
        <f t="shared" si="608"/>
        <v>0</v>
      </c>
      <c r="T3865" s="36">
        <f t="shared" si="609"/>
        <v>0</v>
      </c>
      <c r="V3865" s="6">
        <f t="shared" si="610"/>
        <v>0</v>
      </c>
      <c r="Y3865" s="8">
        <f t="shared" si="611"/>
        <v>46023</v>
      </c>
    </row>
    <row r="3866" spans="2:25" ht="18.75" x14ac:dyDescent="0.3">
      <c r="B3866" s="6">
        <f t="shared" si="603"/>
        <v>0</v>
      </c>
      <c r="C3866" s="6">
        <f t="shared" si="604"/>
        <v>0</v>
      </c>
      <c r="D3866" s="6" t="str">
        <f t="shared" si="605"/>
        <v/>
      </c>
      <c r="E3866" s="35" t="str">
        <f t="shared" si="602"/>
        <v/>
      </c>
      <c r="F3866" s="31"/>
      <c r="G3866" s="29"/>
      <c r="H3866" s="78" t="str">
        <f t="shared" si="606"/>
        <v/>
      </c>
      <c r="I3866" s="25"/>
      <c r="J3866" s="25"/>
      <c r="K3866" s="26"/>
      <c r="L3866" s="26"/>
      <c r="M3866" s="37"/>
      <c r="N3866" s="27"/>
      <c r="O3866" s="30"/>
      <c r="P3866" s="39" t="str">
        <f t="shared" si="607"/>
        <v/>
      </c>
      <c r="Q3866" s="40" t="str">
        <f>IF(OR(T3866=0,RIGHT(T3866,1)=$W$1),"",COUNTIF($T$3:T3866,T3866))</f>
        <v/>
      </c>
      <c r="S3866" s="6">
        <f t="shared" si="608"/>
        <v>0</v>
      </c>
      <c r="T3866" s="36">
        <f t="shared" si="609"/>
        <v>0</v>
      </c>
      <c r="V3866" s="6">
        <f t="shared" si="610"/>
        <v>0</v>
      </c>
      <c r="Y3866" s="8">
        <f t="shared" si="611"/>
        <v>46023</v>
      </c>
    </row>
    <row r="3867" spans="2:25" ht="18.75" x14ac:dyDescent="0.3">
      <c r="B3867" s="6">
        <f t="shared" si="603"/>
        <v>0</v>
      </c>
      <c r="C3867" s="6">
        <f t="shared" si="604"/>
        <v>0</v>
      </c>
      <c r="D3867" s="6" t="str">
        <f t="shared" si="605"/>
        <v/>
      </c>
      <c r="E3867" s="35" t="str">
        <f t="shared" si="602"/>
        <v/>
      </c>
      <c r="F3867" s="31"/>
      <c r="G3867" s="29"/>
      <c r="H3867" s="78" t="str">
        <f t="shared" si="606"/>
        <v/>
      </c>
      <c r="I3867" s="25"/>
      <c r="J3867" s="25"/>
      <c r="K3867" s="26"/>
      <c r="L3867" s="26"/>
      <c r="M3867" s="37"/>
      <c r="N3867" s="27"/>
      <c r="O3867" s="30"/>
      <c r="P3867" s="39" t="str">
        <f t="shared" si="607"/>
        <v/>
      </c>
      <c r="Q3867" s="40" t="str">
        <f>IF(OR(T3867=0,RIGHT(T3867,1)=$W$1),"",COUNTIF($T$3:T3867,T3867))</f>
        <v/>
      </c>
      <c r="S3867" s="6">
        <f t="shared" si="608"/>
        <v>0</v>
      </c>
      <c r="T3867" s="36">
        <f t="shared" si="609"/>
        <v>0</v>
      </c>
      <c r="V3867" s="6">
        <f t="shared" si="610"/>
        <v>0</v>
      </c>
      <c r="Y3867" s="8">
        <f t="shared" si="611"/>
        <v>46023</v>
      </c>
    </row>
    <row r="3868" spans="2:25" ht="18.75" x14ac:dyDescent="0.3">
      <c r="B3868" s="6">
        <f t="shared" si="603"/>
        <v>0</v>
      </c>
      <c r="C3868" s="6">
        <f t="shared" si="604"/>
        <v>0</v>
      </c>
      <c r="D3868" s="6" t="str">
        <f t="shared" si="605"/>
        <v/>
      </c>
      <c r="E3868" s="35" t="str">
        <f t="shared" si="602"/>
        <v/>
      </c>
      <c r="F3868" s="31"/>
      <c r="G3868" s="29"/>
      <c r="H3868" s="78" t="str">
        <f t="shared" si="606"/>
        <v/>
      </c>
      <c r="I3868" s="25"/>
      <c r="J3868" s="25"/>
      <c r="K3868" s="26"/>
      <c r="L3868" s="26"/>
      <c r="M3868" s="37"/>
      <c r="N3868" s="27"/>
      <c r="O3868" s="30"/>
      <c r="P3868" s="39" t="str">
        <f t="shared" si="607"/>
        <v/>
      </c>
      <c r="Q3868" s="40" t="str">
        <f>IF(OR(T3868=0,RIGHT(T3868,1)=$W$1),"",COUNTIF($T$3:T3868,T3868))</f>
        <v/>
      </c>
      <c r="S3868" s="6">
        <f t="shared" si="608"/>
        <v>0</v>
      </c>
      <c r="T3868" s="36">
        <f t="shared" si="609"/>
        <v>0</v>
      </c>
      <c r="V3868" s="6">
        <f t="shared" si="610"/>
        <v>0</v>
      </c>
      <c r="Y3868" s="8">
        <f t="shared" si="611"/>
        <v>46023</v>
      </c>
    </row>
    <row r="3869" spans="2:25" ht="18.75" x14ac:dyDescent="0.3">
      <c r="B3869" s="6">
        <f t="shared" si="603"/>
        <v>0</v>
      </c>
      <c r="C3869" s="6">
        <f t="shared" si="604"/>
        <v>0</v>
      </c>
      <c r="D3869" s="6" t="str">
        <f t="shared" si="605"/>
        <v/>
      </c>
      <c r="E3869" s="35" t="str">
        <f t="shared" si="602"/>
        <v/>
      </c>
      <c r="F3869" s="31"/>
      <c r="G3869" s="29"/>
      <c r="H3869" s="78" t="str">
        <f t="shared" si="606"/>
        <v/>
      </c>
      <c r="I3869" s="25"/>
      <c r="J3869" s="25"/>
      <c r="K3869" s="26"/>
      <c r="L3869" s="26"/>
      <c r="M3869" s="37"/>
      <c r="N3869" s="27"/>
      <c r="O3869" s="30"/>
      <c r="P3869" s="39" t="str">
        <f t="shared" si="607"/>
        <v/>
      </c>
      <c r="Q3869" s="40" t="str">
        <f>IF(OR(T3869=0,RIGHT(T3869,1)=$W$1),"",COUNTIF($T$3:T3869,T3869))</f>
        <v/>
      </c>
      <c r="S3869" s="6">
        <f t="shared" si="608"/>
        <v>0</v>
      </c>
      <c r="T3869" s="36">
        <f t="shared" si="609"/>
        <v>0</v>
      </c>
      <c r="V3869" s="6">
        <f t="shared" si="610"/>
        <v>0</v>
      </c>
      <c r="Y3869" s="8">
        <f t="shared" si="611"/>
        <v>46023</v>
      </c>
    </row>
    <row r="3870" spans="2:25" ht="18.75" x14ac:dyDescent="0.3">
      <c r="B3870" s="6">
        <f t="shared" si="603"/>
        <v>0</v>
      </c>
      <c r="C3870" s="6">
        <f t="shared" si="604"/>
        <v>0</v>
      </c>
      <c r="D3870" s="6" t="str">
        <f t="shared" si="605"/>
        <v/>
      </c>
      <c r="E3870" s="35" t="str">
        <f t="shared" si="602"/>
        <v/>
      </c>
      <c r="F3870" s="31"/>
      <c r="G3870" s="29"/>
      <c r="H3870" s="78" t="str">
        <f t="shared" si="606"/>
        <v/>
      </c>
      <c r="I3870" s="25"/>
      <c r="J3870" s="25"/>
      <c r="K3870" s="26"/>
      <c r="L3870" s="26"/>
      <c r="M3870" s="37"/>
      <c r="N3870" s="27"/>
      <c r="O3870" s="30"/>
      <c r="P3870" s="39" t="str">
        <f t="shared" si="607"/>
        <v/>
      </c>
      <c r="Q3870" s="40" t="str">
        <f>IF(OR(T3870=0,RIGHT(T3870,1)=$W$1),"",COUNTIF($T$3:T3870,T3870))</f>
        <v/>
      </c>
      <c r="S3870" s="6">
        <f t="shared" si="608"/>
        <v>0</v>
      </c>
      <c r="T3870" s="36">
        <f t="shared" si="609"/>
        <v>0</v>
      </c>
      <c r="V3870" s="6">
        <f t="shared" si="610"/>
        <v>0</v>
      </c>
      <c r="Y3870" s="8">
        <f t="shared" si="611"/>
        <v>46023</v>
      </c>
    </row>
    <row r="3871" spans="2:25" ht="18.75" x14ac:dyDescent="0.3">
      <c r="B3871" s="6">
        <f t="shared" si="603"/>
        <v>0</v>
      </c>
      <c r="C3871" s="6">
        <f t="shared" si="604"/>
        <v>0</v>
      </c>
      <c r="D3871" s="6" t="str">
        <f t="shared" si="605"/>
        <v/>
      </c>
      <c r="E3871" s="35" t="str">
        <f t="shared" si="602"/>
        <v/>
      </c>
      <c r="F3871" s="31"/>
      <c r="G3871" s="29"/>
      <c r="H3871" s="78" t="str">
        <f t="shared" si="606"/>
        <v/>
      </c>
      <c r="I3871" s="25"/>
      <c r="J3871" s="25"/>
      <c r="K3871" s="26"/>
      <c r="L3871" s="26"/>
      <c r="M3871" s="37"/>
      <c r="N3871" s="27"/>
      <c r="O3871" s="30"/>
      <c r="P3871" s="39" t="str">
        <f t="shared" si="607"/>
        <v/>
      </c>
      <c r="Q3871" s="40" t="str">
        <f>IF(OR(T3871=0,RIGHT(T3871,1)=$W$1),"",COUNTIF($T$3:T3871,T3871))</f>
        <v/>
      </c>
      <c r="S3871" s="6">
        <f t="shared" si="608"/>
        <v>0</v>
      </c>
      <c r="T3871" s="36">
        <f t="shared" si="609"/>
        <v>0</v>
      </c>
      <c r="V3871" s="6">
        <f t="shared" si="610"/>
        <v>0</v>
      </c>
      <c r="Y3871" s="8">
        <f t="shared" si="611"/>
        <v>46023</v>
      </c>
    </row>
    <row r="3872" spans="2:25" ht="18.75" x14ac:dyDescent="0.3">
      <c r="B3872" s="6">
        <f t="shared" si="603"/>
        <v>0</v>
      </c>
      <c r="C3872" s="6">
        <f t="shared" si="604"/>
        <v>0</v>
      </c>
      <c r="D3872" s="6" t="str">
        <f t="shared" si="605"/>
        <v/>
      </c>
      <c r="E3872" s="35" t="str">
        <f t="shared" si="602"/>
        <v/>
      </c>
      <c r="F3872" s="31"/>
      <c r="G3872" s="29"/>
      <c r="H3872" s="78" t="str">
        <f t="shared" si="606"/>
        <v/>
      </c>
      <c r="I3872" s="25"/>
      <c r="J3872" s="25"/>
      <c r="K3872" s="26"/>
      <c r="L3872" s="26"/>
      <c r="M3872" s="37"/>
      <c r="N3872" s="27"/>
      <c r="O3872" s="30"/>
      <c r="P3872" s="39" t="str">
        <f t="shared" si="607"/>
        <v/>
      </c>
      <c r="Q3872" s="40" t="str">
        <f>IF(OR(T3872=0,RIGHT(T3872,1)=$W$1),"",COUNTIF($T$3:T3872,T3872))</f>
        <v/>
      </c>
      <c r="S3872" s="6">
        <f t="shared" si="608"/>
        <v>0</v>
      </c>
      <c r="T3872" s="36">
        <f t="shared" si="609"/>
        <v>0</v>
      </c>
      <c r="V3872" s="6">
        <f t="shared" si="610"/>
        <v>0</v>
      </c>
      <c r="Y3872" s="8">
        <f t="shared" si="611"/>
        <v>46023</v>
      </c>
    </row>
    <row r="3873" spans="2:25" ht="18.75" x14ac:dyDescent="0.3">
      <c r="B3873" s="6">
        <f t="shared" si="603"/>
        <v>0</v>
      </c>
      <c r="C3873" s="6">
        <f t="shared" si="604"/>
        <v>0</v>
      </c>
      <c r="D3873" s="6" t="str">
        <f t="shared" si="605"/>
        <v/>
      </c>
      <c r="E3873" s="35" t="str">
        <f t="shared" si="602"/>
        <v/>
      </c>
      <c r="F3873" s="31"/>
      <c r="G3873" s="29"/>
      <c r="H3873" s="78" t="str">
        <f t="shared" si="606"/>
        <v/>
      </c>
      <c r="I3873" s="25"/>
      <c r="J3873" s="25"/>
      <c r="K3873" s="26"/>
      <c r="L3873" s="26"/>
      <c r="M3873" s="37"/>
      <c r="N3873" s="27"/>
      <c r="O3873" s="30"/>
      <c r="P3873" s="39" t="str">
        <f t="shared" si="607"/>
        <v/>
      </c>
      <c r="Q3873" s="40" t="str">
        <f>IF(OR(T3873=0,RIGHT(T3873,1)=$W$1),"",COUNTIF($T$3:T3873,T3873))</f>
        <v/>
      </c>
      <c r="S3873" s="6">
        <f t="shared" si="608"/>
        <v>0</v>
      </c>
      <c r="T3873" s="36">
        <f t="shared" si="609"/>
        <v>0</v>
      </c>
      <c r="V3873" s="6">
        <f t="shared" si="610"/>
        <v>0</v>
      </c>
      <c r="Y3873" s="8">
        <f t="shared" si="611"/>
        <v>46023</v>
      </c>
    </row>
    <row r="3874" spans="2:25" ht="18.75" x14ac:dyDescent="0.3">
      <c r="B3874" s="6">
        <f t="shared" si="603"/>
        <v>0</v>
      </c>
      <c r="C3874" s="6">
        <f t="shared" si="604"/>
        <v>0</v>
      </c>
      <c r="D3874" s="6" t="str">
        <f t="shared" si="605"/>
        <v/>
      </c>
      <c r="E3874" s="35" t="str">
        <f t="shared" si="602"/>
        <v/>
      </c>
      <c r="F3874" s="31"/>
      <c r="G3874" s="29"/>
      <c r="H3874" s="78" t="str">
        <f t="shared" si="606"/>
        <v/>
      </c>
      <c r="I3874" s="25"/>
      <c r="J3874" s="25"/>
      <c r="K3874" s="26"/>
      <c r="L3874" s="26"/>
      <c r="M3874" s="37"/>
      <c r="N3874" s="27"/>
      <c r="O3874" s="30"/>
      <c r="P3874" s="39" t="str">
        <f t="shared" si="607"/>
        <v/>
      </c>
      <c r="Q3874" s="40" t="str">
        <f>IF(OR(T3874=0,RIGHT(T3874,1)=$W$1),"",COUNTIF($T$3:T3874,T3874))</f>
        <v/>
      </c>
      <c r="S3874" s="6">
        <f t="shared" si="608"/>
        <v>0</v>
      </c>
      <c r="T3874" s="36">
        <f t="shared" si="609"/>
        <v>0</v>
      </c>
      <c r="V3874" s="6">
        <f t="shared" si="610"/>
        <v>0</v>
      </c>
      <c r="Y3874" s="8">
        <f t="shared" si="611"/>
        <v>46023</v>
      </c>
    </row>
    <row r="3875" spans="2:25" ht="18.75" x14ac:dyDescent="0.3">
      <c r="B3875" s="6">
        <f t="shared" si="603"/>
        <v>0</v>
      </c>
      <c r="C3875" s="6">
        <f t="shared" si="604"/>
        <v>0</v>
      </c>
      <c r="D3875" s="6" t="str">
        <f t="shared" si="605"/>
        <v/>
      </c>
      <c r="E3875" s="35" t="str">
        <f t="shared" si="602"/>
        <v/>
      </c>
      <c r="F3875" s="31"/>
      <c r="G3875" s="29"/>
      <c r="H3875" s="78" t="str">
        <f t="shared" si="606"/>
        <v/>
      </c>
      <c r="I3875" s="25"/>
      <c r="J3875" s="25"/>
      <c r="K3875" s="26"/>
      <c r="L3875" s="26"/>
      <c r="M3875" s="37"/>
      <c r="N3875" s="27"/>
      <c r="O3875" s="30"/>
      <c r="P3875" s="39" t="str">
        <f t="shared" si="607"/>
        <v/>
      </c>
      <c r="Q3875" s="40" t="str">
        <f>IF(OR(T3875=0,RIGHT(T3875,1)=$W$1),"",COUNTIF($T$3:T3875,T3875))</f>
        <v/>
      </c>
      <c r="S3875" s="6">
        <f t="shared" si="608"/>
        <v>0</v>
      </c>
      <c r="T3875" s="36">
        <f t="shared" si="609"/>
        <v>0</v>
      </c>
      <c r="V3875" s="6">
        <f t="shared" si="610"/>
        <v>0</v>
      </c>
      <c r="Y3875" s="8">
        <f t="shared" si="611"/>
        <v>46023</v>
      </c>
    </row>
    <row r="3876" spans="2:25" ht="18.75" x14ac:dyDescent="0.3">
      <c r="B3876" s="6">
        <f t="shared" si="603"/>
        <v>0</v>
      </c>
      <c r="C3876" s="6">
        <f t="shared" si="604"/>
        <v>0</v>
      </c>
      <c r="D3876" s="6" t="str">
        <f t="shared" si="605"/>
        <v/>
      </c>
      <c r="E3876" s="35" t="str">
        <f t="shared" si="602"/>
        <v/>
      </c>
      <c r="F3876" s="31"/>
      <c r="G3876" s="29"/>
      <c r="H3876" s="78" t="str">
        <f t="shared" si="606"/>
        <v/>
      </c>
      <c r="I3876" s="25"/>
      <c r="J3876" s="25"/>
      <c r="K3876" s="26"/>
      <c r="L3876" s="26"/>
      <c r="M3876" s="37"/>
      <c r="N3876" s="27"/>
      <c r="O3876" s="30"/>
      <c r="P3876" s="39" t="str">
        <f t="shared" si="607"/>
        <v/>
      </c>
      <c r="Q3876" s="40" t="str">
        <f>IF(OR(T3876=0,RIGHT(T3876,1)=$W$1),"",COUNTIF($T$3:T3876,T3876))</f>
        <v/>
      </c>
      <c r="S3876" s="6">
        <f t="shared" si="608"/>
        <v>0</v>
      </c>
      <c r="T3876" s="36">
        <f t="shared" si="609"/>
        <v>0</v>
      </c>
      <c r="V3876" s="6">
        <f t="shared" si="610"/>
        <v>0</v>
      </c>
      <c r="Y3876" s="8">
        <f t="shared" si="611"/>
        <v>46023</v>
      </c>
    </row>
    <row r="3877" spans="2:25" ht="18.75" x14ac:dyDescent="0.3">
      <c r="B3877" s="6">
        <f t="shared" si="603"/>
        <v>0</v>
      </c>
      <c r="C3877" s="6">
        <f t="shared" si="604"/>
        <v>0</v>
      </c>
      <c r="D3877" s="6" t="str">
        <f t="shared" si="605"/>
        <v/>
      </c>
      <c r="E3877" s="35" t="str">
        <f t="shared" si="602"/>
        <v/>
      </c>
      <c r="F3877" s="31"/>
      <c r="G3877" s="29"/>
      <c r="H3877" s="78" t="str">
        <f t="shared" si="606"/>
        <v/>
      </c>
      <c r="I3877" s="25"/>
      <c r="J3877" s="25"/>
      <c r="K3877" s="26"/>
      <c r="L3877" s="26"/>
      <c r="M3877" s="37"/>
      <c r="N3877" s="27"/>
      <c r="O3877" s="30"/>
      <c r="P3877" s="39" t="str">
        <f t="shared" si="607"/>
        <v/>
      </c>
      <c r="Q3877" s="40" t="str">
        <f>IF(OR(T3877=0,RIGHT(T3877,1)=$W$1),"",COUNTIF($T$3:T3877,T3877))</f>
        <v/>
      </c>
      <c r="S3877" s="6">
        <f t="shared" si="608"/>
        <v>0</v>
      </c>
      <c r="T3877" s="36">
        <f t="shared" si="609"/>
        <v>0</v>
      </c>
      <c r="V3877" s="6">
        <f t="shared" si="610"/>
        <v>0</v>
      </c>
      <c r="Y3877" s="8">
        <f t="shared" si="611"/>
        <v>46023</v>
      </c>
    </row>
    <row r="3878" spans="2:25" ht="18.75" x14ac:dyDescent="0.3">
      <c r="B3878" s="6">
        <f t="shared" si="603"/>
        <v>0</v>
      </c>
      <c r="C3878" s="6">
        <f t="shared" si="604"/>
        <v>0</v>
      </c>
      <c r="D3878" s="6" t="str">
        <f t="shared" si="605"/>
        <v/>
      </c>
      <c r="E3878" s="35" t="str">
        <f t="shared" si="602"/>
        <v/>
      </c>
      <c r="F3878" s="31"/>
      <c r="G3878" s="29"/>
      <c r="H3878" s="78" t="str">
        <f t="shared" si="606"/>
        <v/>
      </c>
      <c r="I3878" s="25"/>
      <c r="J3878" s="25"/>
      <c r="K3878" s="26"/>
      <c r="L3878" s="26"/>
      <c r="M3878" s="37"/>
      <c r="N3878" s="27"/>
      <c r="O3878" s="30"/>
      <c r="P3878" s="39" t="str">
        <f t="shared" si="607"/>
        <v/>
      </c>
      <c r="Q3878" s="40" t="str">
        <f>IF(OR(T3878=0,RIGHT(T3878,1)=$W$1),"",COUNTIF($T$3:T3878,T3878))</f>
        <v/>
      </c>
      <c r="S3878" s="6">
        <f t="shared" si="608"/>
        <v>0</v>
      </c>
      <c r="T3878" s="36">
        <f t="shared" si="609"/>
        <v>0</v>
      </c>
      <c r="V3878" s="6">
        <f t="shared" si="610"/>
        <v>0</v>
      </c>
      <c r="Y3878" s="8">
        <f t="shared" si="611"/>
        <v>46023</v>
      </c>
    </row>
    <row r="3879" spans="2:25" ht="18.75" x14ac:dyDescent="0.3">
      <c r="B3879" s="6">
        <f t="shared" si="603"/>
        <v>0</v>
      </c>
      <c r="C3879" s="6">
        <f t="shared" si="604"/>
        <v>0</v>
      </c>
      <c r="D3879" s="6" t="str">
        <f t="shared" si="605"/>
        <v/>
      </c>
      <c r="E3879" s="35" t="str">
        <f t="shared" si="602"/>
        <v/>
      </c>
      <c r="F3879" s="31"/>
      <c r="G3879" s="29"/>
      <c r="H3879" s="78" t="str">
        <f t="shared" si="606"/>
        <v/>
      </c>
      <c r="I3879" s="25"/>
      <c r="J3879" s="25"/>
      <c r="K3879" s="26"/>
      <c r="L3879" s="26"/>
      <c r="M3879" s="37"/>
      <c r="N3879" s="27"/>
      <c r="O3879" s="30"/>
      <c r="P3879" s="39" t="str">
        <f t="shared" si="607"/>
        <v/>
      </c>
      <c r="Q3879" s="40" t="str">
        <f>IF(OR(T3879=0,RIGHT(T3879,1)=$W$1),"",COUNTIF($T$3:T3879,T3879))</f>
        <v/>
      </c>
      <c r="S3879" s="6">
        <f t="shared" si="608"/>
        <v>0</v>
      </c>
      <c r="T3879" s="36">
        <f t="shared" si="609"/>
        <v>0</v>
      </c>
      <c r="V3879" s="6">
        <f t="shared" si="610"/>
        <v>0</v>
      </c>
      <c r="Y3879" s="8">
        <f t="shared" si="611"/>
        <v>46023</v>
      </c>
    </row>
    <row r="3880" spans="2:25" ht="18.75" x14ac:dyDescent="0.3">
      <c r="B3880" s="6">
        <f t="shared" si="603"/>
        <v>0</v>
      </c>
      <c r="C3880" s="6">
        <f t="shared" si="604"/>
        <v>0</v>
      </c>
      <c r="D3880" s="6" t="str">
        <f t="shared" si="605"/>
        <v/>
      </c>
      <c r="E3880" s="35" t="str">
        <f t="shared" si="602"/>
        <v/>
      </c>
      <c r="F3880" s="31"/>
      <c r="G3880" s="29"/>
      <c r="H3880" s="78" t="str">
        <f t="shared" si="606"/>
        <v/>
      </c>
      <c r="I3880" s="25"/>
      <c r="J3880" s="25"/>
      <c r="K3880" s="26"/>
      <c r="L3880" s="26"/>
      <c r="M3880" s="37"/>
      <c r="N3880" s="27"/>
      <c r="O3880" s="30"/>
      <c r="P3880" s="39" t="str">
        <f t="shared" si="607"/>
        <v/>
      </c>
      <c r="Q3880" s="40" t="str">
        <f>IF(OR(T3880=0,RIGHT(T3880,1)=$W$1),"",COUNTIF($T$3:T3880,T3880))</f>
        <v/>
      </c>
      <c r="S3880" s="6">
        <f t="shared" si="608"/>
        <v>0</v>
      </c>
      <c r="T3880" s="36">
        <f t="shared" si="609"/>
        <v>0</v>
      </c>
      <c r="V3880" s="6">
        <f t="shared" si="610"/>
        <v>0</v>
      </c>
      <c r="Y3880" s="8">
        <f t="shared" si="611"/>
        <v>46023</v>
      </c>
    </row>
    <row r="3881" spans="2:25" ht="18.75" x14ac:dyDescent="0.3">
      <c r="B3881" s="6">
        <f t="shared" si="603"/>
        <v>0</v>
      </c>
      <c r="C3881" s="6">
        <f t="shared" si="604"/>
        <v>0</v>
      </c>
      <c r="D3881" s="6" t="str">
        <f t="shared" si="605"/>
        <v/>
      </c>
      <c r="E3881" s="35" t="str">
        <f t="shared" si="602"/>
        <v/>
      </c>
      <c r="F3881" s="31"/>
      <c r="G3881" s="29"/>
      <c r="H3881" s="78" t="str">
        <f t="shared" si="606"/>
        <v/>
      </c>
      <c r="I3881" s="25"/>
      <c r="J3881" s="25"/>
      <c r="K3881" s="26"/>
      <c r="L3881" s="26"/>
      <c r="M3881" s="37"/>
      <c r="N3881" s="27"/>
      <c r="O3881" s="30"/>
      <c r="P3881" s="39" t="str">
        <f t="shared" si="607"/>
        <v/>
      </c>
      <c r="Q3881" s="40" t="str">
        <f>IF(OR(T3881=0,RIGHT(T3881,1)=$W$1),"",COUNTIF($T$3:T3881,T3881))</f>
        <v/>
      </c>
      <c r="S3881" s="6">
        <f t="shared" si="608"/>
        <v>0</v>
      </c>
      <c r="T3881" s="36">
        <f t="shared" si="609"/>
        <v>0</v>
      </c>
      <c r="V3881" s="6">
        <f t="shared" si="610"/>
        <v>0</v>
      </c>
      <c r="Y3881" s="8">
        <f t="shared" si="611"/>
        <v>46023</v>
      </c>
    </row>
    <row r="3882" spans="2:25" ht="18.75" x14ac:dyDescent="0.3">
      <c r="B3882" s="6">
        <f t="shared" si="603"/>
        <v>0</v>
      </c>
      <c r="C3882" s="6">
        <f t="shared" si="604"/>
        <v>0</v>
      </c>
      <c r="D3882" s="6" t="str">
        <f t="shared" si="605"/>
        <v/>
      </c>
      <c r="E3882" s="35" t="str">
        <f t="shared" si="602"/>
        <v/>
      </c>
      <c r="F3882" s="31"/>
      <c r="G3882" s="29"/>
      <c r="H3882" s="78" t="str">
        <f t="shared" si="606"/>
        <v/>
      </c>
      <c r="I3882" s="25"/>
      <c r="J3882" s="25"/>
      <c r="K3882" s="26"/>
      <c r="L3882" s="26"/>
      <c r="M3882" s="37"/>
      <c r="N3882" s="27"/>
      <c r="O3882" s="30"/>
      <c r="P3882" s="39" t="str">
        <f t="shared" si="607"/>
        <v/>
      </c>
      <c r="Q3882" s="40" t="str">
        <f>IF(OR(T3882=0,RIGHT(T3882,1)=$W$1),"",COUNTIF($T$3:T3882,T3882))</f>
        <v/>
      </c>
      <c r="S3882" s="6">
        <f t="shared" si="608"/>
        <v>0</v>
      </c>
      <c r="T3882" s="36">
        <f t="shared" si="609"/>
        <v>0</v>
      </c>
      <c r="V3882" s="6">
        <f t="shared" si="610"/>
        <v>0</v>
      </c>
      <c r="Y3882" s="8">
        <f t="shared" si="611"/>
        <v>46023</v>
      </c>
    </row>
    <row r="3883" spans="2:25" ht="18.75" x14ac:dyDescent="0.3">
      <c r="B3883" s="6">
        <f t="shared" si="603"/>
        <v>0</v>
      </c>
      <c r="C3883" s="6">
        <f t="shared" si="604"/>
        <v>0</v>
      </c>
      <c r="D3883" s="6" t="str">
        <f t="shared" si="605"/>
        <v/>
      </c>
      <c r="E3883" s="35" t="str">
        <f t="shared" si="602"/>
        <v/>
      </c>
      <c r="F3883" s="31"/>
      <c r="G3883" s="29"/>
      <c r="H3883" s="78" t="str">
        <f t="shared" si="606"/>
        <v/>
      </c>
      <c r="I3883" s="25"/>
      <c r="J3883" s="25"/>
      <c r="K3883" s="26"/>
      <c r="L3883" s="26"/>
      <c r="M3883" s="37"/>
      <c r="N3883" s="27"/>
      <c r="O3883" s="30"/>
      <c r="P3883" s="39" t="str">
        <f t="shared" si="607"/>
        <v/>
      </c>
      <c r="Q3883" s="40" t="str">
        <f>IF(OR(T3883=0,RIGHT(T3883,1)=$W$1),"",COUNTIF($T$3:T3883,T3883))</f>
        <v/>
      </c>
      <c r="S3883" s="6">
        <f t="shared" si="608"/>
        <v>0</v>
      </c>
      <c r="T3883" s="36">
        <f t="shared" si="609"/>
        <v>0</v>
      </c>
      <c r="V3883" s="6">
        <f t="shared" si="610"/>
        <v>0</v>
      </c>
      <c r="Y3883" s="8">
        <f t="shared" si="611"/>
        <v>46023</v>
      </c>
    </row>
    <row r="3884" spans="2:25" ht="18.75" x14ac:dyDescent="0.3">
      <c r="B3884" s="6">
        <f t="shared" si="603"/>
        <v>0</v>
      </c>
      <c r="C3884" s="6">
        <f t="shared" si="604"/>
        <v>0</v>
      </c>
      <c r="D3884" s="6" t="str">
        <f t="shared" si="605"/>
        <v/>
      </c>
      <c r="E3884" s="35" t="str">
        <f t="shared" si="602"/>
        <v/>
      </c>
      <c r="F3884" s="31"/>
      <c r="G3884" s="29"/>
      <c r="H3884" s="78" t="str">
        <f t="shared" si="606"/>
        <v/>
      </c>
      <c r="I3884" s="25"/>
      <c r="J3884" s="25"/>
      <c r="K3884" s="26"/>
      <c r="L3884" s="26"/>
      <c r="M3884" s="37"/>
      <c r="N3884" s="27"/>
      <c r="O3884" s="30"/>
      <c r="P3884" s="39" t="str">
        <f t="shared" si="607"/>
        <v/>
      </c>
      <c r="Q3884" s="40" t="str">
        <f>IF(OR(T3884=0,RIGHT(T3884,1)=$W$1),"",COUNTIF($T$3:T3884,T3884))</f>
        <v/>
      </c>
      <c r="S3884" s="6">
        <f t="shared" si="608"/>
        <v>0</v>
      </c>
      <c r="T3884" s="36">
        <f t="shared" si="609"/>
        <v>0</v>
      </c>
      <c r="V3884" s="6">
        <f t="shared" si="610"/>
        <v>0</v>
      </c>
      <c r="Y3884" s="8">
        <f t="shared" si="611"/>
        <v>46023</v>
      </c>
    </row>
    <row r="3885" spans="2:25" ht="18.75" x14ac:dyDescent="0.3">
      <c r="B3885" s="6">
        <f t="shared" si="603"/>
        <v>0</v>
      </c>
      <c r="C3885" s="6">
        <f t="shared" si="604"/>
        <v>0</v>
      </c>
      <c r="D3885" s="6" t="str">
        <f t="shared" si="605"/>
        <v/>
      </c>
      <c r="E3885" s="35" t="str">
        <f t="shared" si="602"/>
        <v/>
      </c>
      <c r="F3885" s="31"/>
      <c r="G3885" s="29"/>
      <c r="H3885" s="78" t="str">
        <f t="shared" si="606"/>
        <v/>
      </c>
      <c r="I3885" s="25"/>
      <c r="J3885" s="25"/>
      <c r="K3885" s="26"/>
      <c r="L3885" s="26"/>
      <c r="M3885" s="37"/>
      <c r="N3885" s="27"/>
      <c r="O3885" s="30"/>
      <c r="P3885" s="39" t="str">
        <f t="shared" si="607"/>
        <v/>
      </c>
      <c r="Q3885" s="40" t="str">
        <f>IF(OR(T3885=0,RIGHT(T3885,1)=$W$1),"",COUNTIF($T$3:T3885,T3885))</f>
        <v/>
      </c>
      <c r="S3885" s="6">
        <f t="shared" si="608"/>
        <v>0</v>
      </c>
      <c r="T3885" s="36">
        <f t="shared" si="609"/>
        <v>0</v>
      </c>
      <c r="V3885" s="6">
        <f t="shared" si="610"/>
        <v>0</v>
      </c>
      <c r="Y3885" s="8">
        <f t="shared" si="611"/>
        <v>46023</v>
      </c>
    </row>
    <row r="3886" spans="2:25" ht="18.75" x14ac:dyDescent="0.3">
      <c r="B3886" s="6">
        <f t="shared" si="603"/>
        <v>0</v>
      </c>
      <c r="C3886" s="6">
        <f t="shared" si="604"/>
        <v>0</v>
      </c>
      <c r="D3886" s="6" t="str">
        <f t="shared" si="605"/>
        <v/>
      </c>
      <c r="E3886" s="35" t="str">
        <f t="shared" si="602"/>
        <v/>
      </c>
      <c r="F3886" s="31"/>
      <c r="G3886" s="29"/>
      <c r="H3886" s="78" t="str">
        <f t="shared" si="606"/>
        <v/>
      </c>
      <c r="I3886" s="25"/>
      <c r="J3886" s="25"/>
      <c r="K3886" s="26"/>
      <c r="L3886" s="26"/>
      <c r="M3886" s="37"/>
      <c r="N3886" s="27"/>
      <c r="O3886" s="30"/>
      <c r="P3886" s="39" t="str">
        <f t="shared" si="607"/>
        <v/>
      </c>
      <c r="Q3886" s="40" t="str">
        <f>IF(OR(T3886=0,RIGHT(T3886,1)=$W$1),"",COUNTIF($T$3:T3886,T3886))</f>
        <v/>
      </c>
      <c r="S3886" s="6">
        <f t="shared" si="608"/>
        <v>0</v>
      </c>
      <c r="T3886" s="36">
        <f t="shared" si="609"/>
        <v>0</v>
      </c>
      <c r="V3886" s="6">
        <f t="shared" si="610"/>
        <v>0</v>
      </c>
      <c r="Y3886" s="8">
        <f t="shared" si="611"/>
        <v>46023</v>
      </c>
    </row>
    <row r="3887" spans="2:25" ht="18.75" x14ac:dyDescent="0.3">
      <c r="B3887" s="6">
        <f t="shared" si="603"/>
        <v>0</v>
      </c>
      <c r="C3887" s="6">
        <f t="shared" si="604"/>
        <v>0</v>
      </c>
      <c r="D3887" s="6" t="str">
        <f t="shared" si="605"/>
        <v/>
      </c>
      <c r="E3887" s="35" t="str">
        <f t="shared" si="602"/>
        <v/>
      </c>
      <c r="F3887" s="31"/>
      <c r="G3887" s="29"/>
      <c r="H3887" s="78" t="str">
        <f t="shared" si="606"/>
        <v/>
      </c>
      <c r="I3887" s="25"/>
      <c r="J3887" s="25"/>
      <c r="K3887" s="26"/>
      <c r="L3887" s="26"/>
      <c r="M3887" s="37"/>
      <c r="N3887" s="27"/>
      <c r="O3887" s="30"/>
      <c r="P3887" s="39" t="str">
        <f t="shared" si="607"/>
        <v/>
      </c>
      <c r="Q3887" s="40" t="str">
        <f>IF(OR(T3887=0,RIGHT(T3887,1)=$W$1),"",COUNTIF($T$3:T3887,T3887))</f>
        <v/>
      </c>
      <c r="S3887" s="6">
        <f t="shared" si="608"/>
        <v>0</v>
      </c>
      <c r="T3887" s="36">
        <f t="shared" si="609"/>
        <v>0</v>
      </c>
      <c r="V3887" s="6">
        <f t="shared" si="610"/>
        <v>0</v>
      </c>
      <c r="Y3887" s="8">
        <f t="shared" si="611"/>
        <v>46023</v>
      </c>
    </row>
    <row r="3888" spans="2:25" ht="18.75" x14ac:dyDescent="0.3">
      <c r="B3888" s="6">
        <f t="shared" si="603"/>
        <v>0</v>
      </c>
      <c r="C3888" s="6">
        <f t="shared" si="604"/>
        <v>0</v>
      </c>
      <c r="D3888" s="6" t="str">
        <f t="shared" si="605"/>
        <v/>
      </c>
      <c r="E3888" s="35" t="str">
        <f t="shared" si="602"/>
        <v/>
      </c>
      <c r="F3888" s="31"/>
      <c r="G3888" s="29"/>
      <c r="H3888" s="78" t="str">
        <f t="shared" si="606"/>
        <v/>
      </c>
      <c r="I3888" s="25"/>
      <c r="J3888" s="25"/>
      <c r="K3888" s="26"/>
      <c r="L3888" s="26"/>
      <c r="M3888" s="37"/>
      <c r="N3888" s="27"/>
      <c r="O3888" s="30"/>
      <c r="P3888" s="39" t="str">
        <f t="shared" si="607"/>
        <v/>
      </c>
      <c r="Q3888" s="40" t="str">
        <f>IF(OR(T3888=0,RIGHT(T3888,1)=$W$1),"",COUNTIF($T$3:T3888,T3888))</f>
        <v/>
      </c>
      <c r="S3888" s="6">
        <f t="shared" si="608"/>
        <v>0</v>
      </c>
      <c r="T3888" s="36">
        <f t="shared" si="609"/>
        <v>0</v>
      </c>
      <c r="V3888" s="6">
        <f t="shared" si="610"/>
        <v>0</v>
      </c>
      <c r="Y3888" s="8">
        <f t="shared" si="611"/>
        <v>46023</v>
      </c>
    </row>
    <row r="3889" spans="2:25" ht="18.75" x14ac:dyDescent="0.3">
      <c r="B3889" s="6">
        <f t="shared" si="603"/>
        <v>0</v>
      </c>
      <c r="C3889" s="6">
        <f t="shared" si="604"/>
        <v>0</v>
      </c>
      <c r="D3889" s="6" t="str">
        <f t="shared" si="605"/>
        <v/>
      </c>
      <c r="E3889" s="35" t="str">
        <f t="shared" si="602"/>
        <v/>
      </c>
      <c r="F3889" s="31"/>
      <c r="G3889" s="29"/>
      <c r="H3889" s="78" t="str">
        <f t="shared" si="606"/>
        <v/>
      </c>
      <c r="I3889" s="25"/>
      <c r="J3889" s="25"/>
      <c r="K3889" s="26"/>
      <c r="L3889" s="26"/>
      <c r="M3889" s="37"/>
      <c r="N3889" s="27"/>
      <c r="O3889" s="30"/>
      <c r="P3889" s="39" t="str">
        <f t="shared" si="607"/>
        <v/>
      </c>
      <c r="Q3889" s="40" t="str">
        <f>IF(OR(T3889=0,RIGHT(T3889,1)=$W$1),"",COUNTIF($T$3:T3889,T3889))</f>
        <v/>
      </c>
      <c r="S3889" s="6">
        <f t="shared" si="608"/>
        <v>0</v>
      </c>
      <c r="T3889" s="36">
        <f t="shared" si="609"/>
        <v>0</v>
      </c>
      <c r="V3889" s="6">
        <f t="shared" si="610"/>
        <v>0</v>
      </c>
      <c r="Y3889" s="8">
        <f t="shared" si="611"/>
        <v>46023</v>
      </c>
    </row>
    <row r="3890" spans="2:25" ht="18.75" x14ac:dyDescent="0.3">
      <c r="B3890" s="6">
        <f t="shared" si="603"/>
        <v>0</v>
      </c>
      <c r="C3890" s="6">
        <f t="shared" si="604"/>
        <v>0</v>
      </c>
      <c r="D3890" s="6" t="str">
        <f t="shared" si="605"/>
        <v/>
      </c>
      <c r="E3890" s="35" t="str">
        <f t="shared" si="602"/>
        <v/>
      </c>
      <c r="F3890" s="31"/>
      <c r="G3890" s="29"/>
      <c r="H3890" s="78" t="str">
        <f t="shared" si="606"/>
        <v/>
      </c>
      <c r="I3890" s="25"/>
      <c r="J3890" s="25"/>
      <c r="K3890" s="26"/>
      <c r="L3890" s="26"/>
      <c r="M3890" s="37"/>
      <c r="N3890" s="27"/>
      <c r="O3890" s="30"/>
      <c r="P3890" s="39" t="str">
        <f t="shared" si="607"/>
        <v/>
      </c>
      <c r="Q3890" s="40" t="str">
        <f>IF(OR(T3890=0,RIGHT(T3890,1)=$W$1),"",COUNTIF($T$3:T3890,T3890))</f>
        <v/>
      </c>
      <c r="S3890" s="6">
        <f t="shared" si="608"/>
        <v>0</v>
      </c>
      <c r="T3890" s="36">
        <f t="shared" si="609"/>
        <v>0</v>
      </c>
      <c r="V3890" s="6">
        <f t="shared" si="610"/>
        <v>0</v>
      </c>
      <c r="Y3890" s="8">
        <f t="shared" si="611"/>
        <v>46023</v>
      </c>
    </row>
    <row r="3891" spans="2:25" ht="18.75" x14ac:dyDescent="0.3">
      <c r="B3891" s="6">
        <f t="shared" si="603"/>
        <v>0</v>
      </c>
      <c r="C3891" s="6">
        <f t="shared" si="604"/>
        <v>0</v>
      </c>
      <c r="D3891" s="6" t="str">
        <f t="shared" si="605"/>
        <v/>
      </c>
      <c r="E3891" s="35" t="str">
        <f t="shared" si="602"/>
        <v/>
      </c>
      <c r="F3891" s="31"/>
      <c r="G3891" s="29"/>
      <c r="H3891" s="78" t="str">
        <f t="shared" si="606"/>
        <v/>
      </c>
      <c r="I3891" s="25"/>
      <c r="J3891" s="25"/>
      <c r="K3891" s="26"/>
      <c r="L3891" s="26"/>
      <c r="M3891" s="37"/>
      <c r="N3891" s="27"/>
      <c r="O3891" s="30"/>
      <c r="P3891" s="39" t="str">
        <f t="shared" si="607"/>
        <v/>
      </c>
      <c r="Q3891" s="40" t="str">
        <f>IF(OR(T3891=0,RIGHT(T3891,1)=$W$1),"",COUNTIF($T$3:T3891,T3891))</f>
        <v/>
      </c>
      <c r="S3891" s="6">
        <f t="shared" si="608"/>
        <v>0</v>
      </c>
      <c r="T3891" s="36">
        <f t="shared" si="609"/>
        <v>0</v>
      </c>
      <c r="V3891" s="6">
        <f t="shared" si="610"/>
        <v>0</v>
      </c>
      <c r="Y3891" s="8">
        <f t="shared" si="611"/>
        <v>46023</v>
      </c>
    </row>
    <row r="3892" spans="2:25" ht="18.75" x14ac:dyDescent="0.3">
      <c r="B3892" s="6">
        <f t="shared" si="603"/>
        <v>0</v>
      </c>
      <c r="C3892" s="6">
        <f t="shared" si="604"/>
        <v>0</v>
      </c>
      <c r="D3892" s="6" t="str">
        <f t="shared" si="605"/>
        <v/>
      </c>
      <c r="E3892" s="35" t="str">
        <f t="shared" si="602"/>
        <v/>
      </c>
      <c r="F3892" s="31"/>
      <c r="G3892" s="29"/>
      <c r="H3892" s="78" t="str">
        <f t="shared" si="606"/>
        <v/>
      </c>
      <c r="I3892" s="25"/>
      <c r="J3892" s="25"/>
      <c r="K3892" s="26"/>
      <c r="L3892" s="26"/>
      <c r="M3892" s="37"/>
      <c r="N3892" s="27"/>
      <c r="O3892" s="30"/>
      <c r="P3892" s="39" t="str">
        <f t="shared" si="607"/>
        <v/>
      </c>
      <c r="Q3892" s="40" t="str">
        <f>IF(OR(T3892=0,RIGHT(T3892,1)=$W$1),"",COUNTIF($T$3:T3892,T3892))</f>
        <v/>
      </c>
      <c r="S3892" s="6">
        <f t="shared" si="608"/>
        <v>0</v>
      </c>
      <c r="T3892" s="36">
        <f t="shared" si="609"/>
        <v>0</v>
      </c>
      <c r="V3892" s="6">
        <f t="shared" si="610"/>
        <v>0</v>
      </c>
      <c r="Y3892" s="8">
        <f t="shared" si="611"/>
        <v>46023</v>
      </c>
    </row>
    <row r="3893" spans="2:25" ht="18.75" x14ac:dyDescent="0.3">
      <c r="B3893" s="6">
        <f t="shared" si="603"/>
        <v>0</v>
      </c>
      <c r="C3893" s="6">
        <f t="shared" si="604"/>
        <v>0</v>
      </c>
      <c r="D3893" s="6" t="str">
        <f t="shared" si="605"/>
        <v/>
      </c>
      <c r="E3893" s="35" t="str">
        <f t="shared" si="602"/>
        <v/>
      </c>
      <c r="F3893" s="31"/>
      <c r="G3893" s="29"/>
      <c r="H3893" s="78" t="str">
        <f t="shared" si="606"/>
        <v/>
      </c>
      <c r="I3893" s="25"/>
      <c r="J3893" s="25"/>
      <c r="K3893" s="26"/>
      <c r="L3893" s="26"/>
      <c r="M3893" s="37"/>
      <c r="N3893" s="27"/>
      <c r="O3893" s="30"/>
      <c r="P3893" s="39" t="str">
        <f t="shared" si="607"/>
        <v/>
      </c>
      <c r="Q3893" s="40" t="str">
        <f>IF(OR(T3893=0,RIGHT(T3893,1)=$W$1),"",COUNTIF($T$3:T3893,T3893))</f>
        <v/>
      </c>
      <c r="S3893" s="6">
        <f t="shared" si="608"/>
        <v>0</v>
      </c>
      <c r="T3893" s="36">
        <f t="shared" si="609"/>
        <v>0</v>
      </c>
      <c r="V3893" s="6">
        <f t="shared" si="610"/>
        <v>0</v>
      </c>
      <c r="Y3893" s="8">
        <f t="shared" si="611"/>
        <v>46023</v>
      </c>
    </row>
    <row r="3894" spans="2:25" ht="18.75" x14ac:dyDescent="0.3">
      <c r="B3894" s="6">
        <f t="shared" si="603"/>
        <v>0</v>
      </c>
      <c r="C3894" s="6">
        <f t="shared" si="604"/>
        <v>0</v>
      </c>
      <c r="D3894" s="6" t="str">
        <f t="shared" si="605"/>
        <v/>
      </c>
      <c r="E3894" s="35" t="str">
        <f t="shared" si="602"/>
        <v/>
      </c>
      <c r="F3894" s="31"/>
      <c r="G3894" s="29"/>
      <c r="H3894" s="78" t="str">
        <f t="shared" si="606"/>
        <v/>
      </c>
      <c r="I3894" s="25"/>
      <c r="J3894" s="25"/>
      <c r="K3894" s="26"/>
      <c r="L3894" s="26"/>
      <c r="M3894" s="37"/>
      <c r="N3894" s="27"/>
      <c r="O3894" s="30"/>
      <c r="P3894" s="39" t="str">
        <f t="shared" si="607"/>
        <v/>
      </c>
      <c r="Q3894" s="40" t="str">
        <f>IF(OR(T3894=0,RIGHT(T3894,1)=$W$1),"",COUNTIF($T$3:T3894,T3894))</f>
        <v/>
      </c>
      <c r="S3894" s="6">
        <f t="shared" si="608"/>
        <v>0</v>
      </c>
      <c r="T3894" s="36">
        <f t="shared" si="609"/>
        <v>0</v>
      </c>
      <c r="V3894" s="6">
        <f t="shared" si="610"/>
        <v>0</v>
      </c>
      <c r="Y3894" s="8">
        <f t="shared" si="611"/>
        <v>46023</v>
      </c>
    </row>
    <row r="3895" spans="2:25" ht="18.75" x14ac:dyDescent="0.3">
      <c r="B3895" s="6">
        <f t="shared" si="603"/>
        <v>0</v>
      </c>
      <c r="C3895" s="6">
        <f t="shared" si="604"/>
        <v>0</v>
      </c>
      <c r="D3895" s="6" t="str">
        <f t="shared" si="605"/>
        <v/>
      </c>
      <c r="E3895" s="35" t="str">
        <f t="shared" si="602"/>
        <v/>
      </c>
      <c r="F3895" s="31"/>
      <c r="G3895" s="29"/>
      <c r="H3895" s="78" t="str">
        <f t="shared" si="606"/>
        <v/>
      </c>
      <c r="I3895" s="25"/>
      <c r="J3895" s="25"/>
      <c r="K3895" s="26"/>
      <c r="L3895" s="26"/>
      <c r="M3895" s="37"/>
      <c r="N3895" s="27"/>
      <c r="O3895" s="30"/>
      <c r="P3895" s="39" t="str">
        <f t="shared" si="607"/>
        <v/>
      </c>
      <c r="Q3895" s="40" t="str">
        <f>IF(OR(T3895=0,RIGHT(T3895,1)=$W$1),"",COUNTIF($T$3:T3895,T3895))</f>
        <v/>
      </c>
      <c r="S3895" s="6">
        <f t="shared" si="608"/>
        <v>0</v>
      </c>
      <c r="T3895" s="36">
        <f t="shared" si="609"/>
        <v>0</v>
      </c>
      <c r="V3895" s="6">
        <f t="shared" si="610"/>
        <v>0</v>
      </c>
      <c r="Y3895" s="8">
        <f t="shared" si="611"/>
        <v>46023</v>
      </c>
    </row>
    <row r="3896" spans="2:25" ht="18.75" x14ac:dyDescent="0.3">
      <c r="B3896" s="6">
        <f t="shared" si="603"/>
        <v>0</v>
      </c>
      <c r="C3896" s="6">
        <f t="shared" si="604"/>
        <v>0</v>
      </c>
      <c r="D3896" s="6" t="str">
        <f t="shared" si="605"/>
        <v/>
      </c>
      <c r="E3896" s="35" t="str">
        <f t="shared" si="602"/>
        <v/>
      </c>
      <c r="F3896" s="31"/>
      <c r="G3896" s="29"/>
      <c r="H3896" s="78" t="str">
        <f t="shared" si="606"/>
        <v/>
      </c>
      <c r="I3896" s="25"/>
      <c r="J3896" s="25"/>
      <c r="K3896" s="26"/>
      <c r="L3896" s="26"/>
      <c r="M3896" s="37"/>
      <c r="N3896" s="27"/>
      <c r="O3896" s="30"/>
      <c r="P3896" s="39" t="str">
        <f t="shared" si="607"/>
        <v/>
      </c>
      <c r="Q3896" s="40" t="str">
        <f>IF(OR(T3896=0,RIGHT(T3896,1)=$W$1),"",COUNTIF($T$3:T3896,T3896))</f>
        <v/>
      </c>
      <c r="S3896" s="6">
        <f t="shared" si="608"/>
        <v>0</v>
      </c>
      <c r="T3896" s="36">
        <f t="shared" si="609"/>
        <v>0</v>
      </c>
      <c r="V3896" s="6">
        <f t="shared" si="610"/>
        <v>0</v>
      </c>
      <c r="Y3896" s="8">
        <f t="shared" si="611"/>
        <v>46023</v>
      </c>
    </row>
    <row r="3897" spans="2:25" ht="18.75" x14ac:dyDescent="0.3">
      <c r="B3897" s="6">
        <f t="shared" si="603"/>
        <v>0</v>
      </c>
      <c r="C3897" s="6">
        <f t="shared" si="604"/>
        <v>0</v>
      </c>
      <c r="D3897" s="6" t="str">
        <f t="shared" si="605"/>
        <v/>
      </c>
      <c r="E3897" s="35" t="str">
        <f t="shared" si="602"/>
        <v/>
      </c>
      <c r="F3897" s="31"/>
      <c r="G3897" s="29"/>
      <c r="H3897" s="78" t="str">
        <f t="shared" si="606"/>
        <v/>
      </c>
      <c r="I3897" s="25"/>
      <c r="J3897" s="25"/>
      <c r="K3897" s="26"/>
      <c r="L3897" s="26"/>
      <c r="M3897" s="37"/>
      <c r="N3897" s="27"/>
      <c r="O3897" s="30"/>
      <c r="P3897" s="39" t="str">
        <f t="shared" si="607"/>
        <v/>
      </c>
      <c r="Q3897" s="40" t="str">
        <f>IF(OR(T3897=0,RIGHT(T3897,1)=$W$1),"",COUNTIF($T$3:T3897,T3897))</f>
        <v/>
      </c>
      <c r="S3897" s="6">
        <f t="shared" si="608"/>
        <v>0</v>
      </c>
      <c r="T3897" s="36">
        <f t="shared" si="609"/>
        <v>0</v>
      </c>
      <c r="V3897" s="6">
        <f t="shared" si="610"/>
        <v>0</v>
      </c>
      <c r="Y3897" s="8">
        <f t="shared" si="611"/>
        <v>46023</v>
      </c>
    </row>
    <row r="3898" spans="2:25" ht="18.75" x14ac:dyDescent="0.3">
      <c r="B3898" s="6">
        <f t="shared" si="603"/>
        <v>0</v>
      </c>
      <c r="C3898" s="6">
        <f t="shared" si="604"/>
        <v>0</v>
      </c>
      <c r="D3898" s="6" t="str">
        <f t="shared" si="605"/>
        <v/>
      </c>
      <c r="E3898" s="35" t="str">
        <f t="shared" si="602"/>
        <v/>
      </c>
      <c r="F3898" s="31"/>
      <c r="G3898" s="29"/>
      <c r="H3898" s="78" t="str">
        <f t="shared" si="606"/>
        <v/>
      </c>
      <c r="I3898" s="25"/>
      <c r="J3898" s="25"/>
      <c r="K3898" s="26"/>
      <c r="L3898" s="26"/>
      <c r="M3898" s="37"/>
      <c r="N3898" s="27"/>
      <c r="O3898" s="30"/>
      <c r="P3898" s="39" t="str">
        <f t="shared" si="607"/>
        <v/>
      </c>
      <c r="Q3898" s="40" t="str">
        <f>IF(OR(T3898=0,RIGHT(T3898,1)=$W$1),"",COUNTIF($T$3:T3898,T3898))</f>
        <v/>
      </c>
      <c r="S3898" s="6">
        <f t="shared" si="608"/>
        <v>0</v>
      </c>
      <c r="T3898" s="36">
        <f t="shared" si="609"/>
        <v>0</v>
      </c>
      <c r="V3898" s="6">
        <f t="shared" si="610"/>
        <v>0</v>
      </c>
      <c r="Y3898" s="8">
        <f t="shared" si="611"/>
        <v>46023</v>
      </c>
    </row>
    <row r="3899" spans="2:25" ht="18.75" x14ac:dyDescent="0.3">
      <c r="B3899" s="6">
        <f t="shared" si="603"/>
        <v>0</v>
      </c>
      <c r="C3899" s="6">
        <f t="shared" si="604"/>
        <v>0</v>
      </c>
      <c r="D3899" s="6" t="str">
        <f t="shared" si="605"/>
        <v/>
      </c>
      <c r="E3899" s="35" t="str">
        <f t="shared" si="602"/>
        <v/>
      </c>
      <c r="F3899" s="31"/>
      <c r="G3899" s="29"/>
      <c r="H3899" s="78" t="str">
        <f t="shared" si="606"/>
        <v/>
      </c>
      <c r="I3899" s="25"/>
      <c r="J3899" s="25"/>
      <c r="K3899" s="26"/>
      <c r="L3899" s="26"/>
      <c r="M3899" s="37"/>
      <c r="N3899" s="27"/>
      <c r="O3899" s="30"/>
      <c r="P3899" s="39" t="str">
        <f t="shared" si="607"/>
        <v/>
      </c>
      <c r="Q3899" s="40" t="str">
        <f>IF(OR(T3899=0,RIGHT(T3899,1)=$W$1),"",COUNTIF($T$3:T3899,T3899))</f>
        <v/>
      </c>
      <c r="S3899" s="6">
        <f t="shared" si="608"/>
        <v>0</v>
      </c>
      <c r="T3899" s="36">
        <f t="shared" si="609"/>
        <v>0</v>
      </c>
      <c r="V3899" s="6">
        <f t="shared" si="610"/>
        <v>0</v>
      </c>
      <c r="Y3899" s="8">
        <f t="shared" si="611"/>
        <v>46023</v>
      </c>
    </row>
    <row r="3900" spans="2:25" ht="18.75" x14ac:dyDescent="0.3">
      <c r="B3900" s="6">
        <f t="shared" si="603"/>
        <v>0</v>
      </c>
      <c r="C3900" s="6">
        <f t="shared" si="604"/>
        <v>0</v>
      </c>
      <c r="D3900" s="6" t="str">
        <f t="shared" si="605"/>
        <v/>
      </c>
      <c r="E3900" s="35" t="str">
        <f t="shared" si="602"/>
        <v/>
      </c>
      <c r="F3900" s="31"/>
      <c r="G3900" s="29"/>
      <c r="H3900" s="78" t="str">
        <f t="shared" si="606"/>
        <v/>
      </c>
      <c r="I3900" s="25"/>
      <c r="J3900" s="25"/>
      <c r="K3900" s="26"/>
      <c r="L3900" s="26"/>
      <c r="M3900" s="37"/>
      <c r="N3900" s="27"/>
      <c r="O3900" s="30"/>
      <c r="P3900" s="39" t="str">
        <f t="shared" si="607"/>
        <v/>
      </c>
      <c r="Q3900" s="40" t="str">
        <f>IF(OR(T3900=0,RIGHT(T3900,1)=$W$1),"",COUNTIF($T$3:T3900,T3900))</f>
        <v/>
      </c>
      <c r="S3900" s="6">
        <f t="shared" si="608"/>
        <v>0</v>
      </c>
      <c r="T3900" s="36">
        <f t="shared" si="609"/>
        <v>0</v>
      </c>
      <c r="V3900" s="6">
        <f t="shared" si="610"/>
        <v>0</v>
      </c>
      <c r="Y3900" s="8">
        <f t="shared" si="611"/>
        <v>46023</v>
      </c>
    </row>
    <row r="3901" spans="2:25" ht="18.75" x14ac:dyDescent="0.3">
      <c r="B3901" s="6">
        <f t="shared" si="603"/>
        <v>0</v>
      </c>
      <c r="C3901" s="6">
        <f t="shared" si="604"/>
        <v>0</v>
      </c>
      <c r="D3901" s="6" t="str">
        <f t="shared" si="605"/>
        <v/>
      </c>
      <c r="E3901" s="35" t="str">
        <f t="shared" si="602"/>
        <v/>
      </c>
      <c r="F3901" s="31"/>
      <c r="G3901" s="29"/>
      <c r="H3901" s="78" t="str">
        <f t="shared" si="606"/>
        <v/>
      </c>
      <c r="I3901" s="25"/>
      <c r="J3901" s="25"/>
      <c r="K3901" s="26"/>
      <c r="L3901" s="26"/>
      <c r="M3901" s="37"/>
      <c r="N3901" s="27"/>
      <c r="O3901" s="30"/>
      <c r="P3901" s="39" t="str">
        <f t="shared" si="607"/>
        <v/>
      </c>
      <c r="Q3901" s="40" t="str">
        <f>IF(OR(T3901=0,RIGHT(T3901,1)=$W$1),"",COUNTIF($T$3:T3901,T3901))</f>
        <v/>
      </c>
      <c r="S3901" s="6">
        <f t="shared" si="608"/>
        <v>0</v>
      </c>
      <c r="T3901" s="36">
        <f t="shared" si="609"/>
        <v>0</v>
      </c>
      <c r="V3901" s="6">
        <f t="shared" si="610"/>
        <v>0</v>
      </c>
      <c r="Y3901" s="8">
        <f t="shared" si="611"/>
        <v>46023</v>
      </c>
    </row>
    <row r="3902" spans="2:25" ht="18.75" x14ac:dyDescent="0.3">
      <c r="B3902" s="6">
        <f t="shared" si="603"/>
        <v>0</v>
      </c>
      <c r="C3902" s="6">
        <f t="shared" si="604"/>
        <v>0</v>
      </c>
      <c r="D3902" s="6" t="str">
        <f t="shared" si="605"/>
        <v/>
      </c>
      <c r="E3902" s="35" t="str">
        <f t="shared" si="602"/>
        <v/>
      </c>
      <c r="F3902" s="31"/>
      <c r="G3902" s="29"/>
      <c r="H3902" s="78" t="str">
        <f t="shared" si="606"/>
        <v/>
      </c>
      <c r="I3902" s="25"/>
      <c r="J3902" s="25"/>
      <c r="K3902" s="26"/>
      <c r="L3902" s="26"/>
      <c r="M3902" s="37"/>
      <c r="N3902" s="27"/>
      <c r="O3902" s="30"/>
      <c r="P3902" s="39" t="str">
        <f t="shared" si="607"/>
        <v/>
      </c>
      <c r="Q3902" s="40" t="str">
        <f>IF(OR(T3902=0,RIGHT(T3902,1)=$W$1),"",COUNTIF($T$3:T3902,T3902))</f>
        <v/>
      </c>
      <c r="S3902" s="6">
        <f t="shared" si="608"/>
        <v>0</v>
      </c>
      <c r="T3902" s="36">
        <f t="shared" si="609"/>
        <v>0</v>
      </c>
      <c r="V3902" s="6">
        <f t="shared" si="610"/>
        <v>0</v>
      </c>
      <c r="Y3902" s="8">
        <f t="shared" si="611"/>
        <v>46023</v>
      </c>
    </row>
    <row r="3903" spans="2:25" ht="18.75" x14ac:dyDescent="0.3">
      <c r="B3903" s="6">
        <f t="shared" si="603"/>
        <v>0</v>
      </c>
      <c r="C3903" s="6">
        <f t="shared" si="604"/>
        <v>0</v>
      </c>
      <c r="D3903" s="6" t="str">
        <f t="shared" si="605"/>
        <v/>
      </c>
      <c r="E3903" s="35" t="str">
        <f t="shared" si="602"/>
        <v/>
      </c>
      <c r="F3903" s="31"/>
      <c r="G3903" s="29"/>
      <c r="H3903" s="78" t="str">
        <f t="shared" si="606"/>
        <v/>
      </c>
      <c r="I3903" s="25"/>
      <c r="J3903" s="25"/>
      <c r="K3903" s="26"/>
      <c r="L3903" s="26"/>
      <c r="M3903" s="37"/>
      <c r="N3903" s="27"/>
      <c r="O3903" s="30"/>
      <c r="P3903" s="39" t="str">
        <f t="shared" si="607"/>
        <v/>
      </c>
      <c r="Q3903" s="40" t="str">
        <f>IF(OR(T3903=0,RIGHT(T3903,1)=$W$1),"",COUNTIF($T$3:T3903,T3903))</f>
        <v/>
      </c>
      <c r="S3903" s="6">
        <f t="shared" si="608"/>
        <v>0</v>
      </c>
      <c r="T3903" s="36">
        <f t="shared" si="609"/>
        <v>0</v>
      </c>
      <c r="V3903" s="6">
        <f t="shared" si="610"/>
        <v>0</v>
      </c>
      <c r="Y3903" s="8">
        <f t="shared" si="611"/>
        <v>46023</v>
      </c>
    </row>
    <row r="3904" spans="2:25" ht="18.75" x14ac:dyDescent="0.3">
      <c r="B3904" s="6">
        <f t="shared" si="603"/>
        <v>0</v>
      </c>
      <c r="C3904" s="6">
        <f t="shared" si="604"/>
        <v>0</v>
      </c>
      <c r="D3904" s="6" t="str">
        <f t="shared" si="605"/>
        <v/>
      </c>
      <c r="E3904" s="35" t="str">
        <f t="shared" si="602"/>
        <v/>
      </c>
      <c r="F3904" s="31"/>
      <c r="G3904" s="29"/>
      <c r="H3904" s="78" t="str">
        <f t="shared" si="606"/>
        <v/>
      </c>
      <c r="I3904" s="25"/>
      <c r="J3904" s="25"/>
      <c r="K3904" s="26"/>
      <c r="L3904" s="26"/>
      <c r="M3904" s="37"/>
      <c r="N3904" s="27"/>
      <c r="O3904" s="30"/>
      <c r="P3904" s="39" t="str">
        <f t="shared" si="607"/>
        <v/>
      </c>
      <c r="Q3904" s="40" t="str">
        <f>IF(OR(T3904=0,RIGHT(T3904,1)=$W$1),"",COUNTIF($T$3:T3904,T3904))</f>
        <v/>
      </c>
      <c r="S3904" s="6">
        <f t="shared" si="608"/>
        <v>0</v>
      </c>
      <c r="T3904" s="36">
        <f t="shared" si="609"/>
        <v>0</v>
      </c>
      <c r="V3904" s="6">
        <f t="shared" si="610"/>
        <v>0</v>
      </c>
      <c r="Y3904" s="8">
        <f t="shared" si="611"/>
        <v>46023</v>
      </c>
    </row>
    <row r="3905" spans="2:25" ht="18.75" x14ac:dyDescent="0.3">
      <c r="B3905" s="6">
        <f t="shared" si="603"/>
        <v>0</v>
      </c>
      <c r="C3905" s="6">
        <f t="shared" si="604"/>
        <v>0</v>
      </c>
      <c r="D3905" s="6" t="str">
        <f t="shared" si="605"/>
        <v/>
      </c>
      <c r="E3905" s="35" t="str">
        <f t="shared" si="602"/>
        <v/>
      </c>
      <c r="F3905" s="31"/>
      <c r="G3905" s="29"/>
      <c r="H3905" s="78" t="str">
        <f t="shared" si="606"/>
        <v/>
      </c>
      <c r="I3905" s="25"/>
      <c r="J3905" s="25"/>
      <c r="K3905" s="26"/>
      <c r="L3905" s="26"/>
      <c r="M3905" s="37"/>
      <c r="N3905" s="27"/>
      <c r="O3905" s="30"/>
      <c r="P3905" s="39" t="str">
        <f t="shared" si="607"/>
        <v/>
      </c>
      <c r="Q3905" s="40" t="str">
        <f>IF(OR(T3905=0,RIGHT(T3905,1)=$W$1),"",COUNTIF($T$3:T3905,T3905))</f>
        <v/>
      </c>
      <c r="S3905" s="6">
        <f t="shared" si="608"/>
        <v>0</v>
      </c>
      <c r="T3905" s="36">
        <f t="shared" si="609"/>
        <v>0</v>
      </c>
      <c r="V3905" s="6">
        <f t="shared" si="610"/>
        <v>0</v>
      </c>
      <c r="Y3905" s="8">
        <f t="shared" si="611"/>
        <v>46023</v>
      </c>
    </row>
    <row r="3906" spans="2:25" ht="18.75" x14ac:dyDescent="0.3">
      <c r="B3906" s="6">
        <f t="shared" si="603"/>
        <v>0</v>
      </c>
      <c r="C3906" s="6">
        <f t="shared" si="604"/>
        <v>0</v>
      </c>
      <c r="D3906" s="6" t="str">
        <f t="shared" si="605"/>
        <v/>
      </c>
      <c r="E3906" s="35" t="str">
        <f t="shared" si="602"/>
        <v/>
      </c>
      <c r="F3906" s="31"/>
      <c r="G3906" s="29"/>
      <c r="H3906" s="78" t="str">
        <f t="shared" si="606"/>
        <v/>
      </c>
      <c r="I3906" s="25"/>
      <c r="J3906" s="25"/>
      <c r="K3906" s="26"/>
      <c r="L3906" s="26"/>
      <c r="M3906" s="37"/>
      <c r="N3906" s="27"/>
      <c r="O3906" s="30"/>
      <c r="P3906" s="39" t="str">
        <f t="shared" si="607"/>
        <v/>
      </c>
      <c r="Q3906" s="40" t="str">
        <f>IF(OR(T3906=0,RIGHT(T3906,1)=$W$1),"",COUNTIF($T$3:T3906,T3906))</f>
        <v/>
      </c>
      <c r="S3906" s="6">
        <f t="shared" si="608"/>
        <v>0</v>
      </c>
      <c r="T3906" s="36">
        <f t="shared" si="609"/>
        <v>0</v>
      </c>
      <c r="V3906" s="6">
        <f t="shared" si="610"/>
        <v>0</v>
      </c>
      <c r="Y3906" s="8">
        <f t="shared" si="611"/>
        <v>46023</v>
      </c>
    </row>
    <row r="3907" spans="2:25" ht="18.75" x14ac:dyDescent="0.3">
      <c r="B3907" s="6">
        <f t="shared" si="603"/>
        <v>0</v>
      </c>
      <c r="C3907" s="6">
        <f t="shared" si="604"/>
        <v>0</v>
      </c>
      <c r="D3907" s="6" t="str">
        <f t="shared" si="605"/>
        <v/>
      </c>
      <c r="E3907" s="35" t="str">
        <f t="shared" ref="E3907:E3970" si="612">IF(D3907&lt;&gt;"",D3907&amp;" - "&amp;YEAR(F3907),"")</f>
        <v/>
      </c>
      <c r="F3907" s="31"/>
      <c r="G3907" s="29"/>
      <c r="H3907" s="78" t="str">
        <f t="shared" si="606"/>
        <v/>
      </c>
      <c r="I3907" s="25"/>
      <c r="J3907" s="25"/>
      <c r="K3907" s="26"/>
      <c r="L3907" s="26"/>
      <c r="M3907" s="37"/>
      <c r="N3907" s="27"/>
      <c r="O3907" s="30"/>
      <c r="P3907" s="39" t="str">
        <f t="shared" si="607"/>
        <v/>
      </c>
      <c r="Q3907" s="40" t="str">
        <f>IF(OR(T3907=0,RIGHT(T3907,1)=$W$1),"",COUNTIF($T$3:T3907,T3907))</f>
        <v/>
      </c>
      <c r="S3907" s="6">
        <f t="shared" si="608"/>
        <v>0</v>
      </c>
      <c r="T3907" s="36">
        <f t="shared" si="609"/>
        <v>0</v>
      </c>
      <c r="V3907" s="6">
        <f t="shared" si="610"/>
        <v>0</v>
      </c>
      <c r="Y3907" s="8">
        <f t="shared" si="611"/>
        <v>46023</v>
      </c>
    </row>
    <row r="3908" spans="2:25" ht="18.75" x14ac:dyDescent="0.3">
      <c r="B3908" s="6">
        <f t="shared" ref="B3908:B3971" si="613">IF($B$1=YEAR(F3908),B3907+1,B3907)</f>
        <v>0</v>
      </c>
      <c r="C3908" s="6">
        <f t="shared" ref="C3908:C3971" si="614">IF(AND($C$1=K3908,$Y$1=YEAR(F3908)),C3907+1,C3907)</f>
        <v>0</v>
      </c>
      <c r="D3908" s="6" t="str">
        <f t="shared" ref="D3908:D3971" si="615">IF(F3908&lt;&gt;0,IF(YEAR(F3908)&lt;&gt;YEAR(F3907),1,IF(M3908=$AI$1,D3907,D3907+1)),"")</f>
        <v/>
      </c>
      <c r="E3908" s="35" t="str">
        <f t="shared" si="612"/>
        <v/>
      </c>
      <c r="F3908" s="31"/>
      <c r="G3908" s="29"/>
      <c r="H3908" s="78" t="str">
        <f t="shared" ref="H3908:H3971" si="616">IF(G3908&lt;&gt;"",F3908,"")</f>
        <v/>
      </c>
      <c r="I3908" s="25"/>
      <c r="J3908" s="25"/>
      <c r="K3908" s="26"/>
      <c r="L3908" s="26"/>
      <c r="M3908" s="37"/>
      <c r="N3908" s="27"/>
      <c r="O3908" s="30"/>
      <c r="P3908" s="39" t="str">
        <f t="shared" ref="P3908:P3971" si="617">IF(OR(T3908=0,RIGHT(T3908,1)=$W$1),"",VLOOKUP(K3908,$AD$1:$AK$15,5,FALSE))</f>
        <v/>
      </c>
      <c r="Q3908" s="40" t="str">
        <f>IF(OR(T3908=0,RIGHT(T3908,1)=$W$1),"",COUNTIF($T$3:T3908,T3908))</f>
        <v/>
      </c>
      <c r="S3908" s="6">
        <f t="shared" ref="S3908:S3971" si="618">IF(AND($C$1=K3908,$Y$1=YEAR(F3908)),C3908,0)</f>
        <v>0</v>
      </c>
      <c r="T3908" s="36">
        <f t="shared" ref="T3908:T3971" si="619">IF(F3908=0,0,YEAR(F3908)&amp;VLOOKUP(K3908,$AD$1:$AE$15,2,FALSE))</f>
        <v>0</v>
      </c>
      <c r="V3908" s="6">
        <f t="shared" ref="V3908:V3971" si="620">IF(AND(YEAR(F3908)=$Y$1,K3908=$C$1,L3908&amp;$V$1&lt;&gt;$V$1),L3908,IF(AND(YEAR(F3908)=$Y$1,K3908=$C$1),1,0))</f>
        <v>0</v>
      </c>
      <c r="Y3908" s="8">
        <f t="shared" ref="Y3908:Y3971" si="621">IF(M3908&lt;&gt;$AI$1,$Y$2,F3907)</f>
        <v>46023</v>
      </c>
    </row>
    <row r="3909" spans="2:25" ht="18.75" x14ac:dyDescent="0.3">
      <c r="B3909" s="6">
        <f t="shared" si="613"/>
        <v>0</v>
      </c>
      <c r="C3909" s="6">
        <f t="shared" si="614"/>
        <v>0</v>
      </c>
      <c r="D3909" s="6" t="str">
        <f t="shared" si="615"/>
        <v/>
      </c>
      <c r="E3909" s="35" t="str">
        <f t="shared" si="612"/>
        <v/>
      </c>
      <c r="F3909" s="31"/>
      <c r="G3909" s="29"/>
      <c r="H3909" s="78" t="str">
        <f t="shared" si="616"/>
        <v/>
      </c>
      <c r="I3909" s="25"/>
      <c r="J3909" s="25"/>
      <c r="K3909" s="26"/>
      <c r="L3909" s="26"/>
      <c r="M3909" s="37"/>
      <c r="N3909" s="27"/>
      <c r="O3909" s="30"/>
      <c r="P3909" s="39" t="str">
        <f t="shared" si="617"/>
        <v/>
      </c>
      <c r="Q3909" s="40" t="str">
        <f>IF(OR(T3909=0,RIGHT(T3909,1)=$W$1),"",COUNTIF($T$3:T3909,T3909))</f>
        <v/>
      </c>
      <c r="S3909" s="6">
        <f t="shared" si="618"/>
        <v>0</v>
      </c>
      <c r="T3909" s="36">
        <f t="shared" si="619"/>
        <v>0</v>
      </c>
      <c r="V3909" s="6">
        <f t="shared" si="620"/>
        <v>0</v>
      </c>
      <c r="Y3909" s="8">
        <f t="shared" si="621"/>
        <v>46023</v>
      </c>
    </row>
    <row r="3910" spans="2:25" ht="18.75" x14ac:dyDescent="0.3">
      <c r="B3910" s="6">
        <f t="shared" si="613"/>
        <v>0</v>
      </c>
      <c r="C3910" s="6">
        <f t="shared" si="614"/>
        <v>0</v>
      </c>
      <c r="D3910" s="6" t="str">
        <f t="shared" si="615"/>
        <v/>
      </c>
      <c r="E3910" s="35" t="str">
        <f t="shared" si="612"/>
        <v/>
      </c>
      <c r="F3910" s="31"/>
      <c r="G3910" s="29"/>
      <c r="H3910" s="78" t="str">
        <f t="shared" si="616"/>
        <v/>
      </c>
      <c r="I3910" s="25"/>
      <c r="J3910" s="25"/>
      <c r="K3910" s="26"/>
      <c r="L3910" s="26"/>
      <c r="M3910" s="37"/>
      <c r="N3910" s="27"/>
      <c r="O3910" s="30"/>
      <c r="P3910" s="39" t="str">
        <f t="shared" si="617"/>
        <v/>
      </c>
      <c r="Q3910" s="40" t="str">
        <f>IF(OR(T3910=0,RIGHT(T3910,1)=$W$1),"",COUNTIF($T$3:T3910,T3910))</f>
        <v/>
      </c>
      <c r="S3910" s="6">
        <f t="shared" si="618"/>
        <v>0</v>
      </c>
      <c r="T3910" s="36">
        <f t="shared" si="619"/>
        <v>0</v>
      </c>
      <c r="V3910" s="6">
        <f t="shared" si="620"/>
        <v>0</v>
      </c>
      <c r="Y3910" s="8">
        <f t="shared" si="621"/>
        <v>46023</v>
      </c>
    </row>
    <row r="3911" spans="2:25" ht="18.75" x14ac:dyDescent="0.3">
      <c r="B3911" s="6">
        <f t="shared" si="613"/>
        <v>0</v>
      </c>
      <c r="C3911" s="6">
        <f t="shared" si="614"/>
        <v>0</v>
      </c>
      <c r="D3911" s="6" t="str">
        <f t="shared" si="615"/>
        <v/>
      </c>
      <c r="E3911" s="35" t="str">
        <f t="shared" si="612"/>
        <v/>
      </c>
      <c r="F3911" s="31"/>
      <c r="G3911" s="29"/>
      <c r="H3911" s="78" t="str">
        <f t="shared" si="616"/>
        <v/>
      </c>
      <c r="I3911" s="25"/>
      <c r="J3911" s="25"/>
      <c r="K3911" s="26"/>
      <c r="L3911" s="26"/>
      <c r="M3911" s="37"/>
      <c r="N3911" s="27"/>
      <c r="O3911" s="30"/>
      <c r="P3911" s="39" t="str">
        <f t="shared" si="617"/>
        <v/>
      </c>
      <c r="Q3911" s="40" t="str">
        <f>IF(OR(T3911=0,RIGHT(T3911,1)=$W$1),"",COUNTIF($T$3:T3911,T3911))</f>
        <v/>
      </c>
      <c r="S3911" s="6">
        <f t="shared" si="618"/>
        <v>0</v>
      </c>
      <c r="T3911" s="36">
        <f t="shared" si="619"/>
        <v>0</v>
      </c>
      <c r="V3911" s="6">
        <f t="shared" si="620"/>
        <v>0</v>
      </c>
      <c r="Y3911" s="8">
        <f t="shared" si="621"/>
        <v>46023</v>
      </c>
    </row>
    <row r="3912" spans="2:25" ht="18.75" x14ac:dyDescent="0.3">
      <c r="B3912" s="6">
        <f t="shared" si="613"/>
        <v>0</v>
      </c>
      <c r="C3912" s="6">
        <f t="shared" si="614"/>
        <v>0</v>
      </c>
      <c r="D3912" s="6" t="str">
        <f t="shared" si="615"/>
        <v/>
      </c>
      <c r="E3912" s="35" t="str">
        <f t="shared" si="612"/>
        <v/>
      </c>
      <c r="F3912" s="31"/>
      <c r="G3912" s="29"/>
      <c r="H3912" s="78" t="str">
        <f t="shared" si="616"/>
        <v/>
      </c>
      <c r="I3912" s="25"/>
      <c r="J3912" s="25"/>
      <c r="K3912" s="26"/>
      <c r="L3912" s="26"/>
      <c r="M3912" s="37"/>
      <c r="N3912" s="27"/>
      <c r="O3912" s="30"/>
      <c r="P3912" s="39" t="str">
        <f t="shared" si="617"/>
        <v/>
      </c>
      <c r="Q3912" s="40" t="str">
        <f>IF(OR(T3912=0,RIGHT(T3912,1)=$W$1),"",COUNTIF($T$3:T3912,T3912))</f>
        <v/>
      </c>
      <c r="S3912" s="6">
        <f t="shared" si="618"/>
        <v>0</v>
      </c>
      <c r="T3912" s="36">
        <f t="shared" si="619"/>
        <v>0</v>
      </c>
      <c r="V3912" s="6">
        <f t="shared" si="620"/>
        <v>0</v>
      </c>
      <c r="Y3912" s="8">
        <f t="shared" si="621"/>
        <v>46023</v>
      </c>
    </row>
    <row r="3913" spans="2:25" ht="18.75" x14ac:dyDescent="0.3">
      <c r="B3913" s="6">
        <f t="shared" si="613"/>
        <v>0</v>
      </c>
      <c r="C3913" s="6">
        <f t="shared" si="614"/>
        <v>0</v>
      </c>
      <c r="D3913" s="6" t="str">
        <f t="shared" si="615"/>
        <v/>
      </c>
      <c r="E3913" s="35" t="str">
        <f t="shared" si="612"/>
        <v/>
      </c>
      <c r="F3913" s="31"/>
      <c r="G3913" s="29"/>
      <c r="H3913" s="78" t="str">
        <f t="shared" si="616"/>
        <v/>
      </c>
      <c r="I3913" s="25"/>
      <c r="J3913" s="25"/>
      <c r="K3913" s="26"/>
      <c r="L3913" s="26"/>
      <c r="M3913" s="37"/>
      <c r="N3913" s="27"/>
      <c r="O3913" s="30"/>
      <c r="P3913" s="39" t="str">
        <f t="shared" si="617"/>
        <v/>
      </c>
      <c r="Q3913" s="40" t="str">
        <f>IF(OR(T3913=0,RIGHT(T3913,1)=$W$1),"",COUNTIF($T$3:T3913,T3913))</f>
        <v/>
      </c>
      <c r="S3913" s="6">
        <f t="shared" si="618"/>
        <v>0</v>
      </c>
      <c r="T3913" s="36">
        <f t="shared" si="619"/>
        <v>0</v>
      </c>
      <c r="V3913" s="6">
        <f t="shared" si="620"/>
        <v>0</v>
      </c>
      <c r="Y3913" s="8">
        <f t="shared" si="621"/>
        <v>46023</v>
      </c>
    </row>
    <row r="3914" spans="2:25" ht="18.75" x14ac:dyDescent="0.3">
      <c r="B3914" s="6">
        <f t="shared" si="613"/>
        <v>0</v>
      </c>
      <c r="C3914" s="6">
        <f t="shared" si="614"/>
        <v>0</v>
      </c>
      <c r="D3914" s="6" t="str">
        <f t="shared" si="615"/>
        <v/>
      </c>
      <c r="E3914" s="35" t="str">
        <f t="shared" si="612"/>
        <v/>
      </c>
      <c r="F3914" s="31"/>
      <c r="G3914" s="29"/>
      <c r="H3914" s="78" t="str">
        <f t="shared" si="616"/>
        <v/>
      </c>
      <c r="I3914" s="25"/>
      <c r="J3914" s="25"/>
      <c r="K3914" s="26"/>
      <c r="L3914" s="26"/>
      <c r="M3914" s="37"/>
      <c r="N3914" s="27"/>
      <c r="O3914" s="30"/>
      <c r="P3914" s="39" t="str">
        <f t="shared" si="617"/>
        <v/>
      </c>
      <c r="Q3914" s="40" t="str">
        <f>IF(OR(T3914=0,RIGHT(T3914,1)=$W$1),"",COUNTIF($T$3:T3914,T3914))</f>
        <v/>
      </c>
      <c r="S3914" s="6">
        <f t="shared" si="618"/>
        <v>0</v>
      </c>
      <c r="T3914" s="36">
        <f t="shared" si="619"/>
        <v>0</v>
      </c>
      <c r="V3914" s="6">
        <f t="shared" si="620"/>
        <v>0</v>
      </c>
      <c r="Y3914" s="8">
        <f t="shared" si="621"/>
        <v>46023</v>
      </c>
    </row>
    <row r="3915" spans="2:25" ht="18.75" x14ac:dyDescent="0.3">
      <c r="B3915" s="6">
        <f t="shared" si="613"/>
        <v>0</v>
      </c>
      <c r="C3915" s="6">
        <f t="shared" si="614"/>
        <v>0</v>
      </c>
      <c r="D3915" s="6" t="str">
        <f t="shared" si="615"/>
        <v/>
      </c>
      <c r="E3915" s="35" t="str">
        <f t="shared" si="612"/>
        <v/>
      </c>
      <c r="F3915" s="31"/>
      <c r="G3915" s="29"/>
      <c r="H3915" s="78" t="str">
        <f t="shared" si="616"/>
        <v/>
      </c>
      <c r="I3915" s="25"/>
      <c r="J3915" s="25"/>
      <c r="K3915" s="26"/>
      <c r="L3915" s="26"/>
      <c r="M3915" s="37"/>
      <c r="N3915" s="27"/>
      <c r="O3915" s="30"/>
      <c r="P3915" s="39" t="str">
        <f t="shared" si="617"/>
        <v/>
      </c>
      <c r="Q3915" s="40" t="str">
        <f>IF(OR(T3915=0,RIGHT(T3915,1)=$W$1),"",COUNTIF($T$3:T3915,T3915))</f>
        <v/>
      </c>
      <c r="S3915" s="6">
        <f t="shared" si="618"/>
        <v>0</v>
      </c>
      <c r="T3915" s="36">
        <f t="shared" si="619"/>
        <v>0</v>
      </c>
      <c r="V3915" s="6">
        <f t="shared" si="620"/>
        <v>0</v>
      </c>
      <c r="Y3915" s="8">
        <f t="shared" si="621"/>
        <v>46023</v>
      </c>
    </row>
    <row r="3916" spans="2:25" ht="18.75" x14ac:dyDescent="0.3">
      <c r="B3916" s="6">
        <f t="shared" si="613"/>
        <v>0</v>
      </c>
      <c r="C3916" s="6">
        <f t="shared" si="614"/>
        <v>0</v>
      </c>
      <c r="D3916" s="6" t="str">
        <f t="shared" si="615"/>
        <v/>
      </c>
      <c r="E3916" s="35" t="str">
        <f t="shared" si="612"/>
        <v/>
      </c>
      <c r="F3916" s="31"/>
      <c r="G3916" s="29"/>
      <c r="H3916" s="78" t="str">
        <f t="shared" si="616"/>
        <v/>
      </c>
      <c r="I3916" s="25"/>
      <c r="J3916" s="25"/>
      <c r="K3916" s="26"/>
      <c r="L3916" s="26"/>
      <c r="M3916" s="37"/>
      <c r="N3916" s="27"/>
      <c r="O3916" s="30"/>
      <c r="P3916" s="39" t="str">
        <f t="shared" si="617"/>
        <v/>
      </c>
      <c r="Q3916" s="40" t="str">
        <f>IF(OR(T3916=0,RIGHT(T3916,1)=$W$1),"",COUNTIF($T$3:T3916,T3916))</f>
        <v/>
      </c>
      <c r="S3916" s="6">
        <f t="shared" si="618"/>
        <v>0</v>
      </c>
      <c r="T3916" s="36">
        <f t="shared" si="619"/>
        <v>0</v>
      </c>
      <c r="V3916" s="6">
        <f t="shared" si="620"/>
        <v>0</v>
      </c>
      <c r="Y3916" s="8">
        <f t="shared" si="621"/>
        <v>46023</v>
      </c>
    </row>
    <row r="3917" spans="2:25" ht="18.75" x14ac:dyDescent="0.3">
      <c r="B3917" s="6">
        <f t="shared" si="613"/>
        <v>0</v>
      </c>
      <c r="C3917" s="6">
        <f t="shared" si="614"/>
        <v>0</v>
      </c>
      <c r="D3917" s="6" t="str">
        <f t="shared" si="615"/>
        <v/>
      </c>
      <c r="E3917" s="35" t="str">
        <f t="shared" si="612"/>
        <v/>
      </c>
      <c r="F3917" s="31"/>
      <c r="G3917" s="29"/>
      <c r="H3917" s="78" t="str">
        <f t="shared" si="616"/>
        <v/>
      </c>
      <c r="I3917" s="25"/>
      <c r="J3917" s="25"/>
      <c r="K3917" s="26"/>
      <c r="L3917" s="26"/>
      <c r="M3917" s="37"/>
      <c r="N3917" s="27"/>
      <c r="O3917" s="30"/>
      <c r="P3917" s="39" t="str">
        <f t="shared" si="617"/>
        <v/>
      </c>
      <c r="Q3917" s="40" t="str">
        <f>IF(OR(T3917=0,RIGHT(T3917,1)=$W$1),"",COUNTIF($T$3:T3917,T3917))</f>
        <v/>
      </c>
      <c r="S3917" s="6">
        <f t="shared" si="618"/>
        <v>0</v>
      </c>
      <c r="T3917" s="36">
        <f t="shared" si="619"/>
        <v>0</v>
      </c>
      <c r="V3917" s="6">
        <f t="shared" si="620"/>
        <v>0</v>
      </c>
      <c r="Y3917" s="8">
        <f t="shared" si="621"/>
        <v>46023</v>
      </c>
    </row>
    <row r="3918" spans="2:25" ht="18.75" x14ac:dyDescent="0.3">
      <c r="B3918" s="6">
        <f t="shared" si="613"/>
        <v>0</v>
      </c>
      <c r="C3918" s="6">
        <f t="shared" si="614"/>
        <v>0</v>
      </c>
      <c r="D3918" s="6" t="str">
        <f t="shared" si="615"/>
        <v/>
      </c>
      <c r="E3918" s="35" t="str">
        <f t="shared" si="612"/>
        <v/>
      </c>
      <c r="F3918" s="31"/>
      <c r="G3918" s="29"/>
      <c r="H3918" s="78" t="str">
        <f t="shared" si="616"/>
        <v/>
      </c>
      <c r="I3918" s="25"/>
      <c r="J3918" s="25"/>
      <c r="K3918" s="26"/>
      <c r="L3918" s="26"/>
      <c r="M3918" s="37"/>
      <c r="N3918" s="27"/>
      <c r="O3918" s="30"/>
      <c r="P3918" s="39" t="str">
        <f t="shared" si="617"/>
        <v/>
      </c>
      <c r="Q3918" s="40" t="str">
        <f>IF(OR(T3918=0,RIGHT(T3918,1)=$W$1),"",COUNTIF($T$3:T3918,T3918))</f>
        <v/>
      </c>
      <c r="S3918" s="6">
        <f t="shared" si="618"/>
        <v>0</v>
      </c>
      <c r="T3918" s="36">
        <f t="shared" si="619"/>
        <v>0</v>
      </c>
      <c r="V3918" s="6">
        <f t="shared" si="620"/>
        <v>0</v>
      </c>
      <c r="Y3918" s="8">
        <f t="shared" si="621"/>
        <v>46023</v>
      </c>
    </row>
    <row r="3919" spans="2:25" ht="18.75" x14ac:dyDescent="0.3">
      <c r="B3919" s="6">
        <f t="shared" si="613"/>
        <v>0</v>
      </c>
      <c r="C3919" s="6">
        <f t="shared" si="614"/>
        <v>0</v>
      </c>
      <c r="D3919" s="6" t="str">
        <f t="shared" si="615"/>
        <v/>
      </c>
      <c r="E3919" s="35" t="str">
        <f t="shared" si="612"/>
        <v/>
      </c>
      <c r="F3919" s="31"/>
      <c r="G3919" s="29"/>
      <c r="H3919" s="78" t="str">
        <f t="shared" si="616"/>
        <v/>
      </c>
      <c r="I3919" s="25"/>
      <c r="J3919" s="25"/>
      <c r="K3919" s="26"/>
      <c r="L3919" s="26"/>
      <c r="M3919" s="37"/>
      <c r="N3919" s="27"/>
      <c r="O3919" s="30"/>
      <c r="P3919" s="39" t="str">
        <f t="shared" si="617"/>
        <v/>
      </c>
      <c r="Q3919" s="40" t="str">
        <f>IF(OR(T3919=0,RIGHT(T3919,1)=$W$1),"",COUNTIF($T$3:T3919,T3919))</f>
        <v/>
      </c>
      <c r="S3919" s="6">
        <f t="shared" si="618"/>
        <v>0</v>
      </c>
      <c r="T3919" s="36">
        <f t="shared" si="619"/>
        <v>0</v>
      </c>
      <c r="V3919" s="6">
        <f t="shared" si="620"/>
        <v>0</v>
      </c>
      <c r="Y3919" s="8">
        <f t="shared" si="621"/>
        <v>46023</v>
      </c>
    </row>
    <row r="3920" spans="2:25" ht="18.75" x14ac:dyDescent="0.3">
      <c r="B3920" s="6">
        <f t="shared" si="613"/>
        <v>0</v>
      </c>
      <c r="C3920" s="6">
        <f t="shared" si="614"/>
        <v>0</v>
      </c>
      <c r="D3920" s="6" t="str">
        <f t="shared" si="615"/>
        <v/>
      </c>
      <c r="E3920" s="35" t="str">
        <f t="shared" si="612"/>
        <v/>
      </c>
      <c r="F3920" s="31"/>
      <c r="G3920" s="29"/>
      <c r="H3920" s="78" t="str">
        <f t="shared" si="616"/>
        <v/>
      </c>
      <c r="I3920" s="25"/>
      <c r="J3920" s="25"/>
      <c r="K3920" s="26"/>
      <c r="L3920" s="26"/>
      <c r="M3920" s="37"/>
      <c r="N3920" s="27"/>
      <c r="O3920" s="30"/>
      <c r="P3920" s="39" t="str">
        <f t="shared" si="617"/>
        <v/>
      </c>
      <c r="Q3920" s="40" t="str">
        <f>IF(OR(T3920=0,RIGHT(T3920,1)=$W$1),"",COUNTIF($T$3:T3920,T3920))</f>
        <v/>
      </c>
      <c r="S3920" s="6">
        <f t="shared" si="618"/>
        <v>0</v>
      </c>
      <c r="T3920" s="36">
        <f t="shared" si="619"/>
        <v>0</v>
      </c>
      <c r="V3920" s="6">
        <f t="shared" si="620"/>
        <v>0</v>
      </c>
      <c r="Y3920" s="8">
        <f t="shared" si="621"/>
        <v>46023</v>
      </c>
    </row>
    <row r="3921" spans="2:25" ht="18.75" x14ac:dyDescent="0.3">
      <c r="B3921" s="6">
        <f t="shared" si="613"/>
        <v>0</v>
      </c>
      <c r="C3921" s="6">
        <f t="shared" si="614"/>
        <v>0</v>
      </c>
      <c r="D3921" s="6" t="str">
        <f t="shared" si="615"/>
        <v/>
      </c>
      <c r="E3921" s="35" t="str">
        <f t="shared" si="612"/>
        <v/>
      </c>
      <c r="F3921" s="31"/>
      <c r="G3921" s="29"/>
      <c r="H3921" s="78" t="str">
        <f t="shared" si="616"/>
        <v/>
      </c>
      <c r="I3921" s="25"/>
      <c r="J3921" s="25"/>
      <c r="K3921" s="26"/>
      <c r="L3921" s="26"/>
      <c r="M3921" s="37"/>
      <c r="N3921" s="27"/>
      <c r="O3921" s="30"/>
      <c r="P3921" s="39" t="str">
        <f t="shared" si="617"/>
        <v/>
      </c>
      <c r="Q3921" s="40" t="str">
        <f>IF(OR(T3921=0,RIGHT(T3921,1)=$W$1),"",COUNTIF($T$3:T3921,T3921))</f>
        <v/>
      </c>
      <c r="S3921" s="6">
        <f t="shared" si="618"/>
        <v>0</v>
      </c>
      <c r="T3921" s="36">
        <f t="shared" si="619"/>
        <v>0</v>
      </c>
      <c r="V3921" s="6">
        <f t="shared" si="620"/>
        <v>0</v>
      </c>
      <c r="Y3921" s="8">
        <f t="shared" si="621"/>
        <v>46023</v>
      </c>
    </row>
    <row r="3922" spans="2:25" ht="18.75" x14ac:dyDescent="0.3">
      <c r="B3922" s="6">
        <f t="shared" si="613"/>
        <v>0</v>
      </c>
      <c r="C3922" s="6">
        <f t="shared" si="614"/>
        <v>0</v>
      </c>
      <c r="D3922" s="6" t="str">
        <f t="shared" si="615"/>
        <v/>
      </c>
      <c r="E3922" s="35" t="str">
        <f t="shared" si="612"/>
        <v/>
      </c>
      <c r="F3922" s="31"/>
      <c r="G3922" s="29"/>
      <c r="H3922" s="78" t="str">
        <f t="shared" si="616"/>
        <v/>
      </c>
      <c r="I3922" s="25"/>
      <c r="J3922" s="25"/>
      <c r="K3922" s="26"/>
      <c r="L3922" s="26"/>
      <c r="M3922" s="37"/>
      <c r="N3922" s="27"/>
      <c r="O3922" s="30"/>
      <c r="P3922" s="39" t="str">
        <f t="shared" si="617"/>
        <v/>
      </c>
      <c r="Q3922" s="40" t="str">
        <f>IF(OR(T3922=0,RIGHT(T3922,1)=$W$1),"",COUNTIF($T$3:T3922,T3922))</f>
        <v/>
      </c>
      <c r="S3922" s="6">
        <f t="shared" si="618"/>
        <v>0</v>
      </c>
      <c r="T3922" s="36">
        <f t="shared" si="619"/>
        <v>0</v>
      </c>
      <c r="V3922" s="6">
        <f t="shared" si="620"/>
        <v>0</v>
      </c>
      <c r="Y3922" s="8">
        <f t="shared" si="621"/>
        <v>46023</v>
      </c>
    </row>
    <row r="3923" spans="2:25" ht="18.75" x14ac:dyDescent="0.3">
      <c r="B3923" s="6">
        <f t="shared" si="613"/>
        <v>0</v>
      </c>
      <c r="C3923" s="6">
        <f t="shared" si="614"/>
        <v>0</v>
      </c>
      <c r="D3923" s="6" t="str">
        <f t="shared" si="615"/>
        <v/>
      </c>
      <c r="E3923" s="35" t="str">
        <f t="shared" si="612"/>
        <v/>
      </c>
      <c r="F3923" s="31"/>
      <c r="G3923" s="29"/>
      <c r="H3923" s="78" t="str">
        <f t="shared" si="616"/>
        <v/>
      </c>
      <c r="I3923" s="25"/>
      <c r="J3923" s="25"/>
      <c r="K3923" s="26"/>
      <c r="L3923" s="26"/>
      <c r="M3923" s="37"/>
      <c r="N3923" s="27"/>
      <c r="O3923" s="30"/>
      <c r="P3923" s="39" t="str">
        <f t="shared" si="617"/>
        <v/>
      </c>
      <c r="Q3923" s="40" t="str">
        <f>IF(OR(T3923=0,RIGHT(T3923,1)=$W$1),"",COUNTIF($T$3:T3923,T3923))</f>
        <v/>
      </c>
      <c r="S3923" s="6">
        <f t="shared" si="618"/>
        <v>0</v>
      </c>
      <c r="T3923" s="36">
        <f t="shared" si="619"/>
        <v>0</v>
      </c>
      <c r="V3923" s="6">
        <f t="shared" si="620"/>
        <v>0</v>
      </c>
      <c r="Y3923" s="8">
        <f t="shared" si="621"/>
        <v>46023</v>
      </c>
    </row>
    <row r="3924" spans="2:25" ht="18.75" x14ac:dyDescent="0.3">
      <c r="B3924" s="6">
        <f t="shared" si="613"/>
        <v>0</v>
      </c>
      <c r="C3924" s="6">
        <f t="shared" si="614"/>
        <v>0</v>
      </c>
      <c r="D3924" s="6" t="str">
        <f t="shared" si="615"/>
        <v/>
      </c>
      <c r="E3924" s="35" t="str">
        <f t="shared" si="612"/>
        <v/>
      </c>
      <c r="F3924" s="31"/>
      <c r="G3924" s="29"/>
      <c r="H3924" s="78" t="str">
        <f t="shared" si="616"/>
        <v/>
      </c>
      <c r="I3924" s="25"/>
      <c r="J3924" s="25"/>
      <c r="K3924" s="26"/>
      <c r="L3924" s="26"/>
      <c r="M3924" s="37"/>
      <c r="N3924" s="27"/>
      <c r="O3924" s="30"/>
      <c r="P3924" s="39" t="str">
        <f t="shared" si="617"/>
        <v/>
      </c>
      <c r="Q3924" s="40" t="str">
        <f>IF(OR(T3924=0,RIGHT(T3924,1)=$W$1),"",COUNTIF($T$3:T3924,T3924))</f>
        <v/>
      </c>
      <c r="S3924" s="6">
        <f t="shared" si="618"/>
        <v>0</v>
      </c>
      <c r="T3924" s="36">
        <f t="shared" si="619"/>
        <v>0</v>
      </c>
      <c r="V3924" s="6">
        <f t="shared" si="620"/>
        <v>0</v>
      </c>
      <c r="Y3924" s="8">
        <f t="shared" si="621"/>
        <v>46023</v>
      </c>
    </row>
    <row r="3925" spans="2:25" ht="18.75" x14ac:dyDescent="0.3">
      <c r="B3925" s="6">
        <f t="shared" si="613"/>
        <v>0</v>
      </c>
      <c r="C3925" s="6">
        <f t="shared" si="614"/>
        <v>0</v>
      </c>
      <c r="D3925" s="6" t="str">
        <f t="shared" si="615"/>
        <v/>
      </c>
      <c r="E3925" s="35" t="str">
        <f t="shared" si="612"/>
        <v/>
      </c>
      <c r="F3925" s="31"/>
      <c r="G3925" s="29"/>
      <c r="H3925" s="78" t="str">
        <f t="shared" si="616"/>
        <v/>
      </c>
      <c r="I3925" s="25"/>
      <c r="J3925" s="25"/>
      <c r="K3925" s="26"/>
      <c r="L3925" s="26"/>
      <c r="M3925" s="37"/>
      <c r="N3925" s="27"/>
      <c r="O3925" s="30"/>
      <c r="P3925" s="39" t="str">
        <f t="shared" si="617"/>
        <v/>
      </c>
      <c r="Q3925" s="40" t="str">
        <f>IF(OR(T3925=0,RIGHT(T3925,1)=$W$1),"",COUNTIF($T$3:T3925,T3925))</f>
        <v/>
      </c>
      <c r="S3925" s="6">
        <f t="shared" si="618"/>
        <v>0</v>
      </c>
      <c r="T3925" s="36">
        <f t="shared" si="619"/>
        <v>0</v>
      </c>
      <c r="V3925" s="6">
        <f t="shared" si="620"/>
        <v>0</v>
      </c>
      <c r="Y3925" s="8">
        <f t="shared" si="621"/>
        <v>46023</v>
      </c>
    </row>
    <row r="3926" spans="2:25" ht="18.75" x14ac:dyDescent="0.3">
      <c r="B3926" s="6">
        <f t="shared" si="613"/>
        <v>0</v>
      </c>
      <c r="C3926" s="6">
        <f t="shared" si="614"/>
        <v>0</v>
      </c>
      <c r="D3926" s="6" t="str">
        <f t="shared" si="615"/>
        <v/>
      </c>
      <c r="E3926" s="35" t="str">
        <f t="shared" si="612"/>
        <v/>
      </c>
      <c r="F3926" s="31"/>
      <c r="G3926" s="29"/>
      <c r="H3926" s="78" t="str">
        <f t="shared" si="616"/>
        <v/>
      </c>
      <c r="I3926" s="25"/>
      <c r="J3926" s="25"/>
      <c r="K3926" s="26"/>
      <c r="L3926" s="26"/>
      <c r="M3926" s="37"/>
      <c r="N3926" s="27"/>
      <c r="O3926" s="30"/>
      <c r="P3926" s="39" t="str">
        <f t="shared" si="617"/>
        <v/>
      </c>
      <c r="Q3926" s="40" t="str">
        <f>IF(OR(T3926=0,RIGHT(T3926,1)=$W$1),"",COUNTIF($T$3:T3926,T3926))</f>
        <v/>
      </c>
      <c r="S3926" s="6">
        <f t="shared" si="618"/>
        <v>0</v>
      </c>
      <c r="T3926" s="36">
        <f t="shared" si="619"/>
        <v>0</v>
      </c>
      <c r="V3926" s="6">
        <f t="shared" si="620"/>
        <v>0</v>
      </c>
      <c r="Y3926" s="8">
        <f t="shared" si="621"/>
        <v>46023</v>
      </c>
    </row>
    <row r="3927" spans="2:25" ht="18.75" x14ac:dyDescent="0.3">
      <c r="B3927" s="6">
        <f t="shared" si="613"/>
        <v>0</v>
      </c>
      <c r="C3927" s="6">
        <f t="shared" si="614"/>
        <v>0</v>
      </c>
      <c r="D3927" s="6" t="str">
        <f t="shared" si="615"/>
        <v/>
      </c>
      <c r="E3927" s="35" t="str">
        <f t="shared" si="612"/>
        <v/>
      </c>
      <c r="F3927" s="31"/>
      <c r="G3927" s="29"/>
      <c r="H3927" s="78" t="str">
        <f t="shared" si="616"/>
        <v/>
      </c>
      <c r="I3927" s="25"/>
      <c r="J3927" s="25"/>
      <c r="K3927" s="26"/>
      <c r="L3927" s="26"/>
      <c r="M3927" s="37"/>
      <c r="N3927" s="27"/>
      <c r="O3927" s="30"/>
      <c r="P3927" s="39" t="str">
        <f t="shared" si="617"/>
        <v/>
      </c>
      <c r="Q3927" s="40" t="str">
        <f>IF(OR(T3927=0,RIGHT(T3927,1)=$W$1),"",COUNTIF($T$3:T3927,T3927))</f>
        <v/>
      </c>
      <c r="S3927" s="6">
        <f t="shared" si="618"/>
        <v>0</v>
      </c>
      <c r="T3927" s="36">
        <f t="shared" si="619"/>
        <v>0</v>
      </c>
      <c r="V3927" s="6">
        <f t="shared" si="620"/>
        <v>0</v>
      </c>
      <c r="Y3927" s="8">
        <f t="shared" si="621"/>
        <v>46023</v>
      </c>
    </row>
    <row r="3928" spans="2:25" ht="18.75" x14ac:dyDescent="0.3">
      <c r="B3928" s="6">
        <f t="shared" si="613"/>
        <v>0</v>
      </c>
      <c r="C3928" s="6">
        <f t="shared" si="614"/>
        <v>0</v>
      </c>
      <c r="D3928" s="6" t="str">
        <f t="shared" si="615"/>
        <v/>
      </c>
      <c r="E3928" s="35" t="str">
        <f t="shared" si="612"/>
        <v/>
      </c>
      <c r="F3928" s="31"/>
      <c r="G3928" s="29"/>
      <c r="H3928" s="78" t="str">
        <f t="shared" si="616"/>
        <v/>
      </c>
      <c r="I3928" s="25"/>
      <c r="J3928" s="25"/>
      <c r="K3928" s="26"/>
      <c r="L3928" s="26"/>
      <c r="M3928" s="37"/>
      <c r="N3928" s="27"/>
      <c r="O3928" s="30"/>
      <c r="P3928" s="39" t="str">
        <f t="shared" si="617"/>
        <v/>
      </c>
      <c r="Q3928" s="40" t="str">
        <f>IF(OR(T3928=0,RIGHT(T3928,1)=$W$1),"",COUNTIF($T$3:T3928,T3928))</f>
        <v/>
      </c>
      <c r="S3928" s="6">
        <f t="shared" si="618"/>
        <v>0</v>
      </c>
      <c r="T3928" s="36">
        <f t="shared" si="619"/>
        <v>0</v>
      </c>
      <c r="V3928" s="6">
        <f t="shared" si="620"/>
        <v>0</v>
      </c>
      <c r="Y3928" s="8">
        <f t="shared" si="621"/>
        <v>46023</v>
      </c>
    </row>
    <row r="3929" spans="2:25" ht="18.75" x14ac:dyDescent="0.3">
      <c r="B3929" s="6">
        <f t="shared" si="613"/>
        <v>0</v>
      </c>
      <c r="C3929" s="6">
        <f t="shared" si="614"/>
        <v>0</v>
      </c>
      <c r="D3929" s="6" t="str">
        <f t="shared" si="615"/>
        <v/>
      </c>
      <c r="E3929" s="35" t="str">
        <f t="shared" si="612"/>
        <v/>
      </c>
      <c r="F3929" s="31"/>
      <c r="G3929" s="29"/>
      <c r="H3929" s="78" t="str">
        <f t="shared" si="616"/>
        <v/>
      </c>
      <c r="I3929" s="25"/>
      <c r="J3929" s="25"/>
      <c r="K3929" s="26"/>
      <c r="L3929" s="26"/>
      <c r="M3929" s="37"/>
      <c r="N3929" s="27"/>
      <c r="O3929" s="30"/>
      <c r="P3929" s="39" t="str">
        <f t="shared" si="617"/>
        <v/>
      </c>
      <c r="Q3929" s="40" t="str">
        <f>IF(OR(T3929=0,RIGHT(T3929,1)=$W$1),"",COUNTIF($T$3:T3929,T3929))</f>
        <v/>
      </c>
      <c r="S3929" s="6">
        <f t="shared" si="618"/>
        <v>0</v>
      </c>
      <c r="T3929" s="36">
        <f t="shared" si="619"/>
        <v>0</v>
      </c>
      <c r="V3929" s="6">
        <f t="shared" si="620"/>
        <v>0</v>
      </c>
      <c r="Y3929" s="8">
        <f t="shared" si="621"/>
        <v>46023</v>
      </c>
    </row>
    <row r="3930" spans="2:25" ht="18.75" x14ac:dyDescent="0.3">
      <c r="B3930" s="6">
        <f t="shared" si="613"/>
        <v>0</v>
      </c>
      <c r="C3930" s="6">
        <f t="shared" si="614"/>
        <v>0</v>
      </c>
      <c r="D3930" s="6" t="str">
        <f t="shared" si="615"/>
        <v/>
      </c>
      <c r="E3930" s="35" t="str">
        <f t="shared" si="612"/>
        <v/>
      </c>
      <c r="F3930" s="31"/>
      <c r="G3930" s="29"/>
      <c r="H3930" s="78" t="str">
        <f t="shared" si="616"/>
        <v/>
      </c>
      <c r="I3930" s="25"/>
      <c r="J3930" s="25"/>
      <c r="K3930" s="26"/>
      <c r="L3930" s="26"/>
      <c r="M3930" s="37"/>
      <c r="N3930" s="27"/>
      <c r="O3930" s="30"/>
      <c r="P3930" s="39" t="str">
        <f t="shared" si="617"/>
        <v/>
      </c>
      <c r="Q3930" s="40" t="str">
        <f>IF(OR(T3930=0,RIGHT(T3930,1)=$W$1),"",COUNTIF($T$3:T3930,T3930))</f>
        <v/>
      </c>
      <c r="S3930" s="6">
        <f t="shared" si="618"/>
        <v>0</v>
      </c>
      <c r="T3930" s="36">
        <f t="shared" si="619"/>
        <v>0</v>
      </c>
      <c r="V3930" s="6">
        <f t="shared" si="620"/>
        <v>0</v>
      </c>
      <c r="Y3930" s="8">
        <f t="shared" si="621"/>
        <v>46023</v>
      </c>
    </row>
    <row r="3931" spans="2:25" ht="18.75" x14ac:dyDescent="0.3">
      <c r="B3931" s="6">
        <f t="shared" si="613"/>
        <v>0</v>
      </c>
      <c r="C3931" s="6">
        <f t="shared" si="614"/>
        <v>0</v>
      </c>
      <c r="D3931" s="6" t="str">
        <f t="shared" si="615"/>
        <v/>
      </c>
      <c r="E3931" s="35" t="str">
        <f t="shared" si="612"/>
        <v/>
      </c>
      <c r="F3931" s="31"/>
      <c r="G3931" s="29"/>
      <c r="H3931" s="78" t="str">
        <f t="shared" si="616"/>
        <v/>
      </c>
      <c r="I3931" s="25"/>
      <c r="J3931" s="25"/>
      <c r="K3931" s="26"/>
      <c r="L3931" s="26"/>
      <c r="M3931" s="37"/>
      <c r="N3931" s="27"/>
      <c r="O3931" s="30"/>
      <c r="P3931" s="39" t="str">
        <f t="shared" si="617"/>
        <v/>
      </c>
      <c r="Q3931" s="40" t="str">
        <f>IF(OR(T3931=0,RIGHT(T3931,1)=$W$1),"",COUNTIF($T$3:T3931,T3931))</f>
        <v/>
      </c>
      <c r="S3931" s="6">
        <f t="shared" si="618"/>
        <v>0</v>
      </c>
      <c r="T3931" s="36">
        <f t="shared" si="619"/>
        <v>0</v>
      </c>
      <c r="V3931" s="6">
        <f t="shared" si="620"/>
        <v>0</v>
      </c>
      <c r="Y3931" s="8">
        <f t="shared" si="621"/>
        <v>46023</v>
      </c>
    </row>
    <row r="3932" spans="2:25" ht="18.75" x14ac:dyDescent="0.3">
      <c r="B3932" s="6">
        <f t="shared" si="613"/>
        <v>0</v>
      </c>
      <c r="C3932" s="6">
        <f t="shared" si="614"/>
        <v>0</v>
      </c>
      <c r="D3932" s="6" t="str">
        <f t="shared" si="615"/>
        <v/>
      </c>
      <c r="E3932" s="35" t="str">
        <f t="shared" si="612"/>
        <v/>
      </c>
      <c r="F3932" s="31"/>
      <c r="G3932" s="29"/>
      <c r="H3932" s="78" t="str">
        <f t="shared" si="616"/>
        <v/>
      </c>
      <c r="I3932" s="25"/>
      <c r="J3932" s="25"/>
      <c r="K3932" s="26"/>
      <c r="L3932" s="26"/>
      <c r="M3932" s="37"/>
      <c r="N3932" s="27"/>
      <c r="O3932" s="30"/>
      <c r="P3932" s="39" t="str">
        <f t="shared" si="617"/>
        <v/>
      </c>
      <c r="Q3932" s="40" t="str">
        <f>IF(OR(T3932=0,RIGHT(T3932,1)=$W$1),"",COUNTIF($T$3:T3932,T3932))</f>
        <v/>
      </c>
      <c r="S3932" s="6">
        <f t="shared" si="618"/>
        <v>0</v>
      </c>
      <c r="T3932" s="36">
        <f t="shared" si="619"/>
        <v>0</v>
      </c>
      <c r="V3932" s="6">
        <f t="shared" si="620"/>
        <v>0</v>
      </c>
      <c r="Y3932" s="8">
        <f t="shared" si="621"/>
        <v>46023</v>
      </c>
    </row>
    <row r="3933" spans="2:25" ht="18.75" x14ac:dyDescent="0.3">
      <c r="B3933" s="6">
        <f t="shared" si="613"/>
        <v>0</v>
      </c>
      <c r="C3933" s="6">
        <f t="shared" si="614"/>
        <v>0</v>
      </c>
      <c r="D3933" s="6" t="str">
        <f t="shared" si="615"/>
        <v/>
      </c>
      <c r="E3933" s="35" t="str">
        <f t="shared" si="612"/>
        <v/>
      </c>
      <c r="F3933" s="31"/>
      <c r="G3933" s="29"/>
      <c r="H3933" s="78" t="str">
        <f t="shared" si="616"/>
        <v/>
      </c>
      <c r="I3933" s="25"/>
      <c r="J3933" s="25"/>
      <c r="K3933" s="26"/>
      <c r="L3933" s="26"/>
      <c r="M3933" s="37"/>
      <c r="N3933" s="27"/>
      <c r="O3933" s="30"/>
      <c r="P3933" s="39" t="str">
        <f t="shared" si="617"/>
        <v/>
      </c>
      <c r="Q3933" s="40" t="str">
        <f>IF(OR(T3933=0,RIGHT(T3933,1)=$W$1),"",COUNTIF($T$3:T3933,T3933))</f>
        <v/>
      </c>
      <c r="S3933" s="6">
        <f t="shared" si="618"/>
        <v>0</v>
      </c>
      <c r="T3933" s="36">
        <f t="shared" si="619"/>
        <v>0</v>
      </c>
      <c r="V3933" s="6">
        <f t="shared" si="620"/>
        <v>0</v>
      </c>
      <c r="Y3933" s="8">
        <f t="shared" si="621"/>
        <v>46023</v>
      </c>
    </row>
    <row r="3934" spans="2:25" ht="18.75" x14ac:dyDescent="0.3">
      <c r="B3934" s="6">
        <f t="shared" si="613"/>
        <v>0</v>
      </c>
      <c r="C3934" s="6">
        <f t="shared" si="614"/>
        <v>0</v>
      </c>
      <c r="D3934" s="6" t="str">
        <f t="shared" si="615"/>
        <v/>
      </c>
      <c r="E3934" s="35" t="str">
        <f t="shared" si="612"/>
        <v/>
      </c>
      <c r="F3934" s="31"/>
      <c r="G3934" s="29"/>
      <c r="H3934" s="78" t="str">
        <f t="shared" si="616"/>
        <v/>
      </c>
      <c r="I3934" s="25"/>
      <c r="J3934" s="25"/>
      <c r="K3934" s="26"/>
      <c r="L3934" s="26"/>
      <c r="M3934" s="37"/>
      <c r="N3934" s="27"/>
      <c r="O3934" s="30"/>
      <c r="P3934" s="39" t="str">
        <f t="shared" si="617"/>
        <v/>
      </c>
      <c r="Q3934" s="40" t="str">
        <f>IF(OR(T3934=0,RIGHT(T3934,1)=$W$1),"",COUNTIF($T$3:T3934,T3934))</f>
        <v/>
      </c>
      <c r="S3934" s="6">
        <f t="shared" si="618"/>
        <v>0</v>
      </c>
      <c r="T3934" s="36">
        <f t="shared" si="619"/>
        <v>0</v>
      </c>
      <c r="V3934" s="6">
        <f t="shared" si="620"/>
        <v>0</v>
      </c>
      <c r="Y3934" s="8">
        <f t="shared" si="621"/>
        <v>46023</v>
      </c>
    </row>
    <row r="3935" spans="2:25" ht="18.75" x14ac:dyDescent="0.3">
      <c r="B3935" s="6">
        <f t="shared" si="613"/>
        <v>0</v>
      </c>
      <c r="C3935" s="6">
        <f t="shared" si="614"/>
        <v>0</v>
      </c>
      <c r="D3935" s="6" t="str">
        <f t="shared" si="615"/>
        <v/>
      </c>
      <c r="E3935" s="35" t="str">
        <f t="shared" si="612"/>
        <v/>
      </c>
      <c r="F3935" s="31"/>
      <c r="G3935" s="29"/>
      <c r="H3935" s="78" t="str">
        <f t="shared" si="616"/>
        <v/>
      </c>
      <c r="I3935" s="25"/>
      <c r="J3935" s="25"/>
      <c r="K3935" s="26"/>
      <c r="L3935" s="26"/>
      <c r="M3935" s="37"/>
      <c r="N3935" s="27"/>
      <c r="O3935" s="30"/>
      <c r="P3935" s="39" t="str">
        <f t="shared" si="617"/>
        <v/>
      </c>
      <c r="Q3935" s="40" t="str">
        <f>IF(OR(T3935=0,RIGHT(T3935,1)=$W$1),"",COUNTIF($T$3:T3935,T3935))</f>
        <v/>
      </c>
      <c r="S3935" s="6">
        <f t="shared" si="618"/>
        <v>0</v>
      </c>
      <c r="T3935" s="36">
        <f t="shared" si="619"/>
        <v>0</v>
      </c>
      <c r="V3935" s="6">
        <f t="shared" si="620"/>
        <v>0</v>
      </c>
      <c r="Y3935" s="8">
        <f t="shared" si="621"/>
        <v>46023</v>
      </c>
    </row>
    <row r="3936" spans="2:25" ht="18.75" x14ac:dyDescent="0.3">
      <c r="B3936" s="6">
        <f t="shared" si="613"/>
        <v>0</v>
      </c>
      <c r="C3936" s="6">
        <f t="shared" si="614"/>
        <v>0</v>
      </c>
      <c r="D3936" s="6" t="str">
        <f t="shared" si="615"/>
        <v/>
      </c>
      <c r="E3936" s="35" t="str">
        <f t="shared" si="612"/>
        <v/>
      </c>
      <c r="F3936" s="31"/>
      <c r="G3936" s="29"/>
      <c r="H3936" s="78" t="str">
        <f t="shared" si="616"/>
        <v/>
      </c>
      <c r="I3936" s="25"/>
      <c r="J3936" s="25"/>
      <c r="K3936" s="26"/>
      <c r="L3936" s="26"/>
      <c r="M3936" s="37"/>
      <c r="N3936" s="27"/>
      <c r="O3936" s="30"/>
      <c r="P3936" s="39" t="str">
        <f t="shared" si="617"/>
        <v/>
      </c>
      <c r="Q3936" s="40" t="str">
        <f>IF(OR(T3936=0,RIGHT(T3936,1)=$W$1),"",COUNTIF($T$3:T3936,T3936))</f>
        <v/>
      </c>
      <c r="S3936" s="6">
        <f t="shared" si="618"/>
        <v>0</v>
      </c>
      <c r="T3936" s="36">
        <f t="shared" si="619"/>
        <v>0</v>
      </c>
      <c r="V3936" s="6">
        <f t="shared" si="620"/>
        <v>0</v>
      </c>
      <c r="Y3936" s="8">
        <f t="shared" si="621"/>
        <v>46023</v>
      </c>
    </row>
    <row r="3937" spans="2:25" ht="18.75" x14ac:dyDescent="0.3">
      <c r="B3937" s="6">
        <f t="shared" si="613"/>
        <v>0</v>
      </c>
      <c r="C3937" s="6">
        <f t="shared" si="614"/>
        <v>0</v>
      </c>
      <c r="D3937" s="6" t="str">
        <f t="shared" si="615"/>
        <v/>
      </c>
      <c r="E3937" s="35" t="str">
        <f t="shared" si="612"/>
        <v/>
      </c>
      <c r="F3937" s="31"/>
      <c r="G3937" s="29"/>
      <c r="H3937" s="78" t="str">
        <f t="shared" si="616"/>
        <v/>
      </c>
      <c r="I3937" s="25"/>
      <c r="J3937" s="25"/>
      <c r="K3937" s="26"/>
      <c r="L3937" s="26"/>
      <c r="M3937" s="37"/>
      <c r="N3937" s="27"/>
      <c r="O3937" s="30"/>
      <c r="P3937" s="39" t="str">
        <f t="shared" si="617"/>
        <v/>
      </c>
      <c r="Q3937" s="40" t="str">
        <f>IF(OR(T3937=0,RIGHT(T3937,1)=$W$1),"",COUNTIF($T$3:T3937,T3937))</f>
        <v/>
      </c>
      <c r="S3937" s="6">
        <f t="shared" si="618"/>
        <v>0</v>
      </c>
      <c r="T3937" s="36">
        <f t="shared" si="619"/>
        <v>0</v>
      </c>
      <c r="V3937" s="6">
        <f t="shared" si="620"/>
        <v>0</v>
      </c>
      <c r="Y3937" s="8">
        <f t="shared" si="621"/>
        <v>46023</v>
      </c>
    </row>
    <row r="3938" spans="2:25" ht="18.75" x14ac:dyDescent="0.3">
      <c r="B3938" s="6">
        <f t="shared" si="613"/>
        <v>0</v>
      </c>
      <c r="C3938" s="6">
        <f t="shared" si="614"/>
        <v>0</v>
      </c>
      <c r="D3938" s="6" t="str">
        <f t="shared" si="615"/>
        <v/>
      </c>
      <c r="E3938" s="35" t="str">
        <f t="shared" si="612"/>
        <v/>
      </c>
      <c r="F3938" s="31"/>
      <c r="G3938" s="29"/>
      <c r="H3938" s="78" t="str">
        <f t="shared" si="616"/>
        <v/>
      </c>
      <c r="I3938" s="25"/>
      <c r="J3938" s="25"/>
      <c r="K3938" s="26"/>
      <c r="L3938" s="26"/>
      <c r="M3938" s="37"/>
      <c r="N3938" s="27"/>
      <c r="O3938" s="30"/>
      <c r="P3938" s="39" t="str">
        <f t="shared" si="617"/>
        <v/>
      </c>
      <c r="Q3938" s="40" t="str">
        <f>IF(OR(T3938=0,RIGHT(T3938,1)=$W$1),"",COUNTIF($T$3:T3938,T3938))</f>
        <v/>
      </c>
      <c r="S3938" s="6">
        <f t="shared" si="618"/>
        <v>0</v>
      </c>
      <c r="T3938" s="36">
        <f t="shared" si="619"/>
        <v>0</v>
      </c>
      <c r="V3938" s="6">
        <f t="shared" si="620"/>
        <v>0</v>
      </c>
      <c r="Y3938" s="8">
        <f t="shared" si="621"/>
        <v>46023</v>
      </c>
    </row>
    <row r="3939" spans="2:25" ht="18.75" x14ac:dyDescent="0.3">
      <c r="B3939" s="6">
        <f t="shared" si="613"/>
        <v>0</v>
      </c>
      <c r="C3939" s="6">
        <f t="shared" si="614"/>
        <v>0</v>
      </c>
      <c r="D3939" s="6" t="str">
        <f t="shared" si="615"/>
        <v/>
      </c>
      <c r="E3939" s="35" t="str">
        <f t="shared" si="612"/>
        <v/>
      </c>
      <c r="F3939" s="31"/>
      <c r="G3939" s="29"/>
      <c r="H3939" s="78" t="str">
        <f t="shared" si="616"/>
        <v/>
      </c>
      <c r="I3939" s="25"/>
      <c r="J3939" s="25"/>
      <c r="K3939" s="26"/>
      <c r="L3939" s="26"/>
      <c r="M3939" s="37"/>
      <c r="N3939" s="27"/>
      <c r="O3939" s="30"/>
      <c r="P3939" s="39" t="str">
        <f t="shared" si="617"/>
        <v/>
      </c>
      <c r="Q3939" s="40" t="str">
        <f>IF(OR(T3939=0,RIGHT(T3939,1)=$W$1),"",COUNTIF($T$3:T3939,T3939))</f>
        <v/>
      </c>
      <c r="S3939" s="6">
        <f t="shared" si="618"/>
        <v>0</v>
      </c>
      <c r="T3939" s="36">
        <f t="shared" si="619"/>
        <v>0</v>
      </c>
      <c r="V3939" s="6">
        <f t="shared" si="620"/>
        <v>0</v>
      </c>
      <c r="Y3939" s="8">
        <f t="shared" si="621"/>
        <v>46023</v>
      </c>
    </row>
    <row r="3940" spans="2:25" ht="18.75" x14ac:dyDescent="0.3">
      <c r="B3940" s="6">
        <f t="shared" si="613"/>
        <v>0</v>
      </c>
      <c r="C3940" s="6">
        <f t="shared" si="614"/>
        <v>0</v>
      </c>
      <c r="D3940" s="6" t="str">
        <f t="shared" si="615"/>
        <v/>
      </c>
      <c r="E3940" s="35" t="str">
        <f t="shared" si="612"/>
        <v/>
      </c>
      <c r="F3940" s="31"/>
      <c r="G3940" s="29"/>
      <c r="H3940" s="78" t="str">
        <f t="shared" si="616"/>
        <v/>
      </c>
      <c r="I3940" s="25"/>
      <c r="J3940" s="25"/>
      <c r="K3940" s="26"/>
      <c r="L3940" s="26"/>
      <c r="M3940" s="37"/>
      <c r="N3940" s="27"/>
      <c r="O3940" s="30"/>
      <c r="P3940" s="39" t="str">
        <f t="shared" si="617"/>
        <v/>
      </c>
      <c r="Q3940" s="40" t="str">
        <f>IF(OR(T3940=0,RIGHT(T3940,1)=$W$1),"",COUNTIF($T$3:T3940,T3940))</f>
        <v/>
      </c>
      <c r="S3940" s="6">
        <f t="shared" si="618"/>
        <v>0</v>
      </c>
      <c r="T3940" s="36">
        <f t="shared" si="619"/>
        <v>0</v>
      </c>
      <c r="V3940" s="6">
        <f t="shared" si="620"/>
        <v>0</v>
      </c>
      <c r="Y3940" s="8">
        <f t="shared" si="621"/>
        <v>46023</v>
      </c>
    </row>
    <row r="3941" spans="2:25" ht="18.75" x14ac:dyDescent="0.3">
      <c r="B3941" s="6">
        <f t="shared" si="613"/>
        <v>0</v>
      </c>
      <c r="C3941" s="6">
        <f t="shared" si="614"/>
        <v>0</v>
      </c>
      <c r="D3941" s="6" t="str">
        <f t="shared" si="615"/>
        <v/>
      </c>
      <c r="E3941" s="35" t="str">
        <f t="shared" si="612"/>
        <v/>
      </c>
      <c r="F3941" s="31"/>
      <c r="G3941" s="29"/>
      <c r="H3941" s="78" t="str">
        <f t="shared" si="616"/>
        <v/>
      </c>
      <c r="I3941" s="25"/>
      <c r="J3941" s="25"/>
      <c r="K3941" s="26"/>
      <c r="L3941" s="26"/>
      <c r="M3941" s="37"/>
      <c r="N3941" s="27"/>
      <c r="O3941" s="30"/>
      <c r="P3941" s="39" t="str">
        <f t="shared" si="617"/>
        <v/>
      </c>
      <c r="Q3941" s="40" t="str">
        <f>IF(OR(T3941=0,RIGHT(T3941,1)=$W$1),"",COUNTIF($T$3:T3941,T3941))</f>
        <v/>
      </c>
      <c r="S3941" s="6">
        <f t="shared" si="618"/>
        <v>0</v>
      </c>
      <c r="T3941" s="36">
        <f t="shared" si="619"/>
        <v>0</v>
      </c>
      <c r="V3941" s="6">
        <f t="shared" si="620"/>
        <v>0</v>
      </c>
      <c r="Y3941" s="8">
        <f t="shared" si="621"/>
        <v>46023</v>
      </c>
    </row>
    <row r="3942" spans="2:25" ht="18.75" x14ac:dyDescent="0.3">
      <c r="B3942" s="6">
        <f t="shared" si="613"/>
        <v>0</v>
      </c>
      <c r="C3942" s="6">
        <f t="shared" si="614"/>
        <v>0</v>
      </c>
      <c r="D3942" s="6" t="str">
        <f t="shared" si="615"/>
        <v/>
      </c>
      <c r="E3942" s="35" t="str">
        <f t="shared" si="612"/>
        <v/>
      </c>
      <c r="F3942" s="31"/>
      <c r="G3942" s="29"/>
      <c r="H3942" s="78" t="str">
        <f t="shared" si="616"/>
        <v/>
      </c>
      <c r="I3942" s="25"/>
      <c r="J3942" s="25"/>
      <c r="K3942" s="26"/>
      <c r="L3942" s="26"/>
      <c r="M3942" s="37"/>
      <c r="N3942" s="27"/>
      <c r="O3942" s="30"/>
      <c r="P3942" s="39" t="str">
        <f t="shared" si="617"/>
        <v/>
      </c>
      <c r="Q3942" s="40" t="str">
        <f>IF(OR(T3942=0,RIGHT(T3942,1)=$W$1),"",COUNTIF($T$3:T3942,T3942))</f>
        <v/>
      </c>
      <c r="S3942" s="6">
        <f t="shared" si="618"/>
        <v>0</v>
      </c>
      <c r="T3942" s="36">
        <f t="shared" si="619"/>
        <v>0</v>
      </c>
      <c r="V3942" s="6">
        <f t="shared" si="620"/>
        <v>0</v>
      </c>
      <c r="Y3942" s="8">
        <f t="shared" si="621"/>
        <v>46023</v>
      </c>
    </row>
    <row r="3943" spans="2:25" ht="18.75" x14ac:dyDescent="0.3">
      <c r="B3943" s="6">
        <f t="shared" si="613"/>
        <v>0</v>
      </c>
      <c r="C3943" s="6">
        <f t="shared" si="614"/>
        <v>0</v>
      </c>
      <c r="D3943" s="6" t="str">
        <f t="shared" si="615"/>
        <v/>
      </c>
      <c r="E3943" s="35" t="str">
        <f t="shared" si="612"/>
        <v/>
      </c>
      <c r="F3943" s="31"/>
      <c r="G3943" s="29"/>
      <c r="H3943" s="78" t="str">
        <f t="shared" si="616"/>
        <v/>
      </c>
      <c r="I3943" s="25"/>
      <c r="J3943" s="25"/>
      <c r="K3943" s="26"/>
      <c r="L3943" s="26"/>
      <c r="M3943" s="37"/>
      <c r="N3943" s="27"/>
      <c r="O3943" s="30"/>
      <c r="P3943" s="39" t="str">
        <f t="shared" si="617"/>
        <v/>
      </c>
      <c r="Q3943" s="40" t="str">
        <f>IF(OR(T3943=0,RIGHT(T3943,1)=$W$1),"",COUNTIF($T$3:T3943,T3943))</f>
        <v/>
      </c>
      <c r="S3943" s="6">
        <f t="shared" si="618"/>
        <v>0</v>
      </c>
      <c r="T3943" s="36">
        <f t="shared" si="619"/>
        <v>0</v>
      </c>
      <c r="V3943" s="6">
        <f t="shared" si="620"/>
        <v>0</v>
      </c>
      <c r="Y3943" s="8">
        <f t="shared" si="621"/>
        <v>46023</v>
      </c>
    </row>
    <row r="3944" spans="2:25" ht="18.75" x14ac:dyDescent="0.3">
      <c r="B3944" s="6">
        <f t="shared" si="613"/>
        <v>0</v>
      </c>
      <c r="C3944" s="6">
        <f t="shared" si="614"/>
        <v>0</v>
      </c>
      <c r="D3944" s="6" t="str">
        <f t="shared" si="615"/>
        <v/>
      </c>
      <c r="E3944" s="35" t="str">
        <f t="shared" si="612"/>
        <v/>
      </c>
      <c r="F3944" s="31"/>
      <c r="G3944" s="29"/>
      <c r="H3944" s="78" t="str">
        <f t="shared" si="616"/>
        <v/>
      </c>
      <c r="I3944" s="25"/>
      <c r="J3944" s="25"/>
      <c r="K3944" s="26"/>
      <c r="L3944" s="26"/>
      <c r="M3944" s="37"/>
      <c r="N3944" s="27"/>
      <c r="O3944" s="30"/>
      <c r="P3944" s="39" t="str">
        <f t="shared" si="617"/>
        <v/>
      </c>
      <c r="Q3944" s="40" t="str">
        <f>IF(OR(T3944=0,RIGHT(T3944,1)=$W$1),"",COUNTIF($T$3:T3944,T3944))</f>
        <v/>
      </c>
      <c r="S3944" s="6">
        <f t="shared" si="618"/>
        <v>0</v>
      </c>
      <c r="T3944" s="36">
        <f t="shared" si="619"/>
        <v>0</v>
      </c>
      <c r="V3944" s="6">
        <f t="shared" si="620"/>
        <v>0</v>
      </c>
      <c r="Y3944" s="8">
        <f t="shared" si="621"/>
        <v>46023</v>
      </c>
    </row>
    <row r="3945" spans="2:25" ht="18.75" x14ac:dyDescent="0.3">
      <c r="B3945" s="6">
        <f t="shared" si="613"/>
        <v>0</v>
      </c>
      <c r="C3945" s="6">
        <f t="shared" si="614"/>
        <v>0</v>
      </c>
      <c r="D3945" s="6" t="str">
        <f t="shared" si="615"/>
        <v/>
      </c>
      <c r="E3945" s="35" t="str">
        <f t="shared" si="612"/>
        <v/>
      </c>
      <c r="F3945" s="31"/>
      <c r="G3945" s="29"/>
      <c r="H3945" s="78" t="str">
        <f t="shared" si="616"/>
        <v/>
      </c>
      <c r="I3945" s="25"/>
      <c r="J3945" s="25"/>
      <c r="K3945" s="26"/>
      <c r="L3945" s="26"/>
      <c r="M3945" s="37"/>
      <c r="N3945" s="27"/>
      <c r="O3945" s="30"/>
      <c r="P3945" s="39" t="str">
        <f t="shared" si="617"/>
        <v/>
      </c>
      <c r="Q3945" s="40" t="str">
        <f>IF(OR(T3945=0,RIGHT(T3945,1)=$W$1),"",COUNTIF($T$3:T3945,T3945))</f>
        <v/>
      </c>
      <c r="S3945" s="6">
        <f t="shared" si="618"/>
        <v>0</v>
      </c>
      <c r="T3945" s="36">
        <f t="shared" si="619"/>
        <v>0</v>
      </c>
      <c r="V3945" s="6">
        <f t="shared" si="620"/>
        <v>0</v>
      </c>
      <c r="Y3945" s="8">
        <f t="shared" si="621"/>
        <v>46023</v>
      </c>
    </row>
    <row r="3946" spans="2:25" ht="18.75" x14ac:dyDescent="0.3">
      <c r="B3946" s="6">
        <f t="shared" si="613"/>
        <v>0</v>
      </c>
      <c r="C3946" s="6">
        <f t="shared" si="614"/>
        <v>0</v>
      </c>
      <c r="D3946" s="6" t="str">
        <f t="shared" si="615"/>
        <v/>
      </c>
      <c r="E3946" s="35" t="str">
        <f t="shared" si="612"/>
        <v/>
      </c>
      <c r="F3946" s="31"/>
      <c r="G3946" s="29"/>
      <c r="H3946" s="78" t="str">
        <f t="shared" si="616"/>
        <v/>
      </c>
      <c r="I3946" s="25"/>
      <c r="J3946" s="25"/>
      <c r="K3946" s="26"/>
      <c r="L3946" s="26"/>
      <c r="M3946" s="37"/>
      <c r="N3946" s="27"/>
      <c r="O3946" s="30"/>
      <c r="P3946" s="39" t="str">
        <f t="shared" si="617"/>
        <v/>
      </c>
      <c r="Q3946" s="40" t="str">
        <f>IF(OR(T3946=0,RIGHT(T3946,1)=$W$1),"",COUNTIF($T$3:T3946,T3946))</f>
        <v/>
      </c>
      <c r="S3946" s="6">
        <f t="shared" si="618"/>
        <v>0</v>
      </c>
      <c r="T3946" s="36">
        <f t="shared" si="619"/>
        <v>0</v>
      </c>
      <c r="V3946" s="6">
        <f t="shared" si="620"/>
        <v>0</v>
      </c>
      <c r="Y3946" s="8">
        <f t="shared" si="621"/>
        <v>46023</v>
      </c>
    </row>
    <row r="3947" spans="2:25" ht="18.75" x14ac:dyDescent="0.3">
      <c r="B3947" s="6">
        <f t="shared" si="613"/>
        <v>0</v>
      </c>
      <c r="C3947" s="6">
        <f t="shared" si="614"/>
        <v>0</v>
      </c>
      <c r="D3947" s="6" t="str">
        <f t="shared" si="615"/>
        <v/>
      </c>
      <c r="E3947" s="35" t="str">
        <f t="shared" si="612"/>
        <v/>
      </c>
      <c r="F3947" s="31"/>
      <c r="G3947" s="29"/>
      <c r="H3947" s="78" t="str">
        <f t="shared" si="616"/>
        <v/>
      </c>
      <c r="I3947" s="25"/>
      <c r="J3947" s="25"/>
      <c r="K3947" s="26"/>
      <c r="L3947" s="26"/>
      <c r="M3947" s="37"/>
      <c r="N3947" s="27"/>
      <c r="O3947" s="30"/>
      <c r="P3947" s="39" t="str">
        <f t="shared" si="617"/>
        <v/>
      </c>
      <c r="Q3947" s="40" t="str">
        <f>IF(OR(T3947=0,RIGHT(T3947,1)=$W$1),"",COUNTIF($T$3:T3947,T3947))</f>
        <v/>
      </c>
      <c r="S3947" s="6">
        <f t="shared" si="618"/>
        <v>0</v>
      </c>
      <c r="T3947" s="36">
        <f t="shared" si="619"/>
        <v>0</v>
      </c>
      <c r="V3947" s="6">
        <f t="shared" si="620"/>
        <v>0</v>
      </c>
      <c r="Y3947" s="8">
        <f t="shared" si="621"/>
        <v>46023</v>
      </c>
    </row>
    <row r="3948" spans="2:25" ht="18.75" x14ac:dyDescent="0.3">
      <c r="B3948" s="6">
        <f t="shared" si="613"/>
        <v>0</v>
      </c>
      <c r="C3948" s="6">
        <f t="shared" si="614"/>
        <v>0</v>
      </c>
      <c r="D3948" s="6" t="str">
        <f t="shared" si="615"/>
        <v/>
      </c>
      <c r="E3948" s="35" t="str">
        <f t="shared" si="612"/>
        <v/>
      </c>
      <c r="F3948" s="31"/>
      <c r="G3948" s="29"/>
      <c r="H3948" s="78" t="str">
        <f t="shared" si="616"/>
        <v/>
      </c>
      <c r="I3948" s="25"/>
      <c r="J3948" s="25"/>
      <c r="K3948" s="26"/>
      <c r="L3948" s="26"/>
      <c r="M3948" s="37"/>
      <c r="N3948" s="27"/>
      <c r="O3948" s="30"/>
      <c r="P3948" s="39" t="str">
        <f t="shared" si="617"/>
        <v/>
      </c>
      <c r="Q3948" s="40" t="str">
        <f>IF(OR(T3948=0,RIGHT(T3948,1)=$W$1),"",COUNTIF($T$3:T3948,T3948))</f>
        <v/>
      </c>
      <c r="S3948" s="6">
        <f t="shared" si="618"/>
        <v>0</v>
      </c>
      <c r="T3948" s="36">
        <f t="shared" si="619"/>
        <v>0</v>
      </c>
      <c r="V3948" s="6">
        <f t="shared" si="620"/>
        <v>0</v>
      </c>
      <c r="Y3948" s="8">
        <f t="shared" si="621"/>
        <v>46023</v>
      </c>
    </row>
    <row r="3949" spans="2:25" ht="18.75" x14ac:dyDescent="0.3">
      <c r="B3949" s="6">
        <f t="shared" si="613"/>
        <v>0</v>
      </c>
      <c r="C3949" s="6">
        <f t="shared" si="614"/>
        <v>0</v>
      </c>
      <c r="D3949" s="6" t="str">
        <f t="shared" si="615"/>
        <v/>
      </c>
      <c r="E3949" s="35" t="str">
        <f t="shared" si="612"/>
        <v/>
      </c>
      <c r="F3949" s="31"/>
      <c r="G3949" s="29"/>
      <c r="H3949" s="78" t="str">
        <f t="shared" si="616"/>
        <v/>
      </c>
      <c r="I3949" s="25"/>
      <c r="J3949" s="25"/>
      <c r="K3949" s="26"/>
      <c r="L3949" s="26"/>
      <c r="M3949" s="37"/>
      <c r="N3949" s="27"/>
      <c r="O3949" s="30"/>
      <c r="P3949" s="39" t="str">
        <f t="shared" si="617"/>
        <v/>
      </c>
      <c r="Q3949" s="40" t="str">
        <f>IF(OR(T3949=0,RIGHT(T3949,1)=$W$1),"",COUNTIF($T$3:T3949,T3949))</f>
        <v/>
      </c>
      <c r="S3949" s="6">
        <f t="shared" si="618"/>
        <v>0</v>
      </c>
      <c r="T3949" s="36">
        <f t="shared" si="619"/>
        <v>0</v>
      </c>
      <c r="V3949" s="6">
        <f t="shared" si="620"/>
        <v>0</v>
      </c>
      <c r="Y3949" s="8">
        <f t="shared" si="621"/>
        <v>46023</v>
      </c>
    </row>
    <row r="3950" spans="2:25" ht="18.75" x14ac:dyDescent="0.3">
      <c r="B3950" s="6">
        <f t="shared" si="613"/>
        <v>0</v>
      </c>
      <c r="C3950" s="6">
        <f t="shared" si="614"/>
        <v>0</v>
      </c>
      <c r="D3950" s="6" t="str">
        <f t="shared" si="615"/>
        <v/>
      </c>
      <c r="E3950" s="35" t="str">
        <f t="shared" si="612"/>
        <v/>
      </c>
      <c r="F3950" s="31"/>
      <c r="G3950" s="29"/>
      <c r="H3950" s="78" t="str">
        <f t="shared" si="616"/>
        <v/>
      </c>
      <c r="I3950" s="25"/>
      <c r="J3950" s="25"/>
      <c r="K3950" s="26"/>
      <c r="L3950" s="26"/>
      <c r="M3950" s="37"/>
      <c r="N3950" s="27"/>
      <c r="O3950" s="30"/>
      <c r="P3950" s="39" t="str">
        <f t="shared" si="617"/>
        <v/>
      </c>
      <c r="Q3950" s="40" t="str">
        <f>IF(OR(T3950=0,RIGHT(T3950,1)=$W$1),"",COUNTIF($T$3:T3950,T3950))</f>
        <v/>
      </c>
      <c r="S3950" s="6">
        <f t="shared" si="618"/>
        <v>0</v>
      </c>
      <c r="T3950" s="36">
        <f t="shared" si="619"/>
        <v>0</v>
      </c>
      <c r="V3950" s="6">
        <f t="shared" si="620"/>
        <v>0</v>
      </c>
      <c r="Y3950" s="8">
        <f t="shared" si="621"/>
        <v>46023</v>
      </c>
    </row>
    <row r="3951" spans="2:25" ht="18.75" x14ac:dyDescent="0.3">
      <c r="B3951" s="6">
        <f t="shared" si="613"/>
        <v>0</v>
      </c>
      <c r="C3951" s="6">
        <f t="shared" si="614"/>
        <v>0</v>
      </c>
      <c r="D3951" s="6" t="str">
        <f t="shared" si="615"/>
        <v/>
      </c>
      <c r="E3951" s="35" t="str">
        <f t="shared" si="612"/>
        <v/>
      </c>
      <c r="F3951" s="31"/>
      <c r="G3951" s="29"/>
      <c r="H3951" s="78" t="str">
        <f t="shared" si="616"/>
        <v/>
      </c>
      <c r="I3951" s="25"/>
      <c r="J3951" s="25"/>
      <c r="K3951" s="26"/>
      <c r="L3951" s="26"/>
      <c r="M3951" s="37"/>
      <c r="N3951" s="27"/>
      <c r="O3951" s="30"/>
      <c r="P3951" s="39" t="str">
        <f t="shared" si="617"/>
        <v/>
      </c>
      <c r="Q3951" s="40" t="str">
        <f>IF(OR(T3951=0,RIGHT(T3951,1)=$W$1),"",COUNTIF($T$3:T3951,T3951))</f>
        <v/>
      </c>
      <c r="S3951" s="6">
        <f t="shared" si="618"/>
        <v>0</v>
      </c>
      <c r="T3951" s="36">
        <f t="shared" si="619"/>
        <v>0</v>
      </c>
      <c r="V3951" s="6">
        <f t="shared" si="620"/>
        <v>0</v>
      </c>
      <c r="Y3951" s="8">
        <f t="shared" si="621"/>
        <v>46023</v>
      </c>
    </row>
    <row r="3952" spans="2:25" ht="18.75" x14ac:dyDescent="0.3">
      <c r="B3952" s="6">
        <f t="shared" si="613"/>
        <v>0</v>
      </c>
      <c r="C3952" s="6">
        <f t="shared" si="614"/>
        <v>0</v>
      </c>
      <c r="D3952" s="6" t="str">
        <f t="shared" si="615"/>
        <v/>
      </c>
      <c r="E3952" s="35" t="str">
        <f t="shared" si="612"/>
        <v/>
      </c>
      <c r="F3952" s="31"/>
      <c r="G3952" s="29"/>
      <c r="H3952" s="78" t="str">
        <f t="shared" si="616"/>
        <v/>
      </c>
      <c r="I3952" s="25"/>
      <c r="J3952" s="25"/>
      <c r="K3952" s="26"/>
      <c r="L3952" s="26"/>
      <c r="M3952" s="37"/>
      <c r="N3952" s="27"/>
      <c r="O3952" s="30"/>
      <c r="P3952" s="39" t="str">
        <f t="shared" si="617"/>
        <v/>
      </c>
      <c r="Q3952" s="40" t="str">
        <f>IF(OR(T3952=0,RIGHT(T3952,1)=$W$1),"",COUNTIF($T$3:T3952,T3952))</f>
        <v/>
      </c>
      <c r="S3952" s="6">
        <f t="shared" si="618"/>
        <v>0</v>
      </c>
      <c r="T3952" s="36">
        <f t="shared" si="619"/>
        <v>0</v>
      </c>
      <c r="V3952" s="6">
        <f t="shared" si="620"/>
        <v>0</v>
      </c>
      <c r="Y3952" s="8">
        <f t="shared" si="621"/>
        <v>46023</v>
      </c>
    </row>
    <row r="3953" spans="2:25" ht="18.75" x14ac:dyDescent="0.3">
      <c r="B3953" s="6">
        <f t="shared" si="613"/>
        <v>0</v>
      </c>
      <c r="C3953" s="6">
        <f t="shared" si="614"/>
        <v>0</v>
      </c>
      <c r="D3953" s="6" t="str">
        <f t="shared" si="615"/>
        <v/>
      </c>
      <c r="E3953" s="35" t="str">
        <f t="shared" si="612"/>
        <v/>
      </c>
      <c r="F3953" s="31"/>
      <c r="G3953" s="29"/>
      <c r="H3953" s="78" t="str">
        <f t="shared" si="616"/>
        <v/>
      </c>
      <c r="I3953" s="25"/>
      <c r="J3953" s="25"/>
      <c r="K3953" s="26"/>
      <c r="L3953" s="26"/>
      <c r="M3953" s="37"/>
      <c r="N3953" s="27"/>
      <c r="O3953" s="30"/>
      <c r="P3953" s="39" t="str">
        <f t="shared" si="617"/>
        <v/>
      </c>
      <c r="Q3953" s="40" t="str">
        <f>IF(OR(T3953=0,RIGHT(T3953,1)=$W$1),"",COUNTIF($T$3:T3953,T3953))</f>
        <v/>
      </c>
      <c r="S3953" s="6">
        <f t="shared" si="618"/>
        <v>0</v>
      </c>
      <c r="T3953" s="36">
        <f t="shared" si="619"/>
        <v>0</v>
      </c>
      <c r="V3953" s="6">
        <f t="shared" si="620"/>
        <v>0</v>
      </c>
      <c r="Y3953" s="8">
        <f t="shared" si="621"/>
        <v>46023</v>
      </c>
    </row>
    <row r="3954" spans="2:25" ht="18.75" x14ac:dyDescent="0.3">
      <c r="B3954" s="6">
        <f t="shared" si="613"/>
        <v>0</v>
      </c>
      <c r="C3954" s="6">
        <f t="shared" si="614"/>
        <v>0</v>
      </c>
      <c r="D3954" s="6" t="str">
        <f t="shared" si="615"/>
        <v/>
      </c>
      <c r="E3954" s="35" t="str">
        <f t="shared" si="612"/>
        <v/>
      </c>
      <c r="F3954" s="31"/>
      <c r="G3954" s="29"/>
      <c r="H3954" s="78" t="str">
        <f t="shared" si="616"/>
        <v/>
      </c>
      <c r="I3954" s="25"/>
      <c r="J3954" s="25"/>
      <c r="K3954" s="26"/>
      <c r="L3954" s="26"/>
      <c r="M3954" s="37"/>
      <c r="N3954" s="27"/>
      <c r="O3954" s="30"/>
      <c r="P3954" s="39" t="str">
        <f t="shared" si="617"/>
        <v/>
      </c>
      <c r="Q3954" s="40" t="str">
        <f>IF(OR(T3954=0,RIGHT(T3954,1)=$W$1),"",COUNTIF($T$3:T3954,T3954))</f>
        <v/>
      </c>
      <c r="S3954" s="6">
        <f t="shared" si="618"/>
        <v>0</v>
      </c>
      <c r="T3954" s="36">
        <f t="shared" si="619"/>
        <v>0</v>
      </c>
      <c r="V3954" s="6">
        <f t="shared" si="620"/>
        <v>0</v>
      </c>
      <c r="Y3954" s="8">
        <f t="shared" si="621"/>
        <v>46023</v>
      </c>
    </row>
    <row r="3955" spans="2:25" ht="18.75" x14ac:dyDescent="0.3">
      <c r="B3955" s="6">
        <f t="shared" si="613"/>
        <v>0</v>
      </c>
      <c r="C3955" s="6">
        <f t="shared" si="614"/>
        <v>0</v>
      </c>
      <c r="D3955" s="6" t="str">
        <f t="shared" si="615"/>
        <v/>
      </c>
      <c r="E3955" s="35" t="str">
        <f t="shared" si="612"/>
        <v/>
      </c>
      <c r="F3955" s="31"/>
      <c r="G3955" s="29"/>
      <c r="H3955" s="78" t="str">
        <f t="shared" si="616"/>
        <v/>
      </c>
      <c r="I3955" s="25"/>
      <c r="J3955" s="25"/>
      <c r="K3955" s="26"/>
      <c r="L3955" s="26"/>
      <c r="M3955" s="37"/>
      <c r="N3955" s="27"/>
      <c r="O3955" s="30"/>
      <c r="P3955" s="39" t="str">
        <f t="shared" si="617"/>
        <v/>
      </c>
      <c r="Q3955" s="40" t="str">
        <f>IF(OR(T3955=0,RIGHT(T3955,1)=$W$1),"",COUNTIF($T$3:T3955,T3955))</f>
        <v/>
      </c>
      <c r="S3955" s="6">
        <f t="shared" si="618"/>
        <v>0</v>
      </c>
      <c r="T3955" s="36">
        <f t="shared" si="619"/>
        <v>0</v>
      </c>
      <c r="V3955" s="6">
        <f t="shared" si="620"/>
        <v>0</v>
      </c>
      <c r="Y3955" s="8">
        <f t="shared" si="621"/>
        <v>46023</v>
      </c>
    </row>
    <row r="3956" spans="2:25" ht="18.75" x14ac:dyDescent="0.3">
      <c r="B3956" s="6">
        <f t="shared" si="613"/>
        <v>0</v>
      </c>
      <c r="C3956" s="6">
        <f t="shared" si="614"/>
        <v>0</v>
      </c>
      <c r="D3956" s="6" t="str">
        <f t="shared" si="615"/>
        <v/>
      </c>
      <c r="E3956" s="35" t="str">
        <f t="shared" si="612"/>
        <v/>
      </c>
      <c r="F3956" s="31"/>
      <c r="G3956" s="29"/>
      <c r="H3956" s="78" t="str">
        <f t="shared" si="616"/>
        <v/>
      </c>
      <c r="I3956" s="25"/>
      <c r="J3956" s="25"/>
      <c r="K3956" s="26"/>
      <c r="L3956" s="26"/>
      <c r="M3956" s="37"/>
      <c r="N3956" s="27"/>
      <c r="O3956" s="30"/>
      <c r="P3956" s="39" t="str">
        <f t="shared" si="617"/>
        <v/>
      </c>
      <c r="Q3956" s="40" t="str">
        <f>IF(OR(T3956=0,RIGHT(T3956,1)=$W$1),"",COUNTIF($T$3:T3956,T3956))</f>
        <v/>
      </c>
      <c r="S3956" s="6">
        <f t="shared" si="618"/>
        <v>0</v>
      </c>
      <c r="T3956" s="36">
        <f t="shared" si="619"/>
        <v>0</v>
      </c>
      <c r="V3956" s="6">
        <f t="shared" si="620"/>
        <v>0</v>
      </c>
      <c r="Y3956" s="8">
        <f t="shared" si="621"/>
        <v>46023</v>
      </c>
    </row>
    <row r="3957" spans="2:25" ht="18.75" x14ac:dyDescent="0.3">
      <c r="B3957" s="6">
        <f t="shared" si="613"/>
        <v>0</v>
      </c>
      <c r="C3957" s="6">
        <f t="shared" si="614"/>
        <v>0</v>
      </c>
      <c r="D3957" s="6" t="str">
        <f t="shared" si="615"/>
        <v/>
      </c>
      <c r="E3957" s="35" t="str">
        <f t="shared" si="612"/>
        <v/>
      </c>
      <c r="F3957" s="31"/>
      <c r="G3957" s="29"/>
      <c r="H3957" s="78" t="str">
        <f t="shared" si="616"/>
        <v/>
      </c>
      <c r="I3957" s="25"/>
      <c r="J3957" s="25"/>
      <c r="K3957" s="26"/>
      <c r="L3957" s="26"/>
      <c r="M3957" s="37"/>
      <c r="N3957" s="27"/>
      <c r="O3957" s="30"/>
      <c r="P3957" s="39" t="str">
        <f t="shared" si="617"/>
        <v/>
      </c>
      <c r="Q3957" s="40" t="str">
        <f>IF(OR(T3957=0,RIGHT(T3957,1)=$W$1),"",COUNTIF($T$3:T3957,T3957))</f>
        <v/>
      </c>
      <c r="S3957" s="6">
        <f t="shared" si="618"/>
        <v>0</v>
      </c>
      <c r="T3957" s="36">
        <f t="shared" si="619"/>
        <v>0</v>
      </c>
      <c r="V3957" s="6">
        <f t="shared" si="620"/>
        <v>0</v>
      </c>
      <c r="Y3957" s="8">
        <f t="shared" si="621"/>
        <v>46023</v>
      </c>
    </row>
    <row r="3958" spans="2:25" ht="18.75" x14ac:dyDescent="0.3">
      <c r="B3958" s="6">
        <f t="shared" si="613"/>
        <v>0</v>
      </c>
      <c r="C3958" s="6">
        <f t="shared" si="614"/>
        <v>0</v>
      </c>
      <c r="D3958" s="6" t="str">
        <f t="shared" si="615"/>
        <v/>
      </c>
      <c r="E3958" s="35" t="str">
        <f t="shared" si="612"/>
        <v/>
      </c>
      <c r="F3958" s="31"/>
      <c r="G3958" s="29"/>
      <c r="H3958" s="78" t="str">
        <f t="shared" si="616"/>
        <v/>
      </c>
      <c r="I3958" s="25"/>
      <c r="J3958" s="25"/>
      <c r="K3958" s="26"/>
      <c r="L3958" s="26"/>
      <c r="M3958" s="37"/>
      <c r="N3958" s="27"/>
      <c r="O3958" s="30"/>
      <c r="P3958" s="39" t="str">
        <f t="shared" si="617"/>
        <v/>
      </c>
      <c r="Q3958" s="40" t="str">
        <f>IF(OR(T3958=0,RIGHT(T3958,1)=$W$1),"",COUNTIF($T$3:T3958,T3958))</f>
        <v/>
      </c>
      <c r="S3958" s="6">
        <f t="shared" si="618"/>
        <v>0</v>
      </c>
      <c r="T3958" s="36">
        <f t="shared" si="619"/>
        <v>0</v>
      </c>
      <c r="V3958" s="6">
        <f t="shared" si="620"/>
        <v>0</v>
      </c>
      <c r="Y3958" s="8">
        <f t="shared" si="621"/>
        <v>46023</v>
      </c>
    </row>
    <row r="3959" spans="2:25" ht="18.75" x14ac:dyDescent="0.3">
      <c r="B3959" s="6">
        <f t="shared" si="613"/>
        <v>0</v>
      </c>
      <c r="C3959" s="6">
        <f t="shared" si="614"/>
        <v>0</v>
      </c>
      <c r="D3959" s="6" t="str">
        <f t="shared" si="615"/>
        <v/>
      </c>
      <c r="E3959" s="35" t="str">
        <f t="shared" si="612"/>
        <v/>
      </c>
      <c r="F3959" s="31"/>
      <c r="G3959" s="29"/>
      <c r="H3959" s="78" t="str">
        <f t="shared" si="616"/>
        <v/>
      </c>
      <c r="I3959" s="25"/>
      <c r="J3959" s="25"/>
      <c r="K3959" s="26"/>
      <c r="L3959" s="26"/>
      <c r="M3959" s="37"/>
      <c r="N3959" s="27"/>
      <c r="O3959" s="30"/>
      <c r="P3959" s="39" t="str">
        <f t="shared" si="617"/>
        <v/>
      </c>
      <c r="Q3959" s="40" t="str">
        <f>IF(OR(T3959=0,RIGHT(T3959,1)=$W$1),"",COUNTIF($T$3:T3959,T3959))</f>
        <v/>
      </c>
      <c r="S3959" s="6">
        <f t="shared" si="618"/>
        <v>0</v>
      </c>
      <c r="T3959" s="36">
        <f t="shared" si="619"/>
        <v>0</v>
      </c>
      <c r="V3959" s="6">
        <f t="shared" si="620"/>
        <v>0</v>
      </c>
      <c r="Y3959" s="8">
        <f t="shared" si="621"/>
        <v>46023</v>
      </c>
    </row>
    <row r="3960" spans="2:25" ht="18.75" x14ac:dyDescent="0.3">
      <c r="B3960" s="6">
        <f t="shared" si="613"/>
        <v>0</v>
      </c>
      <c r="C3960" s="6">
        <f t="shared" si="614"/>
        <v>0</v>
      </c>
      <c r="D3960" s="6" t="str">
        <f t="shared" si="615"/>
        <v/>
      </c>
      <c r="E3960" s="35" t="str">
        <f t="shared" si="612"/>
        <v/>
      </c>
      <c r="F3960" s="31"/>
      <c r="G3960" s="29"/>
      <c r="H3960" s="78" t="str">
        <f t="shared" si="616"/>
        <v/>
      </c>
      <c r="I3960" s="25"/>
      <c r="J3960" s="25"/>
      <c r="K3960" s="26"/>
      <c r="L3960" s="26"/>
      <c r="M3960" s="37"/>
      <c r="N3960" s="27"/>
      <c r="O3960" s="30"/>
      <c r="P3960" s="39" t="str">
        <f t="shared" si="617"/>
        <v/>
      </c>
      <c r="Q3960" s="40" t="str">
        <f>IF(OR(T3960=0,RIGHT(T3960,1)=$W$1),"",COUNTIF($T$3:T3960,T3960))</f>
        <v/>
      </c>
      <c r="S3960" s="6">
        <f t="shared" si="618"/>
        <v>0</v>
      </c>
      <c r="T3960" s="36">
        <f t="shared" si="619"/>
        <v>0</v>
      </c>
      <c r="V3960" s="6">
        <f t="shared" si="620"/>
        <v>0</v>
      </c>
      <c r="Y3960" s="8">
        <f t="shared" si="621"/>
        <v>46023</v>
      </c>
    </row>
    <row r="3961" spans="2:25" ht="18.75" x14ac:dyDescent="0.3">
      <c r="B3961" s="6">
        <f t="shared" si="613"/>
        <v>0</v>
      </c>
      <c r="C3961" s="6">
        <f t="shared" si="614"/>
        <v>0</v>
      </c>
      <c r="D3961" s="6" t="str">
        <f t="shared" si="615"/>
        <v/>
      </c>
      <c r="E3961" s="35" t="str">
        <f t="shared" si="612"/>
        <v/>
      </c>
      <c r="F3961" s="31"/>
      <c r="G3961" s="29"/>
      <c r="H3961" s="78" t="str">
        <f t="shared" si="616"/>
        <v/>
      </c>
      <c r="I3961" s="25"/>
      <c r="J3961" s="25"/>
      <c r="K3961" s="26"/>
      <c r="L3961" s="26"/>
      <c r="M3961" s="37"/>
      <c r="N3961" s="27"/>
      <c r="O3961" s="30"/>
      <c r="P3961" s="39" t="str">
        <f t="shared" si="617"/>
        <v/>
      </c>
      <c r="Q3961" s="40" t="str">
        <f>IF(OR(T3961=0,RIGHT(T3961,1)=$W$1),"",COUNTIF($T$3:T3961,T3961))</f>
        <v/>
      </c>
      <c r="S3961" s="6">
        <f t="shared" si="618"/>
        <v>0</v>
      </c>
      <c r="T3961" s="36">
        <f t="shared" si="619"/>
        <v>0</v>
      </c>
      <c r="V3961" s="6">
        <f t="shared" si="620"/>
        <v>0</v>
      </c>
      <c r="Y3961" s="8">
        <f t="shared" si="621"/>
        <v>46023</v>
      </c>
    </row>
    <row r="3962" spans="2:25" ht="18.75" x14ac:dyDescent="0.3">
      <c r="B3962" s="6">
        <f t="shared" si="613"/>
        <v>0</v>
      </c>
      <c r="C3962" s="6">
        <f t="shared" si="614"/>
        <v>0</v>
      </c>
      <c r="D3962" s="6" t="str">
        <f t="shared" si="615"/>
        <v/>
      </c>
      <c r="E3962" s="35" t="str">
        <f t="shared" si="612"/>
        <v/>
      </c>
      <c r="F3962" s="31"/>
      <c r="G3962" s="29"/>
      <c r="H3962" s="78" t="str">
        <f t="shared" si="616"/>
        <v/>
      </c>
      <c r="I3962" s="25"/>
      <c r="J3962" s="25"/>
      <c r="K3962" s="26"/>
      <c r="L3962" s="26"/>
      <c r="M3962" s="37"/>
      <c r="N3962" s="27"/>
      <c r="O3962" s="30"/>
      <c r="P3962" s="39" t="str">
        <f t="shared" si="617"/>
        <v/>
      </c>
      <c r="Q3962" s="40" t="str">
        <f>IF(OR(T3962=0,RIGHT(T3962,1)=$W$1),"",COUNTIF($T$3:T3962,T3962))</f>
        <v/>
      </c>
      <c r="S3962" s="6">
        <f t="shared" si="618"/>
        <v>0</v>
      </c>
      <c r="T3962" s="36">
        <f t="shared" si="619"/>
        <v>0</v>
      </c>
      <c r="V3962" s="6">
        <f t="shared" si="620"/>
        <v>0</v>
      </c>
      <c r="Y3962" s="8">
        <f t="shared" si="621"/>
        <v>46023</v>
      </c>
    </row>
    <row r="3963" spans="2:25" ht="18.75" x14ac:dyDescent="0.3">
      <c r="B3963" s="6">
        <f t="shared" si="613"/>
        <v>0</v>
      </c>
      <c r="C3963" s="6">
        <f t="shared" si="614"/>
        <v>0</v>
      </c>
      <c r="D3963" s="6" t="str">
        <f t="shared" si="615"/>
        <v/>
      </c>
      <c r="E3963" s="35" t="str">
        <f t="shared" si="612"/>
        <v/>
      </c>
      <c r="F3963" s="31"/>
      <c r="G3963" s="29"/>
      <c r="H3963" s="78" t="str">
        <f t="shared" si="616"/>
        <v/>
      </c>
      <c r="I3963" s="25"/>
      <c r="J3963" s="25"/>
      <c r="K3963" s="26"/>
      <c r="L3963" s="26"/>
      <c r="M3963" s="37"/>
      <c r="N3963" s="27"/>
      <c r="O3963" s="30"/>
      <c r="P3963" s="39" t="str">
        <f t="shared" si="617"/>
        <v/>
      </c>
      <c r="Q3963" s="40" t="str">
        <f>IF(OR(T3963=0,RIGHT(T3963,1)=$W$1),"",COUNTIF($T$3:T3963,T3963))</f>
        <v/>
      </c>
      <c r="S3963" s="6">
        <f t="shared" si="618"/>
        <v>0</v>
      </c>
      <c r="T3963" s="36">
        <f t="shared" si="619"/>
        <v>0</v>
      </c>
      <c r="V3963" s="6">
        <f t="shared" si="620"/>
        <v>0</v>
      </c>
      <c r="Y3963" s="8">
        <f t="shared" si="621"/>
        <v>46023</v>
      </c>
    </row>
    <row r="3964" spans="2:25" ht="18.75" x14ac:dyDescent="0.3">
      <c r="B3964" s="6">
        <f t="shared" si="613"/>
        <v>0</v>
      </c>
      <c r="C3964" s="6">
        <f t="shared" si="614"/>
        <v>0</v>
      </c>
      <c r="D3964" s="6" t="str">
        <f t="shared" si="615"/>
        <v/>
      </c>
      <c r="E3964" s="35" t="str">
        <f t="shared" si="612"/>
        <v/>
      </c>
      <c r="F3964" s="31"/>
      <c r="G3964" s="29"/>
      <c r="H3964" s="78" t="str">
        <f t="shared" si="616"/>
        <v/>
      </c>
      <c r="I3964" s="25"/>
      <c r="J3964" s="25"/>
      <c r="K3964" s="26"/>
      <c r="L3964" s="26"/>
      <c r="M3964" s="37"/>
      <c r="N3964" s="27"/>
      <c r="O3964" s="30"/>
      <c r="P3964" s="39" t="str">
        <f t="shared" si="617"/>
        <v/>
      </c>
      <c r="Q3964" s="40" t="str">
        <f>IF(OR(T3964=0,RIGHT(T3964,1)=$W$1),"",COUNTIF($T$3:T3964,T3964))</f>
        <v/>
      </c>
      <c r="S3964" s="6">
        <f t="shared" si="618"/>
        <v>0</v>
      </c>
      <c r="T3964" s="36">
        <f t="shared" si="619"/>
        <v>0</v>
      </c>
      <c r="V3964" s="6">
        <f t="shared" si="620"/>
        <v>0</v>
      </c>
      <c r="Y3964" s="8">
        <f t="shared" si="621"/>
        <v>46023</v>
      </c>
    </row>
    <row r="3965" spans="2:25" ht="18.75" x14ac:dyDescent="0.3">
      <c r="B3965" s="6">
        <f t="shared" si="613"/>
        <v>0</v>
      </c>
      <c r="C3965" s="6">
        <f t="shared" si="614"/>
        <v>0</v>
      </c>
      <c r="D3965" s="6" t="str">
        <f t="shared" si="615"/>
        <v/>
      </c>
      <c r="E3965" s="35" t="str">
        <f t="shared" si="612"/>
        <v/>
      </c>
      <c r="F3965" s="31"/>
      <c r="G3965" s="29"/>
      <c r="H3965" s="78" t="str">
        <f t="shared" si="616"/>
        <v/>
      </c>
      <c r="I3965" s="25"/>
      <c r="J3965" s="25"/>
      <c r="K3965" s="26"/>
      <c r="L3965" s="26"/>
      <c r="M3965" s="37"/>
      <c r="N3965" s="27"/>
      <c r="O3965" s="30"/>
      <c r="P3965" s="39" t="str">
        <f t="shared" si="617"/>
        <v/>
      </c>
      <c r="Q3965" s="40" t="str">
        <f>IF(OR(T3965=0,RIGHT(T3965,1)=$W$1),"",COUNTIF($T$3:T3965,T3965))</f>
        <v/>
      </c>
      <c r="S3965" s="6">
        <f t="shared" si="618"/>
        <v>0</v>
      </c>
      <c r="T3965" s="36">
        <f t="shared" si="619"/>
        <v>0</v>
      </c>
      <c r="V3965" s="6">
        <f t="shared" si="620"/>
        <v>0</v>
      </c>
      <c r="Y3965" s="8">
        <f t="shared" si="621"/>
        <v>46023</v>
      </c>
    </row>
    <row r="3966" spans="2:25" ht="18.75" x14ac:dyDescent="0.3">
      <c r="B3966" s="6">
        <f t="shared" si="613"/>
        <v>0</v>
      </c>
      <c r="C3966" s="6">
        <f t="shared" si="614"/>
        <v>0</v>
      </c>
      <c r="D3966" s="6" t="str">
        <f t="shared" si="615"/>
        <v/>
      </c>
      <c r="E3966" s="35" t="str">
        <f t="shared" si="612"/>
        <v/>
      </c>
      <c r="F3966" s="31"/>
      <c r="G3966" s="29"/>
      <c r="H3966" s="78" t="str">
        <f t="shared" si="616"/>
        <v/>
      </c>
      <c r="I3966" s="25"/>
      <c r="J3966" s="25"/>
      <c r="K3966" s="26"/>
      <c r="L3966" s="26"/>
      <c r="M3966" s="37"/>
      <c r="N3966" s="27"/>
      <c r="O3966" s="30"/>
      <c r="P3966" s="39" t="str">
        <f t="shared" si="617"/>
        <v/>
      </c>
      <c r="Q3966" s="40" t="str">
        <f>IF(OR(T3966=0,RIGHT(T3966,1)=$W$1),"",COUNTIF($T$3:T3966,T3966))</f>
        <v/>
      </c>
      <c r="S3966" s="6">
        <f t="shared" si="618"/>
        <v>0</v>
      </c>
      <c r="T3966" s="36">
        <f t="shared" si="619"/>
        <v>0</v>
      </c>
      <c r="V3966" s="6">
        <f t="shared" si="620"/>
        <v>0</v>
      </c>
      <c r="Y3966" s="8">
        <f t="shared" si="621"/>
        <v>46023</v>
      </c>
    </row>
    <row r="3967" spans="2:25" ht="18.75" x14ac:dyDescent="0.3">
      <c r="B3967" s="6">
        <f t="shared" si="613"/>
        <v>0</v>
      </c>
      <c r="C3967" s="6">
        <f t="shared" si="614"/>
        <v>0</v>
      </c>
      <c r="D3967" s="6" t="str">
        <f t="shared" si="615"/>
        <v/>
      </c>
      <c r="E3967" s="35" t="str">
        <f t="shared" si="612"/>
        <v/>
      </c>
      <c r="F3967" s="31"/>
      <c r="G3967" s="29"/>
      <c r="H3967" s="78" t="str">
        <f t="shared" si="616"/>
        <v/>
      </c>
      <c r="I3967" s="25"/>
      <c r="J3967" s="25"/>
      <c r="K3967" s="26"/>
      <c r="L3967" s="26"/>
      <c r="M3967" s="37"/>
      <c r="N3967" s="27"/>
      <c r="O3967" s="30"/>
      <c r="P3967" s="39" t="str">
        <f t="shared" si="617"/>
        <v/>
      </c>
      <c r="Q3967" s="40" t="str">
        <f>IF(OR(T3967=0,RIGHT(T3967,1)=$W$1),"",COUNTIF($T$3:T3967,T3967))</f>
        <v/>
      </c>
      <c r="S3967" s="6">
        <f t="shared" si="618"/>
        <v>0</v>
      </c>
      <c r="T3967" s="36">
        <f t="shared" si="619"/>
        <v>0</v>
      </c>
      <c r="V3967" s="6">
        <f t="shared" si="620"/>
        <v>0</v>
      </c>
      <c r="Y3967" s="8">
        <f t="shared" si="621"/>
        <v>46023</v>
      </c>
    </row>
    <row r="3968" spans="2:25" ht="18.75" x14ac:dyDescent="0.3">
      <c r="B3968" s="6">
        <f t="shared" si="613"/>
        <v>0</v>
      </c>
      <c r="C3968" s="6">
        <f t="shared" si="614"/>
        <v>0</v>
      </c>
      <c r="D3968" s="6" t="str">
        <f t="shared" si="615"/>
        <v/>
      </c>
      <c r="E3968" s="35" t="str">
        <f t="shared" si="612"/>
        <v/>
      </c>
      <c r="F3968" s="31"/>
      <c r="G3968" s="29"/>
      <c r="H3968" s="78" t="str">
        <f t="shared" si="616"/>
        <v/>
      </c>
      <c r="I3968" s="25"/>
      <c r="J3968" s="25"/>
      <c r="K3968" s="26"/>
      <c r="L3968" s="26"/>
      <c r="M3968" s="37"/>
      <c r="N3968" s="27"/>
      <c r="O3968" s="30"/>
      <c r="P3968" s="39" t="str">
        <f t="shared" si="617"/>
        <v/>
      </c>
      <c r="Q3968" s="40" t="str">
        <f>IF(OR(T3968=0,RIGHT(T3968,1)=$W$1),"",COUNTIF($T$3:T3968,T3968))</f>
        <v/>
      </c>
      <c r="S3968" s="6">
        <f t="shared" si="618"/>
        <v>0</v>
      </c>
      <c r="T3968" s="36">
        <f t="shared" si="619"/>
        <v>0</v>
      </c>
      <c r="V3968" s="6">
        <f t="shared" si="620"/>
        <v>0</v>
      </c>
      <c r="Y3968" s="8">
        <f t="shared" si="621"/>
        <v>46023</v>
      </c>
    </row>
    <row r="3969" spans="2:25" ht="18.75" x14ac:dyDescent="0.3">
      <c r="B3969" s="6">
        <f t="shared" si="613"/>
        <v>0</v>
      </c>
      <c r="C3969" s="6">
        <f t="shared" si="614"/>
        <v>0</v>
      </c>
      <c r="D3969" s="6" t="str">
        <f t="shared" si="615"/>
        <v/>
      </c>
      <c r="E3969" s="35" t="str">
        <f t="shared" si="612"/>
        <v/>
      </c>
      <c r="F3969" s="31"/>
      <c r="G3969" s="29"/>
      <c r="H3969" s="78" t="str">
        <f t="shared" si="616"/>
        <v/>
      </c>
      <c r="I3969" s="25"/>
      <c r="J3969" s="25"/>
      <c r="K3969" s="26"/>
      <c r="L3969" s="26"/>
      <c r="M3969" s="37"/>
      <c r="N3969" s="27"/>
      <c r="O3969" s="30"/>
      <c r="P3969" s="39" t="str">
        <f t="shared" si="617"/>
        <v/>
      </c>
      <c r="Q3969" s="40" t="str">
        <f>IF(OR(T3969=0,RIGHT(T3969,1)=$W$1),"",COUNTIF($T$3:T3969,T3969))</f>
        <v/>
      </c>
      <c r="S3969" s="6">
        <f t="shared" si="618"/>
        <v>0</v>
      </c>
      <c r="T3969" s="36">
        <f t="shared" si="619"/>
        <v>0</v>
      </c>
      <c r="V3969" s="6">
        <f t="shared" si="620"/>
        <v>0</v>
      </c>
      <c r="Y3969" s="8">
        <f t="shared" si="621"/>
        <v>46023</v>
      </c>
    </row>
    <row r="3970" spans="2:25" ht="18.75" x14ac:dyDescent="0.3">
      <c r="B3970" s="6">
        <f t="shared" si="613"/>
        <v>0</v>
      </c>
      <c r="C3970" s="6">
        <f t="shared" si="614"/>
        <v>0</v>
      </c>
      <c r="D3970" s="6" t="str">
        <f t="shared" si="615"/>
        <v/>
      </c>
      <c r="E3970" s="35" t="str">
        <f t="shared" si="612"/>
        <v/>
      </c>
      <c r="F3970" s="31"/>
      <c r="G3970" s="29"/>
      <c r="H3970" s="78" t="str">
        <f t="shared" si="616"/>
        <v/>
      </c>
      <c r="I3970" s="25"/>
      <c r="J3970" s="25"/>
      <c r="K3970" s="26"/>
      <c r="L3970" s="26"/>
      <c r="M3970" s="37"/>
      <c r="N3970" s="27"/>
      <c r="O3970" s="30"/>
      <c r="P3970" s="39" t="str">
        <f t="shared" si="617"/>
        <v/>
      </c>
      <c r="Q3970" s="40" t="str">
        <f>IF(OR(T3970=0,RIGHT(T3970,1)=$W$1),"",COUNTIF($T$3:T3970,T3970))</f>
        <v/>
      </c>
      <c r="S3970" s="6">
        <f t="shared" si="618"/>
        <v>0</v>
      </c>
      <c r="T3970" s="36">
        <f t="shared" si="619"/>
        <v>0</v>
      </c>
      <c r="V3970" s="6">
        <f t="shared" si="620"/>
        <v>0</v>
      </c>
      <c r="Y3970" s="8">
        <f t="shared" si="621"/>
        <v>46023</v>
      </c>
    </row>
    <row r="3971" spans="2:25" ht="18.75" x14ac:dyDescent="0.3">
      <c r="B3971" s="6">
        <f t="shared" si="613"/>
        <v>0</v>
      </c>
      <c r="C3971" s="6">
        <f t="shared" si="614"/>
        <v>0</v>
      </c>
      <c r="D3971" s="6" t="str">
        <f t="shared" si="615"/>
        <v/>
      </c>
      <c r="E3971" s="35" t="str">
        <f t="shared" ref="E3971:E4034" si="622">IF(D3971&lt;&gt;"",D3971&amp;" - "&amp;YEAR(F3971),"")</f>
        <v/>
      </c>
      <c r="F3971" s="31"/>
      <c r="G3971" s="29"/>
      <c r="H3971" s="78" t="str">
        <f t="shared" si="616"/>
        <v/>
      </c>
      <c r="I3971" s="25"/>
      <c r="J3971" s="25"/>
      <c r="K3971" s="26"/>
      <c r="L3971" s="26"/>
      <c r="M3971" s="37"/>
      <c r="N3971" s="27"/>
      <c r="O3971" s="30"/>
      <c r="P3971" s="39" t="str">
        <f t="shared" si="617"/>
        <v/>
      </c>
      <c r="Q3971" s="40" t="str">
        <f>IF(OR(T3971=0,RIGHT(T3971,1)=$W$1),"",COUNTIF($T$3:T3971,T3971))</f>
        <v/>
      </c>
      <c r="S3971" s="6">
        <f t="shared" si="618"/>
        <v>0</v>
      </c>
      <c r="T3971" s="36">
        <f t="shared" si="619"/>
        <v>0</v>
      </c>
      <c r="V3971" s="6">
        <f t="shared" si="620"/>
        <v>0</v>
      </c>
      <c r="Y3971" s="8">
        <f t="shared" si="621"/>
        <v>46023</v>
      </c>
    </row>
    <row r="3972" spans="2:25" ht="18.75" x14ac:dyDescent="0.3">
      <c r="B3972" s="6">
        <f t="shared" ref="B3972:B4035" si="623">IF($B$1=YEAR(F3972),B3971+1,B3971)</f>
        <v>0</v>
      </c>
      <c r="C3972" s="6">
        <f t="shared" ref="C3972:C4035" si="624">IF(AND($C$1=K3972,$Y$1=YEAR(F3972)),C3971+1,C3971)</f>
        <v>0</v>
      </c>
      <c r="D3972" s="6" t="str">
        <f t="shared" ref="D3972:D4035" si="625">IF(F3972&lt;&gt;0,IF(YEAR(F3972)&lt;&gt;YEAR(F3971),1,IF(M3972=$AI$1,D3971,D3971+1)),"")</f>
        <v/>
      </c>
      <c r="E3972" s="35" t="str">
        <f t="shared" si="622"/>
        <v/>
      </c>
      <c r="F3972" s="31"/>
      <c r="G3972" s="29"/>
      <c r="H3972" s="78" t="str">
        <f t="shared" ref="H3972:H4035" si="626">IF(G3972&lt;&gt;"",F3972,"")</f>
        <v/>
      </c>
      <c r="I3972" s="25"/>
      <c r="J3972" s="25"/>
      <c r="K3972" s="26"/>
      <c r="L3972" s="26"/>
      <c r="M3972" s="37"/>
      <c r="N3972" s="27"/>
      <c r="O3972" s="30"/>
      <c r="P3972" s="39" t="str">
        <f t="shared" ref="P3972:P4035" si="627">IF(OR(T3972=0,RIGHT(T3972,1)=$W$1),"",VLOOKUP(K3972,$AD$1:$AK$15,5,FALSE))</f>
        <v/>
      </c>
      <c r="Q3972" s="40" t="str">
        <f>IF(OR(T3972=0,RIGHT(T3972,1)=$W$1),"",COUNTIF($T$3:T3972,T3972))</f>
        <v/>
      </c>
      <c r="S3972" s="6">
        <f t="shared" ref="S3972:S4035" si="628">IF(AND($C$1=K3972,$Y$1=YEAR(F3972)),C3972,0)</f>
        <v>0</v>
      </c>
      <c r="T3972" s="36">
        <f t="shared" ref="T3972:T4035" si="629">IF(F3972=0,0,YEAR(F3972)&amp;VLOOKUP(K3972,$AD$1:$AE$15,2,FALSE))</f>
        <v>0</v>
      </c>
      <c r="V3972" s="6">
        <f t="shared" ref="V3972:V4035" si="630">IF(AND(YEAR(F3972)=$Y$1,K3972=$C$1,L3972&amp;$V$1&lt;&gt;$V$1),L3972,IF(AND(YEAR(F3972)=$Y$1,K3972=$C$1),1,0))</f>
        <v>0</v>
      </c>
      <c r="Y3972" s="8">
        <f t="shared" ref="Y3972:Y4035" si="631">IF(M3972&lt;&gt;$AI$1,$Y$2,F3971)</f>
        <v>46023</v>
      </c>
    </row>
    <row r="3973" spans="2:25" ht="18.75" x14ac:dyDescent="0.3">
      <c r="B3973" s="6">
        <f t="shared" si="623"/>
        <v>0</v>
      </c>
      <c r="C3973" s="6">
        <f t="shared" si="624"/>
        <v>0</v>
      </c>
      <c r="D3973" s="6" t="str">
        <f t="shared" si="625"/>
        <v/>
      </c>
      <c r="E3973" s="35" t="str">
        <f t="shared" si="622"/>
        <v/>
      </c>
      <c r="F3973" s="31"/>
      <c r="G3973" s="29"/>
      <c r="H3973" s="78" t="str">
        <f t="shared" si="626"/>
        <v/>
      </c>
      <c r="I3973" s="25"/>
      <c r="J3973" s="25"/>
      <c r="K3973" s="26"/>
      <c r="L3973" s="26"/>
      <c r="M3973" s="37"/>
      <c r="N3973" s="27"/>
      <c r="O3973" s="30"/>
      <c r="P3973" s="39" t="str">
        <f t="shared" si="627"/>
        <v/>
      </c>
      <c r="Q3973" s="40" t="str">
        <f>IF(OR(T3973=0,RIGHT(T3973,1)=$W$1),"",COUNTIF($T$3:T3973,T3973))</f>
        <v/>
      </c>
      <c r="S3973" s="6">
        <f t="shared" si="628"/>
        <v>0</v>
      </c>
      <c r="T3973" s="36">
        <f t="shared" si="629"/>
        <v>0</v>
      </c>
      <c r="V3973" s="6">
        <f t="shared" si="630"/>
        <v>0</v>
      </c>
      <c r="Y3973" s="8">
        <f t="shared" si="631"/>
        <v>46023</v>
      </c>
    </row>
    <row r="3974" spans="2:25" ht="18.75" x14ac:dyDescent="0.3">
      <c r="B3974" s="6">
        <f t="shared" si="623"/>
        <v>0</v>
      </c>
      <c r="C3974" s="6">
        <f t="shared" si="624"/>
        <v>0</v>
      </c>
      <c r="D3974" s="6" t="str">
        <f t="shared" si="625"/>
        <v/>
      </c>
      <c r="E3974" s="35" t="str">
        <f t="shared" si="622"/>
        <v/>
      </c>
      <c r="F3974" s="31"/>
      <c r="G3974" s="29"/>
      <c r="H3974" s="78" t="str">
        <f t="shared" si="626"/>
        <v/>
      </c>
      <c r="I3974" s="25"/>
      <c r="J3974" s="25"/>
      <c r="K3974" s="26"/>
      <c r="L3974" s="26"/>
      <c r="M3974" s="37"/>
      <c r="N3974" s="27"/>
      <c r="O3974" s="30"/>
      <c r="P3974" s="39" t="str">
        <f t="shared" si="627"/>
        <v/>
      </c>
      <c r="Q3974" s="40" t="str">
        <f>IF(OR(T3974=0,RIGHT(T3974,1)=$W$1),"",COUNTIF($T$3:T3974,T3974))</f>
        <v/>
      </c>
      <c r="S3974" s="6">
        <f t="shared" si="628"/>
        <v>0</v>
      </c>
      <c r="T3974" s="36">
        <f t="shared" si="629"/>
        <v>0</v>
      </c>
      <c r="V3974" s="6">
        <f t="shared" si="630"/>
        <v>0</v>
      </c>
      <c r="Y3974" s="8">
        <f t="shared" si="631"/>
        <v>46023</v>
      </c>
    </row>
    <row r="3975" spans="2:25" ht="18.75" x14ac:dyDescent="0.3">
      <c r="B3975" s="6">
        <f t="shared" si="623"/>
        <v>0</v>
      </c>
      <c r="C3975" s="6">
        <f t="shared" si="624"/>
        <v>0</v>
      </c>
      <c r="D3975" s="6" t="str">
        <f t="shared" si="625"/>
        <v/>
      </c>
      <c r="E3975" s="35" t="str">
        <f t="shared" si="622"/>
        <v/>
      </c>
      <c r="F3975" s="31"/>
      <c r="G3975" s="29"/>
      <c r="H3975" s="78" t="str">
        <f t="shared" si="626"/>
        <v/>
      </c>
      <c r="I3975" s="25"/>
      <c r="J3975" s="25"/>
      <c r="K3975" s="26"/>
      <c r="L3975" s="26"/>
      <c r="M3975" s="37"/>
      <c r="N3975" s="27"/>
      <c r="O3975" s="30"/>
      <c r="P3975" s="39" t="str">
        <f t="shared" si="627"/>
        <v/>
      </c>
      <c r="Q3975" s="40" t="str">
        <f>IF(OR(T3975=0,RIGHT(T3975,1)=$W$1),"",COUNTIF($T$3:T3975,T3975))</f>
        <v/>
      </c>
      <c r="S3975" s="6">
        <f t="shared" si="628"/>
        <v>0</v>
      </c>
      <c r="T3975" s="36">
        <f t="shared" si="629"/>
        <v>0</v>
      </c>
      <c r="V3975" s="6">
        <f t="shared" si="630"/>
        <v>0</v>
      </c>
      <c r="Y3975" s="8">
        <f t="shared" si="631"/>
        <v>46023</v>
      </c>
    </row>
    <row r="3976" spans="2:25" ht="18.75" x14ac:dyDescent="0.3">
      <c r="B3976" s="6">
        <f t="shared" si="623"/>
        <v>0</v>
      </c>
      <c r="C3976" s="6">
        <f t="shared" si="624"/>
        <v>0</v>
      </c>
      <c r="D3976" s="6" t="str">
        <f t="shared" si="625"/>
        <v/>
      </c>
      <c r="E3976" s="35" t="str">
        <f t="shared" si="622"/>
        <v/>
      </c>
      <c r="F3976" s="31"/>
      <c r="G3976" s="29"/>
      <c r="H3976" s="78" t="str">
        <f t="shared" si="626"/>
        <v/>
      </c>
      <c r="I3976" s="25"/>
      <c r="J3976" s="25"/>
      <c r="K3976" s="26"/>
      <c r="L3976" s="26"/>
      <c r="M3976" s="37"/>
      <c r="N3976" s="27"/>
      <c r="O3976" s="30"/>
      <c r="P3976" s="39" t="str">
        <f t="shared" si="627"/>
        <v/>
      </c>
      <c r="Q3976" s="40" t="str">
        <f>IF(OR(T3976=0,RIGHT(T3976,1)=$W$1),"",COUNTIF($T$3:T3976,T3976))</f>
        <v/>
      </c>
      <c r="S3976" s="6">
        <f t="shared" si="628"/>
        <v>0</v>
      </c>
      <c r="T3976" s="36">
        <f t="shared" si="629"/>
        <v>0</v>
      </c>
      <c r="V3976" s="6">
        <f t="shared" si="630"/>
        <v>0</v>
      </c>
      <c r="Y3976" s="8">
        <f t="shared" si="631"/>
        <v>46023</v>
      </c>
    </row>
    <row r="3977" spans="2:25" ht="18.75" x14ac:dyDescent="0.3">
      <c r="B3977" s="6">
        <f t="shared" si="623"/>
        <v>0</v>
      </c>
      <c r="C3977" s="6">
        <f t="shared" si="624"/>
        <v>0</v>
      </c>
      <c r="D3977" s="6" t="str">
        <f t="shared" si="625"/>
        <v/>
      </c>
      <c r="E3977" s="35" t="str">
        <f t="shared" si="622"/>
        <v/>
      </c>
      <c r="F3977" s="31"/>
      <c r="G3977" s="29"/>
      <c r="H3977" s="78" t="str">
        <f t="shared" si="626"/>
        <v/>
      </c>
      <c r="I3977" s="25"/>
      <c r="J3977" s="25"/>
      <c r="K3977" s="26"/>
      <c r="L3977" s="26"/>
      <c r="M3977" s="37"/>
      <c r="N3977" s="27"/>
      <c r="O3977" s="30"/>
      <c r="P3977" s="39" t="str">
        <f t="shared" si="627"/>
        <v/>
      </c>
      <c r="Q3977" s="40" t="str">
        <f>IF(OR(T3977=0,RIGHT(T3977,1)=$W$1),"",COUNTIF($T$3:T3977,T3977))</f>
        <v/>
      </c>
      <c r="S3977" s="6">
        <f t="shared" si="628"/>
        <v>0</v>
      </c>
      <c r="T3977" s="36">
        <f t="shared" si="629"/>
        <v>0</v>
      </c>
      <c r="V3977" s="6">
        <f t="shared" si="630"/>
        <v>0</v>
      </c>
      <c r="Y3977" s="8">
        <f t="shared" si="631"/>
        <v>46023</v>
      </c>
    </row>
    <row r="3978" spans="2:25" ht="18.75" x14ac:dyDescent="0.3">
      <c r="B3978" s="6">
        <f t="shared" si="623"/>
        <v>0</v>
      </c>
      <c r="C3978" s="6">
        <f t="shared" si="624"/>
        <v>0</v>
      </c>
      <c r="D3978" s="6" t="str">
        <f t="shared" si="625"/>
        <v/>
      </c>
      <c r="E3978" s="35" t="str">
        <f t="shared" si="622"/>
        <v/>
      </c>
      <c r="F3978" s="31"/>
      <c r="G3978" s="29"/>
      <c r="H3978" s="78" t="str">
        <f t="shared" si="626"/>
        <v/>
      </c>
      <c r="I3978" s="25"/>
      <c r="J3978" s="25"/>
      <c r="K3978" s="26"/>
      <c r="L3978" s="26"/>
      <c r="M3978" s="37"/>
      <c r="N3978" s="27"/>
      <c r="O3978" s="30"/>
      <c r="P3978" s="39" t="str">
        <f t="shared" si="627"/>
        <v/>
      </c>
      <c r="Q3978" s="40" t="str">
        <f>IF(OR(T3978=0,RIGHT(T3978,1)=$W$1),"",COUNTIF($T$3:T3978,T3978))</f>
        <v/>
      </c>
      <c r="S3978" s="6">
        <f t="shared" si="628"/>
        <v>0</v>
      </c>
      <c r="T3978" s="36">
        <f t="shared" si="629"/>
        <v>0</v>
      </c>
      <c r="V3978" s="6">
        <f t="shared" si="630"/>
        <v>0</v>
      </c>
      <c r="Y3978" s="8">
        <f t="shared" si="631"/>
        <v>46023</v>
      </c>
    </row>
    <row r="3979" spans="2:25" ht="18.75" x14ac:dyDescent="0.3">
      <c r="B3979" s="6">
        <f t="shared" si="623"/>
        <v>0</v>
      </c>
      <c r="C3979" s="6">
        <f t="shared" si="624"/>
        <v>0</v>
      </c>
      <c r="D3979" s="6" t="str">
        <f t="shared" si="625"/>
        <v/>
      </c>
      <c r="E3979" s="35" t="str">
        <f t="shared" si="622"/>
        <v/>
      </c>
      <c r="F3979" s="31"/>
      <c r="G3979" s="29"/>
      <c r="H3979" s="78" t="str">
        <f t="shared" si="626"/>
        <v/>
      </c>
      <c r="I3979" s="25"/>
      <c r="J3979" s="25"/>
      <c r="K3979" s="26"/>
      <c r="L3979" s="26"/>
      <c r="M3979" s="37"/>
      <c r="N3979" s="27"/>
      <c r="O3979" s="30"/>
      <c r="P3979" s="39" t="str">
        <f t="shared" si="627"/>
        <v/>
      </c>
      <c r="Q3979" s="40" t="str">
        <f>IF(OR(T3979=0,RIGHT(T3979,1)=$W$1),"",COUNTIF($T$3:T3979,T3979))</f>
        <v/>
      </c>
      <c r="S3979" s="6">
        <f t="shared" si="628"/>
        <v>0</v>
      </c>
      <c r="T3979" s="36">
        <f t="shared" si="629"/>
        <v>0</v>
      </c>
      <c r="V3979" s="6">
        <f t="shared" si="630"/>
        <v>0</v>
      </c>
      <c r="Y3979" s="8">
        <f t="shared" si="631"/>
        <v>46023</v>
      </c>
    </row>
    <row r="3980" spans="2:25" ht="18.75" x14ac:dyDescent="0.3">
      <c r="B3980" s="6">
        <f t="shared" si="623"/>
        <v>0</v>
      </c>
      <c r="C3980" s="6">
        <f t="shared" si="624"/>
        <v>0</v>
      </c>
      <c r="D3980" s="6" t="str">
        <f t="shared" si="625"/>
        <v/>
      </c>
      <c r="E3980" s="35" t="str">
        <f t="shared" si="622"/>
        <v/>
      </c>
      <c r="F3980" s="31"/>
      <c r="G3980" s="29"/>
      <c r="H3980" s="78" t="str">
        <f t="shared" si="626"/>
        <v/>
      </c>
      <c r="I3980" s="25"/>
      <c r="J3980" s="25"/>
      <c r="K3980" s="26"/>
      <c r="L3980" s="26"/>
      <c r="M3980" s="37"/>
      <c r="N3980" s="27"/>
      <c r="O3980" s="30"/>
      <c r="P3980" s="39" t="str">
        <f t="shared" si="627"/>
        <v/>
      </c>
      <c r="Q3980" s="40" t="str">
        <f>IF(OR(T3980=0,RIGHT(T3980,1)=$W$1),"",COUNTIF($T$3:T3980,T3980))</f>
        <v/>
      </c>
      <c r="S3980" s="6">
        <f t="shared" si="628"/>
        <v>0</v>
      </c>
      <c r="T3980" s="36">
        <f t="shared" si="629"/>
        <v>0</v>
      </c>
      <c r="V3980" s="6">
        <f t="shared" si="630"/>
        <v>0</v>
      </c>
      <c r="Y3980" s="8">
        <f t="shared" si="631"/>
        <v>46023</v>
      </c>
    </row>
    <row r="3981" spans="2:25" ht="18.75" x14ac:dyDescent="0.3">
      <c r="B3981" s="6">
        <f t="shared" si="623"/>
        <v>0</v>
      </c>
      <c r="C3981" s="6">
        <f t="shared" si="624"/>
        <v>0</v>
      </c>
      <c r="D3981" s="6" t="str">
        <f t="shared" si="625"/>
        <v/>
      </c>
      <c r="E3981" s="35" t="str">
        <f t="shared" si="622"/>
        <v/>
      </c>
      <c r="F3981" s="31"/>
      <c r="G3981" s="29"/>
      <c r="H3981" s="78" t="str">
        <f t="shared" si="626"/>
        <v/>
      </c>
      <c r="I3981" s="25"/>
      <c r="J3981" s="25"/>
      <c r="K3981" s="26"/>
      <c r="L3981" s="26"/>
      <c r="M3981" s="37"/>
      <c r="N3981" s="27"/>
      <c r="O3981" s="30"/>
      <c r="P3981" s="39" t="str">
        <f t="shared" si="627"/>
        <v/>
      </c>
      <c r="Q3981" s="40" t="str">
        <f>IF(OR(T3981=0,RIGHT(T3981,1)=$W$1),"",COUNTIF($T$3:T3981,T3981))</f>
        <v/>
      </c>
      <c r="S3981" s="6">
        <f t="shared" si="628"/>
        <v>0</v>
      </c>
      <c r="T3981" s="36">
        <f t="shared" si="629"/>
        <v>0</v>
      </c>
      <c r="V3981" s="6">
        <f t="shared" si="630"/>
        <v>0</v>
      </c>
      <c r="Y3981" s="8">
        <f t="shared" si="631"/>
        <v>46023</v>
      </c>
    </row>
    <row r="3982" spans="2:25" ht="18.75" x14ac:dyDescent="0.3">
      <c r="B3982" s="6">
        <f t="shared" si="623"/>
        <v>0</v>
      </c>
      <c r="C3982" s="6">
        <f t="shared" si="624"/>
        <v>0</v>
      </c>
      <c r="D3982" s="6" t="str">
        <f t="shared" si="625"/>
        <v/>
      </c>
      <c r="E3982" s="35" t="str">
        <f t="shared" si="622"/>
        <v/>
      </c>
      <c r="F3982" s="31"/>
      <c r="G3982" s="29"/>
      <c r="H3982" s="78" t="str">
        <f t="shared" si="626"/>
        <v/>
      </c>
      <c r="I3982" s="25"/>
      <c r="J3982" s="25"/>
      <c r="K3982" s="26"/>
      <c r="L3982" s="26"/>
      <c r="M3982" s="37"/>
      <c r="N3982" s="27"/>
      <c r="O3982" s="30"/>
      <c r="P3982" s="39" t="str">
        <f t="shared" si="627"/>
        <v/>
      </c>
      <c r="Q3982" s="40" t="str">
        <f>IF(OR(T3982=0,RIGHT(T3982,1)=$W$1),"",COUNTIF($T$3:T3982,T3982))</f>
        <v/>
      </c>
      <c r="S3982" s="6">
        <f t="shared" si="628"/>
        <v>0</v>
      </c>
      <c r="T3982" s="36">
        <f t="shared" si="629"/>
        <v>0</v>
      </c>
      <c r="V3982" s="6">
        <f t="shared" si="630"/>
        <v>0</v>
      </c>
      <c r="Y3982" s="8">
        <f t="shared" si="631"/>
        <v>46023</v>
      </c>
    </row>
    <row r="3983" spans="2:25" ht="18.75" x14ac:dyDescent="0.3">
      <c r="B3983" s="6">
        <f t="shared" si="623"/>
        <v>0</v>
      </c>
      <c r="C3983" s="6">
        <f t="shared" si="624"/>
        <v>0</v>
      </c>
      <c r="D3983" s="6" t="str">
        <f t="shared" si="625"/>
        <v/>
      </c>
      <c r="E3983" s="35" t="str">
        <f t="shared" si="622"/>
        <v/>
      </c>
      <c r="F3983" s="31"/>
      <c r="G3983" s="29"/>
      <c r="H3983" s="78" t="str">
        <f t="shared" si="626"/>
        <v/>
      </c>
      <c r="I3983" s="25"/>
      <c r="J3983" s="25"/>
      <c r="K3983" s="26"/>
      <c r="L3983" s="26"/>
      <c r="M3983" s="37"/>
      <c r="N3983" s="27"/>
      <c r="O3983" s="30"/>
      <c r="P3983" s="39" t="str">
        <f t="shared" si="627"/>
        <v/>
      </c>
      <c r="Q3983" s="40" t="str">
        <f>IF(OR(T3983=0,RIGHT(T3983,1)=$W$1),"",COUNTIF($T$3:T3983,T3983))</f>
        <v/>
      </c>
      <c r="S3983" s="6">
        <f t="shared" si="628"/>
        <v>0</v>
      </c>
      <c r="T3983" s="36">
        <f t="shared" si="629"/>
        <v>0</v>
      </c>
      <c r="V3983" s="6">
        <f t="shared" si="630"/>
        <v>0</v>
      </c>
      <c r="Y3983" s="8">
        <f t="shared" si="631"/>
        <v>46023</v>
      </c>
    </row>
    <row r="3984" spans="2:25" ht="18.75" x14ac:dyDescent="0.3">
      <c r="B3984" s="6">
        <f t="shared" si="623"/>
        <v>0</v>
      </c>
      <c r="C3984" s="6">
        <f t="shared" si="624"/>
        <v>0</v>
      </c>
      <c r="D3984" s="6" t="str">
        <f t="shared" si="625"/>
        <v/>
      </c>
      <c r="E3984" s="35" t="str">
        <f t="shared" si="622"/>
        <v/>
      </c>
      <c r="F3984" s="31"/>
      <c r="G3984" s="29"/>
      <c r="H3984" s="78" t="str">
        <f t="shared" si="626"/>
        <v/>
      </c>
      <c r="I3984" s="25"/>
      <c r="J3984" s="25"/>
      <c r="K3984" s="26"/>
      <c r="L3984" s="26"/>
      <c r="M3984" s="37"/>
      <c r="N3984" s="27"/>
      <c r="O3984" s="30"/>
      <c r="P3984" s="39" t="str">
        <f t="shared" si="627"/>
        <v/>
      </c>
      <c r="Q3984" s="40" t="str">
        <f>IF(OR(T3984=0,RIGHT(T3984,1)=$W$1),"",COUNTIF($T$3:T3984,T3984))</f>
        <v/>
      </c>
      <c r="S3984" s="6">
        <f t="shared" si="628"/>
        <v>0</v>
      </c>
      <c r="T3984" s="36">
        <f t="shared" si="629"/>
        <v>0</v>
      </c>
      <c r="V3984" s="6">
        <f t="shared" si="630"/>
        <v>0</v>
      </c>
      <c r="Y3984" s="8">
        <f t="shared" si="631"/>
        <v>46023</v>
      </c>
    </row>
    <row r="3985" spans="2:25" ht="18.75" x14ac:dyDescent="0.3">
      <c r="B3985" s="6">
        <f t="shared" si="623"/>
        <v>0</v>
      </c>
      <c r="C3985" s="6">
        <f t="shared" si="624"/>
        <v>0</v>
      </c>
      <c r="D3985" s="6" t="str">
        <f t="shared" si="625"/>
        <v/>
      </c>
      <c r="E3985" s="35" t="str">
        <f t="shared" si="622"/>
        <v/>
      </c>
      <c r="F3985" s="31"/>
      <c r="G3985" s="29"/>
      <c r="H3985" s="78" t="str">
        <f t="shared" si="626"/>
        <v/>
      </c>
      <c r="I3985" s="25"/>
      <c r="J3985" s="25"/>
      <c r="K3985" s="26"/>
      <c r="L3985" s="26"/>
      <c r="M3985" s="37"/>
      <c r="N3985" s="27"/>
      <c r="O3985" s="30"/>
      <c r="P3985" s="39" t="str">
        <f t="shared" si="627"/>
        <v/>
      </c>
      <c r="Q3985" s="40" t="str">
        <f>IF(OR(T3985=0,RIGHT(T3985,1)=$W$1),"",COUNTIF($T$3:T3985,T3985))</f>
        <v/>
      </c>
      <c r="S3985" s="6">
        <f t="shared" si="628"/>
        <v>0</v>
      </c>
      <c r="T3985" s="36">
        <f t="shared" si="629"/>
        <v>0</v>
      </c>
      <c r="V3985" s="6">
        <f t="shared" si="630"/>
        <v>0</v>
      </c>
      <c r="Y3985" s="8">
        <f t="shared" si="631"/>
        <v>46023</v>
      </c>
    </row>
    <row r="3986" spans="2:25" ht="18.75" x14ac:dyDescent="0.3">
      <c r="B3986" s="6">
        <f t="shared" si="623"/>
        <v>0</v>
      </c>
      <c r="C3986" s="6">
        <f t="shared" si="624"/>
        <v>0</v>
      </c>
      <c r="D3986" s="6" t="str">
        <f t="shared" si="625"/>
        <v/>
      </c>
      <c r="E3986" s="35" t="str">
        <f t="shared" si="622"/>
        <v/>
      </c>
      <c r="F3986" s="31"/>
      <c r="G3986" s="29"/>
      <c r="H3986" s="78" t="str">
        <f t="shared" si="626"/>
        <v/>
      </c>
      <c r="I3986" s="25"/>
      <c r="J3986" s="25"/>
      <c r="K3986" s="26"/>
      <c r="L3986" s="26"/>
      <c r="M3986" s="37"/>
      <c r="N3986" s="27"/>
      <c r="O3986" s="30"/>
      <c r="P3986" s="39" t="str">
        <f t="shared" si="627"/>
        <v/>
      </c>
      <c r="Q3986" s="40" t="str">
        <f>IF(OR(T3986=0,RIGHT(T3986,1)=$W$1),"",COUNTIF($T$3:T3986,T3986))</f>
        <v/>
      </c>
      <c r="S3986" s="6">
        <f t="shared" si="628"/>
        <v>0</v>
      </c>
      <c r="T3986" s="36">
        <f t="shared" si="629"/>
        <v>0</v>
      </c>
      <c r="V3986" s="6">
        <f t="shared" si="630"/>
        <v>0</v>
      </c>
      <c r="Y3986" s="8">
        <f t="shared" si="631"/>
        <v>46023</v>
      </c>
    </row>
    <row r="3987" spans="2:25" ht="18.75" x14ac:dyDescent="0.3">
      <c r="B3987" s="6">
        <f t="shared" si="623"/>
        <v>0</v>
      </c>
      <c r="C3987" s="6">
        <f t="shared" si="624"/>
        <v>0</v>
      </c>
      <c r="D3987" s="6" t="str">
        <f t="shared" si="625"/>
        <v/>
      </c>
      <c r="E3987" s="35" t="str">
        <f t="shared" si="622"/>
        <v/>
      </c>
      <c r="F3987" s="31"/>
      <c r="G3987" s="29"/>
      <c r="H3987" s="78" t="str">
        <f t="shared" si="626"/>
        <v/>
      </c>
      <c r="I3987" s="25"/>
      <c r="J3987" s="25"/>
      <c r="K3987" s="26"/>
      <c r="L3987" s="26"/>
      <c r="M3987" s="37"/>
      <c r="N3987" s="27"/>
      <c r="O3987" s="30"/>
      <c r="P3987" s="39" t="str">
        <f t="shared" si="627"/>
        <v/>
      </c>
      <c r="Q3987" s="40" t="str">
        <f>IF(OR(T3987=0,RIGHT(T3987,1)=$W$1),"",COUNTIF($T$3:T3987,T3987))</f>
        <v/>
      </c>
      <c r="S3987" s="6">
        <f t="shared" si="628"/>
        <v>0</v>
      </c>
      <c r="T3987" s="36">
        <f t="shared" si="629"/>
        <v>0</v>
      </c>
      <c r="V3987" s="6">
        <f t="shared" si="630"/>
        <v>0</v>
      </c>
      <c r="Y3987" s="8">
        <f t="shared" si="631"/>
        <v>46023</v>
      </c>
    </row>
    <row r="3988" spans="2:25" ht="18.75" x14ac:dyDescent="0.3">
      <c r="B3988" s="6">
        <f t="shared" si="623"/>
        <v>0</v>
      </c>
      <c r="C3988" s="6">
        <f t="shared" si="624"/>
        <v>0</v>
      </c>
      <c r="D3988" s="6" t="str">
        <f t="shared" si="625"/>
        <v/>
      </c>
      <c r="E3988" s="35" t="str">
        <f t="shared" si="622"/>
        <v/>
      </c>
      <c r="F3988" s="31"/>
      <c r="G3988" s="29"/>
      <c r="H3988" s="78" t="str">
        <f t="shared" si="626"/>
        <v/>
      </c>
      <c r="I3988" s="25"/>
      <c r="J3988" s="25"/>
      <c r="K3988" s="26"/>
      <c r="L3988" s="26"/>
      <c r="M3988" s="37"/>
      <c r="N3988" s="27"/>
      <c r="O3988" s="30"/>
      <c r="P3988" s="39" t="str">
        <f t="shared" si="627"/>
        <v/>
      </c>
      <c r="Q3988" s="40" t="str">
        <f>IF(OR(T3988=0,RIGHT(T3988,1)=$W$1),"",COUNTIF($T$3:T3988,T3988))</f>
        <v/>
      </c>
      <c r="S3988" s="6">
        <f t="shared" si="628"/>
        <v>0</v>
      </c>
      <c r="T3988" s="36">
        <f t="shared" si="629"/>
        <v>0</v>
      </c>
      <c r="V3988" s="6">
        <f t="shared" si="630"/>
        <v>0</v>
      </c>
      <c r="Y3988" s="8">
        <f t="shared" si="631"/>
        <v>46023</v>
      </c>
    </row>
    <row r="3989" spans="2:25" ht="18.75" x14ac:dyDescent="0.3">
      <c r="B3989" s="6">
        <f t="shared" si="623"/>
        <v>0</v>
      </c>
      <c r="C3989" s="6">
        <f t="shared" si="624"/>
        <v>0</v>
      </c>
      <c r="D3989" s="6" t="str">
        <f t="shared" si="625"/>
        <v/>
      </c>
      <c r="E3989" s="35" t="str">
        <f t="shared" si="622"/>
        <v/>
      </c>
      <c r="F3989" s="31"/>
      <c r="G3989" s="29"/>
      <c r="H3989" s="78" t="str">
        <f t="shared" si="626"/>
        <v/>
      </c>
      <c r="I3989" s="25"/>
      <c r="J3989" s="25"/>
      <c r="K3989" s="26"/>
      <c r="L3989" s="26"/>
      <c r="M3989" s="37"/>
      <c r="N3989" s="27"/>
      <c r="O3989" s="30"/>
      <c r="P3989" s="39" t="str">
        <f t="shared" si="627"/>
        <v/>
      </c>
      <c r="Q3989" s="40" t="str">
        <f>IF(OR(T3989=0,RIGHT(T3989,1)=$W$1),"",COUNTIF($T$3:T3989,T3989))</f>
        <v/>
      </c>
      <c r="S3989" s="6">
        <f t="shared" si="628"/>
        <v>0</v>
      </c>
      <c r="T3989" s="36">
        <f t="shared" si="629"/>
        <v>0</v>
      </c>
      <c r="V3989" s="6">
        <f t="shared" si="630"/>
        <v>0</v>
      </c>
      <c r="Y3989" s="8">
        <f t="shared" si="631"/>
        <v>46023</v>
      </c>
    </row>
    <row r="3990" spans="2:25" ht="18.75" x14ac:dyDescent="0.3">
      <c r="B3990" s="6">
        <f t="shared" si="623"/>
        <v>0</v>
      </c>
      <c r="C3990" s="6">
        <f t="shared" si="624"/>
        <v>0</v>
      </c>
      <c r="D3990" s="6" t="str">
        <f t="shared" si="625"/>
        <v/>
      </c>
      <c r="E3990" s="35" t="str">
        <f t="shared" si="622"/>
        <v/>
      </c>
      <c r="F3990" s="31"/>
      <c r="G3990" s="29"/>
      <c r="H3990" s="78" t="str">
        <f t="shared" si="626"/>
        <v/>
      </c>
      <c r="I3990" s="25"/>
      <c r="J3990" s="25"/>
      <c r="K3990" s="26"/>
      <c r="L3990" s="26"/>
      <c r="M3990" s="37"/>
      <c r="N3990" s="27"/>
      <c r="O3990" s="30"/>
      <c r="P3990" s="39" t="str">
        <f t="shared" si="627"/>
        <v/>
      </c>
      <c r="Q3990" s="40" t="str">
        <f>IF(OR(T3990=0,RIGHT(T3990,1)=$W$1),"",COUNTIF($T$3:T3990,T3990))</f>
        <v/>
      </c>
      <c r="S3990" s="6">
        <f t="shared" si="628"/>
        <v>0</v>
      </c>
      <c r="T3990" s="36">
        <f t="shared" si="629"/>
        <v>0</v>
      </c>
      <c r="V3990" s="6">
        <f t="shared" si="630"/>
        <v>0</v>
      </c>
      <c r="Y3990" s="8">
        <f t="shared" si="631"/>
        <v>46023</v>
      </c>
    </row>
    <row r="3991" spans="2:25" ht="18.75" x14ac:dyDescent="0.3">
      <c r="B3991" s="6">
        <f t="shared" si="623"/>
        <v>0</v>
      </c>
      <c r="C3991" s="6">
        <f t="shared" si="624"/>
        <v>0</v>
      </c>
      <c r="D3991" s="6" t="str">
        <f t="shared" si="625"/>
        <v/>
      </c>
      <c r="E3991" s="35" t="str">
        <f t="shared" si="622"/>
        <v/>
      </c>
      <c r="F3991" s="31"/>
      <c r="G3991" s="29"/>
      <c r="H3991" s="78" t="str">
        <f t="shared" si="626"/>
        <v/>
      </c>
      <c r="I3991" s="25"/>
      <c r="J3991" s="25"/>
      <c r="K3991" s="26"/>
      <c r="L3991" s="26"/>
      <c r="M3991" s="37"/>
      <c r="N3991" s="27"/>
      <c r="O3991" s="30"/>
      <c r="P3991" s="39" t="str">
        <f t="shared" si="627"/>
        <v/>
      </c>
      <c r="Q3991" s="40" t="str">
        <f>IF(OR(T3991=0,RIGHT(T3991,1)=$W$1),"",COUNTIF($T$3:T3991,T3991))</f>
        <v/>
      </c>
      <c r="S3991" s="6">
        <f t="shared" si="628"/>
        <v>0</v>
      </c>
      <c r="T3991" s="36">
        <f t="shared" si="629"/>
        <v>0</v>
      </c>
      <c r="V3991" s="6">
        <f t="shared" si="630"/>
        <v>0</v>
      </c>
      <c r="Y3991" s="8">
        <f t="shared" si="631"/>
        <v>46023</v>
      </c>
    </row>
    <row r="3992" spans="2:25" ht="18.75" x14ac:dyDescent="0.3">
      <c r="B3992" s="6">
        <f t="shared" si="623"/>
        <v>0</v>
      </c>
      <c r="C3992" s="6">
        <f t="shared" si="624"/>
        <v>0</v>
      </c>
      <c r="D3992" s="6" t="str">
        <f t="shared" si="625"/>
        <v/>
      </c>
      <c r="E3992" s="35" t="str">
        <f t="shared" si="622"/>
        <v/>
      </c>
      <c r="F3992" s="31"/>
      <c r="G3992" s="29"/>
      <c r="H3992" s="78" t="str">
        <f t="shared" si="626"/>
        <v/>
      </c>
      <c r="I3992" s="25"/>
      <c r="J3992" s="25"/>
      <c r="K3992" s="26"/>
      <c r="L3992" s="26"/>
      <c r="M3992" s="37"/>
      <c r="N3992" s="27"/>
      <c r="O3992" s="30"/>
      <c r="P3992" s="39" t="str">
        <f t="shared" si="627"/>
        <v/>
      </c>
      <c r="Q3992" s="40" t="str">
        <f>IF(OR(T3992=0,RIGHT(T3992,1)=$W$1),"",COUNTIF($T$3:T3992,T3992))</f>
        <v/>
      </c>
      <c r="S3992" s="6">
        <f t="shared" si="628"/>
        <v>0</v>
      </c>
      <c r="T3992" s="36">
        <f t="shared" si="629"/>
        <v>0</v>
      </c>
      <c r="V3992" s="6">
        <f t="shared" si="630"/>
        <v>0</v>
      </c>
      <c r="Y3992" s="8">
        <f t="shared" si="631"/>
        <v>46023</v>
      </c>
    </row>
    <row r="3993" spans="2:25" ht="18.75" x14ac:dyDescent="0.3">
      <c r="B3993" s="6">
        <f t="shared" si="623"/>
        <v>0</v>
      </c>
      <c r="C3993" s="6">
        <f t="shared" si="624"/>
        <v>0</v>
      </c>
      <c r="D3993" s="6" t="str">
        <f t="shared" si="625"/>
        <v/>
      </c>
      <c r="E3993" s="35" t="str">
        <f t="shared" si="622"/>
        <v/>
      </c>
      <c r="F3993" s="31"/>
      <c r="G3993" s="29"/>
      <c r="H3993" s="78" t="str">
        <f t="shared" si="626"/>
        <v/>
      </c>
      <c r="I3993" s="25"/>
      <c r="J3993" s="25"/>
      <c r="K3993" s="26"/>
      <c r="L3993" s="26"/>
      <c r="M3993" s="37"/>
      <c r="N3993" s="27"/>
      <c r="O3993" s="30"/>
      <c r="P3993" s="39" t="str">
        <f t="shared" si="627"/>
        <v/>
      </c>
      <c r="Q3993" s="40" t="str">
        <f>IF(OR(T3993=0,RIGHT(T3993,1)=$W$1),"",COUNTIF($T$3:T3993,T3993))</f>
        <v/>
      </c>
      <c r="S3993" s="6">
        <f t="shared" si="628"/>
        <v>0</v>
      </c>
      <c r="T3993" s="36">
        <f t="shared" si="629"/>
        <v>0</v>
      </c>
      <c r="V3993" s="6">
        <f t="shared" si="630"/>
        <v>0</v>
      </c>
      <c r="Y3993" s="8">
        <f t="shared" si="631"/>
        <v>46023</v>
      </c>
    </row>
    <row r="3994" spans="2:25" ht="18.75" x14ac:dyDescent="0.3">
      <c r="B3994" s="6">
        <f t="shared" si="623"/>
        <v>0</v>
      </c>
      <c r="C3994" s="6">
        <f t="shared" si="624"/>
        <v>0</v>
      </c>
      <c r="D3994" s="6" t="str">
        <f t="shared" si="625"/>
        <v/>
      </c>
      <c r="E3994" s="35" t="str">
        <f t="shared" si="622"/>
        <v/>
      </c>
      <c r="F3994" s="31"/>
      <c r="G3994" s="29"/>
      <c r="H3994" s="78" t="str">
        <f t="shared" si="626"/>
        <v/>
      </c>
      <c r="I3994" s="25"/>
      <c r="J3994" s="25"/>
      <c r="K3994" s="26"/>
      <c r="L3994" s="26"/>
      <c r="M3994" s="37"/>
      <c r="N3994" s="27"/>
      <c r="O3994" s="30"/>
      <c r="P3994" s="39" t="str">
        <f t="shared" si="627"/>
        <v/>
      </c>
      <c r="Q3994" s="40" t="str">
        <f>IF(OR(T3994=0,RIGHT(T3994,1)=$W$1),"",COUNTIF($T$3:T3994,T3994))</f>
        <v/>
      </c>
      <c r="S3994" s="6">
        <f t="shared" si="628"/>
        <v>0</v>
      </c>
      <c r="T3994" s="36">
        <f t="shared" si="629"/>
        <v>0</v>
      </c>
      <c r="V3994" s="6">
        <f t="shared" si="630"/>
        <v>0</v>
      </c>
      <c r="Y3994" s="8">
        <f t="shared" si="631"/>
        <v>46023</v>
      </c>
    </row>
    <row r="3995" spans="2:25" ht="18.75" x14ac:dyDescent="0.3">
      <c r="B3995" s="6">
        <f t="shared" si="623"/>
        <v>0</v>
      </c>
      <c r="C3995" s="6">
        <f t="shared" si="624"/>
        <v>0</v>
      </c>
      <c r="D3995" s="6" t="str">
        <f t="shared" si="625"/>
        <v/>
      </c>
      <c r="E3995" s="35" t="str">
        <f t="shared" si="622"/>
        <v/>
      </c>
      <c r="F3995" s="31"/>
      <c r="G3995" s="29"/>
      <c r="H3995" s="78" t="str">
        <f t="shared" si="626"/>
        <v/>
      </c>
      <c r="I3995" s="25"/>
      <c r="J3995" s="25"/>
      <c r="K3995" s="26"/>
      <c r="L3995" s="26"/>
      <c r="M3995" s="37"/>
      <c r="N3995" s="27"/>
      <c r="O3995" s="30"/>
      <c r="P3995" s="39" t="str">
        <f t="shared" si="627"/>
        <v/>
      </c>
      <c r="Q3995" s="40" t="str">
        <f>IF(OR(T3995=0,RIGHT(T3995,1)=$W$1),"",COUNTIF($T$3:T3995,T3995))</f>
        <v/>
      </c>
      <c r="S3995" s="6">
        <f t="shared" si="628"/>
        <v>0</v>
      </c>
      <c r="T3995" s="36">
        <f t="shared" si="629"/>
        <v>0</v>
      </c>
      <c r="V3995" s="6">
        <f t="shared" si="630"/>
        <v>0</v>
      </c>
      <c r="Y3995" s="8">
        <f t="shared" si="631"/>
        <v>46023</v>
      </c>
    </row>
    <row r="3996" spans="2:25" ht="18.75" x14ac:dyDescent="0.3">
      <c r="B3996" s="6">
        <f t="shared" si="623"/>
        <v>0</v>
      </c>
      <c r="C3996" s="6">
        <f t="shared" si="624"/>
        <v>0</v>
      </c>
      <c r="D3996" s="6" t="str">
        <f t="shared" si="625"/>
        <v/>
      </c>
      <c r="E3996" s="35" t="str">
        <f t="shared" si="622"/>
        <v/>
      </c>
      <c r="F3996" s="31"/>
      <c r="G3996" s="29"/>
      <c r="H3996" s="78" t="str">
        <f t="shared" si="626"/>
        <v/>
      </c>
      <c r="I3996" s="25"/>
      <c r="J3996" s="25"/>
      <c r="K3996" s="26"/>
      <c r="L3996" s="26"/>
      <c r="M3996" s="37"/>
      <c r="N3996" s="27"/>
      <c r="O3996" s="30"/>
      <c r="P3996" s="39" t="str">
        <f t="shared" si="627"/>
        <v/>
      </c>
      <c r="Q3996" s="40" t="str">
        <f>IF(OR(T3996=0,RIGHT(T3996,1)=$W$1),"",COUNTIF($T$3:T3996,T3996))</f>
        <v/>
      </c>
      <c r="S3996" s="6">
        <f t="shared" si="628"/>
        <v>0</v>
      </c>
      <c r="T3996" s="36">
        <f t="shared" si="629"/>
        <v>0</v>
      </c>
      <c r="V3996" s="6">
        <f t="shared" si="630"/>
        <v>0</v>
      </c>
      <c r="Y3996" s="8">
        <f t="shared" si="631"/>
        <v>46023</v>
      </c>
    </row>
    <row r="3997" spans="2:25" ht="18.75" x14ac:dyDescent="0.3">
      <c r="B3997" s="6">
        <f t="shared" si="623"/>
        <v>0</v>
      </c>
      <c r="C3997" s="6">
        <f t="shared" si="624"/>
        <v>0</v>
      </c>
      <c r="D3997" s="6" t="str">
        <f t="shared" si="625"/>
        <v/>
      </c>
      <c r="E3997" s="35" t="str">
        <f t="shared" si="622"/>
        <v/>
      </c>
      <c r="F3997" s="31"/>
      <c r="G3997" s="29"/>
      <c r="H3997" s="78" t="str">
        <f t="shared" si="626"/>
        <v/>
      </c>
      <c r="I3997" s="25"/>
      <c r="J3997" s="25"/>
      <c r="K3997" s="26"/>
      <c r="L3997" s="26"/>
      <c r="M3997" s="37"/>
      <c r="N3997" s="27"/>
      <c r="O3997" s="30"/>
      <c r="P3997" s="39" t="str">
        <f t="shared" si="627"/>
        <v/>
      </c>
      <c r="Q3997" s="40" t="str">
        <f>IF(OR(T3997=0,RIGHT(T3997,1)=$W$1),"",COUNTIF($T$3:T3997,T3997))</f>
        <v/>
      </c>
      <c r="S3997" s="6">
        <f t="shared" si="628"/>
        <v>0</v>
      </c>
      <c r="T3997" s="36">
        <f t="shared" si="629"/>
        <v>0</v>
      </c>
      <c r="V3997" s="6">
        <f t="shared" si="630"/>
        <v>0</v>
      </c>
      <c r="Y3997" s="8">
        <f t="shared" si="631"/>
        <v>46023</v>
      </c>
    </row>
    <row r="3998" spans="2:25" ht="18.75" x14ac:dyDescent="0.3">
      <c r="B3998" s="6">
        <f t="shared" si="623"/>
        <v>0</v>
      </c>
      <c r="C3998" s="6">
        <f t="shared" si="624"/>
        <v>0</v>
      </c>
      <c r="D3998" s="6" t="str">
        <f t="shared" si="625"/>
        <v/>
      </c>
      <c r="E3998" s="35" t="str">
        <f t="shared" si="622"/>
        <v/>
      </c>
      <c r="F3998" s="31"/>
      <c r="G3998" s="29"/>
      <c r="H3998" s="78" t="str">
        <f t="shared" si="626"/>
        <v/>
      </c>
      <c r="I3998" s="25"/>
      <c r="J3998" s="25"/>
      <c r="K3998" s="26"/>
      <c r="L3998" s="26"/>
      <c r="M3998" s="37"/>
      <c r="N3998" s="27"/>
      <c r="O3998" s="30"/>
      <c r="P3998" s="39" t="str">
        <f t="shared" si="627"/>
        <v/>
      </c>
      <c r="Q3998" s="40" t="str">
        <f>IF(OR(T3998=0,RIGHT(T3998,1)=$W$1),"",COUNTIF($T$3:T3998,T3998))</f>
        <v/>
      </c>
      <c r="S3998" s="6">
        <f t="shared" si="628"/>
        <v>0</v>
      </c>
      <c r="T3998" s="36">
        <f t="shared" si="629"/>
        <v>0</v>
      </c>
      <c r="V3998" s="6">
        <f t="shared" si="630"/>
        <v>0</v>
      </c>
      <c r="Y3998" s="8">
        <f t="shared" si="631"/>
        <v>46023</v>
      </c>
    </row>
    <row r="3999" spans="2:25" ht="18.75" x14ac:dyDescent="0.3">
      <c r="B3999" s="6">
        <f t="shared" si="623"/>
        <v>0</v>
      </c>
      <c r="C3999" s="6">
        <f t="shared" si="624"/>
        <v>0</v>
      </c>
      <c r="D3999" s="6" t="str">
        <f t="shared" si="625"/>
        <v/>
      </c>
      <c r="E3999" s="35" t="str">
        <f t="shared" si="622"/>
        <v/>
      </c>
      <c r="F3999" s="31"/>
      <c r="G3999" s="29"/>
      <c r="H3999" s="78" t="str">
        <f t="shared" si="626"/>
        <v/>
      </c>
      <c r="I3999" s="25"/>
      <c r="J3999" s="25"/>
      <c r="K3999" s="26"/>
      <c r="L3999" s="26"/>
      <c r="M3999" s="37"/>
      <c r="N3999" s="27"/>
      <c r="O3999" s="30"/>
      <c r="P3999" s="39" t="str">
        <f t="shared" si="627"/>
        <v/>
      </c>
      <c r="Q3999" s="40" t="str">
        <f>IF(OR(T3999=0,RIGHT(T3999,1)=$W$1),"",COUNTIF($T$3:T3999,T3999))</f>
        <v/>
      </c>
      <c r="S3999" s="6">
        <f t="shared" si="628"/>
        <v>0</v>
      </c>
      <c r="T3999" s="36">
        <f t="shared" si="629"/>
        <v>0</v>
      </c>
      <c r="V3999" s="6">
        <f t="shared" si="630"/>
        <v>0</v>
      </c>
      <c r="Y3999" s="8">
        <f t="shared" si="631"/>
        <v>46023</v>
      </c>
    </row>
    <row r="4000" spans="2:25" ht="18.75" x14ac:dyDescent="0.3">
      <c r="B4000" s="6">
        <f t="shared" si="623"/>
        <v>0</v>
      </c>
      <c r="C4000" s="6">
        <f t="shared" si="624"/>
        <v>0</v>
      </c>
      <c r="D4000" s="6" t="str">
        <f t="shared" si="625"/>
        <v/>
      </c>
      <c r="E4000" s="35" t="str">
        <f t="shared" si="622"/>
        <v/>
      </c>
      <c r="F4000" s="31"/>
      <c r="G4000" s="29"/>
      <c r="H4000" s="78" t="str">
        <f t="shared" si="626"/>
        <v/>
      </c>
      <c r="I4000" s="25"/>
      <c r="J4000" s="25"/>
      <c r="K4000" s="26"/>
      <c r="L4000" s="26"/>
      <c r="M4000" s="37"/>
      <c r="N4000" s="27"/>
      <c r="O4000" s="30"/>
      <c r="P4000" s="39" t="str">
        <f t="shared" si="627"/>
        <v/>
      </c>
      <c r="Q4000" s="40" t="str">
        <f>IF(OR(T4000=0,RIGHT(T4000,1)=$W$1),"",COUNTIF($T$3:T4000,T4000))</f>
        <v/>
      </c>
      <c r="S4000" s="6">
        <f t="shared" si="628"/>
        <v>0</v>
      </c>
      <c r="T4000" s="36">
        <f t="shared" si="629"/>
        <v>0</v>
      </c>
      <c r="V4000" s="6">
        <f t="shared" si="630"/>
        <v>0</v>
      </c>
      <c r="Y4000" s="8">
        <f t="shared" si="631"/>
        <v>46023</v>
      </c>
    </row>
    <row r="4001" spans="2:25" ht="18.75" x14ac:dyDescent="0.3">
      <c r="B4001" s="6">
        <f t="shared" si="623"/>
        <v>0</v>
      </c>
      <c r="C4001" s="6">
        <f t="shared" si="624"/>
        <v>0</v>
      </c>
      <c r="D4001" s="6" t="str">
        <f t="shared" si="625"/>
        <v/>
      </c>
      <c r="E4001" s="35" t="str">
        <f t="shared" si="622"/>
        <v/>
      </c>
      <c r="F4001" s="31"/>
      <c r="G4001" s="29"/>
      <c r="H4001" s="78" t="str">
        <f t="shared" si="626"/>
        <v/>
      </c>
      <c r="I4001" s="25"/>
      <c r="J4001" s="25"/>
      <c r="K4001" s="26"/>
      <c r="L4001" s="26"/>
      <c r="M4001" s="37"/>
      <c r="N4001" s="27"/>
      <c r="O4001" s="30"/>
      <c r="P4001" s="39" t="str">
        <f t="shared" si="627"/>
        <v/>
      </c>
      <c r="Q4001" s="40" t="str">
        <f>IF(OR(T4001=0,RIGHT(T4001,1)=$W$1),"",COUNTIF($T$3:T4001,T4001))</f>
        <v/>
      </c>
      <c r="S4001" s="6">
        <f t="shared" si="628"/>
        <v>0</v>
      </c>
      <c r="T4001" s="36">
        <f t="shared" si="629"/>
        <v>0</v>
      </c>
      <c r="V4001" s="6">
        <f t="shared" si="630"/>
        <v>0</v>
      </c>
      <c r="Y4001" s="8">
        <f t="shared" si="631"/>
        <v>46023</v>
      </c>
    </row>
    <row r="4002" spans="2:25" ht="18.75" x14ac:dyDescent="0.3">
      <c r="B4002" s="6">
        <f t="shared" si="623"/>
        <v>0</v>
      </c>
      <c r="C4002" s="6">
        <f t="shared" si="624"/>
        <v>0</v>
      </c>
      <c r="D4002" s="6" t="str">
        <f t="shared" si="625"/>
        <v/>
      </c>
      <c r="E4002" s="35" t="str">
        <f t="shared" si="622"/>
        <v/>
      </c>
      <c r="F4002" s="31"/>
      <c r="G4002" s="29"/>
      <c r="H4002" s="78" t="str">
        <f t="shared" si="626"/>
        <v/>
      </c>
      <c r="I4002" s="25"/>
      <c r="J4002" s="25"/>
      <c r="K4002" s="26"/>
      <c r="L4002" s="26"/>
      <c r="M4002" s="37"/>
      <c r="N4002" s="27"/>
      <c r="O4002" s="30"/>
      <c r="P4002" s="39" t="str">
        <f t="shared" si="627"/>
        <v/>
      </c>
      <c r="Q4002" s="40" t="str">
        <f>IF(OR(T4002=0,RIGHT(T4002,1)=$W$1),"",COUNTIF($T$3:T4002,T4002))</f>
        <v/>
      </c>
      <c r="S4002" s="6">
        <f t="shared" si="628"/>
        <v>0</v>
      </c>
      <c r="T4002" s="36">
        <f t="shared" si="629"/>
        <v>0</v>
      </c>
      <c r="V4002" s="6">
        <f t="shared" si="630"/>
        <v>0</v>
      </c>
      <c r="Y4002" s="8">
        <f t="shared" si="631"/>
        <v>46023</v>
      </c>
    </row>
    <row r="4003" spans="2:25" ht="18.75" x14ac:dyDescent="0.3">
      <c r="B4003" s="6">
        <f t="shared" si="623"/>
        <v>0</v>
      </c>
      <c r="C4003" s="6">
        <f t="shared" si="624"/>
        <v>0</v>
      </c>
      <c r="D4003" s="6" t="str">
        <f t="shared" si="625"/>
        <v/>
      </c>
      <c r="E4003" s="35" t="str">
        <f t="shared" si="622"/>
        <v/>
      </c>
      <c r="F4003" s="31"/>
      <c r="G4003" s="29"/>
      <c r="H4003" s="78" t="str">
        <f t="shared" si="626"/>
        <v/>
      </c>
      <c r="I4003" s="25"/>
      <c r="J4003" s="25"/>
      <c r="K4003" s="26"/>
      <c r="L4003" s="26"/>
      <c r="M4003" s="37"/>
      <c r="N4003" s="27"/>
      <c r="O4003" s="30"/>
      <c r="P4003" s="39" t="str">
        <f t="shared" si="627"/>
        <v/>
      </c>
      <c r="Q4003" s="40" t="str">
        <f>IF(OR(T4003=0,RIGHT(T4003,1)=$W$1),"",COUNTIF($T$3:T4003,T4003))</f>
        <v/>
      </c>
      <c r="S4003" s="6">
        <f t="shared" si="628"/>
        <v>0</v>
      </c>
      <c r="T4003" s="36">
        <f t="shared" si="629"/>
        <v>0</v>
      </c>
      <c r="V4003" s="6">
        <f t="shared" si="630"/>
        <v>0</v>
      </c>
      <c r="Y4003" s="8">
        <f t="shared" si="631"/>
        <v>46023</v>
      </c>
    </row>
    <row r="4004" spans="2:25" ht="18.75" x14ac:dyDescent="0.3">
      <c r="B4004" s="6">
        <f t="shared" si="623"/>
        <v>0</v>
      </c>
      <c r="C4004" s="6">
        <f t="shared" si="624"/>
        <v>0</v>
      </c>
      <c r="D4004" s="6" t="str">
        <f t="shared" si="625"/>
        <v/>
      </c>
      <c r="E4004" s="35" t="str">
        <f t="shared" si="622"/>
        <v/>
      </c>
      <c r="F4004" s="31"/>
      <c r="G4004" s="29"/>
      <c r="H4004" s="78" t="str">
        <f t="shared" si="626"/>
        <v/>
      </c>
      <c r="I4004" s="25"/>
      <c r="J4004" s="25"/>
      <c r="K4004" s="26"/>
      <c r="L4004" s="26"/>
      <c r="M4004" s="37"/>
      <c r="N4004" s="27"/>
      <c r="O4004" s="30"/>
      <c r="P4004" s="39" t="str">
        <f t="shared" si="627"/>
        <v/>
      </c>
      <c r="Q4004" s="40" t="str">
        <f>IF(OR(T4004=0,RIGHT(T4004,1)=$W$1),"",COUNTIF($T$3:T4004,T4004))</f>
        <v/>
      </c>
      <c r="S4004" s="6">
        <f t="shared" si="628"/>
        <v>0</v>
      </c>
      <c r="T4004" s="36">
        <f t="shared" si="629"/>
        <v>0</v>
      </c>
      <c r="V4004" s="6">
        <f t="shared" si="630"/>
        <v>0</v>
      </c>
      <c r="Y4004" s="8">
        <f t="shared" si="631"/>
        <v>46023</v>
      </c>
    </row>
    <row r="4005" spans="2:25" ht="18.75" x14ac:dyDescent="0.3">
      <c r="B4005" s="6">
        <f t="shared" si="623"/>
        <v>0</v>
      </c>
      <c r="C4005" s="6">
        <f t="shared" si="624"/>
        <v>0</v>
      </c>
      <c r="D4005" s="6" t="str">
        <f t="shared" si="625"/>
        <v/>
      </c>
      <c r="E4005" s="35" t="str">
        <f t="shared" si="622"/>
        <v/>
      </c>
      <c r="F4005" s="31"/>
      <c r="G4005" s="29"/>
      <c r="H4005" s="78" t="str">
        <f t="shared" si="626"/>
        <v/>
      </c>
      <c r="I4005" s="25"/>
      <c r="J4005" s="25"/>
      <c r="K4005" s="26"/>
      <c r="L4005" s="26"/>
      <c r="M4005" s="37"/>
      <c r="N4005" s="27"/>
      <c r="O4005" s="30"/>
      <c r="P4005" s="39" t="str">
        <f t="shared" si="627"/>
        <v/>
      </c>
      <c r="Q4005" s="40" t="str">
        <f>IF(OR(T4005=0,RIGHT(T4005,1)=$W$1),"",COUNTIF($T$3:T4005,T4005))</f>
        <v/>
      </c>
      <c r="S4005" s="6">
        <f t="shared" si="628"/>
        <v>0</v>
      </c>
      <c r="T4005" s="36">
        <f t="shared" si="629"/>
        <v>0</v>
      </c>
      <c r="V4005" s="6">
        <f t="shared" si="630"/>
        <v>0</v>
      </c>
      <c r="Y4005" s="8">
        <f t="shared" si="631"/>
        <v>46023</v>
      </c>
    </row>
    <row r="4006" spans="2:25" ht="18.75" x14ac:dyDescent="0.3">
      <c r="B4006" s="6">
        <f t="shared" si="623"/>
        <v>0</v>
      </c>
      <c r="C4006" s="6">
        <f t="shared" si="624"/>
        <v>0</v>
      </c>
      <c r="D4006" s="6" t="str">
        <f t="shared" si="625"/>
        <v/>
      </c>
      <c r="E4006" s="35" t="str">
        <f t="shared" si="622"/>
        <v/>
      </c>
      <c r="F4006" s="31"/>
      <c r="G4006" s="29"/>
      <c r="H4006" s="78" t="str">
        <f t="shared" si="626"/>
        <v/>
      </c>
      <c r="I4006" s="25"/>
      <c r="J4006" s="25"/>
      <c r="K4006" s="26"/>
      <c r="L4006" s="26"/>
      <c r="M4006" s="37"/>
      <c r="N4006" s="27"/>
      <c r="O4006" s="30"/>
      <c r="P4006" s="39" t="str">
        <f t="shared" si="627"/>
        <v/>
      </c>
      <c r="Q4006" s="40" t="str">
        <f>IF(OR(T4006=0,RIGHT(T4006,1)=$W$1),"",COUNTIF($T$3:T4006,T4006))</f>
        <v/>
      </c>
      <c r="S4006" s="6">
        <f t="shared" si="628"/>
        <v>0</v>
      </c>
      <c r="T4006" s="36">
        <f t="shared" si="629"/>
        <v>0</v>
      </c>
      <c r="V4006" s="6">
        <f t="shared" si="630"/>
        <v>0</v>
      </c>
      <c r="Y4006" s="8">
        <f t="shared" si="631"/>
        <v>46023</v>
      </c>
    </row>
    <row r="4007" spans="2:25" ht="18.75" x14ac:dyDescent="0.3">
      <c r="B4007" s="6">
        <f t="shared" si="623"/>
        <v>0</v>
      </c>
      <c r="C4007" s="6">
        <f t="shared" si="624"/>
        <v>0</v>
      </c>
      <c r="D4007" s="6" t="str">
        <f t="shared" si="625"/>
        <v/>
      </c>
      <c r="E4007" s="35" t="str">
        <f t="shared" si="622"/>
        <v/>
      </c>
      <c r="F4007" s="31"/>
      <c r="G4007" s="29"/>
      <c r="H4007" s="78" t="str">
        <f t="shared" si="626"/>
        <v/>
      </c>
      <c r="I4007" s="25"/>
      <c r="J4007" s="25"/>
      <c r="K4007" s="26"/>
      <c r="L4007" s="26"/>
      <c r="M4007" s="37"/>
      <c r="N4007" s="27"/>
      <c r="O4007" s="30"/>
      <c r="P4007" s="39" t="str">
        <f t="shared" si="627"/>
        <v/>
      </c>
      <c r="Q4007" s="40" t="str">
        <f>IF(OR(T4007=0,RIGHT(T4007,1)=$W$1),"",COUNTIF($T$3:T4007,T4007))</f>
        <v/>
      </c>
      <c r="S4007" s="6">
        <f t="shared" si="628"/>
        <v>0</v>
      </c>
      <c r="T4007" s="36">
        <f t="shared" si="629"/>
        <v>0</v>
      </c>
      <c r="V4007" s="6">
        <f t="shared" si="630"/>
        <v>0</v>
      </c>
      <c r="Y4007" s="8">
        <f t="shared" si="631"/>
        <v>46023</v>
      </c>
    </row>
    <row r="4008" spans="2:25" ht="18.75" x14ac:dyDescent="0.3">
      <c r="B4008" s="6">
        <f t="shared" si="623"/>
        <v>0</v>
      </c>
      <c r="C4008" s="6">
        <f t="shared" si="624"/>
        <v>0</v>
      </c>
      <c r="D4008" s="6" t="str">
        <f t="shared" si="625"/>
        <v/>
      </c>
      <c r="E4008" s="35" t="str">
        <f t="shared" si="622"/>
        <v/>
      </c>
      <c r="F4008" s="31"/>
      <c r="G4008" s="29"/>
      <c r="H4008" s="78" t="str">
        <f t="shared" si="626"/>
        <v/>
      </c>
      <c r="I4008" s="25"/>
      <c r="J4008" s="25"/>
      <c r="K4008" s="26"/>
      <c r="L4008" s="26"/>
      <c r="M4008" s="37"/>
      <c r="N4008" s="27"/>
      <c r="O4008" s="30"/>
      <c r="P4008" s="39" t="str">
        <f t="shared" si="627"/>
        <v/>
      </c>
      <c r="Q4008" s="40" t="str">
        <f>IF(OR(T4008=0,RIGHT(T4008,1)=$W$1),"",COUNTIF($T$3:T4008,T4008))</f>
        <v/>
      </c>
      <c r="S4008" s="6">
        <f t="shared" si="628"/>
        <v>0</v>
      </c>
      <c r="T4008" s="36">
        <f t="shared" si="629"/>
        <v>0</v>
      </c>
      <c r="V4008" s="6">
        <f t="shared" si="630"/>
        <v>0</v>
      </c>
      <c r="Y4008" s="8">
        <f t="shared" si="631"/>
        <v>46023</v>
      </c>
    </row>
    <row r="4009" spans="2:25" ht="18.75" x14ac:dyDescent="0.3">
      <c r="B4009" s="6">
        <f t="shared" si="623"/>
        <v>0</v>
      </c>
      <c r="C4009" s="6">
        <f t="shared" si="624"/>
        <v>0</v>
      </c>
      <c r="D4009" s="6" t="str">
        <f t="shared" si="625"/>
        <v/>
      </c>
      <c r="E4009" s="35" t="str">
        <f t="shared" si="622"/>
        <v/>
      </c>
      <c r="F4009" s="31"/>
      <c r="G4009" s="29"/>
      <c r="H4009" s="78" t="str">
        <f t="shared" si="626"/>
        <v/>
      </c>
      <c r="I4009" s="25"/>
      <c r="J4009" s="25"/>
      <c r="K4009" s="26"/>
      <c r="L4009" s="26"/>
      <c r="M4009" s="37"/>
      <c r="N4009" s="27"/>
      <c r="O4009" s="30"/>
      <c r="P4009" s="39" t="str">
        <f t="shared" si="627"/>
        <v/>
      </c>
      <c r="Q4009" s="40" t="str">
        <f>IF(OR(T4009=0,RIGHT(T4009,1)=$W$1),"",COUNTIF($T$3:T4009,T4009))</f>
        <v/>
      </c>
      <c r="S4009" s="6">
        <f t="shared" si="628"/>
        <v>0</v>
      </c>
      <c r="T4009" s="36">
        <f t="shared" si="629"/>
        <v>0</v>
      </c>
      <c r="V4009" s="6">
        <f t="shared" si="630"/>
        <v>0</v>
      </c>
      <c r="Y4009" s="8">
        <f t="shared" si="631"/>
        <v>46023</v>
      </c>
    </row>
    <row r="4010" spans="2:25" ht="18.75" x14ac:dyDescent="0.3">
      <c r="B4010" s="6">
        <f t="shared" si="623"/>
        <v>0</v>
      </c>
      <c r="C4010" s="6">
        <f t="shared" si="624"/>
        <v>0</v>
      </c>
      <c r="D4010" s="6" t="str">
        <f t="shared" si="625"/>
        <v/>
      </c>
      <c r="E4010" s="35" t="str">
        <f t="shared" si="622"/>
        <v/>
      </c>
      <c r="F4010" s="31"/>
      <c r="G4010" s="29"/>
      <c r="H4010" s="78" t="str">
        <f t="shared" si="626"/>
        <v/>
      </c>
      <c r="I4010" s="25"/>
      <c r="J4010" s="25"/>
      <c r="K4010" s="26"/>
      <c r="L4010" s="26"/>
      <c r="M4010" s="37"/>
      <c r="N4010" s="27"/>
      <c r="O4010" s="30"/>
      <c r="P4010" s="39" t="str">
        <f t="shared" si="627"/>
        <v/>
      </c>
      <c r="Q4010" s="40" t="str">
        <f>IF(OR(T4010=0,RIGHT(T4010,1)=$W$1),"",COUNTIF($T$3:T4010,T4010))</f>
        <v/>
      </c>
      <c r="S4010" s="6">
        <f t="shared" si="628"/>
        <v>0</v>
      </c>
      <c r="T4010" s="36">
        <f t="shared" si="629"/>
        <v>0</v>
      </c>
      <c r="V4010" s="6">
        <f t="shared" si="630"/>
        <v>0</v>
      </c>
      <c r="Y4010" s="8">
        <f t="shared" si="631"/>
        <v>46023</v>
      </c>
    </row>
    <row r="4011" spans="2:25" ht="18.75" x14ac:dyDescent="0.3">
      <c r="B4011" s="6">
        <f t="shared" si="623"/>
        <v>0</v>
      </c>
      <c r="C4011" s="6">
        <f t="shared" si="624"/>
        <v>0</v>
      </c>
      <c r="D4011" s="6" t="str">
        <f t="shared" si="625"/>
        <v/>
      </c>
      <c r="E4011" s="35" t="str">
        <f t="shared" si="622"/>
        <v/>
      </c>
      <c r="F4011" s="31"/>
      <c r="G4011" s="29"/>
      <c r="H4011" s="78" t="str">
        <f t="shared" si="626"/>
        <v/>
      </c>
      <c r="I4011" s="25"/>
      <c r="J4011" s="25"/>
      <c r="K4011" s="26"/>
      <c r="L4011" s="26"/>
      <c r="M4011" s="37"/>
      <c r="N4011" s="27"/>
      <c r="O4011" s="30"/>
      <c r="P4011" s="39" t="str">
        <f t="shared" si="627"/>
        <v/>
      </c>
      <c r="Q4011" s="40" t="str">
        <f>IF(OR(T4011=0,RIGHT(T4011,1)=$W$1),"",COUNTIF($T$3:T4011,T4011))</f>
        <v/>
      </c>
      <c r="S4011" s="6">
        <f t="shared" si="628"/>
        <v>0</v>
      </c>
      <c r="T4011" s="36">
        <f t="shared" si="629"/>
        <v>0</v>
      </c>
      <c r="V4011" s="6">
        <f t="shared" si="630"/>
        <v>0</v>
      </c>
      <c r="Y4011" s="8">
        <f t="shared" si="631"/>
        <v>46023</v>
      </c>
    </row>
    <row r="4012" spans="2:25" ht="18.75" x14ac:dyDescent="0.3">
      <c r="B4012" s="6">
        <f t="shared" si="623"/>
        <v>0</v>
      </c>
      <c r="C4012" s="6">
        <f t="shared" si="624"/>
        <v>0</v>
      </c>
      <c r="D4012" s="6" t="str">
        <f t="shared" si="625"/>
        <v/>
      </c>
      <c r="E4012" s="35" t="str">
        <f t="shared" si="622"/>
        <v/>
      </c>
      <c r="F4012" s="31"/>
      <c r="G4012" s="29"/>
      <c r="H4012" s="78" t="str">
        <f t="shared" si="626"/>
        <v/>
      </c>
      <c r="I4012" s="25"/>
      <c r="J4012" s="25"/>
      <c r="K4012" s="26"/>
      <c r="L4012" s="26"/>
      <c r="M4012" s="37"/>
      <c r="N4012" s="27"/>
      <c r="O4012" s="30"/>
      <c r="P4012" s="39" t="str">
        <f t="shared" si="627"/>
        <v/>
      </c>
      <c r="Q4012" s="40" t="str">
        <f>IF(OR(T4012=0,RIGHT(T4012,1)=$W$1),"",COUNTIF($T$3:T4012,T4012))</f>
        <v/>
      </c>
      <c r="S4012" s="6">
        <f t="shared" si="628"/>
        <v>0</v>
      </c>
      <c r="T4012" s="36">
        <f t="shared" si="629"/>
        <v>0</v>
      </c>
      <c r="V4012" s="6">
        <f t="shared" si="630"/>
        <v>0</v>
      </c>
      <c r="Y4012" s="8">
        <f t="shared" si="631"/>
        <v>46023</v>
      </c>
    </row>
    <row r="4013" spans="2:25" ht="18.75" x14ac:dyDescent="0.3">
      <c r="B4013" s="6">
        <f t="shared" si="623"/>
        <v>0</v>
      </c>
      <c r="C4013" s="6">
        <f t="shared" si="624"/>
        <v>0</v>
      </c>
      <c r="D4013" s="6" t="str">
        <f t="shared" si="625"/>
        <v/>
      </c>
      <c r="E4013" s="35" t="str">
        <f t="shared" si="622"/>
        <v/>
      </c>
      <c r="F4013" s="31"/>
      <c r="G4013" s="29"/>
      <c r="H4013" s="78" t="str">
        <f t="shared" si="626"/>
        <v/>
      </c>
      <c r="I4013" s="25"/>
      <c r="J4013" s="25"/>
      <c r="K4013" s="26"/>
      <c r="L4013" s="26"/>
      <c r="M4013" s="37"/>
      <c r="N4013" s="27"/>
      <c r="O4013" s="30"/>
      <c r="P4013" s="39" t="str">
        <f t="shared" si="627"/>
        <v/>
      </c>
      <c r="Q4013" s="40" t="str">
        <f>IF(OR(T4013=0,RIGHT(T4013,1)=$W$1),"",COUNTIF($T$3:T4013,T4013))</f>
        <v/>
      </c>
      <c r="S4013" s="6">
        <f t="shared" si="628"/>
        <v>0</v>
      </c>
      <c r="T4013" s="36">
        <f t="shared" si="629"/>
        <v>0</v>
      </c>
      <c r="V4013" s="6">
        <f t="shared" si="630"/>
        <v>0</v>
      </c>
      <c r="Y4013" s="8">
        <f t="shared" si="631"/>
        <v>46023</v>
      </c>
    </row>
    <row r="4014" spans="2:25" ht="18.75" x14ac:dyDescent="0.3">
      <c r="B4014" s="6">
        <f t="shared" si="623"/>
        <v>0</v>
      </c>
      <c r="C4014" s="6">
        <f t="shared" si="624"/>
        <v>0</v>
      </c>
      <c r="D4014" s="6" t="str">
        <f t="shared" si="625"/>
        <v/>
      </c>
      <c r="E4014" s="35" t="str">
        <f t="shared" si="622"/>
        <v/>
      </c>
      <c r="F4014" s="31"/>
      <c r="G4014" s="29"/>
      <c r="H4014" s="78" t="str">
        <f t="shared" si="626"/>
        <v/>
      </c>
      <c r="I4014" s="25"/>
      <c r="J4014" s="25"/>
      <c r="K4014" s="26"/>
      <c r="L4014" s="26"/>
      <c r="M4014" s="37"/>
      <c r="N4014" s="27"/>
      <c r="O4014" s="30"/>
      <c r="P4014" s="39" t="str">
        <f t="shared" si="627"/>
        <v/>
      </c>
      <c r="Q4014" s="40" t="str">
        <f>IF(OR(T4014=0,RIGHT(T4014,1)=$W$1),"",COUNTIF($T$3:T4014,T4014))</f>
        <v/>
      </c>
      <c r="S4014" s="6">
        <f t="shared" si="628"/>
        <v>0</v>
      </c>
      <c r="T4014" s="36">
        <f t="shared" si="629"/>
        <v>0</v>
      </c>
      <c r="V4014" s="6">
        <f t="shared" si="630"/>
        <v>0</v>
      </c>
      <c r="Y4014" s="8">
        <f t="shared" si="631"/>
        <v>46023</v>
      </c>
    </row>
    <row r="4015" spans="2:25" ht="18.75" x14ac:dyDescent="0.3">
      <c r="B4015" s="6">
        <f t="shared" si="623"/>
        <v>0</v>
      </c>
      <c r="C4015" s="6">
        <f t="shared" si="624"/>
        <v>0</v>
      </c>
      <c r="D4015" s="6" t="str">
        <f t="shared" si="625"/>
        <v/>
      </c>
      <c r="E4015" s="35" t="str">
        <f t="shared" si="622"/>
        <v/>
      </c>
      <c r="F4015" s="31"/>
      <c r="G4015" s="29"/>
      <c r="H4015" s="78" t="str">
        <f t="shared" si="626"/>
        <v/>
      </c>
      <c r="I4015" s="25"/>
      <c r="J4015" s="25"/>
      <c r="K4015" s="26"/>
      <c r="L4015" s="26"/>
      <c r="M4015" s="37"/>
      <c r="N4015" s="27"/>
      <c r="O4015" s="30"/>
      <c r="P4015" s="39" t="str">
        <f t="shared" si="627"/>
        <v/>
      </c>
      <c r="Q4015" s="40" t="str">
        <f>IF(OR(T4015=0,RIGHT(T4015,1)=$W$1),"",COUNTIF($T$3:T4015,T4015))</f>
        <v/>
      </c>
      <c r="S4015" s="6">
        <f t="shared" si="628"/>
        <v>0</v>
      </c>
      <c r="T4015" s="36">
        <f t="shared" si="629"/>
        <v>0</v>
      </c>
      <c r="V4015" s="6">
        <f t="shared" si="630"/>
        <v>0</v>
      </c>
      <c r="Y4015" s="8">
        <f t="shared" si="631"/>
        <v>46023</v>
      </c>
    </row>
    <row r="4016" spans="2:25" ht="18.75" x14ac:dyDescent="0.3">
      <c r="B4016" s="6">
        <f t="shared" si="623"/>
        <v>0</v>
      </c>
      <c r="C4016" s="6">
        <f t="shared" si="624"/>
        <v>0</v>
      </c>
      <c r="D4016" s="6" t="str">
        <f t="shared" si="625"/>
        <v/>
      </c>
      <c r="E4016" s="35" t="str">
        <f t="shared" si="622"/>
        <v/>
      </c>
      <c r="F4016" s="31"/>
      <c r="G4016" s="29"/>
      <c r="H4016" s="78" t="str">
        <f t="shared" si="626"/>
        <v/>
      </c>
      <c r="I4016" s="25"/>
      <c r="J4016" s="25"/>
      <c r="K4016" s="26"/>
      <c r="L4016" s="26"/>
      <c r="M4016" s="37"/>
      <c r="N4016" s="27"/>
      <c r="O4016" s="30"/>
      <c r="P4016" s="39" t="str">
        <f t="shared" si="627"/>
        <v/>
      </c>
      <c r="Q4016" s="40" t="str">
        <f>IF(OR(T4016=0,RIGHT(T4016,1)=$W$1),"",COUNTIF($T$3:T4016,T4016))</f>
        <v/>
      </c>
      <c r="S4016" s="6">
        <f t="shared" si="628"/>
        <v>0</v>
      </c>
      <c r="T4016" s="36">
        <f t="shared" si="629"/>
        <v>0</v>
      </c>
      <c r="V4016" s="6">
        <f t="shared" si="630"/>
        <v>0</v>
      </c>
      <c r="Y4016" s="8">
        <f t="shared" si="631"/>
        <v>46023</v>
      </c>
    </row>
    <row r="4017" spans="2:25" ht="18.75" x14ac:dyDescent="0.3">
      <c r="B4017" s="6">
        <f t="shared" si="623"/>
        <v>0</v>
      </c>
      <c r="C4017" s="6">
        <f t="shared" si="624"/>
        <v>0</v>
      </c>
      <c r="D4017" s="6" t="str">
        <f t="shared" si="625"/>
        <v/>
      </c>
      <c r="E4017" s="35" t="str">
        <f t="shared" si="622"/>
        <v/>
      </c>
      <c r="F4017" s="31"/>
      <c r="G4017" s="29"/>
      <c r="H4017" s="78" t="str">
        <f t="shared" si="626"/>
        <v/>
      </c>
      <c r="I4017" s="25"/>
      <c r="J4017" s="25"/>
      <c r="K4017" s="26"/>
      <c r="L4017" s="26"/>
      <c r="M4017" s="37"/>
      <c r="N4017" s="27"/>
      <c r="O4017" s="30"/>
      <c r="P4017" s="39" t="str">
        <f t="shared" si="627"/>
        <v/>
      </c>
      <c r="Q4017" s="40" t="str">
        <f>IF(OR(T4017=0,RIGHT(T4017,1)=$W$1),"",COUNTIF($T$3:T4017,T4017))</f>
        <v/>
      </c>
      <c r="S4017" s="6">
        <f t="shared" si="628"/>
        <v>0</v>
      </c>
      <c r="T4017" s="36">
        <f t="shared" si="629"/>
        <v>0</v>
      </c>
      <c r="V4017" s="6">
        <f t="shared" si="630"/>
        <v>0</v>
      </c>
      <c r="Y4017" s="8">
        <f t="shared" si="631"/>
        <v>46023</v>
      </c>
    </row>
    <row r="4018" spans="2:25" ht="18.75" x14ac:dyDescent="0.3">
      <c r="B4018" s="6">
        <f t="shared" si="623"/>
        <v>0</v>
      </c>
      <c r="C4018" s="6">
        <f t="shared" si="624"/>
        <v>0</v>
      </c>
      <c r="D4018" s="6" t="str">
        <f t="shared" si="625"/>
        <v/>
      </c>
      <c r="E4018" s="35" t="str">
        <f t="shared" si="622"/>
        <v/>
      </c>
      <c r="F4018" s="31"/>
      <c r="G4018" s="29"/>
      <c r="H4018" s="78" t="str">
        <f t="shared" si="626"/>
        <v/>
      </c>
      <c r="I4018" s="25"/>
      <c r="J4018" s="25"/>
      <c r="K4018" s="26"/>
      <c r="L4018" s="26"/>
      <c r="M4018" s="37"/>
      <c r="N4018" s="27"/>
      <c r="O4018" s="30"/>
      <c r="P4018" s="39" t="str">
        <f t="shared" si="627"/>
        <v/>
      </c>
      <c r="Q4018" s="40" t="str">
        <f>IF(OR(T4018=0,RIGHT(T4018,1)=$W$1),"",COUNTIF($T$3:T4018,T4018))</f>
        <v/>
      </c>
      <c r="S4018" s="6">
        <f t="shared" si="628"/>
        <v>0</v>
      </c>
      <c r="T4018" s="36">
        <f t="shared" si="629"/>
        <v>0</v>
      </c>
      <c r="V4018" s="6">
        <f t="shared" si="630"/>
        <v>0</v>
      </c>
      <c r="Y4018" s="8">
        <f t="shared" si="631"/>
        <v>46023</v>
      </c>
    </row>
    <row r="4019" spans="2:25" ht="18.75" x14ac:dyDescent="0.3">
      <c r="B4019" s="6">
        <f t="shared" si="623"/>
        <v>0</v>
      </c>
      <c r="C4019" s="6">
        <f t="shared" si="624"/>
        <v>0</v>
      </c>
      <c r="D4019" s="6" t="str">
        <f t="shared" si="625"/>
        <v/>
      </c>
      <c r="E4019" s="35" t="str">
        <f t="shared" si="622"/>
        <v/>
      </c>
      <c r="F4019" s="31"/>
      <c r="G4019" s="29"/>
      <c r="H4019" s="78" t="str">
        <f t="shared" si="626"/>
        <v/>
      </c>
      <c r="I4019" s="25"/>
      <c r="J4019" s="25"/>
      <c r="K4019" s="26"/>
      <c r="L4019" s="26"/>
      <c r="M4019" s="37"/>
      <c r="N4019" s="27"/>
      <c r="O4019" s="30"/>
      <c r="P4019" s="39" t="str">
        <f t="shared" si="627"/>
        <v/>
      </c>
      <c r="Q4019" s="40" t="str">
        <f>IF(OR(T4019=0,RIGHT(T4019,1)=$W$1),"",COUNTIF($T$3:T4019,T4019))</f>
        <v/>
      </c>
      <c r="S4019" s="6">
        <f t="shared" si="628"/>
        <v>0</v>
      </c>
      <c r="T4019" s="36">
        <f t="shared" si="629"/>
        <v>0</v>
      </c>
      <c r="V4019" s="6">
        <f t="shared" si="630"/>
        <v>0</v>
      </c>
      <c r="Y4019" s="8">
        <f t="shared" si="631"/>
        <v>46023</v>
      </c>
    </row>
    <row r="4020" spans="2:25" ht="18.75" x14ac:dyDescent="0.3">
      <c r="B4020" s="6">
        <f t="shared" si="623"/>
        <v>0</v>
      </c>
      <c r="C4020" s="6">
        <f t="shared" si="624"/>
        <v>0</v>
      </c>
      <c r="D4020" s="6" t="str">
        <f t="shared" si="625"/>
        <v/>
      </c>
      <c r="E4020" s="35" t="str">
        <f t="shared" si="622"/>
        <v/>
      </c>
      <c r="F4020" s="31"/>
      <c r="G4020" s="29"/>
      <c r="H4020" s="78" t="str">
        <f t="shared" si="626"/>
        <v/>
      </c>
      <c r="I4020" s="25"/>
      <c r="J4020" s="25"/>
      <c r="K4020" s="26"/>
      <c r="L4020" s="26"/>
      <c r="M4020" s="37"/>
      <c r="N4020" s="27"/>
      <c r="O4020" s="30"/>
      <c r="P4020" s="39" t="str">
        <f t="shared" si="627"/>
        <v/>
      </c>
      <c r="Q4020" s="40" t="str">
        <f>IF(OR(T4020=0,RIGHT(T4020,1)=$W$1),"",COUNTIF($T$3:T4020,T4020))</f>
        <v/>
      </c>
      <c r="S4020" s="6">
        <f t="shared" si="628"/>
        <v>0</v>
      </c>
      <c r="T4020" s="36">
        <f t="shared" si="629"/>
        <v>0</v>
      </c>
      <c r="V4020" s="6">
        <f t="shared" si="630"/>
        <v>0</v>
      </c>
      <c r="Y4020" s="8">
        <f t="shared" si="631"/>
        <v>46023</v>
      </c>
    </row>
    <row r="4021" spans="2:25" ht="18.75" x14ac:dyDescent="0.3">
      <c r="B4021" s="6">
        <f t="shared" si="623"/>
        <v>0</v>
      </c>
      <c r="C4021" s="6">
        <f t="shared" si="624"/>
        <v>0</v>
      </c>
      <c r="D4021" s="6" t="str">
        <f t="shared" si="625"/>
        <v/>
      </c>
      <c r="E4021" s="35" t="str">
        <f t="shared" si="622"/>
        <v/>
      </c>
      <c r="F4021" s="31"/>
      <c r="G4021" s="29"/>
      <c r="H4021" s="78" t="str">
        <f t="shared" si="626"/>
        <v/>
      </c>
      <c r="I4021" s="25"/>
      <c r="J4021" s="25"/>
      <c r="K4021" s="26"/>
      <c r="L4021" s="26"/>
      <c r="M4021" s="37"/>
      <c r="N4021" s="27"/>
      <c r="O4021" s="30"/>
      <c r="P4021" s="39" t="str">
        <f t="shared" si="627"/>
        <v/>
      </c>
      <c r="Q4021" s="40" t="str">
        <f>IF(OR(T4021=0,RIGHT(T4021,1)=$W$1),"",COUNTIF($T$3:T4021,T4021))</f>
        <v/>
      </c>
      <c r="S4021" s="6">
        <f t="shared" si="628"/>
        <v>0</v>
      </c>
      <c r="T4021" s="36">
        <f t="shared" si="629"/>
        <v>0</v>
      </c>
      <c r="V4021" s="6">
        <f t="shared" si="630"/>
        <v>0</v>
      </c>
      <c r="Y4021" s="8">
        <f t="shared" si="631"/>
        <v>46023</v>
      </c>
    </row>
    <row r="4022" spans="2:25" ht="18.75" x14ac:dyDescent="0.3">
      <c r="B4022" s="6">
        <f t="shared" si="623"/>
        <v>0</v>
      </c>
      <c r="C4022" s="6">
        <f t="shared" si="624"/>
        <v>0</v>
      </c>
      <c r="D4022" s="6" t="str">
        <f t="shared" si="625"/>
        <v/>
      </c>
      <c r="E4022" s="35" t="str">
        <f t="shared" si="622"/>
        <v/>
      </c>
      <c r="F4022" s="31"/>
      <c r="G4022" s="29"/>
      <c r="H4022" s="78" t="str">
        <f t="shared" si="626"/>
        <v/>
      </c>
      <c r="I4022" s="25"/>
      <c r="J4022" s="25"/>
      <c r="K4022" s="26"/>
      <c r="L4022" s="26"/>
      <c r="M4022" s="37"/>
      <c r="N4022" s="27"/>
      <c r="O4022" s="30"/>
      <c r="P4022" s="39" t="str">
        <f t="shared" si="627"/>
        <v/>
      </c>
      <c r="Q4022" s="40" t="str">
        <f>IF(OR(T4022=0,RIGHT(T4022,1)=$W$1),"",COUNTIF($T$3:T4022,T4022))</f>
        <v/>
      </c>
      <c r="S4022" s="6">
        <f t="shared" si="628"/>
        <v>0</v>
      </c>
      <c r="T4022" s="36">
        <f t="shared" si="629"/>
        <v>0</v>
      </c>
      <c r="V4022" s="6">
        <f t="shared" si="630"/>
        <v>0</v>
      </c>
      <c r="Y4022" s="8">
        <f t="shared" si="631"/>
        <v>46023</v>
      </c>
    </row>
    <row r="4023" spans="2:25" ht="18.75" x14ac:dyDescent="0.3">
      <c r="B4023" s="6">
        <f t="shared" si="623"/>
        <v>0</v>
      </c>
      <c r="C4023" s="6">
        <f t="shared" si="624"/>
        <v>0</v>
      </c>
      <c r="D4023" s="6" t="str">
        <f t="shared" si="625"/>
        <v/>
      </c>
      <c r="E4023" s="35" t="str">
        <f t="shared" si="622"/>
        <v/>
      </c>
      <c r="F4023" s="31"/>
      <c r="G4023" s="29"/>
      <c r="H4023" s="78" t="str">
        <f t="shared" si="626"/>
        <v/>
      </c>
      <c r="I4023" s="25"/>
      <c r="J4023" s="25"/>
      <c r="K4023" s="26"/>
      <c r="L4023" s="26"/>
      <c r="M4023" s="37"/>
      <c r="N4023" s="27"/>
      <c r="O4023" s="30"/>
      <c r="P4023" s="39" t="str">
        <f t="shared" si="627"/>
        <v/>
      </c>
      <c r="Q4023" s="40" t="str">
        <f>IF(OR(T4023=0,RIGHT(T4023,1)=$W$1),"",COUNTIF($T$3:T4023,T4023))</f>
        <v/>
      </c>
      <c r="S4023" s="6">
        <f t="shared" si="628"/>
        <v>0</v>
      </c>
      <c r="T4023" s="36">
        <f t="shared" si="629"/>
        <v>0</v>
      </c>
      <c r="V4023" s="6">
        <f t="shared" si="630"/>
        <v>0</v>
      </c>
      <c r="Y4023" s="8">
        <f t="shared" si="631"/>
        <v>46023</v>
      </c>
    </row>
    <row r="4024" spans="2:25" ht="18.75" x14ac:dyDescent="0.3">
      <c r="B4024" s="6">
        <f t="shared" si="623"/>
        <v>0</v>
      </c>
      <c r="C4024" s="6">
        <f t="shared" si="624"/>
        <v>0</v>
      </c>
      <c r="D4024" s="6" t="str">
        <f t="shared" si="625"/>
        <v/>
      </c>
      <c r="E4024" s="35" t="str">
        <f t="shared" si="622"/>
        <v/>
      </c>
      <c r="F4024" s="31"/>
      <c r="G4024" s="29"/>
      <c r="H4024" s="78" t="str">
        <f t="shared" si="626"/>
        <v/>
      </c>
      <c r="I4024" s="25"/>
      <c r="J4024" s="25"/>
      <c r="K4024" s="26"/>
      <c r="L4024" s="26"/>
      <c r="M4024" s="37"/>
      <c r="N4024" s="27"/>
      <c r="O4024" s="30"/>
      <c r="P4024" s="39" t="str">
        <f t="shared" si="627"/>
        <v/>
      </c>
      <c r="Q4024" s="40" t="str">
        <f>IF(OR(T4024=0,RIGHT(T4024,1)=$W$1),"",COUNTIF($T$3:T4024,T4024))</f>
        <v/>
      </c>
      <c r="S4024" s="6">
        <f t="shared" si="628"/>
        <v>0</v>
      </c>
      <c r="T4024" s="36">
        <f t="shared" si="629"/>
        <v>0</v>
      </c>
      <c r="V4024" s="6">
        <f t="shared" si="630"/>
        <v>0</v>
      </c>
      <c r="Y4024" s="8">
        <f t="shared" si="631"/>
        <v>46023</v>
      </c>
    </row>
    <row r="4025" spans="2:25" ht="18.75" x14ac:dyDescent="0.3">
      <c r="B4025" s="6">
        <f t="shared" si="623"/>
        <v>0</v>
      </c>
      <c r="C4025" s="6">
        <f t="shared" si="624"/>
        <v>0</v>
      </c>
      <c r="D4025" s="6" t="str">
        <f t="shared" si="625"/>
        <v/>
      </c>
      <c r="E4025" s="35" t="str">
        <f t="shared" si="622"/>
        <v/>
      </c>
      <c r="F4025" s="31"/>
      <c r="G4025" s="29"/>
      <c r="H4025" s="78" t="str">
        <f t="shared" si="626"/>
        <v/>
      </c>
      <c r="I4025" s="25"/>
      <c r="J4025" s="25"/>
      <c r="K4025" s="26"/>
      <c r="L4025" s="26"/>
      <c r="M4025" s="37"/>
      <c r="N4025" s="27"/>
      <c r="O4025" s="30"/>
      <c r="P4025" s="39" t="str">
        <f t="shared" si="627"/>
        <v/>
      </c>
      <c r="Q4025" s="40" t="str">
        <f>IF(OR(T4025=0,RIGHT(T4025,1)=$W$1),"",COUNTIF($T$3:T4025,T4025))</f>
        <v/>
      </c>
      <c r="S4025" s="6">
        <f t="shared" si="628"/>
        <v>0</v>
      </c>
      <c r="T4025" s="36">
        <f t="shared" si="629"/>
        <v>0</v>
      </c>
      <c r="V4025" s="6">
        <f t="shared" si="630"/>
        <v>0</v>
      </c>
      <c r="Y4025" s="8">
        <f t="shared" si="631"/>
        <v>46023</v>
      </c>
    </row>
    <row r="4026" spans="2:25" ht="18.75" x14ac:dyDescent="0.3">
      <c r="B4026" s="6">
        <f t="shared" si="623"/>
        <v>0</v>
      </c>
      <c r="C4026" s="6">
        <f t="shared" si="624"/>
        <v>0</v>
      </c>
      <c r="D4026" s="6" t="str">
        <f t="shared" si="625"/>
        <v/>
      </c>
      <c r="E4026" s="35" t="str">
        <f t="shared" si="622"/>
        <v/>
      </c>
      <c r="F4026" s="31"/>
      <c r="G4026" s="29"/>
      <c r="H4026" s="78" t="str">
        <f t="shared" si="626"/>
        <v/>
      </c>
      <c r="I4026" s="25"/>
      <c r="J4026" s="25"/>
      <c r="K4026" s="26"/>
      <c r="L4026" s="26"/>
      <c r="M4026" s="37"/>
      <c r="N4026" s="27"/>
      <c r="O4026" s="30"/>
      <c r="P4026" s="39" t="str">
        <f t="shared" si="627"/>
        <v/>
      </c>
      <c r="Q4026" s="40" t="str">
        <f>IF(OR(T4026=0,RIGHT(T4026,1)=$W$1),"",COUNTIF($T$3:T4026,T4026))</f>
        <v/>
      </c>
      <c r="S4026" s="6">
        <f t="shared" si="628"/>
        <v>0</v>
      </c>
      <c r="T4026" s="36">
        <f t="shared" si="629"/>
        <v>0</v>
      </c>
      <c r="V4026" s="6">
        <f t="shared" si="630"/>
        <v>0</v>
      </c>
      <c r="Y4026" s="8">
        <f t="shared" si="631"/>
        <v>46023</v>
      </c>
    </row>
    <row r="4027" spans="2:25" ht="18.75" x14ac:dyDescent="0.3">
      <c r="B4027" s="6">
        <f t="shared" si="623"/>
        <v>0</v>
      </c>
      <c r="C4027" s="6">
        <f t="shared" si="624"/>
        <v>0</v>
      </c>
      <c r="D4027" s="6" t="str">
        <f t="shared" si="625"/>
        <v/>
      </c>
      <c r="E4027" s="35" t="str">
        <f t="shared" si="622"/>
        <v/>
      </c>
      <c r="F4027" s="31"/>
      <c r="G4027" s="29"/>
      <c r="H4027" s="78" t="str">
        <f t="shared" si="626"/>
        <v/>
      </c>
      <c r="I4027" s="25"/>
      <c r="J4027" s="25"/>
      <c r="K4027" s="26"/>
      <c r="L4027" s="26"/>
      <c r="M4027" s="37"/>
      <c r="N4027" s="27"/>
      <c r="O4027" s="30"/>
      <c r="P4027" s="39" t="str">
        <f t="shared" si="627"/>
        <v/>
      </c>
      <c r="Q4027" s="40" t="str">
        <f>IF(OR(T4027=0,RIGHT(T4027,1)=$W$1),"",COUNTIF($T$3:T4027,T4027))</f>
        <v/>
      </c>
      <c r="S4027" s="6">
        <f t="shared" si="628"/>
        <v>0</v>
      </c>
      <c r="T4027" s="36">
        <f t="shared" si="629"/>
        <v>0</v>
      </c>
      <c r="V4027" s="6">
        <f t="shared" si="630"/>
        <v>0</v>
      </c>
      <c r="Y4027" s="8">
        <f t="shared" si="631"/>
        <v>46023</v>
      </c>
    </row>
    <row r="4028" spans="2:25" ht="18.75" x14ac:dyDescent="0.3">
      <c r="B4028" s="6">
        <f t="shared" si="623"/>
        <v>0</v>
      </c>
      <c r="C4028" s="6">
        <f t="shared" si="624"/>
        <v>0</v>
      </c>
      <c r="D4028" s="6" t="str">
        <f t="shared" si="625"/>
        <v/>
      </c>
      <c r="E4028" s="35" t="str">
        <f t="shared" si="622"/>
        <v/>
      </c>
      <c r="F4028" s="31"/>
      <c r="G4028" s="29"/>
      <c r="H4028" s="78" t="str">
        <f t="shared" si="626"/>
        <v/>
      </c>
      <c r="I4028" s="25"/>
      <c r="J4028" s="25"/>
      <c r="K4028" s="26"/>
      <c r="L4028" s="26"/>
      <c r="M4028" s="37"/>
      <c r="N4028" s="27"/>
      <c r="O4028" s="30"/>
      <c r="P4028" s="39" t="str">
        <f t="shared" si="627"/>
        <v/>
      </c>
      <c r="Q4028" s="40" t="str">
        <f>IF(OR(T4028=0,RIGHT(T4028,1)=$W$1),"",COUNTIF($T$3:T4028,T4028))</f>
        <v/>
      </c>
      <c r="S4028" s="6">
        <f t="shared" si="628"/>
        <v>0</v>
      </c>
      <c r="T4028" s="36">
        <f t="shared" si="629"/>
        <v>0</v>
      </c>
      <c r="V4028" s="6">
        <f t="shared" si="630"/>
        <v>0</v>
      </c>
      <c r="Y4028" s="8">
        <f t="shared" si="631"/>
        <v>46023</v>
      </c>
    </row>
    <row r="4029" spans="2:25" ht="18.75" x14ac:dyDescent="0.3">
      <c r="B4029" s="6">
        <f t="shared" si="623"/>
        <v>0</v>
      </c>
      <c r="C4029" s="6">
        <f t="shared" si="624"/>
        <v>0</v>
      </c>
      <c r="D4029" s="6" t="str">
        <f t="shared" si="625"/>
        <v/>
      </c>
      <c r="E4029" s="35" t="str">
        <f t="shared" si="622"/>
        <v/>
      </c>
      <c r="F4029" s="31"/>
      <c r="G4029" s="29"/>
      <c r="H4029" s="78" t="str">
        <f t="shared" si="626"/>
        <v/>
      </c>
      <c r="I4029" s="25"/>
      <c r="J4029" s="25"/>
      <c r="K4029" s="26"/>
      <c r="L4029" s="26"/>
      <c r="M4029" s="37"/>
      <c r="N4029" s="27"/>
      <c r="O4029" s="30"/>
      <c r="P4029" s="39" t="str">
        <f t="shared" si="627"/>
        <v/>
      </c>
      <c r="Q4029" s="40" t="str">
        <f>IF(OR(T4029=0,RIGHT(T4029,1)=$W$1),"",COUNTIF($T$3:T4029,T4029))</f>
        <v/>
      </c>
      <c r="S4029" s="6">
        <f t="shared" si="628"/>
        <v>0</v>
      </c>
      <c r="T4029" s="36">
        <f t="shared" si="629"/>
        <v>0</v>
      </c>
      <c r="V4029" s="6">
        <f t="shared" si="630"/>
        <v>0</v>
      </c>
      <c r="Y4029" s="8">
        <f t="shared" si="631"/>
        <v>46023</v>
      </c>
    </row>
    <row r="4030" spans="2:25" ht="18.75" x14ac:dyDescent="0.3">
      <c r="B4030" s="6">
        <f t="shared" si="623"/>
        <v>0</v>
      </c>
      <c r="C4030" s="6">
        <f t="shared" si="624"/>
        <v>0</v>
      </c>
      <c r="D4030" s="6" t="str">
        <f t="shared" si="625"/>
        <v/>
      </c>
      <c r="E4030" s="35" t="str">
        <f t="shared" si="622"/>
        <v/>
      </c>
      <c r="F4030" s="31"/>
      <c r="G4030" s="29"/>
      <c r="H4030" s="78" t="str">
        <f t="shared" si="626"/>
        <v/>
      </c>
      <c r="I4030" s="25"/>
      <c r="J4030" s="25"/>
      <c r="K4030" s="26"/>
      <c r="L4030" s="26"/>
      <c r="M4030" s="37"/>
      <c r="N4030" s="27"/>
      <c r="O4030" s="30"/>
      <c r="P4030" s="39" t="str">
        <f t="shared" si="627"/>
        <v/>
      </c>
      <c r="Q4030" s="40" t="str">
        <f>IF(OR(T4030=0,RIGHT(T4030,1)=$W$1),"",COUNTIF($T$3:T4030,T4030))</f>
        <v/>
      </c>
      <c r="S4030" s="6">
        <f t="shared" si="628"/>
        <v>0</v>
      </c>
      <c r="T4030" s="36">
        <f t="shared" si="629"/>
        <v>0</v>
      </c>
      <c r="V4030" s="6">
        <f t="shared" si="630"/>
        <v>0</v>
      </c>
      <c r="Y4030" s="8">
        <f t="shared" si="631"/>
        <v>46023</v>
      </c>
    </row>
    <row r="4031" spans="2:25" ht="18.75" x14ac:dyDescent="0.3">
      <c r="B4031" s="6">
        <f t="shared" si="623"/>
        <v>0</v>
      </c>
      <c r="C4031" s="6">
        <f t="shared" si="624"/>
        <v>0</v>
      </c>
      <c r="D4031" s="6" t="str">
        <f t="shared" si="625"/>
        <v/>
      </c>
      <c r="E4031" s="35" t="str">
        <f t="shared" si="622"/>
        <v/>
      </c>
      <c r="F4031" s="31"/>
      <c r="G4031" s="29"/>
      <c r="H4031" s="78" t="str">
        <f t="shared" si="626"/>
        <v/>
      </c>
      <c r="I4031" s="25"/>
      <c r="J4031" s="25"/>
      <c r="K4031" s="26"/>
      <c r="L4031" s="26"/>
      <c r="M4031" s="37"/>
      <c r="N4031" s="27"/>
      <c r="O4031" s="30"/>
      <c r="P4031" s="39" t="str">
        <f t="shared" si="627"/>
        <v/>
      </c>
      <c r="Q4031" s="40" t="str">
        <f>IF(OR(T4031=0,RIGHT(T4031,1)=$W$1),"",COUNTIF($T$3:T4031,T4031))</f>
        <v/>
      </c>
      <c r="S4031" s="6">
        <f t="shared" si="628"/>
        <v>0</v>
      </c>
      <c r="T4031" s="36">
        <f t="shared" si="629"/>
        <v>0</v>
      </c>
      <c r="V4031" s="6">
        <f t="shared" si="630"/>
        <v>0</v>
      </c>
      <c r="Y4031" s="8">
        <f t="shared" si="631"/>
        <v>46023</v>
      </c>
    </row>
    <row r="4032" spans="2:25" ht="18.75" x14ac:dyDescent="0.3">
      <c r="B4032" s="6">
        <f t="shared" si="623"/>
        <v>0</v>
      </c>
      <c r="C4032" s="6">
        <f t="shared" si="624"/>
        <v>0</v>
      </c>
      <c r="D4032" s="6" t="str">
        <f t="shared" si="625"/>
        <v/>
      </c>
      <c r="E4032" s="35" t="str">
        <f t="shared" si="622"/>
        <v/>
      </c>
      <c r="F4032" s="31"/>
      <c r="G4032" s="29"/>
      <c r="H4032" s="78" t="str">
        <f t="shared" si="626"/>
        <v/>
      </c>
      <c r="I4032" s="25"/>
      <c r="J4032" s="25"/>
      <c r="K4032" s="26"/>
      <c r="L4032" s="26"/>
      <c r="M4032" s="37"/>
      <c r="N4032" s="27"/>
      <c r="O4032" s="30"/>
      <c r="P4032" s="39" t="str">
        <f t="shared" si="627"/>
        <v/>
      </c>
      <c r="Q4032" s="40" t="str">
        <f>IF(OR(T4032=0,RIGHT(T4032,1)=$W$1),"",COUNTIF($T$3:T4032,T4032))</f>
        <v/>
      </c>
      <c r="S4032" s="6">
        <f t="shared" si="628"/>
        <v>0</v>
      </c>
      <c r="T4032" s="36">
        <f t="shared" si="629"/>
        <v>0</v>
      </c>
      <c r="V4032" s="6">
        <f t="shared" si="630"/>
        <v>0</v>
      </c>
      <c r="Y4032" s="8">
        <f t="shared" si="631"/>
        <v>46023</v>
      </c>
    </row>
    <row r="4033" spans="2:25" ht="18.75" x14ac:dyDescent="0.3">
      <c r="B4033" s="6">
        <f t="shared" si="623"/>
        <v>0</v>
      </c>
      <c r="C4033" s="6">
        <f t="shared" si="624"/>
        <v>0</v>
      </c>
      <c r="D4033" s="6" t="str">
        <f t="shared" si="625"/>
        <v/>
      </c>
      <c r="E4033" s="35" t="str">
        <f t="shared" si="622"/>
        <v/>
      </c>
      <c r="F4033" s="31"/>
      <c r="G4033" s="29"/>
      <c r="H4033" s="78" t="str">
        <f t="shared" si="626"/>
        <v/>
      </c>
      <c r="I4033" s="25"/>
      <c r="J4033" s="25"/>
      <c r="K4033" s="26"/>
      <c r="L4033" s="26"/>
      <c r="M4033" s="37"/>
      <c r="N4033" s="27"/>
      <c r="O4033" s="30"/>
      <c r="P4033" s="39" t="str">
        <f t="shared" si="627"/>
        <v/>
      </c>
      <c r="Q4033" s="40" t="str">
        <f>IF(OR(T4033=0,RIGHT(T4033,1)=$W$1),"",COUNTIF($T$3:T4033,T4033))</f>
        <v/>
      </c>
      <c r="S4033" s="6">
        <f t="shared" si="628"/>
        <v>0</v>
      </c>
      <c r="T4033" s="36">
        <f t="shared" si="629"/>
        <v>0</v>
      </c>
      <c r="V4033" s="6">
        <f t="shared" si="630"/>
        <v>0</v>
      </c>
      <c r="Y4033" s="8">
        <f t="shared" si="631"/>
        <v>46023</v>
      </c>
    </row>
    <row r="4034" spans="2:25" ht="18.75" x14ac:dyDescent="0.3">
      <c r="B4034" s="6">
        <f t="shared" si="623"/>
        <v>0</v>
      </c>
      <c r="C4034" s="6">
        <f t="shared" si="624"/>
        <v>0</v>
      </c>
      <c r="D4034" s="6" t="str">
        <f t="shared" si="625"/>
        <v/>
      </c>
      <c r="E4034" s="35" t="str">
        <f t="shared" si="622"/>
        <v/>
      </c>
      <c r="F4034" s="31"/>
      <c r="G4034" s="29"/>
      <c r="H4034" s="78" t="str">
        <f t="shared" si="626"/>
        <v/>
      </c>
      <c r="I4034" s="25"/>
      <c r="J4034" s="25"/>
      <c r="K4034" s="26"/>
      <c r="L4034" s="26"/>
      <c r="M4034" s="37"/>
      <c r="N4034" s="27"/>
      <c r="O4034" s="30"/>
      <c r="P4034" s="39" t="str">
        <f t="shared" si="627"/>
        <v/>
      </c>
      <c r="Q4034" s="40" t="str">
        <f>IF(OR(T4034=0,RIGHT(T4034,1)=$W$1),"",COUNTIF($T$3:T4034,T4034))</f>
        <v/>
      </c>
      <c r="S4034" s="6">
        <f t="shared" si="628"/>
        <v>0</v>
      </c>
      <c r="T4034" s="36">
        <f t="shared" si="629"/>
        <v>0</v>
      </c>
      <c r="V4034" s="6">
        <f t="shared" si="630"/>
        <v>0</v>
      </c>
      <c r="Y4034" s="8">
        <f t="shared" si="631"/>
        <v>46023</v>
      </c>
    </row>
    <row r="4035" spans="2:25" ht="18.75" x14ac:dyDescent="0.3">
      <c r="B4035" s="6">
        <f t="shared" si="623"/>
        <v>0</v>
      </c>
      <c r="C4035" s="6">
        <f t="shared" si="624"/>
        <v>0</v>
      </c>
      <c r="D4035" s="6" t="str">
        <f t="shared" si="625"/>
        <v/>
      </c>
      <c r="E4035" s="35" t="str">
        <f t="shared" ref="E4035:E4098" si="632">IF(D4035&lt;&gt;"",D4035&amp;" - "&amp;YEAR(F4035),"")</f>
        <v/>
      </c>
      <c r="F4035" s="31"/>
      <c r="G4035" s="29"/>
      <c r="H4035" s="78" t="str">
        <f t="shared" si="626"/>
        <v/>
      </c>
      <c r="I4035" s="25"/>
      <c r="J4035" s="25"/>
      <c r="K4035" s="26"/>
      <c r="L4035" s="26"/>
      <c r="M4035" s="37"/>
      <c r="N4035" s="27"/>
      <c r="O4035" s="30"/>
      <c r="P4035" s="39" t="str">
        <f t="shared" si="627"/>
        <v/>
      </c>
      <c r="Q4035" s="40" t="str">
        <f>IF(OR(T4035=0,RIGHT(T4035,1)=$W$1),"",COUNTIF($T$3:T4035,T4035))</f>
        <v/>
      </c>
      <c r="S4035" s="6">
        <f t="shared" si="628"/>
        <v>0</v>
      </c>
      <c r="T4035" s="36">
        <f t="shared" si="629"/>
        <v>0</v>
      </c>
      <c r="V4035" s="6">
        <f t="shared" si="630"/>
        <v>0</v>
      </c>
      <c r="Y4035" s="8">
        <f t="shared" si="631"/>
        <v>46023</v>
      </c>
    </row>
    <row r="4036" spans="2:25" ht="18.75" x14ac:dyDescent="0.3">
      <c r="B4036" s="6">
        <f t="shared" ref="B4036:B4099" si="633">IF($B$1=YEAR(F4036),B4035+1,B4035)</f>
        <v>0</v>
      </c>
      <c r="C4036" s="6">
        <f t="shared" ref="C4036:C4099" si="634">IF(AND($C$1=K4036,$Y$1=YEAR(F4036)),C4035+1,C4035)</f>
        <v>0</v>
      </c>
      <c r="D4036" s="6" t="str">
        <f t="shared" ref="D4036:D4099" si="635">IF(F4036&lt;&gt;0,IF(YEAR(F4036)&lt;&gt;YEAR(F4035),1,IF(M4036=$AI$1,D4035,D4035+1)),"")</f>
        <v/>
      </c>
      <c r="E4036" s="35" t="str">
        <f t="shared" si="632"/>
        <v/>
      </c>
      <c r="F4036" s="31"/>
      <c r="G4036" s="29"/>
      <c r="H4036" s="78" t="str">
        <f t="shared" ref="H4036:H4099" si="636">IF(G4036&lt;&gt;"",F4036,"")</f>
        <v/>
      </c>
      <c r="I4036" s="25"/>
      <c r="J4036" s="25"/>
      <c r="K4036" s="26"/>
      <c r="L4036" s="26"/>
      <c r="M4036" s="37"/>
      <c r="N4036" s="27"/>
      <c r="O4036" s="30"/>
      <c r="P4036" s="39" t="str">
        <f t="shared" ref="P4036:P4099" si="637">IF(OR(T4036=0,RIGHT(T4036,1)=$W$1),"",VLOOKUP(K4036,$AD$1:$AK$15,5,FALSE))</f>
        <v/>
      </c>
      <c r="Q4036" s="40" t="str">
        <f>IF(OR(T4036=0,RIGHT(T4036,1)=$W$1),"",COUNTIF($T$3:T4036,T4036))</f>
        <v/>
      </c>
      <c r="S4036" s="6">
        <f t="shared" ref="S4036:S4099" si="638">IF(AND($C$1=K4036,$Y$1=YEAR(F4036)),C4036,0)</f>
        <v>0</v>
      </c>
      <c r="T4036" s="36">
        <f t="shared" ref="T4036:T4099" si="639">IF(F4036=0,0,YEAR(F4036)&amp;VLOOKUP(K4036,$AD$1:$AE$15,2,FALSE))</f>
        <v>0</v>
      </c>
      <c r="V4036" s="6">
        <f t="shared" ref="V4036:V4099" si="640">IF(AND(YEAR(F4036)=$Y$1,K4036=$C$1,L4036&amp;$V$1&lt;&gt;$V$1),L4036,IF(AND(YEAR(F4036)=$Y$1,K4036=$C$1),1,0))</f>
        <v>0</v>
      </c>
      <c r="Y4036" s="8">
        <f t="shared" ref="Y4036:Y4099" si="641">IF(M4036&lt;&gt;$AI$1,$Y$2,F4035)</f>
        <v>46023</v>
      </c>
    </row>
    <row r="4037" spans="2:25" ht="18.75" x14ac:dyDescent="0.3">
      <c r="B4037" s="6">
        <f t="shared" si="633"/>
        <v>0</v>
      </c>
      <c r="C4037" s="6">
        <f t="shared" si="634"/>
        <v>0</v>
      </c>
      <c r="D4037" s="6" t="str">
        <f t="shared" si="635"/>
        <v/>
      </c>
      <c r="E4037" s="35" t="str">
        <f t="shared" si="632"/>
        <v/>
      </c>
      <c r="F4037" s="31"/>
      <c r="G4037" s="29"/>
      <c r="H4037" s="78" t="str">
        <f t="shared" si="636"/>
        <v/>
      </c>
      <c r="I4037" s="25"/>
      <c r="J4037" s="25"/>
      <c r="K4037" s="26"/>
      <c r="L4037" s="26"/>
      <c r="M4037" s="37"/>
      <c r="N4037" s="27"/>
      <c r="O4037" s="30"/>
      <c r="P4037" s="39" t="str">
        <f t="shared" si="637"/>
        <v/>
      </c>
      <c r="Q4037" s="40" t="str">
        <f>IF(OR(T4037=0,RIGHT(T4037,1)=$W$1),"",COUNTIF($T$3:T4037,T4037))</f>
        <v/>
      </c>
      <c r="S4037" s="6">
        <f t="shared" si="638"/>
        <v>0</v>
      </c>
      <c r="T4037" s="36">
        <f t="shared" si="639"/>
        <v>0</v>
      </c>
      <c r="V4037" s="6">
        <f t="shared" si="640"/>
        <v>0</v>
      </c>
      <c r="Y4037" s="8">
        <f t="shared" si="641"/>
        <v>46023</v>
      </c>
    </row>
    <row r="4038" spans="2:25" ht="18.75" x14ac:dyDescent="0.3">
      <c r="B4038" s="6">
        <f t="shared" si="633"/>
        <v>0</v>
      </c>
      <c r="C4038" s="6">
        <f t="shared" si="634"/>
        <v>0</v>
      </c>
      <c r="D4038" s="6" t="str">
        <f t="shared" si="635"/>
        <v/>
      </c>
      <c r="E4038" s="35" t="str">
        <f t="shared" si="632"/>
        <v/>
      </c>
      <c r="F4038" s="31"/>
      <c r="G4038" s="29"/>
      <c r="H4038" s="78" t="str">
        <f t="shared" si="636"/>
        <v/>
      </c>
      <c r="I4038" s="25"/>
      <c r="J4038" s="25"/>
      <c r="K4038" s="26"/>
      <c r="L4038" s="26"/>
      <c r="M4038" s="37"/>
      <c r="N4038" s="27"/>
      <c r="O4038" s="30"/>
      <c r="P4038" s="39" t="str">
        <f t="shared" si="637"/>
        <v/>
      </c>
      <c r="Q4038" s="40" t="str">
        <f>IF(OR(T4038=0,RIGHT(T4038,1)=$W$1),"",COUNTIF($T$3:T4038,T4038))</f>
        <v/>
      </c>
      <c r="S4038" s="6">
        <f t="shared" si="638"/>
        <v>0</v>
      </c>
      <c r="T4038" s="36">
        <f t="shared" si="639"/>
        <v>0</v>
      </c>
      <c r="V4038" s="6">
        <f t="shared" si="640"/>
        <v>0</v>
      </c>
      <c r="Y4038" s="8">
        <f t="shared" si="641"/>
        <v>46023</v>
      </c>
    </row>
    <row r="4039" spans="2:25" ht="18.75" x14ac:dyDescent="0.3">
      <c r="B4039" s="6">
        <f t="shared" si="633"/>
        <v>0</v>
      </c>
      <c r="C4039" s="6">
        <f t="shared" si="634"/>
        <v>0</v>
      </c>
      <c r="D4039" s="6" t="str">
        <f t="shared" si="635"/>
        <v/>
      </c>
      <c r="E4039" s="35" t="str">
        <f t="shared" si="632"/>
        <v/>
      </c>
      <c r="F4039" s="31"/>
      <c r="G4039" s="29"/>
      <c r="H4039" s="78" t="str">
        <f t="shared" si="636"/>
        <v/>
      </c>
      <c r="I4039" s="25"/>
      <c r="J4039" s="25"/>
      <c r="K4039" s="26"/>
      <c r="L4039" s="26"/>
      <c r="M4039" s="37"/>
      <c r="N4039" s="27"/>
      <c r="O4039" s="30"/>
      <c r="P4039" s="39" t="str">
        <f t="shared" si="637"/>
        <v/>
      </c>
      <c r="Q4039" s="40" t="str">
        <f>IF(OR(T4039=0,RIGHT(T4039,1)=$W$1),"",COUNTIF($T$3:T4039,T4039))</f>
        <v/>
      </c>
      <c r="S4039" s="6">
        <f t="shared" si="638"/>
        <v>0</v>
      </c>
      <c r="T4039" s="36">
        <f t="shared" si="639"/>
        <v>0</v>
      </c>
      <c r="V4039" s="6">
        <f t="shared" si="640"/>
        <v>0</v>
      </c>
      <c r="Y4039" s="8">
        <f t="shared" si="641"/>
        <v>46023</v>
      </c>
    </row>
    <row r="4040" spans="2:25" ht="18.75" x14ac:dyDescent="0.3">
      <c r="B4040" s="6">
        <f t="shared" si="633"/>
        <v>0</v>
      </c>
      <c r="C4040" s="6">
        <f t="shared" si="634"/>
        <v>0</v>
      </c>
      <c r="D4040" s="6" t="str">
        <f t="shared" si="635"/>
        <v/>
      </c>
      <c r="E4040" s="35" t="str">
        <f t="shared" si="632"/>
        <v/>
      </c>
      <c r="F4040" s="31"/>
      <c r="G4040" s="29"/>
      <c r="H4040" s="78" t="str">
        <f t="shared" si="636"/>
        <v/>
      </c>
      <c r="I4040" s="25"/>
      <c r="J4040" s="25"/>
      <c r="K4040" s="26"/>
      <c r="L4040" s="26"/>
      <c r="M4040" s="37"/>
      <c r="N4040" s="27"/>
      <c r="O4040" s="30"/>
      <c r="P4040" s="39" t="str">
        <f t="shared" si="637"/>
        <v/>
      </c>
      <c r="Q4040" s="40" t="str">
        <f>IF(OR(T4040=0,RIGHT(T4040,1)=$W$1),"",COUNTIF($T$3:T4040,T4040))</f>
        <v/>
      </c>
      <c r="S4040" s="6">
        <f t="shared" si="638"/>
        <v>0</v>
      </c>
      <c r="T4040" s="36">
        <f t="shared" si="639"/>
        <v>0</v>
      </c>
      <c r="V4040" s="6">
        <f t="shared" si="640"/>
        <v>0</v>
      </c>
      <c r="Y4040" s="8">
        <f t="shared" si="641"/>
        <v>46023</v>
      </c>
    </row>
    <row r="4041" spans="2:25" ht="18.75" x14ac:dyDescent="0.3">
      <c r="B4041" s="6">
        <f t="shared" si="633"/>
        <v>0</v>
      </c>
      <c r="C4041" s="6">
        <f t="shared" si="634"/>
        <v>0</v>
      </c>
      <c r="D4041" s="6" t="str">
        <f t="shared" si="635"/>
        <v/>
      </c>
      <c r="E4041" s="35" t="str">
        <f t="shared" si="632"/>
        <v/>
      </c>
      <c r="F4041" s="31"/>
      <c r="G4041" s="29"/>
      <c r="H4041" s="78" t="str">
        <f t="shared" si="636"/>
        <v/>
      </c>
      <c r="I4041" s="25"/>
      <c r="J4041" s="25"/>
      <c r="K4041" s="26"/>
      <c r="L4041" s="26"/>
      <c r="M4041" s="37"/>
      <c r="N4041" s="27"/>
      <c r="O4041" s="30"/>
      <c r="P4041" s="39" t="str">
        <f t="shared" si="637"/>
        <v/>
      </c>
      <c r="Q4041" s="40" t="str">
        <f>IF(OR(T4041=0,RIGHT(T4041,1)=$W$1),"",COUNTIF($T$3:T4041,T4041))</f>
        <v/>
      </c>
      <c r="S4041" s="6">
        <f t="shared" si="638"/>
        <v>0</v>
      </c>
      <c r="T4041" s="36">
        <f t="shared" si="639"/>
        <v>0</v>
      </c>
      <c r="V4041" s="6">
        <f t="shared" si="640"/>
        <v>0</v>
      </c>
      <c r="Y4041" s="8">
        <f t="shared" si="641"/>
        <v>46023</v>
      </c>
    </row>
    <row r="4042" spans="2:25" ht="18.75" x14ac:dyDescent="0.3">
      <c r="B4042" s="6">
        <f t="shared" si="633"/>
        <v>0</v>
      </c>
      <c r="C4042" s="6">
        <f t="shared" si="634"/>
        <v>0</v>
      </c>
      <c r="D4042" s="6" t="str">
        <f t="shared" si="635"/>
        <v/>
      </c>
      <c r="E4042" s="35" t="str">
        <f t="shared" si="632"/>
        <v/>
      </c>
      <c r="F4042" s="31"/>
      <c r="G4042" s="29"/>
      <c r="H4042" s="78" t="str">
        <f t="shared" si="636"/>
        <v/>
      </c>
      <c r="I4042" s="25"/>
      <c r="J4042" s="25"/>
      <c r="K4042" s="26"/>
      <c r="L4042" s="26"/>
      <c r="M4042" s="37"/>
      <c r="N4042" s="27"/>
      <c r="O4042" s="30"/>
      <c r="P4042" s="39" t="str">
        <f t="shared" si="637"/>
        <v/>
      </c>
      <c r="Q4042" s="40" t="str">
        <f>IF(OR(T4042=0,RIGHT(T4042,1)=$W$1),"",COUNTIF($T$3:T4042,T4042))</f>
        <v/>
      </c>
      <c r="S4042" s="6">
        <f t="shared" si="638"/>
        <v>0</v>
      </c>
      <c r="T4042" s="36">
        <f t="shared" si="639"/>
        <v>0</v>
      </c>
      <c r="V4042" s="6">
        <f t="shared" si="640"/>
        <v>0</v>
      </c>
      <c r="Y4042" s="8">
        <f t="shared" si="641"/>
        <v>46023</v>
      </c>
    </row>
    <row r="4043" spans="2:25" ht="18.75" x14ac:dyDescent="0.3">
      <c r="B4043" s="6">
        <f t="shared" si="633"/>
        <v>0</v>
      </c>
      <c r="C4043" s="6">
        <f t="shared" si="634"/>
        <v>0</v>
      </c>
      <c r="D4043" s="6" t="str">
        <f t="shared" si="635"/>
        <v/>
      </c>
      <c r="E4043" s="35" t="str">
        <f t="shared" si="632"/>
        <v/>
      </c>
      <c r="F4043" s="31"/>
      <c r="G4043" s="29"/>
      <c r="H4043" s="78" t="str">
        <f t="shared" si="636"/>
        <v/>
      </c>
      <c r="I4043" s="25"/>
      <c r="J4043" s="25"/>
      <c r="K4043" s="26"/>
      <c r="L4043" s="26"/>
      <c r="M4043" s="37"/>
      <c r="N4043" s="27"/>
      <c r="O4043" s="30"/>
      <c r="P4043" s="39" t="str">
        <f t="shared" si="637"/>
        <v/>
      </c>
      <c r="Q4043" s="40" t="str">
        <f>IF(OR(T4043=0,RIGHT(T4043,1)=$W$1),"",COUNTIF($T$3:T4043,T4043))</f>
        <v/>
      </c>
      <c r="S4043" s="6">
        <f t="shared" si="638"/>
        <v>0</v>
      </c>
      <c r="T4043" s="36">
        <f t="shared" si="639"/>
        <v>0</v>
      </c>
      <c r="V4043" s="6">
        <f t="shared" si="640"/>
        <v>0</v>
      </c>
      <c r="Y4043" s="8">
        <f t="shared" si="641"/>
        <v>46023</v>
      </c>
    </row>
    <row r="4044" spans="2:25" ht="18.75" x14ac:dyDescent="0.3">
      <c r="B4044" s="6">
        <f t="shared" si="633"/>
        <v>0</v>
      </c>
      <c r="C4044" s="6">
        <f t="shared" si="634"/>
        <v>0</v>
      </c>
      <c r="D4044" s="6" t="str">
        <f t="shared" si="635"/>
        <v/>
      </c>
      <c r="E4044" s="35" t="str">
        <f t="shared" si="632"/>
        <v/>
      </c>
      <c r="F4044" s="31"/>
      <c r="G4044" s="29"/>
      <c r="H4044" s="78" t="str">
        <f t="shared" si="636"/>
        <v/>
      </c>
      <c r="I4044" s="25"/>
      <c r="J4044" s="25"/>
      <c r="K4044" s="26"/>
      <c r="L4044" s="26"/>
      <c r="M4044" s="37"/>
      <c r="N4044" s="27"/>
      <c r="O4044" s="30"/>
      <c r="P4044" s="39" t="str">
        <f t="shared" si="637"/>
        <v/>
      </c>
      <c r="Q4044" s="40" t="str">
        <f>IF(OR(T4044=0,RIGHT(T4044,1)=$W$1),"",COUNTIF($T$3:T4044,T4044))</f>
        <v/>
      </c>
      <c r="S4044" s="6">
        <f t="shared" si="638"/>
        <v>0</v>
      </c>
      <c r="T4044" s="36">
        <f t="shared" si="639"/>
        <v>0</v>
      </c>
      <c r="V4044" s="6">
        <f t="shared" si="640"/>
        <v>0</v>
      </c>
      <c r="Y4044" s="8">
        <f t="shared" si="641"/>
        <v>46023</v>
      </c>
    </row>
    <row r="4045" spans="2:25" ht="18.75" x14ac:dyDescent="0.3">
      <c r="B4045" s="6">
        <f t="shared" si="633"/>
        <v>0</v>
      </c>
      <c r="C4045" s="6">
        <f t="shared" si="634"/>
        <v>0</v>
      </c>
      <c r="D4045" s="6" t="str">
        <f t="shared" si="635"/>
        <v/>
      </c>
      <c r="E4045" s="35" t="str">
        <f t="shared" si="632"/>
        <v/>
      </c>
      <c r="F4045" s="31"/>
      <c r="G4045" s="29"/>
      <c r="H4045" s="78" t="str">
        <f t="shared" si="636"/>
        <v/>
      </c>
      <c r="I4045" s="25"/>
      <c r="J4045" s="25"/>
      <c r="K4045" s="26"/>
      <c r="L4045" s="26"/>
      <c r="M4045" s="37"/>
      <c r="N4045" s="27"/>
      <c r="O4045" s="30"/>
      <c r="P4045" s="39" t="str">
        <f t="shared" si="637"/>
        <v/>
      </c>
      <c r="Q4045" s="40" t="str">
        <f>IF(OR(T4045=0,RIGHT(T4045,1)=$W$1),"",COUNTIF($T$3:T4045,T4045))</f>
        <v/>
      </c>
      <c r="S4045" s="6">
        <f t="shared" si="638"/>
        <v>0</v>
      </c>
      <c r="T4045" s="36">
        <f t="shared" si="639"/>
        <v>0</v>
      </c>
      <c r="V4045" s="6">
        <f t="shared" si="640"/>
        <v>0</v>
      </c>
      <c r="Y4045" s="8">
        <f t="shared" si="641"/>
        <v>46023</v>
      </c>
    </row>
    <row r="4046" spans="2:25" ht="18.75" x14ac:dyDescent="0.3">
      <c r="B4046" s="6">
        <f t="shared" si="633"/>
        <v>0</v>
      </c>
      <c r="C4046" s="6">
        <f t="shared" si="634"/>
        <v>0</v>
      </c>
      <c r="D4046" s="6" t="str">
        <f t="shared" si="635"/>
        <v/>
      </c>
      <c r="E4046" s="35" t="str">
        <f t="shared" si="632"/>
        <v/>
      </c>
      <c r="F4046" s="31"/>
      <c r="G4046" s="29"/>
      <c r="H4046" s="78" t="str">
        <f t="shared" si="636"/>
        <v/>
      </c>
      <c r="I4046" s="25"/>
      <c r="J4046" s="25"/>
      <c r="K4046" s="26"/>
      <c r="L4046" s="26"/>
      <c r="M4046" s="37"/>
      <c r="N4046" s="27"/>
      <c r="O4046" s="30"/>
      <c r="P4046" s="39" t="str">
        <f t="shared" si="637"/>
        <v/>
      </c>
      <c r="Q4046" s="40" t="str">
        <f>IF(OR(T4046=0,RIGHT(T4046,1)=$W$1),"",COUNTIF($T$3:T4046,T4046))</f>
        <v/>
      </c>
      <c r="S4046" s="6">
        <f t="shared" si="638"/>
        <v>0</v>
      </c>
      <c r="T4046" s="36">
        <f t="shared" si="639"/>
        <v>0</v>
      </c>
      <c r="V4046" s="6">
        <f t="shared" si="640"/>
        <v>0</v>
      </c>
      <c r="Y4046" s="8">
        <f t="shared" si="641"/>
        <v>46023</v>
      </c>
    </row>
    <row r="4047" spans="2:25" ht="18.75" x14ac:dyDescent="0.3">
      <c r="B4047" s="6">
        <f t="shared" si="633"/>
        <v>0</v>
      </c>
      <c r="C4047" s="6">
        <f t="shared" si="634"/>
        <v>0</v>
      </c>
      <c r="D4047" s="6" t="str">
        <f t="shared" si="635"/>
        <v/>
      </c>
      <c r="E4047" s="35" t="str">
        <f t="shared" si="632"/>
        <v/>
      </c>
      <c r="F4047" s="31"/>
      <c r="G4047" s="29"/>
      <c r="H4047" s="78" t="str">
        <f t="shared" si="636"/>
        <v/>
      </c>
      <c r="I4047" s="25"/>
      <c r="J4047" s="25"/>
      <c r="K4047" s="26"/>
      <c r="L4047" s="26"/>
      <c r="M4047" s="37"/>
      <c r="N4047" s="27"/>
      <c r="O4047" s="30"/>
      <c r="P4047" s="39" t="str">
        <f t="shared" si="637"/>
        <v/>
      </c>
      <c r="Q4047" s="40" t="str">
        <f>IF(OR(T4047=0,RIGHT(T4047,1)=$W$1),"",COUNTIF($T$3:T4047,T4047))</f>
        <v/>
      </c>
      <c r="S4047" s="6">
        <f t="shared" si="638"/>
        <v>0</v>
      </c>
      <c r="T4047" s="36">
        <f t="shared" si="639"/>
        <v>0</v>
      </c>
      <c r="V4047" s="6">
        <f t="shared" si="640"/>
        <v>0</v>
      </c>
      <c r="Y4047" s="8">
        <f t="shared" si="641"/>
        <v>46023</v>
      </c>
    </row>
    <row r="4048" spans="2:25" ht="18.75" x14ac:dyDescent="0.3">
      <c r="B4048" s="6">
        <f t="shared" si="633"/>
        <v>0</v>
      </c>
      <c r="C4048" s="6">
        <f t="shared" si="634"/>
        <v>0</v>
      </c>
      <c r="D4048" s="6" t="str">
        <f t="shared" si="635"/>
        <v/>
      </c>
      <c r="E4048" s="35" t="str">
        <f t="shared" si="632"/>
        <v/>
      </c>
      <c r="F4048" s="31"/>
      <c r="G4048" s="29"/>
      <c r="H4048" s="78" t="str">
        <f t="shared" si="636"/>
        <v/>
      </c>
      <c r="I4048" s="25"/>
      <c r="J4048" s="25"/>
      <c r="K4048" s="26"/>
      <c r="L4048" s="26"/>
      <c r="M4048" s="37"/>
      <c r="N4048" s="27"/>
      <c r="O4048" s="30"/>
      <c r="P4048" s="39" t="str">
        <f t="shared" si="637"/>
        <v/>
      </c>
      <c r="Q4048" s="40" t="str">
        <f>IF(OR(T4048=0,RIGHT(T4048,1)=$W$1),"",COUNTIF($T$3:T4048,T4048))</f>
        <v/>
      </c>
      <c r="S4048" s="6">
        <f t="shared" si="638"/>
        <v>0</v>
      </c>
      <c r="T4048" s="36">
        <f t="shared" si="639"/>
        <v>0</v>
      </c>
      <c r="V4048" s="6">
        <f t="shared" si="640"/>
        <v>0</v>
      </c>
      <c r="Y4048" s="8">
        <f t="shared" si="641"/>
        <v>46023</v>
      </c>
    </row>
    <row r="4049" spans="2:25" ht="18.75" x14ac:dyDescent="0.3">
      <c r="B4049" s="6">
        <f t="shared" si="633"/>
        <v>0</v>
      </c>
      <c r="C4049" s="6">
        <f t="shared" si="634"/>
        <v>0</v>
      </c>
      <c r="D4049" s="6" t="str">
        <f t="shared" si="635"/>
        <v/>
      </c>
      <c r="E4049" s="35" t="str">
        <f t="shared" si="632"/>
        <v/>
      </c>
      <c r="F4049" s="31"/>
      <c r="G4049" s="29"/>
      <c r="H4049" s="78" t="str">
        <f t="shared" si="636"/>
        <v/>
      </c>
      <c r="I4049" s="25"/>
      <c r="J4049" s="25"/>
      <c r="K4049" s="26"/>
      <c r="L4049" s="26"/>
      <c r="M4049" s="37"/>
      <c r="N4049" s="27"/>
      <c r="O4049" s="30"/>
      <c r="P4049" s="39" t="str">
        <f t="shared" si="637"/>
        <v/>
      </c>
      <c r="Q4049" s="40" t="str">
        <f>IF(OR(T4049=0,RIGHT(T4049,1)=$W$1),"",COUNTIF($T$3:T4049,T4049))</f>
        <v/>
      </c>
      <c r="S4049" s="6">
        <f t="shared" si="638"/>
        <v>0</v>
      </c>
      <c r="T4049" s="36">
        <f t="shared" si="639"/>
        <v>0</v>
      </c>
      <c r="V4049" s="6">
        <f t="shared" si="640"/>
        <v>0</v>
      </c>
      <c r="Y4049" s="8">
        <f t="shared" si="641"/>
        <v>46023</v>
      </c>
    </row>
    <row r="4050" spans="2:25" ht="18.75" x14ac:dyDescent="0.3">
      <c r="B4050" s="6">
        <f t="shared" si="633"/>
        <v>0</v>
      </c>
      <c r="C4050" s="6">
        <f t="shared" si="634"/>
        <v>0</v>
      </c>
      <c r="D4050" s="6" t="str">
        <f t="shared" si="635"/>
        <v/>
      </c>
      <c r="E4050" s="35" t="str">
        <f t="shared" si="632"/>
        <v/>
      </c>
      <c r="F4050" s="31"/>
      <c r="G4050" s="29"/>
      <c r="H4050" s="78" t="str">
        <f t="shared" si="636"/>
        <v/>
      </c>
      <c r="I4050" s="25"/>
      <c r="J4050" s="25"/>
      <c r="K4050" s="26"/>
      <c r="L4050" s="26"/>
      <c r="M4050" s="37"/>
      <c r="N4050" s="27"/>
      <c r="O4050" s="30"/>
      <c r="P4050" s="39" t="str">
        <f t="shared" si="637"/>
        <v/>
      </c>
      <c r="Q4050" s="40" t="str">
        <f>IF(OR(T4050=0,RIGHT(T4050,1)=$W$1),"",COUNTIF($T$3:T4050,T4050))</f>
        <v/>
      </c>
      <c r="S4050" s="6">
        <f t="shared" si="638"/>
        <v>0</v>
      </c>
      <c r="T4050" s="36">
        <f t="shared" si="639"/>
        <v>0</v>
      </c>
      <c r="V4050" s="6">
        <f t="shared" si="640"/>
        <v>0</v>
      </c>
      <c r="Y4050" s="8">
        <f t="shared" si="641"/>
        <v>46023</v>
      </c>
    </row>
    <row r="4051" spans="2:25" ht="18.75" x14ac:dyDescent="0.3">
      <c r="B4051" s="6">
        <f t="shared" si="633"/>
        <v>0</v>
      </c>
      <c r="C4051" s="6">
        <f t="shared" si="634"/>
        <v>0</v>
      </c>
      <c r="D4051" s="6" t="str">
        <f t="shared" si="635"/>
        <v/>
      </c>
      <c r="E4051" s="35" t="str">
        <f t="shared" si="632"/>
        <v/>
      </c>
      <c r="F4051" s="31"/>
      <c r="G4051" s="29"/>
      <c r="H4051" s="78" t="str">
        <f t="shared" si="636"/>
        <v/>
      </c>
      <c r="I4051" s="25"/>
      <c r="J4051" s="25"/>
      <c r="K4051" s="26"/>
      <c r="L4051" s="26"/>
      <c r="M4051" s="37"/>
      <c r="N4051" s="27"/>
      <c r="O4051" s="30"/>
      <c r="P4051" s="39" t="str">
        <f t="shared" si="637"/>
        <v/>
      </c>
      <c r="Q4051" s="40" t="str">
        <f>IF(OR(T4051=0,RIGHT(T4051,1)=$W$1),"",COUNTIF($T$3:T4051,T4051))</f>
        <v/>
      </c>
      <c r="S4051" s="6">
        <f t="shared" si="638"/>
        <v>0</v>
      </c>
      <c r="T4051" s="36">
        <f t="shared" si="639"/>
        <v>0</v>
      </c>
      <c r="V4051" s="6">
        <f t="shared" si="640"/>
        <v>0</v>
      </c>
      <c r="Y4051" s="8">
        <f t="shared" si="641"/>
        <v>46023</v>
      </c>
    </row>
    <row r="4052" spans="2:25" ht="18.75" x14ac:dyDescent="0.3">
      <c r="B4052" s="6">
        <f t="shared" si="633"/>
        <v>0</v>
      </c>
      <c r="C4052" s="6">
        <f t="shared" si="634"/>
        <v>0</v>
      </c>
      <c r="D4052" s="6" t="str">
        <f t="shared" si="635"/>
        <v/>
      </c>
      <c r="E4052" s="35" t="str">
        <f t="shared" si="632"/>
        <v/>
      </c>
      <c r="F4052" s="31"/>
      <c r="G4052" s="29"/>
      <c r="H4052" s="78" t="str">
        <f t="shared" si="636"/>
        <v/>
      </c>
      <c r="I4052" s="25"/>
      <c r="J4052" s="25"/>
      <c r="K4052" s="26"/>
      <c r="L4052" s="26"/>
      <c r="M4052" s="37"/>
      <c r="N4052" s="27"/>
      <c r="O4052" s="30"/>
      <c r="P4052" s="39" t="str">
        <f t="shared" si="637"/>
        <v/>
      </c>
      <c r="Q4052" s="40" t="str">
        <f>IF(OR(T4052=0,RIGHT(T4052,1)=$W$1),"",COUNTIF($T$3:T4052,T4052))</f>
        <v/>
      </c>
      <c r="S4052" s="6">
        <f t="shared" si="638"/>
        <v>0</v>
      </c>
      <c r="T4052" s="36">
        <f t="shared" si="639"/>
        <v>0</v>
      </c>
      <c r="V4052" s="6">
        <f t="shared" si="640"/>
        <v>0</v>
      </c>
      <c r="Y4052" s="8">
        <f t="shared" si="641"/>
        <v>46023</v>
      </c>
    </row>
    <row r="4053" spans="2:25" ht="18.75" x14ac:dyDescent="0.3">
      <c r="B4053" s="6">
        <f t="shared" si="633"/>
        <v>0</v>
      </c>
      <c r="C4053" s="6">
        <f t="shared" si="634"/>
        <v>0</v>
      </c>
      <c r="D4053" s="6" t="str">
        <f t="shared" si="635"/>
        <v/>
      </c>
      <c r="E4053" s="35" t="str">
        <f t="shared" si="632"/>
        <v/>
      </c>
      <c r="F4053" s="31"/>
      <c r="G4053" s="29"/>
      <c r="H4053" s="78" t="str">
        <f t="shared" si="636"/>
        <v/>
      </c>
      <c r="I4053" s="25"/>
      <c r="J4053" s="25"/>
      <c r="K4053" s="26"/>
      <c r="L4053" s="26"/>
      <c r="M4053" s="37"/>
      <c r="N4053" s="27"/>
      <c r="O4053" s="30"/>
      <c r="P4053" s="39" t="str">
        <f t="shared" si="637"/>
        <v/>
      </c>
      <c r="Q4053" s="40" t="str">
        <f>IF(OR(T4053=0,RIGHT(T4053,1)=$W$1),"",COUNTIF($T$3:T4053,T4053))</f>
        <v/>
      </c>
      <c r="S4053" s="6">
        <f t="shared" si="638"/>
        <v>0</v>
      </c>
      <c r="T4053" s="36">
        <f t="shared" si="639"/>
        <v>0</v>
      </c>
      <c r="V4053" s="6">
        <f t="shared" si="640"/>
        <v>0</v>
      </c>
      <c r="Y4053" s="8">
        <f t="shared" si="641"/>
        <v>46023</v>
      </c>
    </row>
    <row r="4054" spans="2:25" ht="18.75" x14ac:dyDescent="0.3">
      <c r="B4054" s="6">
        <f t="shared" si="633"/>
        <v>0</v>
      </c>
      <c r="C4054" s="6">
        <f t="shared" si="634"/>
        <v>0</v>
      </c>
      <c r="D4054" s="6" t="str">
        <f t="shared" si="635"/>
        <v/>
      </c>
      <c r="E4054" s="35" t="str">
        <f t="shared" si="632"/>
        <v/>
      </c>
      <c r="F4054" s="31"/>
      <c r="G4054" s="29"/>
      <c r="H4054" s="78" t="str">
        <f t="shared" si="636"/>
        <v/>
      </c>
      <c r="I4054" s="25"/>
      <c r="J4054" s="25"/>
      <c r="K4054" s="26"/>
      <c r="L4054" s="26"/>
      <c r="M4054" s="37"/>
      <c r="N4054" s="27"/>
      <c r="O4054" s="30"/>
      <c r="P4054" s="39" t="str">
        <f t="shared" si="637"/>
        <v/>
      </c>
      <c r="Q4054" s="40" t="str">
        <f>IF(OR(T4054=0,RIGHT(T4054,1)=$W$1),"",COUNTIF($T$3:T4054,T4054))</f>
        <v/>
      </c>
      <c r="S4054" s="6">
        <f t="shared" si="638"/>
        <v>0</v>
      </c>
      <c r="T4054" s="36">
        <f t="shared" si="639"/>
        <v>0</v>
      </c>
      <c r="V4054" s="6">
        <f t="shared" si="640"/>
        <v>0</v>
      </c>
      <c r="Y4054" s="8">
        <f t="shared" si="641"/>
        <v>46023</v>
      </c>
    </row>
    <row r="4055" spans="2:25" ht="18.75" x14ac:dyDescent="0.3">
      <c r="B4055" s="6">
        <f t="shared" si="633"/>
        <v>0</v>
      </c>
      <c r="C4055" s="6">
        <f t="shared" si="634"/>
        <v>0</v>
      </c>
      <c r="D4055" s="6" t="str">
        <f t="shared" si="635"/>
        <v/>
      </c>
      <c r="E4055" s="35" t="str">
        <f t="shared" si="632"/>
        <v/>
      </c>
      <c r="F4055" s="31"/>
      <c r="G4055" s="29"/>
      <c r="H4055" s="78" t="str">
        <f t="shared" si="636"/>
        <v/>
      </c>
      <c r="I4055" s="25"/>
      <c r="J4055" s="25"/>
      <c r="K4055" s="26"/>
      <c r="L4055" s="26"/>
      <c r="M4055" s="37"/>
      <c r="N4055" s="27"/>
      <c r="O4055" s="30"/>
      <c r="P4055" s="39" t="str">
        <f t="shared" si="637"/>
        <v/>
      </c>
      <c r="Q4055" s="40" t="str">
        <f>IF(OR(T4055=0,RIGHT(T4055,1)=$W$1),"",COUNTIF($T$3:T4055,T4055))</f>
        <v/>
      </c>
      <c r="S4055" s="6">
        <f t="shared" si="638"/>
        <v>0</v>
      </c>
      <c r="T4055" s="36">
        <f t="shared" si="639"/>
        <v>0</v>
      </c>
      <c r="V4055" s="6">
        <f t="shared" si="640"/>
        <v>0</v>
      </c>
      <c r="Y4055" s="8">
        <f t="shared" si="641"/>
        <v>46023</v>
      </c>
    </row>
    <row r="4056" spans="2:25" ht="18.75" x14ac:dyDescent="0.3">
      <c r="B4056" s="6">
        <f t="shared" si="633"/>
        <v>0</v>
      </c>
      <c r="C4056" s="6">
        <f t="shared" si="634"/>
        <v>0</v>
      </c>
      <c r="D4056" s="6" t="str">
        <f t="shared" si="635"/>
        <v/>
      </c>
      <c r="E4056" s="35" t="str">
        <f t="shared" si="632"/>
        <v/>
      </c>
      <c r="F4056" s="31"/>
      <c r="G4056" s="29"/>
      <c r="H4056" s="78" t="str">
        <f t="shared" si="636"/>
        <v/>
      </c>
      <c r="I4056" s="25"/>
      <c r="J4056" s="25"/>
      <c r="K4056" s="26"/>
      <c r="L4056" s="26"/>
      <c r="M4056" s="37"/>
      <c r="N4056" s="27"/>
      <c r="O4056" s="30"/>
      <c r="P4056" s="39" t="str">
        <f t="shared" si="637"/>
        <v/>
      </c>
      <c r="Q4056" s="40" t="str">
        <f>IF(OR(T4056=0,RIGHT(T4056,1)=$W$1),"",COUNTIF($T$3:T4056,T4056))</f>
        <v/>
      </c>
      <c r="S4056" s="6">
        <f t="shared" si="638"/>
        <v>0</v>
      </c>
      <c r="T4056" s="36">
        <f t="shared" si="639"/>
        <v>0</v>
      </c>
      <c r="V4056" s="6">
        <f t="shared" si="640"/>
        <v>0</v>
      </c>
      <c r="Y4056" s="8">
        <f t="shared" si="641"/>
        <v>46023</v>
      </c>
    </row>
    <row r="4057" spans="2:25" ht="18.75" x14ac:dyDescent="0.3">
      <c r="B4057" s="6">
        <f t="shared" si="633"/>
        <v>0</v>
      </c>
      <c r="C4057" s="6">
        <f t="shared" si="634"/>
        <v>0</v>
      </c>
      <c r="D4057" s="6" t="str">
        <f t="shared" si="635"/>
        <v/>
      </c>
      <c r="E4057" s="35" t="str">
        <f t="shared" si="632"/>
        <v/>
      </c>
      <c r="F4057" s="31"/>
      <c r="G4057" s="29"/>
      <c r="H4057" s="78" t="str">
        <f t="shared" si="636"/>
        <v/>
      </c>
      <c r="I4057" s="25"/>
      <c r="J4057" s="25"/>
      <c r="K4057" s="26"/>
      <c r="L4057" s="26"/>
      <c r="M4057" s="37"/>
      <c r="N4057" s="27"/>
      <c r="O4057" s="30"/>
      <c r="P4057" s="39" t="str">
        <f t="shared" si="637"/>
        <v/>
      </c>
      <c r="Q4057" s="40" t="str">
        <f>IF(OR(T4057=0,RIGHT(T4057,1)=$W$1),"",COUNTIF($T$3:T4057,T4057))</f>
        <v/>
      </c>
      <c r="S4057" s="6">
        <f t="shared" si="638"/>
        <v>0</v>
      </c>
      <c r="T4057" s="36">
        <f t="shared" si="639"/>
        <v>0</v>
      </c>
      <c r="V4057" s="6">
        <f t="shared" si="640"/>
        <v>0</v>
      </c>
      <c r="Y4057" s="8">
        <f t="shared" si="641"/>
        <v>46023</v>
      </c>
    </row>
    <row r="4058" spans="2:25" ht="18.75" x14ac:dyDescent="0.3">
      <c r="B4058" s="6">
        <f t="shared" si="633"/>
        <v>0</v>
      </c>
      <c r="C4058" s="6">
        <f t="shared" si="634"/>
        <v>0</v>
      </c>
      <c r="D4058" s="6" t="str">
        <f t="shared" si="635"/>
        <v/>
      </c>
      <c r="E4058" s="35" t="str">
        <f t="shared" si="632"/>
        <v/>
      </c>
      <c r="F4058" s="31"/>
      <c r="G4058" s="29"/>
      <c r="H4058" s="78" t="str">
        <f t="shared" si="636"/>
        <v/>
      </c>
      <c r="I4058" s="25"/>
      <c r="J4058" s="25"/>
      <c r="K4058" s="26"/>
      <c r="L4058" s="26"/>
      <c r="M4058" s="37"/>
      <c r="N4058" s="27"/>
      <c r="O4058" s="30"/>
      <c r="P4058" s="39" t="str">
        <f t="shared" si="637"/>
        <v/>
      </c>
      <c r="Q4058" s="40" t="str">
        <f>IF(OR(T4058=0,RIGHT(T4058,1)=$W$1),"",COUNTIF($T$3:T4058,T4058))</f>
        <v/>
      </c>
      <c r="S4058" s="6">
        <f t="shared" si="638"/>
        <v>0</v>
      </c>
      <c r="T4058" s="36">
        <f t="shared" si="639"/>
        <v>0</v>
      </c>
      <c r="V4058" s="6">
        <f t="shared" si="640"/>
        <v>0</v>
      </c>
      <c r="Y4058" s="8">
        <f t="shared" si="641"/>
        <v>46023</v>
      </c>
    </row>
    <row r="4059" spans="2:25" ht="18.75" x14ac:dyDescent="0.3">
      <c r="B4059" s="6">
        <f t="shared" si="633"/>
        <v>0</v>
      </c>
      <c r="C4059" s="6">
        <f t="shared" si="634"/>
        <v>0</v>
      </c>
      <c r="D4059" s="6" t="str">
        <f t="shared" si="635"/>
        <v/>
      </c>
      <c r="E4059" s="35" t="str">
        <f t="shared" si="632"/>
        <v/>
      </c>
      <c r="F4059" s="31"/>
      <c r="G4059" s="29"/>
      <c r="H4059" s="78" t="str">
        <f t="shared" si="636"/>
        <v/>
      </c>
      <c r="I4059" s="25"/>
      <c r="J4059" s="25"/>
      <c r="K4059" s="26"/>
      <c r="L4059" s="26"/>
      <c r="M4059" s="37"/>
      <c r="N4059" s="27"/>
      <c r="O4059" s="30"/>
      <c r="P4059" s="39" t="str">
        <f t="shared" si="637"/>
        <v/>
      </c>
      <c r="Q4059" s="40" t="str">
        <f>IF(OR(T4059=0,RIGHT(T4059,1)=$W$1),"",COUNTIF($T$3:T4059,T4059))</f>
        <v/>
      </c>
      <c r="S4059" s="6">
        <f t="shared" si="638"/>
        <v>0</v>
      </c>
      <c r="T4059" s="36">
        <f t="shared" si="639"/>
        <v>0</v>
      </c>
      <c r="V4059" s="6">
        <f t="shared" si="640"/>
        <v>0</v>
      </c>
      <c r="Y4059" s="8">
        <f t="shared" si="641"/>
        <v>46023</v>
      </c>
    </row>
    <row r="4060" spans="2:25" ht="18.75" x14ac:dyDescent="0.3">
      <c r="B4060" s="6">
        <f t="shared" si="633"/>
        <v>0</v>
      </c>
      <c r="C4060" s="6">
        <f t="shared" si="634"/>
        <v>0</v>
      </c>
      <c r="D4060" s="6" t="str">
        <f t="shared" si="635"/>
        <v/>
      </c>
      <c r="E4060" s="35" t="str">
        <f t="shared" si="632"/>
        <v/>
      </c>
      <c r="F4060" s="31"/>
      <c r="G4060" s="29"/>
      <c r="H4060" s="78" t="str">
        <f t="shared" si="636"/>
        <v/>
      </c>
      <c r="I4060" s="25"/>
      <c r="J4060" s="25"/>
      <c r="K4060" s="26"/>
      <c r="L4060" s="26"/>
      <c r="M4060" s="37"/>
      <c r="N4060" s="27"/>
      <c r="O4060" s="30"/>
      <c r="P4060" s="39" t="str">
        <f t="shared" si="637"/>
        <v/>
      </c>
      <c r="Q4060" s="40" t="str">
        <f>IF(OR(T4060=0,RIGHT(T4060,1)=$W$1),"",COUNTIF($T$3:T4060,T4060))</f>
        <v/>
      </c>
      <c r="S4060" s="6">
        <f t="shared" si="638"/>
        <v>0</v>
      </c>
      <c r="T4060" s="36">
        <f t="shared" si="639"/>
        <v>0</v>
      </c>
      <c r="V4060" s="6">
        <f t="shared" si="640"/>
        <v>0</v>
      </c>
      <c r="Y4060" s="8">
        <f t="shared" si="641"/>
        <v>46023</v>
      </c>
    </row>
    <row r="4061" spans="2:25" ht="18.75" x14ac:dyDescent="0.3">
      <c r="B4061" s="6">
        <f t="shared" si="633"/>
        <v>0</v>
      </c>
      <c r="C4061" s="6">
        <f t="shared" si="634"/>
        <v>0</v>
      </c>
      <c r="D4061" s="6" t="str">
        <f t="shared" si="635"/>
        <v/>
      </c>
      <c r="E4061" s="35" t="str">
        <f t="shared" si="632"/>
        <v/>
      </c>
      <c r="F4061" s="31"/>
      <c r="G4061" s="29"/>
      <c r="H4061" s="78" t="str">
        <f t="shared" si="636"/>
        <v/>
      </c>
      <c r="I4061" s="25"/>
      <c r="J4061" s="25"/>
      <c r="K4061" s="26"/>
      <c r="L4061" s="26"/>
      <c r="M4061" s="37"/>
      <c r="N4061" s="27"/>
      <c r="O4061" s="30"/>
      <c r="P4061" s="39" t="str">
        <f t="shared" si="637"/>
        <v/>
      </c>
      <c r="Q4061" s="40" t="str">
        <f>IF(OR(T4061=0,RIGHT(T4061,1)=$W$1),"",COUNTIF($T$3:T4061,T4061))</f>
        <v/>
      </c>
      <c r="S4061" s="6">
        <f t="shared" si="638"/>
        <v>0</v>
      </c>
      <c r="T4061" s="36">
        <f t="shared" si="639"/>
        <v>0</v>
      </c>
      <c r="V4061" s="6">
        <f t="shared" si="640"/>
        <v>0</v>
      </c>
      <c r="Y4061" s="8">
        <f t="shared" si="641"/>
        <v>46023</v>
      </c>
    </row>
    <row r="4062" spans="2:25" ht="18.75" x14ac:dyDescent="0.3">
      <c r="B4062" s="6">
        <f t="shared" si="633"/>
        <v>0</v>
      </c>
      <c r="C4062" s="6">
        <f t="shared" si="634"/>
        <v>0</v>
      </c>
      <c r="D4062" s="6" t="str">
        <f t="shared" si="635"/>
        <v/>
      </c>
      <c r="E4062" s="35" t="str">
        <f t="shared" si="632"/>
        <v/>
      </c>
      <c r="F4062" s="31"/>
      <c r="G4062" s="29"/>
      <c r="H4062" s="78" t="str">
        <f t="shared" si="636"/>
        <v/>
      </c>
      <c r="I4062" s="25"/>
      <c r="J4062" s="25"/>
      <c r="K4062" s="26"/>
      <c r="L4062" s="26"/>
      <c r="M4062" s="37"/>
      <c r="N4062" s="27"/>
      <c r="O4062" s="30"/>
      <c r="P4062" s="39" t="str">
        <f t="shared" si="637"/>
        <v/>
      </c>
      <c r="Q4062" s="40" t="str">
        <f>IF(OR(T4062=0,RIGHT(T4062,1)=$W$1),"",COUNTIF($T$3:T4062,T4062))</f>
        <v/>
      </c>
      <c r="S4062" s="6">
        <f t="shared" si="638"/>
        <v>0</v>
      </c>
      <c r="T4062" s="36">
        <f t="shared" si="639"/>
        <v>0</v>
      </c>
      <c r="V4062" s="6">
        <f t="shared" si="640"/>
        <v>0</v>
      </c>
      <c r="Y4062" s="8">
        <f t="shared" si="641"/>
        <v>46023</v>
      </c>
    </row>
    <row r="4063" spans="2:25" ht="18.75" x14ac:dyDescent="0.3">
      <c r="B4063" s="6">
        <f t="shared" si="633"/>
        <v>0</v>
      </c>
      <c r="C4063" s="6">
        <f t="shared" si="634"/>
        <v>0</v>
      </c>
      <c r="D4063" s="6" t="str">
        <f t="shared" si="635"/>
        <v/>
      </c>
      <c r="E4063" s="35" t="str">
        <f t="shared" si="632"/>
        <v/>
      </c>
      <c r="F4063" s="31"/>
      <c r="G4063" s="29"/>
      <c r="H4063" s="78" t="str">
        <f t="shared" si="636"/>
        <v/>
      </c>
      <c r="I4063" s="25"/>
      <c r="J4063" s="25"/>
      <c r="K4063" s="26"/>
      <c r="L4063" s="26"/>
      <c r="M4063" s="37"/>
      <c r="N4063" s="27"/>
      <c r="O4063" s="30"/>
      <c r="P4063" s="39" t="str">
        <f t="shared" si="637"/>
        <v/>
      </c>
      <c r="Q4063" s="40" t="str">
        <f>IF(OR(T4063=0,RIGHT(T4063,1)=$W$1),"",COUNTIF($T$3:T4063,T4063))</f>
        <v/>
      </c>
      <c r="S4063" s="6">
        <f t="shared" si="638"/>
        <v>0</v>
      </c>
      <c r="T4063" s="36">
        <f t="shared" si="639"/>
        <v>0</v>
      </c>
      <c r="V4063" s="6">
        <f t="shared" si="640"/>
        <v>0</v>
      </c>
      <c r="Y4063" s="8">
        <f t="shared" si="641"/>
        <v>46023</v>
      </c>
    </row>
    <row r="4064" spans="2:25" ht="18.75" x14ac:dyDescent="0.3">
      <c r="B4064" s="6">
        <f t="shared" si="633"/>
        <v>0</v>
      </c>
      <c r="C4064" s="6">
        <f t="shared" si="634"/>
        <v>0</v>
      </c>
      <c r="D4064" s="6" t="str">
        <f t="shared" si="635"/>
        <v/>
      </c>
      <c r="E4064" s="35" t="str">
        <f t="shared" si="632"/>
        <v/>
      </c>
      <c r="F4064" s="31"/>
      <c r="G4064" s="29"/>
      <c r="H4064" s="78" t="str">
        <f t="shared" si="636"/>
        <v/>
      </c>
      <c r="I4064" s="25"/>
      <c r="J4064" s="25"/>
      <c r="K4064" s="26"/>
      <c r="L4064" s="26"/>
      <c r="M4064" s="37"/>
      <c r="N4064" s="27"/>
      <c r="O4064" s="30"/>
      <c r="P4064" s="39" t="str">
        <f t="shared" si="637"/>
        <v/>
      </c>
      <c r="Q4064" s="40" t="str">
        <f>IF(OR(T4064=0,RIGHT(T4064,1)=$W$1),"",COUNTIF($T$3:T4064,T4064))</f>
        <v/>
      </c>
      <c r="S4064" s="6">
        <f t="shared" si="638"/>
        <v>0</v>
      </c>
      <c r="T4064" s="36">
        <f t="shared" si="639"/>
        <v>0</v>
      </c>
      <c r="V4064" s="6">
        <f t="shared" si="640"/>
        <v>0</v>
      </c>
      <c r="Y4064" s="8">
        <f t="shared" si="641"/>
        <v>46023</v>
      </c>
    </row>
    <row r="4065" spans="2:25" ht="18.75" x14ac:dyDescent="0.3">
      <c r="B4065" s="6">
        <f t="shared" si="633"/>
        <v>0</v>
      </c>
      <c r="C4065" s="6">
        <f t="shared" si="634"/>
        <v>0</v>
      </c>
      <c r="D4065" s="6" t="str">
        <f t="shared" si="635"/>
        <v/>
      </c>
      <c r="E4065" s="35" t="str">
        <f t="shared" si="632"/>
        <v/>
      </c>
      <c r="F4065" s="31"/>
      <c r="G4065" s="29"/>
      <c r="H4065" s="78" t="str">
        <f t="shared" si="636"/>
        <v/>
      </c>
      <c r="I4065" s="25"/>
      <c r="J4065" s="25"/>
      <c r="K4065" s="26"/>
      <c r="L4065" s="26"/>
      <c r="M4065" s="37"/>
      <c r="N4065" s="27"/>
      <c r="O4065" s="30"/>
      <c r="P4065" s="39" t="str">
        <f t="shared" si="637"/>
        <v/>
      </c>
      <c r="Q4065" s="40" t="str">
        <f>IF(OR(T4065=0,RIGHT(T4065,1)=$W$1),"",COUNTIF($T$3:T4065,T4065))</f>
        <v/>
      </c>
      <c r="S4065" s="6">
        <f t="shared" si="638"/>
        <v>0</v>
      </c>
      <c r="T4065" s="36">
        <f t="shared" si="639"/>
        <v>0</v>
      </c>
      <c r="V4065" s="6">
        <f t="shared" si="640"/>
        <v>0</v>
      </c>
      <c r="Y4065" s="8">
        <f t="shared" si="641"/>
        <v>46023</v>
      </c>
    </row>
    <row r="4066" spans="2:25" ht="18.75" x14ac:dyDescent="0.3">
      <c r="B4066" s="6">
        <f t="shared" si="633"/>
        <v>0</v>
      </c>
      <c r="C4066" s="6">
        <f t="shared" si="634"/>
        <v>0</v>
      </c>
      <c r="D4066" s="6" t="str">
        <f t="shared" si="635"/>
        <v/>
      </c>
      <c r="E4066" s="35" t="str">
        <f t="shared" si="632"/>
        <v/>
      </c>
      <c r="F4066" s="31"/>
      <c r="G4066" s="29"/>
      <c r="H4066" s="78" t="str">
        <f t="shared" si="636"/>
        <v/>
      </c>
      <c r="I4066" s="25"/>
      <c r="J4066" s="25"/>
      <c r="K4066" s="26"/>
      <c r="L4066" s="26"/>
      <c r="M4066" s="37"/>
      <c r="N4066" s="27"/>
      <c r="O4066" s="30"/>
      <c r="P4066" s="39" t="str">
        <f t="shared" si="637"/>
        <v/>
      </c>
      <c r="Q4066" s="40" t="str">
        <f>IF(OR(T4066=0,RIGHT(T4066,1)=$W$1),"",COUNTIF($T$3:T4066,T4066))</f>
        <v/>
      </c>
      <c r="S4066" s="6">
        <f t="shared" si="638"/>
        <v>0</v>
      </c>
      <c r="T4066" s="36">
        <f t="shared" si="639"/>
        <v>0</v>
      </c>
      <c r="V4066" s="6">
        <f t="shared" si="640"/>
        <v>0</v>
      </c>
      <c r="Y4066" s="8">
        <f t="shared" si="641"/>
        <v>46023</v>
      </c>
    </row>
    <row r="4067" spans="2:25" ht="18.75" x14ac:dyDescent="0.3">
      <c r="B4067" s="6">
        <f t="shared" si="633"/>
        <v>0</v>
      </c>
      <c r="C4067" s="6">
        <f t="shared" si="634"/>
        <v>0</v>
      </c>
      <c r="D4067" s="6" t="str">
        <f t="shared" si="635"/>
        <v/>
      </c>
      <c r="E4067" s="35" t="str">
        <f t="shared" si="632"/>
        <v/>
      </c>
      <c r="F4067" s="31"/>
      <c r="G4067" s="29"/>
      <c r="H4067" s="78" t="str">
        <f t="shared" si="636"/>
        <v/>
      </c>
      <c r="I4067" s="25"/>
      <c r="J4067" s="25"/>
      <c r="K4067" s="26"/>
      <c r="L4067" s="26"/>
      <c r="M4067" s="37"/>
      <c r="N4067" s="27"/>
      <c r="O4067" s="30"/>
      <c r="P4067" s="39" t="str">
        <f t="shared" si="637"/>
        <v/>
      </c>
      <c r="Q4067" s="40" t="str">
        <f>IF(OR(T4067=0,RIGHT(T4067,1)=$W$1),"",COUNTIF($T$3:T4067,T4067))</f>
        <v/>
      </c>
      <c r="S4067" s="6">
        <f t="shared" si="638"/>
        <v>0</v>
      </c>
      <c r="T4067" s="36">
        <f t="shared" si="639"/>
        <v>0</v>
      </c>
      <c r="V4067" s="6">
        <f t="shared" si="640"/>
        <v>0</v>
      </c>
      <c r="Y4067" s="8">
        <f t="shared" si="641"/>
        <v>46023</v>
      </c>
    </row>
    <row r="4068" spans="2:25" ht="18.75" x14ac:dyDescent="0.3">
      <c r="B4068" s="6">
        <f t="shared" si="633"/>
        <v>0</v>
      </c>
      <c r="C4068" s="6">
        <f t="shared" si="634"/>
        <v>0</v>
      </c>
      <c r="D4068" s="6" t="str">
        <f t="shared" si="635"/>
        <v/>
      </c>
      <c r="E4068" s="35" t="str">
        <f t="shared" si="632"/>
        <v/>
      </c>
      <c r="F4068" s="31"/>
      <c r="G4068" s="29"/>
      <c r="H4068" s="78" t="str">
        <f t="shared" si="636"/>
        <v/>
      </c>
      <c r="I4068" s="25"/>
      <c r="J4068" s="25"/>
      <c r="K4068" s="26"/>
      <c r="L4068" s="26"/>
      <c r="M4068" s="37"/>
      <c r="N4068" s="27"/>
      <c r="O4068" s="30"/>
      <c r="P4068" s="39" t="str">
        <f t="shared" si="637"/>
        <v/>
      </c>
      <c r="Q4068" s="40" t="str">
        <f>IF(OR(T4068=0,RIGHT(T4068,1)=$W$1),"",COUNTIF($T$3:T4068,T4068))</f>
        <v/>
      </c>
      <c r="S4068" s="6">
        <f t="shared" si="638"/>
        <v>0</v>
      </c>
      <c r="T4068" s="36">
        <f t="shared" si="639"/>
        <v>0</v>
      </c>
      <c r="V4068" s="6">
        <f t="shared" si="640"/>
        <v>0</v>
      </c>
      <c r="Y4068" s="8">
        <f t="shared" si="641"/>
        <v>46023</v>
      </c>
    </row>
    <row r="4069" spans="2:25" ht="18.75" x14ac:dyDescent="0.3">
      <c r="B4069" s="6">
        <f t="shared" si="633"/>
        <v>0</v>
      </c>
      <c r="C4069" s="6">
        <f t="shared" si="634"/>
        <v>0</v>
      </c>
      <c r="D4069" s="6" t="str">
        <f t="shared" si="635"/>
        <v/>
      </c>
      <c r="E4069" s="35" t="str">
        <f t="shared" si="632"/>
        <v/>
      </c>
      <c r="F4069" s="31"/>
      <c r="G4069" s="29"/>
      <c r="H4069" s="78" t="str">
        <f t="shared" si="636"/>
        <v/>
      </c>
      <c r="I4069" s="25"/>
      <c r="J4069" s="25"/>
      <c r="K4069" s="26"/>
      <c r="L4069" s="26"/>
      <c r="M4069" s="37"/>
      <c r="N4069" s="27"/>
      <c r="O4069" s="30"/>
      <c r="P4069" s="39" t="str">
        <f t="shared" si="637"/>
        <v/>
      </c>
      <c r="Q4069" s="40" t="str">
        <f>IF(OR(T4069=0,RIGHT(T4069,1)=$W$1),"",COUNTIF($T$3:T4069,T4069))</f>
        <v/>
      </c>
      <c r="S4069" s="6">
        <f t="shared" si="638"/>
        <v>0</v>
      </c>
      <c r="T4069" s="36">
        <f t="shared" si="639"/>
        <v>0</v>
      </c>
      <c r="V4069" s="6">
        <f t="shared" si="640"/>
        <v>0</v>
      </c>
      <c r="Y4069" s="8">
        <f t="shared" si="641"/>
        <v>46023</v>
      </c>
    </row>
    <row r="4070" spans="2:25" ht="18.75" x14ac:dyDescent="0.3">
      <c r="B4070" s="6">
        <f t="shared" si="633"/>
        <v>0</v>
      </c>
      <c r="C4070" s="6">
        <f t="shared" si="634"/>
        <v>0</v>
      </c>
      <c r="D4070" s="6" t="str">
        <f t="shared" si="635"/>
        <v/>
      </c>
      <c r="E4070" s="35" t="str">
        <f t="shared" si="632"/>
        <v/>
      </c>
      <c r="F4070" s="31"/>
      <c r="G4070" s="29"/>
      <c r="H4070" s="78" t="str">
        <f t="shared" si="636"/>
        <v/>
      </c>
      <c r="I4070" s="25"/>
      <c r="J4070" s="25"/>
      <c r="K4070" s="26"/>
      <c r="L4070" s="26"/>
      <c r="M4070" s="37"/>
      <c r="N4070" s="27"/>
      <c r="O4070" s="30"/>
      <c r="P4070" s="39" t="str">
        <f t="shared" si="637"/>
        <v/>
      </c>
      <c r="Q4070" s="40" t="str">
        <f>IF(OR(T4070=0,RIGHT(T4070,1)=$W$1),"",COUNTIF($T$3:T4070,T4070))</f>
        <v/>
      </c>
      <c r="S4070" s="6">
        <f t="shared" si="638"/>
        <v>0</v>
      </c>
      <c r="T4070" s="36">
        <f t="shared" si="639"/>
        <v>0</v>
      </c>
      <c r="V4070" s="6">
        <f t="shared" si="640"/>
        <v>0</v>
      </c>
      <c r="Y4070" s="8">
        <f t="shared" si="641"/>
        <v>46023</v>
      </c>
    </row>
    <row r="4071" spans="2:25" ht="18.75" x14ac:dyDescent="0.3">
      <c r="B4071" s="6">
        <f t="shared" si="633"/>
        <v>0</v>
      </c>
      <c r="C4071" s="6">
        <f t="shared" si="634"/>
        <v>0</v>
      </c>
      <c r="D4071" s="6" t="str">
        <f t="shared" si="635"/>
        <v/>
      </c>
      <c r="E4071" s="35" t="str">
        <f t="shared" si="632"/>
        <v/>
      </c>
      <c r="F4071" s="31"/>
      <c r="G4071" s="29"/>
      <c r="H4071" s="78" t="str">
        <f t="shared" si="636"/>
        <v/>
      </c>
      <c r="I4071" s="25"/>
      <c r="J4071" s="25"/>
      <c r="K4071" s="26"/>
      <c r="L4071" s="26"/>
      <c r="M4071" s="37"/>
      <c r="N4071" s="27"/>
      <c r="O4071" s="30"/>
      <c r="P4071" s="39" t="str">
        <f t="shared" si="637"/>
        <v/>
      </c>
      <c r="Q4071" s="40" t="str">
        <f>IF(OR(T4071=0,RIGHT(T4071,1)=$W$1),"",COUNTIF($T$3:T4071,T4071))</f>
        <v/>
      </c>
      <c r="S4071" s="6">
        <f t="shared" si="638"/>
        <v>0</v>
      </c>
      <c r="T4071" s="36">
        <f t="shared" si="639"/>
        <v>0</v>
      </c>
      <c r="V4071" s="6">
        <f t="shared" si="640"/>
        <v>0</v>
      </c>
      <c r="Y4071" s="8">
        <f t="shared" si="641"/>
        <v>46023</v>
      </c>
    </row>
    <row r="4072" spans="2:25" ht="18.75" x14ac:dyDescent="0.3">
      <c r="B4072" s="6">
        <f t="shared" si="633"/>
        <v>0</v>
      </c>
      <c r="C4072" s="6">
        <f t="shared" si="634"/>
        <v>0</v>
      </c>
      <c r="D4072" s="6" t="str">
        <f t="shared" si="635"/>
        <v/>
      </c>
      <c r="E4072" s="35" t="str">
        <f t="shared" si="632"/>
        <v/>
      </c>
      <c r="F4072" s="31"/>
      <c r="G4072" s="29"/>
      <c r="H4072" s="78" t="str">
        <f t="shared" si="636"/>
        <v/>
      </c>
      <c r="I4072" s="25"/>
      <c r="J4072" s="25"/>
      <c r="K4072" s="26"/>
      <c r="L4072" s="26"/>
      <c r="M4072" s="37"/>
      <c r="N4072" s="27"/>
      <c r="O4072" s="30"/>
      <c r="P4072" s="39" t="str">
        <f t="shared" si="637"/>
        <v/>
      </c>
      <c r="Q4072" s="40" t="str">
        <f>IF(OR(T4072=0,RIGHT(T4072,1)=$W$1),"",COUNTIF($T$3:T4072,T4072))</f>
        <v/>
      </c>
      <c r="S4072" s="6">
        <f t="shared" si="638"/>
        <v>0</v>
      </c>
      <c r="T4072" s="36">
        <f t="shared" si="639"/>
        <v>0</v>
      </c>
      <c r="V4072" s="6">
        <f t="shared" si="640"/>
        <v>0</v>
      </c>
      <c r="Y4072" s="8">
        <f t="shared" si="641"/>
        <v>46023</v>
      </c>
    </row>
    <row r="4073" spans="2:25" ht="18.75" x14ac:dyDescent="0.3">
      <c r="B4073" s="6">
        <f t="shared" si="633"/>
        <v>0</v>
      </c>
      <c r="C4073" s="6">
        <f t="shared" si="634"/>
        <v>0</v>
      </c>
      <c r="D4073" s="6" t="str">
        <f t="shared" si="635"/>
        <v/>
      </c>
      <c r="E4073" s="35" t="str">
        <f t="shared" si="632"/>
        <v/>
      </c>
      <c r="F4073" s="31"/>
      <c r="G4073" s="29"/>
      <c r="H4073" s="78" t="str">
        <f t="shared" si="636"/>
        <v/>
      </c>
      <c r="I4073" s="25"/>
      <c r="J4073" s="25"/>
      <c r="K4073" s="26"/>
      <c r="L4073" s="26"/>
      <c r="M4073" s="37"/>
      <c r="N4073" s="27"/>
      <c r="O4073" s="30"/>
      <c r="P4073" s="39" t="str">
        <f t="shared" si="637"/>
        <v/>
      </c>
      <c r="Q4073" s="40" t="str">
        <f>IF(OR(T4073=0,RIGHT(T4073,1)=$W$1),"",COUNTIF($T$3:T4073,T4073))</f>
        <v/>
      </c>
      <c r="S4073" s="6">
        <f t="shared" si="638"/>
        <v>0</v>
      </c>
      <c r="T4073" s="36">
        <f t="shared" si="639"/>
        <v>0</v>
      </c>
      <c r="V4073" s="6">
        <f t="shared" si="640"/>
        <v>0</v>
      </c>
      <c r="Y4073" s="8">
        <f t="shared" si="641"/>
        <v>46023</v>
      </c>
    </row>
    <row r="4074" spans="2:25" ht="18.75" x14ac:dyDescent="0.3">
      <c r="B4074" s="6">
        <f t="shared" si="633"/>
        <v>0</v>
      </c>
      <c r="C4074" s="6">
        <f t="shared" si="634"/>
        <v>0</v>
      </c>
      <c r="D4074" s="6" t="str">
        <f t="shared" si="635"/>
        <v/>
      </c>
      <c r="E4074" s="35" t="str">
        <f t="shared" si="632"/>
        <v/>
      </c>
      <c r="F4074" s="31"/>
      <c r="G4074" s="29"/>
      <c r="H4074" s="78" t="str">
        <f t="shared" si="636"/>
        <v/>
      </c>
      <c r="I4074" s="25"/>
      <c r="J4074" s="25"/>
      <c r="K4074" s="26"/>
      <c r="L4074" s="26"/>
      <c r="M4074" s="37"/>
      <c r="N4074" s="27"/>
      <c r="O4074" s="30"/>
      <c r="P4074" s="39" t="str">
        <f t="shared" si="637"/>
        <v/>
      </c>
      <c r="Q4074" s="40" t="str">
        <f>IF(OR(T4074=0,RIGHT(T4074,1)=$W$1),"",COUNTIF($T$3:T4074,T4074))</f>
        <v/>
      </c>
      <c r="S4074" s="6">
        <f t="shared" si="638"/>
        <v>0</v>
      </c>
      <c r="T4074" s="36">
        <f t="shared" si="639"/>
        <v>0</v>
      </c>
      <c r="V4074" s="6">
        <f t="shared" si="640"/>
        <v>0</v>
      </c>
      <c r="Y4074" s="8">
        <f t="shared" si="641"/>
        <v>46023</v>
      </c>
    </row>
    <row r="4075" spans="2:25" ht="18.75" x14ac:dyDescent="0.3">
      <c r="B4075" s="6">
        <f t="shared" si="633"/>
        <v>0</v>
      </c>
      <c r="C4075" s="6">
        <f t="shared" si="634"/>
        <v>0</v>
      </c>
      <c r="D4075" s="6" t="str">
        <f t="shared" si="635"/>
        <v/>
      </c>
      <c r="E4075" s="35" t="str">
        <f t="shared" si="632"/>
        <v/>
      </c>
      <c r="F4075" s="31"/>
      <c r="G4075" s="29"/>
      <c r="H4075" s="78" t="str">
        <f t="shared" si="636"/>
        <v/>
      </c>
      <c r="I4075" s="25"/>
      <c r="J4075" s="25"/>
      <c r="K4075" s="26"/>
      <c r="L4075" s="26"/>
      <c r="M4075" s="37"/>
      <c r="N4075" s="27"/>
      <c r="O4075" s="30"/>
      <c r="P4075" s="39" t="str">
        <f t="shared" si="637"/>
        <v/>
      </c>
      <c r="Q4075" s="40" t="str">
        <f>IF(OR(T4075=0,RIGHT(T4075,1)=$W$1),"",COUNTIF($T$3:T4075,T4075))</f>
        <v/>
      </c>
      <c r="S4075" s="6">
        <f t="shared" si="638"/>
        <v>0</v>
      </c>
      <c r="T4075" s="36">
        <f t="shared" si="639"/>
        <v>0</v>
      </c>
      <c r="V4075" s="6">
        <f t="shared" si="640"/>
        <v>0</v>
      </c>
      <c r="Y4075" s="8">
        <f t="shared" si="641"/>
        <v>46023</v>
      </c>
    </row>
    <row r="4076" spans="2:25" ht="18.75" x14ac:dyDescent="0.3">
      <c r="B4076" s="6">
        <f t="shared" si="633"/>
        <v>0</v>
      </c>
      <c r="C4076" s="6">
        <f t="shared" si="634"/>
        <v>0</v>
      </c>
      <c r="D4076" s="6" t="str">
        <f t="shared" si="635"/>
        <v/>
      </c>
      <c r="E4076" s="35" t="str">
        <f t="shared" si="632"/>
        <v/>
      </c>
      <c r="F4076" s="31"/>
      <c r="G4076" s="29"/>
      <c r="H4076" s="78" t="str">
        <f t="shared" si="636"/>
        <v/>
      </c>
      <c r="I4076" s="25"/>
      <c r="J4076" s="25"/>
      <c r="K4076" s="26"/>
      <c r="L4076" s="26"/>
      <c r="M4076" s="37"/>
      <c r="N4076" s="27"/>
      <c r="O4076" s="30"/>
      <c r="P4076" s="39" t="str">
        <f t="shared" si="637"/>
        <v/>
      </c>
      <c r="Q4076" s="40" t="str">
        <f>IF(OR(T4076=0,RIGHT(T4076,1)=$W$1),"",COUNTIF($T$3:T4076,T4076))</f>
        <v/>
      </c>
      <c r="S4076" s="6">
        <f t="shared" si="638"/>
        <v>0</v>
      </c>
      <c r="T4076" s="36">
        <f t="shared" si="639"/>
        <v>0</v>
      </c>
      <c r="V4076" s="6">
        <f t="shared" si="640"/>
        <v>0</v>
      </c>
      <c r="Y4076" s="8">
        <f t="shared" si="641"/>
        <v>46023</v>
      </c>
    </row>
    <row r="4077" spans="2:25" ht="18.75" x14ac:dyDescent="0.3">
      <c r="B4077" s="6">
        <f t="shared" si="633"/>
        <v>0</v>
      </c>
      <c r="C4077" s="6">
        <f t="shared" si="634"/>
        <v>0</v>
      </c>
      <c r="D4077" s="6" t="str">
        <f t="shared" si="635"/>
        <v/>
      </c>
      <c r="E4077" s="35" t="str">
        <f t="shared" si="632"/>
        <v/>
      </c>
      <c r="F4077" s="31"/>
      <c r="G4077" s="29"/>
      <c r="H4077" s="78" t="str">
        <f t="shared" si="636"/>
        <v/>
      </c>
      <c r="I4077" s="25"/>
      <c r="J4077" s="25"/>
      <c r="K4077" s="26"/>
      <c r="L4077" s="26"/>
      <c r="M4077" s="37"/>
      <c r="N4077" s="27"/>
      <c r="O4077" s="30"/>
      <c r="P4077" s="39" t="str">
        <f t="shared" si="637"/>
        <v/>
      </c>
      <c r="Q4077" s="40" t="str">
        <f>IF(OR(T4077=0,RIGHT(T4077,1)=$W$1),"",COUNTIF($T$3:T4077,T4077))</f>
        <v/>
      </c>
      <c r="S4077" s="6">
        <f t="shared" si="638"/>
        <v>0</v>
      </c>
      <c r="T4077" s="36">
        <f t="shared" si="639"/>
        <v>0</v>
      </c>
      <c r="V4077" s="6">
        <f t="shared" si="640"/>
        <v>0</v>
      </c>
      <c r="Y4077" s="8">
        <f t="shared" si="641"/>
        <v>46023</v>
      </c>
    </row>
    <row r="4078" spans="2:25" ht="18.75" x14ac:dyDescent="0.3">
      <c r="B4078" s="6">
        <f t="shared" si="633"/>
        <v>0</v>
      </c>
      <c r="C4078" s="6">
        <f t="shared" si="634"/>
        <v>0</v>
      </c>
      <c r="D4078" s="6" t="str">
        <f t="shared" si="635"/>
        <v/>
      </c>
      <c r="E4078" s="35" t="str">
        <f t="shared" si="632"/>
        <v/>
      </c>
      <c r="F4078" s="31"/>
      <c r="G4078" s="29"/>
      <c r="H4078" s="78" t="str">
        <f t="shared" si="636"/>
        <v/>
      </c>
      <c r="I4078" s="25"/>
      <c r="J4078" s="25"/>
      <c r="K4078" s="26"/>
      <c r="L4078" s="26"/>
      <c r="M4078" s="37"/>
      <c r="N4078" s="27"/>
      <c r="O4078" s="30"/>
      <c r="P4078" s="39" t="str">
        <f t="shared" si="637"/>
        <v/>
      </c>
      <c r="Q4078" s="40" t="str">
        <f>IF(OR(T4078=0,RIGHT(T4078,1)=$W$1),"",COUNTIF($T$3:T4078,T4078))</f>
        <v/>
      </c>
      <c r="S4078" s="6">
        <f t="shared" si="638"/>
        <v>0</v>
      </c>
      <c r="T4078" s="36">
        <f t="shared" si="639"/>
        <v>0</v>
      </c>
      <c r="V4078" s="6">
        <f t="shared" si="640"/>
        <v>0</v>
      </c>
      <c r="Y4078" s="8">
        <f t="shared" si="641"/>
        <v>46023</v>
      </c>
    </row>
    <row r="4079" spans="2:25" ht="18.75" x14ac:dyDescent="0.3">
      <c r="B4079" s="6">
        <f t="shared" si="633"/>
        <v>0</v>
      </c>
      <c r="C4079" s="6">
        <f t="shared" si="634"/>
        <v>0</v>
      </c>
      <c r="D4079" s="6" t="str">
        <f t="shared" si="635"/>
        <v/>
      </c>
      <c r="E4079" s="35" t="str">
        <f t="shared" si="632"/>
        <v/>
      </c>
      <c r="F4079" s="31"/>
      <c r="G4079" s="29"/>
      <c r="H4079" s="78" t="str">
        <f t="shared" si="636"/>
        <v/>
      </c>
      <c r="I4079" s="25"/>
      <c r="J4079" s="25"/>
      <c r="K4079" s="26"/>
      <c r="L4079" s="26"/>
      <c r="M4079" s="37"/>
      <c r="N4079" s="27"/>
      <c r="O4079" s="30"/>
      <c r="P4079" s="39" t="str">
        <f t="shared" si="637"/>
        <v/>
      </c>
      <c r="Q4079" s="40" t="str">
        <f>IF(OR(T4079=0,RIGHT(T4079,1)=$W$1),"",COUNTIF($T$3:T4079,T4079))</f>
        <v/>
      </c>
      <c r="S4079" s="6">
        <f t="shared" si="638"/>
        <v>0</v>
      </c>
      <c r="T4079" s="36">
        <f t="shared" si="639"/>
        <v>0</v>
      </c>
      <c r="V4079" s="6">
        <f t="shared" si="640"/>
        <v>0</v>
      </c>
      <c r="Y4079" s="8">
        <f t="shared" si="641"/>
        <v>46023</v>
      </c>
    </row>
    <row r="4080" spans="2:25" ht="18.75" x14ac:dyDescent="0.3">
      <c r="B4080" s="6">
        <f t="shared" si="633"/>
        <v>0</v>
      </c>
      <c r="C4080" s="6">
        <f t="shared" si="634"/>
        <v>0</v>
      </c>
      <c r="D4080" s="6" t="str">
        <f t="shared" si="635"/>
        <v/>
      </c>
      <c r="E4080" s="35" t="str">
        <f t="shared" si="632"/>
        <v/>
      </c>
      <c r="F4080" s="31"/>
      <c r="G4080" s="29"/>
      <c r="H4080" s="78" t="str">
        <f t="shared" si="636"/>
        <v/>
      </c>
      <c r="I4080" s="25"/>
      <c r="J4080" s="25"/>
      <c r="K4080" s="26"/>
      <c r="L4080" s="26"/>
      <c r="M4080" s="37"/>
      <c r="N4080" s="27"/>
      <c r="O4080" s="30"/>
      <c r="P4080" s="39" t="str">
        <f t="shared" si="637"/>
        <v/>
      </c>
      <c r="Q4080" s="40" t="str">
        <f>IF(OR(T4080=0,RIGHT(T4080,1)=$W$1),"",COUNTIF($T$3:T4080,T4080))</f>
        <v/>
      </c>
      <c r="S4080" s="6">
        <f t="shared" si="638"/>
        <v>0</v>
      </c>
      <c r="T4080" s="36">
        <f t="shared" si="639"/>
        <v>0</v>
      </c>
      <c r="V4080" s="6">
        <f t="shared" si="640"/>
        <v>0</v>
      </c>
      <c r="Y4080" s="8">
        <f t="shared" si="641"/>
        <v>46023</v>
      </c>
    </row>
    <row r="4081" spans="2:25" ht="18.75" x14ac:dyDescent="0.3">
      <c r="B4081" s="6">
        <f t="shared" si="633"/>
        <v>0</v>
      </c>
      <c r="C4081" s="6">
        <f t="shared" si="634"/>
        <v>0</v>
      </c>
      <c r="D4081" s="6" t="str">
        <f t="shared" si="635"/>
        <v/>
      </c>
      <c r="E4081" s="35" t="str">
        <f t="shared" si="632"/>
        <v/>
      </c>
      <c r="F4081" s="31"/>
      <c r="G4081" s="29"/>
      <c r="H4081" s="78" t="str">
        <f t="shared" si="636"/>
        <v/>
      </c>
      <c r="I4081" s="25"/>
      <c r="J4081" s="25"/>
      <c r="K4081" s="26"/>
      <c r="L4081" s="26"/>
      <c r="M4081" s="37"/>
      <c r="N4081" s="27"/>
      <c r="O4081" s="30"/>
      <c r="P4081" s="39" t="str">
        <f t="shared" si="637"/>
        <v/>
      </c>
      <c r="Q4081" s="40" t="str">
        <f>IF(OR(T4081=0,RIGHT(T4081,1)=$W$1),"",COUNTIF($T$3:T4081,T4081))</f>
        <v/>
      </c>
      <c r="S4081" s="6">
        <f t="shared" si="638"/>
        <v>0</v>
      </c>
      <c r="T4081" s="36">
        <f t="shared" si="639"/>
        <v>0</v>
      </c>
      <c r="V4081" s="6">
        <f t="shared" si="640"/>
        <v>0</v>
      </c>
      <c r="Y4081" s="8">
        <f t="shared" si="641"/>
        <v>46023</v>
      </c>
    </row>
    <row r="4082" spans="2:25" ht="18.75" x14ac:dyDescent="0.3">
      <c r="B4082" s="6">
        <f t="shared" si="633"/>
        <v>0</v>
      </c>
      <c r="C4082" s="6">
        <f t="shared" si="634"/>
        <v>0</v>
      </c>
      <c r="D4082" s="6" t="str">
        <f t="shared" si="635"/>
        <v/>
      </c>
      <c r="E4082" s="35" t="str">
        <f t="shared" si="632"/>
        <v/>
      </c>
      <c r="F4082" s="31"/>
      <c r="G4082" s="29"/>
      <c r="H4082" s="78" t="str">
        <f t="shared" si="636"/>
        <v/>
      </c>
      <c r="I4082" s="25"/>
      <c r="J4082" s="25"/>
      <c r="K4082" s="26"/>
      <c r="L4082" s="26"/>
      <c r="M4082" s="37"/>
      <c r="N4082" s="27"/>
      <c r="O4082" s="30"/>
      <c r="P4082" s="39" t="str">
        <f t="shared" si="637"/>
        <v/>
      </c>
      <c r="Q4082" s="40" t="str">
        <f>IF(OR(T4082=0,RIGHT(T4082,1)=$W$1),"",COUNTIF($T$3:T4082,T4082))</f>
        <v/>
      </c>
      <c r="S4082" s="6">
        <f t="shared" si="638"/>
        <v>0</v>
      </c>
      <c r="T4082" s="36">
        <f t="shared" si="639"/>
        <v>0</v>
      </c>
      <c r="V4082" s="6">
        <f t="shared" si="640"/>
        <v>0</v>
      </c>
      <c r="Y4082" s="8">
        <f t="shared" si="641"/>
        <v>46023</v>
      </c>
    </row>
    <row r="4083" spans="2:25" ht="18.75" x14ac:dyDescent="0.3">
      <c r="B4083" s="6">
        <f t="shared" si="633"/>
        <v>0</v>
      </c>
      <c r="C4083" s="6">
        <f t="shared" si="634"/>
        <v>0</v>
      </c>
      <c r="D4083" s="6" t="str">
        <f t="shared" si="635"/>
        <v/>
      </c>
      <c r="E4083" s="35" t="str">
        <f t="shared" si="632"/>
        <v/>
      </c>
      <c r="F4083" s="31"/>
      <c r="G4083" s="29"/>
      <c r="H4083" s="78" t="str">
        <f t="shared" si="636"/>
        <v/>
      </c>
      <c r="I4083" s="25"/>
      <c r="J4083" s="25"/>
      <c r="K4083" s="26"/>
      <c r="L4083" s="26"/>
      <c r="M4083" s="37"/>
      <c r="N4083" s="27"/>
      <c r="O4083" s="30"/>
      <c r="P4083" s="39" t="str">
        <f t="shared" si="637"/>
        <v/>
      </c>
      <c r="Q4083" s="40" t="str">
        <f>IF(OR(T4083=0,RIGHT(T4083,1)=$W$1),"",COUNTIF($T$3:T4083,T4083))</f>
        <v/>
      </c>
      <c r="S4083" s="6">
        <f t="shared" si="638"/>
        <v>0</v>
      </c>
      <c r="T4083" s="36">
        <f t="shared" si="639"/>
        <v>0</v>
      </c>
      <c r="V4083" s="6">
        <f t="shared" si="640"/>
        <v>0</v>
      </c>
      <c r="Y4083" s="8">
        <f t="shared" si="641"/>
        <v>46023</v>
      </c>
    </row>
    <row r="4084" spans="2:25" ht="18.75" x14ac:dyDescent="0.3">
      <c r="B4084" s="6">
        <f t="shared" si="633"/>
        <v>0</v>
      </c>
      <c r="C4084" s="6">
        <f t="shared" si="634"/>
        <v>0</v>
      </c>
      <c r="D4084" s="6" t="str">
        <f t="shared" si="635"/>
        <v/>
      </c>
      <c r="E4084" s="35" t="str">
        <f t="shared" si="632"/>
        <v/>
      </c>
      <c r="F4084" s="31"/>
      <c r="G4084" s="29"/>
      <c r="H4084" s="78" t="str">
        <f t="shared" si="636"/>
        <v/>
      </c>
      <c r="I4084" s="25"/>
      <c r="J4084" s="25"/>
      <c r="K4084" s="26"/>
      <c r="L4084" s="26"/>
      <c r="M4084" s="37"/>
      <c r="N4084" s="27"/>
      <c r="O4084" s="30"/>
      <c r="P4084" s="39" t="str">
        <f t="shared" si="637"/>
        <v/>
      </c>
      <c r="Q4084" s="40" t="str">
        <f>IF(OR(T4084=0,RIGHT(T4084,1)=$W$1),"",COUNTIF($T$3:T4084,T4084))</f>
        <v/>
      </c>
      <c r="S4084" s="6">
        <f t="shared" si="638"/>
        <v>0</v>
      </c>
      <c r="T4084" s="36">
        <f t="shared" si="639"/>
        <v>0</v>
      </c>
      <c r="V4084" s="6">
        <f t="shared" si="640"/>
        <v>0</v>
      </c>
      <c r="Y4084" s="8">
        <f t="shared" si="641"/>
        <v>46023</v>
      </c>
    </row>
    <row r="4085" spans="2:25" ht="18.75" x14ac:dyDescent="0.3">
      <c r="B4085" s="6">
        <f t="shared" si="633"/>
        <v>0</v>
      </c>
      <c r="C4085" s="6">
        <f t="shared" si="634"/>
        <v>0</v>
      </c>
      <c r="D4085" s="6" t="str">
        <f t="shared" si="635"/>
        <v/>
      </c>
      <c r="E4085" s="35" t="str">
        <f t="shared" si="632"/>
        <v/>
      </c>
      <c r="F4085" s="31"/>
      <c r="G4085" s="29"/>
      <c r="H4085" s="78" t="str">
        <f t="shared" si="636"/>
        <v/>
      </c>
      <c r="I4085" s="25"/>
      <c r="J4085" s="25"/>
      <c r="K4085" s="26"/>
      <c r="L4085" s="26"/>
      <c r="M4085" s="37"/>
      <c r="N4085" s="27"/>
      <c r="O4085" s="30"/>
      <c r="P4085" s="39" t="str">
        <f t="shared" si="637"/>
        <v/>
      </c>
      <c r="Q4085" s="40" t="str">
        <f>IF(OR(T4085=0,RIGHT(T4085,1)=$W$1),"",COUNTIF($T$3:T4085,T4085))</f>
        <v/>
      </c>
      <c r="S4085" s="6">
        <f t="shared" si="638"/>
        <v>0</v>
      </c>
      <c r="T4085" s="36">
        <f t="shared" si="639"/>
        <v>0</v>
      </c>
      <c r="V4085" s="6">
        <f t="shared" si="640"/>
        <v>0</v>
      </c>
      <c r="Y4085" s="8">
        <f t="shared" si="641"/>
        <v>46023</v>
      </c>
    </row>
    <row r="4086" spans="2:25" ht="18.75" x14ac:dyDescent="0.3">
      <c r="B4086" s="6">
        <f t="shared" si="633"/>
        <v>0</v>
      </c>
      <c r="C4086" s="6">
        <f t="shared" si="634"/>
        <v>0</v>
      </c>
      <c r="D4086" s="6" t="str">
        <f t="shared" si="635"/>
        <v/>
      </c>
      <c r="E4086" s="35" t="str">
        <f t="shared" si="632"/>
        <v/>
      </c>
      <c r="F4086" s="31"/>
      <c r="G4086" s="29"/>
      <c r="H4086" s="78" t="str">
        <f t="shared" si="636"/>
        <v/>
      </c>
      <c r="I4086" s="25"/>
      <c r="J4086" s="25"/>
      <c r="K4086" s="26"/>
      <c r="L4086" s="26"/>
      <c r="M4086" s="37"/>
      <c r="N4086" s="27"/>
      <c r="O4086" s="30"/>
      <c r="P4086" s="39" t="str">
        <f t="shared" si="637"/>
        <v/>
      </c>
      <c r="Q4086" s="40" t="str">
        <f>IF(OR(T4086=0,RIGHT(T4086,1)=$W$1),"",COUNTIF($T$3:T4086,T4086))</f>
        <v/>
      </c>
      <c r="S4086" s="6">
        <f t="shared" si="638"/>
        <v>0</v>
      </c>
      <c r="T4086" s="36">
        <f t="shared" si="639"/>
        <v>0</v>
      </c>
      <c r="V4086" s="6">
        <f t="shared" si="640"/>
        <v>0</v>
      </c>
      <c r="Y4086" s="8">
        <f t="shared" si="641"/>
        <v>46023</v>
      </c>
    </row>
    <row r="4087" spans="2:25" ht="18.75" x14ac:dyDescent="0.3">
      <c r="B4087" s="6">
        <f t="shared" si="633"/>
        <v>0</v>
      </c>
      <c r="C4087" s="6">
        <f t="shared" si="634"/>
        <v>0</v>
      </c>
      <c r="D4087" s="6" t="str">
        <f t="shared" si="635"/>
        <v/>
      </c>
      <c r="E4087" s="35" t="str">
        <f t="shared" si="632"/>
        <v/>
      </c>
      <c r="F4087" s="31"/>
      <c r="G4087" s="29"/>
      <c r="H4087" s="78" t="str">
        <f t="shared" si="636"/>
        <v/>
      </c>
      <c r="I4087" s="25"/>
      <c r="J4087" s="25"/>
      <c r="K4087" s="26"/>
      <c r="L4087" s="26"/>
      <c r="M4087" s="37"/>
      <c r="N4087" s="27"/>
      <c r="O4087" s="30"/>
      <c r="P4087" s="39" t="str">
        <f t="shared" si="637"/>
        <v/>
      </c>
      <c r="Q4087" s="40" t="str">
        <f>IF(OR(T4087=0,RIGHT(T4087,1)=$W$1),"",COUNTIF($T$3:T4087,T4087))</f>
        <v/>
      </c>
      <c r="S4087" s="6">
        <f t="shared" si="638"/>
        <v>0</v>
      </c>
      <c r="T4087" s="36">
        <f t="shared" si="639"/>
        <v>0</v>
      </c>
      <c r="V4087" s="6">
        <f t="shared" si="640"/>
        <v>0</v>
      </c>
      <c r="Y4087" s="8">
        <f t="shared" si="641"/>
        <v>46023</v>
      </c>
    </row>
    <row r="4088" spans="2:25" ht="18.75" x14ac:dyDescent="0.3">
      <c r="B4088" s="6">
        <f t="shared" si="633"/>
        <v>0</v>
      </c>
      <c r="C4088" s="6">
        <f t="shared" si="634"/>
        <v>0</v>
      </c>
      <c r="D4088" s="6" t="str">
        <f t="shared" si="635"/>
        <v/>
      </c>
      <c r="E4088" s="35" t="str">
        <f t="shared" si="632"/>
        <v/>
      </c>
      <c r="F4088" s="31"/>
      <c r="G4088" s="29"/>
      <c r="H4088" s="78" t="str">
        <f t="shared" si="636"/>
        <v/>
      </c>
      <c r="I4088" s="25"/>
      <c r="J4088" s="25"/>
      <c r="K4088" s="26"/>
      <c r="L4088" s="26"/>
      <c r="M4088" s="37"/>
      <c r="N4088" s="27"/>
      <c r="O4088" s="30"/>
      <c r="P4088" s="39" t="str">
        <f t="shared" si="637"/>
        <v/>
      </c>
      <c r="Q4088" s="40" t="str">
        <f>IF(OR(T4088=0,RIGHT(T4088,1)=$W$1),"",COUNTIF($T$3:T4088,T4088))</f>
        <v/>
      </c>
      <c r="S4088" s="6">
        <f t="shared" si="638"/>
        <v>0</v>
      </c>
      <c r="T4088" s="36">
        <f t="shared" si="639"/>
        <v>0</v>
      </c>
      <c r="V4088" s="6">
        <f t="shared" si="640"/>
        <v>0</v>
      </c>
      <c r="Y4088" s="8">
        <f t="shared" si="641"/>
        <v>46023</v>
      </c>
    </row>
    <row r="4089" spans="2:25" ht="18.75" x14ac:dyDescent="0.3">
      <c r="B4089" s="6">
        <f t="shared" si="633"/>
        <v>0</v>
      </c>
      <c r="C4089" s="6">
        <f t="shared" si="634"/>
        <v>0</v>
      </c>
      <c r="D4089" s="6" t="str">
        <f t="shared" si="635"/>
        <v/>
      </c>
      <c r="E4089" s="35" t="str">
        <f t="shared" si="632"/>
        <v/>
      </c>
      <c r="F4089" s="31"/>
      <c r="G4089" s="29"/>
      <c r="H4089" s="78" t="str">
        <f t="shared" si="636"/>
        <v/>
      </c>
      <c r="I4089" s="25"/>
      <c r="J4089" s="25"/>
      <c r="K4089" s="26"/>
      <c r="L4089" s="26"/>
      <c r="M4089" s="37"/>
      <c r="N4089" s="27"/>
      <c r="O4089" s="30"/>
      <c r="P4089" s="39" t="str">
        <f t="shared" si="637"/>
        <v/>
      </c>
      <c r="Q4089" s="40" t="str">
        <f>IF(OR(T4089=0,RIGHT(T4089,1)=$W$1),"",COUNTIF($T$3:T4089,T4089))</f>
        <v/>
      </c>
      <c r="S4089" s="6">
        <f t="shared" si="638"/>
        <v>0</v>
      </c>
      <c r="T4089" s="36">
        <f t="shared" si="639"/>
        <v>0</v>
      </c>
      <c r="V4089" s="6">
        <f t="shared" si="640"/>
        <v>0</v>
      </c>
      <c r="Y4089" s="8">
        <f t="shared" si="641"/>
        <v>46023</v>
      </c>
    </row>
    <row r="4090" spans="2:25" ht="18.75" x14ac:dyDescent="0.3">
      <c r="B4090" s="6">
        <f t="shared" si="633"/>
        <v>0</v>
      </c>
      <c r="C4090" s="6">
        <f t="shared" si="634"/>
        <v>0</v>
      </c>
      <c r="D4090" s="6" t="str">
        <f t="shared" si="635"/>
        <v/>
      </c>
      <c r="E4090" s="35" t="str">
        <f t="shared" si="632"/>
        <v/>
      </c>
      <c r="F4090" s="31"/>
      <c r="G4090" s="29"/>
      <c r="H4090" s="78" t="str">
        <f t="shared" si="636"/>
        <v/>
      </c>
      <c r="I4090" s="25"/>
      <c r="J4090" s="25"/>
      <c r="K4090" s="26"/>
      <c r="L4090" s="26"/>
      <c r="M4090" s="37"/>
      <c r="N4090" s="27"/>
      <c r="O4090" s="30"/>
      <c r="P4090" s="39" t="str">
        <f t="shared" si="637"/>
        <v/>
      </c>
      <c r="Q4090" s="40" t="str">
        <f>IF(OR(T4090=0,RIGHT(T4090,1)=$W$1),"",COUNTIF($T$3:T4090,T4090))</f>
        <v/>
      </c>
      <c r="S4090" s="6">
        <f t="shared" si="638"/>
        <v>0</v>
      </c>
      <c r="T4090" s="36">
        <f t="shared" si="639"/>
        <v>0</v>
      </c>
      <c r="V4090" s="6">
        <f t="shared" si="640"/>
        <v>0</v>
      </c>
      <c r="Y4090" s="8">
        <f t="shared" si="641"/>
        <v>46023</v>
      </c>
    </row>
    <row r="4091" spans="2:25" ht="18.75" x14ac:dyDescent="0.3">
      <c r="B4091" s="6">
        <f t="shared" si="633"/>
        <v>0</v>
      </c>
      <c r="C4091" s="6">
        <f t="shared" si="634"/>
        <v>0</v>
      </c>
      <c r="D4091" s="6" t="str">
        <f t="shared" si="635"/>
        <v/>
      </c>
      <c r="E4091" s="35" t="str">
        <f t="shared" si="632"/>
        <v/>
      </c>
      <c r="F4091" s="31"/>
      <c r="G4091" s="29"/>
      <c r="H4091" s="78" t="str">
        <f t="shared" si="636"/>
        <v/>
      </c>
      <c r="I4091" s="25"/>
      <c r="J4091" s="25"/>
      <c r="K4091" s="26"/>
      <c r="L4091" s="26"/>
      <c r="M4091" s="37"/>
      <c r="N4091" s="27"/>
      <c r="O4091" s="30"/>
      <c r="P4091" s="39" t="str">
        <f t="shared" si="637"/>
        <v/>
      </c>
      <c r="Q4091" s="40" t="str">
        <f>IF(OR(T4091=0,RIGHT(T4091,1)=$W$1),"",COUNTIF($T$3:T4091,T4091))</f>
        <v/>
      </c>
      <c r="S4091" s="6">
        <f t="shared" si="638"/>
        <v>0</v>
      </c>
      <c r="T4091" s="36">
        <f t="shared" si="639"/>
        <v>0</v>
      </c>
      <c r="V4091" s="6">
        <f t="shared" si="640"/>
        <v>0</v>
      </c>
      <c r="Y4091" s="8">
        <f t="shared" si="641"/>
        <v>46023</v>
      </c>
    </row>
    <row r="4092" spans="2:25" ht="18.75" x14ac:dyDescent="0.3">
      <c r="B4092" s="6">
        <f t="shared" si="633"/>
        <v>0</v>
      </c>
      <c r="C4092" s="6">
        <f t="shared" si="634"/>
        <v>0</v>
      </c>
      <c r="D4092" s="6" t="str">
        <f t="shared" si="635"/>
        <v/>
      </c>
      <c r="E4092" s="35" t="str">
        <f t="shared" si="632"/>
        <v/>
      </c>
      <c r="F4092" s="31"/>
      <c r="G4092" s="29"/>
      <c r="H4092" s="78" t="str">
        <f t="shared" si="636"/>
        <v/>
      </c>
      <c r="I4092" s="25"/>
      <c r="J4092" s="25"/>
      <c r="K4092" s="26"/>
      <c r="L4092" s="26"/>
      <c r="M4092" s="37"/>
      <c r="N4092" s="27"/>
      <c r="O4092" s="30"/>
      <c r="P4092" s="39" t="str">
        <f t="shared" si="637"/>
        <v/>
      </c>
      <c r="Q4092" s="40" t="str">
        <f>IF(OR(T4092=0,RIGHT(T4092,1)=$W$1),"",COUNTIF($T$3:T4092,T4092))</f>
        <v/>
      </c>
      <c r="S4092" s="6">
        <f t="shared" si="638"/>
        <v>0</v>
      </c>
      <c r="T4092" s="36">
        <f t="shared" si="639"/>
        <v>0</v>
      </c>
      <c r="V4092" s="6">
        <f t="shared" si="640"/>
        <v>0</v>
      </c>
      <c r="Y4092" s="8">
        <f t="shared" si="641"/>
        <v>46023</v>
      </c>
    </row>
    <row r="4093" spans="2:25" ht="18.75" x14ac:dyDescent="0.3">
      <c r="B4093" s="6">
        <f t="shared" si="633"/>
        <v>0</v>
      </c>
      <c r="C4093" s="6">
        <f t="shared" si="634"/>
        <v>0</v>
      </c>
      <c r="D4093" s="6" t="str">
        <f t="shared" si="635"/>
        <v/>
      </c>
      <c r="E4093" s="35" t="str">
        <f t="shared" si="632"/>
        <v/>
      </c>
      <c r="F4093" s="31"/>
      <c r="G4093" s="29"/>
      <c r="H4093" s="78" t="str">
        <f t="shared" si="636"/>
        <v/>
      </c>
      <c r="I4093" s="25"/>
      <c r="J4093" s="25"/>
      <c r="K4093" s="26"/>
      <c r="L4093" s="26"/>
      <c r="M4093" s="37"/>
      <c r="N4093" s="27"/>
      <c r="O4093" s="30"/>
      <c r="P4093" s="39" t="str">
        <f t="shared" si="637"/>
        <v/>
      </c>
      <c r="Q4093" s="40" t="str">
        <f>IF(OR(T4093=0,RIGHT(T4093,1)=$W$1),"",COUNTIF($T$3:T4093,T4093))</f>
        <v/>
      </c>
      <c r="S4093" s="6">
        <f t="shared" si="638"/>
        <v>0</v>
      </c>
      <c r="T4093" s="36">
        <f t="shared" si="639"/>
        <v>0</v>
      </c>
      <c r="V4093" s="6">
        <f t="shared" si="640"/>
        <v>0</v>
      </c>
      <c r="Y4093" s="8">
        <f t="shared" si="641"/>
        <v>46023</v>
      </c>
    </row>
    <row r="4094" spans="2:25" ht="18.75" x14ac:dyDescent="0.3">
      <c r="B4094" s="6">
        <f t="shared" si="633"/>
        <v>0</v>
      </c>
      <c r="C4094" s="6">
        <f t="shared" si="634"/>
        <v>0</v>
      </c>
      <c r="D4094" s="6" t="str">
        <f t="shared" si="635"/>
        <v/>
      </c>
      <c r="E4094" s="35" t="str">
        <f t="shared" si="632"/>
        <v/>
      </c>
      <c r="F4094" s="31"/>
      <c r="G4094" s="29"/>
      <c r="H4094" s="78" t="str">
        <f t="shared" si="636"/>
        <v/>
      </c>
      <c r="I4094" s="25"/>
      <c r="J4094" s="25"/>
      <c r="K4094" s="26"/>
      <c r="L4094" s="26"/>
      <c r="M4094" s="37"/>
      <c r="N4094" s="27"/>
      <c r="O4094" s="30"/>
      <c r="P4094" s="39" t="str">
        <f t="shared" si="637"/>
        <v/>
      </c>
      <c r="Q4094" s="40" t="str">
        <f>IF(OR(T4094=0,RIGHT(T4094,1)=$W$1),"",COUNTIF($T$3:T4094,T4094))</f>
        <v/>
      </c>
      <c r="S4094" s="6">
        <f t="shared" si="638"/>
        <v>0</v>
      </c>
      <c r="T4094" s="36">
        <f t="shared" si="639"/>
        <v>0</v>
      </c>
      <c r="V4094" s="6">
        <f t="shared" si="640"/>
        <v>0</v>
      </c>
      <c r="Y4094" s="8">
        <f t="shared" si="641"/>
        <v>46023</v>
      </c>
    </row>
    <row r="4095" spans="2:25" ht="18.75" x14ac:dyDescent="0.3">
      <c r="B4095" s="6">
        <f t="shared" si="633"/>
        <v>0</v>
      </c>
      <c r="C4095" s="6">
        <f t="shared" si="634"/>
        <v>0</v>
      </c>
      <c r="D4095" s="6" t="str">
        <f t="shared" si="635"/>
        <v/>
      </c>
      <c r="E4095" s="35" t="str">
        <f t="shared" si="632"/>
        <v/>
      </c>
      <c r="F4095" s="31"/>
      <c r="G4095" s="29"/>
      <c r="H4095" s="78" t="str">
        <f t="shared" si="636"/>
        <v/>
      </c>
      <c r="I4095" s="25"/>
      <c r="J4095" s="25"/>
      <c r="K4095" s="26"/>
      <c r="L4095" s="26"/>
      <c r="M4095" s="37"/>
      <c r="N4095" s="27"/>
      <c r="O4095" s="30"/>
      <c r="P4095" s="39" t="str">
        <f t="shared" si="637"/>
        <v/>
      </c>
      <c r="Q4095" s="40" t="str">
        <f>IF(OR(T4095=0,RIGHT(T4095,1)=$W$1),"",COUNTIF($T$3:T4095,T4095))</f>
        <v/>
      </c>
      <c r="S4095" s="6">
        <f t="shared" si="638"/>
        <v>0</v>
      </c>
      <c r="T4095" s="36">
        <f t="shared" si="639"/>
        <v>0</v>
      </c>
      <c r="V4095" s="6">
        <f t="shared" si="640"/>
        <v>0</v>
      </c>
      <c r="Y4095" s="8">
        <f t="shared" si="641"/>
        <v>46023</v>
      </c>
    </row>
    <row r="4096" spans="2:25" ht="18.75" x14ac:dyDescent="0.3">
      <c r="B4096" s="6">
        <f t="shared" si="633"/>
        <v>0</v>
      </c>
      <c r="C4096" s="6">
        <f t="shared" si="634"/>
        <v>0</v>
      </c>
      <c r="D4096" s="6" t="str">
        <f t="shared" si="635"/>
        <v/>
      </c>
      <c r="E4096" s="35" t="str">
        <f t="shared" si="632"/>
        <v/>
      </c>
      <c r="F4096" s="31"/>
      <c r="G4096" s="29"/>
      <c r="H4096" s="78" t="str">
        <f t="shared" si="636"/>
        <v/>
      </c>
      <c r="I4096" s="25"/>
      <c r="J4096" s="25"/>
      <c r="K4096" s="26"/>
      <c r="L4096" s="26"/>
      <c r="M4096" s="37"/>
      <c r="N4096" s="27"/>
      <c r="O4096" s="30"/>
      <c r="P4096" s="39" t="str">
        <f t="shared" si="637"/>
        <v/>
      </c>
      <c r="Q4096" s="40" t="str">
        <f>IF(OR(T4096=0,RIGHT(T4096,1)=$W$1),"",COUNTIF($T$3:T4096,T4096))</f>
        <v/>
      </c>
      <c r="S4096" s="6">
        <f t="shared" si="638"/>
        <v>0</v>
      </c>
      <c r="T4096" s="36">
        <f t="shared" si="639"/>
        <v>0</v>
      </c>
      <c r="V4096" s="6">
        <f t="shared" si="640"/>
        <v>0</v>
      </c>
      <c r="Y4096" s="8">
        <f t="shared" si="641"/>
        <v>46023</v>
      </c>
    </row>
    <row r="4097" spans="2:25" ht="18.75" x14ac:dyDescent="0.3">
      <c r="B4097" s="6">
        <f t="shared" si="633"/>
        <v>0</v>
      </c>
      <c r="C4097" s="6">
        <f t="shared" si="634"/>
        <v>0</v>
      </c>
      <c r="D4097" s="6" t="str">
        <f t="shared" si="635"/>
        <v/>
      </c>
      <c r="E4097" s="35" t="str">
        <f t="shared" si="632"/>
        <v/>
      </c>
      <c r="F4097" s="31"/>
      <c r="G4097" s="29"/>
      <c r="H4097" s="78" t="str">
        <f t="shared" si="636"/>
        <v/>
      </c>
      <c r="I4097" s="25"/>
      <c r="J4097" s="25"/>
      <c r="K4097" s="26"/>
      <c r="L4097" s="26"/>
      <c r="M4097" s="37"/>
      <c r="N4097" s="27"/>
      <c r="O4097" s="30"/>
      <c r="P4097" s="39" t="str">
        <f t="shared" si="637"/>
        <v/>
      </c>
      <c r="Q4097" s="40" t="str">
        <f>IF(OR(T4097=0,RIGHT(T4097,1)=$W$1),"",COUNTIF($T$3:T4097,T4097))</f>
        <v/>
      </c>
      <c r="S4097" s="6">
        <f t="shared" si="638"/>
        <v>0</v>
      </c>
      <c r="T4097" s="36">
        <f t="shared" si="639"/>
        <v>0</v>
      </c>
      <c r="V4097" s="6">
        <f t="shared" si="640"/>
        <v>0</v>
      </c>
      <c r="Y4097" s="8">
        <f t="shared" si="641"/>
        <v>46023</v>
      </c>
    </row>
    <row r="4098" spans="2:25" ht="18.75" x14ac:dyDescent="0.3">
      <c r="B4098" s="6">
        <f t="shared" si="633"/>
        <v>0</v>
      </c>
      <c r="C4098" s="6">
        <f t="shared" si="634"/>
        <v>0</v>
      </c>
      <c r="D4098" s="6" t="str">
        <f t="shared" si="635"/>
        <v/>
      </c>
      <c r="E4098" s="35" t="str">
        <f t="shared" si="632"/>
        <v/>
      </c>
      <c r="F4098" s="31"/>
      <c r="G4098" s="29"/>
      <c r="H4098" s="78" t="str">
        <f t="shared" si="636"/>
        <v/>
      </c>
      <c r="I4098" s="25"/>
      <c r="J4098" s="25"/>
      <c r="K4098" s="26"/>
      <c r="L4098" s="26"/>
      <c r="M4098" s="37"/>
      <c r="N4098" s="27"/>
      <c r="O4098" s="30"/>
      <c r="P4098" s="39" t="str">
        <f t="shared" si="637"/>
        <v/>
      </c>
      <c r="Q4098" s="40" t="str">
        <f>IF(OR(T4098=0,RIGHT(T4098,1)=$W$1),"",COUNTIF($T$3:T4098,T4098))</f>
        <v/>
      </c>
      <c r="S4098" s="6">
        <f t="shared" si="638"/>
        <v>0</v>
      </c>
      <c r="T4098" s="36">
        <f t="shared" si="639"/>
        <v>0</v>
      </c>
      <c r="V4098" s="6">
        <f t="shared" si="640"/>
        <v>0</v>
      </c>
      <c r="Y4098" s="8">
        <f t="shared" si="641"/>
        <v>46023</v>
      </c>
    </row>
    <row r="4099" spans="2:25" ht="18.75" x14ac:dyDescent="0.3">
      <c r="B4099" s="6">
        <f t="shared" si="633"/>
        <v>0</v>
      </c>
      <c r="C4099" s="6">
        <f t="shared" si="634"/>
        <v>0</v>
      </c>
      <c r="D4099" s="6" t="str">
        <f t="shared" si="635"/>
        <v/>
      </c>
      <c r="E4099" s="35" t="str">
        <f t="shared" ref="E4099:E4162" si="642">IF(D4099&lt;&gt;"",D4099&amp;" - "&amp;YEAR(F4099),"")</f>
        <v/>
      </c>
      <c r="F4099" s="31"/>
      <c r="G4099" s="29"/>
      <c r="H4099" s="78" t="str">
        <f t="shared" si="636"/>
        <v/>
      </c>
      <c r="I4099" s="25"/>
      <c r="J4099" s="25"/>
      <c r="K4099" s="26"/>
      <c r="L4099" s="26"/>
      <c r="M4099" s="37"/>
      <c r="N4099" s="27"/>
      <c r="O4099" s="30"/>
      <c r="P4099" s="39" t="str">
        <f t="shared" si="637"/>
        <v/>
      </c>
      <c r="Q4099" s="40" t="str">
        <f>IF(OR(T4099=0,RIGHT(T4099,1)=$W$1),"",COUNTIF($T$3:T4099,T4099))</f>
        <v/>
      </c>
      <c r="S4099" s="6">
        <f t="shared" si="638"/>
        <v>0</v>
      </c>
      <c r="T4099" s="36">
        <f t="shared" si="639"/>
        <v>0</v>
      </c>
      <c r="V4099" s="6">
        <f t="shared" si="640"/>
        <v>0</v>
      </c>
      <c r="Y4099" s="8">
        <f t="shared" si="641"/>
        <v>46023</v>
      </c>
    </row>
    <row r="4100" spans="2:25" ht="18.75" x14ac:dyDescent="0.3">
      <c r="B4100" s="6">
        <f t="shared" ref="B4100:B4163" si="643">IF($B$1=YEAR(F4100),B4099+1,B4099)</f>
        <v>0</v>
      </c>
      <c r="C4100" s="6">
        <f t="shared" ref="C4100:C4163" si="644">IF(AND($C$1=K4100,$Y$1=YEAR(F4100)),C4099+1,C4099)</f>
        <v>0</v>
      </c>
      <c r="D4100" s="6" t="str">
        <f t="shared" ref="D4100:D4163" si="645">IF(F4100&lt;&gt;0,IF(YEAR(F4100)&lt;&gt;YEAR(F4099),1,IF(M4100=$AI$1,D4099,D4099+1)),"")</f>
        <v/>
      </c>
      <c r="E4100" s="35" t="str">
        <f t="shared" si="642"/>
        <v/>
      </c>
      <c r="F4100" s="31"/>
      <c r="G4100" s="29"/>
      <c r="H4100" s="78" t="str">
        <f t="shared" ref="H4100:H4163" si="646">IF(G4100&lt;&gt;"",F4100,"")</f>
        <v/>
      </c>
      <c r="I4100" s="25"/>
      <c r="J4100" s="25"/>
      <c r="K4100" s="26"/>
      <c r="L4100" s="26"/>
      <c r="M4100" s="37"/>
      <c r="N4100" s="27"/>
      <c r="O4100" s="30"/>
      <c r="P4100" s="39" t="str">
        <f t="shared" ref="P4100:P4163" si="647">IF(OR(T4100=0,RIGHT(T4100,1)=$W$1),"",VLOOKUP(K4100,$AD$1:$AK$15,5,FALSE))</f>
        <v/>
      </c>
      <c r="Q4100" s="40" t="str">
        <f>IF(OR(T4100=0,RIGHT(T4100,1)=$W$1),"",COUNTIF($T$3:T4100,T4100))</f>
        <v/>
      </c>
      <c r="S4100" s="6">
        <f t="shared" ref="S4100:S4163" si="648">IF(AND($C$1=K4100,$Y$1=YEAR(F4100)),C4100,0)</f>
        <v>0</v>
      </c>
      <c r="T4100" s="36">
        <f t="shared" ref="T4100:T4163" si="649">IF(F4100=0,0,YEAR(F4100)&amp;VLOOKUP(K4100,$AD$1:$AE$15,2,FALSE))</f>
        <v>0</v>
      </c>
      <c r="V4100" s="6">
        <f t="shared" ref="V4100:V4163" si="650">IF(AND(YEAR(F4100)=$Y$1,K4100=$C$1,L4100&amp;$V$1&lt;&gt;$V$1),L4100,IF(AND(YEAR(F4100)=$Y$1,K4100=$C$1),1,0))</f>
        <v>0</v>
      </c>
      <c r="Y4100" s="8">
        <f t="shared" ref="Y4100:Y4163" si="651">IF(M4100&lt;&gt;$AI$1,$Y$2,F4099)</f>
        <v>46023</v>
      </c>
    </row>
    <row r="4101" spans="2:25" ht="18.75" x14ac:dyDescent="0.3">
      <c r="B4101" s="6">
        <f t="shared" si="643"/>
        <v>0</v>
      </c>
      <c r="C4101" s="6">
        <f t="shared" si="644"/>
        <v>0</v>
      </c>
      <c r="D4101" s="6" t="str">
        <f t="shared" si="645"/>
        <v/>
      </c>
      <c r="E4101" s="35" t="str">
        <f t="shared" si="642"/>
        <v/>
      </c>
      <c r="F4101" s="31"/>
      <c r="G4101" s="29"/>
      <c r="H4101" s="78" t="str">
        <f t="shared" si="646"/>
        <v/>
      </c>
      <c r="I4101" s="25"/>
      <c r="J4101" s="25"/>
      <c r="K4101" s="26"/>
      <c r="L4101" s="26"/>
      <c r="M4101" s="37"/>
      <c r="N4101" s="27"/>
      <c r="O4101" s="30"/>
      <c r="P4101" s="39" t="str">
        <f t="shared" si="647"/>
        <v/>
      </c>
      <c r="Q4101" s="40" t="str">
        <f>IF(OR(T4101=0,RIGHT(T4101,1)=$W$1),"",COUNTIF($T$3:T4101,T4101))</f>
        <v/>
      </c>
      <c r="S4101" s="6">
        <f t="shared" si="648"/>
        <v>0</v>
      </c>
      <c r="T4101" s="36">
        <f t="shared" si="649"/>
        <v>0</v>
      </c>
      <c r="V4101" s="6">
        <f t="shared" si="650"/>
        <v>0</v>
      </c>
      <c r="Y4101" s="8">
        <f t="shared" si="651"/>
        <v>46023</v>
      </c>
    </row>
    <row r="4102" spans="2:25" ht="18.75" x14ac:dyDescent="0.3">
      <c r="B4102" s="6">
        <f t="shared" si="643"/>
        <v>0</v>
      </c>
      <c r="C4102" s="6">
        <f t="shared" si="644"/>
        <v>0</v>
      </c>
      <c r="D4102" s="6" t="str">
        <f t="shared" si="645"/>
        <v/>
      </c>
      <c r="E4102" s="35" t="str">
        <f t="shared" si="642"/>
        <v/>
      </c>
      <c r="F4102" s="31"/>
      <c r="G4102" s="29"/>
      <c r="H4102" s="78" t="str">
        <f t="shared" si="646"/>
        <v/>
      </c>
      <c r="I4102" s="25"/>
      <c r="J4102" s="25"/>
      <c r="K4102" s="26"/>
      <c r="L4102" s="26"/>
      <c r="M4102" s="37"/>
      <c r="N4102" s="27"/>
      <c r="O4102" s="30"/>
      <c r="P4102" s="39" t="str">
        <f t="shared" si="647"/>
        <v/>
      </c>
      <c r="Q4102" s="40" t="str">
        <f>IF(OR(T4102=0,RIGHT(T4102,1)=$W$1),"",COUNTIF($T$3:T4102,T4102))</f>
        <v/>
      </c>
      <c r="S4102" s="6">
        <f t="shared" si="648"/>
        <v>0</v>
      </c>
      <c r="T4102" s="36">
        <f t="shared" si="649"/>
        <v>0</v>
      </c>
      <c r="V4102" s="6">
        <f t="shared" si="650"/>
        <v>0</v>
      </c>
      <c r="Y4102" s="8">
        <f t="shared" si="651"/>
        <v>46023</v>
      </c>
    </row>
    <row r="4103" spans="2:25" ht="18.75" x14ac:dyDescent="0.3">
      <c r="B4103" s="6">
        <f t="shared" si="643"/>
        <v>0</v>
      </c>
      <c r="C4103" s="6">
        <f t="shared" si="644"/>
        <v>0</v>
      </c>
      <c r="D4103" s="6" t="str">
        <f t="shared" si="645"/>
        <v/>
      </c>
      <c r="E4103" s="35" t="str">
        <f t="shared" si="642"/>
        <v/>
      </c>
      <c r="F4103" s="31"/>
      <c r="G4103" s="29"/>
      <c r="H4103" s="78" t="str">
        <f t="shared" si="646"/>
        <v/>
      </c>
      <c r="I4103" s="25"/>
      <c r="J4103" s="25"/>
      <c r="K4103" s="26"/>
      <c r="L4103" s="26"/>
      <c r="M4103" s="37"/>
      <c r="N4103" s="27"/>
      <c r="O4103" s="30"/>
      <c r="P4103" s="39" t="str">
        <f t="shared" si="647"/>
        <v/>
      </c>
      <c r="Q4103" s="40" t="str">
        <f>IF(OR(T4103=0,RIGHT(T4103,1)=$W$1),"",COUNTIF($T$3:T4103,T4103))</f>
        <v/>
      </c>
      <c r="S4103" s="6">
        <f t="shared" si="648"/>
        <v>0</v>
      </c>
      <c r="T4103" s="36">
        <f t="shared" si="649"/>
        <v>0</v>
      </c>
      <c r="V4103" s="6">
        <f t="shared" si="650"/>
        <v>0</v>
      </c>
      <c r="Y4103" s="8">
        <f t="shared" si="651"/>
        <v>46023</v>
      </c>
    </row>
    <row r="4104" spans="2:25" ht="18.75" x14ac:dyDescent="0.3">
      <c r="B4104" s="6">
        <f t="shared" si="643"/>
        <v>0</v>
      </c>
      <c r="C4104" s="6">
        <f t="shared" si="644"/>
        <v>0</v>
      </c>
      <c r="D4104" s="6" t="str">
        <f t="shared" si="645"/>
        <v/>
      </c>
      <c r="E4104" s="35" t="str">
        <f t="shared" si="642"/>
        <v/>
      </c>
      <c r="F4104" s="31"/>
      <c r="G4104" s="29"/>
      <c r="H4104" s="78" t="str">
        <f t="shared" si="646"/>
        <v/>
      </c>
      <c r="I4104" s="25"/>
      <c r="J4104" s="25"/>
      <c r="K4104" s="26"/>
      <c r="L4104" s="26"/>
      <c r="M4104" s="37"/>
      <c r="N4104" s="27"/>
      <c r="O4104" s="30"/>
      <c r="P4104" s="39" t="str">
        <f t="shared" si="647"/>
        <v/>
      </c>
      <c r="Q4104" s="40" t="str">
        <f>IF(OR(T4104=0,RIGHT(T4104,1)=$W$1),"",COUNTIF($T$3:T4104,T4104))</f>
        <v/>
      </c>
      <c r="S4104" s="6">
        <f t="shared" si="648"/>
        <v>0</v>
      </c>
      <c r="T4104" s="36">
        <f t="shared" si="649"/>
        <v>0</v>
      </c>
      <c r="V4104" s="6">
        <f t="shared" si="650"/>
        <v>0</v>
      </c>
      <c r="Y4104" s="8">
        <f t="shared" si="651"/>
        <v>46023</v>
      </c>
    </row>
    <row r="4105" spans="2:25" ht="18.75" x14ac:dyDescent="0.3">
      <c r="B4105" s="6">
        <f t="shared" si="643"/>
        <v>0</v>
      </c>
      <c r="C4105" s="6">
        <f t="shared" si="644"/>
        <v>0</v>
      </c>
      <c r="D4105" s="6" t="str">
        <f t="shared" si="645"/>
        <v/>
      </c>
      <c r="E4105" s="35" t="str">
        <f t="shared" si="642"/>
        <v/>
      </c>
      <c r="F4105" s="31"/>
      <c r="G4105" s="29"/>
      <c r="H4105" s="78" t="str">
        <f t="shared" si="646"/>
        <v/>
      </c>
      <c r="I4105" s="25"/>
      <c r="J4105" s="25"/>
      <c r="K4105" s="26"/>
      <c r="L4105" s="26"/>
      <c r="M4105" s="37"/>
      <c r="N4105" s="27"/>
      <c r="O4105" s="30"/>
      <c r="P4105" s="39" t="str">
        <f t="shared" si="647"/>
        <v/>
      </c>
      <c r="Q4105" s="40" t="str">
        <f>IF(OR(T4105=0,RIGHT(T4105,1)=$W$1),"",COUNTIF($T$3:T4105,T4105))</f>
        <v/>
      </c>
      <c r="S4105" s="6">
        <f t="shared" si="648"/>
        <v>0</v>
      </c>
      <c r="T4105" s="36">
        <f t="shared" si="649"/>
        <v>0</v>
      </c>
      <c r="V4105" s="6">
        <f t="shared" si="650"/>
        <v>0</v>
      </c>
      <c r="Y4105" s="8">
        <f t="shared" si="651"/>
        <v>46023</v>
      </c>
    </row>
    <row r="4106" spans="2:25" ht="18.75" x14ac:dyDescent="0.3">
      <c r="B4106" s="6">
        <f t="shared" si="643"/>
        <v>0</v>
      </c>
      <c r="C4106" s="6">
        <f t="shared" si="644"/>
        <v>0</v>
      </c>
      <c r="D4106" s="6" t="str">
        <f t="shared" si="645"/>
        <v/>
      </c>
      <c r="E4106" s="35" t="str">
        <f t="shared" si="642"/>
        <v/>
      </c>
      <c r="F4106" s="31"/>
      <c r="G4106" s="29"/>
      <c r="H4106" s="78" t="str">
        <f t="shared" si="646"/>
        <v/>
      </c>
      <c r="I4106" s="25"/>
      <c r="J4106" s="25"/>
      <c r="K4106" s="26"/>
      <c r="L4106" s="26"/>
      <c r="M4106" s="37"/>
      <c r="N4106" s="27"/>
      <c r="O4106" s="30"/>
      <c r="P4106" s="39" t="str">
        <f t="shared" si="647"/>
        <v/>
      </c>
      <c r="Q4106" s="40" t="str">
        <f>IF(OR(T4106=0,RIGHT(T4106,1)=$W$1),"",COUNTIF($T$3:T4106,T4106))</f>
        <v/>
      </c>
      <c r="S4106" s="6">
        <f t="shared" si="648"/>
        <v>0</v>
      </c>
      <c r="T4106" s="36">
        <f t="shared" si="649"/>
        <v>0</v>
      </c>
      <c r="V4106" s="6">
        <f t="shared" si="650"/>
        <v>0</v>
      </c>
      <c r="Y4106" s="8">
        <f t="shared" si="651"/>
        <v>46023</v>
      </c>
    </row>
    <row r="4107" spans="2:25" ht="18.75" x14ac:dyDescent="0.3">
      <c r="B4107" s="6">
        <f t="shared" si="643"/>
        <v>0</v>
      </c>
      <c r="C4107" s="6">
        <f t="shared" si="644"/>
        <v>0</v>
      </c>
      <c r="D4107" s="6" t="str">
        <f t="shared" si="645"/>
        <v/>
      </c>
      <c r="E4107" s="35" t="str">
        <f t="shared" si="642"/>
        <v/>
      </c>
      <c r="F4107" s="31"/>
      <c r="G4107" s="29"/>
      <c r="H4107" s="78" t="str">
        <f t="shared" si="646"/>
        <v/>
      </c>
      <c r="I4107" s="25"/>
      <c r="J4107" s="25"/>
      <c r="K4107" s="26"/>
      <c r="L4107" s="26"/>
      <c r="M4107" s="37"/>
      <c r="N4107" s="27"/>
      <c r="O4107" s="30"/>
      <c r="P4107" s="39" t="str">
        <f t="shared" si="647"/>
        <v/>
      </c>
      <c r="Q4107" s="40" t="str">
        <f>IF(OR(T4107=0,RIGHT(T4107,1)=$W$1),"",COUNTIF($T$3:T4107,T4107))</f>
        <v/>
      </c>
      <c r="S4107" s="6">
        <f t="shared" si="648"/>
        <v>0</v>
      </c>
      <c r="T4107" s="36">
        <f t="shared" si="649"/>
        <v>0</v>
      </c>
      <c r="V4107" s="6">
        <f t="shared" si="650"/>
        <v>0</v>
      </c>
      <c r="Y4107" s="8">
        <f t="shared" si="651"/>
        <v>46023</v>
      </c>
    </row>
    <row r="4108" spans="2:25" ht="18.75" x14ac:dyDescent="0.3">
      <c r="B4108" s="6">
        <f t="shared" si="643"/>
        <v>0</v>
      </c>
      <c r="C4108" s="6">
        <f t="shared" si="644"/>
        <v>0</v>
      </c>
      <c r="D4108" s="6" t="str">
        <f t="shared" si="645"/>
        <v/>
      </c>
      <c r="E4108" s="35" t="str">
        <f t="shared" si="642"/>
        <v/>
      </c>
      <c r="F4108" s="31"/>
      <c r="G4108" s="29"/>
      <c r="H4108" s="78" t="str">
        <f t="shared" si="646"/>
        <v/>
      </c>
      <c r="I4108" s="25"/>
      <c r="J4108" s="25"/>
      <c r="K4108" s="26"/>
      <c r="L4108" s="26"/>
      <c r="M4108" s="37"/>
      <c r="N4108" s="27"/>
      <c r="O4108" s="30"/>
      <c r="P4108" s="39" t="str">
        <f t="shared" si="647"/>
        <v/>
      </c>
      <c r="Q4108" s="40" t="str">
        <f>IF(OR(T4108=0,RIGHT(T4108,1)=$W$1),"",COUNTIF($T$3:T4108,T4108))</f>
        <v/>
      </c>
      <c r="S4108" s="6">
        <f t="shared" si="648"/>
        <v>0</v>
      </c>
      <c r="T4108" s="36">
        <f t="shared" si="649"/>
        <v>0</v>
      </c>
      <c r="V4108" s="6">
        <f t="shared" si="650"/>
        <v>0</v>
      </c>
      <c r="Y4108" s="8">
        <f t="shared" si="651"/>
        <v>46023</v>
      </c>
    </row>
    <row r="4109" spans="2:25" ht="18.75" x14ac:dyDescent="0.3">
      <c r="B4109" s="6">
        <f t="shared" si="643"/>
        <v>0</v>
      </c>
      <c r="C4109" s="6">
        <f t="shared" si="644"/>
        <v>0</v>
      </c>
      <c r="D4109" s="6" t="str">
        <f t="shared" si="645"/>
        <v/>
      </c>
      <c r="E4109" s="35" t="str">
        <f t="shared" si="642"/>
        <v/>
      </c>
      <c r="F4109" s="31"/>
      <c r="G4109" s="29"/>
      <c r="H4109" s="78" t="str">
        <f t="shared" si="646"/>
        <v/>
      </c>
      <c r="I4109" s="25"/>
      <c r="J4109" s="25"/>
      <c r="K4109" s="26"/>
      <c r="L4109" s="26"/>
      <c r="M4109" s="37"/>
      <c r="N4109" s="27"/>
      <c r="O4109" s="30"/>
      <c r="P4109" s="39" t="str">
        <f t="shared" si="647"/>
        <v/>
      </c>
      <c r="Q4109" s="40" t="str">
        <f>IF(OR(T4109=0,RIGHT(T4109,1)=$W$1),"",COUNTIF($T$3:T4109,T4109))</f>
        <v/>
      </c>
      <c r="S4109" s="6">
        <f t="shared" si="648"/>
        <v>0</v>
      </c>
      <c r="T4109" s="36">
        <f t="shared" si="649"/>
        <v>0</v>
      </c>
      <c r="V4109" s="6">
        <f t="shared" si="650"/>
        <v>0</v>
      </c>
      <c r="Y4109" s="8">
        <f t="shared" si="651"/>
        <v>46023</v>
      </c>
    </row>
    <row r="4110" spans="2:25" ht="18.75" x14ac:dyDescent="0.3">
      <c r="B4110" s="6">
        <f t="shared" si="643"/>
        <v>0</v>
      </c>
      <c r="C4110" s="6">
        <f t="shared" si="644"/>
        <v>0</v>
      </c>
      <c r="D4110" s="6" t="str">
        <f t="shared" si="645"/>
        <v/>
      </c>
      <c r="E4110" s="35" t="str">
        <f t="shared" si="642"/>
        <v/>
      </c>
      <c r="F4110" s="31"/>
      <c r="G4110" s="29"/>
      <c r="H4110" s="78" t="str">
        <f t="shared" si="646"/>
        <v/>
      </c>
      <c r="I4110" s="25"/>
      <c r="J4110" s="25"/>
      <c r="K4110" s="26"/>
      <c r="L4110" s="26"/>
      <c r="M4110" s="37"/>
      <c r="N4110" s="27"/>
      <c r="O4110" s="30"/>
      <c r="P4110" s="39" t="str">
        <f t="shared" si="647"/>
        <v/>
      </c>
      <c r="Q4110" s="40" t="str">
        <f>IF(OR(T4110=0,RIGHT(T4110,1)=$W$1),"",COUNTIF($T$3:T4110,T4110))</f>
        <v/>
      </c>
      <c r="S4110" s="6">
        <f t="shared" si="648"/>
        <v>0</v>
      </c>
      <c r="T4110" s="36">
        <f t="shared" si="649"/>
        <v>0</v>
      </c>
      <c r="V4110" s="6">
        <f t="shared" si="650"/>
        <v>0</v>
      </c>
      <c r="Y4110" s="8">
        <f t="shared" si="651"/>
        <v>46023</v>
      </c>
    </row>
    <row r="4111" spans="2:25" ht="18.75" x14ac:dyDescent="0.3">
      <c r="B4111" s="6">
        <f t="shared" si="643"/>
        <v>0</v>
      </c>
      <c r="C4111" s="6">
        <f t="shared" si="644"/>
        <v>0</v>
      </c>
      <c r="D4111" s="6" t="str">
        <f t="shared" si="645"/>
        <v/>
      </c>
      <c r="E4111" s="35" t="str">
        <f t="shared" si="642"/>
        <v/>
      </c>
      <c r="F4111" s="31"/>
      <c r="G4111" s="29"/>
      <c r="H4111" s="78" t="str">
        <f t="shared" si="646"/>
        <v/>
      </c>
      <c r="I4111" s="25"/>
      <c r="J4111" s="25"/>
      <c r="K4111" s="26"/>
      <c r="L4111" s="26"/>
      <c r="M4111" s="37"/>
      <c r="N4111" s="27"/>
      <c r="O4111" s="30"/>
      <c r="P4111" s="39" t="str">
        <f t="shared" si="647"/>
        <v/>
      </c>
      <c r="Q4111" s="40" t="str">
        <f>IF(OR(T4111=0,RIGHT(T4111,1)=$W$1),"",COUNTIF($T$3:T4111,T4111))</f>
        <v/>
      </c>
      <c r="S4111" s="6">
        <f t="shared" si="648"/>
        <v>0</v>
      </c>
      <c r="T4111" s="36">
        <f t="shared" si="649"/>
        <v>0</v>
      </c>
      <c r="V4111" s="6">
        <f t="shared" si="650"/>
        <v>0</v>
      </c>
      <c r="Y4111" s="8">
        <f t="shared" si="651"/>
        <v>46023</v>
      </c>
    </row>
    <row r="4112" spans="2:25" ht="18.75" x14ac:dyDescent="0.3">
      <c r="B4112" s="6">
        <f t="shared" si="643"/>
        <v>0</v>
      </c>
      <c r="C4112" s="6">
        <f t="shared" si="644"/>
        <v>0</v>
      </c>
      <c r="D4112" s="6" t="str">
        <f t="shared" si="645"/>
        <v/>
      </c>
      <c r="E4112" s="35" t="str">
        <f t="shared" si="642"/>
        <v/>
      </c>
      <c r="F4112" s="31"/>
      <c r="G4112" s="29"/>
      <c r="H4112" s="78" t="str">
        <f t="shared" si="646"/>
        <v/>
      </c>
      <c r="I4112" s="25"/>
      <c r="J4112" s="25"/>
      <c r="K4112" s="26"/>
      <c r="L4112" s="26"/>
      <c r="M4112" s="37"/>
      <c r="N4112" s="27"/>
      <c r="O4112" s="30"/>
      <c r="P4112" s="39" t="str">
        <f t="shared" si="647"/>
        <v/>
      </c>
      <c r="Q4112" s="40" t="str">
        <f>IF(OR(T4112=0,RIGHT(T4112,1)=$W$1),"",COUNTIF($T$3:T4112,T4112))</f>
        <v/>
      </c>
      <c r="S4112" s="6">
        <f t="shared" si="648"/>
        <v>0</v>
      </c>
      <c r="T4112" s="36">
        <f t="shared" si="649"/>
        <v>0</v>
      </c>
      <c r="V4112" s="6">
        <f t="shared" si="650"/>
        <v>0</v>
      </c>
      <c r="Y4112" s="8">
        <f t="shared" si="651"/>
        <v>46023</v>
      </c>
    </row>
    <row r="4113" spans="2:25" ht="18.75" x14ac:dyDescent="0.3">
      <c r="B4113" s="6">
        <f t="shared" si="643"/>
        <v>0</v>
      </c>
      <c r="C4113" s="6">
        <f t="shared" si="644"/>
        <v>0</v>
      </c>
      <c r="D4113" s="6" t="str">
        <f t="shared" si="645"/>
        <v/>
      </c>
      <c r="E4113" s="35" t="str">
        <f t="shared" si="642"/>
        <v/>
      </c>
      <c r="F4113" s="31"/>
      <c r="G4113" s="29"/>
      <c r="H4113" s="78" t="str">
        <f t="shared" si="646"/>
        <v/>
      </c>
      <c r="I4113" s="25"/>
      <c r="J4113" s="25"/>
      <c r="K4113" s="26"/>
      <c r="L4113" s="26"/>
      <c r="M4113" s="37"/>
      <c r="N4113" s="27"/>
      <c r="O4113" s="30"/>
      <c r="P4113" s="39" t="str">
        <f t="shared" si="647"/>
        <v/>
      </c>
      <c r="Q4113" s="40" t="str">
        <f>IF(OR(T4113=0,RIGHT(T4113,1)=$W$1),"",COUNTIF($T$3:T4113,T4113))</f>
        <v/>
      </c>
      <c r="S4113" s="6">
        <f t="shared" si="648"/>
        <v>0</v>
      </c>
      <c r="T4113" s="36">
        <f t="shared" si="649"/>
        <v>0</v>
      </c>
      <c r="V4113" s="6">
        <f t="shared" si="650"/>
        <v>0</v>
      </c>
      <c r="Y4113" s="8">
        <f t="shared" si="651"/>
        <v>46023</v>
      </c>
    </row>
    <row r="4114" spans="2:25" ht="18.75" x14ac:dyDescent="0.3">
      <c r="B4114" s="6">
        <f t="shared" si="643"/>
        <v>0</v>
      </c>
      <c r="C4114" s="6">
        <f t="shared" si="644"/>
        <v>0</v>
      </c>
      <c r="D4114" s="6" t="str">
        <f t="shared" si="645"/>
        <v/>
      </c>
      <c r="E4114" s="35" t="str">
        <f t="shared" si="642"/>
        <v/>
      </c>
      <c r="F4114" s="31"/>
      <c r="G4114" s="29"/>
      <c r="H4114" s="78" t="str">
        <f t="shared" si="646"/>
        <v/>
      </c>
      <c r="I4114" s="25"/>
      <c r="J4114" s="25"/>
      <c r="K4114" s="26"/>
      <c r="L4114" s="26"/>
      <c r="M4114" s="37"/>
      <c r="N4114" s="27"/>
      <c r="O4114" s="30"/>
      <c r="P4114" s="39" t="str">
        <f t="shared" si="647"/>
        <v/>
      </c>
      <c r="Q4114" s="40" t="str">
        <f>IF(OR(T4114=0,RIGHT(T4114,1)=$W$1),"",COUNTIF($T$3:T4114,T4114))</f>
        <v/>
      </c>
      <c r="S4114" s="6">
        <f t="shared" si="648"/>
        <v>0</v>
      </c>
      <c r="T4114" s="36">
        <f t="shared" si="649"/>
        <v>0</v>
      </c>
      <c r="V4114" s="6">
        <f t="shared" si="650"/>
        <v>0</v>
      </c>
      <c r="Y4114" s="8">
        <f t="shared" si="651"/>
        <v>46023</v>
      </c>
    </row>
    <row r="4115" spans="2:25" ht="18.75" x14ac:dyDescent="0.3">
      <c r="B4115" s="6">
        <f t="shared" si="643"/>
        <v>0</v>
      </c>
      <c r="C4115" s="6">
        <f t="shared" si="644"/>
        <v>0</v>
      </c>
      <c r="D4115" s="6" t="str">
        <f t="shared" si="645"/>
        <v/>
      </c>
      <c r="E4115" s="35" t="str">
        <f t="shared" si="642"/>
        <v/>
      </c>
      <c r="F4115" s="31"/>
      <c r="G4115" s="29"/>
      <c r="H4115" s="78" t="str">
        <f t="shared" si="646"/>
        <v/>
      </c>
      <c r="I4115" s="25"/>
      <c r="J4115" s="25"/>
      <c r="K4115" s="26"/>
      <c r="L4115" s="26"/>
      <c r="M4115" s="37"/>
      <c r="N4115" s="27"/>
      <c r="O4115" s="30"/>
      <c r="P4115" s="39" t="str">
        <f t="shared" si="647"/>
        <v/>
      </c>
      <c r="Q4115" s="40" t="str">
        <f>IF(OR(T4115=0,RIGHT(T4115,1)=$W$1),"",COUNTIF($T$3:T4115,T4115))</f>
        <v/>
      </c>
      <c r="S4115" s="6">
        <f t="shared" si="648"/>
        <v>0</v>
      </c>
      <c r="T4115" s="36">
        <f t="shared" si="649"/>
        <v>0</v>
      </c>
      <c r="V4115" s="6">
        <f t="shared" si="650"/>
        <v>0</v>
      </c>
      <c r="Y4115" s="8">
        <f t="shared" si="651"/>
        <v>46023</v>
      </c>
    </row>
    <row r="4116" spans="2:25" ht="18.75" x14ac:dyDescent="0.3">
      <c r="B4116" s="6">
        <f t="shared" si="643"/>
        <v>0</v>
      </c>
      <c r="C4116" s="6">
        <f t="shared" si="644"/>
        <v>0</v>
      </c>
      <c r="D4116" s="6" t="str">
        <f t="shared" si="645"/>
        <v/>
      </c>
      <c r="E4116" s="35" t="str">
        <f t="shared" si="642"/>
        <v/>
      </c>
      <c r="F4116" s="31"/>
      <c r="G4116" s="29"/>
      <c r="H4116" s="78" t="str">
        <f t="shared" si="646"/>
        <v/>
      </c>
      <c r="I4116" s="25"/>
      <c r="J4116" s="25"/>
      <c r="K4116" s="26"/>
      <c r="L4116" s="26"/>
      <c r="M4116" s="37"/>
      <c r="N4116" s="27"/>
      <c r="O4116" s="30"/>
      <c r="P4116" s="39" t="str">
        <f t="shared" si="647"/>
        <v/>
      </c>
      <c r="Q4116" s="40" t="str">
        <f>IF(OR(T4116=0,RIGHT(T4116,1)=$W$1),"",COUNTIF($T$3:T4116,T4116))</f>
        <v/>
      </c>
      <c r="S4116" s="6">
        <f t="shared" si="648"/>
        <v>0</v>
      </c>
      <c r="T4116" s="36">
        <f t="shared" si="649"/>
        <v>0</v>
      </c>
      <c r="V4116" s="6">
        <f t="shared" si="650"/>
        <v>0</v>
      </c>
      <c r="Y4116" s="8">
        <f t="shared" si="651"/>
        <v>46023</v>
      </c>
    </row>
    <row r="4117" spans="2:25" ht="18.75" x14ac:dyDescent="0.3">
      <c r="B4117" s="6">
        <f t="shared" si="643"/>
        <v>0</v>
      </c>
      <c r="C4117" s="6">
        <f t="shared" si="644"/>
        <v>0</v>
      </c>
      <c r="D4117" s="6" t="str">
        <f t="shared" si="645"/>
        <v/>
      </c>
      <c r="E4117" s="35" t="str">
        <f t="shared" si="642"/>
        <v/>
      </c>
      <c r="F4117" s="31"/>
      <c r="G4117" s="29"/>
      <c r="H4117" s="78" t="str">
        <f t="shared" si="646"/>
        <v/>
      </c>
      <c r="I4117" s="25"/>
      <c r="J4117" s="25"/>
      <c r="K4117" s="26"/>
      <c r="L4117" s="26"/>
      <c r="M4117" s="37"/>
      <c r="N4117" s="27"/>
      <c r="O4117" s="30"/>
      <c r="P4117" s="39" t="str">
        <f t="shared" si="647"/>
        <v/>
      </c>
      <c r="Q4117" s="40" t="str">
        <f>IF(OR(T4117=0,RIGHT(T4117,1)=$W$1),"",COUNTIF($T$3:T4117,T4117))</f>
        <v/>
      </c>
      <c r="S4117" s="6">
        <f t="shared" si="648"/>
        <v>0</v>
      </c>
      <c r="T4117" s="36">
        <f t="shared" si="649"/>
        <v>0</v>
      </c>
      <c r="V4117" s="6">
        <f t="shared" si="650"/>
        <v>0</v>
      </c>
      <c r="Y4117" s="8">
        <f t="shared" si="651"/>
        <v>46023</v>
      </c>
    </row>
    <row r="4118" spans="2:25" ht="18.75" x14ac:dyDescent="0.3">
      <c r="B4118" s="6">
        <f t="shared" si="643"/>
        <v>0</v>
      </c>
      <c r="C4118" s="6">
        <f t="shared" si="644"/>
        <v>0</v>
      </c>
      <c r="D4118" s="6" t="str">
        <f t="shared" si="645"/>
        <v/>
      </c>
      <c r="E4118" s="35" t="str">
        <f t="shared" si="642"/>
        <v/>
      </c>
      <c r="F4118" s="31"/>
      <c r="G4118" s="29"/>
      <c r="H4118" s="78" t="str">
        <f t="shared" si="646"/>
        <v/>
      </c>
      <c r="I4118" s="25"/>
      <c r="J4118" s="25"/>
      <c r="K4118" s="26"/>
      <c r="L4118" s="26"/>
      <c r="M4118" s="37"/>
      <c r="N4118" s="27"/>
      <c r="O4118" s="30"/>
      <c r="P4118" s="39" t="str">
        <f t="shared" si="647"/>
        <v/>
      </c>
      <c r="Q4118" s="40" t="str">
        <f>IF(OR(T4118=0,RIGHT(T4118,1)=$W$1),"",COUNTIF($T$3:T4118,T4118))</f>
        <v/>
      </c>
      <c r="S4118" s="6">
        <f t="shared" si="648"/>
        <v>0</v>
      </c>
      <c r="T4118" s="36">
        <f t="shared" si="649"/>
        <v>0</v>
      </c>
      <c r="V4118" s="6">
        <f t="shared" si="650"/>
        <v>0</v>
      </c>
      <c r="Y4118" s="8">
        <f t="shared" si="651"/>
        <v>46023</v>
      </c>
    </row>
    <row r="4119" spans="2:25" ht="18.75" x14ac:dyDescent="0.3">
      <c r="B4119" s="6">
        <f t="shared" si="643"/>
        <v>0</v>
      </c>
      <c r="C4119" s="6">
        <f t="shared" si="644"/>
        <v>0</v>
      </c>
      <c r="D4119" s="6" t="str">
        <f t="shared" si="645"/>
        <v/>
      </c>
      <c r="E4119" s="35" t="str">
        <f t="shared" si="642"/>
        <v/>
      </c>
      <c r="F4119" s="31"/>
      <c r="G4119" s="29"/>
      <c r="H4119" s="78" t="str">
        <f t="shared" si="646"/>
        <v/>
      </c>
      <c r="I4119" s="25"/>
      <c r="J4119" s="25"/>
      <c r="K4119" s="26"/>
      <c r="L4119" s="26"/>
      <c r="M4119" s="37"/>
      <c r="N4119" s="27"/>
      <c r="O4119" s="30"/>
      <c r="P4119" s="39" t="str">
        <f t="shared" si="647"/>
        <v/>
      </c>
      <c r="Q4119" s="40" t="str">
        <f>IF(OR(T4119=0,RIGHT(T4119,1)=$W$1),"",COUNTIF($T$3:T4119,T4119))</f>
        <v/>
      </c>
      <c r="S4119" s="6">
        <f t="shared" si="648"/>
        <v>0</v>
      </c>
      <c r="T4119" s="36">
        <f t="shared" si="649"/>
        <v>0</v>
      </c>
      <c r="V4119" s="6">
        <f t="shared" si="650"/>
        <v>0</v>
      </c>
      <c r="Y4119" s="8">
        <f t="shared" si="651"/>
        <v>46023</v>
      </c>
    </row>
    <row r="4120" spans="2:25" ht="18.75" x14ac:dyDescent="0.3">
      <c r="B4120" s="6">
        <f t="shared" si="643"/>
        <v>0</v>
      </c>
      <c r="C4120" s="6">
        <f t="shared" si="644"/>
        <v>0</v>
      </c>
      <c r="D4120" s="6" t="str">
        <f t="shared" si="645"/>
        <v/>
      </c>
      <c r="E4120" s="35" t="str">
        <f t="shared" si="642"/>
        <v/>
      </c>
      <c r="F4120" s="31"/>
      <c r="G4120" s="29"/>
      <c r="H4120" s="78" t="str">
        <f t="shared" si="646"/>
        <v/>
      </c>
      <c r="I4120" s="25"/>
      <c r="J4120" s="25"/>
      <c r="K4120" s="26"/>
      <c r="L4120" s="26"/>
      <c r="M4120" s="37"/>
      <c r="N4120" s="27"/>
      <c r="O4120" s="30"/>
      <c r="P4120" s="39" t="str">
        <f t="shared" si="647"/>
        <v/>
      </c>
      <c r="Q4120" s="40" t="str">
        <f>IF(OR(T4120=0,RIGHT(T4120,1)=$W$1),"",COUNTIF($T$3:T4120,T4120))</f>
        <v/>
      </c>
      <c r="S4120" s="6">
        <f t="shared" si="648"/>
        <v>0</v>
      </c>
      <c r="T4120" s="36">
        <f t="shared" si="649"/>
        <v>0</v>
      </c>
      <c r="V4120" s="6">
        <f t="shared" si="650"/>
        <v>0</v>
      </c>
      <c r="Y4120" s="8">
        <f t="shared" si="651"/>
        <v>46023</v>
      </c>
    </row>
    <row r="4121" spans="2:25" ht="18.75" x14ac:dyDescent="0.3">
      <c r="B4121" s="6">
        <f t="shared" si="643"/>
        <v>0</v>
      </c>
      <c r="C4121" s="6">
        <f t="shared" si="644"/>
        <v>0</v>
      </c>
      <c r="D4121" s="6" t="str">
        <f t="shared" si="645"/>
        <v/>
      </c>
      <c r="E4121" s="35" t="str">
        <f t="shared" si="642"/>
        <v/>
      </c>
      <c r="F4121" s="31"/>
      <c r="G4121" s="29"/>
      <c r="H4121" s="78" t="str">
        <f t="shared" si="646"/>
        <v/>
      </c>
      <c r="I4121" s="25"/>
      <c r="J4121" s="25"/>
      <c r="K4121" s="26"/>
      <c r="L4121" s="26"/>
      <c r="M4121" s="37"/>
      <c r="N4121" s="27"/>
      <c r="O4121" s="30"/>
      <c r="P4121" s="39" t="str">
        <f t="shared" si="647"/>
        <v/>
      </c>
      <c r="Q4121" s="40" t="str">
        <f>IF(OR(T4121=0,RIGHT(T4121,1)=$W$1),"",COUNTIF($T$3:T4121,T4121))</f>
        <v/>
      </c>
      <c r="S4121" s="6">
        <f t="shared" si="648"/>
        <v>0</v>
      </c>
      <c r="T4121" s="36">
        <f t="shared" si="649"/>
        <v>0</v>
      </c>
      <c r="V4121" s="6">
        <f t="shared" si="650"/>
        <v>0</v>
      </c>
      <c r="Y4121" s="8">
        <f t="shared" si="651"/>
        <v>46023</v>
      </c>
    </row>
    <row r="4122" spans="2:25" ht="18.75" x14ac:dyDescent="0.3">
      <c r="B4122" s="6">
        <f t="shared" si="643"/>
        <v>0</v>
      </c>
      <c r="C4122" s="6">
        <f t="shared" si="644"/>
        <v>0</v>
      </c>
      <c r="D4122" s="6" t="str">
        <f t="shared" si="645"/>
        <v/>
      </c>
      <c r="E4122" s="35" t="str">
        <f t="shared" si="642"/>
        <v/>
      </c>
      <c r="F4122" s="31"/>
      <c r="G4122" s="29"/>
      <c r="H4122" s="78" t="str">
        <f t="shared" si="646"/>
        <v/>
      </c>
      <c r="I4122" s="25"/>
      <c r="J4122" s="25"/>
      <c r="K4122" s="26"/>
      <c r="L4122" s="26"/>
      <c r="M4122" s="37"/>
      <c r="N4122" s="27"/>
      <c r="O4122" s="30"/>
      <c r="P4122" s="39" t="str">
        <f t="shared" si="647"/>
        <v/>
      </c>
      <c r="Q4122" s="40" t="str">
        <f>IF(OR(T4122=0,RIGHT(T4122,1)=$W$1),"",COUNTIF($T$3:T4122,T4122))</f>
        <v/>
      </c>
      <c r="S4122" s="6">
        <f t="shared" si="648"/>
        <v>0</v>
      </c>
      <c r="T4122" s="36">
        <f t="shared" si="649"/>
        <v>0</v>
      </c>
      <c r="V4122" s="6">
        <f t="shared" si="650"/>
        <v>0</v>
      </c>
      <c r="Y4122" s="8">
        <f t="shared" si="651"/>
        <v>46023</v>
      </c>
    </row>
    <row r="4123" spans="2:25" ht="18.75" x14ac:dyDescent="0.3">
      <c r="B4123" s="6">
        <f t="shared" si="643"/>
        <v>0</v>
      </c>
      <c r="C4123" s="6">
        <f t="shared" si="644"/>
        <v>0</v>
      </c>
      <c r="D4123" s="6" t="str">
        <f t="shared" si="645"/>
        <v/>
      </c>
      <c r="E4123" s="35" t="str">
        <f t="shared" si="642"/>
        <v/>
      </c>
      <c r="F4123" s="31"/>
      <c r="G4123" s="29"/>
      <c r="H4123" s="78" t="str">
        <f t="shared" si="646"/>
        <v/>
      </c>
      <c r="I4123" s="25"/>
      <c r="J4123" s="25"/>
      <c r="K4123" s="26"/>
      <c r="L4123" s="26"/>
      <c r="M4123" s="37"/>
      <c r="N4123" s="27"/>
      <c r="O4123" s="30"/>
      <c r="P4123" s="39" t="str">
        <f t="shared" si="647"/>
        <v/>
      </c>
      <c r="Q4123" s="40" t="str">
        <f>IF(OR(T4123=0,RIGHT(T4123,1)=$W$1),"",COUNTIF($T$3:T4123,T4123))</f>
        <v/>
      </c>
      <c r="S4123" s="6">
        <f t="shared" si="648"/>
        <v>0</v>
      </c>
      <c r="T4123" s="36">
        <f t="shared" si="649"/>
        <v>0</v>
      </c>
      <c r="V4123" s="6">
        <f t="shared" si="650"/>
        <v>0</v>
      </c>
      <c r="Y4123" s="8">
        <f t="shared" si="651"/>
        <v>46023</v>
      </c>
    </row>
    <row r="4124" spans="2:25" ht="18.75" x14ac:dyDescent="0.3">
      <c r="B4124" s="6">
        <f t="shared" si="643"/>
        <v>0</v>
      </c>
      <c r="C4124" s="6">
        <f t="shared" si="644"/>
        <v>0</v>
      </c>
      <c r="D4124" s="6" t="str">
        <f t="shared" si="645"/>
        <v/>
      </c>
      <c r="E4124" s="35" t="str">
        <f t="shared" si="642"/>
        <v/>
      </c>
      <c r="F4124" s="31"/>
      <c r="G4124" s="29"/>
      <c r="H4124" s="78" t="str">
        <f t="shared" si="646"/>
        <v/>
      </c>
      <c r="I4124" s="25"/>
      <c r="J4124" s="25"/>
      <c r="K4124" s="26"/>
      <c r="L4124" s="26"/>
      <c r="M4124" s="37"/>
      <c r="N4124" s="27"/>
      <c r="O4124" s="30"/>
      <c r="P4124" s="39" t="str">
        <f t="shared" si="647"/>
        <v/>
      </c>
      <c r="Q4124" s="40" t="str">
        <f>IF(OR(T4124=0,RIGHT(T4124,1)=$W$1),"",COUNTIF($T$3:T4124,T4124))</f>
        <v/>
      </c>
      <c r="S4124" s="6">
        <f t="shared" si="648"/>
        <v>0</v>
      </c>
      <c r="T4124" s="36">
        <f t="shared" si="649"/>
        <v>0</v>
      </c>
      <c r="V4124" s="6">
        <f t="shared" si="650"/>
        <v>0</v>
      </c>
      <c r="Y4124" s="8">
        <f t="shared" si="651"/>
        <v>46023</v>
      </c>
    </row>
    <row r="4125" spans="2:25" ht="18.75" x14ac:dyDescent="0.3">
      <c r="B4125" s="6">
        <f t="shared" si="643"/>
        <v>0</v>
      </c>
      <c r="C4125" s="6">
        <f t="shared" si="644"/>
        <v>0</v>
      </c>
      <c r="D4125" s="6" t="str">
        <f t="shared" si="645"/>
        <v/>
      </c>
      <c r="E4125" s="35" t="str">
        <f t="shared" si="642"/>
        <v/>
      </c>
      <c r="F4125" s="31"/>
      <c r="G4125" s="29"/>
      <c r="H4125" s="78" t="str">
        <f t="shared" si="646"/>
        <v/>
      </c>
      <c r="I4125" s="25"/>
      <c r="J4125" s="25"/>
      <c r="K4125" s="26"/>
      <c r="L4125" s="26"/>
      <c r="M4125" s="37"/>
      <c r="N4125" s="27"/>
      <c r="O4125" s="30"/>
      <c r="P4125" s="39" t="str">
        <f t="shared" si="647"/>
        <v/>
      </c>
      <c r="Q4125" s="40" t="str">
        <f>IF(OR(T4125=0,RIGHT(T4125,1)=$W$1),"",COUNTIF($T$3:T4125,T4125))</f>
        <v/>
      </c>
      <c r="S4125" s="6">
        <f t="shared" si="648"/>
        <v>0</v>
      </c>
      <c r="T4125" s="36">
        <f t="shared" si="649"/>
        <v>0</v>
      </c>
      <c r="V4125" s="6">
        <f t="shared" si="650"/>
        <v>0</v>
      </c>
      <c r="Y4125" s="8">
        <f t="shared" si="651"/>
        <v>46023</v>
      </c>
    </row>
    <row r="4126" spans="2:25" ht="18.75" x14ac:dyDescent="0.3">
      <c r="B4126" s="6">
        <f t="shared" si="643"/>
        <v>0</v>
      </c>
      <c r="C4126" s="6">
        <f t="shared" si="644"/>
        <v>0</v>
      </c>
      <c r="D4126" s="6" t="str">
        <f t="shared" si="645"/>
        <v/>
      </c>
      <c r="E4126" s="35" t="str">
        <f t="shared" si="642"/>
        <v/>
      </c>
      <c r="F4126" s="31"/>
      <c r="G4126" s="29"/>
      <c r="H4126" s="78" t="str">
        <f t="shared" si="646"/>
        <v/>
      </c>
      <c r="I4126" s="25"/>
      <c r="J4126" s="25"/>
      <c r="K4126" s="26"/>
      <c r="L4126" s="26"/>
      <c r="M4126" s="37"/>
      <c r="N4126" s="27"/>
      <c r="O4126" s="30"/>
      <c r="P4126" s="39" t="str">
        <f t="shared" si="647"/>
        <v/>
      </c>
      <c r="Q4126" s="40" t="str">
        <f>IF(OR(T4126=0,RIGHT(T4126,1)=$W$1),"",COUNTIF($T$3:T4126,T4126))</f>
        <v/>
      </c>
      <c r="S4126" s="6">
        <f t="shared" si="648"/>
        <v>0</v>
      </c>
      <c r="T4126" s="36">
        <f t="shared" si="649"/>
        <v>0</v>
      </c>
      <c r="V4126" s="6">
        <f t="shared" si="650"/>
        <v>0</v>
      </c>
      <c r="Y4126" s="8">
        <f t="shared" si="651"/>
        <v>46023</v>
      </c>
    </row>
    <row r="4127" spans="2:25" ht="18.75" x14ac:dyDescent="0.3">
      <c r="B4127" s="6">
        <f t="shared" si="643"/>
        <v>0</v>
      </c>
      <c r="C4127" s="6">
        <f t="shared" si="644"/>
        <v>0</v>
      </c>
      <c r="D4127" s="6" t="str">
        <f t="shared" si="645"/>
        <v/>
      </c>
      <c r="E4127" s="35" t="str">
        <f t="shared" si="642"/>
        <v/>
      </c>
      <c r="F4127" s="31"/>
      <c r="G4127" s="29"/>
      <c r="H4127" s="78" t="str">
        <f t="shared" si="646"/>
        <v/>
      </c>
      <c r="I4127" s="25"/>
      <c r="J4127" s="25"/>
      <c r="K4127" s="26"/>
      <c r="L4127" s="26"/>
      <c r="M4127" s="37"/>
      <c r="N4127" s="27"/>
      <c r="O4127" s="30"/>
      <c r="P4127" s="39" t="str">
        <f t="shared" si="647"/>
        <v/>
      </c>
      <c r="Q4127" s="40" t="str">
        <f>IF(OR(T4127=0,RIGHT(T4127,1)=$W$1),"",COUNTIF($T$3:T4127,T4127))</f>
        <v/>
      </c>
      <c r="S4127" s="6">
        <f t="shared" si="648"/>
        <v>0</v>
      </c>
      <c r="T4127" s="36">
        <f t="shared" si="649"/>
        <v>0</v>
      </c>
      <c r="V4127" s="6">
        <f t="shared" si="650"/>
        <v>0</v>
      </c>
      <c r="Y4127" s="8">
        <f t="shared" si="651"/>
        <v>46023</v>
      </c>
    </row>
    <row r="4128" spans="2:25" ht="18.75" x14ac:dyDescent="0.3">
      <c r="B4128" s="6">
        <f t="shared" si="643"/>
        <v>0</v>
      </c>
      <c r="C4128" s="6">
        <f t="shared" si="644"/>
        <v>0</v>
      </c>
      <c r="D4128" s="6" t="str">
        <f t="shared" si="645"/>
        <v/>
      </c>
      <c r="E4128" s="35" t="str">
        <f t="shared" si="642"/>
        <v/>
      </c>
      <c r="F4128" s="31"/>
      <c r="G4128" s="29"/>
      <c r="H4128" s="78" t="str">
        <f t="shared" si="646"/>
        <v/>
      </c>
      <c r="I4128" s="25"/>
      <c r="J4128" s="25"/>
      <c r="K4128" s="26"/>
      <c r="L4128" s="26"/>
      <c r="M4128" s="37"/>
      <c r="N4128" s="27"/>
      <c r="O4128" s="30"/>
      <c r="P4128" s="39" t="str">
        <f t="shared" si="647"/>
        <v/>
      </c>
      <c r="Q4128" s="40" t="str">
        <f>IF(OR(T4128=0,RIGHT(T4128,1)=$W$1),"",COUNTIF($T$3:T4128,T4128))</f>
        <v/>
      </c>
      <c r="S4128" s="6">
        <f t="shared" si="648"/>
        <v>0</v>
      </c>
      <c r="T4128" s="36">
        <f t="shared" si="649"/>
        <v>0</v>
      </c>
      <c r="V4128" s="6">
        <f t="shared" si="650"/>
        <v>0</v>
      </c>
      <c r="Y4128" s="8">
        <f t="shared" si="651"/>
        <v>46023</v>
      </c>
    </row>
    <row r="4129" spans="2:25" ht="18.75" x14ac:dyDescent="0.3">
      <c r="B4129" s="6">
        <f t="shared" si="643"/>
        <v>0</v>
      </c>
      <c r="C4129" s="6">
        <f t="shared" si="644"/>
        <v>0</v>
      </c>
      <c r="D4129" s="6" t="str">
        <f t="shared" si="645"/>
        <v/>
      </c>
      <c r="E4129" s="35" t="str">
        <f t="shared" si="642"/>
        <v/>
      </c>
      <c r="F4129" s="31"/>
      <c r="G4129" s="29"/>
      <c r="H4129" s="78" t="str">
        <f t="shared" si="646"/>
        <v/>
      </c>
      <c r="I4129" s="25"/>
      <c r="J4129" s="25"/>
      <c r="K4129" s="26"/>
      <c r="L4129" s="26"/>
      <c r="M4129" s="37"/>
      <c r="N4129" s="27"/>
      <c r="O4129" s="30"/>
      <c r="P4129" s="39" t="str">
        <f t="shared" si="647"/>
        <v/>
      </c>
      <c r="Q4129" s="40" t="str">
        <f>IF(OR(T4129=0,RIGHT(T4129,1)=$W$1),"",COUNTIF($T$3:T4129,T4129))</f>
        <v/>
      </c>
      <c r="S4129" s="6">
        <f t="shared" si="648"/>
        <v>0</v>
      </c>
      <c r="T4129" s="36">
        <f t="shared" si="649"/>
        <v>0</v>
      </c>
      <c r="V4129" s="6">
        <f t="shared" si="650"/>
        <v>0</v>
      </c>
      <c r="Y4129" s="8">
        <f t="shared" si="651"/>
        <v>46023</v>
      </c>
    </row>
    <row r="4130" spans="2:25" ht="18.75" x14ac:dyDescent="0.3">
      <c r="B4130" s="6">
        <f t="shared" si="643"/>
        <v>0</v>
      </c>
      <c r="C4130" s="6">
        <f t="shared" si="644"/>
        <v>0</v>
      </c>
      <c r="D4130" s="6" t="str">
        <f t="shared" si="645"/>
        <v/>
      </c>
      <c r="E4130" s="35" t="str">
        <f t="shared" si="642"/>
        <v/>
      </c>
      <c r="F4130" s="31"/>
      <c r="G4130" s="29"/>
      <c r="H4130" s="78" t="str">
        <f t="shared" si="646"/>
        <v/>
      </c>
      <c r="I4130" s="25"/>
      <c r="J4130" s="25"/>
      <c r="K4130" s="26"/>
      <c r="L4130" s="26"/>
      <c r="M4130" s="37"/>
      <c r="N4130" s="27"/>
      <c r="O4130" s="30"/>
      <c r="P4130" s="39" t="str">
        <f t="shared" si="647"/>
        <v/>
      </c>
      <c r="Q4130" s="40" t="str">
        <f>IF(OR(T4130=0,RIGHT(T4130,1)=$W$1),"",COUNTIF($T$3:T4130,T4130))</f>
        <v/>
      </c>
      <c r="S4130" s="6">
        <f t="shared" si="648"/>
        <v>0</v>
      </c>
      <c r="T4130" s="36">
        <f t="shared" si="649"/>
        <v>0</v>
      </c>
      <c r="V4130" s="6">
        <f t="shared" si="650"/>
        <v>0</v>
      </c>
      <c r="Y4130" s="8">
        <f t="shared" si="651"/>
        <v>46023</v>
      </c>
    </row>
    <row r="4131" spans="2:25" ht="18.75" x14ac:dyDescent="0.3">
      <c r="B4131" s="6">
        <f t="shared" si="643"/>
        <v>0</v>
      </c>
      <c r="C4131" s="6">
        <f t="shared" si="644"/>
        <v>0</v>
      </c>
      <c r="D4131" s="6" t="str">
        <f t="shared" si="645"/>
        <v/>
      </c>
      <c r="E4131" s="35" t="str">
        <f t="shared" si="642"/>
        <v/>
      </c>
      <c r="F4131" s="31"/>
      <c r="G4131" s="29"/>
      <c r="H4131" s="78" t="str">
        <f t="shared" si="646"/>
        <v/>
      </c>
      <c r="I4131" s="25"/>
      <c r="J4131" s="25"/>
      <c r="K4131" s="26"/>
      <c r="L4131" s="26"/>
      <c r="M4131" s="37"/>
      <c r="N4131" s="27"/>
      <c r="O4131" s="30"/>
      <c r="P4131" s="39" t="str">
        <f t="shared" si="647"/>
        <v/>
      </c>
      <c r="Q4131" s="40" t="str">
        <f>IF(OR(T4131=0,RIGHT(T4131,1)=$W$1),"",COUNTIF($T$3:T4131,T4131))</f>
        <v/>
      </c>
      <c r="S4131" s="6">
        <f t="shared" si="648"/>
        <v>0</v>
      </c>
      <c r="T4131" s="36">
        <f t="shared" si="649"/>
        <v>0</v>
      </c>
      <c r="V4131" s="6">
        <f t="shared" si="650"/>
        <v>0</v>
      </c>
      <c r="Y4131" s="8">
        <f t="shared" si="651"/>
        <v>46023</v>
      </c>
    </row>
    <row r="4132" spans="2:25" ht="18.75" x14ac:dyDescent="0.3">
      <c r="B4132" s="6">
        <f t="shared" si="643"/>
        <v>0</v>
      </c>
      <c r="C4132" s="6">
        <f t="shared" si="644"/>
        <v>0</v>
      </c>
      <c r="D4132" s="6" t="str">
        <f t="shared" si="645"/>
        <v/>
      </c>
      <c r="E4132" s="35" t="str">
        <f t="shared" si="642"/>
        <v/>
      </c>
      <c r="F4132" s="31"/>
      <c r="G4132" s="29"/>
      <c r="H4132" s="78" t="str">
        <f t="shared" si="646"/>
        <v/>
      </c>
      <c r="I4132" s="25"/>
      <c r="J4132" s="25"/>
      <c r="K4132" s="26"/>
      <c r="L4132" s="26"/>
      <c r="M4132" s="37"/>
      <c r="N4132" s="27"/>
      <c r="O4132" s="30"/>
      <c r="P4132" s="39" t="str">
        <f t="shared" si="647"/>
        <v/>
      </c>
      <c r="Q4132" s="40" t="str">
        <f>IF(OR(T4132=0,RIGHT(T4132,1)=$W$1),"",COUNTIF($T$3:T4132,T4132))</f>
        <v/>
      </c>
      <c r="S4132" s="6">
        <f t="shared" si="648"/>
        <v>0</v>
      </c>
      <c r="T4132" s="36">
        <f t="shared" si="649"/>
        <v>0</v>
      </c>
      <c r="V4132" s="6">
        <f t="shared" si="650"/>
        <v>0</v>
      </c>
      <c r="Y4132" s="8">
        <f t="shared" si="651"/>
        <v>46023</v>
      </c>
    </row>
    <row r="4133" spans="2:25" ht="18.75" x14ac:dyDescent="0.3">
      <c r="B4133" s="6">
        <f t="shared" si="643"/>
        <v>0</v>
      </c>
      <c r="C4133" s="6">
        <f t="shared" si="644"/>
        <v>0</v>
      </c>
      <c r="D4133" s="6" t="str">
        <f t="shared" si="645"/>
        <v/>
      </c>
      <c r="E4133" s="35" t="str">
        <f t="shared" si="642"/>
        <v/>
      </c>
      <c r="F4133" s="31"/>
      <c r="G4133" s="29"/>
      <c r="H4133" s="78" t="str">
        <f t="shared" si="646"/>
        <v/>
      </c>
      <c r="I4133" s="25"/>
      <c r="J4133" s="25"/>
      <c r="K4133" s="26"/>
      <c r="L4133" s="26"/>
      <c r="M4133" s="37"/>
      <c r="N4133" s="27"/>
      <c r="O4133" s="30"/>
      <c r="P4133" s="39" t="str">
        <f t="shared" si="647"/>
        <v/>
      </c>
      <c r="Q4133" s="40" t="str">
        <f>IF(OR(T4133=0,RIGHT(T4133,1)=$W$1),"",COUNTIF($T$3:T4133,T4133))</f>
        <v/>
      </c>
      <c r="S4133" s="6">
        <f t="shared" si="648"/>
        <v>0</v>
      </c>
      <c r="T4133" s="36">
        <f t="shared" si="649"/>
        <v>0</v>
      </c>
      <c r="V4133" s="6">
        <f t="shared" si="650"/>
        <v>0</v>
      </c>
      <c r="Y4133" s="8">
        <f t="shared" si="651"/>
        <v>46023</v>
      </c>
    </row>
    <row r="4134" spans="2:25" ht="18.75" x14ac:dyDescent="0.3">
      <c r="B4134" s="6">
        <f t="shared" si="643"/>
        <v>0</v>
      </c>
      <c r="C4134" s="6">
        <f t="shared" si="644"/>
        <v>0</v>
      </c>
      <c r="D4134" s="6" t="str">
        <f t="shared" si="645"/>
        <v/>
      </c>
      <c r="E4134" s="35" t="str">
        <f t="shared" si="642"/>
        <v/>
      </c>
      <c r="F4134" s="31"/>
      <c r="G4134" s="29"/>
      <c r="H4134" s="78" t="str">
        <f t="shared" si="646"/>
        <v/>
      </c>
      <c r="I4134" s="25"/>
      <c r="J4134" s="25"/>
      <c r="K4134" s="26"/>
      <c r="L4134" s="26"/>
      <c r="M4134" s="37"/>
      <c r="N4134" s="27"/>
      <c r="O4134" s="30"/>
      <c r="P4134" s="39" t="str">
        <f t="shared" si="647"/>
        <v/>
      </c>
      <c r="Q4134" s="40" t="str">
        <f>IF(OR(T4134=0,RIGHT(T4134,1)=$W$1),"",COUNTIF($T$3:T4134,T4134))</f>
        <v/>
      </c>
      <c r="S4134" s="6">
        <f t="shared" si="648"/>
        <v>0</v>
      </c>
      <c r="T4134" s="36">
        <f t="shared" si="649"/>
        <v>0</v>
      </c>
      <c r="V4134" s="6">
        <f t="shared" si="650"/>
        <v>0</v>
      </c>
      <c r="Y4134" s="8">
        <f t="shared" si="651"/>
        <v>46023</v>
      </c>
    </row>
    <row r="4135" spans="2:25" ht="18.75" x14ac:dyDescent="0.3">
      <c r="B4135" s="6">
        <f t="shared" si="643"/>
        <v>0</v>
      </c>
      <c r="C4135" s="6">
        <f t="shared" si="644"/>
        <v>0</v>
      </c>
      <c r="D4135" s="6" t="str">
        <f t="shared" si="645"/>
        <v/>
      </c>
      <c r="E4135" s="35" t="str">
        <f t="shared" si="642"/>
        <v/>
      </c>
      <c r="F4135" s="31"/>
      <c r="G4135" s="29"/>
      <c r="H4135" s="78" t="str">
        <f t="shared" si="646"/>
        <v/>
      </c>
      <c r="I4135" s="25"/>
      <c r="J4135" s="25"/>
      <c r="K4135" s="26"/>
      <c r="L4135" s="26"/>
      <c r="M4135" s="37"/>
      <c r="N4135" s="27"/>
      <c r="O4135" s="30"/>
      <c r="P4135" s="39" t="str">
        <f t="shared" si="647"/>
        <v/>
      </c>
      <c r="Q4135" s="40" t="str">
        <f>IF(OR(T4135=0,RIGHT(T4135,1)=$W$1),"",COUNTIF($T$3:T4135,T4135))</f>
        <v/>
      </c>
      <c r="S4135" s="6">
        <f t="shared" si="648"/>
        <v>0</v>
      </c>
      <c r="T4135" s="36">
        <f t="shared" si="649"/>
        <v>0</v>
      </c>
      <c r="V4135" s="6">
        <f t="shared" si="650"/>
        <v>0</v>
      </c>
      <c r="Y4135" s="8">
        <f t="shared" si="651"/>
        <v>46023</v>
      </c>
    </row>
    <row r="4136" spans="2:25" ht="18.75" x14ac:dyDescent="0.3">
      <c r="B4136" s="6">
        <f t="shared" si="643"/>
        <v>0</v>
      </c>
      <c r="C4136" s="6">
        <f t="shared" si="644"/>
        <v>0</v>
      </c>
      <c r="D4136" s="6" t="str">
        <f t="shared" si="645"/>
        <v/>
      </c>
      <c r="E4136" s="35" t="str">
        <f t="shared" si="642"/>
        <v/>
      </c>
      <c r="F4136" s="31"/>
      <c r="G4136" s="29"/>
      <c r="H4136" s="78" t="str">
        <f t="shared" si="646"/>
        <v/>
      </c>
      <c r="I4136" s="25"/>
      <c r="J4136" s="25"/>
      <c r="K4136" s="26"/>
      <c r="L4136" s="26"/>
      <c r="M4136" s="37"/>
      <c r="N4136" s="27"/>
      <c r="O4136" s="30"/>
      <c r="P4136" s="39" t="str">
        <f t="shared" si="647"/>
        <v/>
      </c>
      <c r="Q4136" s="40" t="str">
        <f>IF(OR(T4136=0,RIGHT(T4136,1)=$W$1),"",COUNTIF($T$3:T4136,T4136))</f>
        <v/>
      </c>
      <c r="S4136" s="6">
        <f t="shared" si="648"/>
        <v>0</v>
      </c>
      <c r="T4136" s="36">
        <f t="shared" si="649"/>
        <v>0</v>
      </c>
      <c r="V4136" s="6">
        <f t="shared" si="650"/>
        <v>0</v>
      </c>
      <c r="Y4136" s="8">
        <f t="shared" si="651"/>
        <v>46023</v>
      </c>
    </row>
    <row r="4137" spans="2:25" ht="18.75" x14ac:dyDescent="0.3">
      <c r="B4137" s="6">
        <f t="shared" si="643"/>
        <v>0</v>
      </c>
      <c r="C4137" s="6">
        <f t="shared" si="644"/>
        <v>0</v>
      </c>
      <c r="D4137" s="6" t="str">
        <f t="shared" si="645"/>
        <v/>
      </c>
      <c r="E4137" s="35" t="str">
        <f t="shared" si="642"/>
        <v/>
      </c>
      <c r="F4137" s="31"/>
      <c r="G4137" s="29"/>
      <c r="H4137" s="78" t="str">
        <f t="shared" si="646"/>
        <v/>
      </c>
      <c r="I4137" s="25"/>
      <c r="J4137" s="25"/>
      <c r="K4137" s="26"/>
      <c r="L4137" s="26"/>
      <c r="M4137" s="37"/>
      <c r="N4137" s="27"/>
      <c r="O4137" s="30"/>
      <c r="P4137" s="39" t="str">
        <f t="shared" si="647"/>
        <v/>
      </c>
      <c r="Q4137" s="40" t="str">
        <f>IF(OR(T4137=0,RIGHT(T4137,1)=$W$1),"",COUNTIF($T$3:T4137,T4137))</f>
        <v/>
      </c>
      <c r="S4137" s="6">
        <f t="shared" si="648"/>
        <v>0</v>
      </c>
      <c r="T4137" s="36">
        <f t="shared" si="649"/>
        <v>0</v>
      </c>
      <c r="V4137" s="6">
        <f t="shared" si="650"/>
        <v>0</v>
      </c>
      <c r="Y4137" s="8">
        <f t="shared" si="651"/>
        <v>46023</v>
      </c>
    </row>
    <row r="4138" spans="2:25" ht="18.75" x14ac:dyDescent="0.3">
      <c r="B4138" s="6">
        <f t="shared" si="643"/>
        <v>0</v>
      </c>
      <c r="C4138" s="6">
        <f t="shared" si="644"/>
        <v>0</v>
      </c>
      <c r="D4138" s="6" t="str">
        <f t="shared" si="645"/>
        <v/>
      </c>
      <c r="E4138" s="35" t="str">
        <f t="shared" si="642"/>
        <v/>
      </c>
      <c r="F4138" s="31"/>
      <c r="G4138" s="29"/>
      <c r="H4138" s="78" t="str">
        <f t="shared" si="646"/>
        <v/>
      </c>
      <c r="I4138" s="25"/>
      <c r="J4138" s="25"/>
      <c r="K4138" s="26"/>
      <c r="L4138" s="26"/>
      <c r="M4138" s="37"/>
      <c r="N4138" s="27"/>
      <c r="O4138" s="30"/>
      <c r="P4138" s="39" t="str">
        <f t="shared" si="647"/>
        <v/>
      </c>
      <c r="Q4138" s="40" t="str">
        <f>IF(OR(T4138=0,RIGHT(T4138,1)=$W$1),"",COUNTIF($T$3:T4138,T4138))</f>
        <v/>
      </c>
      <c r="S4138" s="6">
        <f t="shared" si="648"/>
        <v>0</v>
      </c>
      <c r="T4138" s="36">
        <f t="shared" si="649"/>
        <v>0</v>
      </c>
      <c r="V4138" s="6">
        <f t="shared" si="650"/>
        <v>0</v>
      </c>
      <c r="Y4138" s="8">
        <f t="shared" si="651"/>
        <v>46023</v>
      </c>
    </row>
    <row r="4139" spans="2:25" ht="18.75" x14ac:dyDescent="0.3">
      <c r="B4139" s="6">
        <f t="shared" si="643"/>
        <v>0</v>
      </c>
      <c r="C4139" s="6">
        <f t="shared" si="644"/>
        <v>0</v>
      </c>
      <c r="D4139" s="6" t="str">
        <f t="shared" si="645"/>
        <v/>
      </c>
      <c r="E4139" s="35" t="str">
        <f t="shared" si="642"/>
        <v/>
      </c>
      <c r="F4139" s="31"/>
      <c r="G4139" s="29"/>
      <c r="H4139" s="78" t="str">
        <f t="shared" si="646"/>
        <v/>
      </c>
      <c r="I4139" s="25"/>
      <c r="J4139" s="25"/>
      <c r="K4139" s="26"/>
      <c r="L4139" s="26"/>
      <c r="M4139" s="37"/>
      <c r="N4139" s="27"/>
      <c r="O4139" s="30"/>
      <c r="P4139" s="39" t="str">
        <f t="shared" si="647"/>
        <v/>
      </c>
      <c r="Q4139" s="40" t="str">
        <f>IF(OR(T4139=0,RIGHT(T4139,1)=$W$1),"",COUNTIF($T$3:T4139,T4139))</f>
        <v/>
      </c>
      <c r="S4139" s="6">
        <f t="shared" si="648"/>
        <v>0</v>
      </c>
      <c r="T4139" s="36">
        <f t="shared" si="649"/>
        <v>0</v>
      </c>
      <c r="V4139" s="6">
        <f t="shared" si="650"/>
        <v>0</v>
      </c>
      <c r="Y4139" s="8">
        <f t="shared" si="651"/>
        <v>46023</v>
      </c>
    </row>
    <row r="4140" spans="2:25" ht="18.75" x14ac:dyDescent="0.3">
      <c r="B4140" s="6">
        <f t="shared" si="643"/>
        <v>0</v>
      </c>
      <c r="C4140" s="6">
        <f t="shared" si="644"/>
        <v>0</v>
      </c>
      <c r="D4140" s="6" t="str">
        <f t="shared" si="645"/>
        <v/>
      </c>
      <c r="E4140" s="35" t="str">
        <f t="shared" si="642"/>
        <v/>
      </c>
      <c r="F4140" s="31"/>
      <c r="G4140" s="29"/>
      <c r="H4140" s="78" t="str">
        <f t="shared" si="646"/>
        <v/>
      </c>
      <c r="I4140" s="25"/>
      <c r="J4140" s="25"/>
      <c r="K4140" s="26"/>
      <c r="L4140" s="26"/>
      <c r="M4140" s="37"/>
      <c r="N4140" s="27"/>
      <c r="O4140" s="30"/>
      <c r="P4140" s="39" t="str">
        <f t="shared" si="647"/>
        <v/>
      </c>
      <c r="Q4140" s="40" t="str">
        <f>IF(OR(T4140=0,RIGHT(T4140,1)=$W$1),"",COUNTIF($T$3:T4140,T4140))</f>
        <v/>
      </c>
      <c r="S4140" s="6">
        <f t="shared" si="648"/>
        <v>0</v>
      </c>
      <c r="T4140" s="36">
        <f t="shared" si="649"/>
        <v>0</v>
      </c>
      <c r="V4140" s="6">
        <f t="shared" si="650"/>
        <v>0</v>
      </c>
      <c r="Y4140" s="8">
        <f t="shared" si="651"/>
        <v>46023</v>
      </c>
    </row>
    <row r="4141" spans="2:25" ht="18.75" x14ac:dyDescent="0.3">
      <c r="B4141" s="6">
        <f t="shared" si="643"/>
        <v>0</v>
      </c>
      <c r="C4141" s="6">
        <f t="shared" si="644"/>
        <v>0</v>
      </c>
      <c r="D4141" s="6" t="str">
        <f t="shared" si="645"/>
        <v/>
      </c>
      <c r="E4141" s="35" t="str">
        <f t="shared" si="642"/>
        <v/>
      </c>
      <c r="F4141" s="31"/>
      <c r="G4141" s="29"/>
      <c r="H4141" s="78" t="str">
        <f t="shared" si="646"/>
        <v/>
      </c>
      <c r="I4141" s="25"/>
      <c r="J4141" s="25"/>
      <c r="K4141" s="26"/>
      <c r="L4141" s="26"/>
      <c r="M4141" s="37"/>
      <c r="N4141" s="27"/>
      <c r="O4141" s="30"/>
      <c r="P4141" s="39" t="str">
        <f t="shared" si="647"/>
        <v/>
      </c>
      <c r="Q4141" s="40" t="str">
        <f>IF(OR(T4141=0,RIGHT(T4141,1)=$W$1),"",COUNTIF($T$3:T4141,T4141))</f>
        <v/>
      </c>
      <c r="S4141" s="6">
        <f t="shared" si="648"/>
        <v>0</v>
      </c>
      <c r="T4141" s="36">
        <f t="shared" si="649"/>
        <v>0</v>
      </c>
      <c r="V4141" s="6">
        <f t="shared" si="650"/>
        <v>0</v>
      </c>
      <c r="Y4141" s="8">
        <f t="shared" si="651"/>
        <v>46023</v>
      </c>
    </row>
    <row r="4142" spans="2:25" ht="18.75" x14ac:dyDescent="0.3">
      <c r="B4142" s="6">
        <f t="shared" si="643"/>
        <v>0</v>
      </c>
      <c r="C4142" s="6">
        <f t="shared" si="644"/>
        <v>0</v>
      </c>
      <c r="D4142" s="6" t="str">
        <f t="shared" si="645"/>
        <v/>
      </c>
      <c r="E4142" s="35" t="str">
        <f t="shared" si="642"/>
        <v/>
      </c>
      <c r="F4142" s="31"/>
      <c r="G4142" s="29"/>
      <c r="H4142" s="78" t="str">
        <f t="shared" si="646"/>
        <v/>
      </c>
      <c r="I4142" s="25"/>
      <c r="J4142" s="25"/>
      <c r="K4142" s="26"/>
      <c r="L4142" s="26"/>
      <c r="M4142" s="37"/>
      <c r="N4142" s="27"/>
      <c r="O4142" s="30"/>
      <c r="P4142" s="39" t="str">
        <f t="shared" si="647"/>
        <v/>
      </c>
      <c r="Q4142" s="40" t="str">
        <f>IF(OR(T4142=0,RIGHT(T4142,1)=$W$1),"",COUNTIF($T$3:T4142,T4142))</f>
        <v/>
      </c>
      <c r="S4142" s="6">
        <f t="shared" si="648"/>
        <v>0</v>
      </c>
      <c r="T4142" s="36">
        <f t="shared" si="649"/>
        <v>0</v>
      </c>
      <c r="V4142" s="6">
        <f t="shared" si="650"/>
        <v>0</v>
      </c>
      <c r="Y4142" s="8">
        <f t="shared" si="651"/>
        <v>46023</v>
      </c>
    </row>
    <row r="4143" spans="2:25" ht="18.75" x14ac:dyDescent="0.3">
      <c r="B4143" s="6">
        <f t="shared" si="643"/>
        <v>0</v>
      </c>
      <c r="C4143" s="6">
        <f t="shared" si="644"/>
        <v>0</v>
      </c>
      <c r="D4143" s="6" t="str">
        <f t="shared" si="645"/>
        <v/>
      </c>
      <c r="E4143" s="35" t="str">
        <f t="shared" si="642"/>
        <v/>
      </c>
      <c r="F4143" s="31"/>
      <c r="G4143" s="29"/>
      <c r="H4143" s="78" t="str">
        <f t="shared" si="646"/>
        <v/>
      </c>
      <c r="I4143" s="25"/>
      <c r="J4143" s="25"/>
      <c r="K4143" s="26"/>
      <c r="L4143" s="26"/>
      <c r="M4143" s="37"/>
      <c r="N4143" s="27"/>
      <c r="O4143" s="30"/>
      <c r="P4143" s="39" t="str">
        <f t="shared" si="647"/>
        <v/>
      </c>
      <c r="Q4143" s="40" t="str">
        <f>IF(OR(T4143=0,RIGHT(T4143,1)=$W$1),"",COUNTIF($T$3:T4143,T4143))</f>
        <v/>
      </c>
      <c r="S4143" s="6">
        <f t="shared" si="648"/>
        <v>0</v>
      </c>
      <c r="T4143" s="36">
        <f t="shared" si="649"/>
        <v>0</v>
      </c>
      <c r="V4143" s="6">
        <f t="shared" si="650"/>
        <v>0</v>
      </c>
      <c r="Y4143" s="8">
        <f t="shared" si="651"/>
        <v>46023</v>
      </c>
    </row>
    <row r="4144" spans="2:25" ht="18.75" x14ac:dyDescent="0.3">
      <c r="B4144" s="6">
        <f t="shared" si="643"/>
        <v>0</v>
      </c>
      <c r="C4144" s="6">
        <f t="shared" si="644"/>
        <v>0</v>
      </c>
      <c r="D4144" s="6" t="str">
        <f t="shared" si="645"/>
        <v/>
      </c>
      <c r="E4144" s="35" t="str">
        <f t="shared" si="642"/>
        <v/>
      </c>
      <c r="F4144" s="31"/>
      <c r="G4144" s="29"/>
      <c r="H4144" s="78" t="str">
        <f t="shared" si="646"/>
        <v/>
      </c>
      <c r="I4144" s="25"/>
      <c r="J4144" s="25"/>
      <c r="K4144" s="26"/>
      <c r="L4144" s="26"/>
      <c r="M4144" s="37"/>
      <c r="N4144" s="27"/>
      <c r="O4144" s="30"/>
      <c r="P4144" s="39" t="str">
        <f t="shared" si="647"/>
        <v/>
      </c>
      <c r="Q4144" s="40" t="str">
        <f>IF(OR(T4144=0,RIGHT(T4144,1)=$W$1),"",COUNTIF($T$3:T4144,T4144))</f>
        <v/>
      </c>
      <c r="S4144" s="6">
        <f t="shared" si="648"/>
        <v>0</v>
      </c>
      <c r="T4144" s="36">
        <f t="shared" si="649"/>
        <v>0</v>
      </c>
      <c r="V4144" s="6">
        <f t="shared" si="650"/>
        <v>0</v>
      </c>
      <c r="Y4144" s="8">
        <f t="shared" si="651"/>
        <v>46023</v>
      </c>
    </row>
    <row r="4145" spans="2:25" ht="18.75" x14ac:dyDescent="0.3">
      <c r="B4145" s="6">
        <f t="shared" si="643"/>
        <v>0</v>
      </c>
      <c r="C4145" s="6">
        <f t="shared" si="644"/>
        <v>0</v>
      </c>
      <c r="D4145" s="6" t="str">
        <f t="shared" si="645"/>
        <v/>
      </c>
      <c r="E4145" s="35" t="str">
        <f t="shared" si="642"/>
        <v/>
      </c>
      <c r="F4145" s="31"/>
      <c r="G4145" s="29"/>
      <c r="H4145" s="78" t="str">
        <f t="shared" si="646"/>
        <v/>
      </c>
      <c r="I4145" s="25"/>
      <c r="J4145" s="25"/>
      <c r="K4145" s="26"/>
      <c r="L4145" s="26"/>
      <c r="M4145" s="37"/>
      <c r="N4145" s="27"/>
      <c r="O4145" s="30"/>
      <c r="P4145" s="39" t="str">
        <f t="shared" si="647"/>
        <v/>
      </c>
      <c r="Q4145" s="40" t="str">
        <f>IF(OR(T4145=0,RIGHT(T4145,1)=$W$1),"",COUNTIF($T$3:T4145,T4145))</f>
        <v/>
      </c>
      <c r="S4145" s="6">
        <f t="shared" si="648"/>
        <v>0</v>
      </c>
      <c r="T4145" s="36">
        <f t="shared" si="649"/>
        <v>0</v>
      </c>
      <c r="V4145" s="6">
        <f t="shared" si="650"/>
        <v>0</v>
      </c>
      <c r="Y4145" s="8">
        <f t="shared" si="651"/>
        <v>46023</v>
      </c>
    </row>
    <row r="4146" spans="2:25" ht="18.75" x14ac:dyDescent="0.3">
      <c r="B4146" s="6">
        <f t="shared" si="643"/>
        <v>0</v>
      </c>
      <c r="C4146" s="6">
        <f t="shared" si="644"/>
        <v>0</v>
      </c>
      <c r="D4146" s="6" t="str">
        <f t="shared" si="645"/>
        <v/>
      </c>
      <c r="E4146" s="35" t="str">
        <f t="shared" si="642"/>
        <v/>
      </c>
      <c r="F4146" s="31"/>
      <c r="G4146" s="29"/>
      <c r="H4146" s="78" t="str">
        <f t="shared" si="646"/>
        <v/>
      </c>
      <c r="I4146" s="25"/>
      <c r="J4146" s="25"/>
      <c r="K4146" s="26"/>
      <c r="L4146" s="26"/>
      <c r="M4146" s="37"/>
      <c r="N4146" s="27"/>
      <c r="O4146" s="30"/>
      <c r="P4146" s="39" t="str">
        <f t="shared" si="647"/>
        <v/>
      </c>
      <c r="Q4146" s="40" t="str">
        <f>IF(OR(T4146=0,RIGHT(T4146,1)=$W$1),"",COUNTIF($T$3:T4146,T4146))</f>
        <v/>
      </c>
      <c r="S4146" s="6">
        <f t="shared" si="648"/>
        <v>0</v>
      </c>
      <c r="T4146" s="36">
        <f t="shared" si="649"/>
        <v>0</v>
      </c>
      <c r="V4146" s="6">
        <f t="shared" si="650"/>
        <v>0</v>
      </c>
      <c r="Y4146" s="8">
        <f t="shared" si="651"/>
        <v>46023</v>
      </c>
    </row>
    <row r="4147" spans="2:25" ht="18.75" x14ac:dyDescent="0.3">
      <c r="B4147" s="6">
        <f t="shared" si="643"/>
        <v>0</v>
      </c>
      <c r="C4147" s="6">
        <f t="shared" si="644"/>
        <v>0</v>
      </c>
      <c r="D4147" s="6" t="str">
        <f t="shared" si="645"/>
        <v/>
      </c>
      <c r="E4147" s="35" t="str">
        <f t="shared" si="642"/>
        <v/>
      </c>
      <c r="F4147" s="31"/>
      <c r="G4147" s="29"/>
      <c r="H4147" s="78" t="str">
        <f t="shared" si="646"/>
        <v/>
      </c>
      <c r="I4147" s="25"/>
      <c r="J4147" s="25"/>
      <c r="K4147" s="26"/>
      <c r="L4147" s="26"/>
      <c r="M4147" s="37"/>
      <c r="N4147" s="27"/>
      <c r="O4147" s="30"/>
      <c r="P4147" s="39" t="str">
        <f t="shared" si="647"/>
        <v/>
      </c>
      <c r="Q4147" s="40" t="str">
        <f>IF(OR(T4147=0,RIGHT(T4147,1)=$W$1),"",COUNTIF($T$3:T4147,T4147))</f>
        <v/>
      </c>
      <c r="S4147" s="6">
        <f t="shared" si="648"/>
        <v>0</v>
      </c>
      <c r="T4147" s="36">
        <f t="shared" si="649"/>
        <v>0</v>
      </c>
      <c r="V4147" s="6">
        <f t="shared" si="650"/>
        <v>0</v>
      </c>
      <c r="Y4147" s="8">
        <f t="shared" si="651"/>
        <v>46023</v>
      </c>
    </row>
    <row r="4148" spans="2:25" ht="18.75" x14ac:dyDescent="0.3">
      <c r="B4148" s="6">
        <f t="shared" si="643"/>
        <v>0</v>
      </c>
      <c r="C4148" s="6">
        <f t="shared" si="644"/>
        <v>0</v>
      </c>
      <c r="D4148" s="6" t="str">
        <f t="shared" si="645"/>
        <v/>
      </c>
      <c r="E4148" s="35" t="str">
        <f t="shared" si="642"/>
        <v/>
      </c>
      <c r="F4148" s="31"/>
      <c r="G4148" s="29"/>
      <c r="H4148" s="78" t="str">
        <f t="shared" si="646"/>
        <v/>
      </c>
      <c r="I4148" s="25"/>
      <c r="J4148" s="25"/>
      <c r="K4148" s="26"/>
      <c r="L4148" s="26"/>
      <c r="M4148" s="37"/>
      <c r="N4148" s="27"/>
      <c r="O4148" s="30"/>
      <c r="P4148" s="39" t="str">
        <f t="shared" si="647"/>
        <v/>
      </c>
      <c r="Q4148" s="40" t="str">
        <f>IF(OR(T4148=0,RIGHT(T4148,1)=$W$1),"",COUNTIF($T$3:T4148,T4148))</f>
        <v/>
      </c>
      <c r="S4148" s="6">
        <f t="shared" si="648"/>
        <v>0</v>
      </c>
      <c r="T4148" s="36">
        <f t="shared" si="649"/>
        <v>0</v>
      </c>
      <c r="V4148" s="6">
        <f t="shared" si="650"/>
        <v>0</v>
      </c>
      <c r="Y4148" s="8">
        <f t="shared" si="651"/>
        <v>46023</v>
      </c>
    </row>
    <row r="4149" spans="2:25" ht="18.75" x14ac:dyDescent="0.3">
      <c r="B4149" s="6">
        <f t="shared" si="643"/>
        <v>0</v>
      </c>
      <c r="C4149" s="6">
        <f t="shared" si="644"/>
        <v>0</v>
      </c>
      <c r="D4149" s="6" t="str">
        <f t="shared" si="645"/>
        <v/>
      </c>
      <c r="E4149" s="35" t="str">
        <f t="shared" si="642"/>
        <v/>
      </c>
      <c r="F4149" s="31"/>
      <c r="G4149" s="29"/>
      <c r="H4149" s="78" t="str">
        <f t="shared" si="646"/>
        <v/>
      </c>
      <c r="I4149" s="25"/>
      <c r="J4149" s="25"/>
      <c r="K4149" s="26"/>
      <c r="L4149" s="26"/>
      <c r="M4149" s="37"/>
      <c r="N4149" s="27"/>
      <c r="O4149" s="30"/>
      <c r="P4149" s="39" t="str">
        <f t="shared" si="647"/>
        <v/>
      </c>
      <c r="Q4149" s="40" t="str">
        <f>IF(OR(T4149=0,RIGHT(T4149,1)=$W$1),"",COUNTIF($T$3:T4149,T4149))</f>
        <v/>
      </c>
      <c r="S4149" s="6">
        <f t="shared" si="648"/>
        <v>0</v>
      </c>
      <c r="T4149" s="36">
        <f t="shared" si="649"/>
        <v>0</v>
      </c>
      <c r="V4149" s="6">
        <f t="shared" si="650"/>
        <v>0</v>
      </c>
      <c r="Y4149" s="8">
        <f t="shared" si="651"/>
        <v>46023</v>
      </c>
    </row>
    <row r="4150" spans="2:25" ht="18.75" x14ac:dyDescent="0.3">
      <c r="B4150" s="6">
        <f t="shared" si="643"/>
        <v>0</v>
      </c>
      <c r="C4150" s="6">
        <f t="shared" si="644"/>
        <v>0</v>
      </c>
      <c r="D4150" s="6" t="str">
        <f t="shared" si="645"/>
        <v/>
      </c>
      <c r="E4150" s="35" t="str">
        <f t="shared" si="642"/>
        <v/>
      </c>
      <c r="F4150" s="31"/>
      <c r="G4150" s="29"/>
      <c r="H4150" s="78" t="str">
        <f t="shared" si="646"/>
        <v/>
      </c>
      <c r="I4150" s="25"/>
      <c r="J4150" s="25"/>
      <c r="K4150" s="26"/>
      <c r="L4150" s="26"/>
      <c r="M4150" s="37"/>
      <c r="N4150" s="27"/>
      <c r="O4150" s="30"/>
      <c r="P4150" s="39" t="str">
        <f t="shared" si="647"/>
        <v/>
      </c>
      <c r="Q4150" s="40" t="str">
        <f>IF(OR(T4150=0,RIGHT(T4150,1)=$W$1),"",COUNTIF($T$3:T4150,T4150))</f>
        <v/>
      </c>
      <c r="S4150" s="6">
        <f t="shared" si="648"/>
        <v>0</v>
      </c>
      <c r="T4150" s="36">
        <f t="shared" si="649"/>
        <v>0</v>
      </c>
      <c r="V4150" s="6">
        <f t="shared" si="650"/>
        <v>0</v>
      </c>
      <c r="Y4150" s="8">
        <f t="shared" si="651"/>
        <v>46023</v>
      </c>
    </row>
    <row r="4151" spans="2:25" ht="18.75" x14ac:dyDescent="0.3">
      <c r="B4151" s="6">
        <f t="shared" si="643"/>
        <v>0</v>
      </c>
      <c r="C4151" s="6">
        <f t="shared" si="644"/>
        <v>0</v>
      </c>
      <c r="D4151" s="6" t="str">
        <f t="shared" si="645"/>
        <v/>
      </c>
      <c r="E4151" s="35" t="str">
        <f t="shared" si="642"/>
        <v/>
      </c>
      <c r="F4151" s="31"/>
      <c r="G4151" s="29"/>
      <c r="H4151" s="78" t="str">
        <f t="shared" si="646"/>
        <v/>
      </c>
      <c r="I4151" s="25"/>
      <c r="J4151" s="25"/>
      <c r="K4151" s="26"/>
      <c r="L4151" s="26"/>
      <c r="M4151" s="37"/>
      <c r="N4151" s="27"/>
      <c r="O4151" s="30"/>
      <c r="P4151" s="39" t="str">
        <f t="shared" si="647"/>
        <v/>
      </c>
      <c r="Q4151" s="40" t="str">
        <f>IF(OR(T4151=0,RIGHT(T4151,1)=$W$1),"",COUNTIF($T$3:T4151,T4151))</f>
        <v/>
      </c>
      <c r="S4151" s="6">
        <f t="shared" si="648"/>
        <v>0</v>
      </c>
      <c r="T4151" s="36">
        <f t="shared" si="649"/>
        <v>0</v>
      </c>
      <c r="V4151" s="6">
        <f t="shared" si="650"/>
        <v>0</v>
      </c>
      <c r="Y4151" s="8">
        <f t="shared" si="651"/>
        <v>46023</v>
      </c>
    </row>
    <row r="4152" spans="2:25" ht="18.75" x14ac:dyDescent="0.3">
      <c r="B4152" s="6">
        <f t="shared" si="643"/>
        <v>0</v>
      </c>
      <c r="C4152" s="6">
        <f t="shared" si="644"/>
        <v>0</v>
      </c>
      <c r="D4152" s="6" t="str">
        <f t="shared" si="645"/>
        <v/>
      </c>
      <c r="E4152" s="35" t="str">
        <f t="shared" si="642"/>
        <v/>
      </c>
      <c r="F4152" s="31"/>
      <c r="G4152" s="29"/>
      <c r="H4152" s="78" t="str">
        <f t="shared" si="646"/>
        <v/>
      </c>
      <c r="I4152" s="25"/>
      <c r="J4152" s="25"/>
      <c r="K4152" s="26"/>
      <c r="L4152" s="26"/>
      <c r="M4152" s="37"/>
      <c r="N4152" s="27"/>
      <c r="O4152" s="30"/>
      <c r="P4152" s="39" t="str">
        <f t="shared" si="647"/>
        <v/>
      </c>
      <c r="Q4152" s="40" t="str">
        <f>IF(OR(T4152=0,RIGHT(T4152,1)=$W$1),"",COUNTIF($T$3:T4152,T4152))</f>
        <v/>
      </c>
      <c r="S4152" s="6">
        <f t="shared" si="648"/>
        <v>0</v>
      </c>
      <c r="T4152" s="36">
        <f t="shared" si="649"/>
        <v>0</v>
      </c>
      <c r="V4152" s="6">
        <f t="shared" si="650"/>
        <v>0</v>
      </c>
      <c r="Y4152" s="8">
        <f t="shared" si="651"/>
        <v>46023</v>
      </c>
    </row>
    <row r="4153" spans="2:25" ht="18.75" x14ac:dyDescent="0.3">
      <c r="B4153" s="6">
        <f t="shared" si="643"/>
        <v>0</v>
      </c>
      <c r="C4153" s="6">
        <f t="shared" si="644"/>
        <v>0</v>
      </c>
      <c r="D4153" s="6" t="str">
        <f t="shared" si="645"/>
        <v/>
      </c>
      <c r="E4153" s="35" t="str">
        <f t="shared" si="642"/>
        <v/>
      </c>
      <c r="F4153" s="31"/>
      <c r="G4153" s="29"/>
      <c r="H4153" s="78" t="str">
        <f t="shared" si="646"/>
        <v/>
      </c>
      <c r="I4153" s="25"/>
      <c r="J4153" s="25"/>
      <c r="K4153" s="26"/>
      <c r="L4153" s="26"/>
      <c r="M4153" s="37"/>
      <c r="N4153" s="27"/>
      <c r="O4153" s="30"/>
      <c r="P4153" s="39" t="str">
        <f t="shared" si="647"/>
        <v/>
      </c>
      <c r="Q4153" s="40" t="str">
        <f>IF(OR(T4153=0,RIGHT(T4153,1)=$W$1),"",COUNTIF($T$3:T4153,T4153))</f>
        <v/>
      </c>
      <c r="S4153" s="6">
        <f t="shared" si="648"/>
        <v>0</v>
      </c>
      <c r="T4153" s="36">
        <f t="shared" si="649"/>
        <v>0</v>
      </c>
      <c r="V4153" s="6">
        <f t="shared" si="650"/>
        <v>0</v>
      </c>
      <c r="Y4153" s="8">
        <f t="shared" si="651"/>
        <v>46023</v>
      </c>
    </row>
    <row r="4154" spans="2:25" ht="18.75" x14ac:dyDescent="0.3">
      <c r="B4154" s="6">
        <f t="shared" si="643"/>
        <v>0</v>
      </c>
      <c r="C4154" s="6">
        <f t="shared" si="644"/>
        <v>0</v>
      </c>
      <c r="D4154" s="6" t="str">
        <f t="shared" si="645"/>
        <v/>
      </c>
      <c r="E4154" s="35" t="str">
        <f t="shared" si="642"/>
        <v/>
      </c>
      <c r="F4154" s="31"/>
      <c r="G4154" s="29"/>
      <c r="H4154" s="78" t="str">
        <f t="shared" si="646"/>
        <v/>
      </c>
      <c r="I4154" s="25"/>
      <c r="J4154" s="25"/>
      <c r="K4154" s="26"/>
      <c r="L4154" s="26"/>
      <c r="M4154" s="37"/>
      <c r="N4154" s="27"/>
      <c r="O4154" s="30"/>
      <c r="P4154" s="39" t="str">
        <f t="shared" si="647"/>
        <v/>
      </c>
      <c r="Q4154" s="40" t="str">
        <f>IF(OR(T4154=0,RIGHT(T4154,1)=$W$1),"",COUNTIF($T$3:T4154,T4154))</f>
        <v/>
      </c>
      <c r="S4154" s="6">
        <f t="shared" si="648"/>
        <v>0</v>
      </c>
      <c r="T4154" s="36">
        <f t="shared" si="649"/>
        <v>0</v>
      </c>
      <c r="V4154" s="6">
        <f t="shared" si="650"/>
        <v>0</v>
      </c>
      <c r="Y4154" s="8">
        <f t="shared" si="651"/>
        <v>46023</v>
      </c>
    </row>
    <row r="4155" spans="2:25" ht="18.75" x14ac:dyDescent="0.3">
      <c r="B4155" s="6">
        <f t="shared" si="643"/>
        <v>0</v>
      </c>
      <c r="C4155" s="6">
        <f t="shared" si="644"/>
        <v>0</v>
      </c>
      <c r="D4155" s="6" t="str">
        <f t="shared" si="645"/>
        <v/>
      </c>
      <c r="E4155" s="35" t="str">
        <f t="shared" si="642"/>
        <v/>
      </c>
      <c r="F4155" s="31"/>
      <c r="G4155" s="29"/>
      <c r="H4155" s="78" t="str">
        <f t="shared" si="646"/>
        <v/>
      </c>
      <c r="I4155" s="25"/>
      <c r="J4155" s="25"/>
      <c r="K4155" s="26"/>
      <c r="L4155" s="26"/>
      <c r="M4155" s="37"/>
      <c r="N4155" s="27"/>
      <c r="O4155" s="30"/>
      <c r="P4155" s="39" t="str">
        <f t="shared" si="647"/>
        <v/>
      </c>
      <c r="Q4155" s="40" t="str">
        <f>IF(OR(T4155=0,RIGHT(T4155,1)=$W$1),"",COUNTIF($T$3:T4155,T4155))</f>
        <v/>
      </c>
      <c r="S4155" s="6">
        <f t="shared" si="648"/>
        <v>0</v>
      </c>
      <c r="T4155" s="36">
        <f t="shared" si="649"/>
        <v>0</v>
      </c>
      <c r="V4155" s="6">
        <f t="shared" si="650"/>
        <v>0</v>
      </c>
      <c r="Y4155" s="8">
        <f t="shared" si="651"/>
        <v>46023</v>
      </c>
    </row>
    <row r="4156" spans="2:25" ht="18.75" x14ac:dyDescent="0.3">
      <c r="B4156" s="6">
        <f t="shared" si="643"/>
        <v>0</v>
      </c>
      <c r="C4156" s="6">
        <f t="shared" si="644"/>
        <v>0</v>
      </c>
      <c r="D4156" s="6" t="str">
        <f t="shared" si="645"/>
        <v/>
      </c>
      <c r="E4156" s="35" t="str">
        <f t="shared" si="642"/>
        <v/>
      </c>
      <c r="F4156" s="31"/>
      <c r="G4156" s="29"/>
      <c r="H4156" s="78" t="str">
        <f t="shared" si="646"/>
        <v/>
      </c>
      <c r="I4156" s="25"/>
      <c r="J4156" s="25"/>
      <c r="K4156" s="26"/>
      <c r="L4156" s="26"/>
      <c r="M4156" s="37"/>
      <c r="N4156" s="27"/>
      <c r="O4156" s="30"/>
      <c r="P4156" s="39" t="str">
        <f t="shared" si="647"/>
        <v/>
      </c>
      <c r="Q4156" s="40" t="str">
        <f>IF(OR(T4156=0,RIGHT(T4156,1)=$W$1),"",COUNTIF($T$3:T4156,T4156))</f>
        <v/>
      </c>
      <c r="S4156" s="6">
        <f t="shared" si="648"/>
        <v>0</v>
      </c>
      <c r="T4156" s="36">
        <f t="shared" si="649"/>
        <v>0</v>
      </c>
      <c r="V4156" s="6">
        <f t="shared" si="650"/>
        <v>0</v>
      </c>
      <c r="Y4156" s="8">
        <f t="shared" si="651"/>
        <v>46023</v>
      </c>
    </row>
    <row r="4157" spans="2:25" ht="18.75" x14ac:dyDescent="0.3">
      <c r="B4157" s="6">
        <f t="shared" si="643"/>
        <v>0</v>
      </c>
      <c r="C4157" s="6">
        <f t="shared" si="644"/>
        <v>0</v>
      </c>
      <c r="D4157" s="6" t="str">
        <f t="shared" si="645"/>
        <v/>
      </c>
      <c r="E4157" s="35" t="str">
        <f t="shared" si="642"/>
        <v/>
      </c>
      <c r="F4157" s="31"/>
      <c r="G4157" s="29"/>
      <c r="H4157" s="78" t="str">
        <f t="shared" si="646"/>
        <v/>
      </c>
      <c r="I4157" s="25"/>
      <c r="J4157" s="25"/>
      <c r="K4157" s="26"/>
      <c r="L4157" s="26"/>
      <c r="M4157" s="37"/>
      <c r="N4157" s="27"/>
      <c r="O4157" s="30"/>
      <c r="P4157" s="39" t="str">
        <f t="shared" si="647"/>
        <v/>
      </c>
      <c r="Q4157" s="40" t="str">
        <f>IF(OR(T4157=0,RIGHT(T4157,1)=$W$1),"",COUNTIF($T$3:T4157,T4157))</f>
        <v/>
      </c>
      <c r="S4157" s="6">
        <f t="shared" si="648"/>
        <v>0</v>
      </c>
      <c r="T4157" s="36">
        <f t="shared" si="649"/>
        <v>0</v>
      </c>
      <c r="V4157" s="6">
        <f t="shared" si="650"/>
        <v>0</v>
      </c>
      <c r="Y4157" s="8">
        <f t="shared" si="651"/>
        <v>46023</v>
      </c>
    </row>
    <row r="4158" spans="2:25" ht="18.75" x14ac:dyDescent="0.3">
      <c r="B4158" s="6">
        <f t="shared" si="643"/>
        <v>0</v>
      </c>
      <c r="C4158" s="6">
        <f t="shared" si="644"/>
        <v>0</v>
      </c>
      <c r="D4158" s="6" t="str">
        <f t="shared" si="645"/>
        <v/>
      </c>
      <c r="E4158" s="35" t="str">
        <f t="shared" si="642"/>
        <v/>
      </c>
      <c r="F4158" s="31"/>
      <c r="G4158" s="29"/>
      <c r="H4158" s="78" t="str">
        <f t="shared" si="646"/>
        <v/>
      </c>
      <c r="I4158" s="25"/>
      <c r="J4158" s="25"/>
      <c r="K4158" s="26"/>
      <c r="L4158" s="26"/>
      <c r="M4158" s="37"/>
      <c r="N4158" s="27"/>
      <c r="O4158" s="30"/>
      <c r="P4158" s="39" t="str">
        <f t="shared" si="647"/>
        <v/>
      </c>
      <c r="Q4158" s="40" t="str">
        <f>IF(OR(T4158=0,RIGHT(T4158,1)=$W$1),"",COUNTIF($T$3:T4158,T4158))</f>
        <v/>
      </c>
      <c r="S4158" s="6">
        <f t="shared" si="648"/>
        <v>0</v>
      </c>
      <c r="T4158" s="36">
        <f t="shared" si="649"/>
        <v>0</v>
      </c>
      <c r="V4158" s="6">
        <f t="shared" si="650"/>
        <v>0</v>
      </c>
      <c r="Y4158" s="8">
        <f t="shared" si="651"/>
        <v>46023</v>
      </c>
    </row>
    <row r="4159" spans="2:25" ht="18.75" x14ac:dyDescent="0.3">
      <c r="B4159" s="6">
        <f t="shared" si="643"/>
        <v>0</v>
      </c>
      <c r="C4159" s="6">
        <f t="shared" si="644"/>
        <v>0</v>
      </c>
      <c r="D4159" s="6" t="str">
        <f t="shared" si="645"/>
        <v/>
      </c>
      <c r="E4159" s="35" t="str">
        <f t="shared" si="642"/>
        <v/>
      </c>
      <c r="F4159" s="31"/>
      <c r="G4159" s="29"/>
      <c r="H4159" s="78" t="str">
        <f t="shared" si="646"/>
        <v/>
      </c>
      <c r="I4159" s="25"/>
      <c r="J4159" s="25"/>
      <c r="K4159" s="26"/>
      <c r="L4159" s="26"/>
      <c r="M4159" s="37"/>
      <c r="N4159" s="27"/>
      <c r="O4159" s="30"/>
      <c r="P4159" s="39" t="str">
        <f t="shared" si="647"/>
        <v/>
      </c>
      <c r="Q4159" s="40" t="str">
        <f>IF(OR(T4159=0,RIGHT(T4159,1)=$W$1),"",COUNTIF($T$3:T4159,T4159))</f>
        <v/>
      </c>
      <c r="S4159" s="6">
        <f t="shared" si="648"/>
        <v>0</v>
      </c>
      <c r="T4159" s="36">
        <f t="shared" si="649"/>
        <v>0</v>
      </c>
      <c r="V4159" s="6">
        <f t="shared" si="650"/>
        <v>0</v>
      </c>
      <c r="Y4159" s="8">
        <f t="shared" si="651"/>
        <v>46023</v>
      </c>
    </row>
    <row r="4160" spans="2:25" ht="18.75" x14ac:dyDescent="0.3">
      <c r="B4160" s="6">
        <f t="shared" si="643"/>
        <v>0</v>
      </c>
      <c r="C4160" s="6">
        <f t="shared" si="644"/>
        <v>0</v>
      </c>
      <c r="D4160" s="6" t="str">
        <f t="shared" si="645"/>
        <v/>
      </c>
      <c r="E4160" s="35" t="str">
        <f t="shared" si="642"/>
        <v/>
      </c>
      <c r="F4160" s="31"/>
      <c r="G4160" s="29"/>
      <c r="H4160" s="78" t="str">
        <f t="shared" si="646"/>
        <v/>
      </c>
      <c r="I4160" s="25"/>
      <c r="J4160" s="25"/>
      <c r="K4160" s="26"/>
      <c r="L4160" s="26"/>
      <c r="M4160" s="37"/>
      <c r="N4160" s="27"/>
      <c r="O4160" s="30"/>
      <c r="P4160" s="39" t="str">
        <f t="shared" si="647"/>
        <v/>
      </c>
      <c r="Q4160" s="40" t="str">
        <f>IF(OR(T4160=0,RIGHT(T4160,1)=$W$1),"",COUNTIF($T$3:T4160,T4160))</f>
        <v/>
      </c>
      <c r="S4160" s="6">
        <f t="shared" si="648"/>
        <v>0</v>
      </c>
      <c r="T4160" s="36">
        <f t="shared" si="649"/>
        <v>0</v>
      </c>
      <c r="V4160" s="6">
        <f t="shared" si="650"/>
        <v>0</v>
      </c>
      <c r="Y4160" s="8">
        <f t="shared" si="651"/>
        <v>46023</v>
      </c>
    </row>
    <row r="4161" spans="2:25" ht="18.75" x14ac:dyDescent="0.3">
      <c r="B4161" s="6">
        <f t="shared" si="643"/>
        <v>0</v>
      </c>
      <c r="C4161" s="6">
        <f t="shared" si="644"/>
        <v>0</v>
      </c>
      <c r="D4161" s="6" t="str">
        <f t="shared" si="645"/>
        <v/>
      </c>
      <c r="E4161" s="35" t="str">
        <f t="shared" si="642"/>
        <v/>
      </c>
      <c r="F4161" s="31"/>
      <c r="G4161" s="29"/>
      <c r="H4161" s="78" t="str">
        <f t="shared" si="646"/>
        <v/>
      </c>
      <c r="I4161" s="25"/>
      <c r="J4161" s="25"/>
      <c r="K4161" s="26"/>
      <c r="L4161" s="26"/>
      <c r="M4161" s="37"/>
      <c r="N4161" s="27"/>
      <c r="O4161" s="30"/>
      <c r="P4161" s="39" t="str">
        <f t="shared" si="647"/>
        <v/>
      </c>
      <c r="Q4161" s="40" t="str">
        <f>IF(OR(T4161=0,RIGHT(T4161,1)=$W$1),"",COUNTIF($T$3:T4161,T4161))</f>
        <v/>
      </c>
      <c r="S4161" s="6">
        <f t="shared" si="648"/>
        <v>0</v>
      </c>
      <c r="T4161" s="36">
        <f t="shared" si="649"/>
        <v>0</v>
      </c>
      <c r="V4161" s="6">
        <f t="shared" si="650"/>
        <v>0</v>
      </c>
      <c r="Y4161" s="8">
        <f t="shared" si="651"/>
        <v>46023</v>
      </c>
    </row>
    <row r="4162" spans="2:25" ht="18.75" x14ac:dyDescent="0.3">
      <c r="B4162" s="6">
        <f t="shared" si="643"/>
        <v>0</v>
      </c>
      <c r="C4162" s="6">
        <f t="shared" si="644"/>
        <v>0</v>
      </c>
      <c r="D4162" s="6" t="str">
        <f t="shared" si="645"/>
        <v/>
      </c>
      <c r="E4162" s="35" t="str">
        <f t="shared" si="642"/>
        <v/>
      </c>
      <c r="F4162" s="31"/>
      <c r="G4162" s="29"/>
      <c r="H4162" s="78" t="str">
        <f t="shared" si="646"/>
        <v/>
      </c>
      <c r="I4162" s="25"/>
      <c r="J4162" s="25"/>
      <c r="K4162" s="26"/>
      <c r="L4162" s="26"/>
      <c r="M4162" s="37"/>
      <c r="N4162" s="27"/>
      <c r="O4162" s="30"/>
      <c r="P4162" s="39" t="str">
        <f t="shared" si="647"/>
        <v/>
      </c>
      <c r="Q4162" s="40" t="str">
        <f>IF(OR(T4162=0,RIGHT(T4162,1)=$W$1),"",COUNTIF($T$3:T4162,T4162))</f>
        <v/>
      </c>
      <c r="S4162" s="6">
        <f t="shared" si="648"/>
        <v>0</v>
      </c>
      <c r="T4162" s="36">
        <f t="shared" si="649"/>
        <v>0</v>
      </c>
      <c r="V4162" s="6">
        <f t="shared" si="650"/>
        <v>0</v>
      </c>
      <c r="Y4162" s="8">
        <f t="shared" si="651"/>
        <v>46023</v>
      </c>
    </row>
    <row r="4163" spans="2:25" ht="18.75" x14ac:dyDescent="0.3">
      <c r="B4163" s="6">
        <f t="shared" si="643"/>
        <v>0</v>
      </c>
      <c r="C4163" s="6">
        <f t="shared" si="644"/>
        <v>0</v>
      </c>
      <c r="D4163" s="6" t="str">
        <f t="shared" si="645"/>
        <v/>
      </c>
      <c r="E4163" s="35" t="str">
        <f t="shared" ref="E4163:E4226" si="652">IF(D4163&lt;&gt;"",D4163&amp;" - "&amp;YEAR(F4163),"")</f>
        <v/>
      </c>
      <c r="F4163" s="31"/>
      <c r="G4163" s="29"/>
      <c r="H4163" s="78" t="str">
        <f t="shared" si="646"/>
        <v/>
      </c>
      <c r="I4163" s="25"/>
      <c r="J4163" s="25"/>
      <c r="K4163" s="26"/>
      <c r="L4163" s="26"/>
      <c r="M4163" s="37"/>
      <c r="N4163" s="27"/>
      <c r="O4163" s="30"/>
      <c r="P4163" s="39" t="str">
        <f t="shared" si="647"/>
        <v/>
      </c>
      <c r="Q4163" s="40" t="str">
        <f>IF(OR(T4163=0,RIGHT(T4163,1)=$W$1),"",COUNTIF($T$3:T4163,T4163))</f>
        <v/>
      </c>
      <c r="S4163" s="6">
        <f t="shared" si="648"/>
        <v>0</v>
      </c>
      <c r="T4163" s="36">
        <f t="shared" si="649"/>
        <v>0</v>
      </c>
      <c r="V4163" s="6">
        <f t="shared" si="650"/>
        <v>0</v>
      </c>
      <c r="Y4163" s="8">
        <f t="shared" si="651"/>
        <v>46023</v>
      </c>
    </row>
    <row r="4164" spans="2:25" ht="18.75" x14ac:dyDescent="0.3">
      <c r="B4164" s="6">
        <f t="shared" ref="B4164:B4227" si="653">IF($B$1=YEAR(F4164),B4163+1,B4163)</f>
        <v>0</v>
      </c>
      <c r="C4164" s="6">
        <f t="shared" ref="C4164:C4227" si="654">IF(AND($C$1=K4164,$Y$1=YEAR(F4164)),C4163+1,C4163)</f>
        <v>0</v>
      </c>
      <c r="D4164" s="6" t="str">
        <f t="shared" ref="D4164:D4227" si="655">IF(F4164&lt;&gt;0,IF(YEAR(F4164)&lt;&gt;YEAR(F4163),1,IF(M4164=$AI$1,D4163,D4163+1)),"")</f>
        <v/>
      </c>
      <c r="E4164" s="35" t="str">
        <f t="shared" si="652"/>
        <v/>
      </c>
      <c r="F4164" s="31"/>
      <c r="G4164" s="29"/>
      <c r="H4164" s="78" t="str">
        <f t="shared" ref="H4164:H4227" si="656">IF(G4164&lt;&gt;"",F4164,"")</f>
        <v/>
      </c>
      <c r="I4164" s="25"/>
      <c r="J4164" s="25"/>
      <c r="K4164" s="26"/>
      <c r="L4164" s="26"/>
      <c r="M4164" s="37"/>
      <c r="N4164" s="27"/>
      <c r="O4164" s="30"/>
      <c r="P4164" s="39" t="str">
        <f t="shared" ref="P4164:P4227" si="657">IF(OR(T4164=0,RIGHT(T4164,1)=$W$1),"",VLOOKUP(K4164,$AD$1:$AK$15,5,FALSE))</f>
        <v/>
      </c>
      <c r="Q4164" s="40" t="str">
        <f>IF(OR(T4164=0,RIGHT(T4164,1)=$W$1),"",COUNTIF($T$3:T4164,T4164))</f>
        <v/>
      </c>
      <c r="S4164" s="6">
        <f t="shared" ref="S4164:S4227" si="658">IF(AND($C$1=K4164,$Y$1=YEAR(F4164)),C4164,0)</f>
        <v>0</v>
      </c>
      <c r="T4164" s="36">
        <f t="shared" ref="T4164:T4227" si="659">IF(F4164=0,0,YEAR(F4164)&amp;VLOOKUP(K4164,$AD$1:$AE$15,2,FALSE))</f>
        <v>0</v>
      </c>
      <c r="V4164" s="6">
        <f t="shared" ref="V4164:V4227" si="660">IF(AND(YEAR(F4164)=$Y$1,K4164=$C$1,L4164&amp;$V$1&lt;&gt;$V$1),L4164,IF(AND(YEAR(F4164)=$Y$1,K4164=$C$1),1,0))</f>
        <v>0</v>
      </c>
      <c r="Y4164" s="8">
        <f t="shared" ref="Y4164:Y4227" si="661">IF(M4164&lt;&gt;$AI$1,$Y$2,F4163)</f>
        <v>46023</v>
      </c>
    </row>
    <row r="4165" spans="2:25" ht="18.75" x14ac:dyDescent="0.3">
      <c r="B4165" s="6">
        <f t="shared" si="653"/>
        <v>0</v>
      </c>
      <c r="C4165" s="6">
        <f t="shared" si="654"/>
        <v>0</v>
      </c>
      <c r="D4165" s="6" t="str">
        <f t="shared" si="655"/>
        <v/>
      </c>
      <c r="E4165" s="35" t="str">
        <f t="shared" si="652"/>
        <v/>
      </c>
      <c r="F4165" s="31"/>
      <c r="G4165" s="29"/>
      <c r="H4165" s="78" t="str">
        <f t="shared" si="656"/>
        <v/>
      </c>
      <c r="I4165" s="25"/>
      <c r="J4165" s="25"/>
      <c r="K4165" s="26"/>
      <c r="L4165" s="26"/>
      <c r="M4165" s="37"/>
      <c r="N4165" s="27"/>
      <c r="O4165" s="30"/>
      <c r="P4165" s="39" t="str">
        <f t="shared" si="657"/>
        <v/>
      </c>
      <c r="Q4165" s="40" t="str">
        <f>IF(OR(T4165=0,RIGHT(T4165,1)=$W$1),"",COUNTIF($T$3:T4165,T4165))</f>
        <v/>
      </c>
      <c r="S4165" s="6">
        <f t="shared" si="658"/>
        <v>0</v>
      </c>
      <c r="T4165" s="36">
        <f t="shared" si="659"/>
        <v>0</v>
      </c>
      <c r="V4165" s="6">
        <f t="shared" si="660"/>
        <v>0</v>
      </c>
      <c r="Y4165" s="8">
        <f t="shared" si="661"/>
        <v>46023</v>
      </c>
    </row>
    <row r="4166" spans="2:25" ht="18.75" x14ac:dyDescent="0.3">
      <c r="B4166" s="6">
        <f t="shared" si="653"/>
        <v>0</v>
      </c>
      <c r="C4166" s="6">
        <f t="shared" si="654"/>
        <v>0</v>
      </c>
      <c r="D4166" s="6" t="str">
        <f t="shared" si="655"/>
        <v/>
      </c>
      <c r="E4166" s="35" t="str">
        <f t="shared" si="652"/>
        <v/>
      </c>
      <c r="F4166" s="31"/>
      <c r="G4166" s="29"/>
      <c r="H4166" s="78" t="str">
        <f t="shared" si="656"/>
        <v/>
      </c>
      <c r="I4166" s="25"/>
      <c r="J4166" s="25"/>
      <c r="K4166" s="26"/>
      <c r="L4166" s="26"/>
      <c r="M4166" s="37"/>
      <c r="N4166" s="27"/>
      <c r="O4166" s="30"/>
      <c r="P4166" s="39" t="str">
        <f t="shared" si="657"/>
        <v/>
      </c>
      <c r="Q4166" s="40" t="str">
        <f>IF(OR(T4166=0,RIGHT(T4166,1)=$W$1),"",COUNTIF($T$3:T4166,T4166))</f>
        <v/>
      </c>
      <c r="S4166" s="6">
        <f t="shared" si="658"/>
        <v>0</v>
      </c>
      <c r="T4166" s="36">
        <f t="shared" si="659"/>
        <v>0</v>
      </c>
      <c r="V4166" s="6">
        <f t="shared" si="660"/>
        <v>0</v>
      </c>
      <c r="Y4166" s="8">
        <f t="shared" si="661"/>
        <v>46023</v>
      </c>
    </row>
    <row r="4167" spans="2:25" ht="18.75" x14ac:dyDescent="0.3">
      <c r="B4167" s="6">
        <f t="shared" si="653"/>
        <v>0</v>
      </c>
      <c r="C4167" s="6">
        <f t="shared" si="654"/>
        <v>0</v>
      </c>
      <c r="D4167" s="6" t="str">
        <f t="shared" si="655"/>
        <v/>
      </c>
      <c r="E4167" s="35" t="str">
        <f t="shared" si="652"/>
        <v/>
      </c>
      <c r="F4167" s="31"/>
      <c r="G4167" s="29"/>
      <c r="H4167" s="78" t="str">
        <f t="shared" si="656"/>
        <v/>
      </c>
      <c r="I4167" s="25"/>
      <c r="J4167" s="25"/>
      <c r="K4167" s="26"/>
      <c r="L4167" s="26"/>
      <c r="M4167" s="37"/>
      <c r="N4167" s="27"/>
      <c r="O4167" s="30"/>
      <c r="P4167" s="39" t="str">
        <f t="shared" si="657"/>
        <v/>
      </c>
      <c r="Q4167" s="40" t="str">
        <f>IF(OR(T4167=0,RIGHT(T4167,1)=$W$1),"",COUNTIF($T$3:T4167,T4167))</f>
        <v/>
      </c>
      <c r="S4167" s="6">
        <f t="shared" si="658"/>
        <v>0</v>
      </c>
      <c r="T4167" s="36">
        <f t="shared" si="659"/>
        <v>0</v>
      </c>
      <c r="V4167" s="6">
        <f t="shared" si="660"/>
        <v>0</v>
      </c>
      <c r="Y4167" s="8">
        <f t="shared" si="661"/>
        <v>46023</v>
      </c>
    </row>
    <row r="4168" spans="2:25" ht="18.75" x14ac:dyDescent="0.3">
      <c r="B4168" s="6">
        <f t="shared" si="653"/>
        <v>0</v>
      </c>
      <c r="C4168" s="6">
        <f t="shared" si="654"/>
        <v>0</v>
      </c>
      <c r="D4168" s="6" t="str">
        <f t="shared" si="655"/>
        <v/>
      </c>
      <c r="E4168" s="35" t="str">
        <f t="shared" si="652"/>
        <v/>
      </c>
      <c r="F4168" s="31"/>
      <c r="G4168" s="29"/>
      <c r="H4168" s="78" t="str">
        <f t="shared" si="656"/>
        <v/>
      </c>
      <c r="I4168" s="25"/>
      <c r="J4168" s="25"/>
      <c r="K4168" s="26"/>
      <c r="L4168" s="26"/>
      <c r="M4168" s="37"/>
      <c r="N4168" s="27"/>
      <c r="O4168" s="30"/>
      <c r="P4168" s="39" t="str">
        <f t="shared" si="657"/>
        <v/>
      </c>
      <c r="Q4168" s="40" t="str">
        <f>IF(OR(T4168=0,RIGHT(T4168,1)=$W$1),"",COUNTIF($T$3:T4168,T4168))</f>
        <v/>
      </c>
      <c r="S4168" s="6">
        <f t="shared" si="658"/>
        <v>0</v>
      </c>
      <c r="T4168" s="36">
        <f t="shared" si="659"/>
        <v>0</v>
      </c>
      <c r="V4168" s="6">
        <f t="shared" si="660"/>
        <v>0</v>
      </c>
      <c r="Y4168" s="8">
        <f t="shared" si="661"/>
        <v>46023</v>
      </c>
    </row>
    <row r="4169" spans="2:25" ht="18.75" x14ac:dyDescent="0.3">
      <c r="B4169" s="6">
        <f t="shared" si="653"/>
        <v>0</v>
      </c>
      <c r="C4169" s="6">
        <f t="shared" si="654"/>
        <v>0</v>
      </c>
      <c r="D4169" s="6" t="str">
        <f t="shared" si="655"/>
        <v/>
      </c>
      <c r="E4169" s="35" t="str">
        <f t="shared" si="652"/>
        <v/>
      </c>
      <c r="F4169" s="31"/>
      <c r="G4169" s="29"/>
      <c r="H4169" s="78" t="str">
        <f t="shared" si="656"/>
        <v/>
      </c>
      <c r="I4169" s="25"/>
      <c r="J4169" s="25"/>
      <c r="K4169" s="26"/>
      <c r="L4169" s="26"/>
      <c r="M4169" s="37"/>
      <c r="N4169" s="27"/>
      <c r="O4169" s="30"/>
      <c r="P4169" s="39" t="str">
        <f t="shared" si="657"/>
        <v/>
      </c>
      <c r="Q4169" s="40" t="str">
        <f>IF(OR(T4169=0,RIGHT(T4169,1)=$W$1),"",COUNTIF($T$3:T4169,T4169))</f>
        <v/>
      </c>
      <c r="S4169" s="6">
        <f t="shared" si="658"/>
        <v>0</v>
      </c>
      <c r="T4169" s="36">
        <f t="shared" si="659"/>
        <v>0</v>
      </c>
      <c r="V4169" s="6">
        <f t="shared" si="660"/>
        <v>0</v>
      </c>
      <c r="Y4169" s="8">
        <f t="shared" si="661"/>
        <v>46023</v>
      </c>
    </row>
    <row r="4170" spans="2:25" ht="18.75" x14ac:dyDescent="0.3">
      <c r="B4170" s="6">
        <f t="shared" si="653"/>
        <v>0</v>
      </c>
      <c r="C4170" s="6">
        <f t="shared" si="654"/>
        <v>0</v>
      </c>
      <c r="D4170" s="6" t="str">
        <f t="shared" si="655"/>
        <v/>
      </c>
      <c r="E4170" s="35" t="str">
        <f t="shared" si="652"/>
        <v/>
      </c>
      <c r="F4170" s="31"/>
      <c r="G4170" s="29"/>
      <c r="H4170" s="78" t="str">
        <f t="shared" si="656"/>
        <v/>
      </c>
      <c r="I4170" s="25"/>
      <c r="J4170" s="25"/>
      <c r="K4170" s="26"/>
      <c r="L4170" s="26"/>
      <c r="M4170" s="37"/>
      <c r="N4170" s="27"/>
      <c r="O4170" s="30"/>
      <c r="P4170" s="39" t="str">
        <f t="shared" si="657"/>
        <v/>
      </c>
      <c r="Q4170" s="40" t="str">
        <f>IF(OR(T4170=0,RIGHT(T4170,1)=$W$1),"",COUNTIF($T$3:T4170,T4170))</f>
        <v/>
      </c>
      <c r="S4170" s="6">
        <f t="shared" si="658"/>
        <v>0</v>
      </c>
      <c r="T4170" s="36">
        <f t="shared" si="659"/>
        <v>0</v>
      </c>
      <c r="V4170" s="6">
        <f t="shared" si="660"/>
        <v>0</v>
      </c>
      <c r="Y4170" s="8">
        <f t="shared" si="661"/>
        <v>46023</v>
      </c>
    </row>
    <row r="4171" spans="2:25" ht="18.75" x14ac:dyDescent="0.3">
      <c r="B4171" s="6">
        <f t="shared" si="653"/>
        <v>0</v>
      </c>
      <c r="C4171" s="6">
        <f t="shared" si="654"/>
        <v>0</v>
      </c>
      <c r="D4171" s="6" t="str">
        <f t="shared" si="655"/>
        <v/>
      </c>
      <c r="E4171" s="35" t="str">
        <f t="shared" si="652"/>
        <v/>
      </c>
      <c r="F4171" s="31"/>
      <c r="G4171" s="29"/>
      <c r="H4171" s="78" t="str">
        <f t="shared" si="656"/>
        <v/>
      </c>
      <c r="I4171" s="25"/>
      <c r="J4171" s="25"/>
      <c r="K4171" s="26"/>
      <c r="L4171" s="26"/>
      <c r="M4171" s="37"/>
      <c r="N4171" s="27"/>
      <c r="O4171" s="30"/>
      <c r="P4171" s="39" t="str">
        <f t="shared" si="657"/>
        <v/>
      </c>
      <c r="Q4171" s="40" t="str">
        <f>IF(OR(T4171=0,RIGHT(T4171,1)=$W$1),"",COUNTIF($T$3:T4171,T4171))</f>
        <v/>
      </c>
      <c r="S4171" s="6">
        <f t="shared" si="658"/>
        <v>0</v>
      </c>
      <c r="T4171" s="36">
        <f t="shared" si="659"/>
        <v>0</v>
      </c>
      <c r="V4171" s="6">
        <f t="shared" si="660"/>
        <v>0</v>
      </c>
      <c r="Y4171" s="8">
        <f t="shared" si="661"/>
        <v>46023</v>
      </c>
    </row>
    <row r="4172" spans="2:25" ht="18.75" x14ac:dyDescent="0.3">
      <c r="B4172" s="6">
        <f t="shared" si="653"/>
        <v>0</v>
      </c>
      <c r="C4172" s="6">
        <f t="shared" si="654"/>
        <v>0</v>
      </c>
      <c r="D4172" s="6" t="str">
        <f t="shared" si="655"/>
        <v/>
      </c>
      <c r="E4172" s="35" t="str">
        <f t="shared" si="652"/>
        <v/>
      </c>
      <c r="F4172" s="31"/>
      <c r="G4172" s="29"/>
      <c r="H4172" s="78" t="str">
        <f t="shared" si="656"/>
        <v/>
      </c>
      <c r="I4172" s="25"/>
      <c r="J4172" s="25"/>
      <c r="K4172" s="26"/>
      <c r="L4172" s="26"/>
      <c r="M4172" s="37"/>
      <c r="N4172" s="27"/>
      <c r="O4172" s="30"/>
      <c r="P4172" s="39" t="str">
        <f t="shared" si="657"/>
        <v/>
      </c>
      <c r="Q4172" s="40" t="str">
        <f>IF(OR(T4172=0,RIGHT(T4172,1)=$W$1),"",COUNTIF($T$3:T4172,T4172))</f>
        <v/>
      </c>
      <c r="S4172" s="6">
        <f t="shared" si="658"/>
        <v>0</v>
      </c>
      <c r="T4172" s="36">
        <f t="shared" si="659"/>
        <v>0</v>
      </c>
      <c r="V4172" s="6">
        <f t="shared" si="660"/>
        <v>0</v>
      </c>
      <c r="Y4172" s="8">
        <f t="shared" si="661"/>
        <v>46023</v>
      </c>
    </row>
    <row r="4173" spans="2:25" ht="18.75" x14ac:dyDescent="0.3">
      <c r="B4173" s="6">
        <f t="shared" si="653"/>
        <v>0</v>
      </c>
      <c r="C4173" s="6">
        <f t="shared" si="654"/>
        <v>0</v>
      </c>
      <c r="D4173" s="6" t="str">
        <f t="shared" si="655"/>
        <v/>
      </c>
      <c r="E4173" s="35" t="str">
        <f t="shared" si="652"/>
        <v/>
      </c>
      <c r="F4173" s="31"/>
      <c r="G4173" s="29"/>
      <c r="H4173" s="78" t="str">
        <f t="shared" si="656"/>
        <v/>
      </c>
      <c r="I4173" s="25"/>
      <c r="J4173" s="25"/>
      <c r="K4173" s="26"/>
      <c r="L4173" s="26"/>
      <c r="M4173" s="37"/>
      <c r="N4173" s="27"/>
      <c r="O4173" s="30"/>
      <c r="P4173" s="39" t="str">
        <f t="shared" si="657"/>
        <v/>
      </c>
      <c r="Q4173" s="40" t="str">
        <f>IF(OR(T4173=0,RIGHT(T4173,1)=$W$1),"",COUNTIF($T$3:T4173,T4173))</f>
        <v/>
      </c>
      <c r="S4173" s="6">
        <f t="shared" si="658"/>
        <v>0</v>
      </c>
      <c r="T4173" s="36">
        <f t="shared" si="659"/>
        <v>0</v>
      </c>
      <c r="V4173" s="6">
        <f t="shared" si="660"/>
        <v>0</v>
      </c>
      <c r="Y4173" s="8">
        <f t="shared" si="661"/>
        <v>46023</v>
      </c>
    </row>
    <row r="4174" spans="2:25" ht="18.75" x14ac:dyDescent="0.3">
      <c r="B4174" s="6">
        <f t="shared" si="653"/>
        <v>0</v>
      </c>
      <c r="C4174" s="6">
        <f t="shared" si="654"/>
        <v>0</v>
      </c>
      <c r="D4174" s="6" t="str">
        <f t="shared" si="655"/>
        <v/>
      </c>
      <c r="E4174" s="35" t="str">
        <f t="shared" si="652"/>
        <v/>
      </c>
      <c r="F4174" s="31"/>
      <c r="G4174" s="29"/>
      <c r="H4174" s="78" t="str">
        <f t="shared" si="656"/>
        <v/>
      </c>
      <c r="I4174" s="25"/>
      <c r="J4174" s="25"/>
      <c r="K4174" s="26"/>
      <c r="L4174" s="26"/>
      <c r="M4174" s="37"/>
      <c r="N4174" s="27"/>
      <c r="O4174" s="30"/>
      <c r="P4174" s="39" t="str">
        <f t="shared" si="657"/>
        <v/>
      </c>
      <c r="Q4174" s="40" t="str">
        <f>IF(OR(T4174=0,RIGHT(T4174,1)=$W$1),"",COUNTIF($T$3:T4174,T4174))</f>
        <v/>
      </c>
      <c r="S4174" s="6">
        <f t="shared" si="658"/>
        <v>0</v>
      </c>
      <c r="T4174" s="36">
        <f t="shared" si="659"/>
        <v>0</v>
      </c>
      <c r="V4174" s="6">
        <f t="shared" si="660"/>
        <v>0</v>
      </c>
      <c r="Y4174" s="8">
        <f t="shared" si="661"/>
        <v>46023</v>
      </c>
    </row>
    <row r="4175" spans="2:25" ht="18.75" x14ac:dyDescent="0.3">
      <c r="B4175" s="6">
        <f t="shared" si="653"/>
        <v>0</v>
      </c>
      <c r="C4175" s="6">
        <f t="shared" si="654"/>
        <v>0</v>
      </c>
      <c r="D4175" s="6" t="str">
        <f t="shared" si="655"/>
        <v/>
      </c>
      <c r="E4175" s="35" t="str">
        <f t="shared" si="652"/>
        <v/>
      </c>
      <c r="F4175" s="31"/>
      <c r="G4175" s="29"/>
      <c r="H4175" s="78" t="str">
        <f t="shared" si="656"/>
        <v/>
      </c>
      <c r="I4175" s="25"/>
      <c r="J4175" s="25"/>
      <c r="K4175" s="26"/>
      <c r="L4175" s="26"/>
      <c r="M4175" s="37"/>
      <c r="N4175" s="27"/>
      <c r="O4175" s="30"/>
      <c r="P4175" s="39" t="str">
        <f t="shared" si="657"/>
        <v/>
      </c>
      <c r="Q4175" s="40" t="str">
        <f>IF(OR(T4175=0,RIGHT(T4175,1)=$W$1),"",COUNTIF($T$3:T4175,T4175))</f>
        <v/>
      </c>
      <c r="S4175" s="6">
        <f t="shared" si="658"/>
        <v>0</v>
      </c>
      <c r="T4175" s="36">
        <f t="shared" si="659"/>
        <v>0</v>
      </c>
      <c r="V4175" s="6">
        <f t="shared" si="660"/>
        <v>0</v>
      </c>
      <c r="Y4175" s="8">
        <f t="shared" si="661"/>
        <v>46023</v>
      </c>
    </row>
    <row r="4176" spans="2:25" ht="18.75" x14ac:dyDescent="0.3">
      <c r="B4176" s="6">
        <f t="shared" si="653"/>
        <v>0</v>
      </c>
      <c r="C4176" s="6">
        <f t="shared" si="654"/>
        <v>0</v>
      </c>
      <c r="D4176" s="6" t="str">
        <f t="shared" si="655"/>
        <v/>
      </c>
      <c r="E4176" s="35" t="str">
        <f t="shared" si="652"/>
        <v/>
      </c>
      <c r="F4176" s="31"/>
      <c r="G4176" s="29"/>
      <c r="H4176" s="78" t="str">
        <f t="shared" si="656"/>
        <v/>
      </c>
      <c r="I4176" s="25"/>
      <c r="J4176" s="25"/>
      <c r="K4176" s="26"/>
      <c r="L4176" s="26"/>
      <c r="M4176" s="37"/>
      <c r="N4176" s="27"/>
      <c r="O4176" s="30"/>
      <c r="P4176" s="39" t="str">
        <f t="shared" si="657"/>
        <v/>
      </c>
      <c r="Q4176" s="40" t="str">
        <f>IF(OR(T4176=0,RIGHT(T4176,1)=$W$1),"",COUNTIF($T$3:T4176,T4176))</f>
        <v/>
      </c>
      <c r="S4176" s="6">
        <f t="shared" si="658"/>
        <v>0</v>
      </c>
      <c r="T4176" s="36">
        <f t="shared" si="659"/>
        <v>0</v>
      </c>
      <c r="V4176" s="6">
        <f t="shared" si="660"/>
        <v>0</v>
      </c>
      <c r="Y4176" s="8">
        <f t="shared" si="661"/>
        <v>46023</v>
      </c>
    </row>
    <row r="4177" spans="2:25" ht="18.75" x14ac:dyDescent="0.3">
      <c r="B4177" s="6">
        <f t="shared" si="653"/>
        <v>0</v>
      </c>
      <c r="C4177" s="6">
        <f t="shared" si="654"/>
        <v>0</v>
      </c>
      <c r="D4177" s="6" t="str">
        <f t="shared" si="655"/>
        <v/>
      </c>
      <c r="E4177" s="35" t="str">
        <f t="shared" si="652"/>
        <v/>
      </c>
      <c r="F4177" s="31"/>
      <c r="G4177" s="29"/>
      <c r="H4177" s="78" t="str">
        <f t="shared" si="656"/>
        <v/>
      </c>
      <c r="I4177" s="25"/>
      <c r="J4177" s="25"/>
      <c r="K4177" s="26"/>
      <c r="L4177" s="26"/>
      <c r="M4177" s="37"/>
      <c r="N4177" s="27"/>
      <c r="O4177" s="30"/>
      <c r="P4177" s="39" t="str">
        <f t="shared" si="657"/>
        <v/>
      </c>
      <c r="Q4177" s="40" t="str">
        <f>IF(OR(T4177=0,RIGHT(T4177,1)=$W$1),"",COUNTIF($T$3:T4177,T4177))</f>
        <v/>
      </c>
      <c r="S4177" s="6">
        <f t="shared" si="658"/>
        <v>0</v>
      </c>
      <c r="T4177" s="36">
        <f t="shared" si="659"/>
        <v>0</v>
      </c>
      <c r="V4177" s="6">
        <f t="shared" si="660"/>
        <v>0</v>
      </c>
      <c r="Y4177" s="8">
        <f t="shared" si="661"/>
        <v>46023</v>
      </c>
    </row>
    <row r="4178" spans="2:25" ht="18.75" x14ac:dyDescent="0.3">
      <c r="B4178" s="6">
        <f t="shared" si="653"/>
        <v>0</v>
      </c>
      <c r="C4178" s="6">
        <f t="shared" si="654"/>
        <v>0</v>
      </c>
      <c r="D4178" s="6" t="str">
        <f t="shared" si="655"/>
        <v/>
      </c>
      <c r="E4178" s="35" t="str">
        <f t="shared" si="652"/>
        <v/>
      </c>
      <c r="F4178" s="31"/>
      <c r="G4178" s="29"/>
      <c r="H4178" s="78" t="str">
        <f t="shared" si="656"/>
        <v/>
      </c>
      <c r="I4178" s="25"/>
      <c r="J4178" s="25"/>
      <c r="K4178" s="26"/>
      <c r="L4178" s="26"/>
      <c r="M4178" s="37"/>
      <c r="N4178" s="27"/>
      <c r="O4178" s="30"/>
      <c r="P4178" s="39" t="str">
        <f t="shared" si="657"/>
        <v/>
      </c>
      <c r="Q4178" s="40" t="str">
        <f>IF(OR(T4178=0,RIGHT(T4178,1)=$W$1),"",COUNTIF($T$3:T4178,T4178))</f>
        <v/>
      </c>
      <c r="S4178" s="6">
        <f t="shared" si="658"/>
        <v>0</v>
      </c>
      <c r="T4178" s="36">
        <f t="shared" si="659"/>
        <v>0</v>
      </c>
      <c r="V4178" s="6">
        <f t="shared" si="660"/>
        <v>0</v>
      </c>
      <c r="Y4178" s="8">
        <f t="shared" si="661"/>
        <v>46023</v>
      </c>
    </row>
    <row r="4179" spans="2:25" ht="18.75" x14ac:dyDescent="0.3">
      <c r="B4179" s="6">
        <f t="shared" si="653"/>
        <v>0</v>
      </c>
      <c r="C4179" s="6">
        <f t="shared" si="654"/>
        <v>0</v>
      </c>
      <c r="D4179" s="6" t="str">
        <f t="shared" si="655"/>
        <v/>
      </c>
      <c r="E4179" s="35" t="str">
        <f t="shared" si="652"/>
        <v/>
      </c>
      <c r="F4179" s="31"/>
      <c r="G4179" s="29"/>
      <c r="H4179" s="78" t="str">
        <f t="shared" si="656"/>
        <v/>
      </c>
      <c r="I4179" s="25"/>
      <c r="J4179" s="25"/>
      <c r="K4179" s="26"/>
      <c r="L4179" s="26"/>
      <c r="M4179" s="37"/>
      <c r="N4179" s="27"/>
      <c r="O4179" s="30"/>
      <c r="P4179" s="39" t="str">
        <f t="shared" si="657"/>
        <v/>
      </c>
      <c r="Q4179" s="40" t="str">
        <f>IF(OR(T4179=0,RIGHT(T4179,1)=$W$1),"",COUNTIF($T$3:T4179,T4179))</f>
        <v/>
      </c>
      <c r="S4179" s="6">
        <f t="shared" si="658"/>
        <v>0</v>
      </c>
      <c r="T4179" s="36">
        <f t="shared" si="659"/>
        <v>0</v>
      </c>
      <c r="V4179" s="6">
        <f t="shared" si="660"/>
        <v>0</v>
      </c>
      <c r="Y4179" s="8">
        <f t="shared" si="661"/>
        <v>46023</v>
      </c>
    </row>
    <row r="4180" spans="2:25" ht="18.75" x14ac:dyDescent="0.3">
      <c r="B4180" s="6">
        <f t="shared" si="653"/>
        <v>0</v>
      </c>
      <c r="C4180" s="6">
        <f t="shared" si="654"/>
        <v>0</v>
      </c>
      <c r="D4180" s="6" t="str">
        <f t="shared" si="655"/>
        <v/>
      </c>
      <c r="E4180" s="35" t="str">
        <f t="shared" si="652"/>
        <v/>
      </c>
      <c r="F4180" s="31"/>
      <c r="G4180" s="29"/>
      <c r="H4180" s="78" t="str">
        <f t="shared" si="656"/>
        <v/>
      </c>
      <c r="I4180" s="25"/>
      <c r="J4180" s="25"/>
      <c r="K4180" s="26"/>
      <c r="L4180" s="26"/>
      <c r="M4180" s="37"/>
      <c r="N4180" s="27"/>
      <c r="O4180" s="30"/>
      <c r="P4180" s="39" t="str">
        <f t="shared" si="657"/>
        <v/>
      </c>
      <c r="Q4180" s="40" t="str">
        <f>IF(OR(T4180=0,RIGHT(T4180,1)=$W$1),"",COUNTIF($T$3:T4180,T4180))</f>
        <v/>
      </c>
      <c r="S4180" s="6">
        <f t="shared" si="658"/>
        <v>0</v>
      </c>
      <c r="T4180" s="36">
        <f t="shared" si="659"/>
        <v>0</v>
      </c>
      <c r="V4180" s="6">
        <f t="shared" si="660"/>
        <v>0</v>
      </c>
      <c r="Y4180" s="8">
        <f t="shared" si="661"/>
        <v>46023</v>
      </c>
    </row>
    <row r="4181" spans="2:25" ht="18.75" x14ac:dyDescent="0.3">
      <c r="B4181" s="6">
        <f t="shared" si="653"/>
        <v>0</v>
      </c>
      <c r="C4181" s="6">
        <f t="shared" si="654"/>
        <v>0</v>
      </c>
      <c r="D4181" s="6" t="str">
        <f t="shared" si="655"/>
        <v/>
      </c>
      <c r="E4181" s="35" t="str">
        <f t="shared" si="652"/>
        <v/>
      </c>
      <c r="F4181" s="31"/>
      <c r="G4181" s="29"/>
      <c r="H4181" s="78" t="str">
        <f t="shared" si="656"/>
        <v/>
      </c>
      <c r="I4181" s="25"/>
      <c r="J4181" s="25"/>
      <c r="K4181" s="26"/>
      <c r="L4181" s="26"/>
      <c r="M4181" s="37"/>
      <c r="N4181" s="27"/>
      <c r="O4181" s="30"/>
      <c r="P4181" s="39" t="str">
        <f t="shared" si="657"/>
        <v/>
      </c>
      <c r="Q4181" s="40" t="str">
        <f>IF(OR(T4181=0,RIGHT(T4181,1)=$W$1),"",COUNTIF($T$3:T4181,T4181))</f>
        <v/>
      </c>
      <c r="S4181" s="6">
        <f t="shared" si="658"/>
        <v>0</v>
      </c>
      <c r="T4181" s="36">
        <f t="shared" si="659"/>
        <v>0</v>
      </c>
      <c r="V4181" s="6">
        <f t="shared" si="660"/>
        <v>0</v>
      </c>
      <c r="Y4181" s="8">
        <f t="shared" si="661"/>
        <v>46023</v>
      </c>
    </row>
    <row r="4182" spans="2:25" ht="18.75" x14ac:dyDescent="0.3">
      <c r="B4182" s="6">
        <f t="shared" si="653"/>
        <v>0</v>
      </c>
      <c r="C4182" s="6">
        <f t="shared" si="654"/>
        <v>0</v>
      </c>
      <c r="D4182" s="6" t="str">
        <f t="shared" si="655"/>
        <v/>
      </c>
      <c r="E4182" s="35" t="str">
        <f t="shared" si="652"/>
        <v/>
      </c>
      <c r="F4182" s="31"/>
      <c r="G4182" s="29"/>
      <c r="H4182" s="78" t="str">
        <f t="shared" si="656"/>
        <v/>
      </c>
      <c r="I4182" s="25"/>
      <c r="J4182" s="25"/>
      <c r="K4182" s="26"/>
      <c r="L4182" s="26"/>
      <c r="M4182" s="37"/>
      <c r="N4182" s="27"/>
      <c r="O4182" s="30"/>
      <c r="P4182" s="39" t="str">
        <f t="shared" si="657"/>
        <v/>
      </c>
      <c r="Q4182" s="40" t="str">
        <f>IF(OR(T4182=0,RIGHT(T4182,1)=$W$1),"",COUNTIF($T$3:T4182,T4182))</f>
        <v/>
      </c>
      <c r="S4182" s="6">
        <f t="shared" si="658"/>
        <v>0</v>
      </c>
      <c r="T4182" s="36">
        <f t="shared" si="659"/>
        <v>0</v>
      </c>
      <c r="V4182" s="6">
        <f t="shared" si="660"/>
        <v>0</v>
      </c>
      <c r="Y4182" s="8">
        <f t="shared" si="661"/>
        <v>46023</v>
      </c>
    </row>
    <row r="4183" spans="2:25" ht="18.75" x14ac:dyDescent="0.3">
      <c r="B4183" s="6">
        <f t="shared" si="653"/>
        <v>0</v>
      </c>
      <c r="C4183" s="6">
        <f t="shared" si="654"/>
        <v>0</v>
      </c>
      <c r="D4183" s="6" t="str">
        <f t="shared" si="655"/>
        <v/>
      </c>
      <c r="E4183" s="35" t="str">
        <f t="shared" si="652"/>
        <v/>
      </c>
      <c r="F4183" s="31"/>
      <c r="G4183" s="29"/>
      <c r="H4183" s="78" t="str">
        <f t="shared" si="656"/>
        <v/>
      </c>
      <c r="I4183" s="25"/>
      <c r="J4183" s="25"/>
      <c r="K4183" s="26"/>
      <c r="L4183" s="26"/>
      <c r="M4183" s="37"/>
      <c r="N4183" s="27"/>
      <c r="O4183" s="30"/>
      <c r="P4183" s="39" t="str">
        <f t="shared" si="657"/>
        <v/>
      </c>
      <c r="Q4183" s="40" t="str">
        <f>IF(OR(T4183=0,RIGHT(T4183,1)=$W$1),"",COUNTIF($T$3:T4183,T4183))</f>
        <v/>
      </c>
      <c r="S4183" s="6">
        <f t="shared" si="658"/>
        <v>0</v>
      </c>
      <c r="T4183" s="36">
        <f t="shared" si="659"/>
        <v>0</v>
      </c>
      <c r="V4183" s="6">
        <f t="shared" si="660"/>
        <v>0</v>
      </c>
      <c r="Y4183" s="8">
        <f t="shared" si="661"/>
        <v>46023</v>
      </c>
    </row>
    <row r="4184" spans="2:25" ht="18.75" x14ac:dyDescent="0.3">
      <c r="B4184" s="6">
        <f t="shared" si="653"/>
        <v>0</v>
      </c>
      <c r="C4184" s="6">
        <f t="shared" si="654"/>
        <v>0</v>
      </c>
      <c r="D4184" s="6" t="str">
        <f t="shared" si="655"/>
        <v/>
      </c>
      <c r="E4184" s="35" t="str">
        <f t="shared" si="652"/>
        <v/>
      </c>
      <c r="F4184" s="31"/>
      <c r="G4184" s="29"/>
      <c r="H4184" s="78" t="str">
        <f t="shared" si="656"/>
        <v/>
      </c>
      <c r="I4184" s="25"/>
      <c r="J4184" s="25"/>
      <c r="K4184" s="26"/>
      <c r="L4184" s="26"/>
      <c r="M4184" s="37"/>
      <c r="N4184" s="27"/>
      <c r="O4184" s="30"/>
      <c r="P4184" s="39" t="str">
        <f t="shared" si="657"/>
        <v/>
      </c>
      <c r="Q4184" s="40" t="str">
        <f>IF(OR(T4184=0,RIGHT(T4184,1)=$W$1),"",COUNTIF($T$3:T4184,T4184))</f>
        <v/>
      </c>
      <c r="S4184" s="6">
        <f t="shared" si="658"/>
        <v>0</v>
      </c>
      <c r="T4184" s="36">
        <f t="shared" si="659"/>
        <v>0</v>
      </c>
      <c r="V4184" s="6">
        <f t="shared" si="660"/>
        <v>0</v>
      </c>
      <c r="Y4184" s="8">
        <f t="shared" si="661"/>
        <v>46023</v>
      </c>
    </row>
    <row r="4185" spans="2:25" ht="18.75" x14ac:dyDescent="0.3">
      <c r="B4185" s="6">
        <f t="shared" si="653"/>
        <v>0</v>
      </c>
      <c r="C4185" s="6">
        <f t="shared" si="654"/>
        <v>0</v>
      </c>
      <c r="D4185" s="6" t="str">
        <f t="shared" si="655"/>
        <v/>
      </c>
      <c r="E4185" s="35" t="str">
        <f t="shared" si="652"/>
        <v/>
      </c>
      <c r="F4185" s="31"/>
      <c r="G4185" s="29"/>
      <c r="H4185" s="78" t="str">
        <f t="shared" si="656"/>
        <v/>
      </c>
      <c r="I4185" s="25"/>
      <c r="J4185" s="25"/>
      <c r="K4185" s="26"/>
      <c r="L4185" s="26"/>
      <c r="M4185" s="37"/>
      <c r="N4185" s="27"/>
      <c r="O4185" s="30"/>
      <c r="P4185" s="39" t="str">
        <f t="shared" si="657"/>
        <v/>
      </c>
      <c r="Q4185" s="40" t="str">
        <f>IF(OR(T4185=0,RIGHT(T4185,1)=$W$1),"",COUNTIF($T$3:T4185,T4185))</f>
        <v/>
      </c>
      <c r="S4185" s="6">
        <f t="shared" si="658"/>
        <v>0</v>
      </c>
      <c r="T4185" s="36">
        <f t="shared" si="659"/>
        <v>0</v>
      </c>
      <c r="V4185" s="6">
        <f t="shared" si="660"/>
        <v>0</v>
      </c>
      <c r="Y4185" s="8">
        <f t="shared" si="661"/>
        <v>46023</v>
      </c>
    </row>
    <row r="4186" spans="2:25" ht="18.75" x14ac:dyDescent="0.3">
      <c r="B4186" s="6">
        <f t="shared" si="653"/>
        <v>0</v>
      </c>
      <c r="C4186" s="6">
        <f t="shared" si="654"/>
        <v>0</v>
      </c>
      <c r="D4186" s="6" t="str">
        <f t="shared" si="655"/>
        <v/>
      </c>
      <c r="E4186" s="35" t="str">
        <f t="shared" si="652"/>
        <v/>
      </c>
      <c r="F4186" s="31"/>
      <c r="G4186" s="29"/>
      <c r="H4186" s="78" t="str">
        <f t="shared" si="656"/>
        <v/>
      </c>
      <c r="I4186" s="25"/>
      <c r="J4186" s="25"/>
      <c r="K4186" s="26"/>
      <c r="L4186" s="26"/>
      <c r="M4186" s="37"/>
      <c r="N4186" s="27"/>
      <c r="O4186" s="30"/>
      <c r="P4186" s="39" t="str">
        <f t="shared" si="657"/>
        <v/>
      </c>
      <c r="Q4186" s="40" t="str">
        <f>IF(OR(T4186=0,RIGHT(T4186,1)=$W$1),"",COUNTIF($T$3:T4186,T4186))</f>
        <v/>
      </c>
      <c r="S4186" s="6">
        <f t="shared" si="658"/>
        <v>0</v>
      </c>
      <c r="T4186" s="36">
        <f t="shared" si="659"/>
        <v>0</v>
      </c>
      <c r="V4186" s="6">
        <f t="shared" si="660"/>
        <v>0</v>
      </c>
      <c r="Y4186" s="8">
        <f t="shared" si="661"/>
        <v>46023</v>
      </c>
    </row>
    <row r="4187" spans="2:25" ht="18.75" x14ac:dyDescent="0.3">
      <c r="B4187" s="6">
        <f t="shared" si="653"/>
        <v>0</v>
      </c>
      <c r="C4187" s="6">
        <f t="shared" si="654"/>
        <v>0</v>
      </c>
      <c r="D4187" s="6" t="str">
        <f t="shared" si="655"/>
        <v/>
      </c>
      <c r="E4187" s="35" t="str">
        <f t="shared" si="652"/>
        <v/>
      </c>
      <c r="F4187" s="31"/>
      <c r="G4187" s="29"/>
      <c r="H4187" s="78" t="str">
        <f t="shared" si="656"/>
        <v/>
      </c>
      <c r="I4187" s="25"/>
      <c r="J4187" s="25"/>
      <c r="K4187" s="26"/>
      <c r="L4187" s="26"/>
      <c r="M4187" s="37"/>
      <c r="N4187" s="27"/>
      <c r="O4187" s="30"/>
      <c r="P4187" s="39" t="str">
        <f t="shared" si="657"/>
        <v/>
      </c>
      <c r="Q4187" s="40" t="str">
        <f>IF(OR(T4187=0,RIGHT(T4187,1)=$W$1),"",COUNTIF($T$3:T4187,T4187))</f>
        <v/>
      </c>
      <c r="S4187" s="6">
        <f t="shared" si="658"/>
        <v>0</v>
      </c>
      <c r="T4187" s="36">
        <f t="shared" si="659"/>
        <v>0</v>
      </c>
      <c r="V4187" s="6">
        <f t="shared" si="660"/>
        <v>0</v>
      </c>
      <c r="Y4187" s="8">
        <f t="shared" si="661"/>
        <v>46023</v>
      </c>
    </row>
    <row r="4188" spans="2:25" ht="18.75" x14ac:dyDescent="0.3">
      <c r="B4188" s="6">
        <f t="shared" si="653"/>
        <v>0</v>
      </c>
      <c r="C4188" s="6">
        <f t="shared" si="654"/>
        <v>0</v>
      </c>
      <c r="D4188" s="6" t="str">
        <f t="shared" si="655"/>
        <v/>
      </c>
      <c r="E4188" s="35" t="str">
        <f t="shared" si="652"/>
        <v/>
      </c>
      <c r="F4188" s="31"/>
      <c r="G4188" s="29"/>
      <c r="H4188" s="78" t="str">
        <f t="shared" si="656"/>
        <v/>
      </c>
      <c r="I4188" s="25"/>
      <c r="J4188" s="25"/>
      <c r="K4188" s="26"/>
      <c r="L4188" s="26"/>
      <c r="M4188" s="37"/>
      <c r="N4188" s="27"/>
      <c r="O4188" s="30"/>
      <c r="P4188" s="39" t="str">
        <f t="shared" si="657"/>
        <v/>
      </c>
      <c r="Q4188" s="40" t="str">
        <f>IF(OR(T4188=0,RIGHT(T4188,1)=$W$1),"",COUNTIF($T$3:T4188,T4188))</f>
        <v/>
      </c>
      <c r="S4188" s="6">
        <f t="shared" si="658"/>
        <v>0</v>
      </c>
      <c r="T4188" s="36">
        <f t="shared" si="659"/>
        <v>0</v>
      </c>
      <c r="V4188" s="6">
        <f t="shared" si="660"/>
        <v>0</v>
      </c>
      <c r="Y4188" s="8">
        <f t="shared" si="661"/>
        <v>46023</v>
      </c>
    </row>
    <row r="4189" spans="2:25" ht="18.75" x14ac:dyDescent="0.3">
      <c r="B4189" s="6">
        <f t="shared" si="653"/>
        <v>0</v>
      </c>
      <c r="C4189" s="6">
        <f t="shared" si="654"/>
        <v>0</v>
      </c>
      <c r="D4189" s="6" t="str">
        <f t="shared" si="655"/>
        <v/>
      </c>
      <c r="E4189" s="35" t="str">
        <f t="shared" si="652"/>
        <v/>
      </c>
      <c r="F4189" s="31"/>
      <c r="G4189" s="29"/>
      <c r="H4189" s="78" t="str">
        <f t="shared" si="656"/>
        <v/>
      </c>
      <c r="I4189" s="25"/>
      <c r="J4189" s="25"/>
      <c r="K4189" s="26"/>
      <c r="L4189" s="26"/>
      <c r="M4189" s="37"/>
      <c r="N4189" s="27"/>
      <c r="O4189" s="30"/>
      <c r="P4189" s="39" t="str">
        <f t="shared" si="657"/>
        <v/>
      </c>
      <c r="Q4189" s="40" t="str">
        <f>IF(OR(T4189=0,RIGHT(T4189,1)=$W$1),"",COUNTIF($T$3:T4189,T4189))</f>
        <v/>
      </c>
      <c r="S4189" s="6">
        <f t="shared" si="658"/>
        <v>0</v>
      </c>
      <c r="T4189" s="36">
        <f t="shared" si="659"/>
        <v>0</v>
      </c>
      <c r="V4189" s="6">
        <f t="shared" si="660"/>
        <v>0</v>
      </c>
      <c r="Y4189" s="8">
        <f t="shared" si="661"/>
        <v>46023</v>
      </c>
    </row>
    <row r="4190" spans="2:25" ht="18.75" x14ac:dyDescent="0.3">
      <c r="B4190" s="6">
        <f t="shared" si="653"/>
        <v>0</v>
      </c>
      <c r="C4190" s="6">
        <f t="shared" si="654"/>
        <v>0</v>
      </c>
      <c r="D4190" s="6" t="str">
        <f t="shared" si="655"/>
        <v/>
      </c>
      <c r="E4190" s="35" t="str">
        <f t="shared" si="652"/>
        <v/>
      </c>
      <c r="F4190" s="31"/>
      <c r="G4190" s="29"/>
      <c r="H4190" s="78" t="str">
        <f t="shared" si="656"/>
        <v/>
      </c>
      <c r="I4190" s="25"/>
      <c r="J4190" s="25"/>
      <c r="K4190" s="26"/>
      <c r="L4190" s="26"/>
      <c r="M4190" s="37"/>
      <c r="N4190" s="27"/>
      <c r="O4190" s="30"/>
      <c r="P4190" s="39" t="str">
        <f t="shared" si="657"/>
        <v/>
      </c>
      <c r="Q4190" s="40" t="str">
        <f>IF(OR(T4190=0,RIGHT(T4190,1)=$W$1),"",COUNTIF($T$3:T4190,T4190))</f>
        <v/>
      </c>
      <c r="S4190" s="6">
        <f t="shared" si="658"/>
        <v>0</v>
      </c>
      <c r="T4190" s="36">
        <f t="shared" si="659"/>
        <v>0</v>
      </c>
      <c r="V4190" s="6">
        <f t="shared" si="660"/>
        <v>0</v>
      </c>
      <c r="Y4190" s="8">
        <f t="shared" si="661"/>
        <v>46023</v>
      </c>
    </row>
    <row r="4191" spans="2:25" ht="18.75" x14ac:dyDescent="0.3">
      <c r="B4191" s="6">
        <f t="shared" si="653"/>
        <v>0</v>
      </c>
      <c r="C4191" s="6">
        <f t="shared" si="654"/>
        <v>0</v>
      </c>
      <c r="D4191" s="6" t="str">
        <f t="shared" si="655"/>
        <v/>
      </c>
      <c r="E4191" s="35" t="str">
        <f t="shared" si="652"/>
        <v/>
      </c>
      <c r="F4191" s="31"/>
      <c r="G4191" s="29"/>
      <c r="H4191" s="78" t="str">
        <f t="shared" si="656"/>
        <v/>
      </c>
      <c r="I4191" s="25"/>
      <c r="J4191" s="25"/>
      <c r="K4191" s="26"/>
      <c r="L4191" s="26"/>
      <c r="M4191" s="37"/>
      <c r="N4191" s="27"/>
      <c r="O4191" s="30"/>
      <c r="P4191" s="39" t="str">
        <f t="shared" si="657"/>
        <v/>
      </c>
      <c r="Q4191" s="40" t="str">
        <f>IF(OR(T4191=0,RIGHT(T4191,1)=$W$1),"",COUNTIF($T$3:T4191,T4191))</f>
        <v/>
      </c>
      <c r="S4191" s="6">
        <f t="shared" si="658"/>
        <v>0</v>
      </c>
      <c r="T4191" s="36">
        <f t="shared" si="659"/>
        <v>0</v>
      </c>
      <c r="V4191" s="6">
        <f t="shared" si="660"/>
        <v>0</v>
      </c>
      <c r="Y4191" s="8">
        <f t="shared" si="661"/>
        <v>46023</v>
      </c>
    </row>
    <row r="4192" spans="2:25" ht="18.75" x14ac:dyDescent="0.3">
      <c r="B4192" s="6">
        <f t="shared" si="653"/>
        <v>0</v>
      </c>
      <c r="C4192" s="6">
        <f t="shared" si="654"/>
        <v>0</v>
      </c>
      <c r="D4192" s="6" t="str">
        <f t="shared" si="655"/>
        <v/>
      </c>
      <c r="E4192" s="35" t="str">
        <f t="shared" si="652"/>
        <v/>
      </c>
      <c r="F4192" s="31"/>
      <c r="G4192" s="29"/>
      <c r="H4192" s="78" t="str">
        <f t="shared" si="656"/>
        <v/>
      </c>
      <c r="I4192" s="25"/>
      <c r="J4192" s="25"/>
      <c r="K4192" s="26"/>
      <c r="L4192" s="26"/>
      <c r="M4192" s="37"/>
      <c r="N4192" s="27"/>
      <c r="O4192" s="30"/>
      <c r="P4192" s="39" t="str">
        <f t="shared" si="657"/>
        <v/>
      </c>
      <c r="Q4192" s="40" t="str">
        <f>IF(OR(T4192=0,RIGHT(T4192,1)=$W$1),"",COUNTIF($T$3:T4192,T4192))</f>
        <v/>
      </c>
      <c r="S4192" s="6">
        <f t="shared" si="658"/>
        <v>0</v>
      </c>
      <c r="T4192" s="36">
        <f t="shared" si="659"/>
        <v>0</v>
      </c>
      <c r="V4192" s="6">
        <f t="shared" si="660"/>
        <v>0</v>
      </c>
      <c r="Y4192" s="8">
        <f t="shared" si="661"/>
        <v>46023</v>
      </c>
    </row>
    <row r="4193" spans="2:25" ht="18.75" x14ac:dyDescent="0.3">
      <c r="B4193" s="6">
        <f t="shared" si="653"/>
        <v>0</v>
      </c>
      <c r="C4193" s="6">
        <f t="shared" si="654"/>
        <v>0</v>
      </c>
      <c r="D4193" s="6" t="str">
        <f t="shared" si="655"/>
        <v/>
      </c>
      <c r="E4193" s="35" t="str">
        <f t="shared" si="652"/>
        <v/>
      </c>
      <c r="F4193" s="31"/>
      <c r="G4193" s="29"/>
      <c r="H4193" s="78" t="str">
        <f t="shared" si="656"/>
        <v/>
      </c>
      <c r="I4193" s="25"/>
      <c r="J4193" s="25"/>
      <c r="K4193" s="26"/>
      <c r="L4193" s="26"/>
      <c r="M4193" s="37"/>
      <c r="N4193" s="27"/>
      <c r="O4193" s="30"/>
      <c r="P4193" s="39" t="str">
        <f t="shared" si="657"/>
        <v/>
      </c>
      <c r="Q4193" s="40" t="str">
        <f>IF(OR(T4193=0,RIGHT(T4193,1)=$W$1),"",COUNTIF($T$3:T4193,T4193))</f>
        <v/>
      </c>
      <c r="S4193" s="6">
        <f t="shared" si="658"/>
        <v>0</v>
      </c>
      <c r="T4193" s="36">
        <f t="shared" si="659"/>
        <v>0</v>
      </c>
      <c r="V4193" s="6">
        <f t="shared" si="660"/>
        <v>0</v>
      </c>
      <c r="Y4193" s="8">
        <f t="shared" si="661"/>
        <v>46023</v>
      </c>
    </row>
    <row r="4194" spans="2:25" ht="18.75" x14ac:dyDescent="0.3">
      <c r="B4194" s="6">
        <f t="shared" si="653"/>
        <v>0</v>
      </c>
      <c r="C4194" s="6">
        <f t="shared" si="654"/>
        <v>0</v>
      </c>
      <c r="D4194" s="6" t="str">
        <f t="shared" si="655"/>
        <v/>
      </c>
      <c r="E4194" s="35" t="str">
        <f t="shared" si="652"/>
        <v/>
      </c>
      <c r="F4194" s="31"/>
      <c r="G4194" s="29"/>
      <c r="H4194" s="78" t="str">
        <f t="shared" si="656"/>
        <v/>
      </c>
      <c r="I4194" s="25"/>
      <c r="J4194" s="25"/>
      <c r="K4194" s="26"/>
      <c r="L4194" s="26"/>
      <c r="M4194" s="37"/>
      <c r="N4194" s="27"/>
      <c r="O4194" s="30"/>
      <c r="P4194" s="39" t="str">
        <f t="shared" si="657"/>
        <v/>
      </c>
      <c r="Q4194" s="40" t="str">
        <f>IF(OR(T4194=0,RIGHT(T4194,1)=$W$1),"",COUNTIF($T$3:T4194,T4194))</f>
        <v/>
      </c>
      <c r="S4194" s="6">
        <f t="shared" si="658"/>
        <v>0</v>
      </c>
      <c r="T4194" s="36">
        <f t="shared" si="659"/>
        <v>0</v>
      </c>
      <c r="V4194" s="6">
        <f t="shared" si="660"/>
        <v>0</v>
      </c>
      <c r="Y4194" s="8">
        <f t="shared" si="661"/>
        <v>46023</v>
      </c>
    </row>
    <row r="4195" spans="2:25" ht="18.75" x14ac:dyDescent="0.3">
      <c r="B4195" s="6">
        <f t="shared" si="653"/>
        <v>0</v>
      </c>
      <c r="C4195" s="6">
        <f t="shared" si="654"/>
        <v>0</v>
      </c>
      <c r="D4195" s="6" t="str">
        <f t="shared" si="655"/>
        <v/>
      </c>
      <c r="E4195" s="35" t="str">
        <f t="shared" si="652"/>
        <v/>
      </c>
      <c r="F4195" s="31"/>
      <c r="G4195" s="29"/>
      <c r="H4195" s="78" t="str">
        <f t="shared" si="656"/>
        <v/>
      </c>
      <c r="I4195" s="25"/>
      <c r="J4195" s="25"/>
      <c r="K4195" s="26"/>
      <c r="L4195" s="26"/>
      <c r="M4195" s="37"/>
      <c r="N4195" s="27"/>
      <c r="O4195" s="30"/>
      <c r="P4195" s="39" t="str">
        <f t="shared" si="657"/>
        <v/>
      </c>
      <c r="Q4195" s="40" t="str">
        <f>IF(OR(T4195=0,RIGHT(T4195,1)=$W$1),"",COUNTIF($T$3:T4195,T4195))</f>
        <v/>
      </c>
      <c r="S4195" s="6">
        <f t="shared" si="658"/>
        <v>0</v>
      </c>
      <c r="T4195" s="36">
        <f t="shared" si="659"/>
        <v>0</v>
      </c>
      <c r="V4195" s="6">
        <f t="shared" si="660"/>
        <v>0</v>
      </c>
      <c r="Y4195" s="8">
        <f t="shared" si="661"/>
        <v>46023</v>
      </c>
    </row>
    <row r="4196" spans="2:25" ht="18.75" x14ac:dyDescent="0.3">
      <c r="B4196" s="6">
        <f t="shared" si="653"/>
        <v>0</v>
      </c>
      <c r="C4196" s="6">
        <f t="shared" si="654"/>
        <v>0</v>
      </c>
      <c r="D4196" s="6" t="str">
        <f t="shared" si="655"/>
        <v/>
      </c>
      <c r="E4196" s="35" t="str">
        <f t="shared" si="652"/>
        <v/>
      </c>
      <c r="F4196" s="31"/>
      <c r="G4196" s="29"/>
      <c r="H4196" s="78" t="str">
        <f t="shared" si="656"/>
        <v/>
      </c>
      <c r="I4196" s="25"/>
      <c r="J4196" s="25"/>
      <c r="K4196" s="26"/>
      <c r="L4196" s="26"/>
      <c r="M4196" s="37"/>
      <c r="N4196" s="27"/>
      <c r="O4196" s="30"/>
      <c r="P4196" s="39" t="str">
        <f t="shared" si="657"/>
        <v/>
      </c>
      <c r="Q4196" s="40" t="str">
        <f>IF(OR(T4196=0,RIGHT(T4196,1)=$W$1),"",COUNTIF($T$3:T4196,T4196))</f>
        <v/>
      </c>
      <c r="S4196" s="6">
        <f t="shared" si="658"/>
        <v>0</v>
      </c>
      <c r="T4196" s="36">
        <f t="shared" si="659"/>
        <v>0</v>
      </c>
      <c r="V4196" s="6">
        <f t="shared" si="660"/>
        <v>0</v>
      </c>
      <c r="Y4196" s="8">
        <f t="shared" si="661"/>
        <v>46023</v>
      </c>
    </row>
    <row r="4197" spans="2:25" ht="18.75" x14ac:dyDescent="0.3">
      <c r="B4197" s="6">
        <f t="shared" si="653"/>
        <v>0</v>
      </c>
      <c r="C4197" s="6">
        <f t="shared" si="654"/>
        <v>0</v>
      </c>
      <c r="D4197" s="6" t="str">
        <f t="shared" si="655"/>
        <v/>
      </c>
      <c r="E4197" s="35" t="str">
        <f t="shared" si="652"/>
        <v/>
      </c>
      <c r="F4197" s="31"/>
      <c r="G4197" s="29"/>
      <c r="H4197" s="78" t="str">
        <f t="shared" si="656"/>
        <v/>
      </c>
      <c r="I4197" s="25"/>
      <c r="J4197" s="25"/>
      <c r="K4197" s="26"/>
      <c r="L4197" s="26"/>
      <c r="M4197" s="37"/>
      <c r="N4197" s="27"/>
      <c r="O4197" s="30"/>
      <c r="P4197" s="39" t="str">
        <f t="shared" si="657"/>
        <v/>
      </c>
      <c r="Q4197" s="40" t="str">
        <f>IF(OR(T4197=0,RIGHT(T4197,1)=$W$1),"",COUNTIF($T$3:T4197,T4197))</f>
        <v/>
      </c>
      <c r="S4197" s="6">
        <f t="shared" si="658"/>
        <v>0</v>
      </c>
      <c r="T4197" s="36">
        <f t="shared" si="659"/>
        <v>0</v>
      </c>
      <c r="V4197" s="6">
        <f t="shared" si="660"/>
        <v>0</v>
      </c>
      <c r="Y4197" s="8">
        <f t="shared" si="661"/>
        <v>46023</v>
      </c>
    </row>
    <row r="4198" spans="2:25" ht="18.75" x14ac:dyDescent="0.3">
      <c r="B4198" s="6">
        <f t="shared" si="653"/>
        <v>0</v>
      </c>
      <c r="C4198" s="6">
        <f t="shared" si="654"/>
        <v>0</v>
      </c>
      <c r="D4198" s="6" t="str">
        <f t="shared" si="655"/>
        <v/>
      </c>
      <c r="E4198" s="35" t="str">
        <f t="shared" si="652"/>
        <v/>
      </c>
      <c r="F4198" s="31"/>
      <c r="G4198" s="29"/>
      <c r="H4198" s="78" t="str">
        <f t="shared" si="656"/>
        <v/>
      </c>
      <c r="I4198" s="25"/>
      <c r="J4198" s="25"/>
      <c r="K4198" s="26"/>
      <c r="L4198" s="26"/>
      <c r="M4198" s="37"/>
      <c r="N4198" s="27"/>
      <c r="O4198" s="30"/>
      <c r="P4198" s="39" t="str">
        <f t="shared" si="657"/>
        <v/>
      </c>
      <c r="Q4198" s="40" t="str">
        <f>IF(OR(T4198=0,RIGHT(T4198,1)=$W$1),"",COUNTIF($T$3:T4198,T4198))</f>
        <v/>
      </c>
      <c r="S4198" s="6">
        <f t="shared" si="658"/>
        <v>0</v>
      </c>
      <c r="T4198" s="36">
        <f t="shared" si="659"/>
        <v>0</v>
      </c>
      <c r="V4198" s="6">
        <f t="shared" si="660"/>
        <v>0</v>
      </c>
      <c r="Y4198" s="8">
        <f t="shared" si="661"/>
        <v>46023</v>
      </c>
    </row>
    <row r="4199" spans="2:25" ht="18.75" x14ac:dyDescent="0.3">
      <c r="B4199" s="6">
        <f t="shared" si="653"/>
        <v>0</v>
      </c>
      <c r="C4199" s="6">
        <f t="shared" si="654"/>
        <v>0</v>
      </c>
      <c r="D4199" s="6" t="str">
        <f t="shared" si="655"/>
        <v/>
      </c>
      <c r="E4199" s="35" t="str">
        <f t="shared" si="652"/>
        <v/>
      </c>
      <c r="F4199" s="31"/>
      <c r="G4199" s="29"/>
      <c r="H4199" s="78" t="str">
        <f t="shared" si="656"/>
        <v/>
      </c>
      <c r="I4199" s="25"/>
      <c r="J4199" s="25"/>
      <c r="K4199" s="26"/>
      <c r="L4199" s="26"/>
      <c r="M4199" s="37"/>
      <c r="N4199" s="27"/>
      <c r="O4199" s="30"/>
      <c r="P4199" s="39" t="str">
        <f t="shared" si="657"/>
        <v/>
      </c>
      <c r="Q4199" s="40" t="str">
        <f>IF(OR(T4199=0,RIGHT(T4199,1)=$W$1),"",COUNTIF($T$3:T4199,T4199))</f>
        <v/>
      </c>
      <c r="S4199" s="6">
        <f t="shared" si="658"/>
        <v>0</v>
      </c>
      <c r="T4199" s="36">
        <f t="shared" si="659"/>
        <v>0</v>
      </c>
      <c r="V4199" s="6">
        <f t="shared" si="660"/>
        <v>0</v>
      </c>
      <c r="Y4199" s="8">
        <f t="shared" si="661"/>
        <v>46023</v>
      </c>
    </row>
    <row r="4200" spans="2:25" ht="18.75" x14ac:dyDescent="0.3">
      <c r="B4200" s="6">
        <f t="shared" si="653"/>
        <v>0</v>
      </c>
      <c r="C4200" s="6">
        <f t="shared" si="654"/>
        <v>0</v>
      </c>
      <c r="D4200" s="6" t="str">
        <f t="shared" si="655"/>
        <v/>
      </c>
      <c r="E4200" s="35" t="str">
        <f t="shared" si="652"/>
        <v/>
      </c>
      <c r="F4200" s="31"/>
      <c r="G4200" s="29"/>
      <c r="H4200" s="78" t="str">
        <f t="shared" si="656"/>
        <v/>
      </c>
      <c r="I4200" s="25"/>
      <c r="J4200" s="25"/>
      <c r="K4200" s="26"/>
      <c r="L4200" s="26"/>
      <c r="M4200" s="37"/>
      <c r="N4200" s="27"/>
      <c r="O4200" s="30"/>
      <c r="P4200" s="39" t="str">
        <f t="shared" si="657"/>
        <v/>
      </c>
      <c r="Q4200" s="40" t="str">
        <f>IF(OR(T4200=0,RIGHT(T4200,1)=$W$1),"",COUNTIF($T$3:T4200,T4200))</f>
        <v/>
      </c>
      <c r="S4200" s="6">
        <f t="shared" si="658"/>
        <v>0</v>
      </c>
      <c r="T4200" s="36">
        <f t="shared" si="659"/>
        <v>0</v>
      </c>
      <c r="V4200" s="6">
        <f t="shared" si="660"/>
        <v>0</v>
      </c>
      <c r="Y4200" s="8">
        <f t="shared" si="661"/>
        <v>46023</v>
      </c>
    </row>
    <row r="4201" spans="2:25" ht="18.75" x14ac:dyDescent="0.3">
      <c r="B4201" s="6">
        <f t="shared" si="653"/>
        <v>0</v>
      </c>
      <c r="C4201" s="6">
        <f t="shared" si="654"/>
        <v>0</v>
      </c>
      <c r="D4201" s="6" t="str">
        <f t="shared" si="655"/>
        <v/>
      </c>
      <c r="E4201" s="35" t="str">
        <f t="shared" si="652"/>
        <v/>
      </c>
      <c r="F4201" s="31"/>
      <c r="G4201" s="29"/>
      <c r="H4201" s="78" t="str">
        <f t="shared" si="656"/>
        <v/>
      </c>
      <c r="I4201" s="25"/>
      <c r="J4201" s="25"/>
      <c r="K4201" s="26"/>
      <c r="L4201" s="26"/>
      <c r="M4201" s="37"/>
      <c r="N4201" s="27"/>
      <c r="O4201" s="30"/>
      <c r="P4201" s="39" t="str">
        <f t="shared" si="657"/>
        <v/>
      </c>
      <c r="Q4201" s="40" t="str">
        <f>IF(OR(T4201=0,RIGHT(T4201,1)=$W$1),"",COUNTIF($T$3:T4201,T4201))</f>
        <v/>
      </c>
      <c r="S4201" s="6">
        <f t="shared" si="658"/>
        <v>0</v>
      </c>
      <c r="T4201" s="36">
        <f t="shared" si="659"/>
        <v>0</v>
      </c>
      <c r="V4201" s="6">
        <f t="shared" si="660"/>
        <v>0</v>
      </c>
      <c r="Y4201" s="8">
        <f t="shared" si="661"/>
        <v>46023</v>
      </c>
    </row>
    <row r="4202" spans="2:25" ht="18.75" x14ac:dyDescent="0.3">
      <c r="B4202" s="6">
        <f t="shared" si="653"/>
        <v>0</v>
      </c>
      <c r="C4202" s="6">
        <f t="shared" si="654"/>
        <v>0</v>
      </c>
      <c r="D4202" s="6" t="str">
        <f t="shared" si="655"/>
        <v/>
      </c>
      <c r="E4202" s="35" t="str">
        <f t="shared" si="652"/>
        <v/>
      </c>
      <c r="F4202" s="31"/>
      <c r="G4202" s="29"/>
      <c r="H4202" s="78" t="str">
        <f t="shared" si="656"/>
        <v/>
      </c>
      <c r="I4202" s="25"/>
      <c r="J4202" s="25"/>
      <c r="K4202" s="26"/>
      <c r="L4202" s="26"/>
      <c r="M4202" s="37"/>
      <c r="N4202" s="27"/>
      <c r="O4202" s="30"/>
      <c r="P4202" s="39" t="str">
        <f t="shared" si="657"/>
        <v/>
      </c>
      <c r="Q4202" s="40" t="str">
        <f>IF(OR(T4202=0,RIGHT(T4202,1)=$W$1),"",COUNTIF($T$3:T4202,T4202))</f>
        <v/>
      </c>
      <c r="S4202" s="6">
        <f t="shared" si="658"/>
        <v>0</v>
      </c>
      <c r="T4202" s="36">
        <f t="shared" si="659"/>
        <v>0</v>
      </c>
      <c r="V4202" s="6">
        <f t="shared" si="660"/>
        <v>0</v>
      </c>
      <c r="Y4202" s="8">
        <f t="shared" si="661"/>
        <v>46023</v>
      </c>
    </row>
    <row r="4203" spans="2:25" ht="18.75" x14ac:dyDescent="0.3">
      <c r="B4203" s="6">
        <f t="shared" si="653"/>
        <v>0</v>
      </c>
      <c r="C4203" s="6">
        <f t="shared" si="654"/>
        <v>0</v>
      </c>
      <c r="D4203" s="6" t="str">
        <f t="shared" si="655"/>
        <v/>
      </c>
      <c r="E4203" s="35" t="str">
        <f t="shared" si="652"/>
        <v/>
      </c>
      <c r="F4203" s="31"/>
      <c r="G4203" s="29"/>
      <c r="H4203" s="78" t="str">
        <f t="shared" si="656"/>
        <v/>
      </c>
      <c r="I4203" s="25"/>
      <c r="J4203" s="25"/>
      <c r="K4203" s="26"/>
      <c r="L4203" s="26"/>
      <c r="M4203" s="37"/>
      <c r="N4203" s="27"/>
      <c r="O4203" s="30"/>
      <c r="P4203" s="39" t="str">
        <f t="shared" si="657"/>
        <v/>
      </c>
      <c r="Q4203" s="40" t="str">
        <f>IF(OR(T4203=0,RIGHT(T4203,1)=$W$1),"",COUNTIF($T$3:T4203,T4203))</f>
        <v/>
      </c>
      <c r="S4203" s="6">
        <f t="shared" si="658"/>
        <v>0</v>
      </c>
      <c r="T4203" s="36">
        <f t="shared" si="659"/>
        <v>0</v>
      </c>
      <c r="V4203" s="6">
        <f t="shared" si="660"/>
        <v>0</v>
      </c>
      <c r="Y4203" s="8">
        <f t="shared" si="661"/>
        <v>46023</v>
      </c>
    </row>
    <row r="4204" spans="2:25" ht="18.75" x14ac:dyDescent="0.3">
      <c r="B4204" s="6">
        <f t="shared" si="653"/>
        <v>0</v>
      </c>
      <c r="C4204" s="6">
        <f t="shared" si="654"/>
        <v>0</v>
      </c>
      <c r="D4204" s="6" t="str">
        <f t="shared" si="655"/>
        <v/>
      </c>
      <c r="E4204" s="35" t="str">
        <f t="shared" si="652"/>
        <v/>
      </c>
      <c r="F4204" s="31"/>
      <c r="G4204" s="29"/>
      <c r="H4204" s="78" t="str">
        <f t="shared" si="656"/>
        <v/>
      </c>
      <c r="I4204" s="25"/>
      <c r="J4204" s="25"/>
      <c r="K4204" s="26"/>
      <c r="L4204" s="26"/>
      <c r="M4204" s="37"/>
      <c r="N4204" s="27"/>
      <c r="O4204" s="30"/>
      <c r="P4204" s="39" t="str">
        <f t="shared" si="657"/>
        <v/>
      </c>
      <c r="Q4204" s="40" t="str">
        <f>IF(OR(T4204=0,RIGHT(T4204,1)=$W$1),"",COUNTIF($T$3:T4204,T4204))</f>
        <v/>
      </c>
      <c r="S4204" s="6">
        <f t="shared" si="658"/>
        <v>0</v>
      </c>
      <c r="T4204" s="36">
        <f t="shared" si="659"/>
        <v>0</v>
      </c>
      <c r="V4204" s="6">
        <f t="shared" si="660"/>
        <v>0</v>
      </c>
      <c r="Y4204" s="8">
        <f t="shared" si="661"/>
        <v>46023</v>
      </c>
    </row>
    <row r="4205" spans="2:25" ht="18.75" x14ac:dyDescent="0.3">
      <c r="B4205" s="6">
        <f t="shared" si="653"/>
        <v>0</v>
      </c>
      <c r="C4205" s="6">
        <f t="shared" si="654"/>
        <v>0</v>
      </c>
      <c r="D4205" s="6" t="str">
        <f t="shared" si="655"/>
        <v/>
      </c>
      <c r="E4205" s="35" t="str">
        <f t="shared" si="652"/>
        <v/>
      </c>
      <c r="F4205" s="31"/>
      <c r="G4205" s="29"/>
      <c r="H4205" s="78" t="str">
        <f t="shared" si="656"/>
        <v/>
      </c>
      <c r="I4205" s="25"/>
      <c r="J4205" s="25"/>
      <c r="K4205" s="26"/>
      <c r="L4205" s="26"/>
      <c r="M4205" s="37"/>
      <c r="N4205" s="27"/>
      <c r="O4205" s="30"/>
      <c r="P4205" s="39" t="str">
        <f t="shared" si="657"/>
        <v/>
      </c>
      <c r="Q4205" s="40" t="str">
        <f>IF(OR(T4205=0,RIGHT(T4205,1)=$W$1),"",COUNTIF($T$3:T4205,T4205))</f>
        <v/>
      </c>
      <c r="S4205" s="6">
        <f t="shared" si="658"/>
        <v>0</v>
      </c>
      <c r="T4205" s="36">
        <f t="shared" si="659"/>
        <v>0</v>
      </c>
      <c r="V4205" s="6">
        <f t="shared" si="660"/>
        <v>0</v>
      </c>
      <c r="Y4205" s="8">
        <f t="shared" si="661"/>
        <v>46023</v>
      </c>
    </row>
    <row r="4206" spans="2:25" ht="18.75" x14ac:dyDescent="0.3">
      <c r="B4206" s="6">
        <f t="shared" si="653"/>
        <v>0</v>
      </c>
      <c r="C4206" s="6">
        <f t="shared" si="654"/>
        <v>0</v>
      </c>
      <c r="D4206" s="6" t="str">
        <f t="shared" si="655"/>
        <v/>
      </c>
      <c r="E4206" s="35" t="str">
        <f t="shared" si="652"/>
        <v/>
      </c>
      <c r="F4206" s="31"/>
      <c r="G4206" s="29"/>
      <c r="H4206" s="78" t="str">
        <f t="shared" si="656"/>
        <v/>
      </c>
      <c r="I4206" s="25"/>
      <c r="J4206" s="25"/>
      <c r="K4206" s="26"/>
      <c r="L4206" s="26"/>
      <c r="M4206" s="37"/>
      <c r="N4206" s="27"/>
      <c r="O4206" s="30"/>
      <c r="P4206" s="39" t="str">
        <f t="shared" si="657"/>
        <v/>
      </c>
      <c r="Q4206" s="40" t="str">
        <f>IF(OR(T4206=0,RIGHT(T4206,1)=$W$1),"",COUNTIF($T$3:T4206,T4206))</f>
        <v/>
      </c>
      <c r="S4206" s="6">
        <f t="shared" si="658"/>
        <v>0</v>
      </c>
      <c r="T4206" s="36">
        <f t="shared" si="659"/>
        <v>0</v>
      </c>
      <c r="V4206" s="6">
        <f t="shared" si="660"/>
        <v>0</v>
      </c>
      <c r="Y4206" s="8">
        <f t="shared" si="661"/>
        <v>46023</v>
      </c>
    </row>
    <row r="4207" spans="2:25" ht="18.75" x14ac:dyDescent="0.3">
      <c r="B4207" s="6">
        <f t="shared" si="653"/>
        <v>0</v>
      </c>
      <c r="C4207" s="6">
        <f t="shared" si="654"/>
        <v>0</v>
      </c>
      <c r="D4207" s="6" t="str">
        <f t="shared" si="655"/>
        <v/>
      </c>
      <c r="E4207" s="35" t="str">
        <f t="shared" si="652"/>
        <v/>
      </c>
      <c r="F4207" s="31"/>
      <c r="G4207" s="29"/>
      <c r="H4207" s="78" t="str">
        <f t="shared" si="656"/>
        <v/>
      </c>
      <c r="I4207" s="25"/>
      <c r="J4207" s="25"/>
      <c r="K4207" s="26"/>
      <c r="L4207" s="26"/>
      <c r="M4207" s="37"/>
      <c r="N4207" s="27"/>
      <c r="O4207" s="30"/>
      <c r="P4207" s="39" t="str">
        <f t="shared" si="657"/>
        <v/>
      </c>
      <c r="Q4207" s="40" t="str">
        <f>IF(OR(T4207=0,RIGHT(T4207,1)=$W$1),"",COUNTIF($T$3:T4207,T4207))</f>
        <v/>
      </c>
      <c r="S4207" s="6">
        <f t="shared" si="658"/>
        <v>0</v>
      </c>
      <c r="T4207" s="36">
        <f t="shared" si="659"/>
        <v>0</v>
      </c>
      <c r="V4207" s="6">
        <f t="shared" si="660"/>
        <v>0</v>
      </c>
      <c r="Y4207" s="8">
        <f t="shared" si="661"/>
        <v>46023</v>
      </c>
    </row>
    <row r="4208" spans="2:25" ht="18.75" x14ac:dyDescent="0.3">
      <c r="B4208" s="6">
        <f t="shared" si="653"/>
        <v>0</v>
      </c>
      <c r="C4208" s="6">
        <f t="shared" si="654"/>
        <v>0</v>
      </c>
      <c r="D4208" s="6" t="str">
        <f t="shared" si="655"/>
        <v/>
      </c>
      <c r="E4208" s="35" t="str">
        <f t="shared" si="652"/>
        <v/>
      </c>
      <c r="F4208" s="31"/>
      <c r="G4208" s="29"/>
      <c r="H4208" s="78" t="str">
        <f t="shared" si="656"/>
        <v/>
      </c>
      <c r="I4208" s="25"/>
      <c r="J4208" s="25"/>
      <c r="K4208" s="26"/>
      <c r="L4208" s="26"/>
      <c r="M4208" s="37"/>
      <c r="N4208" s="27"/>
      <c r="O4208" s="30"/>
      <c r="P4208" s="39" t="str">
        <f t="shared" si="657"/>
        <v/>
      </c>
      <c r="Q4208" s="40" t="str">
        <f>IF(OR(T4208=0,RIGHT(T4208,1)=$W$1),"",COUNTIF($T$3:T4208,T4208))</f>
        <v/>
      </c>
      <c r="S4208" s="6">
        <f t="shared" si="658"/>
        <v>0</v>
      </c>
      <c r="T4208" s="36">
        <f t="shared" si="659"/>
        <v>0</v>
      </c>
      <c r="V4208" s="6">
        <f t="shared" si="660"/>
        <v>0</v>
      </c>
      <c r="Y4208" s="8">
        <f t="shared" si="661"/>
        <v>46023</v>
      </c>
    </row>
    <row r="4209" spans="2:25" ht="18.75" x14ac:dyDescent="0.3">
      <c r="B4209" s="6">
        <f t="shared" si="653"/>
        <v>0</v>
      </c>
      <c r="C4209" s="6">
        <f t="shared" si="654"/>
        <v>0</v>
      </c>
      <c r="D4209" s="6" t="str">
        <f t="shared" si="655"/>
        <v/>
      </c>
      <c r="E4209" s="35" t="str">
        <f t="shared" si="652"/>
        <v/>
      </c>
      <c r="F4209" s="31"/>
      <c r="G4209" s="29"/>
      <c r="H4209" s="78" t="str">
        <f t="shared" si="656"/>
        <v/>
      </c>
      <c r="I4209" s="25"/>
      <c r="J4209" s="25"/>
      <c r="K4209" s="26"/>
      <c r="L4209" s="26"/>
      <c r="M4209" s="37"/>
      <c r="N4209" s="27"/>
      <c r="O4209" s="30"/>
      <c r="P4209" s="39" t="str">
        <f t="shared" si="657"/>
        <v/>
      </c>
      <c r="Q4209" s="40" t="str">
        <f>IF(OR(T4209=0,RIGHT(T4209,1)=$W$1),"",COUNTIF($T$3:T4209,T4209))</f>
        <v/>
      </c>
      <c r="S4209" s="6">
        <f t="shared" si="658"/>
        <v>0</v>
      </c>
      <c r="T4209" s="36">
        <f t="shared" si="659"/>
        <v>0</v>
      </c>
      <c r="V4209" s="6">
        <f t="shared" si="660"/>
        <v>0</v>
      </c>
      <c r="Y4209" s="8">
        <f t="shared" si="661"/>
        <v>46023</v>
      </c>
    </row>
    <row r="4210" spans="2:25" ht="18.75" x14ac:dyDescent="0.3">
      <c r="B4210" s="6">
        <f t="shared" si="653"/>
        <v>0</v>
      </c>
      <c r="C4210" s="6">
        <f t="shared" si="654"/>
        <v>0</v>
      </c>
      <c r="D4210" s="6" t="str">
        <f t="shared" si="655"/>
        <v/>
      </c>
      <c r="E4210" s="35" t="str">
        <f t="shared" si="652"/>
        <v/>
      </c>
      <c r="F4210" s="31"/>
      <c r="G4210" s="29"/>
      <c r="H4210" s="78" t="str">
        <f t="shared" si="656"/>
        <v/>
      </c>
      <c r="I4210" s="25"/>
      <c r="J4210" s="25"/>
      <c r="K4210" s="26"/>
      <c r="L4210" s="26"/>
      <c r="M4210" s="37"/>
      <c r="N4210" s="27"/>
      <c r="O4210" s="30"/>
      <c r="P4210" s="39" t="str">
        <f t="shared" si="657"/>
        <v/>
      </c>
      <c r="Q4210" s="40" t="str">
        <f>IF(OR(T4210=0,RIGHT(T4210,1)=$W$1),"",COUNTIF($T$3:T4210,T4210))</f>
        <v/>
      </c>
      <c r="S4210" s="6">
        <f t="shared" si="658"/>
        <v>0</v>
      </c>
      <c r="T4210" s="36">
        <f t="shared" si="659"/>
        <v>0</v>
      </c>
      <c r="V4210" s="6">
        <f t="shared" si="660"/>
        <v>0</v>
      </c>
      <c r="Y4210" s="8">
        <f t="shared" si="661"/>
        <v>46023</v>
      </c>
    </row>
    <row r="4211" spans="2:25" ht="18.75" x14ac:dyDescent="0.3">
      <c r="B4211" s="6">
        <f t="shared" si="653"/>
        <v>0</v>
      </c>
      <c r="C4211" s="6">
        <f t="shared" si="654"/>
        <v>0</v>
      </c>
      <c r="D4211" s="6" t="str">
        <f t="shared" si="655"/>
        <v/>
      </c>
      <c r="E4211" s="35" t="str">
        <f t="shared" si="652"/>
        <v/>
      </c>
      <c r="F4211" s="31"/>
      <c r="G4211" s="29"/>
      <c r="H4211" s="78" t="str">
        <f t="shared" si="656"/>
        <v/>
      </c>
      <c r="I4211" s="25"/>
      <c r="J4211" s="25"/>
      <c r="K4211" s="26"/>
      <c r="L4211" s="26"/>
      <c r="M4211" s="37"/>
      <c r="N4211" s="27"/>
      <c r="O4211" s="30"/>
      <c r="P4211" s="39" t="str">
        <f t="shared" si="657"/>
        <v/>
      </c>
      <c r="Q4211" s="40" t="str">
        <f>IF(OR(T4211=0,RIGHT(T4211,1)=$W$1),"",COUNTIF($T$3:T4211,T4211))</f>
        <v/>
      </c>
      <c r="S4211" s="6">
        <f t="shared" si="658"/>
        <v>0</v>
      </c>
      <c r="T4211" s="36">
        <f t="shared" si="659"/>
        <v>0</v>
      </c>
      <c r="V4211" s="6">
        <f t="shared" si="660"/>
        <v>0</v>
      </c>
      <c r="Y4211" s="8">
        <f t="shared" si="661"/>
        <v>46023</v>
      </c>
    </row>
    <row r="4212" spans="2:25" ht="18.75" x14ac:dyDescent="0.3">
      <c r="B4212" s="6">
        <f t="shared" si="653"/>
        <v>0</v>
      </c>
      <c r="C4212" s="6">
        <f t="shared" si="654"/>
        <v>0</v>
      </c>
      <c r="D4212" s="6" t="str">
        <f t="shared" si="655"/>
        <v/>
      </c>
      <c r="E4212" s="35" t="str">
        <f t="shared" si="652"/>
        <v/>
      </c>
      <c r="F4212" s="31"/>
      <c r="G4212" s="29"/>
      <c r="H4212" s="78" t="str">
        <f t="shared" si="656"/>
        <v/>
      </c>
      <c r="I4212" s="25"/>
      <c r="J4212" s="25"/>
      <c r="K4212" s="26"/>
      <c r="L4212" s="26"/>
      <c r="M4212" s="37"/>
      <c r="N4212" s="27"/>
      <c r="O4212" s="30"/>
      <c r="P4212" s="39" t="str">
        <f t="shared" si="657"/>
        <v/>
      </c>
      <c r="Q4212" s="40" t="str">
        <f>IF(OR(T4212=0,RIGHT(T4212,1)=$W$1),"",COUNTIF($T$3:T4212,T4212))</f>
        <v/>
      </c>
      <c r="S4212" s="6">
        <f t="shared" si="658"/>
        <v>0</v>
      </c>
      <c r="T4212" s="36">
        <f t="shared" si="659"/>
        <v>0</v>
      </c>
      <c r="V4212" s="6">
        <f t="shared" si="660"/>
        <v>0</v>
      </c>
      <c r="Y4212" s="8">
        <f t="shared" si="661"/>
        <v>46023</v>
      </c>
    </row>
    <row r="4213" spans="2:25" ht="18.75" x14ac:dyDescent="0.3">
      <c r="B4213" s="6">
        <f t="shared" si="653"/>
        <v>0</v>
      </c>
      <c r="C4213" s="6">
        <f t="shared" si="654"/>
        <v>0</v>
      </c>
      <c r="D4213" s="6" t="str">
        <f t="shared" si="655"/>
        <v/>
      </c>
      <c r="E4213" s="35" t="str">
        <f t="shared" si="652"/>
        <v/>
      </c>
      <c r="F4213" s="31"/>
      <c r="G4213" s="29"/>
      <c r="H4213" s="78" t="str">
        <f t="shared" si="656"/>
        <v/>
      </c>
      <c r="I4213" s="25"/>
      <c r="J4213" s="25"/>
      <c r="K4213" s="26"/>
      <c r="L4213" s="26"/>
      <c r="M4213" s="37"/>
      <c r="N4213" s="27"/>
      <c r="O4213" s="30"/>
      <c r="P4213" s="39" t="str">
        <f t="shared" si="657"/>
        <v/>
      </c>
      <c r="Q4213" s="40" t="str">
        <f>IF(OR(T4213=0,RIGHT(T4213,1)=$W$1),"",COUNTIF($T$3:T4213,T4213))</f>
        <v/>
      </c>
      <c r="S4213" s="6">
        <f t="shared" si="658"/>
        <v>0</v>
      </c>
      <c r="T4213" s="36">
        <f t="shared" si="659"/>
        <v>0</v>
      </c>
      <c r="V4213" s="6">
        <f t="shared" si="660"/>
        <v>0</v>
      </c>
      <c r="Y4213" s="8">
        <f t="shared" si="661"/>
        <v>46023</v>
      </c>
    </row>
    <row r="4214" spans="2:25" ht="18.75" x14ac:dyDescent="0.3">
      <c r="B4214" s="6">
        <f t="shared" si="653"/>
        <v>0</v>
      </c>
      <c r="C4214" s="6">
        <f t="shared" si="654"/>
        <v>0</v>
      </c>
      <c r="D4214" s="6" t="str">
        <f t="shared" si="655"/>
        <v/>
      </c>
      <c r="E4214" s="35" t="str">
        <f t="shared" si="652"/>
        <v/>
      </c>
      <c r="F4214" s="31"/>
      <c r="G4214" s="29"/>
      <c r="H4214" s="78" t="str">
        <f t="shared" si="656"/>
        <v/>
      </c>
      <c r="I4214" s="25"/>
      <c r="J4214" s="25"/>
      <c r="K4214" s="26"/>
      <c r="L4214" s="26"/>
      <c r="M4214" s="37"/>
      <c r="N4214" s="27"/>
      <c r="O4214" s="30"/>
      <c r="P4214" s="39" t="str">
        <f t="shared" si="657"/>
        <v/>
      </c>
      <c r="Q4214" s="40" t="str">
        <f>IF(OR(T4214=0,RIGHT(T4214,1)=$W$1),"",COUNTIF($T$3:T4214,T4214))</f>
        <v/>
      </c>
      <c r="S4214" s="6">
        <f t="shared" si="658"/>
        <v>0</v>
      </c>
      <c r="T4214" s="36">
        <f t="shared" si="659"/>
        <v>0</v>
      </c>
      <c r="V4214" s="6">
        <f t="shared" si="660"/>
        <v>0</v>
      </c>
      <c r="Y4214" s="8">
        <f t="shared" si="661"/>
        <v>46023</v>
      </c>
    </row>
    <row r="4215" spans="2:25" ht="18.75" x14ac:dyDescent="0.3">
      <c r="B4215" s="6">
        <f t="shared" si="653"/>
        <v>0</v>
      </c>
      <c r="C4215" s="6">
        <f t="shared" si="654"/>
        <v>0</v>
      </c>
      <c r="D4215" s="6" t="str">
        <f t="shared" si="655"/>
        <v/>
      </c>
      <c r="E4215" s="35" t="str">
        <f t="shared" si="652"/>
        <v/>
      </c>
      <c r="F4215" s="31"/>
      <c r="G4215" s="29"/>
      <c r="H4215" s="78" t="str">
        <f t="shared" si="656"/>
        <v/>
      </c>
      <c r="I4215" s="25"/>
      <c r="J4215" s="25"/>
      <c r="K4215" s="26"/>
      <c r="L4215" s="26"/>
      <c r="M4215" s="37"/>
      <c r="N4215" s="27"/>
      <c r="O4215" s="30"/>
      <c r="P4215" s="39" t="str">
        <f t="shared" si="657"/>
        <v/>
      </c>
      <c r="Q4215" s="40" t="str">
        <f>IF(OR(T4215=0,RIGHT(T4215,1)=$W$1),"",COUNTIF($T$3:T4215,T4215))</f>
        <v/>
      </c>
      <c r="S4215" s="6">
        <f t="shared" si="658"/>
        <v>0</v>
      </c>
      <c r="T4215" s="36">
        <f t="shared" si="659"/>
        <v>0</v>
      </c>
      <c r="V4215" s="6">
        <f t="shared" si="660"/>
        <v>0</v>
      </c>
      <c r="Y4215" s="8">
        <f t="shared" si="661"/>
        <v>46023</v>
      </c>
    </row>
    <row r="4216" spans="2:25" ht="18.75" x14ac:dyDescent="0.3">
      <c r="B4216" s="6">
        <f t="shared" si="653"/>
        <v>0</v>
      </c>
      <c r="C4216" s="6">
        <f t="shared" si="654"/>
        <v>0</v>
      </c>
      <c r="D4216" s="6" t="str">
        <f t="shared" si="655"/>
        <v/>
      </c>
      <c r="E4216" s="35" t="str">
        <f t="shared" si="652"/>
        <v/>
      </c>
      <c r="F4216" s="31"/>
      <c r="G4216" s="29"/>
      <c r="H4216" s="78" t="str">
        <f t="shared" si="656"/>
        <v/>
      </c>
      <c r="I4216" s="25"/>
      <c r="J4216" s="25"/>
      <c r="K4216" s="26"/>
      <c r="L4216" s="26"/>
      <c r="M4216" s="37"/>
      <c r="N4216" s="27"/>
      <c r="O4216" s="30"/>
      <c r="P4216" s="39" t="str">
        <f t="shared" si="657"/>
        <v/>
      </c>
      <c r="Q4216" s="40" t="str">
        <f>IF(OR(T4216=0,RIGHT(T4216,1)=$W$1),"",COUNTIF($T$3:T4216,T4216))</f>
        <v/>
      </c>
      <c r="S4216" s="6">
        <f t="shared" si="658"/>
        <v>0</v>
      </c>
      <c r="T4216" s="36">
        <f t="shared" si="659"/>
        <v>0</v>
      </c>
      <c r="V4216" s="6">
        <f t="shared" si="660"/>
        <v>0</v>
      </c>
      <c r="Y4216" s="8">
        <f t="shared" si="661"/>
        <v>46023</v>
      </c>
    </row>
    <row r="4217" spans="2:25" ht="18.75" x14ac:dyDescent="0.3">
      <c r="B4217" s="6">
        <f t="shared" si="653"/>
        <v>0</v>
      </c>
      <c r="C4217" s="6">
        <f t="shared" si="654"/>
        <v>0</v>
      </c>
      <c r="D4217" s="6" t="str">
        <f t="shared" si="655"/>
        <v/>
      </c>
      <c r="E4217" s="35" t="str">
        <f t="shared" si="652"/>
        <v/>
      </c>
      <c r="F4217" s="31"/>
      <c r="G4217" s="29"/>
      <c r="H4217" s="78" t="str">
        <f t="shared" si="656"/>
        <v/>
      </c>
      <c r="I4217" s="25"/>
      <c r="J4217" s="25"/>
      <c r="K4217" s="26"/>
      <c r="L4217" s="26"/>
      <c r="M4217" s="37"/>
      <c r="N4217" s="27"/>
      <c r="O4217" s="30"/>
      <c r="P4217" s="39" t="str">
        <f t="shared" si="657"/>
        <v/>
      </c>
      <c r="Q4217" s="40" t="str">
        <f>IF(OR(T4217=0,RIGHT(T4217,1)=$W$1),"",COUNTIF($T$3:T4217,T4217))</f>
        <v/>
      </c>
      <c r="S4217" s="6">
        <f t="shared" si="658"/>
        <v>0</v>
      </c>
      <c r="T4217" s="36">
        <f t="shared" si="659"/>
        <v>0</v>
      </c>
      <c r="V4217" s="6">
        <f t="shared" si="660"/>
        <v>0</v>
      </c>
      <c r="Y4217" s="8">
        <f t="shared" si="661"/>
        <v>46023</v>
      </c>
    </row>
    <row r="4218" spans="2:25" ht="18.75" x14ac:dyDescent="0.3">
      <c r="B4218" s="6">
        <f t="shared" si="653"/>
        <v>0</v>
      </c>
      <c r="C4218" s="6">
        <f t="shared" si="654"/>
        <v>0</v>
      </c>
      <c r="D4218" s="6" t="str">
        <f t="shared" si="655"/>
        <v/>
      </c>
      <c r="E4218" s="35" t="str">
        <f t="shared" si="652"/>
        <v/>
      </c>
      <c r="F4218" s="31"/>
      <c r="G4218" s="29"/>
      <c r="H4218" s="78" t="str">
        <f t="shared" si="656"/>
        <v/>
      </c>
      <c r="I4218" s="25"/>
      <c r="J4218" s="25"/>
      <c r="K4218" s="26"/>
      <c r="L4218" s="26"/>
      <c r="M4218" s="37"/>
      <c r="N4218" s="27"/>
      <c r="O4218" s="30"/>
      <c r="P4218" s="39" t="str">
        <f t="shared" si="657"/>
        <v/>
      </c>
      <c r="Q4218" s="40" t="str">
        <f>IF(OR(T4218=0,RIGHT(T4218,1)=$W$1),"",COUNTIF($T$3:T4218,T4218))</f>
        <v/>
      </c>
      <c r="S4218" s="6">
        <f t="shared" si="658"/>
        <v>0</v>
      </c>
      <c r="T4218" s="36">
        <f t="shared" si="659"/>
        <v>0</v>
      </c>
      <c r="V4218" s="6">
        <f t="shared" si="660"/>
        <v>0</v>
      </c>
      <c r="Y4218" s="8">
        <f t="shared" si="661"/>
        <v>46023</v>
      </c>
    </row>
    <row r="4219" spans="2:25" ht="18.75" x14ac:dyDescent="0.3">
      <c r="B4219" s="6">
        <f t="shared" si="653"/>
        <v>0</v>
      </c>
      <c r="C4219" s="6">
        <f t="shared" si="654"/>
        <v>0</v>
      </c>
      <c r="D4219" s="6" t="str">
        <f t="shared" si="655"/>
        <v/>
      </c>
      <c r="E4219" s="35" t="str">
        <f t="shared" si="652"/>
        <v/>
      </c>
      <c r="F4219" s="31"/>
      <c r="G4219" s="29"/>
      <c r="H4219" s="78" t="str">
        <f t="shared" si="656"/>
        <v/>
      </c>
      <c r="I4219" s="25"/>
      <c r="J4219" s="25"/>
      <c r="K4219" s="26"/>
      <c r="L4219" s="26"/>
      <c r="M4219" s="37"/>
      <c r="N4219" s="27"/>
      <c r="O4219" s="30"/>
      <c r="P4219" s="39" t="str">
        <f t="shared" si="657"/>
        <v/>
      </c>
      <c r="Q4219" s="40" t="str">
        <f>IF(OR(T4219=0,RIGHT(T4219,1)=$W$1),"",COUNTIF($T$3:T4219,T4219))</f>
        <v/>
      </c>
      <c r="S4219" s="6">
        <f t="shared" si="658"/>
        <v>0</v>
      </c>
      <c r="T4219" s="36">
        <f t="shared" si="659"/>
        <v>0</v>
      </c>
      <c r="V4219" s="6">
        <f t="shared" si="660"/>
        <v>0</v>
      </c>
      <c r="Y4219" s="8">
        <f t="shared" si="661"/>
        <v>46023</v>
      </c>
    </row>
    <row r="4220" spans="2:25" ht="18.75" x14ac:dyDescent="0.3">
      <c r="B4220" s="6">
        <f t="shared" si="653"/>
        <v>0</v>
      </c>
      <c r="C4220" s="6">
        <f t="shared" si="654"/>
        <v>0</v>
      </c>
      <c r="D4220" s="6" t="str">
        <f t="shared" si="655"/>
        <v/>
      </c>
      <c r="E4220" s="35" t="str">
        <f t="shared" si="652"/>
        <v/>
      </c>
      <c r="F4220" s="31"/>
      <c r="G4220" s="29"/>
      <c r="H4220" s="78" t="str">
        <f t="shared" si="656"/>
        <v/>
      </c>
      <c r="I4220" s="25"/>
      <c r="J4220" s="25"/>
      <c r="K4220" s="26"/>
      <c r="L4220" s="26"/>
      <c r="M4220" s="37"/>
      <c r="N4220" s="27"/>
      <c r="O4220" s="30"/>
      <c r="P4220" s="39" t="str">
        <f t="shared" si="657"/>
        <v/>
      </c>
      <c r="Q4220" s="40" t="str">
        <f>IF(OR(T4220=0,RIGHT(T4220,1)=$W$1),"",COUNTIF($T$3:T4220,T4220))</f>
        <v/>
      </c>
      <c r="S4220" s="6">
        <f t="shared" si="658"/>
        <v>0</v>
      </c>
      <c r="T4220" s="36">
        <f t="shared" si="659"/>
        <v>0</v>
      </c>
      <c r="V4220" s="6">
        <f t="shared" si="660"/>
        <v>0</v>
      </c>
      <c r="Y4220" s="8">
        <f t="shared" si="661"/>
        <v>46023</v>
      </c>
    </row>
    <row r="4221" spans="2:25" ht="18.75" x14ac:dyDescent="0.3">
      <c r="B4221" s="6">
        <f t="shared" si="653"/>
        <v>0</v>
      </c>
      <c r="C4221" s="6">
        <f t="shared" si="654"/>
        <v>0</v>
      </c>
      <c r="D4221" s="6" t="str">
        <f t="shared" si="655"/>
        <v/>
      </c>
      <c r="E4221" s="35" t="str">
        <f t="shared" si="652"/>
        <v/>
      </c>
      <c r="F4221" s="31"/>
      <c r="G4221" s="29"/>
      <c r="H4221" s="78" t="str">
        <f t="shared" si="656"/>
        <v/>
      </c>
      <c r="I4221" s="25"/>
      <c r="J4221" s="25"/>
      <c r="K4221" s="26"/>
      <c r="L4221" s="26"/>
      <c r="M4221" s="37"/>
      <c r="N4221" s="27"/>
      <c r="O4221" s="30"/>
      <c r="P4221" s="39" t="str">
        <f t="shared" si="657"/>
        <v/>
      </c>
      <c r="Q4221" s="40" t="str">
        <f>IF(OR(T4221=0,RIGHT(T4221,1)=$W$1),"",COUNTIF($T$3:T4221,T4221))</f>
        <v/>
      </c>
      <c r="S4221" s="6">
        <f t="shared" si="658"/>
        <v>0</v>
      </c>
      <c r="T4221" s="36">
        <f t="shared" si="659"/>
        <v>0</v>
      </c>
      <c r="V4221" s="6">
        <f t="shared" si="660"/>
        <v>0</v>
      </c>
      <c r="Y4221" s="8">
        <f t="shared" si="661"/>
        <v>46023</v>
      </c>
    </row>
    <row r="4222" spans="2:25" ht="18.75" x14ac:dyDescent="0.3">
      <c r="B4222" s="6">
        <f t="shared" si="653"/>
        <v>0</v>
      </c>
      <c r="C4222" s="6">
        <f t="shared" si="654"/>
        <v>0</v>
      </c>
      <c r="D4222" s="6" t="str">
        <f t="shared" si="655"/>
        <v/>
      </c>
      <c r="E4222" s="35" t="str">
        <f t="shared" si="652"/>
        <v/>
      </c>
      <c r="F4222" s="31"/>
      <c r="G4222" s="29"/>
      <c r="H4222" s="78" t="str">
        <f t="shared" si="656"/>
        <v/>
      </c>
      <c r="I4222" s="25"/>
      <c r="J4222" s="25"/>
      <c r="K4222" s="26"/>
      <c r="L4222" s="26"/>
      <c r="M4222" s="37"/>
      <c r="N4222" s="27"/>
      <c r="O4222" s="30"/>
      <c r="P4222" s="39" t="str">
        <f t="shared" si="657"/>
        <v/>
      </c>
      <c r="Q4222" s="40" t="str">
        <f>IF(OR(T4222=0,RIGHT(T4222,1)=$W$1),"",COUNTIF($T$3:T4222,T4222))</f>
        <v/>
      </c>
      <c r="S4222" s="6">
        <f t="shared" si="658"/>
        <v>0</v>
      </c>
      <c r="T4222" s="36">
        <f t="shared" si="659"/>
        <v>0</v>
      </c>
      <c r="V4222" s="6">
        <f t="shared" si="660"/>
        <v>0</v>
      </c>
      <c r="Y4222" s="8">
        <f t="shared" si="661"/>
        <v>46023</v>
      </c>
    </row>
    <row r="4223" spans="2:25" ht="18.75" x14ac:dyDescent="0.3">
      <c r="B4223" s="6">
        <f t="shared" si="653"/>
        <v>0</v>
      </c>
      <c r="C4223" s="6">
        <f t="shared" si="654"/>
        <v>0</v>
      </c>
      <c r="D4223" s="6" t="str">
        <f t="shared" si="655"/>
        <v/>
      </c>
      <c r="E4223" s="35" t="str">
        <f t="shared" si="652"/>
        <v/>
      </c>
      <c r="F4223" s="31"/>
      <c r="G4223" s="29"/>
      <c r="H4223" s="78" t="str">
        <f t="shared" si="656"/>
        <v/>
      </c>
      <c r="I4223" s="25"/>
      <c r="J4223" s="25"/>
      <c r="K4223" s="26"/>
      <c r="L4223" s="26"/>
      <c r="M4223" s="37"/>
      <c r="N4223" s="27"/>
      <c r="O4223" s="30"/>
      <c r="P4223" s="39" t="str">
        <f t="shared" si="657"/>
        <v/>
      </c>
      <c r="Q4223" s="40" t="str">
        <f>IF(OR(T4223=0,RIGHT(T4223,1)=$W$1),"",COUNTIF($T$3:T4223,T4223))</f>
        <v/>
      </c>
      <c r="S4223" s="6">
        <f t="shared" si="658"/>
        <v>0</v>
      </c>
      <c r="T4223" s="36">
        <f t="shared" si="659"/>
        <v>0</v>
      </c>
      <c r="V4223" s="6">
        <f t="shared" si="660"/>
        <v>0</v>
      </c>
      <c r="Y4223" s="8">
        <f t="shared" si="661"/>
        <v>46023</v>
      </c>
    </row>
    <row r="4224" spans="2:25" ht="18.75" x14ac:dyDescent="0.3">
      <c r="B4224" s="6">
        <f t="shared" si="653"/>
        <v>0</v>
      </c>
      <c r="C4224" s="6">
        <f t="shared" si="654"/>
        <v>0</v>
      </c>
      <c r="D4224" s="6" t="str">
        <f t="shared" si="655"/>
        <v/>
      </c>
      <c r="E4224" s="35" t="str">
        <f t="shared" si="652"/>
        <v/>
      </c>
      <c r="F4224" s="31"/>
      <c r="G4224" s="29"/>
      <c r="H4224" s="78" t="str">
        <f t="shared" si="656"/>
        <v/>
      </c>
      <c r="I4224" s="25"/>
      <c r="J4224" s="25"/>
      <c r="K4224" s="26"/>
      <c r="L4224" s="26"/>
      <c r="M4224" s="37"/>
      <c r="N4224" s="27"/>
      <c r="O4224" s="30"/>
      <c r="P4224" s="39" t="str">
        <f t="shared" si="657"/>
        <v/>
      </c>
      <c r="Q4224" s="40" t="str">
        <f>IF(OR(T4224=0,RIGHT(T4224,1)=$W$1),"",COUNTIF($T$3:T4224,T4224))</f>
        <v/>
      </c>
      <c r="S4224" s="6">
        <f t="shared" si="658"/>
        <v>0</v>
      </c>
      <c r="T4224" s="36">
        <f t="shared" si="659"/>
        <v>0</v>
      </c>
      <c r="V4224" s="6">
        <f t="shared" si="660"/>
        <v>0</v>
      </c>
      <c r="Y4224" s="8">
        <f t="shared" si="661"/>
        <v>46023</v>
      </c>
    </row>
    <row r="4225" spans="2:25" ht="18.75" x14ac:dyDescent="0.3">
      <c r="B4225" s="6">
        <f t="shared" si="653"/>
        <v>0</v>
      </c>
      <c r="C4225" s="6">
        <f t="shared" si="654"/>
        <v>0</v>
      </c>
      <c r="D4225" s="6" t="str">
        <f t="shared" si="655"/>
        <v/>
      </c>
      <c r="E4225" s="35" t="str">
        <f t="shared" si="652"/>
        <v/>
      </c>
      <c r="F4225" s="31"/>
      <c r="G4225" s="29"/>
      <c r="H4225" s="78" t="str">
        <f t="shared" si="656"/>
        <v/>
      </c>
      <c r="I4225" s="25"/>
      <c r="J4225" s="25"/>
      <c r="K4225" s="26"/>
      <c r="L4225" s="26"/>
      <c r="M4225" s="37"/>
      <c r="N4225" s="27"/>
      <c r="O4225" s="30"/>
      <c r="P4225" s="39" t="str">
        <f t="shared" si="657"/>
        <v/>
      </c>
      <c r="Q4225" s="40" t="str">
        <f>IF(OR(T4225=0,RIGHT(T4225,1)=$W$1),"",COUNTIF($T$3:T4225,T4225))</f>
        <v/>
      </c>
      <c r="S4225" s="6">
        <f t="shared" si="658"/>
        <v>0</v>
      </c>
      <c r="T4225" s="36">
        <f t="shared" si="659"/>
        <v>0</v>
      </c>
      <c r="V4225" s="6">
        <f t="shared" si="660"/>
        <v>0</v>
      </c>
      <c r="Y4225" s="8">
        <f t="shared" si="661"/>
        <v>46023</v>
      </c>
    </row>
    <row r="4226" spans="2:25" ht="18.75" x14ac:dyDescent="0.3">
      <c r="B4226" s="6">
        <f t="shared" si="653"/>
        <v>0</v>
      </c>
      <c r="C4226" s="6">
        <f t="shared" si="654"/>
        <v>0</v>
      </c>
      <c r="D4226" s="6" t="str">
        <f t="shared" si="655"/>
        <v/>
      </c>
      <c r="E4226" s="35" t="str">
        <f t="shared" si="652"/>
        <v/>
      </c>
      <c r="F4226" s="31"/>
      <c r="G4226" s="29"/>
      <c r="H4226" s="78" t="str">
        <f t="shared" si="656"/>
        <v/>
      </c>
      <c r="I4226" s="25"/>
      <c r="J4226" s="25"/>
      <c r="K4226" s="26"/>
      <c r="L4226" s="26"/>
      <c r="M4226" s="37"/>
      <c r="N4226" s="27"/>
      <c r="O4226" s="30"/>
      <c r="P4226" s="39" t="str">
        <f t="shared" si="657"/>
        <v/>
      </c>
      <c r="Q4226" s="40" t="str">
        <f>IF(OR(T4226=0,RIGHT(T4226,1)=$W$1),"",COUNTIF($T$3:T4226,T4226))</f>
        <v/>
      </c>
      <c r="S4226" s="6">
        <f t="shared" si="658"/>
        <v>0</v>
      </c>
      <c r="T4226" s="36">
        <f t="shared" si="659"/>
        <v>0</v>
      </c>
      <c r="V4226" s="6">
        <f t="shared" si="660"/>
        <v>0</v>
      </c>
      <c r="Y4226" s="8">
        <f t="shared" si="661"/>
        <v>46023</v>
      </c>
    </row>
    <row r="4227" spans="2:25" ht="18.75" x14ac:dyDescent="0.3">
      <c r="B4227" s="6">
        <f t="shared" si="653"/>
        <v>0</v>
      </c>
      <c r="C4227" s="6">
        <f t="shared" si="654"/>
        <v>0</v>
      </c>
      <c r="D4227" s="6" t="str">
        <f t="shared" si="655"/>
        <v/>
      </c>
      <c r="E4227" s="35" t="str">
        <f t="shared" ref="E4227:E4290" si="662">IF(D4227&lt;&gt;"",D4227&amp;" - "&amp;YEAR(F4227),"")</f>
        <v/>
      </c>
      <c r="F4227" s="31"/>
      <c r="G4227" s="29"/>
      <c r="H4227" s="78" t="str">
        <f t="shared" si="656"/>
        <v/>
      </c>
      <c r="I4227" s="25"/>
      <c r="J4227" s="25"/>
      <c r="K4227" s="26"/>
      <c r="L4227" s="26"/>
      <c r="M4227" s="37"/>
      <c r="N4227" s="27"/>
      <c r="O4227" s="30"/>
      <c r="P4227" s="39" t="str">
        <f t="shared" si="657"/>
        <v/>
      </c>
      <c r="Q4227" s="40" t="str">
        <f>IF(OR(T4227=0,RIGHT(T4227,1)=$W$1),"",COUNTIF($T$3:T4227,T4227))</f>
        <v/>
      </c>
      <c r="S4227" s="6">
        <f t="shared" si="658"/>
        <v>0</v>
      </c>
      <c r="T4227" s="36">
        <f t="shared" si="659"/>
        <v>0</v>
      </c>
      <c r="V4227" s="6">
        <f t="shared" si="660"/>
        <v>0</v>
      </c>
      <c r="Y4227" s="8">
        <f t="shared" si="661"/>
        <v>46023</v>
      </c>
    </row>
    <row r="4228" spans="2:25" ht="18.75" x14ac:dyDescent="0.3">
      <c r="B4228" s="6">
        <f t="shared" ref="B4228:B4291" si="663">IF($B$1=YEAR(F4228),B4227+1,B4227)</f>
        <v>0</v>
      </c>
      <c r="C4228" s="6">
        <f t="shared" ref="C4228:C4291" si="664">IF(AND($C$1=K4228,$Y$1=YEAR(F4228)),C4227+1,C4227)</f>
        <v>0</v>
      </c>
      <c r="D4228" s="6" t="str">
        <f t="shared" ref="D4228:D4291" si="665">IF(F4228&lt;&gt;0,IF(YEAR(F4228)&lt;&gt;YEAR(F4227),1,IF(M4228=$AI$1,D4227,D4227+1)),"")</f>
        <v/>
      </c>
      <c r="E4228" s="35" t="str">
        <f t="shared" si="662"/>
        <v/>
      </c>
      <c r="F4228" s="31"/>
      <c r="G4228" s="29"/>
      <c r="H4228" s="78" t="str">
        <f t="shared" ref="H4228:H4291" si="666">IF(G4228&lt;&gt;"",F4228,"")</f>
        <v/>
      </c>
      <c r="I4228" s="25"/>
      <c r="J4228" s="25"/>
      <c r="K4228" s="26"/>
      <c r="L4228" s="26"/>
      <c r="M4228" s="37"/>
      <c r="N4228" s="27"/>
      <c r="O4228" s="30"/>
      <c r="P4228" s="39" t="str">
        <f t="shared" ref="P4228:P4291" si="667">IF(OR(T4228=0,RIGHT(T4228,1)=$W$1),"",VLOOKUP(K4228,$AD$1:$AK$15,5,FALSE))</f>
        <v/>
      </c>
      <c r="Q4228" s="40" t="str">
        <f>IF(OR(T4228=0,RIGHT(T4228,1)=$W$1),"",COUNTIF($T$3:T4228,T4228))</f>
        <v/>
      </c>
      <c r="S4228" s="6">
        <f t="shared" ref="S4228:S4291" si="668">IF(AND($C$1=K4228,$Y$1=YEAR(F4228)),C4228,0)</f>
        <v>0</v>
      </c>
      <c r="T4228" s="36">
        <f t="shared" ref="T4228:T4291" si="669">IF(F4228=0,0,YEAR(F4228)&amp;VLOOKUP(K4228,$AD$1:$AE$15,2,FALSE))</f>
        <v>0</v>
      </c>
      <c r="V4228" s="6">
        <f t="shared" ref="V4228:V4291" si="670">IF(AND(YEAR(F4228)=$Y$1,K4228=$C$1,L4228&amp;$V$1&lt;&gt;$V$1),L4228,IF(AND(YEAR(F4228)=$Y$1,K4228=$C$1),1,0))</f>
        <v>0</v>
      </c>
      <c r="Y4228" s="8">
        <f t="shared" ref="Y4228:Y4291" si="671">IF(M4228&lt;&gt;$AI$1,$Y$2,F4227)</f>
        <v>46023</v>
      </c>
    </row>
    <row r="4229" spans="2:25" ht="18.75" x14ac:dyDescent="0.3">
      <c r="B4229" s="6">
        <f t="shared" si="663"/>
        <v>0</v>
      </c>
      <c r="C4229" s="6">
        <f t="shared" si="664"/>
        <v>0</v>
      </c>
      <c r="D4229" s="6" t="str">
        <f t="shared" si="665"/>
        <v/>
      </c>
      <c r="E4229" s="35" t="str">
        <f t="shared" si="662"/>
        <v/>
      </c>
      <c r="F4229" s="31"/>
      <c r="G4229" s="29"/>
      <c r="H4229" s="78" t="str">
        <f t="shared" si="666"/>
        <v/>
      </c>
      <c r="I4229" s="25"/>
      <c r="J4229" s="25"/>
      <c r="K4229" s="26"/>
      <c r="L4229" s="26"/>
      <c r="M4229" s="37"/>
      <c r="N4229" s="27"/>
      <c r="O4229" s="30"/>
      <c r="P4229" s="39" t="str">
        <f t="shared" si="667"/>
        <v/>
      </c>
      <c r="Q4229" s="40" t="str">
        <f>IF(OR(T4229=0,RIGHT(T4229,1)=$W$1),"",COUNTIF($T$3:T4229,T4229))</f>
        <v/>
      </c>
      <c r="S4229" s="6">
        <f t="shared" si="668"/>
        <v>0</v>
      </c>
      <c r="T4229" s="36">
        <f t="shared" si="669"/>
        <v>0</v>
      </c>
      <c r="V4229" s="6">
        <f t="shared" si="670"/>
        <v>0</v>
      </c>
      <c r="Y4229" s="8">
        <f t="shared" si="671"/>
        <v>46023</v>
      </c>
    </row>
    <row r="4230" spans="2:25" ht="18.75" x14ac:dyDescent="0.3">
      <c r="B4230" s="6">
        <f t="shared" si="663"/>
        <v>0</v>
      </c>
      <c r="C4230" s="6">
        <f t="shared" si="664"/>
        <v>0</v>
      </c>
      <c r="D4230" s="6" t="str">
        <f t="shared" si="665"/>
        <v/>
      </c>
      <c r="E4230" s="35" t="str">
        <f t="shared" si="662"/>
        <v/>
      </c>
      <c r="F4230" s="31"/>
      <c r="G4230" s="29"/>
      <c r="H4230" s="78" t="str">
        <f t="shared" si="666"/>
        <v/>
      </c>
      <c r="I4230" s="25"/>
      <c r="J4230" s="25"/>
      <c r="K4230" s="26"/>
      <c r="L4230" s="26"/>
      <c r="M4230" s="37"/>
      <c r="N4230" s="27"/>
      <c r="O4230" s="30"/>
      <c r="P4230" s="39" t="str">
        <f t="shared" si="667"/>
        <v/>
      </c>
      <c r="Q4230" s="40" t="str">
        <f>IF(OR(T4230=0,RIGHT(T4230,1)=$W$1),"",COUNTIF($T$3:T4230,T4230))</f>
        <v/>
      </c>
      <c r="S4230" s="6">
        <f t="shared" si="668"/>
        <v>0</v>
      </c>
      <c r="T4230" s="36">
        <f t="shared" si="669"/>
        <v>0</v>
      </c>
      <c r="V4230" s="6">
        <f t="shared" si="670"/>
        <v>0</v>
      </c>
      <c r="Y4230" s="8">
        <f t="shared" si="671"/>
        <v>46023</v>
      </c>
    </row>
    <row r="4231" spans="2:25" ht="18.75" x14ac:dyDescent="0.3">
      <c r="B4231" s="6">
        <f t="shared" si="663"/>
        <v>0</v>
      </c>
      <c r="C4231" s="6">
        <f t="shared" si="664"/>
        <v>0</v>
      </c>
      <c r="D4231" s="6" t="str">
        <f t="shared" si="665"/>
        <v/>
      </c>
      <c r="E4231" s="35" t="str">
        <f t="shared" si="662"/>
        <v/>
      </c>
      <c r="F4231" s="31"/>
      <c r="G4231" s="29"/>
      <c r="H4231" s="78" t="str">
        <f t="shared" si="666"/>
        <v/>
      </c>
      <c r="I4231" s="25"/>
      <c r="J4231" s="25"/>
      <c r="K4231" s="26"/>
      <c r="L4231" s="26"/>
      <c r="M4231" s="37"/>
      <c r="N4231" s="27"/>
      <c r="O4231" s="30"/>
      <c r="P4231" s="39" t="str">
        <f t="shared" si="667"/>
        <v/>
      </c>
      <c r="Q4231" s="40" t="str">
        <f>IF(OR(T4231=0,RIGHT(T4231,1)=$W$1),"",COUNTIF($T$3:T4231,T4231))</f>
        <v/>
      </c>
      <c r="S4231" s="6">
        <f t="shared" si="668"/>
        <v>0</v>
      </c>
      <c r="T4231" s="36">
        <f t="shared" si="669"/>
        <v>0</v>
      </c>
      <c r="V4231" s="6">
        <f t="shared" si="670"/>
        <v>0</v>
      </c>
      <c r="Y4231" s="8">
        <f t="shared" si="671"/>
        <v>46023</v>
      </c>
    </row>
    <row r="4232" spans="2:25" ht="18.75" x14ac:dyDescent="0.3">
      <c r="B4232" s="6">
        <f t="shared" si="663"/>
        <v>0</v>
      </c>
      <c r="C4232" s="6">
        <f t="shared" si="664"/>
        <v>0</v>
      </c>
      <c r="D4232" s="6" t="str">
        <f t="shared" si="665"/>
        <v/>
      </c>
      <c r="E4232" s="35" t="str">
        <f t="shared" si="662"/>
        <v/>
      </c>
      <c r="F4232" s="31"/>
      <c r="G4232" s="29"/>
      <c r="H4232" s="78" t="str">
        <f t="shared" si="666"/>
        <v/>
      </c>
      <c r="I4232" s="25"/>
      <c r="J4232" s="25"/>
      <c r="K4232" s="26"/>
      <c r="L4232" s="26"/>
      <c r="M4232" s="37"/>
      <c r="N4232" s="27"/>
      <c r="O4232" s="30"/>
      <c r="P4232" s="39" t="str">
        <f t="shared" si="667"/>
        <v/>
      </c>
      <c r="Q4232" s="40" t="str">
        <f>IF(OR(T4232=0,RIGHT(T4232,1)=$W$1),"",COUNTIF($T$3:T4232,T4232))</f>
        <v/>
      </c>
      <c r="S4232" s="6">
        <f t="shared" si="668"/>
        <v>0</v>
      </c>
      <c r="T4232" s="36">
        <f t="shared" si="669"/>
        <v>0</v>
      </c>
      <c r="V4232" s="6">
        <f t="shared" si="670"/>
        <v>0</v>
      </c>
      <c r="Y4232" s="8">
        <f t="shared" si="671"/>
        <v>46023</v>
      </c>
    </row>
    <row r="4233" spans="2:25" ht="18.75" x14ac:dyDescent="0.3">
      <c r="B4233" s="6">
        <f t="shared" si="663"/>
        <v>0</v>
      </c>
      <c r="C4233" s="6">
        <f t="shared" si="664"/>
        <v>0</v>
      </c>
      <c r="D4233" s="6" t="str">
        <f t="shared" si="665"/>
        <v/>
      </c>
      <c r="E4233" s="35" t="str">
        <f t="shared" si="662"/>
        <v/>
      </c>
      <c r="F4233" s="31"/>
      <c r="G4233" s="29"/>
      <c r="H4233" s="78" t="str">
        <f t="shared" si="666"/>
        <v/>
      </c>
      <c r="I4233" s="25"/>
      <c r="J4233" s="25"/>
      <c r="K4233" s="26"/>
      <c r="L4233" s="26"/>
      <c r="M4233" s="37"/>
      <c r="N4233" s="27"/>
      <c r="O4233" s="30"/>
      <c r="P4233" s="39" t="str">
        <f t="shared" si="667"/>
        <v/>
      </c>
      <c r="Q4233" s="40" t="str">
        <f>IF(OR(T4233=0,RIGHT(T4233,1)=$W$1),"",COUNTIF($T$3:T4233,T4233))</f>
        <v/>
      </c>
      <c r="S4233" s="6">
        <f t="shared" si="668"/>
        <v>0</v>
      </c>
      <c r="T4233" s="36">
        <f t="shared" si="669"/>
        <v>0</v>
      </c>
      <c r="V4233" s="6">
        <f t="shared" si="670"/>
        <v>0</v>
      </c>
      <c r="Y4233" s="8">
        <f t="shared" si="671"/>
        <v>46023</v>
      </c>
    </row>
    <row r="4234" spans="2:25" ht="18.75" x14ac:dyDescent="0.3">
      <c r="B4234" s="6">
        <f t="shared" si="663"/>
        <v>0</v>
      </c>
      <c r="C4234" s="6">
        <f t="shared" si="664"/>
        <v>0</v>
      </c>
      <c r="D4234" s="6" t="str">
        <f t="shared" si="665"/>
        <v/>
      </c>
      <c r="E4234" s="35" t="str">
        <f t="shared" si="662"/>
        <v/>
      </c>
      <c r="F4234" s="31"/>
      <c r="G4234" s="29"/>
      <c r="H4234" s="78" t="str">
        <f t="shared" si="666"/>
        <v/>
      </c>
      <c r="I4234" s="25"/>
      <c r="J4234" s="25"/>
      <c r="K4234" s="26"/>
      <c r="L4234" s="26"/>
      <c r="M4234" s="37"/>
      <c r="N4234" s="27"/>
      <c r="O4234" s="30"/>
      <c r="P4234" s="39" t="str">
        <f t="shared" si="667"/>
        <v/>
      </c>
      <c r="Q4234" s="40" t="str">
        <f>IF(OR(T4234=0,RIGHT(T4234,1)=$W$1),"",COUNTIF($T$3:T4234,T4234))</f>
        <v/>
      </c>
      <c r="S4234" s="6">
        <f t="shared" si="668"/>
        <v>0</v>
      </c>
      <c r="T4234" s="36">
        <f t="shared" si="669"/>
        <v>0</v>
      </c>
      <c r="V4234" s="6">
        <f t="shared" si="670"/>
        <v>0</v>
      </c>
      <c r="Y4234" s="8">
        <f t="shared" si="671"/>
        <v>46023</v>
      </c>
    </row>
    <row r="4235" spans="2:25" ht="18.75" x14ac:dyDescent="0.3">
      <c r="B4235" s="6">
        <f t="shared" si="663"/>
        <v>0</v>
      </c>
      <c r="C4235" s="6">
        <f t="shared" si="664"/>
        <v>0</v>
      </c>
      <c r="D4235" s="6" t="str">
        <f t="shared" si="665"/>
        <v/>
      </c>
      <c r="E4235" s="35" t="str">
        <f t="shared" si="662"/>
        <v/>
      </c>
      <c r="F4235" s="31"/>
      <c r="G4235" s="29"/>
      <c r="H4235" s="78" t="str">
        <f t="shared" si="666"/>
        <v/>
      </c>
      <c r="I4235" s="25"/>
      <c r="J4235" s="25"/>
      <c r="K4235" s="26"/>
      <c r="L4235" s="26"/>
      <c r="M4235" s="37"/>
      <c r="N4235" s="27"/>
      <c r="O4235" s="30"/>
      <c r="P4235" s="39" t="str">
        <f t="shared" si="667"/>
        <v/>
      </c>
      <c r="Q4235" s="40" t="str">
        <f>IF(OR(T4235=0,RIGHT(T4235,1)=$W$1),"",COUNTIF($T$3:T4235,T4235))</f>
        <v/>
      </c>
      <c r="S4235" s="6">
        <f t="shared" si="668"/>
        <v>0</v>
      </c>
      <c r="T4235" s="36">
        <f t="shared" si="669"/>
        <v>0</v>
      </c>
      <c r="V4235" s="6">
        <f t="shared" si="670"/>
        <v>0</v>
      </c>
      <c r="Y4235" s="8">
        <f t="shared" si="671"/>
        <v>46023</v>
      </c>
    </row>
    <row r="4236" spans="2:25" ht="18.75" x14ac:dyDescent="0.3">
      <c r="B4236" s="6">
        <f t="shared" si="663"/>
        <v>0</v>
      </c>
      <c r="C4236" s="6">
        <f t="shared" si="664"/>
        <v>0</v>
      </c>
      <c r="D4236" s="6" t="str">
        <f t="shared" si="665"/>
        <v/>
      </c>
      <c r="E4236" s="35" t="str">
        <f t="shared" si="662"/>
        <v/>
      </c>
      <c r="F4236" s="31"/>
      <c r="G4236" s="29"/>
      <c r="H4236" s="78" t="str">
        <f t="shared" si="666"/>
        <v/>
      </c>
      <c r="I4236" s="25"/>
      <c r="J4236" s="25"/>
      <c r="K4236" s="26"/>
      <c r="L4236" s="26"/>
      <c r="M4236" s="37"/>
      <c r="N4236" s="27"/>
      <c r="O4236" s="30"/>
      <c r="P4236" s="39" t="str">
        <f t="shared" si="667"/>
        <v/>
      </c>
      <c r="Q4236" s="40" t="str">
        <f>IF(OR(T4236=0,RIGHT(T4236,1)=$W$1),"",COUNTIF($T$3:T4236,T4236))</f>
        <v/>
      </c>
      <c r="S4236" s="6">
        <f t="shared" si="668"/>
        <v>0</v>
      </c>
      <c r="T4236" s="36">
        <f t="shared" si="669"/>
        <v>0</v>
      </c>
      <c r="V4236" s="6">
        <f t="shared" si="670"/>
        <v>0</v>
      </c>
      <c r="Y4236" s="8">
        <f t="shared" si="671"/>
        <v>46023</v>
      </c>
    </row>
    <row r="4237" spans="2:25" ht="18.75" x14ac:dyDescent="0.3">
      <c r="B4237" s="6">
        <f t="shared" si="663"/>
        <v>0</v>
      </c>
      <c r="C4237" s="6">
        <f t="shared" si="664"/>
        <v>0</v>
      </c>
      <c r="D4237" s="6" t="str">
        <f t="shared" si="665"/>
        <v/>
      </c>
      <c r="E4237" s="35" t="str">
        <f t="shared" si="662"/>
        <v/>
      </c>
      <c r="F4237" s="31"/>
      <c r="G4237" s="29"/>
      <c r="H4237" s="78" t="str">
        <f t="shared" si="666"/>
        <v/>
      </c>
      <c r="I4237" s="25"/>
      <c r="J4237" s="25"/>
      <c r="K4237" s="26"/>
      <c r="L4237" s="26"/>
      <c r="M4237" s="37"/>
      <c r="N4237" s="27"/>
      <c r="O4237" s="30"/>
      <c r="P4237" s="39" t="str">
        <f t="shared" si="667"/>
        <v/>
      </c>
      <c r="Q4237" s="40" t="str">
        <f>IF(OR(T4237=0,RIGHT(T4237,1)=$W$1),"",COUNTIF($T$3:T4237,T4237))</f>
        <v/>
      </c>
      <c r="S4237" s="6">
        <f t="shared" si="668"/>
        <v>0</v>
      </c>
      <c r="T4237" s="36">
        <f t="shared" si="669"/>
        <v>0</v>
      </c>
      <c r="V4237" s="6">
        <f t="shared" si="670"/>
        <v>0</v>
      </c>
      <c r="Y4237" s="8">
        <f t="shared" si="671"/>
        <v>46023</v>
      </c>
    </row>
    <row r="4238" spans="2:25" ht="18.75" x14ac:dyDescent="0.3">
      <c r="B4238" s="6">
        <f t="shared" si="663"/>
        <v>0</v>
      </c>
      <c r="C4238" s="6">
        <f t="shared" si="664"/>
        <v>0</v>
      </c>
      <c r="D4238" s="6" t="str">
        <f t="shared" si="665"/>
        <v/>
      </c>
      <c r="E4238" s="35" t="str">
        <f t="shared" si="662"/>
        <v/>
      </c>
      <c r="F4238" s="31"/>
      <c r="G4238" s="29"/>
      <c r="H4238" s="78" t="str">
        <f t="shared" si="666"/>
        <v/>
      </c>
      <c r="I4238" s="25"/>
      <c r="J4238" s="25"/>
      <c r="K4238" s="26"/>
      <c r="L4238" s="26"/>
      <c r="M4238" s="37"/>
      <c r="N4238" s="27"/>
      <c r="O4238" s="30"/>
      <c r="P4238" s="39" t="str">
        <f t="shared" si="667"/>
        <v/>
      </c>
      <c r="Q4238" s="40" t="str">
        <f>IF(OR(T4238=0,RIGHT(T4238,1)=$W$1),"",COUNTIF($T$3:T4238,T4238))</f>
        <v/>
      </c>
      <c r="S4238" s="6">
        <f t="shared" si="668"/>
        <v>0</v>
      </c>
      <c r="T4238" s="36">
        <f t="shared" si="669"/>
        <v>0</v>
      </c>
      <c r="V4238" s="6">
        <f t="shared" si="670"/>
        <v>0</v>
      </c>
      <c r="Y4238" s="8">
        <f t="shared" si="671"/>
        <v>46023</v>
      </c>
    </row>
    <row r="4239" spans="2:25" ht="18.75" x14ac:dyDescent="0.3">
      <c r="B4239" s="6">
        <f t="shared" si="663"/>
        <v>0</v>
      </c>
      <c r="C4239" s="6">
        <f t="shared" si="664"/>
        <v>0</v>
      </c>
      <c r="D4239" s="6" t="str">
        <f t="shared" si="665"/>
        <v/>
      </c>
      <c r="E4239" s="35" t="str">
        <f t="shared" si="662"/>
        <v/>
      </c>
      <c r="F4239" s="31"/>
      <c r="G4239" s="29"/>
      <c r="H4239" s="78" t="str">
        <f t="shared" si="666"/>
        <v/>
      </c>
      <c r="I4239" s="25"/>
      <c r="J4239" s="25"/>
      <c r="K4239" s="26"/>
      <c r="L4239" s="26"/>
      <c r="M4239" s="37"/>
      <c r="N4239" s="27"/>
      <c r="O4239" s="30"/>
      <c r="P4239" s="39" t="str">
        <f t="shared" si="667"/>
        <v/>
      </c>
      <c r="Q4239" s="40" t="str">
        <f>IF(OR(T4239=0,RIGHT(T4239,1)=$W$1),"",COUNTIF($T$3:T4239,T4239))</f>
        <v/>
      </c>
      <c r="S4239" s="6">
        <f t="shared" si="668"/>
        <v>0</v>
      </c>
      <c r="T4239" s="36">
        <f t="shared" si="669"/>
        <v>0</v>
      </c>
      <c r="V4239" s="6">
        <f t="shared" si="670"/>
        <v>0</v>
      </c>
      <c r="Y4239" s="8">
        <f t="shared" si="671"/>
        <v>46023</v>
      </c>
    </row>
    <row r="4240" spans="2:25" ht="18.75" x14ac:dyDescent="0.3">
      <c r="B4240" s="6">
        <f t="shared" si="663"/>
        <v>0</v>
      </c>
      <c r="C4240" s="6">
        <f t="shared" si="664"/>
        <v>0</v>
      </c>
      <c r="D4240" s="6" t="str">
        <f t="shared" si="665"/>
        <v/>
      </c>
      <c r="E4240" s="35" t="str">
        <f t="shared" si="662"/>
        <v/>
      </c>
      <c r="F4240" s="31"/>
      <c r="G4240" s="29"/>
      <c r="H4240" s="78" t="str">
        <f t="shared" si="666"/>
        <v/>
      </c>
      <c r="I4240" s="25"/>
      <c r="J4240" s="25"/>
      <c r="K4240" s="26"/>
      <c r="L4240" s="26"/>
      <c r="M4240" s="37"/>
      <c r="N4240" s="27"/>
      <c r="O4240" s="30"/>
      <c r="P4240" s="39" t="str">
        <f t="shared" si="667"/>
        <v/>
      </c>
      <c r="Q4240" s="40" t="str">
        <f>IF(OR(T4240=0,RIGHT(T4240,1)=$W$1),"",COUNTIF($T$3:T4240,T4240))</f>
        <v/>
      </c>
      <c r="S4240" s="6">
        <f t="shared" si="668"/>
        <v>0</v>
      </c>
      <c r="T4240" s="36">
        <f t="shared" si="669"/>
        <v>0</v>
      </c>
      <c r="V4240" s="6">
        <f t="shared" si="670"/>
        <v>0</v>
      </c>
      <c r="Y4240" s="8">
        <f t="shared" si="671"/>
        <v>46023</v>
      </c>
    </row>
    <row r="4241" spans="2:25" ht="18.75" x14ac:dyDescent="0.3">
      <c r="B4241" s="6">
        <f t="shared" si="663"/>
        <v>0</v>
      </c>
      <c r="C4241" s="6">
        <f t="shared" si="664"/>
        <v>0</v>
      </c>
      <c r="D4241" s="6" t="str">
        <f t="shared" si="665"/>
        <v/>
      </c>
      <c r="E4241" s="35" t="str">
        <f t="shared" si="662"/>
        <v/>
      </c>
      <c r="F4241" s="31"/>
      <c r="G4241" s="29"/>
      <c r="H4241" s="78" t="str">
        <f t="shared" si="666"/>
        <v/>
      </c>
      <c r="I4241" s="25"/>
      <c r="J4241" s="25"/>
      <c r="K4241" s="26"/>
      <c r="L4241" s="26"/>
      <c r="M4241" s="37"/>
      <c r="N4241" s="27"/>
      <c r="O4241" s="30"/>
      <c r="P4241" s="39" t="str">
        <f t="shared" si="667"/>
        <v/>
      </c>
      <c r="Q4241" s="40" t="str">
        <f>IF(OR(T4241=0,RIGHT(T4241,1)=$W$1),"",COUNTIF($T$3:T4241,T4241))</f>
        <v/>
      </c>
      <c r="S4241" s="6">
        <f t="shared" si="668"/>
        <v>0</v>
      </c>
      <c r="T4241" s="36">
        <f t="shared" si="669"/>
        <v>0</v>
      </c>
      <c r="V4241" s="6">
        <f t="shared" si="670"/>
        <v>0</v>
      </c>
      <c r="Y4241" s="8">
        <f t="shared" si="671"/>
        <v>46023</v>
      </c>
    </row>
    <row r="4242" spans="2:25" ht="18.75" x14ac:dyDescent="0.3">
      <c r="B4242" s="6">
        <f t="shared" si="663"/>
        <v>0</v>
      </c>
      <c r="C4242" s="6">
        <f t="shared" si="664"/>
        <v>0</v>
      </c>
      <c r="D4242" s="6" t="str">
        <f t="shared" si="665"/>
        <v/>
      </c>
      <c r="E4242" s="35" t="str">
        <f t="shared" si="662"/>
        <v/>
      </c>
      <c r="F4242" s="31"/>
      <c r="G4242" s="29"/>
      <c r="H4242" s="78" t="str">
        <f t="shared" si="666"/>
        <v/>
      </c>
      <c r="I4242" s="25"/>
      <c r="J4242" s="25"/>
      <c r="K4242" s="26"/>
      <c r="L4242" s="26"/>
      <c r="M4242" s="37"/>
      <c r="N4242" s="27"/>
      <c r="O4242" s="30"/>
      <c r="P4242" s="39" t="str">
        <f t="shared" si="667"/>
        <v/>
      </c>
      <c r="Q4242" s="40" t="str">
        <f>IF(OR(T4242=0,RIGHT(T4242,1)=$W$1),"",COUNTIF($T$3:T4242,T4242))</f>
        <v/>
      </c>
      <c r="S4242" s="6">
        <f t="shared" si="668"/>
        <v>0</v>
      </c>
      <c r="T4242" s="36">
        <f t="shared" si="669"/>
        <v>0</v>
      </c>
      <c r="V4242" s="6">
        <f t="shared" si="670"/>
        <v>0</v>
      </c>
      <c r="Y4242" s="8">
        <f t="shared" si="671"/>
        <v>46023</v>
      </c>
    </row>
    <row r="4243" spans="2:25" ht="18.75" x14ac:dyDescent="0.3">
      <c r="B4243" s="6">
        <f t="shared" si="663"/>
        <v>0</v>
      </c>
      <c r="C4243" s="6">
        <f t="shared" si="664"/>
        <v>0</v>
      </c>
      <c r="D4243" s="6" t="str">
        <f t="shared" si="665"/>
        <v/>
      </c>
      <c r="E4243" s="35" t="str">
        <f t="shared" si="662"/>
        <v/>
      </c>
      <c r="F4243" s="31"/>
      <c r="G4243" s="29"/>
      <c r="H4243" s="78" t="str">
        <f t="shared" si="666"/>
        <v/>
      </c>
      <c r="I4243" s="25"/>
      <c r="J4243" s="25"/>
      <c r="K4243" s="26"/>
      <c r="L4243" s="26"/>
      <c r="M4243" s="37"/>
      <c r="N4243" s="27"/>
      <c r="O4243" s="30"/>
      <c r="P4243" s="39" t="str">
        <f t="shared" si="667"/>
        <v/>
      </c>
      <c r="Q4243" s="40" t="str">
        <f>IF(OR(T4243=0,RIGHT(T4243,1)=$W$1),"",COUNTIF($T$3:T4243,T4243))</f>
        <v/>
      </c>
      <c r="S4243" s="6">
        <f t="shared" si="668"/>
        <v>0</v>
      </c>
      <c r="T4243" s="36">
        <f t="shared" si="669"/>
        <v>0</v>
      </c>
      <c r="V4243" s="6">
        <f t="shared" si="670"/>
        <v>0</v>
      </c>
      <c r="Y4243" s="8">
        <f t="shared" si="671"/>
        <v>46023</v>
      </c>
    </row>
    <row r="4244" spans="2:25" ht="18.75" x14ac:dyDescent="0.3">
      <c r="B4244" s="6">
        <f t="shared" si="663"/>
        <v>0</v>
      </c>
      <c r="C4244" s="6">
        <f t="shared" si="664"/>
        <v>0</v>
      </c>
      <c r="D4244" s="6" t="str">
        <f t="shared" si="665"/>
        <v/>
      </c>
      <c r="E4244" s="35" t="str">
        <f t="shared" si="662"/>
        <v/>
      </c>
      <c r="F4244" s="31"/>
      <c r="G4244" s="29"/>
      <c r="H4244" s="78" t="str">
        <f t="shared" si="666"/>
        <v/>
      </c>
      <c r="I4244" s="25"/>
      <c r="J4244" s="25"/>
      <c r="K4244" s="26"/>
      <c r="L4244" s="26"/>
      <c r="M4244" s="37"/>
      <c r="N4244" s="27"/>
      <c r="O4244" s="30"/>
      <c r="P4244" s="39" t="str">
        <f t="shared" si="667"/>
        <v/>
      </c>
      <c r="Q4244" s="40" t="str">
        <f>IF(OR(T4244=0,RIGHT(T4244,1)=$W$1),"",COUNTIF($T$3:T4244,T4244))</f>
        <v/>
      </c>
      <c r="S4244" s="6">
        <f t="shared" si="668"/>
        <v>0</v>
      </c>
      <c r="T4244" s="36">
        <f t="shared" si="669"/>
        <v>0</v>
      </c>
      <c r="V4244" s="6">
        <f t="shared" si="670"/>
        <v>0</v>
      </c>
      <c r="Y4244" s="8">
        <f t="shared" si="671"/>
        <v>46023</v>
      </c>
    </row>
    <row r="4245" spans="2:25" ht="18.75" x14ac:dyDescent="0.3">
      <c r="B4245" s="6">
        <f t="shared" si="663"/>
        <v>0</v>
      </c>
      <c r="C4245" s="6">
        <f t="shared" si="664"/>
        <v>0</v>
      </c>
      <c r="D4245" s="6" t="str">
        <f t="shared" si="665"/>
        <v/>
      </c>
      <c r="E4245" s="35" t="str">
        <f t="shared" si="662"/>
        <v/>
      </c>
      <c r="F4245" s="31"/>
      <c r="G4245" s="29"/>
      <c r="H4245" s="78" t="str">
        <f t="shared" si="666"/>
        <v/>
      </c>
      <c r="I4245" s="25"/>
      <c r="J4245" s="25"/>
      <c r="K4245" s="26"/>
      <c r="L4245" s="26"/>
      <c r="M4245" s="37"/>
      <c r="N4245" s="27"/>
      <c r="O4245" s="30"/>
      <c r="P4245" s="39" t="str">
        <f t="shared" si="667"/>
        <v/>
      </c>
      <c r="Q4245" s="40" t="str">
        <f>IF(OR(T4245=0,RIGHT(T4245,1)=$W$1),"",COUNTIF($T$3:T4245,T4245))</f>
        <v/>
      </c>
      <c r="S4245" s="6">
        <f t="shared" si="668"/>
        <v>0</v>
      </c>
      <c r="T4245" s="36">
        <f t="shared" si="669"/>
        <v>0</v>
      </c>
      <c r="V4245" s="6">
        <f t="shared" si="670"/>
        <v>0</v>
      </c>
      <c r="Y4245" s="8">
        <f t="shared" si="671"/>
        <v>46023</v>
      </c>
    </row>
    <row r="4246" spans="2:25" ht="18.75" x14ac:dyDescent="0.3">
      <c r="B4246" s="6">
        <f t="shared" si="663"/>
        <v>0</v>
      </c>
      <c r="C4246" s="6">
        <f t="shared" si="664"/>
        <v>0</v>
      </c>
      <c r="D4246" s="6" t="str">
        <f t="shared" si="665"/>
        <v/>
      </c>
      <c r="E4246" s="35" t="str">
        <f t="shared" si="662"/>
        <v/>
      </c>
      <c r="F4246" s="31"/>
      <c r="G4246" s="29"/>
      <c r="H4246" s="78" t="str">
        <f t="shared" si="666"/>
        <v/>
      </c>
      <c r="I4246" s="25"/>
      <c r="J4246" s="25"/>
      <c r="K4246" s="26"/>
      <c r="L4246" s="26"/>
      <c r="M4246" s="37"/>
      <c r="N4246" s="27"/>
      <c r="O4246" s="30"/>
      <c r="P4246" s="39" t="str">
        <f t="shared" si="667"/>
        <v/>
      </c>
      <c r="Q4246" s="40" t="str">
        <f>IF(OR(T4246=0,RIGHT(T4246,1)=$W$1),"",COUNTIF($T$3:T4246,T4246))</f>
        <v/>
      </c>
      <c r="S4246" s="6">
        <f t="shared" si="668"/>
        <v>0</v>
      </c>
      <c r="T4246" s="36">
        <f t="shared" si="669"/>
        <v>0</v>
      </c>
      <c r="V4246" s="6">
        <f t="shared" si="670"/>
        <v>0</v>
      </c>
      <c r="Y4246" s="8">
        <f t="shared" si="671"/>
        <v>46023</v>
      </c>
    </row>
    <row r="4247" spans="2:25" ht="18.75" x14ac:dyDescent="0.3">
      <c r="B4247" s="6">
        <f t="shared" si="663"/>
        <v>0</v>
      </c>
      <c r="C4247" s="6">
        <f t="shared" si="664"/>
        <v>0</v>
      </c>
      <c r="D4247" s="6" t="str">
        <f t="shared" si="665"/>
        <v/>
      </c>
      <c r="E4247" s="35" t="str">
        <f t="shared" si="662"/>
        <v/>
      </c>
      <c r="F4247" s="31"/>
      <c r="G4247" s="29"/>
      <c r="H4247" s="78" t="str">
        <f t="shared" si="666"/>
        <v/>
      </c>
      <c r="I4247" s="25"/>
      <c r="J4247" s="25"/>
      <c r="K4247" s="26"/>
      <c r="L4247" s="26"/>
      <c r="M4247" s="37"/>
      <c r="N4247" s="27"/>
      <c r="O4247" s="30"/>
      <c r="P4247" s="39" t="str">
        <f t="shared" si="667"/>
        <v/>
      </c>
      <c r="Q4247" s="40" t="str">
        <f>IF(OR(T4247=0,RIGHT(T4247,1)=$W$1),"",COUNTIF($T$3:T4247,T4247))</f>
        <v/>
      </c>
      <c r="S4247" s="6">
        <f t="shared" si="668"/>
        <v>0</v>
      </c>
      <c r="T4247" s="36">
        <f t="shared" si="669"/>
        <v>0</v>
      </c>
      <c r="V4247" s="6">
        <f t="shared" si="670"/>
        <v>0</v>
      </c>
      <c r="Y4247" s="8">
        <f t="shared" si="671"/>
        <v>46023</v>
      </c>
    </row>
    <row r="4248" spans="2:25" ht="18.75" x14ac:dyDescent="0.3">
      <c r="B4248" s="6">
        <f t="shared" si="663"/>
        <v>0</v>
      </c>
      <c r="C4248" s="6">
        <f t="shared" si="664"/>
        <v>0</v>
      </c>
      <c r="D4248" s="6" t="str">
        <f t="shared" si="665"/>
        <v/>
      </c>
      <c r="E4248" s="35" t="str">
        <f t="shared" si="662"/>
        <v/>
      </c>
      <c r="F4248" s="31"/>
      <c r="G4248" s="29"/>
      <c r="H4248" s="78" t="str">
        <f t="shared" si="666"/>
        <v/>
      </c>
      <c r="I4248" s="25"/>
      <c r="J4248" s="25"/>
      <c r="K4248" s="26"/>
      <c r="L4248" s="26"/>
      <c r="M4248" s="37"/>
      <c r="N4248" s="27"/>
      <c r="O4248" s="30"/>
      <c r="P4248" s="39" t="str">
        <f t="shared" si="667"/>
        <v/>
      </c>
      <c r="Q4248" s="40" t="str">
        <f>IF(OR(T4248=0,RIGHT(T4248,1)=$W$1),"",COUNTIF($T$3:T4248,T4248))</f>
        <v/>
      </c>
      <c r="S4248" s="6">
        <f t="shared" si="668"/>
        <v>0</v>
      </c>
      <c r="T4248" s="36">
        <f t="shared" si="669"/>
        <v>0</v>
      </c>
      <c r="V4248" s="6">
        <f t="shared" si="670"/>
        <v>0</v>
      </c>
      <c r="Y4248" s="8">
        <f t="shared" si="671"/>
        <v>46023</v>
      </c>
    </row>
    <row r="4249" spans="2:25" ht="18.75" x14ac:dyDescent="0.3">
      <c r="B4249" s="6">
        <f t="shared" si="663"/>
        <v>0</v>
      </c>
      <c r="C4249" s="6">
        <f t="shared" si="664"/>
        <v>0</v>
      </c>
      <c r="D4249" s="6" t="str">
        <f t="shared" si="665"/>
        <v/>
      </c>
      <c r="E4249" s="35" t="str">
        <f t="shared" si="662"/>
        <v/>
      </c>
      <c r="F4249" s="31"/>
      <c r="G4249" s="29"/>
      <c r="H4249" s="78" t="str">
        <f t="shared" si="666"/>
        <v/>
      </c>
      <c r="I4249" s="25"/>
      <c r="J4249" s="25"/>
      <c r="K4249" s="26"/>
      <c r="L4249" s="26"/>
      <c r="M4249" s="37"/>
      <c r="N4249" s="27"/>
      <c r="O4249" s="30"/>
      <c r="P4249" s="39" t="str">
        <f t="shared" si="667"/>
        <v/>
      </c>
      <c r="Q4249" s="40" t="str">
        <f>IF(OR(T4249=0,RIGHT(T4249,1)=$W$1),"",COUNTIF($T$3:T4249,T4249))</f>
        <v/>
      </c>
      <c r="S4249" s="6">
        <f t="shared" si="668"/>
        <v>0</v>
      </c>
      <c r="T4249" s="36">
        <f t="shared" si="669"/>
        <v>0</v>
      </c>
      <c r="V4249" s="6">
        <f t="shared" si="670"/>
        <v>0</v>
      </c>
      <c r="Y4249" s="8">
        <f t="shared" si="671"/>
        <v>46023</v>
      </c>
    </row>
    <row r="4250" spans="2:25" ht="18.75" x14ac:dyDescent="0.3">
      <c r="B4250" s="6">
        <f t="shared" si="663"/>
        <v>0</v>
      </c>
      <c r="C4250" s="6">
        <f t="shared" si="664"/>
        <v>0</v>
      </c>
      <c r="D4250" s="6" t="str">
        <f t="shared" si="665"/>
        <v/>
      </c>
      <c r="E4250" s="35" t="str">
        <f t="shared" si="662"/>
        <v/>
      </c>
      <c r="F4250" s="31"/>
      <c r="G4250" s="29"/>
      <c r="H4250" s="78" t="str">
        <f t="shared" si="666"/>
        <v/>
      </c>
      <c r="I4250" s="25"/>
      <c r="J4250" s="25"/>
      <c r="K4250" s="26"/>
      <c r="L4250" s="26"/>
      <c r="M4250" s="37"/>
      <c r="N4250" s="27"/>
      <c r="O4250" s="30"/>
      <c r="P4250" s="39" t="str">
        <f t="shared" si="667"/>
        <v/>
      </c>
      <c r="Q4250" s="40" t="str">
        <f>IF(OR(T4250=0,RIGHT(T4250,1)=$W$1),"",COUNTIF($T$3:T4250,T4250))</f>
        <v/>
      </c>
      <c r="S4250" s="6">
        <f t="shared" si="668"/>
        <v>0</v>
      </c>
      <c r="T4250" s="36">
        <f t="shared" si="669"/>
        <v>0</v>
      </c>
      <c r="V4250" s="6">
        <f t="shared" si="670"/>
        <v>0</v>
      </c>
      <c r="Y4250" s="8">
        <f t="shared" si="671"/>
        <v>46023</v>
      </c>
    </row>
    <row r="4251" spans="2:25" ht="18.75" x14ac:dyDescent="0.3">
      <c r="B4251" s="6">
        <f t="shared" si="663"/>
        <v>0</v>
      </c>
      <c r="C4251" s="6">
        <f t="shared" si="664"/>
        <v>0</v>
      </c>
      <c r="D4251" s="6" t="str">
        <f t="shared" si="665"/>
        <v/>
      </c>
      <c r="E4251" s="35" t="str">
        <f t="shared" si="662"/>
        <v/>
      </c>
      <c r="F4251" s="31"/>
      <c r="G4251" s="29"/>
      <c r="H4251" s="78" t="str">
        <f t="shared" si="666"/>
        <v/>
      </c>
      <c r="I4251" s="25"/>
      <c r="J4251" s="25"/>
      <c r="K4251" s="26"/>
      <c r="L4251" s="26"/>
      <c r="M4251" s="37"/>
      <c r="N4251" s="27"/>
      <c r="O4251" s="30"/>
      <c r="P4251" s="39" t="str">
        <f t="shared" si="667"/>
        <v/>
      </c>
      <c r="Q4251" s="40" t="str">
        <f>IF(OR(T4251=0,RIGHT(T4251,1)=$W$1),"",COUNTIF($T$3:T4251,T4251))</f>
        <v/>
      </c>
      <c r="S4251" s="6">
        <f t="shared" si="668"/>
        <v>0</v>
      </c>
      <c r="T4251" s="36">
        <f t="shared" si="669"/>
        <v>0</v>
      </c>
      <c r="V4251" s="6">
        <f t="shared" si="670"/>
        <v>0</v>
      </c>
      <c r="Y4251" s="8">
        <f t="shared" si="671"/>
        <v>46023</v>
      </c>
    </row>
    <row r="4252" spans="2:25" ht="18.75" x14ac:dyDescent="0.3">
      <c r="B4252" s="6">
        <f t="shared" si="663"/>
        <v>0</v>
      </c>
      <c r="C4252" s="6">
        <f t="shared" si="664"/>
        <v>0</v>
      </c>
      <c r="D4252" s="6" t="str">
        <f t="shared" si="665"/>
        <v/>
      </c>
      <c r="E4252" s="35" t="str">
        <f t="shared" si="662"/>
        <v/>
      </c>
      <c r="F4252" s="31"/>
      <c r="G4252" s="29"/>
      <c r="H4252" s="78" t="str">
        <f t="shared" si="666"/>
        <v/>
      </c>
      <c r="I4252" s="25"/>
      <c r="J4252" s="25"/>
      <c r="K4252" s="26"/>
      <c r="L4252" s="26"/>
      <c r="M4252" s="37"/>
      <c r="N4252" s="27"/>
      <c r="O4252" s="30"/>
      <c r="P4252" s="39" t="str">
        <f t="shared" si="667"/>
        <v/>
      </c>
      <c r="Q4252" s="40" t="str">
        <f>IF(OR(T4252=0,RIGHT(T4252,1)=$W$1),"",COUNTIF($T$3:T4252,T4252))</f>
        <v/>
      </c>
      <c r="S4252" s="6">
        <f t="shared" si="668"/>
        <v>0</v>
      </c>
      <c r="T4252" s="36">
        <f t="shared" si="669"/>
        <v>0</v>
      </c>
      <c r="V4252" s="6">
        <f t="shared" si="670"/>
        <v>0</v>
      </c>
      <c r="Y4252" s="8">
        <f t="shared" si="671"/>
        <v>46023</v>
      </c>
    </row>
    <row r="4253" spans="2:25" ht="18.75" x14ac:dyDescent="0.3">
      <c r="B4253" s="6">
        <f t="shared" si="663"/>
        <v>0</v>
      </c>
      <c r="C4253" s="6">
        <f t="shared" si="664"/>
        <v>0</v>
      </c>
      <c r="D4253" s="6" t="str">
        <f t="shared" si="665"/>
        <v/>
      </c>
      <c r="E4253" s="35" t="str">
        <f t="shared" si="662"/>
        <v/>
      </c>
      <c r="F4253" s="31"/>
      <c r="G4253" s="29"/>
      <c r="H4253" s="78" t="str">
        <f t="shared" si="666"/>
        <v/>
      </c>
      <c r="I4253" s="25"/>
      <c r="J4253" s="25"/>
      <c r="K4253" s="26"/>
      <c r="L4253" s="26"/>
      <c r="M4253" s="37"/>
      <c r="N4253" s="27"/>
      <c r="O4253" s="30"/>
      <c r="P4253" s="39" t="str">
        <f t="shared" si="667"/>
        <v/>
      </c>
      <c r="Q4253" s="40" t="str">
        <f>IF(OR(T4253=0,RIGHT(T4253,1)=$W$1),"",COUNTIF($T$3:T4253,T4253))</f>
        <v/>
      </c>
      <c r="S4253" s="6">
        <f t="shared" si="668"/>
        <v>0</v>
      </c>
      <c r="T4253" s="36">
        <f t="shared" si="669"/>
        <v>0</v>
      </c>
      <c r="V4253" s="6">
        <f t="shared" si="670"/>
        <v>0</v>
      </c>
      <c r="Y4253" s="8">
        <f t="shared" si="671"/>
        <v>46023</v>
      </c>
    </row>
    <row r="4254" spans="2:25" ht="18.75" x14ac:dyDescent="0.3">
      <c r="B4254" s="6">
        <f t="shared" si="663"/>
        <v>0</v>
      </c>
      <c r="C4254" s="6">
        <f t="shared" si="664"/>
        <v>0</v>
      </c>
      <c r="D4254" s="6" t="str">
        <f t="shared" si="665"/>
        <v/>
      </c>
      <c r="E4254" s="35" t="str">
        <f t="shared" si="662"/>
        <v/>
      </c>
      <c r="F4254" s="31"/>
      <c r="G4254" s="29"/>
      <c r="H4254" s="78" t="str">
        <f t="shared" si="666"/>
        <v/>
      </c>
      <c r="I4254" s="25"/>
      <c r="J4254" s="25"/>
      <c r="K4254" s="26"/>
      <c r="L4254" s="26"/>
      <c r="M4254" s="37"/>
      <c r="N4254" s="27"/>
      <c r="O4254" s="30"/>
      <c r="P4254" s="39" t="str">
        <f t="shared" si="667"/>
        <v/>
      </c>
      <c r="Q4254" s="40" t="str">
        <f>IF(OR(T4254=0,RIGHT(T4254,1)=$W$1),"",COUNTIF($T$3:T4254,T4254))</f>
        <v/>
      </c>
      <c r="S4254" s="6">
        <f t="shared" si="668"/>
        <v>0</v>
      </c>
      <c r="T4254" s="36">
        <f t="shared" si="669"/>
        <v>0</v>
      </c>
      <c r="V4254" s="6">
        <f t="shared" si="670"/>
        <v>0</v>
      </c>
      <c r="Y4254" s="8">
        <f t="shared" si="671"/>
        <v>46023</v>
      </c>
    </row>
    <row r="4255" spans="2:25" ht="18.75" x14ac:dyDescent="0.3">
      <c r="B4255" s="6">
        <f t="shared" si="663"/>
        <v>0</v>
      </c>
      <c r="C4255" s="6">
        <f t="shared" si="664"/>
        <v>0</v>
      </c>
      <c r="D4255" s="6" t="str">
        <f t="shared" si="665"/>
        <v/>
      </c>
      <c r="E4255" s="35" t="str">
        <f t="shared" si="662"/>
        <v/>
      </c>
      <c r="F4255" s="31"/>
      <c r="G4255" s="29"/>
      <c r="H4255" s="78" t="str">
        <f t="shared" si="666"/>
        <v/>
      </c>
      <c r="I4255" s="25"/>
      <c r="J4255" s="25"/>
      <c r="K4255" s="26"/>
      <c r="L4255" s="26"/>
      <c r="M4255" s="37"/>
      <c r="N4255" s="27"/>
      <c r="O4255" s="30"/>
      <c r="P4255" s="39" t="str">
        <f t="shared" si="667"/>
        <v/>
      </c>
      <c r="Q4255" s="40" t="str">
        <f>IF(OR(T4255=0,RIGHT(T4255,1)=$W$1),"",COUNTIF($T$3:T4255,T4255))</f>
        <v/>
      </c>
      <c r="S4255" s="6">
        <f t="shared" si="668"/>
        <v>0</v>
      </c>
      <c r="T4255" s="36">
        <f t="shared" si="669"/>
        <v>0</v>
      </c>
      <c r="V4255" s="6">
        <f t="shared" si="670"/>
        <v>0</v>
      </c>
      <c r="Y4255" s="8">
        <f t="shared" si="671"/>
        <v>46023</v>
      </c>
    </row>
    <row r="4256" spans="2:25" ht="18.75" x14ac:dyDescent="0.3">
      <c r="B4256" s="6">
        <f t="shared" si="663"/>
        <v>0</v>
      </c>
      <c r="C4256" s="6">
        <f t="shared" si="664"/>
        <v>0</v>
      </c>
      <c r="D4256" s="6" t="str">
        <f t="shared" si="665"/>
        <v/>
      </c>
      <c r="E4256" s="35" t="str">
        <f t="shared" si="662"/>
        <v/>
      </c>
      <c r="F4256" s="31"/>
      <c r="G4256" s="29"/>
      <c r="H4256" s="78" t="str">
        <f t="shared" si="666"/>
        <v/>
      </c>
      <c r="I4256" s="25"/>
      <c r="J4256" s="25"/>
      <c r="K4256" s="26"/>
      <c r="L4256" s="26"/>
      <c r="M4256" s="37"/>
      <c r="N4256" s="27"/>
      <c r="O4256" s="30"/>
      <c r="P4256" s="39" t="str">
        <f t="shared" si="667"/>
        <v/>
      </c>
      <c r="Q4256" s="40" t="str">
        <f>IF(OR(T4256=0,RIGHT(T4256,1)=$W$1),"",COUNTIF($T$3:T4256,T4256))</f>
        <v/>
      </c>
      <c r="S4256" s="6">
        <f t="shared" si="668"/>
        <v>0</v>
      </c>
      <c r="T4256" s="36">
        <f t="shared" si="669"/>
        <v>0</v>
      </c>
      <c r="V4256" s="6">
        <f t="shared" si="670"/>
        <v>0</v>
      </c>
      <c r="Y4256" s="8">
        <f t="shared" si="671"/>
        <v>46023</v>
      </c>
    </row>
    <row r="4257" spans="2:25" ht="18.75" x14ac:dyDescent="0.3">
      <c r="B4257" s="6">
        <f t="shared" si="663"/>
        <v>0</v>
      </c>
      <c r="C4257" s="6">
        <f t="shared" si="664"/>
        <v>0</v>
      </c>
      <c r="D4257" s="6" t="str">
        <f t="shared" si="665"/>
        <v/>
      </c>
      <c r="E4257" s="35" t="str">
        <f t="shared" si="662"/>
        <v/>
      </c>
      <c r="F4257" s="31"/>
      <c r="G4257" s="29"/>
      <c r="H4257" s="78" t="str">
        <f t="shared" si="666"/>
        <v/>
      </c>
      <c r="I4257" s="25"/>
      <c r="J4257" s="25"/>
      <c r="K4257" s="26"/>
      <c r="L4257" s="26"/>
      <c r="M4257" s="37"/>
      <c r="N4257" s="27"/>
      <c r="O4257" s="30"/>
      <c r="P4257" s="39" t="str">
        <f t="shared" si="667"/>
        <v/>
      </c>
      <c r="Q4257" s="40" t="str">
        <f>IF(OR(T4257=0,RIGHT(T4257,1)=$W$1),"",COUNTIF($T$3:T4257,T4257))</f>
        <v/>
      </c>
      <c r="S4257" s="6">
        <f t="shared" si="668"/>
        <v>0</v>
      </c>
      <c r="T4257" s="36">
        <f t="shared" si="669"/>
        <v>0</v>
      </c>
      <c r="V4257" s="6">
        <f t="shared" si="670"/>
        <v>0</v>
      </c>
      <c r="Y4257" s="8">
        <f t="shared" si="671"/>
        <v>46023</v>
      </c>
    </row>
    <row r="4258" spans="2:25" ht="18.75" x14ac:dyDescent="0.3">
      <c r="B4258" s="6">
        <f t="shared" si="663"/>
        <v>0</v>
      </c>
      <c r="C4258" s="6">
        <f t="shared" si="664"/>
        <v>0</v>
      </c>
      <c r="D4258" s="6" t="str">
        <f t="shared" si="665"/>
        <v/>
      </c>
      <c r="E4258" s="35" t="str">
        <f t="shared" si="662"/>
        <v/>
      </c>
      <c r="F4258" s="31"/>
      <c r="G4258" s="29"/>
      <c r="H4258" s="78" t="str">
        <f t="shared" si="666"/>
        <v/>
      </c>
      <c r="I4258" s="25"/>
      <c r="J4258" s="25"/>
      <c r="K4258" s="26"/>
      <c r="L4258" s="26"/>
      <c r="M4258" s="37"/>
      <c r="N4258" s="27"/>
      <c r="O4258" s="30"/>
      <c r="P4258" s="39" t="str">
        <f t="shared" si="667"/>
        <v/>
      </c>
      <c r="Q4258" s="40" t="str">
        <f>IF(OR(T4258=0,RIGHT(T4258,1)=$W$1),"",COUNTIF($T$3:T4258,T4258))</f>
        <v/>
      </c>
      <c r="S4258" s="6">
        <f t="shared" si="668"/>
        <v>0</v>
      </c>
      <c r="T4258" s="36">
        <f t="shared" si="669"/>
        <v>0</v>
      </c>
      <c r="V4258" s="6">
        <f t="shared" si="670"/>
        <v>0</v>
      </c>
      <c r="Y4258" s="8">
        <f t="shared" si="671"/>
        <v>46023</v>
      </c>
    </row>
    <row r="4259" spans="2:25" ht="18.75" x14ac:dyDescent="0.3">
      <c r="B4259" s="6">
        <f t="shared" si="663"/>
        <v>0</v>
      </c>
      <c r="C4259" s="6">
        <f t="shared" si="664"/>
        <v>0</v>
      </c>
      <c r="D4259" s="6" t="str">
        <f t="shared" si="665"/>
        <v/>
      </c>
      <c r="E4259" s="35" t="str">
        <f t="shared" si="662"/>
        <v/>
      </c>
      <c r="F4259" s="31"/>
      <c r="G4259" s="29"/>
      <c r="H4259" s="78" t="str">
        <f t="shared" si="666"/>
        <v/>
      </c>
      <c r="I4259" s="25"/>
      <c r="J4259" s="25"/>
      <c r="K4259" s="26"/>
      <c r="L4259" s="26"/>
      <c r="M4259" s="37"/>
      <c r="N4259" s="27"/>
      <c r="O4259" s="30"/>
      <c r="P4259" s="39" t="str">
        <f t="shared" si="667"/>
        <v/>
      </c>
      <c r="Q4259" s="40" t="str">
        <f>IF(OR(T4259=0,RIGHT(T4259,1)=$W$1),"",COUNTIF($T$3:T4259,T4259))</f>
        <v/>
      </c>
      <c r="S4259" s="6">
        <f t="shared" si="668"/>
        <v>0</v>
      </c>
      <c r="T4259" s="36">
        <f t="shared" si="669"/>
        <v>0</v>
      </c>
      <c r="V4259" s="6">
        <f t="shared" si="670"/>
        <v>0</v>
      </c>
      <c r="Y4259" s="8">
        <f t="shared" si="671"/>
        <v>46023</v>
      </c>
    </row>
    <row r="4260" spans="2:25" ht="18.75" x14ac:dyDescent="0.3">
      <c r="B4260" s="6">
        <f t="shared" si="663"/>
        <v>0</v>
      </c>
      <c r="C4260" s="6">
        <f t="shared" si="664"/>
        <v>0</v>
      </c>
      <c r="D4260" s="6" t="str">
        <f t="shared" si="665"/>
        <v/>
      </c>
      <c r="E4260" s="35" t="str">
        <f t="shared" si="662"/>
        <v/>
      </c>
      <c r="F4260" s="31"/>
      <c r="G4260" s="29"/>
      <c r="H4260" s="78" t="str">
        <f t="shared" si="666"/>
        <v/>
      </c>
      <c r="I4260" s="25"/>
      <c r="J4260" s="25"/>
      <c r="K4260" s="26"/>
      <c r="L4260" s="26"/>
      <c r="M4260" s="37"/>
      <c r="N4260" s="27"/>
      <c r="O4260" s="30"/>
      <c r="P4260" s="39" t="str">
        <f t="shared" si="667"/>
        <v/>
      </c>
      <c r="Q4260" s="40" t="str">
        <f>IF(OR(T4260=0,RIGHT(T4260,1)=$W$1),"",COUNTIF($T$3:T4260,T4260))</f>
        <v/>
      </c>
      <c r="S4260" s="6">
        <f t="shared" si="668"/>
        <v>0</v>
      </c>
      <c r="T4260" s="36">
        <f t="shared" si="669"/>
        <v>0</v>
      </c>
      <c r="V4260" s="6">
        <f t="shared" si="670"/>
        <v>0</v>
      </c>
      <c r="Y4260" s="8">
        <f t="shared" si="671"/>
        <v>46023</v>
      </c>
    </row>
    <row r="4261" spans="2:25" ht="18.75" x14ac:dyDescent="0.3">
      <c r="B4261" s="6">
        <f t="shared" si="663"/>
        <v>0</v>
      </c>
      <c r="C4261" s="6">
        <f t="shared" si="664"/>
        <v>0</v>
      </c>
      <c r="D4261" s="6" t="str">
        <f t="shared" si="665"/>
        <v/>
      </c>
      <c r="E4261" s="35" t="str">
        <f t="shared" si="662"/>
        <v/>
      </c>
      <c r="F4261" s="31"/>
      <c r="G4261" s="29"/>
      <c r="H4261" s="78" t="str">
        <f t="shared" si="666"/>
        <v/>
      </c>
      <c r="I4261" s="25"/>
      <c r="J4261" s="25"/>
      <c r="K4261" s="26"/>
      <c r="L4261" s="26"/>
      <c r="M4261" s="37"/>
      <c r="N4261" s="27"/>
      <c r="O4261" s="30"/>
      <c r="P4261" s="39" t="str">
        <f t="shared" si="667"/>
        <v/>
      </c>
      <c r="Q4261" s="40" t="str">
        <f>IF(OR(T4261=0,RIGHT(T4261,1)=$W$1),"",COUNTIF($T$3:T4261,T4261))</f>
        <v/>
      </c>
      <c r="S4261" s="6">
        <f t="shared" si="668"/>
        <v>0</v>
      </c>
      <c r="T4261" s="36">
        <f t="shared" si="669"/>
        <v>0</v>
      </c>
      <c r="V4261" s="6">
        <f t="shared" si="670"/>
        <v>0</v>
      </c>
      <c r="Y4261" s="8">
        <f t="shared" si="671"/>
        <v>46023</v>
      </c>
    </row>
    <row r="4262" spans="2:25" ht="18.75" x14ac:dyDescent="0.3">
      <c r="B4262" s="6">
        <f t="shared" si="663"/>
        <v>0</v>
      </c>
      <c r="C4262" s="6">
        <f t="shared" si="664"/>
        <v>0</v>
      </c>
      <c r="D4262" s="6" t="str">
        <f t="shared" si="665"/>
        <v/>
      </c>
      <c r="E4262" s="35" t="str">
        <f t="shared" si="662"/>
        <v/>
      </c>
      <c r="F4262" s="31"/>
      <c r="G4262" s="29"/>
      <c r="H4262" s="78" t="str">
        <f t="shared" si="666"/>
        <v/>
      </c>
      <c r="I4262" s="25"/>
      <c r="J4262" s="25"/>
      <c r="K4262" s="26"/>
      <c r="L4262" s="26"/>
      <c r="M4262" s="37"/>
      <c r="N4262" s="27"/>
      <c r="O4262" s="30"/>
      <c r="P4262" s="39" t="str">
        <f t="shared" si="667"/>
        <v/>
      </c>
      <c r="Q4262" s="40" t="str">
        <f>IF(OR(T4262=0,RIGHT(T4262,1)=$W$1),"",COUNTIF($T$3:T4262,T4262))</f>
        <v/>
      </c>
      <c r="S4262" s="6">
        <f t="shared" si="668"/>
        <v>0</v>
      </c>
      <c r="T4262" s="36">
        <f t="shared" si="669"/>
        <v>0</v>
      </c>
      <c r="V4262" s="6">
        <f t="shared" si="670"/>
        <v>0</v>
      </c>
      <c r="Y4262" s="8">
        <f t="shared" si="671"/>
        <v>46023</v>
      </c>
    </row>
    <row r="4263" spans="2:25" ht="18.75" x14ac:dyDescent="0.3">
      <c r="B4263" s="6">
        <f t="shared" si="663"/>
        <v>0</v>
      </c>
      <c r="C4263" s="6">
        <f t="shared" si="664"/>
        <v>0</v>
      </c>
      <c r="D4263" s="6" t="str">
        <f t="shared" si="665"/>
        <v/>
      </c>
      <c r="E4263" s="35" t="str">
        <f t="shared" si="662"/>
        <v/>
      </c>
      <c r="F4263" s="31"/>
      <c r="G4263" s="29"/>
      <c r="H4263" s="78" t="str">
        <f t="shared" si="666"/>
        <v/>
      </c>
      <c r="I4263" s="25"/>
      <c r="J4263" s="25"/>
      <c r="K4263" s="26"/>
      <c r="L4263" s="26"/>
      <c r="M4263" s="37"/>
      <c r="N4263" s="27"/>
      <c r="O4263" s="30"/>
      <c r="P4263" s="39" t="str">
        <f t="shared" si="667"/>
        <v/>
      </c>
      <c r="Q4263" s="40" t="str">
        <f>IF(OR(T4263=0,RIGHT(T4263,1)=$W$1),"",COUNTIF($T$3:T4263,T4263))</f>
        <v/>
      </c>
      <c r="S4263" s="6">
        <f t="shared" si="668"/>
        <v>0</v>
      </c>
      <c r="T4263" s="36">
        <f t="shared" si="669"/>
        <v>0</v>
      </c>
      <c r="V4263" s="6">
        <f t="shared" si="670"/>
        <v>0</v>
      </c>
      <c r="Y4263" s="8">
        <f t="shared" si="671"/>
        <v>46023</v>
      </c>
    </row>
    <row r="4264" spans="2:25" ht="18.75" x14ac:dyDescent="0.3">
      <c r="B4264" s="6">
        <f t="shared" si="663"/>
        <v>0</v>
      </c>
      <c r="C4264" s="6">
        <f t="shared" si="664"/>
        <v>0</v>
      </c>
      <c r="D4264" s="6" t="str">
        <f t="shared" si="665"/>
        <v/>
      </c>
      <c r="E4264" s="35" t="str">
        <f t="shared" si="662"/>
        <v/>
      </c>
      <c r="F4264" s="31"/>
      <c r="G4264" s="29"/>
      <c r="H4264" s="78" t="str">
        <f t="shared" si="666"/>
        <v/>
      </c>
      <c r="I4264" s="25"/>
      <c r="J4264" s="25"/>
      <c r="K4264" s="26"/>
      <c r="L4264" s="26"/>
      <c r="M4264" s="37"/>
      <c r="N4264" s="27"/>
      <c r="O4264" s="30"/>
      <c r="P4264" s="39" t="str">
        <f t="shared" si="667"/>
        <v/>
      </c>
      <c r="Q4264" s="40" t="str">
        <f>IF(OR(T4264=0,RIGHT(T4264,1)=$W$1),"",COUNTIF($T$3:T4264,T4264))</f>
        <v/>
      </c>
      <c r="S4264" s="6">
        <f t="shared" si="668"/>
        <v>0</v>
      </c>
      <c r="T4264" s="36">
        <f t="shared" si="669"/>
        <v>0</v>
      </c>
      <c r="V4264" s="6">
        <f t="shared" si="670"/>
        <v>0</v>
      </c>
      <c r="Y4264" s="8">
        <f t="shared" si="671"/>
        <v>46023</v>
      </c>
    </row>
    <row r="4265" spans="2:25" ht="18.75" x14ac:dyDescent="0.3">
      <c r="B4265" s="6">
        <f t="shared" si="663"/>
        <v>0</v>
      </c>
      <c r="C4265" s="6">
        <f t="shared" si="664"/>
        <v>0</v>
      </c>
      <c r="D4265" s="6" t="str">
        <f t="shared" si="665"/>
        <v/>
      </c>
      <c r="E4265" s="35" t="str">
        <f t="shared" si="662"/>
        <v/>
      </c>
      <c r="F4265" s="31"/>
      <c r="G4265" s="29"/>
      <c r="H4265" s="78" t="str">
        <f t="shared" si="666"/>
        <v/>
      </c>
      <c r="I4265" s="25"/>
      <c r="J4265" s="25"/>
      <c r="K4265" s="26"/>
      <c r="L4265" s="26"/>
      <c r="M4265" s="37"/>
      <c r="N4265" s="27"/>
      <c r="O4265" s="30"/>
      <c r="P4265" s="39" t="str">
        <f t="shared" si="667"/>
        <v/>
      </c>
      <c r="Q4265" s="40" t="str">
        <f>IF(OR(T4265=0,RIGHT(T4265,1)=$W$1),"",COUNTIF($T$3:T4265,T4265))</f>
        <v/>
      </c>
      <c r="S4265" s="6">
        <f t="shared" si="668"/>
        <v>0</v>
      </c>
      <c r="T4265" s="36">
        <f t="shared" si="669"/>
        <v>0</v>
      </c>
      <c r="V4265" s="6">
        <f t="shared" si="670"/>
        <v>0</v>
      </c>
      <c r="Y4265" s="8">
        <f t="shared" si="671"/>
        <v>46023</v>
      </c>
    </row>
    <row r="4266" spans="2:25" ht="18.75" x14ac:dyDescent="0.3">
      <c r="B4266" s="6">
        <f t="shared" si="663"/>
        <v>0</v>
      </c>
      <c r="C4266" s="6">
        <f t="shared" si="664"/>
        <v>0</v>
      </c>
      <c r="D4266" s="6" t="str">
        <f t="shared" si="665"/>
        <v/>
      </c>
      <c r="E4266" s="35" t="str">
        <f t="shared" si="662"/>
        <v/>
      </c>
      <c r="F4266" s="31"/>
      <c r="G4266" s="29"/>
      <c r="H4266" s="78" t="str">
        <f t="shared" si="666"/>
        <v/>
      </c>
      <c r="I4266" s="25"/>
      <c r="J4266" s="25"/>
      <c r="K4266" s="26"/>
      <c r="L4266" s="26"/>
      <c r="M4266" s="37"/>
      <c r="N4266" s="27"/>
      <c r="O4266" s="30"/>
      <c r="P4266" s="39" t="str">
        <f t="shared" si="667"/>
        <v/>
      </c>
      <c r="Q4266" s="40" t="str">
        <f>IF(OR(T4266=0,RIGHT(T4266,1)=$W$1),"",COUNTIF($T$3:T4266,T4266))</f>
        <v/>
      </c>
      <c r="S4266" s="6">
        <f t="shared" si="668"/>
        <v>0</v>
      </c>
      <c r="T4266" s="36">
        <f t="shared" si="669"/>
        <v>0</v>
      </c>
      <c r="V4266" s="6">
        <f t="shared" si="670"/>
        <v>0</v>
      </c>
      <c r="Y4266" s="8">
        <f t="shared" si="671"/>
        <v>46023</v>
      </c>
    </row>
    <row r="4267" spans="2:25" ht="18.75" x14ac:dyDescent="0.3">
      <c r="B4267" s="6">
        <f t="shared" si="663"/>
        <v>0</v>
      </c>
      <c r="C4267" s="6">
        <f t="shared" si="664"/>
        <v>0</v>
      </c>
      <c r="D4267" s="6" t="str">
        <f t="shared" si="665"/>
        <v/>
      </c>
      <c r="E4267" s="35" t="str">
        <f t="shared" si="662"/>
        <v/>
      </c>
      <c r="F4267" s="31"/>
      <c r="G4267" s="29"/>
      <c r="H4267" s="78" t="str">
        <f t="shared" si="666"/>
        <v/>
      </c>
      <c r="I4267" s="25"/>
      <c r="J4267" s="25"/>
      <c r="K4267" s="26"/>
      <c r="L4267" s="26"/>
      <c r="M4267" s="37"/>
      <c r="N4267" s="27"/>
      <c r="O4267" s="30"/>
      <c r="P4267" s="39" t="str">
        <f t="shared" si="667"/>
        <v/>
      </c>
      <c r="Q4267" s="40" t="str">
        <f>IF(OR(T4267=0,RIGHT(T4267,1)=$W$1),"",COUNTIF($T$3:T4267,T4267))</f>
        <v/>
      </c>
      <c r="S4267" s="6">
        <f t="shared" si="668"/>
        <v>0</v>
      </c>
      <c r="T4267" s="36">
        <f t="shared" si="669"/>
        <v>0</v>
      </c>
      <c r="V4267" s="6">
        <f t="shared" si="670"/>
        <v>0</v>
      </c>
      <c r="Y4267" s="8">
        <f t="shared" si="671"/>
        <v>46023</v>
      </c>
    </row>
    <row r="4268" spans="2:25" ht="18.75" x14ac:dyDescent="0.3">
      <c r="B4268" s="6">
        <f t="shared" si="663"/>
        <v>0</v>
      </c>
      <c r="C4268" s="6">
        <f t="shared" si="664"/>
        <v>0</v>
      </c>
      <c r="D4268" s="6" t="str">
        <f t="shared" si="665"/>
        <v/>
      </c>
      <c r="E4268" s="35" t="str">
        <f t="shared" si="662"/>
        <v/>
      </c>
      <c r="F4268" s="31"/>
      <c r="G4268" s="29"/>
      <c r="H4268" s="78" t="str">
        <f t="shared" si="666"/>
        <v/>
      </c>
      <c r="I4268" s="25"/>
      <c r="J4268" s="25"/>
      <c r="K4268" s="26"/>
      <c r="L4268" s="26"/>
      <c r="M4268" s="37"/>
      <c r="N4268" s="27"/>
      <c r="O4268" s="30"/>
      <c r="P4268" s="39" t="str">
        <f t="shared" si="667"/>
        <v/>
      </c>
      <c r="Q4268" s="40" t="str">
        <f>IF(OR(T4268=0,RIGHT(T4268,1)=$W$1),"",COUNTIF($T$3:T4268,T4268))</f>
        <v/>
      </c>
      <c r="S4268" s="6">
        <f t="shared" si="668"/>
        <v>0</v>
      </c>
      <c r="T4268" s="36">
        <f t="shared" si="669"/>
        <v>0</v>
      </c>
      <c r="V4268" s="6">
        <f t="shared" si="670"/>
        <v>0</v>
      </c>
      <c r="Y4268" s="8">
        <f t="shared" si="671"/>
        <v>46023</v>
      </c>
    </row>
    <row r="4269" spans="2:25" ht="18.75" x14ac:dyDescent="0.3">
      <c r="B4269" s="6">
        <f t="shared" si="663"/>
        <v>0</v>
      </c>
      <c r="C4269" s="6">
        <f t="shared" si="664"/>
        <v>0</v>
      </c>
      <c r="D4269" s="6" t="str">
        <f t="shared" si="665"/>
        <v/>
      </c>
      <c r="E4269" s="35" t="str">
        <f t="shared" si="662"/>
        <v/>
      </c>
      <c r="F4269" s="31"/>
      <c r="G4269" s="29"/>
      <c r="H4269" s="78" t="str">
        <f t="shared" si="666"/>
        <v/>
      </c>
      <c r="I4269" s="25"/>
      <c r="J4269" s="25"/>
      <c r="K4269" s="26"/>
      <c r="L4269" s="26"/>
      <c r="M4269" s="37"/>
      <c r="N4269" s="27"/>
      <c r="O4269" s="30"/>
      <c r="P4269" s="39" t="str">
        <f t="shared" si="667"/>
        <v/>
      </c>
      <c r="Q4269" s="40" t="str">
        <f>IF(OR(T4269=0,RIGHT(T4269,1)=$W$1),"",COUNTIF($T$3:T4269,T4269))</f>
        <v/>
      </c>
      <c r="S4269" s="6">
        <f t="shared" si="668"/>
        <v>0</v>
      </c>
      <c r="T4269" s="36">
        <f t="shared" si="669"/>
        <v>0</v>
      </c>
      <c r="V4269" s="6">
        <f t="shared" si="670"/>
        <v>0</v>
      </c>
      <c r="Y4269" s="8">
        <f t="shared" si="671"/>
        <v>46023</v>
      </c>
    </row>
    <row r="4270" spans="2:25" ht="18.75" x14ac:dyDescent="0.3">
      <c r="B4270" s="6">
        <f t="shared" si="663"/>
        <v>0</v>
      </c>
      <c r="C4270" s="6">
        <f t="shared" si="664"/>
        <v>0</v>
      </c>
      <c r="D4270" s="6" t="str">
        <f t="shared" si="665"/>
        <v/>
      </c>
      <c r="E4270" s="35" t="str">
        <f t="shared" si="662"/>
        <v/>
      </c>
      <c r="F4270" s="31"/>
      <c r="G4270" s="29"/>
      <c r="H4270" s="78" t="str">
        <f t="shared" si="666"/>
        <v/>
      </c>
      <c r="I4270" s="25"/>
      <c r="J4270" s="25"/>
      <c r="K4270" s="26"/>
      <c r="L4270" s="26"/>
      <c r="M4270" s="37"/>
      <c r="N4270" s="27"/>
      <c r="O4270" s="30"/>
      <c r="P4270" s="39" t="str">
        <f t="shared" si="667"/>
        <v/>
      </c>
      <c r="Q4270" s="40" t="str">
        <f>IF(OR(T4270=0,RIGHT(T4270,1)=$W$1),"",COUNTIF($T$3:T4270,T4270))</f>
        <v/>
      </c>
      <c r="S4270" s="6">
        <f t="shared" si="668"/>
        <v>0</v>
      </c>
      <c r="T4270" s="36">
        <f t="shared" si="669"/>
        <v>0</v>
      </c>
      <c r="V4270" s="6">
        <f t="shared" si="670"/>
        <v>0</v>
      </c>
      <c r="Y4270" s="8">
        <f t="shared" si="671"/>
        <v>46023</v>
      </c>
    </row>
    <row r="4271" spans="2:25" ht="18.75" x14ac:dyDescent="0.3">
      <c r="B4271" s="6">
        <f t="shared" si="663"/>
        <v>0</v>
      </c>
      <c r="C4271" s="6">
        <f t="shared" si="664"/>
        <v>0</v>
      </c>
      <c r="D4271" s="6" t="str">
        <f t="shared" si="665"/>
        <v/>
      </c>
      <c r="E4271" s="35" t="str">
        <f t="shared" si="662"/>
        <v/>
      </c>
      <c r="F4271" s="31"/>
      <c r="G4271" s="29"/>
      <c r="H4271" s="78" t="str">
        <f t="shared" si="666"/>
        <v/>
      </c>
      <c r="I4271" s="25"/>
      <c r="J4271" s="25"/>
      <c r="K4271" s="26"/>
      <c r="L4271" s="26"/>
      <c r="M4271" s="37"/>
      <c r="N4271" s="27"/>
      <c r="O4271" s="30"/>
      <c r="P4271" s="39" t="str">
        <f t="shared" si="667"/>
        <v/>
      </c>
      <c r="Q4271" s="40" t="str">
        <f>IF(OR(T4271=0,RIGHT(T4271,1)=$W$1),"",COUNTIF($T$3:T4271,T4271))</f>
        <v/>
      </c>
      <c r="S4271" s="6">
        <f t="shared" si="668"/>
        <v>0</v>
      </c>
      <c r="T4271" s="36">
        <f t="shared" si="669"/>
        <v>0</v>
      </c>
      <c r="V4271" s="6">
        <f t="shared" si="670"/>
        <v>0</v>
      </c>
      <c r="Y4271" s="8">
        <f t="shared" si="671"/>
        <v>46023</v>
      </c>
    </row>
    <row r="4272" spans="2:25" ht="18.75" x14ac:dyDescent="0.3">
      <c r="B4272" s="6">
        <f t="shared" si="663"/>
        <v>0</v>
      </c>
      <c r="C4272" s="6">
        <f t="shared" si="664"/>
        <v>0</v>
      </c>
      <c r="D4272" s="6" t="str">
        <f t="shared" si="665"/>
        <v/>
      </c>
      <c r="E4272" s="35" t="str">
        <f t="shared" si="662"/>
        <v/>
      </c>
      <c r="F4272" s="31"/>
      <c r="G4272" s="29"/>
      <c r="H4272" s="78" t="str">
        <f t="shared" si="666"/>
        <v/>
      </c>
      <c r="I4272" s="25"/>
      <c r="J4272" s="25"/>
      <c r="K4272" s="26"/>
      <c r="L4272" s="26"/>
      <c r="M4272" s="37"/>
      <c r="N4272" s="27"/>
      <c r="O4272" s="30"/>
      <c r="P4272" s="39" t="str">
        <f t="shared" si="667"/>
        <v/>
      </c>
      <c r="Q4272" s="40" t="str">
        <f>IF(OR(T4272=0,RIGHT(T4272,1)=$W$1),"",COUNTIF($T$3:T4272,T4272))</f>
        <v/>
      </c>
      <c r="S4272" s="6">
        <f t="shared" si="668"/>
        <v>0</v>
      </c>
      <c r="T4272" s="36">
        <f t="shared" si="669"/>
        <v>0</v>
      </c>
      <c r="V4272" s="6">
        <f t="shared" si="670"/>
        <v>0</v>
      </c>
      <c r="Y4272" s="8">
        <f t="shared" si="671"/>
        <v>46023</v>
      </c>
    </row>
    <row r="4273" spans="2:25" ht="18.75" x14ac:dyDescent="0.3">
      <c r="B4273" s="6">
        <f t="shared" si="663"/>
        <v>0</v>
      </c>
      <c r="C4273" s="6">
        <f t="shared" si="664"/>
        <v>0</v>
      </c>
      <c r="D4273" s="6" t="str">
        <f t="shared" si="665"/>
        <v/>
      </c>
      <c r="E4273" s="35" t="str">
        <f t="shared" si="662"/>
        <v/>
      </c>
      <c r="F4273" s="31"/>
      <c r="G4273" s="29"/>
      <c r="H4273" s="78" t="str">
        <f t="shared" si="666"/>
        <v/>
      </c>
      <c r="I4273" s="25"/>
      <c r="J4273" s="25"/>
      <c r="K4273" s="26"/>
      <c r="L4273" s="26"/>
      <c r="M4273" s="37"/>
      <c r="N4273" s="27"/>
      <c r="O4273" s="30"/>
      <c r="P4273" s="39" t="str">
        <f t="shared" si="667"/>
        <v/>
      </c>
      <c r="Q4273" s="40" t="str">
        <f>IF(OR(T4273=0,RIGHT(T4273,1)=$W$1),"",COUNTIF($T$3:T4273,T4273))</f>
        <v/>
      </c>
      <c r="S4273" s="6">
        <f t="shared" si="668"/>
        <v>0</v>
      </c>
      <c r="T4273" s="36">
        <f t="shared" si="669"/>
        <v>0</v>
      </c>
      <c r="V4273" s="6">
        <f t="shared" si="670"/>
        <v>0</v>
      </c>
      <c r="Y4273" s="8">
        <f t="shared" si="671"/>
        <v>46023</v>
      </c>
    </row>
    <row r="4274" spans="2:25" ht="18.75" x14ac:dyDescent="0.3">
      <c r="B4274" s="6">
        <f t="shared" si="663"/>
        <v>0</v>
      </c>
      <c r="C4274" s="6">
        <f t="shared" si="664"/>
        <v>0</v>
      </c>
      <c r="D4274" s="6" t="str">
        <f t="shared" si="665"/>
        <v/>
      </c>
      <c r="E4274" s="35" t="str">
        <f t="shared" si="662"/>
        <v/>
      </c>
      <c r="F4274" s="31"/>
      <c r="G4274" s="29"/>
      <c r="H4274" s="78" t="str">
        <f t="shared" si="666"/>
        <v/>
      </c>
      <c r="I4274" s="25"/>
      <c r="J4274" s="25"/>
      <c r="K4274" s="26"/>
      <c r="L4274" s="26"/>
      <c r="M4274" s="37"/>
      <c r="N4274" s="27"/>
      <c r="O4274" s="30"/>
      <c r="P4274" s="39" t="str">
        <f t="shared" si="667"/>
        <v/>
      </c>
      <c r="Q4274" s="40" t="str">
        <f>IF(OR(T4274=0,RIGHT(T4274,1)=$W$1),"",COUNTIF($T$3:T4274,T4274))</f>
        <v/>
      </c>
      <c r="S4274" s="6">
        <f t="shared" si="668"/>
        <v>0</v>
      </c>
      <c r="T4274" s="36">
        <f t="shared" si="669"/>
        <v>0</v>
      </c>
      <c r="V4274" s="6">
        <f t="shared" si="670"/>
        <v>0</v>
      </c>
      <c r="Y4274" s="8">
        <f t="shared" si="671"/>
        <v>46023</v>
      </c>
    </row>
    <row r="4275" spans="2:25" ht="18.75" x14ac:dyDescent="0.3">
      <c r="B4275" s="6">
        <f t="shared" si="663"/>
        <v>0</v>
      </c>
      <c r="C4275" s="6">
        <f t="shared" si="664"/>
        <v>0</v>
      </c>
      <c r="D4275" s="6" t="str">
        <f t="shared" si="665"/>
        <v/>
      </c>
      <c r="E4275" s="35" t="str">
        <f t="shared" si="662"/>
        <v/>
      </c>
      <c r="F4275" s="31"/>
      <c r="G4275" s="29"/>
      <c r="H4275" s="78" t="str">
        <f t="shared" si="666"/>
        <v/>
      </c>
      <c r="I4275" s="25"/>
      <c r="J4275" s="25"/>
      <c r="K4275" s="26"/>
      <c r="L4275" s="26"/>
      <c r="M4275" s="37"/>
      <c r="N4275" s="27"/>
      <c r="O4275" s="30"/>
      <c r="P4275" s="39" t="str">
        <f t="shared" si="667"/>
        <v/>
      </c>
      <c r="Q4275" s="40" t="str">
        <f>IF(OR(T4275=0,RIGHT(T4275,1)=$W$1),"",COUNTIF($T$3:T4275,T4275))</f>
        <v/>
      </c>
      <c r="S4275" s="6">
        <f t="shared" si="668"/>
        <v>0</v>
      </c>
      <c r="T4275" s="36">
        <f t="shared" si="669"/>
        <v>0</v>
      </c>
      <c r="V4275" s="6">
        <f t="shared" si="670"/>
        <v>0</v>
      </c>
      <c r="Y4275" s="8">
        <f t="shared" si="671"/>
        <v>46023</v>
      </c>
    </row>
    <row r="4276" spans="2:25" ht="18.75" x14ac:dyDescent="0.3">
      <c r="B4276" s="6">
        <f t="shared" si="663"/>
        <v>0</v>
      </c>
      <c r="C4276" s="6">
        <f t="shared" si="664"/>
        <v>0</v>
      </c>
      <c r="D4276" s="6" t="str">
        <f t="shared" si="665"/>
        <v/>
      </c>
      <c r="E4276" s="35" t="str">
        <f t="shared" si="662"/>
        <v/>
      </c>
      <c r="F4276" s="31"/>
      <c r="G4276" s="29"/>
      <c r="H4276" s="78" t="str">
        <f t="shared" si="666"/>
        <v/>
      </c>
      <c r="I4276" s="25"/>
      <c r="J4276" s="25"/>
      <c r="K4276" s="26"/>
      <c r="L4276" s="26"/>
      <c r="M4276" s="37"/>
      <c r="N4276" s="27"/>
      <c r="O4276" s="30"/>
      <c r="P4276" s="39" t="str">
        <f t="shared" si="667"/>
        <v/>
      </c>
      <c r="Q4276" s="40" t="str">
        <f>IF(OR(T4276=0,RIGHT(T4276,1)=$W$1),"",COUNTIF($T$3:T4276,T4276))</f>
        <v/>
      </c>
      <c r="S4276" s="6">
        <f t="shared" si="668"/>
        <v>0</v>
      </c>
      <c r="T4276" s="36">
        <f t="shared" si="669"/>
        <v>0</v>
      </c>
      <c r="V4276" s="6">
        <f t="shared" si="670"/>
        <v>0</v>
      </c>
      <c r="Y4276" s="8">
        <f t="shared" si="671"/>
        <v>46023</v>
      </c>
    </row>
    <row r="4277" spans="2:25" ht="18.75" x14ac:dyDescent="0.3">
      <c r="B4277" s="6">
        <f t="shared" si="663"/>
        <v>0</v>
      </c>
      <c r="C4277" s="6">
        <f t="shared" si="664"/>
        <v>0</v>
      </c>
      <c r="D4277" s="6" t="str">
        <f t="shared" si="665"/>
        <v/>
      </c>
      <c r="E4277" s="35" t="str">
        <f t="shared" si="662"/>
        <v/>
      </c>
      <c r="F4277" s="31"/>
      <c r="G4277" s="29"/>
      <c r="H4277" s="78" t="str">
        <f t="shared" si="666"/>
        <v/>
      </c>
      <c r="I4277" s="25"/>
      <c r="J4277" s="25"/>
      <c r="K4277" s="26"/>
      <c r="L4277" s="26"/>
      <c r="M4277" s="37"/>
      <c r="N4277" s="27"/>
      <c r="O4277" s="30"/>
      <c r="P4277" s="39" t="str">
        <f t="shared" si="667"/>
        <v/>
      </c>
      <c r="Q4277" s="40" t="str">
        <f>IF(OR(T4277=0,RIGHT(T4277,1)=$W$1),"",COUNTIF($T$3:T4277,T4277))</f>
        <v/>
      </c>
      <c r="S4277" s="6">
        <f t="shared" si="668"/>
        <v>0</v>
      </c>
      <c r="T4277" s="36">
        <f t="shared" si="669"/>
        <v>0</v>
      </c>
      <c r="V4277" s="6">
        <f t="shared" si="670"/>
        <v>0</v>
      </c>
      <c r="Y4277" s="8">
        <f t="shared" si="671"/>
        <v>46023</v>
      </c>
    </row>
    <row r="4278" spans="2:25" ht="18.75" x14ac:dyDescent="0.3">
      <c r="B4278" s="6">
        <f t="shared" si="663"/>
        <v>0</v>
      </c>
      <c r="C4278" s="6">
        <f t="shared" si="664"/>
        <v>0</v>
      </c>
      <c r="D4278" s="6" t="str">
        <f t="shared" si="665"/>
        <v/>
      </c>
      <c r="E4278" s="35" t="str">
        <f t="shared" si="662"/>
        <v/>
      </c>
      <c r="F4278" s="31"/>
      <c r="G4278" s="29"/>
      <c r="H4278" s="78" t="str">
        <f t="shared" si="666"/>
        <v/>
      </c>
      <c r="I4278" s="25"/>
      <c r="J4278" s="25"/>
      <c r="K4278" s="26"/>
      <c r="L4278" s="26"/>
      <c r="M4278" s="37"/>
      <c r="N4278" s="27"/>
      <c r="O4278" s="30"/>
      <c r="P4278" s="39" t="str">
        <f t="shared" si="667"/>
        <v/>
      </c>
      <c r="Q4278" s="40" t="str">
        <f>IF(OR(T4278=0,RIGHT(T4278,1)=$W$1),"",COUNTIF($T$3:T4278,T4278))</f>
        <v/>
      </c>
      <c r="S4278" s="6">
        <f t="shared" si="668"/>
        <v>0</v>
      </c>
      <c r="T4278" s="36">
        <f t="shared" si="669"/>
        <v>0</v>
      </c>
      <c r="V4278" s="6">
        <f t="shared" si="670"/>
        <v>0</v>
      </c>
      <c r="Y4278" s="8">
        <f t="shared" si="671"/>
        <v>46023</v>
      </c>
    </row>
    <row r="4279" spans="2:25" ht="18.75" x14ac:dyDescent="0.3">
      <c r="B4279" s="6">
        <f t="shared" si="663"/>
        <v>0</v>
      </c>
      <c r="C4279" s="6">
        <f t="shared" si="664"/>
        <v>0</v>
      </c>
      <c r="D4279" s="6" t="str">
        <f t="shared" si="665"/>
        <v/>
      </c>
      <c r="E4279" s="35" t="str">
        <f t="shared" si="662"/>
        <v/>
      </c>
      <c r="F4279" s="31"/>
      <c r="G4279" s="29"/>
      <c r="H4279" s="78" t="str">
        <f t="shared" si="666"/>
        <v/>
      </c>
      <c r="I4279" s="25"/>
      <c r="J4279" s="25"/>
      <c r="K4279" s="26"/>
      <c r="L4279" s="26"/>
      <c r="M4279" s="37"/>
      <c r="N4279" s="27"/>
      <c r="O4279" s="30"/>
      <c r="P4279" s="39" t="str">
        <f t="shared" si="667"/>
        <v/>
      </c>
      <c r="Q4279" s="40" t="str">
        <f>IF(OR(T4279=0,RIGHT(T4279,1)=$W$1),"",COUNTIF($T$3:T4279,T4279))</f>
        <v/>
      </c>
      <c r="S4279" s="6">
        <f t="shared" si="668"/>
        <v>0</v>
      </c>
      <c r="T4279" s="36">
        <f t="shared" si="669"/>
        <v>0</v>
      </c>
      <c r="V4279" s="6">
        <f t="shared" si="670"/>
        <v>0</v>
      </c>
      <c r="Y4279" s="8">
        <f t="shared" si="671"/>
        <v>46023</v>
      </c>
    </row>
    <row r="4280" spans="2:25" ht="18.75" x14ac:dyDescent="0.3">
      <c r="B4280" s="6">
        <f t="shared" si="663"/>
        <v>0</v>
      </c>
      <c r="C4280" s="6">
        <f t="shared" si="664"/>
        <v>0</v>
      </c>
      <c r="D4280" s="6" t="str">
        <f t="shared" si="665"/>
        <v/>
      </c>
      <c r="E4280" s="35" t="str">
        <f t="shared" si="662"/>
        <v/>
      </c>
      <c r="F4280" s="31"/>
      <c r="G4280" s="29"/>
      <c r="H4280" s="78" t="str">
        <f t="shared" si="666"/>
        <v/>
      </c>
      <c r="I4280" s="25"/>
      <c r="J4280" s="25"/>
      <c r="K4280" s="26"/>
      <c r="L4280" s="26"/>
      <c r="M4280" s="37"/>
      <c r="N4280" s="27"/>
      <c r="O4280" s="30"/>
      <c r="P4280" s="39" t="str">
        <f t="shared" si="667"/>
        <v/>
      </c>
      <c r="Q4280" s="40" t="str">
        <f>IF(OR(T4280=0,RIGHT(T4280,1)=$W$1),"",COUNTIF($T$3:T4280,T4280))</f>
        <v/>
      </c>
      <c r="S4280" s="6">
        <f t="shared" si="668"/>
        <v>0</v>
      </c>
      <c r="T4280" s="36">
        <f t="shared" si="669"/>
        <v>0</v>
      </c>
      <c r="V4280" s="6">
        <f t="shared" si="670"/>
        <v>0</v>
      </c>
      <c r="Y4280" s="8">
        <f t="shared" si="671"/>
        <v>46023</v>
      </c>
    </row>
    <row r="4281" spans="2:25" ht="18.75" x14ac:dyDescent="0.3">
      <c r="B4281" s="6">
        <f t="shared" si="663"/>
        <v>0</v>
      </c>
      <c r="C4281" s="6">
        <f t="shared" si="664"/>
        <v>0</v>
      </c>
      <c r="D4281" s="6" t="str">
        <f t="shared" si="665"/>
        <v/>
      </c>
      <c r="E4281" s="35" t="str">
        <f t="shared" si="662"/>
        <v/>
      </c>
      <c r="F4281" s="31"/>
      <c r="G4281" s="29"/>
      <c r="H4281" s="78" t="str">
        <f t="shared" si="666"/>
        <v/>
      </c>
      <c r="I4281" s="25"/>
      <c r="J4281" s="25"/>
      <c r="K4281" s="26"/>
      <c r="L4281" s="26"/>
      <c r="M4281" s="37"/>
      <c r="N4281" s="27"/>
      <c r="O4281" s="30"/>
      <c r="P4281" s="39" t="str">
        <f t="shared" si="667"/>
        <v/>
      </c>
      <c r="Q4281" s="40" t="str">
        <f>IF(OR(T4281=0,RIGHT(T4281,1)=$W$1),"",COUNTIF($T$3:T4281,T4281))</f>
        <v/>
      </c>
      <c r="S4281" s="6">
        <f t="shared" si="668"/>
        <v>0</v>
      </c>
      <c r="T4281" s="36">
        <f t="shared" si="669"/>
        <v>0</v>
      </c>
      <c r="V4281" s="6">
        <f t="shared" si="670"/>
        <v>0</v>
      </c>
      <c r="Y4281" s="8">
        <f t="shared" si="671"/>
        <v>46023</v>
      </c>
    </row>
    <row r="4282" spans="2:25" ht="18.75" x14ac:dyDescent="0.3">
      <c r="B4282" s="6">
        <f t="shared" si="663"/>
        <v>0</v>
      </c>
      <c r="C4282" s="6">
        <f t="shared" si="664"/>
        <v>0</v>
      </c>
      <c r="D4282" s="6" t="str">
        <f t="shared" si="665"/>
        <v/>
      </c>
      <c r="E4282" s="35" t="str">
        <f t="shared" si="662"/>
        <v/>
      </c>
      <c r="F4282" s="31"/>
      <c r="G4282" s="29"/>
      <c r="H4282" s="78" t="str">
        <f t="shared" si="666"/>
        <v/>
      </c>
      <c r="I4282" s="25"/>
      <c r="J4282" s="25"/>
      <c r="K4282" s="26"/>
      <c r="L4282" s="26"/>
      <c r="M4282" s="37"/>
      <c r="N4282" s="27"/>
      <c r="O4282" s="30"/>
      <c r="P4282" s="39" t="str">
        <f t="shared" si="667"/>
        <v/>
      </c>
      <c r="Q4282" s="40" t="str">
        <f>IF(OR(T4282=0,RIGHT(T4282,1)=$W$1),"",COUNTIF($T$3:T4282,T4282))</f>
        <v/>
      </c>
      <c r="S4282" s="6">
        <f t="shared" si="668"/>
        <v>0</v>
      </c>
      <c r="T4282" s="36">
        <f t="shared" si="669"/>
        <v>0</v>
      </c>
      <c r="V4282" s="6">
        <f t="shared" si="670"/>
        <v>0</v>
      </c>
      <c r="Y4282" s="8">
        <f t="shared" si="671"/>
        <v>46023</v>
      </c>
    </row>
    <row r="4283" spans="2:25" ht="18.75" x14ac:dyDescent="0.3">
      <c r="B4283" s="6">
        <f t="shared" si="663"/>
        <v>0</v>
      </c>
      <c r="C4283" s="6">
        <f t="shared" si="664"/>
        <v>0</v>
      </c>
      <c r="D4283" s="6" t="str">
        <f t="shared" si="665"/>
        <v/>
      </c>
      <c r="E4283" s="35" t="str">
        <f t="shared" si="662"/>
        <v/>
      </c>
      <c r="F4283" s="31"/>
      <c r="G4283" s="29"/>
      <c r="H4283" s="78" t="str">
        <f t="shared" si="666"/>
        <v/>
      </c>
      <c r="I4283" s="25"/>
      <c r="J4283" s="25"/>
      <c r="K4283" s="26"/>
      <c r="L4283" s="26"/>
      <c r="M4283" s="37"/>
      <c r="N4283" s="27"/>
      <c r="O4283" s="30"/>
      <c r="P4283" s="39" t="str">
        <f t="shared" si="667"/>
        <v/>
      </c>
      <c r="Q4283" s="40" t="str">
        <f>IF(OR(T4283=0,RIGHT(T4283,1)=$W$1),"",COUNTIF($T$3:T4283,T4283))</f>
        <v/>
      </c>
      <c r="S4283" s="6">
        <f t="shared" si="668"/>
        <v>0</v>
      </c>
      <c r="T4283" s="36">
        <f t="shared" si="669"/>
        <v>0</v>
      </c>
      <c r="V4283" s="6">
        <f t="shared" si="670"/>
        <v>0</v>
      </c>
      <c r="Y4283" s="8">
        <f t="shared" si="671"/>
        <v>46023</v>
      </c>
    </row>
    <row r="4284" spans="2:25" ht="18.75" x14ac:dyDescent="0.3">
      <c r="B4284" s="6">
        <f t="shared" si="663"/>
        <v>0</v>
      </c>
      <c r="C4284" s="6">
        <f t="shared" si="664"/>
        <v>0</v>
      </c>
      <c r="D4284" s="6" t="str">
        <f t="shared" si="665"/>
        <v/>
      </c>
      <c r="E4284" s="35" t="str">
        <f t="shared" si="662"/>
        <v/>
      </c>
      <c r="F4284" s="31"/>
      <c r="G4284" s="29"/>
      <c r="H4284" s="78" t="str">
        <f t="shared" si="666"/>
        <v/>
      </c>
      <c r="I4284" s="25"/>
      <c r="J4284" s="25"/>
      <c r="K4284" s="26"/>
      <c r="L4284" s="26"/>
      <c r="M4284" s="37"/>
      <c r="N4284" s="27"/>
      <c r="O4284" s="30"/>
      <c r="P4284" s="39" t="str">
        <f t="shared" si="667"/>
        <v/>
      </c>
      <c r="Q4284" s="40" t="str">
        <f>IF(OR(T4284=0,RIGHT(T4284,1)=$W$1),"",COUNTIF($T$3:T4284,T4284))</f>
        <v/>
      </c>
      <c r="S4284" s="6">
        <f t="shared" si="668"/>
        <v>0</v>
      </c>
      <c r="T4284" s="36">
        <f t="shared" si="669"/>
        <v>0</v>
      </c>
      <c r="V4284" s="6">
        <f t="shared" si="670"/>
        <v>0</v>
      </c>
      <c r="Y4284" s="8">
        <f t="shared" si="671"/>
        <v>46023</v>
      </c>
    </row>
    <row r="4285" spans="2:25" ht="18.75" x14ac:dyDescent="0.3">
      <c r="B4285" s="6">
        <f t="shared" si="663"/>
        <v>0</v>
      </c>
      <c r="C4285" s="6">
        <f t="shared" si="664"/>
        <v>0</v>
      </c>
      <c r="D4285" s="6" t="str">
        <f t="shared" si="665"/>
        <v/>
      </c>
      <c r="E4285" s="35" t="str">
        <f t="shared" si="662"/>
        <v/>
      </c>
      <c r="F4285" s="31"/>
      <c r="G4285" s="29"/>
      <c r="H4285" s="78" t="str">
        <f t="shared" si="666"/>
        <v/>
      </c>
      <c r="I4285" s="25"/>
      <c r="J4285" s="25"/>
      <c r="K4285" s="26"/>
      <c r="L4285" s="26"/>
      <c r="M4285" s="37"/>
      <c r="N4285" s="27"/>
      <c r="O4285" s="30"/>
      <c r="P4285" s="39" t="str">
        <f t="shared" si="667"/>
        <v/>
      </c>
      <c r="Q4285" s="40" t="str">
        <f>IF(OR(T4285=0,RIGHT(T4285,1)=$W$1),"",COUNTIF($T$3:T4285,T4285))</f>
        <v/>
      </c>
      <c r="S4285" s="6">
        <f t="shared" si="668"/>
        <v>0</v>
      </c>
      <c r="T4285" s="36">
        <f t="shared" si="669"/>
        <v>0</v>
      </c>
      <c r="V4285" s="6">
        <f t="shared" si="670"/>
        <v>0</v>
      </c>
      <c r="Y4285" s="8">
        <f t="shared" si="671"/>
        <v>46023</v>
      </c>
    </row>
    <row r="4286" spans="2:25" ht="18.75" x14ac:dyDescent="0.3">
      <c r="B4286" s="6">
        <f t="shared" si="663"/>
        <v>0</v>
      </c>
      <c r="C4286" s="6">
        <f t="shared" si="664"/>
        <v>0</v>
      </c>
      <c r="D4286" s="6" t="str">
        <f t="shared" si="665"/>
        <v/>
      </c>
      <c r="E4286" s="35" t="str">
        <f t="shared" si="662"/>
        <v/>
      </c>
      <c r="F4286" s="31"/>
      <c r="G4286" s="29"/>
      <c r="H4286" s="78" t="str">
        <f t="shared" si="666"/>
        <v/>
      </c>
      <c r="I4286" s="25"/>
      <c r="J4286" s="25"/>
      <c r="K4286" s="26"/>
      <c r="L4286" s="26"/>
      <c r="M4286" s="37"/>
      <c r="N4286" s="27"/>
      <c r="O4286" s="30"/>
      <c r="P4286" s="39" t="str">
        <f t="shared" si="667"/>
        <v/>
      </c>
      <c r="Q4286" s="40" t="str">
        <f>IF(OR(T4286=0,RIGHT(T4286,1)=$W$1),"",COUNTIF($T$3:T4286,T4286))</f>
        <v/>
      </c>
      <c r="S4286" s="6">
        <f t="shared" si="668"/>
        <v>0</v>
      </c>
      <c r="T4286" s="36">
        <f t="shared" si="669"/>
        <v>0</v>
      </c>
      <c r="V4286" s="6">
        <f t="shared" si="670"/>
        <v>0</v>
      </c>
      <c r="Y4286" s="8">
        <f t="shared" si="671"/>
        <v>46023</v>
      </c>
    </row>
    <row r="4287" spans="2:25" ht="18.75" x14ac:dyDescent="0.3">
      <c r="B4287" s="6">
        <f t="shared" si="663"/>
        <v>0</v>
      </c>
      <c r="C4287" s="6">
        <f t="shared" si="664"/>
        <v>0</v>
      </c>
      <c r="D4287" s="6" t="str">
        <f t="shared" si="665"/>
        <v/>
      </c>
      <c r="E4287" s="35" t="str">
        <f t="shared" si="662"/>
        <v/>
      </c>
      <c r="F4287" s="31"/>
      <c r="G4287" s="29"/>
      <c r="H4287" s="78" t="str">
        <f t="shared" si="666"/>
        <v/>
      </c>
      <c r="I4287" s="25"/>
      <c r="J4287" s="25"/>
      <c r="K4287" s="26"/>
      <c r="L4287" s="26"/>
      <c r="M4287" s="37"/>
      <c r="N4287" s="27"/>
      <c r="O4287" s="30"/>
      <c r="P4287" s="39" t="str">
        <f t="shared" si="667"/>
        <v/>
      </c>
      <c r="Q4287" s="40" t="str">
        <f>IF(OR(T4287=0,RIGHT(T4287,1)=$W$1),"",COUNTIF($T$3:T4287,T4287))</f>
        <v/>
      </c>
      <c r="S4287" s="6">
        <f t="shared" si="668"/>
        <v>0</v>
      </c>
      <c r="T4287" s="36">
        <f t="shared" si="669"/>
        <v>0</v>
      </c>
      <c r="V4287" s="6">
        <f t="shared" si="670"/>
        <v>0</v>
      </c>
      <c r="Y4287" s="8">
        <f t="shared" si="671"/>
        <v>46023</v>
      </c>
    </row>
    <row r="4288" spans="2:25" ht="18.75" x14ac:dyDescent="0.3">
      <c r="B4288" s="6">
        <f t="shared" si="663"/>
        <v>0</v>
      </c>
      <c r="C4288" s="6">
        <f t="shared" si="664"/>
        <v>0</v>
      </c>
      <c r="D4288" s="6" t="str">
        <f t="shared" si="665"/>
        <v/>
      </c>
      <c r="E4288" s="35" t="str">
        <f t="shared" si="662"/>
        <v/>
      </c>
      <c r="F4288" s="31"/>
      <c r="G4288" s="29"/>
      <c r="H4288" s="78" t="str">
        <f t="shared" si="666"/>
        <v/>
      </c>
      <c r="I4288" s="25"/>
      <c r="J4288" s="25"/>
      <c r="K4288" s="26"/>
      <c r="L4288" s="26"/>
      <c r="M4288" s="37"/>
      <c r="N4288" s="27"/>
      <c r="O4288" s="30"/>
      <c r="P4288" s="39" t="str">
        <f t="shared" si="667"/>
        <v/>
      </c>
      <c r="Q4288" s="40" t="str">
        <f>IF(OR(T4288=0,RIGHT(T4288,1)=$W$1),"",COUNTIF($T$3:T4288,T4288))</f>
        <v/>
      </c>
      <c r="S4288" s="6">
        <f t="shared" si="668"/>
        <v>0</v>
      </c>
      <c r="T4288" s="36">
        <f t="shared" si="669"/>
        <v>0</v>
      </c>
      <c r="V4288" s="6">
        <f t="shared" si="670"/>
        <v>0</v>
      </c>
      <c r="Y4288" s="8">
        <f t="shared" si="671"/>
        <v>46023</v>
      </c>
    </row>
    <row r="4289" spans="2:25" ht="18.75" x14ac:dyDescent="0.3">
      <c r="B4289" s="6">
        <f t="shared" si="663"/>
        <v>0</v>
      </c>
      <c r="C4289" s="6">
        <f t="shared" si="664"/>
        <v>0</v>
      </c>
      <c r="D4289" s="6" t="str">
        <f t="shared" si="665"/>
        <v/>
      </c>
      <c r="E4289" s="35" t="str">
        <f t="shared" si="662"/>
        <v/>
      </c>
      <c r="F4289" s="31"/>
      <c r="G4289" s="29"/>
      <c r="H4289" s="78" t="str">
        <f t="shared" si="666"/>
        <v/>
      </c>
      <c r="I4289" s="25"/>
      <c r="J4289" s="25"/>
      <c r="K4289" s="26"/>
      <c r="L4289" s="26"/>
      <c r="M4289" s="37"/>
      <c r="N4289" s="27"/>
      <c r="O4289" s="30"/>
      <c r="P4289" s="39" t="str">
        <f t="shared" si="667"/>
        <v/>
      </c>
      <c r="Q4289" s="40" t="str">
        <f>IF(OR(T4289=0,RIGHT(T4289,1)=$W$1),"",COUNTIF($T$3:T4289,T4289))</f>
        <v/>
      </c>
      <c r="S4289" s="6">
        <f t="shared" si="668"/>
        <v>0</v>
      </c>
      <c r="T4289" s="36">
        <f t="shared" si="669"/>
        <v>0</v>
      </c>
      <c r="V4289" s="6">
        <f t="shared" si="670"/>
        <v>0</v>
      </c>
      <c r="Y4289" s="8">
        <f t="shared" si="671"/>
        <v>46023</v>
      </c>
    </row>
    <row r="4290" spans="2:25" ht="18.75" x14ac:dyDescent="0.3">
      <c r="B4290" s="6">
        <f t="shared" si="663"/>
        <v>0</v>
      </c>
      <c r="C4290" s="6">
        <f t="shared" si="664"/>
        <v>0</v>
      </c>
      <c r="D4290" s="6" t="str">
        <f t="shared" si="665"/>
        <v/>
      </c>
      <c r="E4290" s="35" t="str">
        <f t="shared" si="662"/>
        <v/>
      </c>
      <c r="F4290" s="31"/>
      <c r="G4290" s="29"/>
      <c r="H4290" s="78" t="str">
        <f t="shared" si="666"/>
        <v/>
      </c>
      <c r="I4290" s="25"/>
      <c r="J4290" s="25"/>
      <c r="K4290" s="26"/>
      <c r="L4290" s="26"/>
      <c r="M4290" s="37"/>
      <c r="N4290" s="27"/>
      <c r="O4290" s="30"/>
      <c r="P4290" s="39" t="str">
        <f t="shared" si="667"/>
        <v/>
      </c>
      <c r="Q4290" s="40" t="str">
        <f>IF(OR(T4290=0,RIGHT(T4290,1)=$W$1),"",COUNTIF($T$3:T4290,T4290))</f>
        <v/>
      </c>
      <c r="S4290" s="6">
        <f t="shared" si="668"/>
        <v>0</v>
      </c>
      <c r="T4290" s="36">
        <f t="shared" si="669"/>
        <v>0</v>
      </c>
      <c r="V4290" s="6">
        <f t="shared" si="670"/>
        <v>0</v>
      </c>
      <c r="Y4290" s="8">
        <f t="shared" si="671"/>
        <v>46023</v>
      </c>
    </row>
    <row r="4291" spans="2:25" ht="18.75" x14ac:dyDescent="0.3">
      <c r="B4291" s="6">
        <f t="shared" si="663"/>
        <v>0</v>
      </c>
      <c r="C4291" s="6">
        <f t="shared" si="664"/>
        <v>0</v>
      </c>
      <c r="D4291" s="6" t="str">
        <f t="shared" si="665"/>
        <v/>
      </c>
      <c r="E4291" s="35" t="str">
        <f t="shared" ref="E4291:E4354" si="672">IF(D4291&lt;&gt;"",D4291&amp;" - "&amp;YEAR(F4291),"")</f>
        <v/>
      </c>
      <c r="F4291" s="31"/>
      <c r="G4291" s="29"/>
      <c r="H4291" s="78" t="str">
        <f t="shared" si="666"/>
        <v/>
      </c>
      <c r="I4291" s="25"/>
      <c r="J4291" s="25"/>
      <c r="K4291" s="26"/>
      <c r="L4291" s="26"/>
      <c r="M4291" s="37"/>
      <c r="N4291" s="27"/>
      <c r="O4291" s="30"/>
      <c r="P4291" s="39" t="str">
        <f t="shared" si="667"/>
        <v/>
      </c>
      <c r="Q4291" s="40" t="str">
        <f>IF(OR(T4291=0,RIGHT(T4291,1)=$W$1),"",COUNTIF($T$3:T4291,T4291))</f>
        <v/>
      </c>
      <c r="S4291" s="6">
        <f t="shared" si="668"/>
        <v>0</v>
      </c>
      <c r="T4291" s="36">
        <f t="shared" si="669"/>
        <v>0</v>
      </c>
      <c r="V4291" s="6">
        <f t="shared" si="670"/>
        <v>0</v>
      </c>
      <c r="Y4291" s="8">
        <f t="shared" si="671"/>
        <v>46023</v>
      </c>
    </row>
    <row r="4292" spans="2:25" ht="18.75" x14ac:dyDescent="0.3">
      <c r="B4292" s="6">
        <f t="shared" ref="B4292:B4355" si="673">IF($B$1=YEAR(F4292),B4291+1,B4291)</f>
        <v>0</v>
      </c>
      <c r="C4292" s="6">
        <f t="shared" ref="C4292:C4355" si="674">IF(AND($C$1=K4292,$Y$1=YEAR(F4292)),C4291+1,C4291)</f>
        <v>0</v>
      </c>
      <c r="D4292" s="6" t="str">
        <f t="shared" ref="D4292:D4355" si="675">IF(F4292&lt;&gt;0,IF(YEAR(F4292)&lt;&gt;YEAR(F4291),1,IF(M4292=$AI$1,D4291,D4291+1)),"")</f>
        <v/>
      </c>
      <c r="E4292" s="35" t="str">
        <f t="shared" si="672"/>
        <v/>
      </c>
      <c r="F4292" s="31"/>
      <c r="G4292" s="29"/>
      <c r="H4292" s="78" t="str">
        <f t="shared" ref="H4292:H4355" si="676">IF(G4292&lt;&gt;"",F4292,"")</f>
        <v/>
      </c>
      <c r="I4292" s="25"/>
      <c r="J4292" s="25"/>
      <c r="K4292" s="26"/>
      <c r="L4292" s="26"/>
      <c r="M4292" s="37"/>
      <c r="N4292" s="27"/>
      <c r="O4292" s="30"/>
      <c r="P4292" s="39" t="str">
        <f t="shared" ref="P4292:P4355" si="677">IF(OR(T4292=0,RIGHT(T4292,1)=$W$1),"",VLOOKUP(K4292,$AD$1:$AK$15,5,FALSE))</f>
        <v/>
      </c>
      <c r="Q4292" s="40" t="str">
        <f>IF(OR(T4292=0,RIGHT(T4292,1)=$W$1),"",COUNTIF($T$3:T4292,T4292))</f>
        <v/>
      </c>
      <c r="S4292" s="6">
        <f t="shared" ref="S4292:S4355" si="678">IF(AND($C$1=K4292,$Y$1=YEAR(F4292)),C4292,0)</f>
        <v>0</v>
      </c>
      <c r="T4292" s="36">
        <f t="shared" ref="T4292:T4355" si="679">IF(F4292=0,0,YEAR(F4292)&amp;VLOOKUP(K4292,$AD$1:$AE$15,2,FALSE))</f>
        <v>0</v>
      </c>
      <c r="V4292" s="6">
        <f t="shared" ref="V4292:V4355" si="680">IF(AND(YEAR(F4292)=$Y$1,K4292=$C$1,L4292&amp;$V$1&lt;&gt;$V$1),L4292,IF(AND(YEAR(F4292)=$Y$1,K4292=$C$1),1,0))</f>
        <v>0</v>
      </c>
      <c r="Y4292" s="8">
        <f t="shared" ref="Y4292:Y4355" si="681">IF(M4292&lt;&gt;$AI$1,$Y$2,F4291)</f>
        <v>46023</v>
      </c>
    </row>
    <row r="4293" spans="2:25" ht="18.75" x14ac:dyDescent="0.3">
      <c r="B4293" s="6">
        <f t="shared" si="673"/>
        <v>0</v>
      </c>
      <c r="C4293" s="6">
        <f t="shared" si="674"/>
        <v>0</v>
      </c>
      <c r="D4293" s="6" t="str">
        <f t="shared" si="675"/>
        <v/>
      </c>
      <c r="E4293" s="35" t="str">
        <f t="shared" si="672"/>
        <v/>
      </c>
      <c r="F4293" s="31"/>
      <c r="G4293" s="29"/>
      <c r="H4293" s="78" t="str">
        <f t="shared" si="676"/>
        <v/>
      </c>
      <c r="I4293" s="25"/>
      <c r="J4293" s="25"/>
      <c r="K4293" s="26"/>
      <c r="L4293" s="26"/>
      <c r="M4293" s="37"/>
      <c r="N4293" s="27"/>
      <c r="O4293" s="30"/>
      <c r="P4293" s="39" t="str">
        <f t="shared" si="677"/>
        <v/>
      </c>
      <c r="Q4293" s="40" t="str">
        <f>IF(OR(T4293=0,RIGHT(T4293,1)=$W$1),"",COUNTIF($T$3:T4293,T4293))</f>
        <v/>
      </c>
      <c r="S4293" s="6">
        <f t="shared" si="678"/>
        <v>0</v>
      </c>
      <c r="T4293" s="36">
        <f t="shared" si="679"/>
        <v>0</v>
      </c>
      <c r="V4293" s="6">
        <f t="shared" si="680"/>
        <v>0</v>
      </c>
      <c r="Y4293" s="8">
        <f t="shared" si="681"/>
        <v>46023</v>
      </c>
    </row>
    <row r="4294" spans="2:25" ht="18.75" x14ac:dyDescent="0.3">
      <c r="B4294" s="6">
        <f t="shared" si="673"/>
        <v>0</v>
      </c>
      <c r="C4294" s="6">
        <f t="shared" si="674"/>
        <v>0</v>
      </c>
      <c r="D4294" s="6" t="str">
        <f t="shared" si="675"/>
        <v/>
      </c>
      <c r="E4294" s="35" t="str">
        <f t="shared" si="672"/>
        <v/>
      </c>
      <c r="F4294" s="31"/>
      <c r="G4294" s="29"/>
      <c r="H4294" s="78" t="str">
        <f t="shared" si="676"/>
        <v/>
      </c>
      <c r="I4294" s="25"/>
      <c r="J4294" s="25"/>
      <c r="K4294" s="26"/>
      <c r="L4294" s="26"/>
      <c r="M4294" s="37"/>
      <c r="N4294" s="27"/>
      <c r="O4294" s="30"/>
      <c r="P4294" s="39" t="str">
        <f t="shared" si="677"/>
        <v/>
      </c>
      <c r="Q4294" s="40" t="str">
        <f>IF(OR(T4294=0,RIGHT(T4294,1)=$W$1),"",COUNTIF($T$3:T4294,T4294))</f>
        <v/>
      </c>
      <c r="S4294" s="6">
        <f t="shared" si="678"/>
        <v>0</v>
      </c>
      <c r="T4294" s="36">
        <f t="shared" si="679"/>
        <v>0</v>
      </c>
      <c r="V4294" s="6">
        <f t="shared" si="680"/>
        <v>0</v>
      </c>
      <c r="Y4294" s="8">
        <f t="shared" si="681"/>
        <v>46023</v>
      </c>
    </row>
    <row r="4295" spans="2:25" ht="18.75" x14ac:dyDescent="0.3">
      <c r="B4295" s="6">
        <f t="shared" si="673"/>
        <v>0</v>
      </c>
      <c r="C4295" s="6">
        <f t="shared" si="674"/>
        <v>0</v>
      </c>
      <c r="D4295" s="6" t="str">
        <f t="shared" si="675"/>
        <v/>
      </c>
      <c r="E4295" s="35" t="str">
        <f t="shared" si="672"/>
        <v/>
      </c>
      <c r="F4295" s="31"/>
      <c r="G4295" s="29"/>
      <c r="H4295" s="78" t="str">
        <f t="shared" si="676"/>
        <v/>
      </c>
      <c r="I4295" s="25"/>
      <c r="J4295" s="25"/>
      <c r="K4295" s="26"/>
      <c r="L4295" s="26"/>
      <c r="M4295" s="37"/>
      <c r="N4295" s="27"/>
      <c r="O4295" s="30"/>
      <c r="P4295" s="39" t="str">
        <f t="shared" si="677"/>
        <v/>
      </c>
      <c r="Q4295" s="40" t="str">
        <f>IF(OR(T4295=0,RIGHT(T4295,1)=$W$1),"",COUNTIF($T$3:T4295,T4295))</f>
        <v/>
      </c>
      <c r="S4295" s="6">
        <f t="shared" si="678"/>
        <v>0</v>
      </c>
      <c r="T4295" s="36">
        <f t="shared" si="679"/>
        <v>0</v>
      </c>
      <c r="V4295" s="6">
        <f t="shared" si="680"/>
        <v>0</v>
      </c>
      <c r="Y4295" s="8">
        <f t="shared" si="681"/>
        <v>46023</v>
      </c>
    </row>
    <row r="4296" spans="2:25" ht="18.75" x14ac:dyDescent="0.3">
      <c r="B4296" s="6">
        <f t="shared" si="673"/>
        <v>0</v>
      </c>
      <c r="C4296" s="6">
        <f t="shared" si="674"/>
        <v>0</v>
      </c>
      <c r="D4296" s="6" t="str">
        <f t="shared" si="675"/>
        <v/>
      </c>
      <c r="E4296" s="35" t="str">
        <f t="shared" si="672"/>
        <v/>
      </c>
      <c r="F4296" s="31"/>
      <c r="G4296" s="29"/>
      <c r="H4296" s="78" t="str">
        <f t="shared" si="676"/>
        <v/>
      </c>
      <c r="I4296" s="25"/>
      <c r="J4296" s="25"/>
      <c r="K4296" s="26"/>
      <c r="L4296" s="26"/>
      <c r="M4296" s="37"/>
      <c r="N4296" s="27"/>
      <c r="O4296" s="30"/>
      <c r="P4296" s="39" t="str">
        <f t="shared" si="677"/>
        <v/>
      </c>
      <c r="Q4296" s="40" t="str">
        <f>IF(OR(T4296=0,RIGHT(T4296,1)=$W$1),"",COUNTIF($T$3:T4296,T4296))</f>
        <v/>
      </c>
      <c r="S4296" s="6">
        <f t="shared" si="678"/>
        <v>0</v>
      </c>
      <c r="T4296" s="36">
        <f t="shared" si="679"/>
        <v>0</v>
      </c>
      <c r="V4296" s="6">
        <f t="shared" si="680"/>
        <v>0</v>
      </c>
      <c r="Y4296" s="8">
        <f t="shared" si="681"/>
        <v>46023</v>
      </c>
    </row>
    <row r="4297" spans="2:25" ht="18.75" x14ac:dyDescent="0.3">
      <c r="B4297" s="6">
        <f t="shared" si="673"/>
        <v>0</v>
      </c>
      <c r="C4297" s="6">
        <f t="shared" si="674"/>
        <v>0</v>
      </c>
      <c r="D4297" s="6" t="str">
        <f t="shared" si="675"/>
        <v/>
      </c>
      <c r="E4297" s="35" t="str">
        <f t="shared" si="672"/>
        <v/>
      </c>
      <c r="F4297" s="31"/>
      <c r="G4297" s="29"/>
      <c r="H4297" s="78" t="str">
        <f t="shared" si="676"/>
        <v/>
      </c>
      <c r="I4297" s="25"/>
      <c r="J4297" s="25"/>
      <c r="K4297" s="26"/>
      <c r="L4297" s="26"/>
      <c r="M4297" s="37"/>
      <c r="N4297" s="27"/>
      <c r="O4297" s="30"/>
      <c r="P4297" s="39" t="str">
        <f t="shared" si="677"/>
        <v/>
      </c>
      <c r="Q4297" s="40" t="str">
        <f>IF(OR(T4297=0,RIGHT(T4297,1)=$W$1),"",COUNTIF($T$3:T4297,T4297))</f>
        <v/>
      </c>
      <c r="S4297" s="6">
        <f t="shared" si="678"/>
        <v>0</v>
      </c>
      <c r="T4297" s="36">
        <f t="shared" si="679"/>
        <v>0</v>
      </c>
      <c r="V4297" s="6">
        <f t="shared" si="680"/>
        <v>0</v>
      </c>
      <c r="Y4297" s="8">
        <f t="shared" si="681"/>
        <v>46023</v>
      </c>
    </row>
    <row r="4298" spans="2:25" ht="18.75" x14ac:dyDescent="0.3">
      <c r="B4298" s="6">
        <f t="shared" si="673"/>
        <v>0</v>
      </c>
      <c r="C4298" s="6">
        <f t="shared" si="674"/>
        <v>0</v>
      </c>
      <c r="D4298" s="6" t="str">
        <f t="shared" si="675"/>
        <v/>
      </c>
      <c r="E4298" s="35" t="str">
        <f t="shared" si="672"/>
        <v/>
      </c>
      <c r="F4298" s="31"/>
      <c r="G4298" s="29"/>
      <c r="H4298" s="78" t="str">
        <f t="shared" si="676"/>
        <v/>
      </c>
      <c r="I4298" s="25"/>
      <c r="J4298" s="25"/>
      <c r="K4298" s="26"/>
      <c r="L4298" s="26"/>
      <c r="M4298" s="37"/>
      <c r="N4298" s="27"/>
      <c r="O4298" s="30"/>
      <c r="P4298" s="39" t="str">
        <f t="shared" si="677"/>
        <v/>
      </c>
      <c r="Q4298" s="40" t="str">
        <f>IF(OR(T4298=0,RIGHT(T4298,1)=$W$1),"",COUNTIF($T$3:T4298,T4298))</f>
        <v/>
      </c>
      <c r="S4298" s="6">
        <f t="shared" si="678"/>
        <v>0</v>
      </c>
      <c r="T4298" s="36">
        <f t="shared" si="679"/>
        <v>0</v>
      </c>
      <c r="V4298" s="6">
        <f t="shared" si="680"/>
        <v>0</v>
      </c>
      <c r="Y4298" s="8">
        <f t="shared" si="681"/>
        <v>46023</v>
      </c>
    </row>
    <row r="4299" spans="2:25" ht="18.75" x14ac:dyDescent="0.3">
      <c r="B4299" s="6">
        <f t="shared" si="673"/>
        <v>0</v>
      </c>
      <c r="C4299" s="6">
        <f t="shared" si="674"/>
        <v>0</v>
      </c>
      <c r="D4299" s="6" t="str">
        <f t="shared" si="675"/>
        <v/>
      </c>
      <c r="E4299" s="35" t="str">
        <f t="shared" si="672"/>
        <v/>
      </c>
      <c r="F4299" s="31"/>
      <c r="G4299" s="29"/>
      <c r="H4299" s="78" t="str">
        <f t="shared" si="676"/>
        <v/>
      </c>
      <c r="I4299" s="25"/>
      <c r="J4299" s="25"/>
      <c r="K4299" s="26"/>
      <c r="L4299" s="26"/>
      <c r="M4299" s="37"/>
      <c r="N4299" s="27"/>
      <c r="O4299" s="30"/>
      <c r="P4299" s="39" t="str">
        <f t="shared" si="677"/>
        <v/>
      </c>
      <c r="Q4299" s="40" t="str">
        <f>IF(OR(T4299=0,RIGHT(T4299,1)=$W$1),"",COUNTIF($T$3:T4299,T4299))</f>
        <v/>
      </c>
      <c r="S4299" s="6">
        <f t="shared" si="678"/>
        <v>0</v>
      </c>
      <c r="T4299" s="36">
        <f t="shared" si="679"/>
        <v>0</v>
      </c>
      <c r="V4299" s="6">
        <f t="shared" si="680"/>
        <v>0</v>
      </c>
      <c r="Y4299" s="8">
        <f t="shared" si="681"/>
        <v>46023</v>
      </c>
    </row>
    <row r="4300" spans="2:25" ht="18.75" x14ac:dyDescent="0.3">
      <c r="B4300" s="6">
        <f t="shared" si="673"/>
        <v>0</v>
      </c>
      <c r="C4300" s="6">
        <f t="shared" si="674"/>
        <v>0</v>
      </c>
      <c r="D4300" s="6" t="str">
        <f t="shared" si="675"/>
        <v/>
      </c>
      <c r="E4300" s="35" t="str">
        <f t="shared" si="672"/>
        <v/>
      </c>
      <c r="F4300" s="31"/>
      <c r="G4300" s="29"/>
      <c r="H4300" s="78" t="str">
        <f t="shared" si="676"/>
        <v/>
      </c>
      <c r="I4300" s="25"/>
      <c r="J4300" s="25"/>
      <c r="K4300" s="26"/>
      <c r="L4300" s="26"/>
      <c r="M4300" s="37"/>
      <c r="N4300" s="27"/>
      <c r="O4300" s="30"/>
      <c r="P4300" s="39" t="str">
        <f t="shared" si="677"/>
        <v/>
      </c>
      <c r="Q4300" s="40" t="str">
        <f>IF(OR(T4300=0,RIGHT(T4300,1)=$W$1),"",COUNTIF($T$3:T4300,T4300))</f>
        <v/>
      </c>
      <c r="S4300" s="6">
        <f t="shared" si="678"/>
        <v>0</v>
      </c>
      <c r="T4300" s="36">
        <f t="shared" si="679"/>
        <v>0</v>
      </c>
      <c r="V4300" s="6">
        <f t="shared" si="680"/>
        <v>0</v>
      </c>
      <c r="Y4300" s="8">
        <f t="shared" si="681"/>
        <v>46023</v>
      </c>
    </row>
    <row r="4301" spans="2:25" ht="18.75" x14ac:dyDescent="0.3">
      <c r="B4301" s="6">
        <f t="shared" si="673"/>
        <v>0</v>
      </c>
      <c r="C4301" s="6">
        <f t="shared" si="674"/>
        <v>0</v>
      </c>
      <c r="D4301" s="6" t="str">
        <f t="shared" si="675"/>
        <v/>
      </c>
      <c r="E4301" s="35" t="str">
        <f t="shared" si="672"/>
        <v/>
      </c>
      <c r="F4301" s="31"/>
      <c r="G4301" s="29"/>
      <c r="H4301" s="78" t="str">
        <f t="shared" si="676"/>
        <v/>
      </c>
      <c r="I4301" s="25"/>
      <c r="J4301" s="25"/>
      <c r="K4301" s="26"/>
      <c r="L4301" s="26"/>
      <c r="M4301" s="37"/>
      <c r="N4301" s="27"/>
      <c r="O4301" s="30"/>
      <c r="P4301" s="39" t="str">
        <f t="shared" si="677"/>
        <v/>
      </c>
      <c r="Q4301" s="40" t="str">
        <f>IF(OR(T4301=0,RIGHT(T4301,1)=$W$1),"",COUNTIF($T$3:T4301,T4301))</f>
        <v/>
      </c>
      <c r="S4301" s="6">
        <f t="shared" si="678"/>
        <v>0</v>
      </c>
      <c r="T4301" s="36">
        <f t="shared" si="679"/>
        <v>0</v>
      </c>
      <c r="V4301" s="6">
        <f t="shared" si="680"/>
        <v>0</v>
      </c>
      <c r="Y4301" s="8">
        <f t="shared" si="681"/>
        <v>46023</v>
      </c>
    </row>
    <row r="4302" spans="2:25" ht="18.75" x14ac:dyDescent="0.3">
      <c r="B4302" s="6">
        <f t="shared" si="673"/>
        <v>0</v>
      </c>
      <c r="C4302" s="6">
        <f t="shared" si="674"/>
        <v>0</v>
      </c>
      <c r="D4302" s="6" t="str">
        <f t="shared" si="675"/>
        <v/>
      </c>
      <c r="E4302" s="35" t="str">
        <f t="shared" si="672"/>
        <v/>
      </c>
      <c r="F4302" s="31"/>
      <c r="G4302" s="29"/>
      <c r="H4302" s="78" t="str">
        <f t="shared" si="676"/>
        <v/>
      </c>
      <c r="I4302" s="25"/>
      <c r="J4302" s="25"/>
      <c r="K4302" s="26"/>
      <c r="L4302" s="26"/>
      <c r="M4302" s="37"/>
      <c r="N4302" s="27"/>
      <c r="O4302" s="30"/>
      <c r="P4302" s="39" t="str">
        <f t="shared" si="677"/>
        <v/>
      </c>
      <c r="Q4302" s="40" t="str">
        <f>IF(OR(T4302=0,RIGHT(T4302,1)=$W$1),"",COUNTIF($T$3:T4302,T4302))</f>
        <v/>
      </c>
      <c r="S4302" s="6">
        <f t="shared" si="678"/>
        <v>0</v>
      </c>
      <c r="T4302" s="36">
        <f t="shared" si="679"/>
        <v>0</v>
      </c>
      <c r="V4302" s="6">
        <f t="shared" si="680"/>
        <v>0</v>
      </c>
      <c r="Y4302" s="8">
        <f t="shared" si="681"/>
        <v>46023</v>
      </c>
    </row>
    <row r="4303" spans="2:25" ht="18.75" x14ac:dyDescent="0.3">
      <c r="B4303" s="6">
        <f t="shared" si="673"/>
        <v>0</v>
      </c>
      <c r="C4303" s="6">
        <f t="shared" si="674"/>
        <v>0</v>
      </c>
      <c r="D4303" s="6" t="str">
        <f t="shared" si="675"/>
        <v/>
      </c>
      <c r="E4303" s="35" t="str">
        <f t="shared" si="672"/>
        <v/>
      </c>
      <c r="F4303" s="31"/>
      <c r="G4303" s="29"/>
      <c r="H4303" s="78" t="str">
        <f t="shared" si="676"/>
        <v/>
      </c>
      <c r="I4303" s="25"/>
      <c r="J4303" s="25"/>
      <c r="K4303" s="26"/>
      <c r="L4303" s="26"/>
      <c r="M4303" s="37"/>
      <c r="N4303" s="27"/>
      <c r="O4303" s="30"/>
      <c r="P4303" s="39" t="str">
        <f t="shared" si="677"/>
        <v/>
      </c>
      <c r="Q4303" s="40" t="str">
        <f>IF(OR(T4303=0,RIGHT(T4303,1)=$W$1),"",COUNTIF($T$3:T4303,T4303))</f>
        <v/>
      </c>
      <c r="S4303" s="6">
        <f t="shared" si="678"/>
        <v>0</v>
      </c>
      <c r="T4303" s="36">
        <f t="shared" si="679"/>
        <v>0</v>
      </c>
      <c r="V4303" s="6">
        <f t="shared" si="680"/>
        <v>0</v>
      </c>
      <c r="Y4303" s="8">
        <f t="shared" si="681"/>
        <v>46023</v>
      </c>
    </row>
    <row r="4304" spans="2:25" ht="18.75" x14ac:dyDescent="0.3">
      <c r="B4304" s="6">
        <f t="shared" si="673"/>
        <v>0</v>
      </c>
      <c r="C4304" s="6">
        <f t="shared" si="674"/>
        <v>0</v>
      </c>
      <c r="D4304" s="6" t="str">
        <f t="shared" si="675"/>
        <v/>
      </c>
      <c r="E4304" s="35" t="str">
        <f t="shared" si="672"/>
        <v/>
      </c>
      <c r="F4304" s="31"/>
      <c r="G4304" s="29"/>
      <c r="H4304" s="78" t="str">
        <f t="shared" si="676"/>
        <v/>
      </c>
      <c r="I4304" s="25"/>
      <c r="J4304" s="25"/>
      <c r="K4304" s="26"/>
      <c r="L4304" s="26"/>
      <c r="M4304" s="37"/>
      <c r="N4304" s="27"/>
      <c r="O4304" s="30"/>
      <c r="P4304" s="39" t="str">
        <f t="shared" si="677"/>
        <v/>
      </c>
      <c r="Q4304" s="40" t="str">
        <f>IF(OR(T4304=0,RIGHT(T4304,1)=$W$1),"",COUNTIF($T$3:T4304,T4304))</f>
        <v/>
      </c>
      <c r="S4304" s="6">
        <f t="shared" si="678"/>
        <v>0</v>
      </c>
      <c r="T4304" s="36">
        <f t="shared" si="679"/>
        <v>0</v>
      </c>
      <c r="V4304" s="6">
        <f t="shared" si="680"/>
        <v>0</v>
      </c>
      <c r="Y4304" s="8">
        <f t="shared" si="681"/>
        <v>46023</v>
      </c>
    </row>
    <row r="4305" spans="2:25" ht="18.75" x14ac:dyDescent="0.3">
      <c r="B4305" s="6">
        <f t="shared" si="673"/>
        <v>0</v>
      </c>
      <c r="C4305" s="6">
        <f t="shared" si="674"/>
        <v>0</v>
      </c>
      <c r="D4305" s="6" t="str">
        <f t="shared" si="675"/>
        <v/>
      </c>
      <c r="E4305" s="35" t="str">
        <f t="shared" si="672"/>
        <v/>
      </c>
      <c r="F4305" s="31"/>
      <c r="G4305" s="29"/>
      <c r="H4305" s="78" t="str">
        <f t="shared" si="676"/>
        <v/>
      </c>
      <c r="I4305" s="25"/>
      <c r="J4305" s="25"/>
      <c r="K4305" s="26"/>
      <c r="L4305" s="26"/>
      <c r="M4305" s="37"/>
      <c r="N4305" s="27"/>
      <c r="O4305" s="30"/>
      <c r="P4305" s="39" t="str">
        <f t="shared" si="677"/>
        <v/>
      </c>
      <c r="Q4305" s="40" t="str">
        <f>IF(OR(T4305=0,RIGHT(T4305,1)=$W$1),"",COUNTIF($T$3:T4305,T4305))</f>
        <v/>
      </c>
      <c r="S4305" s="6">
        <f t="shared" si="678"/>
        <v>0</v>
      </c>
      <c r="T4305" s="36">
        <f t="shared" si="679"/>
        <v>0</v>
      </c>
      <c r="V4305" s="6">
        <f t="shared" si="680"/>
        <v>0</v>
      </c>
      <c r="Y4305" s="8">
        <f t="shared" si="681"/>
        <v>46023</v>
      </c>
    </row>
    <row r="4306" spans="2:25" ht="18.75" x14ac:dyDescent="0.3">
      <c r="B4306" s="6">
        <f t="shared" si="673"/>
        <v>0</v>
      </c>
      <c r="C4306" s="6">
        <f t="shared" si="674"/>
        <v>0</v>
      </c>
      <c r="D4306" s="6" t="str">
        <f t="shared" si="675"/>
        <v/>
      </c>
      <c r="E4306" s="35" t="str">
        <f t="shared" si="672"/>
        <v/>
      </c>
      <c r="F4306" s="31"/>
      <c r="G4306" s="29"/>
      <c r="H4306" s="78" t="str">
        <f t="shared" si="676"/>
        <v/>
      </c>
      <c r="I4306" s="25"/>
      <c r="J4306" s="25"/>
      <c r="K4306" s="26"/>
      <c r="L4306" s="26"/>
      <c r="M4306" s="37"/>
      <c r="N4306" s="27"/>
      <c r="O4306" s="30"/>
      <c r="P4306" s="39" t="str">
        <f t="shared" si="677"/>
        <v/>
      </c>
      <c r="Q4306" s="40" t="str">
        <f>IF(OR(T4306=0,RIGHT(T4306,1)=$W$1),"",COUNTIF($T$3:T4306,T4306))</f>
        <v/>
      </c>
      <c r="S4306" s="6">
        <f t="shared" si="678"/>
        <v>0</v>
      </c>
      <c r="T4306" s="36">
        <f t="shared" si="679"/>
        <v>0</v>
      </c>
      <c r="V4306" s="6">
        <f t="shared" si="680"/>
        <v>0</v>
      </c>
      <c r="Y4306" s="8">
        <f t="shared" si="681"/>
        <v>46023</v>
      </c>
    </row>
    <row r="4307" spans="2:25" ht="18.75" x14ac:dyDescent="0.3">
      <c r="B4307" s="6">
        <f t="shared" si="673"/>
        <v>0</v>
      </c>
      <c r="C4307" s="6">
        <f t="shared" si="674"/>
        <v>0</v>
      </c>
      <c r="D4307" s="6" t="str">
        <f t="shared" si="675"/>
        <v/>
      </c>
      <c r="E4307" s="35" t="str">
        <f t="shared" si="672"/>
        <v/>
      </c>
      <c r="F4307" s="31"/>
      <c r="G4307" s="29"/>
      <c r="H4307" s="78" t="str">
        <f t="shared" si="676"/>
        <v/>
      </c>
      <c r="I4307" s="25"/>
      <c r="J4307" s="25"/>
      <c r="K4307" s="26"/>
      <c r="L4307" s="26"/>
      <c r="M4307" s="37"/>
      <c r="N4307" s="27"/>
      <c r="O4307" s="30"/>
      <c r="P4307" s="39" t="str">
        <f t="shared" si="677"/>
        <v/>
      </c>
      <c r="Q4307" s="40" t="str">
        <f>IF(OR(T4307=0,RIGHT(T4307,1)=$W$1),"",COUNTIF($T$3:T4307,T4307))</f>
        <v/>
      </c>
      <c r="S4307" s="6">
        <f t="shared" si="678"/>
        <v>0</v>
      </c>
      <c r="T4307" s="36">
        <f t="shared" si="679"/>
        <v>0</v>
      </c>
      <c r="V4307" s="6">
        <f t="shared" si="680"/>
        <v>0</v>
      </c>
      <c r="Y4307" s="8">
        <f t="shared" si="681"/>
        <v>46023</v>
      </c>
    </row>
    <row r="4308" spans="2:25" ht="18.75" x14ac:dyDescent="0.3">
      <c r="B4308" s="6">
        <f t="shared" si="673"/>
        <v>0</v>
      </c>
      <c r="C4308" s="6">
        <f t="shared" si="674"/>
        <v>0</v>
      </c>
      <c r="D4308" s="6" t="str">
        <f t="shared" si="675"/>
        <v/>
      </c>
      <c r="E4308" s="35" t="str">
        <f t="shared" si="672"/>
        <v/>
      </c>
      <c r="F4308" s="31"/>
      <c r="G4308" s="29"/>
      <c r="H4308" s="78" t="str">
        <f t="shared" si="676"/>
        <v/>
      </c>
      <c r="I4308" s="25"/>
      <c r="J4308" s="25"/>
      <c r="K4308" s="26"/>
      <c r="L4308" s="26"/>
      <c r="M4308" s="37"/>
      <c r="N4308" s="27"/>
      <c r="O4308" s="30"/>
      <c r="P4308" s="39" t="str">
        <f t="shared" si="677"/>
        <v/>
      </c>
      <c r="Q4308" s="40" t="str">
        <f>IF(OR(T4308=0,RIGHT(T4308,1)=$W$1),"",COUNTIF($T$3:T4308,T4308))</f>
        <v/>
      </c>
      <c r="S4308" s="6">
        <f t="shared" si="678"/>
        <v>0</v>
      </c>
      <c r="T4308" s="36">
        <f t="shared" si="679"/>
        <v>0</v>
      </c>
      <c r="V4308" s="6">
        <f t="shared" si="680"/>
        <v>0</v>
      </c>
      <c r="Y4308" s="8">
        <f t="shared" si="681"/>
        <v>46023</v>
      </c>
    </row>
    <row r="4309" spans="2:25" ht="18.75" x14ac:dyDescent="0.3">
      <c r="B4309" s="6">
        <f t="shared" si="673"/>
        <v>0</v>
      </c>
      <c r="C4309" s="6">
        <f t="shared" si="674"/>
        <v>0</v>
      </c>
      <c r="D4309" s="6" t="str">
        <f t="shared" si="675"/>
        <v/>
      </c>
      <c r="E4309" s="35" t="str">
        <f t="shared" si="672"/>
        <v/>
      </c>
      <c r="F4309" s="31"/>
      <c r="G4309" s="29"/>
      <c r="H4309" s="78" t="str">
        <f t="shared" si="676"/>
        <v/>
      </c>
      <c r="I4309" s="25"/>
      <c r="J4309" s="25"/>
      <c r="K4309" s="26"/>
      <c r="L4309" s="26"/>
      <c r="M4309" s="37"/>
      <c r="N4309" s="27"/>
      <c r="O4309" s="30"/>
      <c r="P4309" s="39" t="str">
        <f t="shared" si="677"/>
        <v/>
      </c>
      <c r="Q4309" s="40" t="str">
        <f>IF(OR(T4309=0,RIGHT(T4309,1)=$W$1),"",COUNTIF($T$3:T4309,T4309))</f>
        <v/>
      </c>
      <c r="S4309" s="6">
        <f t="shared" si="678"/>
        <v>0</v>
      </c>
      <c r="T4309" s="36">
        <f t="shared" si="679"/>
        <v>0</v>
      </c>
      <c r="V4309" s="6">
        <f t="shared" si="680"/>
        <v>0</v>
      </c>
      <c r="Y4309" s="8">
        <f t="shared" si="681"/>
        <v>46023</v>
      </c>
    </row>
    <row r="4310" spans="2:25" ht="18.75" x14ac:dyDescent="0.3">
      <c r="B4310" s="6">
        <f t="shared" si="673"/>
        <v>0</v>
      </c>
      <c r="C4310" s="6">
        <f t="shared" si="674"/>
        <v>0</v>
      </c>
      <c r="D4310" s="6" t="str">
        <f t="shared" si="675"/>
        <v/>
      </c>
      <c r="E4310" s="35" t="str">
        <f t="shared" si="672"/>
        <v/>
      </c>
      <c r="F4310" s="31"/>
      <c r="G4310" s="29"/>
      <c r="H4310" s="78" t="str">
        <f t="shared" si="676"/>
        <v/>
      </c>
      <c r="I4310" s="25"/>
      <c r="J4310" s="25"/>
      <c r="K4310" s="26"/>
      <c r="L4310" s="26"/>
      <c r="M4310" s="37"/>
      <c r="N4310" s="27"/>
      <c r="O4310" s="30"/>
      <c r="P4310" s="39" t="str">
        <f t="shared" si="677"/>
        <v/>
      </c>
      <c r="Q4310" s="40" t="str">
        <f>IF(OR(T4310=0,RIGHT(T4310,1)=$W$1),"",COUNTIF($T$3:T4310,T4310))</f>
        <v/>
      </c>
      <c r="S4310" s="6">
        <f t="shared" si="678"/>
        <v>0</v>
      </c>
      <c r="T4310" s="36">
        <f t="shared" si="679"/>
        <v>0</v>
      </c>
      <c r="V4310" s="6">
        <f t="shared" si="680"/>
        <v>0</v>
      </c>
      <c r="Y4310" s="8">
        <f t="shared" si="681"/>
        <v>46023</v>
      </c>
    </row>
    <row r="4311" spans="2:25" ht="18.75" x14ac:dyDescent="0.3">
      <c r="B4311" s="6">
        <f t="shared" si="673"/>
        <v>0</v>
      </c>
      <c r="C4311" s="6">
        <f t="shared" si="674"/>
        <v>0</v>
      </c>
      <c r="D4311" s="6" t="str">
        <f t="shared" si="675"/>
        <v/>
      </c>
      <c r="E4311" s="35" t="str">
        <f t="shared" si="672"/>
        <v/>
      </c>
      <c r="F4311" s="31"/>
      <c r="G4311" s="29"/>
      <c r="H4311" s="78" t="str">
        <f t="shared" si="676"/>
        <v/>
      </c>
      <c r="I4311" s="25"/>
      <c r="J4311" s="25"/>
      <c r="K4311" s="26"/>
      <c r="L4311" s="26"/>
      <c r="M4311" s="37"/>
      <c r="N4311" s="27"/>
      <c r="O4311" s="30"/>
      <c r="P4311" s="39" t="str">
        <f t="shared" si="677"/>
        <v/>
      </c>
      <c r="Q4311" s="40" t="str">
        <f>IF(OR(T4311=0,RIGHT(T4311,1)=$W$1),"",COUNTIF($T$3:T4311,T4311))</f>
        <v/>
      </c>
      <c r="S4311" s="6">
        <f t="shared" si="678"/>
        <v>0</v>
      </c>
      <c r="T4311" s="36">
        <f t="shared" si="679"/>
        <v>0</v>
      </c>
      <c r="V4311" s="6">
        <f t="shared" si="680"/>
        <v>0</v>
      </c>
      <c r="Y4311" s="8">
        <f t="shared" si="681"/>
        <v>46023</v>
      </c>
    </row>
    <row r="4312" spans="2:25" ht="18.75" x14ac:dyDescent="0.3">
      <c r="B4312" s="6">
        <f t="shared" si="673"/>
        <v>0</v>
      </c>
      <c r="C4312" s="6">
        <f t="shared" si="674"/>
        <v>0</v>
      </c>
      <c r="D4312" s="6" t="str">
        <f t="shared" si="675"/>
        <v/>
      </c>
      <c r="E4312" s="35" t="str">
        <f t="shared" si="672"/>
        <v/>
      </c>
      <c r="F4312" s="31"/>
      <c r="G4312" s="29"/>
      <c r="H4312" s="78" t="str">
        <f t="shared" si="676"/>
        <v/>
      </c>
      <c r="I4312" s="25"/>
      <c r="J4312" s="25"/>
      <c r="K4312" s="26"/>
      <c r="L4312" s="26"/>
      <c r="M4312" s="37"/>
      <c r="N4312" s="27"/>
      <c r="O4312" s="30"/>
      <c r="P4312" s="39" t="str">
        <f t="shared" si="677"/>
        <v/>
      </c>
      <c r="Q4312" s="40" t="str">
        <f>IF(OR(T4312=0,RIGHT(T4312,1)=$W$1),"",COUNTIF($T$3:T4312,T4312))</f>
        <v/>
      </c>
      <c r="S4312" s="6">
        <f t="shared" si="678"/>
        <v>0</v>
      </c>
      <c r="T4312" s="36">
        <f t="shared" si="679"/>
        <v>0</v>
      </c>
      <c r="V4312" s="6">
        <f t="shared" si="680"/>
        <v>0</v>
      </c>
      <c r="Y4312" s="8">
        <f t="shared" si="681"/>
        <v>46023</v>
      </c>
    </row>
    <row r="4313" spans="2:25" ht="18.75" x14ac:dyDescent="0.3">
      <c r="B4313" s="6">
        <f t="shared" si="673"/>
        <v>0</v>
      </c>
      <c r="C4313" s="6">
        <f t="shared" si="674"/>
        <v>0</v>
      </c>
      <c r="D4313" s="6" t="str">
        <f t="shared" si="675"/>
        <v/>
      </c>
      <c r="E4313" s="35" t="str">
        <f t="shared" si="672"/>
        <v/>
      </c>
      <c r="F4313" s="31"/>
      <c r="G4313" s="29"/>
      <c r="H4313" s="78" t="str">
        <f t="shared" si="676"/>
        <v/>
      </c>
      <c r="I4313" s="25"/>
      <c r="J4313" s="25"/>
      <c r="K4313" s="26"/>
      <c r="L4313" s="26"/>
      <c r="M4313" s="37"/>
      <c r="N4313" s="27"/>
      <c r="O4313" s="30"/>
      <c r="P4313" s="39" t="str">
        <f t="shared" si="677"/>
        <v/>
      </c>
      <c r="Q4313" s="40" t="str">
        <f>IF(OR(T4313=0,RIGHT(T4313,1)=$W$1),"",COUNTIF($T$3:T4313,T4313))</f>
        <v/>
      </c>
      <c r="S4313" s="6">
        <f t="shared" si="678"/>
        <v>0</v>
      </c>
      <c r="T4313" s="36">
        <f t="shared" si="679"/>
        <v>0</v>
      </c>
      <c r="V4313" s="6">
        <f t="shared" si="680"/>
        <v>0</v>
      </c>
      <c r="Y4313" s="8">
        <f t="shared" si="681"/>
        <v>46023</v>
      </c>
    </row>
    <row r="4314" spans="2:25" ht="18.75" x14ac:dyDescent="0.3">
      <c r="B4314" s="6">
        <f t="shared" si="673"/>
        <v>0</v>
      </c>
      <c r="C4314" s="6">
        <f t="shared" si="674"/>
        <v>0</v>
      </c>
      <c r="D4314" s="6" t="str">
        <f t="shared" si="675"/>
        <v/>
      </c>
      <c r="E4314" s="35" t="str">
        <f t="shared" si="672"/>
        <v/>
      </c>
      <c r="F4314" s="31"/>
      <c r="G4314" s="29"/>
      <c r="H4314" s="78" t="str">
        <f t="shared" si="676"/>
        <v/>
      </c>
      <c r="I4314" s="25"/>
      <c r="J4314" s="25"/>
      <c r="K4314" s="26"/>
      <c r="L4314" s="26"/>
      <c r="M4314" s="37"/>
      <c r="N4314" s="27"/>
      <c r="O4314" s="30"/>
      <c r="P4314" s="39" t="str">
        <f t="shared" si="677"/>
        <v/>
      </c>
      <c r="Q4314" s="40" t="str">
        <f>IF(OR(T4314=0,RIGHT(T4314,1)=$W$1),"",COUNTIF($T$3:T4314,T4314))</f>
        <v/>
      </c>
      <c r="S4314" s="6">
        <f t="shared" si="678"/>
        <v>0</v>
      </c>
      <c r="T4314" s="36">
        <f t="shared" si="679"/>
        <v>0</v>
      </c>
      <c r="V4314" s="6">
        <f t="shared" si="680"/>
        <v>0</v>
      </c>
      <c r="Y4314" s="8">
        <f t="shared" si="681"/>
        <v>46023</v>
      </c>
    </row>
    <row r="4315" spans="2:25" ht="18.75" x14ac:dyDescent="0.3">
      <c r="B4315" s="6">
        <f t="shared" si="673"/>
        <v>0</v>
      </c>
      <c r="C4315" s="6">
        <f t="shared" si="674"/>
        <v>0</v>
      </c>
      <c r="D4315" s="6" t="str">
        <f t="shared" si="675"/>
        <v/>
      </c>
      <c r="E4315" s="35" t="str">
        <f t="shared" si="672"/>
        <v/>
      </c>
      <c r="F4315" s="31"/>
      <c r="G4315" s="29"/>
      <c r="H4315" s="78" t="str">
        <f t="shared" si="676"/>
        <v/>
      </c>
      <c r="I4315" s="25"/>
      <c r="J4315" s="25"/>
      <c r="K4315" s="26"/>
      <c r="L4315" s="26"/>
      <c r="M4315" s="37"/>
      <c r="N4315" s="27"/>
      <c r="O4315" s="30"/>
      <c r="P4315" s="39" t="str">
        <f t="shared" si="677"/>
        <v/>
      </c>
      <c r="Q4315" s="40" t="str">
        <f>IF(OR(T4315=0,RIGHT(T4315,1)=$W$1),"",COUNTIF($T$3:T4315,T4315))</f>
        <v/>
      </c>
      <c r="S4315" s="6">
        <f t="shared" si="678"/>
        <v>0</v>
      </c>
      <c r="T4315" s="36">
        <f t="shared" si="679"/>
        <v>0</v>
      </c>
      <c r="V4315" s="6">
        <f t="shared" si="680"/>
        <v>0</v>
      </c>
      <c r="Y4315" s="8">
        <f t="shared" si="681"/>
        <v>46023</v>
      </c>
    </row>
    <row r="4316" spans="2:25" ht="18.75" x14ac:dyDescent="0.3">
      <c r="B4316" s="6">
        <f t="shared" si="673"/>
        <v>0</v>
      </c>
      <c r="C4316" s="6">
        <f t="shared" si="674"/>
        <v>0</v>
      </c>
      <c r="D4316" s="6" t="str">
        <f t="shared" si="675"/>
        <v/>
      </c>
      <c r="E4316" s="35" t="str">
        <f t="shared" si="672"/>
        <v/>
      </c>
      <c r="F4316" s="31"/>
      <c r="G4316" s="29"/>
      <c r="H4316" s="78" t="str">
        <f t="shared" si="676"/>
        <v/>
      </c>
      <c r="I4316" s="25"/>
      <c r="J4316" s="25"/>
      <c r="K4316" s="26"/>
      <c r="L4316" s="26"/>
      <c r="M4316" s="37"/>
      <c r="N4316" s="27"/>
      <c r="O4316" s="30"/>
      <c r="P4316" s="39" t="str">
        <f t="shared" si="677"/>
        <v/>
      </c>
      <c r="Q4316" s="40" t="str">
        <f>IF(OR(T4316=0,RIGHT(T4316,1)=$W$1),"",COUNTIF($T$3:T4316,T4316))</f>
        <v/>
      </c>
      <c r="S4316" s="6">
        <f t="shared" si="678"/>
        <v>0</v>
      </c>
      <c r="T4316" s="36">
        <f t="shared" si="679"/>
        <v>0</v>
      </c>
      <c r="V4316" s="6">
        <f t="shared" si="680"/>
        <v>0</v>
      </c>
      <c r="Y4316" s="8">
        <f t="shared" si="681"/>
        <v>46023</v>
      </c>
    </row>
    <row r="4317" spans="2:25" ht="18.75" x14ac:dyDescent="0.3">
      <c r="B4317" s="6">
        <f t="shared" si="673"/>
        <v>0</v>
      </c>
      <c r="C4317" s="6">
        <f t="shared" si="674"/>
        <v>0</v>
      </c>
      <c r="D4317" s="6" t="str">
        <f t="shared" si="675"/>
        <v/>
      </c>
      <c r="E4317" s="35" t="str">
        <f t="shared" si="672"/>
        <v/>
      </c>
      <c r="F4317" s="31"/>
      <c r="G4317" s="29"/>
      <c r="H4317" s="78" t="str">
        <f t="shared" si="676"/>
        <v/>
      </c>
      <c r="I4317" s="25"/>
      <c r="J4317" s="25"/>
      <c r="K4317" s="26"/>
      <c r="L4317" s="26"/>
      <c r="M4317" s="37"/>
      <c r="N4317" s="27"/>
      <c r="O4317" s="30"/>
      <c r="P4317" s="39" t="str">
        <f t="shared" si="677"/>
        <v/>
      </c>
      <c r="Q4317" s="40" t="str">
        <f>IF(OR(T4317=0,RIGHT(T4317,1)=$W$1),"",COUNTIF($T$3:T4317,T4317))</f>
        <v/>
      </c>
      <c r="S4317" s="6">
        <f t="shared" si="678"/>
        <v>0</v>
      </c>
      <c r="T4317" s="36">
        <f t="shared" si="679"/>
        <v>0</v>
      </c>
      <c r="V4317" s="6">
        <f t="shared" si="680"/>
        <v>0</v>
      </c>
      <c r="Y4317" s="8">
        <f t="shared" si="681"/>
        <v>46023</v>
      </c>
    </row>
    <row r="4318" spans="2:25" ht="18.75" x14ac:dyDescent="0.3">
      <c r="B4318" s="6">
        <f t="shared" si="673"/>
        <v>0</v>
      </c>
      <c r="C4318" s="6">
        <f t="shared" si="674"/>
        <v>0</v>
      </c>
      <c r="D4318" s="6" t="str">
        <f t="shared" si="675"/>
        <v/>
      </c>
      <c r="E4318" s="35" t="str">
        <f t="shared" si="672"/>
        <v/>
      </c>
      <c r="F4318" s="31"/>
      <c r="G4318" s="29"/>
      <c r="H4318" s="78" t="str">
        <f t="shared" si="676"/>
        <v/>
      </c>
      <c r="I4318" s="25"/>
      <c r="J4318" s="25"/>
      <c r="K4318" s="26"/>
      <c r="L4318" s="26"/>
      <c r="M4318" s="37"/>
      <c r="N4318" s="27"/>
      <c r="O4318" s="30"/>
      <c r="P4318" s="39" t="str">
        <f t="shared" si="677"/>
        <v/>
      </c>
      <c r="Q4318" s="40" t="str">
        <f>IF(OR(T4318=0,RIGHT(T4318,1)=$W$1),"",COUNTIF($T$3:T4318,T4318))</f>
        <v/>
      </c>
      <c r="S4318" s="6">
        <f t="shared" si="678"/>
        <v>0</v>
      </c>
      <c r="T4318" s="36">
        <f t="shared" si="679"/>
        <v>0</v>
      </c>
      <c r="V4318" s="6">
        <f t="shared" si="680"/>
        <v>0</v>
      </c>
      <c r="Y4318" s="8">
        <f t="shared" si="681"/>
        <v>46023</v>
      </c>
    </row>
    <row r="4319" spans="2:25" ht="18.75" x14ac:dyDescent="0.3">
      <c r="B4319" s="6">
        <f t="shared" si="673"/>
        <v>0</v>
      </c>
      <c r="C4319" s="6">
        <f t="shared" si="674"/>
        <v>0</v>
      </c>
      <c r="D4319" s="6" t="str">
        <f t="shared" si="675"/>
        <v/>
      </c>
      <c r="E4319" s="35" t="str">
        <f t="shared" si="672"/>
        <v/>
      </c>
      <c r="F4319" s="31"/>
      <c r="G4319" s="29"/>
      <c r="H4319" s="78" t="str">
        <f t="shared" si="676"/>
        <v/>
      </c>
      <c r="I4319" s="25"/>
      <c r="J4319" s="25"/>
      <c r="K4319" s="26"/>
      <c r="L4319" s="26"/>
      <c r="M4319" s="37"/>
      <c r="N4319" s="27"/>
      <c r="O4319" s="30"/>
      <c r="P4319" s="39" t="str">
        <f t="shared" si="677"/>
        <v/>
      </c>
      <c r="Q4319" s="40" t="str">
        <f>IF(OR(T4319=0,RIGHT(T4319,1)=$W$1),"",COUNTIF($T$3:T4319,T4319))</f>
        <v/>
      </c>
      <c r="S4319" s="6">
        <f t="shared" si="678"/>
        <v>0</v>
      </c>
      <c r="T4319" s="36">
        <f t="shared" si="679"/>
        <v>0</v>
      </c>
      <c r="V4319" s="6">
        <f t="shared" si="680"/>
        <v>0</v>
      </c>
      <c r="Y4319" s="8">
        <f t="shared" si="681"/>
        <v>46023</v>
      </c>
    </row>
    <row r="4320" spans="2:25" ht="18.75" x14ac:dyDescent="0.3">
      <c r="B4320" s="6">
        <f t="shared" si="673"/>
        <v>0</v>
      </c>
      <c r="C4320" s="6">
        <f t="shared" si="674"/>
        <v>0</v>
      </c>
      <c r="D4320" s="6" t="str">
        <f t="shared" si="675"/>
        <v/>
      </c>
      <c r="E4320" s="35" t="str">
        <f t="shared" si="672"/>
        <v/>
      </c>
      <c r="F4320" s="31"/>
      <c r="G4320" s="29"/>
      <c r="H4320" s="78" t="str">
        <f t="shared" si="676"/>
        <v/>
      </c>
      <c r="I4320" s="25"/>
      <c r="J4320" s="25"/>
      <c r="K4320" s="26"/>
      <c r="L4320" s="26"/>
      <c r="M4320" s="37"/>
      <c r="N4320" s="27"/>
      <c r="O4320" s="30"/>
      <c r="P4320" s="39" t="str">
        <f t="shared" si="677"/>
        <v/>
      </c>
      <c r="Q4320" s="40" t="str">
        <f>IF(OR(T4320=0,RIGHT(T4320,1)=$W$1),"",COUNTIF($T$3:T4320,T4320))</f>
        <v/>
      </c>
      <c r="S4320" s="6">
        <f t="shared" si="678"/>
        <v>0</v>
      </c>
      <c r="T4320" s="36">
        <f t="shared" si="679"/>
        <v>0</v>
      </c>
      <c r="V4320" s="6">
        <f t="shared" si="680"/>
        <v>0</v>
      </c>
      <c r="Y4320" s="8">
        <f t="shared" si="681"/>
        <v>46023</v>
      </c>
    </row>
    <row r="4321" spans="2:25" ht="18.75" x14ac:dyDescent="0.3">
      <c r="B4321" s="6">
        <f t="shared" si="673"/>
        <v>0</v>
      </c>
      <c r="C4321" s="6">
        <f t="shared" si="674"/>
        <v>0</v>
      </c>
      <c r="D4321" s="6" t="str">
        <f t="shared" si="675"/>
        <v/>
      </c>
      <c r="E4321" s="35" t="str">
        <f t="shared" si="672"/>
        <v/>
      </c>
      <c r="F4321" s="31"/>
      <c r="G4321" s="29"/>
      <c r="H4321" s="78" t="str">
        <f t="shared" si="676"/>
        <v/>
      </c>
      <c r="I4321" s="25"/>
      <c r="J4321" s="25"/>
      <c r="K4321" s="26"/>
      <c r="L4321" s="26"/>
      <c r="M4321" s="37"/>
      <c r="N4321" s="27"/>
      <c r="O4321" s="30"/>
      <c r="P4321" s="39" t="str">
        <f t="shared" si="677"/>
        <v/>
      </c>
      <c r="Q4321" s="40" t="str">
        <f>IF(OR(T4321=0,RIGHT(T4321,1)=$W$1),"",COUNTIF($T$3:T4321,T4321))</f>
        <v/>
      </c>
      <c r="S4321" s="6">
        <f t="shared" si="678"/>
        <v>0</v>
      </c>
      <c r="T4321" s="36">
        <f t="shared" si="679"/>
        <v>0</v>
      </c>
      <c r="V4321" s="6">
        <f t="shared" si="680"/>
        <v>0</v>
      </c>
      <c r="Y4321" s="8">
        <f t="shared" si="681"/>
        <v>46023</v>
      </c>
    </row>
    <row r="4322" spans="2:25" ht="18.75" x14ac:dyDescent="0.3">
      <c r="B4322" s="6">
        <f t="shared" si="673"/>
        <v>0</v>
      </c>
      <c r="C4322" s="6">
        <f t="shared" si="674"/>
        <v>0</v>
      </c>
      <c r="D4322" s="6" t="str">
        <f t="shared" si="675"/>
        <v/>
      </c>
      <c r="E4322" s="35" t="str">
        <f t="shared" si="672"/>
        <v/>
      </c>
      <c r="F4322" s="31"/>
      <c r="G4322" s="29"/>
      <c r="H4322" s="78" t="str">
        <f t="shared" si="676"/>
        <v/>
      </c>
      <c r="I4322" s="25"/>
      <c r="J4322" s="25"/>
      <c r="K4322" s="26"/>
      <c r="L4322" s="26"/>
      <c r="M4322" s="37"/>
      <c r="N4322" s="27"/>
      <c r="O4322" s="30"/>
      <c r="P4322" s="39" t="str">
        <f t="shared" si="677"/>
        <v/>
      </c>
      <c r="Q4322" s="40" t="str">
        <f>IF(OR(T4322=0,RIGHT(T4322,1)=$W$1),"",COUNTIF($T$3:T4322,T4322))</f>
        <v/>
      </c>
      <c r="S4322" s="6">
        <f t="shared" si="678"/>
        <v>0</v>
      </c>
      <c r="T4322" s="36">
        <f t="shared" si="679"/>
        <v>0</v>
      </c>
      <c r="V4322" s="6">
        <f t="shared" si="680"/>
        <v>0</v>
      </c>
      <c r="Y4322" s="8">
        <f t="shared" si="681"/>
        <v>46023</v>
      </c>
    </row>
    <row r="4323" spans="2:25" ht="18.75" x14ac:dyDescent="0.3">
      <c r="B4323" s="6">
        <f t="shared" si="673"/>
        <v>0</v>
      </c>
      <c r="C4323" s="6">
        <f t="shared" si="674"/>
        <v>0</v>
      </c>
      <c r="D4323" s="6" t="str">
        <f t="shared" si="675"/>
        <v/>
      </c>
      <c r="E4323" s="35" t="str">
        <f t="shared" si="672"/>
        <v/>
      </c>
      <c r="F4323" s="31"/>
      <c r="G4323" s="29"/>
      <c r="H4323" s="78" t="str">
        <f t="shared" si="676"/>
        <v/>
      </c>
      <c r="I4323" s="25"/>
      <c r="J4323" s="25"/>
      <c r="K4323" s="26"/>
      <c r="L4323" s="26"/>
      <c r="M4323" s="37"/>
      <c r="N4323" s="27"/>
      <c r="O4323" s="30"/>
      <c r="P4323" s="39" t="str">
        <f t="shared" si="677"/>
        <v/>
      </c>
      <c r="Q4323" s="40" t="str">
        <f>IF(OR(T4323=0,RIGHT(T4323,1)=$W$1),"",COUNTIF($T$3:T4323,T4323))</f>
        <v/>
      </c>
      <c r="S4323" s="6">
        <f t="shared" si="678"/>
        <v>0</v>
      </c>
      <c r="T4323" s="36">
        <f t="shared" si="679"/>
        <v>0</v>
      </c>
      <c r="V4323" s="6">
        <f t="shared" si="680"/>
        <v>0</v>
      </c>
      <c r="Y4323" s="8">
        <f t="shared" si="681"/>
        <v>46023</v>
      </c>
    </row>
    <row r="4324" spans="2:25" ht="18.75" x14ac:dyDescent="0.3">
      <c r="B4324" s="6">
        <f t="shared" si="673"/>
        <v>0</v>
      </c>
      <c r="C4324" s="6">
        <f t="shared" si="674"/>
        <v>0</v>
      </c>
      <c r="D4324" s="6" t="str">
        <f t="shared" si="675"/>
        <v/>
      </c>
      <c r="E4324" s="35" t="str">
        <f t="shared" si="672"/>
        <v/>
      </c>
      <c r="F4324" s="31"/>
      <c r="G4324" s="29"/>
      <c r="H4324" s="78" t="str">
        <f t="shared" si="676"/>
        <v/>
      </c>
      <c r="I4324" s="25"/>
      <c r="J4324" s="25"/>
      <c r="K4324" s="26"/>
      <c r="L4324" s="26"/>
      <c r="M4324" s="37"/>
      <c r="N4324" s="27"/>
      <c r="O4324" s="30"/>
      <c r="P4324" s="39" t="str">
        <f t="shared" si="677"/>
        <v/>
      </c>
      <c r="Q4324" s="40" t="str">
        <f>IF(OR(T4324=0,RIGHT(T4324,1)=$W$1),"",COUNTIF($T$3:T4324,T4324))</f>
        <v/>
      </c>
      <c r="S4324" s="6">
        <f t="shared" si="678"/>
        <v>0</v>
      </c>
      <c r="T4324" s="36">
        <f t="shared" si="679"/>
        <v>0</v>
      </c>
      <c r="V4324" s="6">
        <f t="shared" si="680"/>
        <v>0</v>
      </c>
      <c r="Y4324" s="8">
        <f t="shared" si="681"/>
        <v>46023</v>
      </c>
    </row>
    <row r="4325" spans="2:25" ht="18.75" x14ac:dyDescent="0.3">
      <c r="B4325" s="6">
        <f t="shared" si="673"/>
        <v>0</v>
      </c>
      <c r="C4325" s="6">
        <f t="shared" si="674"/>
        <v>0</v>
      </c>
      <c r="D4325" s="6" t="str">
        <f t="shared" si="675"/>
        <v/>
      </c>
      <c r="E4325" s="35" t="str">
        <f t="shared" si="672"/>
        <v/>
      </c>
      <c r="F4325" s="31"/>
      <c r="G4325" s="29"/>
      <c r="H4325" s="78" t="str">
        <f t="shared" si="676"/>
        <v/>
      </c>
      <c r="I4325" s="25"/>
      <c r="J4325" s="25"/>
      <c r="K4325" s="26"/>
      <c r="L4325" s="26"/>
      <c r="M4325" s="37"/>
      <c r="N4325" s="27"/>
      <c r="O4325" s="30"/>
      <c r="P4325" s="39" t="str">
        <f t="shared" si="677"/>
        <v/>
      </c>
      <c r="Q4325" s="40" t="str">
        <f>IF(OR(T4325=0,RIGHT(T4325,1)=$W$1),"",COUNTIF($T$3:T4325,T4325))</f>
        <v/>
      </c>
      <c r="S4325" s="6">
        <f t="shared" si="678"/>
        <v>0</v>
      </c>
      <c r="T4325" s="36">
        <f t="shared" si="679"/>
        <v>0</v>
      </c>
      <c r="V4325" s="6">
        <f t="shared" si="680"/>
        <v>0</v>
      </c>
      <c r="Y4325" s="8">
        <f t="shared" si="681"/>
        <v>46023</v>
      </c>
    </row>
    <row r="4326" spans="2:25" ht="18.75" x14ac:dyDescent="0.3">
      <c r="B4326" s="6">
        <f t="shared" si="673"/>
        <v>0</v>
      </c>
      <c r="C4326" s="6">
        <f t="shared" si="674"/>
        <v>0</v>
      </c>
      <c r="D4326" s="6" t="str">
        <f t="shared" si="675"/>
        <v/>
      </c>
      <c r="E4326" s="35" t="str">
        <f t="shared" si="672"/>
        <v/>
      </c>
      <c r="F4326" s="31"/>
      <c r="G4326" s="29"/>
      <c r="H4326" s="78" t="str">
        <f t="shared" si="676"/>
        <v/>
      </c>
      <c r="I4326" s="25"/>
      <c r="J4326" s="25"/>
      <c r="K4326" s="26"/>
      <c r="L4326" s="26"/>
      <c r="M4326" s="37"/>
      <c r="N4326" s="27"/>
      <c r="O4326" s="30"/>
      <c r="P4326" s="39" t="str">
        <f t="shared" si="677"/>
        <v/>
      </c>
      <c r="Q4326" s="40" t="str">
        <f>IF(OR(T4326=0,RIGHT(T4326,1)=$W$1),"",COUNTIF($T$3:T4326,T4326))</f>
        <v/>
      </c>
      <c r="S4326" s="6">
        <f t="shared" si="678"/>
        <v>0</v>
      </c>
      <c r="T4326" s="36">
        <f t="shared" si="679"/>
        <v>0</v>
      </c>
      <c r="V4326" s="6">
        <f t="shared" si="680"/>
        <v>0</v>
      </c>
      <c r="Y4326" s="8">
        <f t="shared" si="681"/>
        <v>46023</v>
      </c>
    </row>
    <row r="4327" spans="2:25" ht="18.75" x14ac:dyDescent="0.3">
      <c r="B4327" s="6">
        <f t="shared" si="673"/>
        <v>0</v>
      </c>
      <c r="C4327" s="6">
        <f t="shared" si="674"/>
        <v>0</v>
      </c>
      <c r="D4327" s="6" t="str">
        <f t="shared" si="675"/>
        <v/>
      </c>
      <c r="E4327" s="35" t="str">
        <f t="shared" si="672"/>
        <v/>
      </c>
      <c r="F4327" s="31"/>
      <c r="G4327" s="29"/>
      <c r="H4327" s="78" t="str">
        <f t="shared" si="676"/>
        <v/>
      </c>
      <c r="I4327" s="25"/>
      <c r="J4327" s="25"/>
      <c r="K4327" s="26"/>
      <c r="L4327" s="26"/>
      <c r="M4327" s="37"/>
      <c r="N4327" s="27"/>
      <c r="O4327" s="30"/>
      <c r="P4327" s="39" t="str">
        <f t="shared" si="677"/>
        <v/>
      </c>
      <c r="Q4327" s="40" t="str">
        <f>IF(OR(T4327=0,RIGHT(T4327,1)=$W$1),"",COUNTIF($T$3:T4327,T4327))</f>
        <v/>
      </c>
      <c r="S4327" s="6">
        <f t="shared" si="678"/>
        <v>0</v>
      </c>
      <c r="T4327" s="36">
        <f t="shared" si="679"/>
        <v>0</v>
      </c>
      <c r="V4327" s="6">
        <f t="shared" si="680"/>
        <v>0</v>
      </c>
      <c r="Y4327" s="8">
        <f t="shared" si="681"/>
        <v>46023</v>
      </c>
    </row>
    <row r="4328" spans="2:25" ht="18.75" x14ac:dyDescent="0.3">
      <c r="B4328" s="6">
        <f t="shared" si="673"/>
        <v>0</v>
      </c>
      <c r="C4328" s="6">
        <f t="shared" si="674"/>
        <v>0</v>
      </c>
      <c r="D4328" s="6" t="str">
        <f t="shared" si="675"/>
        <v/>
      </c>
      <c r="E4328" s="35" t="str">
        <f t="shared" si="672"/>
        <v/>
      </c>
      <c r="F4328" s="31"/>
      <c r="G4328" s="29"/>
      <c r="H4328" s="78" t="str">
        <f t="shared" si="676"/>
        <v/>
      </c>
      <c r="I4328" s="25"/>
      <c r="J4328" s="25"/>
      <c r="K4328" s="26"/>
      <c r="L4328" s="26"/>
      <c r="M4328" s="37"/>
      <c r="N4328" s="27"/>
      <c r="O4328" s="30"/>
      <c r="P4328" s="39" t="str">
        <f t="shared" si="677"/>
        <v/>
      </c>
      <c r="Q4328" s="40" t="str">
        <f>IF(OR(T4328=0,RIGHT(T4328,1)=$W$1),"",COUNTIF($T$3:T4328,T4328))</f>
        <v/>
      </c>
      <c r="S4328" s="6">
        <f t="shared" si="678"/>
        <v>0</v>
      </c>
      <c r="T4328" s="36">
        <f t="shared" si="679"/>
        <v>0</v>
      </c>
      <c r="V4328" s="6">
        <f t="shared" si="680"/>
        <v>0</v>
      </c>
      <c r="Y4328" s="8">
        <f t="shared" si="681"/>
        <v>46023</v>
      </c>
    </row>
    <row r="4329" spans="2:25" ht="18.75" x14ac:dyDescent="0.3">
      <c r="B4329" s="6">
        <f t="shared" si="673"/>
        <v>0</v>
      </c>
      <c r="C4329" s="6">
        <f t="shared" si="674"/>
        <v>0</v>
      </c>
      <c r="D4329" s="6" t="str">
        <f t="shared" si="675"/>
        <v/>
      </c>
      <c r="E4329" s="35" t="str">
        <f t="shared" si="672"/>
        <v/>
      </c>
      <c r="F4329" s="31"/>
      <c r="G4329" s="29"/>
      <c r="H4329" s="78" t="str">
        <f t="shared" si="676"/>
        <v/>
      </c>
      <c r="I4329" s="25"/>
      <c r="J4329" s="25"/>
      <c r="K4329" s="26"/>
      <c r="L4329" s="26"/>
      <c r="M4329" s="37"/>
      <c r="N4329" s="27"/>
      <c r="O4329" s="30"/>
      <c r="P4329" s="39" t="str">
        <f t="shared" si="677"/>
        <v/>
      </c>
      <c r="Q4329" s="40" t="str">
        <f>IF(OR(T4329=0,RIGHT(T4329,1)=$W$1),"",COUNTIF($T$3:T4329,T4329))</f>
        <v/>
      </c>
      <c r="S4329" s="6">
        <f t="shared" si="678"/>
        <v>0</v>
      </c>
      <c r="T4329" s="36">
        <f t="shared" si="679"/>
        <v>0</v>
      </c>
      <c r="V4329" s="6">
        <f t="shared" si="680"/>
        <v>0</v>
      </c>
      <c r="Y4329" s="8">
        <f t="shared" si="681"/>
        <v>46023</v>
      </c>
    </row>
    <row r="4330" spans="2:25" ht="18.75" x14ac:dyDescent="0.3">
      <c r="B4330" s="6">
        <f t="shared" si="673"/>
        <v>0</v>
      </c>
      <c r="C4330" s="6">
        <f t="shared" si="674"/>
        <v>0</v>
      </c>
      <c r="D4330" s="6" t="str">
        <f t="shared" si="675"/>
        <v/>
      </c>
      <c r="E4330" s="35" t="str">
        <f t="shared" si="672"/>
        <v/>
      </c>
      <c r="F4330" s="31"/>
      <c r="G4330" s="29"/>
      <c r="H4330" s="78" t="str">
        <f t="shared" si="676"/>
        <v/>
      </c>
      <c r="I4330" s="25"/>
      <c r="J4330" s="25"/>
      <c r="K4330" s="26"/>
      <c r="L4330" s="26"/>
      <c r="M4330" s="37"/>
      <c r="N4330" s="27"/>
      <c r="O4330" s="30"/>
      <c r="P4330" s="39" t="str">
        <f t="shared" si="677"/>
        <v/>
      </c>
      <c r="Q4330" s="40" t="str">
        <f>IF(OR(T4330=0,RIGHT(T4330,1)=$W$1),"",COUNTIF($T$3:T4330,T4330))</f>
        <v/>
      </c>
      <c r="S4330" s="6">
        <f t="shared" si="678"/>
        <v>0</v>
      </c>
      <c r="T4330" s="36">
        <f t="shared" si="679"/>
        <v>0</v>
      </c>
      <c r="V4330" s="6">
        <f t="shared" si="680"/>
        <v>0</v>
      </c>
      <c r="Y4330" s="8">
        <f t="shared" si="681"/>
        <v>46023</v>
      </c>
    </row>
    <row r="4331" spans="2:25" ht="18.75" x14ac:dyDescent="0.3">
      <c r="B4331" s="6">
        <f t="shared" si="673"/>
        <v>0</v>
      </c>
      <c r="C4331" s="6">
        <f t="shared" si="674"/>
        <v>0</v>
      </c>
      <c r="D4331" s="6" t="str">
        <f t="shared" si="675"/>
        <v/>
      </c>
      <c r="E4331" s="35" t="str">
        <f t="shared" si="672"/>
        <v/>
      </c>
      <c r="F4331" s="31"/>
      <c r="G4331" s="29"/>
      <c r="H4331" s="78" t="str">
        <f t="shared" si="676"/>
        <v/>
      </c>
      <c r="I4331" s="25"/>
      <c r="J4331" s="25"/>
      <c r="K4331" s="26"/>
      <c r="L4331" s="26"/>
      <c r="M4331" s="37"/>
      <c r="N4331" s="27"/>
      <c r="O4331" s="30"/>
      <c r="P4331" s="39" t="str">
        <f t="shared" si="677"/>
        <v/>
      </c>
      <c r="Q4331" s="40" t="str">
        <f>IF(OR(T4331=0,RIGHT(T4331,1)=$W$1),"",COUNTIF($T$3:T4331,T4331))</f>
        <v/>
      </c>
      <c r="S4331" s="6">
        <f t="shared" si="678"/>
        <v>0</v>
      </c>
      <c r="T4331" s="36">
        <f t="shared" si="679"/>
        <v>0</v>
      </c>
      <c r="V4331" s="6">
        <f t="shared" si="680"/>
        <v>0</v>
      </c>
      <c r="Y4331" s="8">
        <f t="shared" si="681"/>
        <v>46023</v>
      </c>
    </row>
    <row r="4332" spans="2:25" ht="18.75" x14ac:dyDescent="0.3">
      <c r="B4332" s="6">
        <f t="shared" si="673"/>
        <v>0</v>
      </c>
      <c r="C4332" s="6">
        <f t="shared" si="674"/>
        <v>0</v>
      </c>
      <c r="D4332" s="6" t="str">
        <f t="shared" si="675"/>
        <v/>
      </c>
      <c r="E4332" s="35" t="str">
        <f t="shared" si="672"/>
        <v/>
      </c>
      <c r="F4332" s="31"/>
      <c r="G4332" s="29"/>
      <c r="H4332" s="78" t="str">
        <f t="shared" si="676"/>
        <v/>
      </c>
      <c r="I4332" s="25"/>
      <c r="J4332" s="25"/>
      <c r="K4332" s="26"/>
      <c r="L4332" s="26"/>
      <c r="M4332" s="37"/>
      <c r="N4332" s="27"/>
      <c r="O4332" s="30"/>
      <c r="P4332" s="39" t="str">
        <f t="shared" si="677"/>
        <v/>
      </c>
      <c r="Q4332" s="40" t="str">
        <f>IF(OR(T4332=0,RIGHT(T4332,1)=$W$1),"",COUNTIF($T$3:T4332,T4332))</f>
        <v/>
      </c>
      <c r="S4332" s="6">
        <f t="shared" si="678"/>
        <v>0</v>
      </c>
      <c r="T4332" s="36">
        <f t="shared" si="679"/>
        <v>0</v>
      </c>
      <c r="V4332" s="6">
        <f t="shared" si="680"/>
        <v>0</v>
      </c>
      <c r="Y4332" s="8">
        <f t="shared" si="681"/>
        <v>46023</v>
      </c>
    </row>
    <row r="4333" spans="2:25" ht="18.75" x14ac:dyDescent="0.3">
      <c r="B4333" s="6">
        <f t="shared" si="673"/>
        <v>0</v>
      </c>
      <c r="C4333" s="6">
        <f t="shared" si="674"/>
        <v>0</v>
      </c>
      <c r="D4333" s="6" t="str">
        <f t="shared" si="675"/>
        <v/>
      </c>
      <c r="E4333" s="35" t="str">
        <f t="shared" si="672"/>
        <v/>
      </c>
      <c r="F4333" s="31"/>
      <c r="G4333" s="29"/>
      <c r="H4333" s="78" t="str">
        <f t="shared" si="676"/>
        <v/>
      </c>
      <c r="I4333" s="25"/>
      <c r="J4333" s="25"/>
      <c r="K4333" s="26"/>
      <c r="L4333" s="26"/>
      <c r="M4333" s="37"/>
      <c r="N4333" s="27"/>
      <c r="O4333" s="30"/>
      <c r="P4333" s="39" t="str">
        <f t="shared" si="677"/>
        <v/>
      </c>
      <c r="Q4333" s="40" t="str">
        <f>IF(OR(T4333=0,RIGHT(T4333,1)=$W$1),"",COUNTIF($T$3:T4333,T4333))</f>
        <v/>
      </c>
      <c r="S4333" s="6">
        <f t="shared" si="678"/>
        <v>0</v>
      </c>
      <c r="T4333" s="36">
        <f t="shared" si="679"/>
        <v>0</v>
      </c>
      <c r="V4333" s="6">
        <f t="shared" si="680"/>
        <v>0</v>
      </c>
      <c r="Y4333" s="8">
        <f t="shared" si="681"/>
        <v>46023</v>
      </c>
    </row>
    <row r="4334" spans="2:25" ht="18.75" x14ac:dyDescent="0.3">
      <c r="B4334" s="6">
        <f t="shared" si="673"/>
        <v>0</v>
      </c>
      <c r="C4334" s="6">
        <f t="shared" si="674"/>
        <v>0</v>
      </c>
      <c r="D4334" s="6" t="str">
        <f t="shared" si="675"/>
        <v/>
      </c>
      <c r="E4334" s="35" t="str">
        <f t="shared" si="672"/>
        <v/>
      </c>
      <c r="F4334" s="31"/>
      <c r="G4334" s="29"/>
      <c r="H4334" s="78" t="str">
        <f t="shared" si="676"/>
        <v/>
      </c>
      <c r="I4334" s="25"/>
      <c r="J4334" s="25"/>
      <c r="K4334" s="26"/>
      <c r="L4334" s="26"/>
      <c r="M4334" s="37"/>
      <c r="N4334" s="27"/>
      <c r="O4334" s="30"/>
      <c r="P4334" s="39" t="str">
        <f t="shared" si="677"/>
        <v/>
      </c>
      <c r="Q4334" s="40" t="str">
        <f>IF(OR(T4334=0,RIGHT(T4334,1)=$W$1),"",COUNTIF($T$3:T4334,T4334))</f>
        <v/>
      </c>
      <c r="S4334" s="6">
        <f t="shared" si="678"/>
        <v>0</v>
      </c>
      <c r="T4334" s="36">
        <f t="shared" si="679"/>
        <v>0</v>
      </c>
      <c r="V4334" s="6">
        <f t="shared" si="680"/>
        <v>0</v>
      </c>
      <c r="Y4334" s="8">
        <f t="shared" si="681"/>
        <v>46023</v>
      </c>
    </row>
    <row r="4335" spans="2:25" ht="18.75" x14ac:dyDescent="0.3">
      <c r="B4335" s="6">
        <f t="shared" si="673"/>
        <v>0</v>
      </c>
      <c r="C4335" s="6">
        <f t="shared" si="674"/>
        <v>0</v>
      </c>
      <c r="D4335" s="6" t="str">
        <f t="shared" si="675"/>
        <v/>
      </c>
      <c r="E4335" s="35" t="str">
        <f t="shared" si="672"/>
        <v/>
      </c>
      <c r="F4335" s="31"/>
      <c r="G4335" s="29"/>
      <c r="H4335" s="78" t="str">
        <f t="shared" si="676"/>
        <v/>
      </c>
      <c r="I4335" s="25"/>
      <c r="J4335" s="25"/>
      <c r="K4335" s="26"/>
      <c r="L4335" s="26"/>
      <c r="M4335" s="37"/>
      <c r="N4335" s="27"/>
      <c r="O4335" s="30"/>
      <c r="P4335" s="39" t="str">
        <f t="shared" si="677"/>
        <v/>
      </c>
      <c r="Q4335" s="40" t="str">
        <f>IF(OR(T4335=0,RIGHT(T4335,1)=$W$1),"",COUNTIF($T$3:T4335,T4335))</f>
        <v/>
      </c>
      <c r="S4335" s="6">
        <f t="shared" si="678"/>
        <v>0</v>
      </c>
      <c r="T4335" s="36">
        <f t="shared" si="679"/>
        <v>0</v>
      </c>
      <c r="V4335" s="6">
        <f t="shared" si="680"/>
        <v>0</v>
      </c>
      <c r="Y4335" s="8">
        <f t="shared" si="681"/>
        <v>46023</v>
      </c>
    </row>
    <row r="4336" spans="2:25" ht="18.75" x14ac:dyDescent="0.3">
      <c r="B4336" s="6">
        <f t="shared" si="673"/>
        <v>0</v>
      </c>
      <c r="C4336" s="6">
        <f t="shared" si="674"/>
        <v>0</v>
      </c>
      <c r="D4336" s="6" t="str">
        <f t="shared" si="675"/>
        <v/>
      </c>
      <c r="E4336" s="35" t="str">
        <f t="shared" si="672"/>
        <v/>
      </c>
      <c r="F4336" s="31"/>
      <c r="G4336" s="29"/>
      <c r="H4336" s="78" t="str">
        <f t="shared" si="676"/>
        <v/>
      </c>
      <c r="I4336" s="25"/>
      <c r="J4336" s="25"/>
      <c r="K4336" s="26"/>
      <c r="L4336" s="26"/>
      <c r="M4336" s="37"/>
      <c r="N4336" s="27"/>
      <c r="O4336" s="30"/>
      <c r="P4336" s="39" t="str">
        <f t="shared" si="677"/>
        <v/>
      </c>
      <c r="Q4336" s="40" t="str">
        <f>IF(OR(T4336=0,RIGHT(T4336,1)=$W$1),"",COUNTIF($T$3:T4336,T4336))</f>
        <v/>
      </c>
      <c r="S4336" s="6">
        <f t="shared" si="678"/>
        <v>0</v>
      </c>
      <c r="T4336" s="36">
        <f t="shared" si="679"/>
        <v>0</v>
      </c>
      <c r="V4336" s="6">
        <f t="shared" si="680"/>
        <v>0</v>
      </c>
      <c r="Y4336" s="8">
        <f t="shared" si="681"/>
        <v>46023</v>
      </c>
    </row>
    <row r="4337" spans="2:25" ht="18.75" x14ac:dyDescent="0.3">
      <c r="B4337" s="6">
        <f t="shared" si="673"/>
        <v>0</v>
      </c>
      <c r="C4337" s="6">
        <f t="shared" si="674"/>
        <v>0</v>
      </c>
      <c r="D4337" s="6" t="str">
        <f t="shared" si="675"/>
        <v/>
      </c>
      <c r="E4337" s="35" t="str">
        <f t="shared" si="672"/>
        <v/>
      </c>
      <c r="F4337" s="31"/>
      <c r="G4337" s="29"/>
      <c r="H4337" s="78" t="str">
        <f t="shared" si="676"/>
        <v/>
      </c>
      <c r="I4337" s="25"/>
      <c r="J4337" s="25"/>
      <c r="K4337" s="26"/>
      <c r="L4337" s="26"/>
      <c r="M4337" s="37"/>
      <c r="N4337" s="27"/>
      <c r="O4337" s="30"/>
      <c r="P4337" s="39" t="str">
        <f t="shared" si="677"/>
        <v/>
      </c>
      <c r="Q4337" s="40" t="str">
        <f>IF(OR(T4337=0,RIGHT(T4337,1)=$W$1),"",COUNTIF($T$3:T4337,T4337))</f>
        <v/>
      </c>
      <c r="S4337" s="6">
        <f t="shared" si="678"/>
        <v>0</v>
      </c>
      <c r="T4337" s="36">
        <f t="shared" si="679"/>
        <v>0</v>
      </c>
      <c r="V4337" s="6">
        <f t="shared" si="680"/>
        <v>0</v>
      </c>
      <c r="Y4337" s="8">
        <f t="shared" si="681"/>
        <v>46023</v>
      </c>
    </row>
    <row r="4338" spans="2:25" ht="18.75" x14ac:dyDescent="0.3">
      <c r="B4338" s="6">
        <f t="shared" si="673"/>
        <v>0</v>
      </c>
      <c r="C4338" s="6">
        <f t="shared" si="674"/>
        <v>0</v>
      </c>
      <c r="D4338" s="6" t="str">
        <f t="shared" si="675"/>
        <v/>
      </c>
      <c r="E4338" s="35" t="str">
        <f t="shared" si="672"/>
        <v/>
      </c>
      <c r="F4338" s="31"/>
      <c r="G4338" s="29"/>
      <c r="H4338" s="78" t="str">
        <f t="shared" si="676"/>
        <v/>
      </c>
      <c r="I4338" s="25"/>
      <c r="J4338" s="25"/>
      <c r="K4338" s="26"/>
      <c r="L4338" s="26"/>
      <c r="M4338" s="37"/>
      <c r="N4338" s="27"/>
      <c r="O4338" s="30"/>
      <c r="P4338" s="39" t="str">
        <f t="shared" si="677"/>
        <v/>
      </c>
      <c r="Q4338" s="40" t="str">
        <f>IF(OR(T4338=0,RIGHT(T4338,1)=$W$1),"",COUNTIF($T$3:T4338,T4338))</f>
        <v/>
      </c>
      <c r="S4338" s="6">
        <f t="shared" si="678"/>
        <v>0</v>
      </c>
      <c r="T4338" s="36">
        <f t="shared" si="679"/>
        <v>0</v>
      </c>
      <c r="V4338" s="6">
        <f t="shared" si="680"/>
        <v>0</v>
      </c>
      <c r="Y4338" s="8">
        <f t="shared" si="681"/>
        <v>46023</v>
      </c>
    </row>
    <row r="4339" spans="2:25" ht="18.75" x14ac:dyDescent="0.3">
      <c r="B4339" s="6">
        <f t="shared" si="673"/>
        <v>0</v>
      </c>
      <c r="C4339" s="6">
        <f t="shared" si="674"/>
        <v>0</v>
      </c>
      <c r="D4339" s="6" t="str">
        <f t="shared" si="675"/>
        <v/>
      </c>
      <c r="E4339" s="35" t="str">
        <f t="shared" si="672"/>
        <v/>
      </c>
      <c r="F4339" s="31"/>
      <c r="G4339" s="29"/>
      <c r="H4339" s="78" t="str">
        <f t="shared" si="676"/>
        <v/>
      </c>
      <c r="I4339" s="25"/>
      <c r="J4339" s="25"/>
      <c r="K4339" s="26"/>
      <c r="L4339" s="26"/>
      <c r="M4339" s="37"/>
      <c r="N4339" s="27"/>
      <c r="O4339" s="30"/>
      <c r="P4339" s="39" t="str">
        <f t="shared" si="677"/>
        <v/>
      </c>
      <c r="Q4339" s="40" t="str">
        <f>IF(OR(T4339=0,RIGHT(T4339,1)=$W$1),"",COUNTIF($T$3:T4339,T4339))</f>
        <v/>
      </c>
      <c r="S4339" s="6">
        <f t="shared" si="678"/>
        <v>0</v>
      </c>
      <c r="T4339" s="36">
        <f t="shared" si="679"/>
        <v>0</v>
      </c>
      <c r="V4339" s="6">
        <f t="shared" si="680"/>
        <v>0</v>
      </c>
      <c r="Y4339" s="8">
        <f t="shared" si="681"/>
        <v>46023</v>
      </c>
    </row>
    <row r="4340" spans="2:25" ht="18.75" x14ac:dyDescent="0.3">
      <c r="B4340" s="6">
        <f t="shared" si="673"/>
        <v>0</v>
      </c>
      <c r="C4340" s="6">
        <f t="shared" si="674"/>
        <v>0</v>
      </c>
      <c r="D4340" s="6" t="str">
        <f t="shared" si="675"/>
        <v/>
      </c>
      <c r="E4340" s="35" t="str">
        <f t="shared" si="672"/>
        <v/>
      </c>
      <c r="F4340" s="31"/>
      <c r="G4340" s="29"/>
      <c r="H4340" s="78" t="str">
        <f t="shared" si="676"/>
        <v/>
      </c>
      <c r="I4340" s="25"/>
      <c r="J4340" s="25"/>
      <c r="K4340" s="26"/>
      <c r="L4340" s="26"/>
      <c r="M4340" s="37"/>
      <c r="N4340" s="27"/>
      <c r="O4340" s="30"/>
      <c r="P4340" s="39" t="str">
        <f t="shared" si="677"/>
        <v/>
      </c>
      <c r="Q4340" s="40" t="str">
        <f>IF(OR(T4340=0,RIGHT(T4340,1)=$W$1),"",COUNTIF($T$3:T4340,T4340))</f>
        <v/>
      </c>
      <c r="S4340" s="6">
        <f t="shared" si="678"/>
        <v>0</v>
      </c>
      <c r="T4340" s="36">
        <f t="shared" si="679"/>
        <v>0</v>
      </c>
      <c r="V4340" s="6">
        <f t="shared" si="680"/>
        <v>0</v>
      </c>
      <c r="Y4340" s="8">
        <f t="shared" si="681"/>
        <v>46023</v>
      </c>
    </row>
    <row r="4341" spans="2:25" ht="18.75" x14ac:dyDescent="0.3">
      <c r="B4341" s="6">
        <f t="shared" si="673"/>
        <v>0</v>
      </c>
      <c r="C4341" s="6">
        <f t="shared" si="674"/>
        <v>0</v>
      </c>
      <c r="D4341" s="6" t="str">
        <f t="shared" si="675"/>
        <v/>
      </c>
      <c r="E4341" s="35" t="str">
        <f t="shared" si="672"/>
        <v/>
      </c>
      <c r="F4341" s="31"/>
      <c r="G4341" s="29"/>
      <c r="H4341" s="78" t="str">
        <f t="shared" si="676"/>
        <v/>
      </c>
      <c r="I4341" s="25"/>
      <c r="J4341" s="25"/>
      <c r="K4341" s="26"/>
      <c r="L4341" s="26"/>
      <c r="M4341" s="37"/>
      <c r="N4341" s="27"/>
      <c r="O4341" s="30"/>
      <c r="P4341" s="39" t="str">
        <f t="shared" si="677"/>
        <v/>
      </c>
      <c r="Q4341" s="40" t="str">
        <f>IF(OR(T4341=0,RIGHT(T4341,1)=$W$1),"",COUNTIF($T$3:T4341,T4341))</f>
        <v/>
      </c>
      <c r="S4341" s="6">
        <f t="shared" si="678"/>
        <v>0</v>
      </c>
      <c r="T4341" s="36">
        <f t="shared" si="679"/>
        <v>0</v>
      </c>
      <c r="V4341" s="6">
        <f t="shared" si="680"/>
        <v>0</v>
      </c>
      <c r="Y4341" s="8">
        <f t="shared" si="681"/>
        <v>46023</v>
      </c>
    </row>
    <row r="4342" spans="2:25" ht="18.75" x14ac:dyDescent="0.3">
      <c r="B4342" s="6">
        <f t="shared" si="673"/>
        <v>0</v>
      </c>
      <c r="C4342" s="6">
        <f t="shared" si="674"/>
        <v>0</v>
      </c>
      <c r="D4342" s="6" t="str">
        <f t="shared" si="675"/>
        <v/>
      </c>
      <c r="E4342" s="35" t="str">
        <f t="shared" si="672"/>
        <v/>
      </c>
      <c r="F4342" s="31"/>
      <c r="G4342" s="29"/>
      <c r="H4342" s="78" t="str">
        <f t="shared" si="676"/>
        <v/>
      </c>
      <c r="I4342" s="25"/>
      <c r="J4342" s="25"/>
      <c r="K4342" s="26"/>
      <c r="L4342" s="26"/>
      <c r="M4342" s="37"/>
      <c r="N4342" s="27"/>
      <c r="O4342" s="30"/>
      <c r="P4342" s="39" t="str">
        <f t="shared" si="677"/>
        <v/>
      </c>
      <c r="Q4342" s="40" t="str">
        <f>IF(OR(T4342=0,RIGHT(T4342,1)=$W$1),"",COUNTIF($T$3:T4342,T4342))</f>
        <v/>
      </c>
      <c r="S4342" s="6">
        <f t="shared" si="678"/>
        <v>0</v>
      </c>
      <c r="T4342" s="36">
        <f t="shared" si="679"/>
        <v>0</v>
      </c>
      <c r="V4342" s="6">
        <f t="shared" si="680"/>
        <v>0</v>
      </c>
      <c r="Y4342" s="8">
        <f t="shared" si="681"/>
        <v>46023</v>
      </c>
    </row>
    <row r="4343" spans="2:25" ht="18.75" x14ac:dyDescent="0.3">
      <c r="B4343" s="6">
        <f t="shared" si="673"/>
        <v>0</v>
      </c>
      <c r="C4343" s="6">
        <f t="shared" si="674"/>
        <v>0</v>
      </c>
      <c r="D4343" s="6" t="str">
        <f t="shared" si="675"/>
        <v/>
      </c>
      <c r="E4343" s="35" t="str">
        <f t="shared" si="672"/>
        <v/>
      </c>
      <c r="F4343" s="31"/>
      <c r="G4343" s="29"/>
      <c r="H4343" s="78" t="str">
        <f t="shared" si="676"/>
        <v/>
      </c>
      <c r="I4343" s="25"/>
      <c r="J4343" s="25"/>
      <c r="K4343" s="26"/>
      <c r="L4343" s="26"/>
      <c r="M4343" s="37"/>
      <c r="N4343" s="27"/>
      <c r="O4343" s="30"/>
      <c r="P4343" s="39" t="str">
        <f t="shared" si="677"/>
        <v/>
      </c>
      <c r="Q4343" s="40" t="str">
        <f>IF(OR(T4343=0,RIGHT(T4343,1)=$W$1),"",COUNTIF($T$3:T4343,T4343))</f>
        <v/>
      </c>
      <c r="S4343" s="6">
        <f t="shared" si="678"/>
        <v>0</v>
      </c>
      <c r="T4343" s="36">
        <f t="shared" si="679"/>
        <v>0</v>
      </c>
      <c r="V4343" s="6">
        <f t="shared" si="680"/>
        <v>0</v>
      </c>
      <c r="Y4343" s="8">
        <f t="shared" si="681"/>
        <v>46023</v>
      </c>
    </row>
    <row r="4344" spans="2:25" ht="18.75" x14ac:dyDescent="0.3">
      <c r="B4344" s="6">
        <f t="shared" si="673"/>
        <v>0</v>
      </c>
      <c r="C4344" s="6">
        <f t="shared" si="674"/>
        <v>0</v>
      </c>
      <c r="D4344" s="6" t="str">
        <f t="shared" si="675"/>
        <v/>
      </c>
      <c r="E4344" s="35" t="str">
        <f t="shared" si="672"/>
        <v/>
      </c>
      <c r="F4344" s="31"/>
      <c r="G4344" s="29"/>
      <c r="H4344" s="78" t="str">
        <f t="shared" si="676"/>
        <v/>
      </c>
      <c r="I4344" s="25"/>
      <c r="J4344" s="25"/>
      <c r="K4344" s="26"/>
      <c r="L4344" s="26"/>
      <c r="M4344" s="37"/>
      <c r="N4344" s="27"/>
      <c r="O4344" s="30"/>
      <c r="P4344" s="39" t="str">
        <f t="shared" si="677"/>
        <v/>
      </c>
      <c r="Q4344" s="40" t="str">
        <f>IF(OR(T4344=0,RIGHT(T4344,1)=$W$1),"",COUNTIF($T$3:T4344,T4344))</f>
        <v/>
      </c>
      <c r="S4344" s="6">
        <f t="shared" si="678"/>
        <v>0</v>
      </c>
      <c r="T4344" s="36">
        <f t="shared" si="679"/>
        <v>0</v>
      </c>
      <c r="V4344" s="6">
        <f t="shared" si="680"/>
        <v>0</v>
      </c>
      <c r="Y4344" s="8">
        <f t="shared" si="681"/>
        <v>46023</v>
      </c>
    </row>
    <row r="4345" spans="2:25" ht="18.75" x14ac:dyDescent="0.3">
      <c r="B4345" s="6">
        <f t="shared" si="673"/>
        <v>0</v>
      </c>
      <c r="C4345" s="6">
        <f t="shared" si="674"/>
        <v>0</v>
      </c>
      <c r="D4345" s="6" t="str">
        <f t="shared" si="675"/>
        <v/>
      </c>
      <c r="E4345" s="35" t="str">
        <f t="shared" si="672"/>
        <v/>
      </c>
      <c r="F4345" s="31"/>
      <c r="G4345" s="29"/>
      <c r="H4345" s="78" t="str">
        <f t="shared" si="676"/>
        <v/>
      </c>
      <c r="I4345" s="25"/>
      <c r="J4345" s="25"/>
      <c r="K4345" s="26"/>
      <c r="L4345" s="26"/>
      <c r="M4345" s="37"/>
      <c r="N4345" s="27"/>
      <c r="O4345" s="30"/>
      <c r="P4345" s="39" t="str">
        <f t="shared" si="677"/>
        <v/>
      </c>
      <c r="Q4345" s="40" t="str">
        <f>IF(OR(T4345=0,RIGHT(T4345,1)=$W$1),"",COUNTIF($T$3:T4345,T4345))</f>
        <v/>
      </c>
      <c r="S4345" s="6">
        <f t="shared" si="678"/>
        <v>0</v>
      </c>
      <c r="T4345" s="36">
        <f t="shared" si="679"/>
        <v>0</v>
      </c>
      <c r="V4345" s="6">
        <f t="shared" si="680"/>
        <v>0</v>
      </c>
      <c r="Y4345" s="8">
        <f t="shared" si="681"/>
        <v>46023</v>
      </c>
    </row>
    <row r="4346" spans="2:25" ht="18.75" x14ac:dyDescent="0.3">
      <c r="B4346" s="6">
        <f t="shared" si="673"/>
        <v>0</v>
      </c>
      <c r="C4346" s="6">
        <f t="shared" si="674"/>
        <v>0</v>
      </c>
      <c r="D4346" s="6" t="str">
        <f t="shared" si="675"/>
        <v/>
      </c>
      <c r="E4346" s="35" t="str">
        <f t="shared" si="672"/>
        <v/>
      </c>
      <c r="F4346" s="31"/>
      <c r="G4346" s="29"/>
      <c r="H4346" s="78" t="str">
        <f t="shared" si="676"/>
        <v/>
      </c>
      <c r="I4346" s="25"/>
      <c r="J4346" s="25"/>
      <c r="K4346" s="26"/>
      <c r="L4346" s="26"/>
      <c r="M4346" s="37"/>
      <c r="N4346" s="27"/>
      <c r="O4346" s="30"/>
      <c r="P4346" s="39" t="str">
        <f t="shared" si="677"/>
        <v/>
      </c>
      <c r="Q4346" s="40" t="str">
        <f>IF(OR(T4346=0,RIGHT(T4346,1)=$W$1),"",COUNTIF($T$3:T4346,T4346))</f>
        <v/>
      </c>
      <c r="S4346" s="6">
        <f t="shared" si="678"/>
        <v>0</v>
      </c>
      <c r="T4346" s="36">
        <f t="shared" si="679"/>
        <v>0</v>
      </c>
      <c r="V4346" s="6">
        <f t="shared" si="680"/>
        <v>0</v>
      </c>
      <c r="Y4346" s="8">
        <f t="shared" si="681"/>
        <v>46023</v>
      </c>
    </row>
    <row r="4347" spans="2:25" ht="18.75" x14ac:dyDescent="0.3">
      <c r="B4347" s="6">
        <f t="shared" si="673"/>
        <v>0</v>
      </c>
      <c r="C4347" s="6">
        <f t="shared" si="674"/>
        <v>0</v>
      </c>
      <c r="D4347" s="6" t="str">
        <f t="shared" si="675"/>
        <v/>
      </c>
      <c r="E4347" s="35" t="str">
        <f t="shared" si="672"/>
        <v/>
      </c>
      <c r="F4347" s="31"/>
      <c r="G4347" s="29"/>
      <c r="H4347" s="78" t="str">
        <f t="shared" si="676"/>
        <v/>
      </c>
      <c r="I4347" s="25"/>
      <c r="J4347" s="25"/>
      <c r="K4347" s="26"/>
      <c r="L4347" s="26"/>
      <c r="M4347" s="37"/>
      <c r="N4347" s="27"/>
      <c r="O4347" s="30"/>
      <c r="P4347" s="39" t="str">
        <f t="shared" si="677"/>
        <v/>
      </c>
      <c r="Q4347" s="40" t="str">
        <f>IF(OR(T4347=0,RIGHT(T4347,1)=$W$1),"",COUNTIF($T$3:T4347,T4347))</f>
        <v/>
      </c>
      <c r="S4347" s="6">
        <f t="shared" si="678"/>
        <v>0</v>
      </c>
      <c r="T4347" s="36">
        <f t="shared" si="679"/>
        <v>0</v>
      </c>
      <c r="V4347" s="6">
        <f t="shared" si="680"/>
        <v>0</v>
      </c>
      <c r="Y4347" s="8">
        <f t="shared" si="681"/>
        <v>46023</v>
      </c>
    </row>
    <row r="4348" spans="2:25" ht="18.75" x14ac:dyDescent="0.3">
      <c r="B4348" s="6">
        <f t="shared" si="673"/>
        <v>0</v>
      </c>
      <c r="C4348" s="6">
        <f t="shared" si="674"/>
        <v>0</v>
      </c>
      <c r="D4348" s="6" t="str">
        <f t="shared" si="675"/>
        <v/>
      </c>
      <c r="E4348" s="35" t="str">
        <f t="shared" si="672"/>
        <v/>
      </c>
      <c r="F4348" s="31"/>
      <c r="G4348" s="29"/>
      <c r="H4348" s="78" t="str">
        <f t="shared" si="676"/>
        <v/>
      </c>
      <c r="I4348" s="25"/>
      <c r="J4348" s="25"/>
      <c r="K4348" s="26"/>
      <c r="L4348" s="26"/>
      <c r="M4348" s="37"/>
      <c r="N4348" s="27"/>
      <c r="O4348" s="30"/>
      <c r="P4348" s="39" t="str">
        <f t="shared" si="677"/>
        <v/>
      </c>
      <c r="Q4348" s="40" t="str">
        <f>IF(OR(T4348=0,RIGHT(T4348,1)=$W$1),"",COUNTIF($T$3:T4348,T4348))</f>
        <v/>
      </c>
      <c r="S4348" s="6">
        <f t="shared" si="678"/>
        <v>0</v>
      </c>
      <c r="T4348" s="36">
        <f t="shared" si="679"/>
        <v>0</v>
      </c>
      <c r="V4348" s="6">
        <f t="shared" si="680"/>
        <v>0</v>
      </c>
      <c r="Y4348" s="8">
        <f t="shared" si="681"/>
        <v>46023</v>
      </c>
    </row>
    <row r="4349" spans="2:25" ht="18.75" x14ac:dyDescent="0.3">
      <c r="B4349" s="6">
        <f t="shared" si="673"/>
        <v>0</v>
      </c>
      <c r="C4349" s="6">
        <f t="shared" si="674"/>
        <v>0</v>
      </c>
      <c r="D4349" s="6" t="str">
        <f t="shared" si="675"/>
        <v/>
      </c>
      <c r="E4349" s="35" t="str">
        <f t="shared" si="672"/>
        <v/>
      </c>
      <c r="F4349" s="31"/>
      <c r="G4349" s="29"/>
      <c r="H4349" s="78" t="str">
        <f t="shared" si="676"/>
        <v/>
      </c>
      <c r="I4349" s="25"/>
      <c r="J4349" s="25"/>
      <c r="K4349" s="26"/>
      <c r="L4349" s="26"/>
      <c r="M4349" s="37"/>
      <c r="N4349" s="27"/>
      <c r="O4349" s="30"/>
      <c r="P4349" s="39" t="str">
        <f t="shared" si="677"/>
        <v/>
      </c>
      <c r="Q4349" s="40" t="str">
        <f>IF(OR(T4349=0,RIGHT(T4349,1)=$W$1),"",COUNTIF($T$3:T4349,T4349))</f>
        <v/>
      </c>
      <c r="S4349" s="6">
        <f t="shared" si="678"/>
        <v>0</v>
      </c>
      <c r="T4349" s="36">
        <f t="shared" si="679"/>
        <v>0</v>
      </c>
      <c r="V4349" s="6">
        <f t="shared" si="680"/>
        <v>0</v>
      </c>
      <c r="Y4349" s="8">
        <f t="shared" si="681"/>
        <v>46023</v>
      </c>
    </row>
    <row r="4350" spans="2:25" ht="18.75" x14ac:dyDescent="0.3">
      <c r="B4350" s="6">
        <f t="shared" si="673"/>
        <v>0</v>
      </c>
      <c r="C4350" s="6">
        <f t="shared" si="674"/>
        <v>0</v>
      </c>
      <c r="D4350" s="6" t="str">
        <f t="shared" si="675"/>
        <v/>
      </c>
      <c r="E4350" s="35" t="str">
        <f t="shared" si="672"/>
        <v/>
      </c>
      <c r="F4350" s="31"/>
      <c r="G4350" s="29"/>
      <c r="H4350" s="78" t="str">
        <f t="shared" si="676"/>
        <v/>
      </c>
      <c r="I4350" s="25"/>
      <c r="J4350" s="25"/>
      <c r="K4350" s="26"/>
      <c r="L4350" s="26"/>
      <c r="M4350" s="37"/>
      <c r="N4350" s="27"/>
      <c r="O4350" s="30"/>
      <c r="P4350" s="39" t="str">
        <f t="shared" si="677"/>
        <v/>
      </c>
      <c r="Q4350" s="40" t="str">
        <f>IF(OR(T4350=0,RIGHT(T4350,1)=$W$1),"",COUNTIF($T$3:T4350,T4350))</f>
        <v/>
      </c>
      <c r="S4350" s="6">
        <f t="shared" si="678"/>
        <v>0</v>
      </c>
      <c r="T4350" s="36">
        <f t="shared" si="679"/>
        <v>0</v>
      </c>
      <c r="V4350" s="6">
        <f t="shared" si="680"/>
        <v>0</v>
      </c>
      <c r="Y4350" s="8">
        <f t="shared" si="681"/>
        <v>46023</v>
      </c>
    </row>
    <row r="4351" spans="2:25" ht="18.75" x14ac:dyDescent="0.3">
      <c r="B4351" s="6">
        <f t="shared" si="673"/>
        <v>0</v>
      </c>
      <c r="C4351" s="6">
        <f t="shared" si="674"/>
        <v>0</v>
      </c>
      <c r="D4351" s="6" t="str">
        <f t="shared" si="675"/>
        <v/>
      </c>
      <c r="E4351" s="35" t="str">
        <f t="shared" si="672"/>
        <v/>
      </c>
      <c r="F4351" s="31"/>
      <c r="G4351" s="29"/>
      <c r="H4351" s="78" t="str">
        <f t="shared" si="676"/>
        <v/>
      </c>
      <c r="I4351" s="25"/>
      <c r="J4351" s="25"/>
      <c r="K4351" s="26"/>
      <c r="L4351" s="26"/>
      <c r="M4351" s="37"/>
      <c r="N4351" s="27"/>
      <c r="O4351" s="30"/>
      <c r="P4351" s="39" t="str">
        <f t="shared" si="677"/>
        <v/>
      </c>
      <c r="Q4351" s="40" t="str">
        <f>IF(OR(T4351=0,RIGHT(T4351,1)=$W$1),"",COUNTIF($T$3:T4351,T4351))</f>
        <v/>
      </c>
      <c r="S4351" s="6">
        <f t="shared" si="678"/>
        <v>0</v>
      </c>
      <c r="T4351" s="36">
        <f t="shared" si="679"/>
        <v>0</v>
      </c>
      <c r="V4351" s="6">
        <f t="shared" si="680"/>
        <v>0</v>
      </c>
      <c r="Y4351" s="8">
        <f t="shared" si="681"/>
        <v>46023</v>
      </c>
    </row>
    <row r="4352" spans="2:25" ht="18.75" x14ac:dyDescent="0.3">
      <c r="B4352" s="6">
        <f t="shared" si="673"/>
        <v>0</v>
      </c>
      <c r="C4352" s="6">
        <f t="shared" si="674"/>
        <v>0</v>
      </c>
      <c r="D4352" s="6" t="str">
        <f t="shared" si="675"/>
        <v/>
      </c>
      <c r="E4352" s="35" t="str">
        <f t="shared" si="672"/>
        <v/>
      </c>
      <c r="F4352" s="31"/>
      <c r="G4352" s="29"/>
      <c r="H4352" s="78" t="str">
        <f t="shared" si="676"/>
        <v/>
      </c>
      <c r="I4352" s="25"/>
      <c r="J4352" s="25"/>
      <c r="K4352" s="26"/>
      <c r="L4352" s="26"/>
      <c r="M4352" s="37"/>
      <c r="N4352" s="27"/>
      <c r="O4352" s="30"/>
      <c r="P4352" s="39" t="str">
        <f t="shared" si="677"/>
        <v/>
      </c>
      <c r="Q4352" s="40" t="str">
        <f>IF(OR(T4352=0,RIGHT(T4352,1)=$W$1),"",COUNTIF($T$3:T4352,T4352))</f>
        <v/>
      </c>
      <c r="S4352" s="6">
        <f t="shared" si="678"/>
        <v>0</v>
      </c>
      <c r="T4352" s="36">
        <f t="shared" si="679"/>
        <v>0</v>
      </c>
      <c r="V4352" s="6">
        <f t="shared" si="680"/>
        <v>0</v>
      </c>
      <c r="Y4352" s="8">
        <f t="shared" si="681"/>
        <v>46023</v>
      </c>
    </row>
    <row r="4353" spans="2:25" ht="18.75" x14ac:dyDescent="0.3">
      <c r="B4353" s="6">
        <f t="shared" si="673"/>
        <v>0</v>
      </c>
      <c r="C4353" s="6">
        <f t="shared" si="674"/>
        <v>0</v>
      </c>
      <c r="D4353" s="6" t="str">
        <f t="shared" si="675"/>
        <v/>
      </c>
      <c r="E4353" s="35" t="str">
        <f t="shared" si="672"/>
        <v/>
      </c>
      <c r="F4353" s="31"/>
      <c r="G4353" s="29"/>
      <c r="H4353" s="78" t="str">
        <f t="shared" si="676"/>
        <v/>
      </c>
      <c r="I4353" s="25"/>
      <c r="J4353" s="25"/>
      <c r="K4353" s="26"/>
      <c r="L4353" s="26"/>
      <c r="M4353" s="37"/>
      <c r="N4353" s="27"/>
      <c r="O4353" s="30"/>
      <c r="P4353" s="39" t="str">
        <f t="shared" si="677"/>
        <v/>
      </c>
      <c r="Q4353" s="40" t="str">
        <f>IF(OR(T4353=0,RIGHT(T4353,1)=$W$1),"",COUNTIF($T$3:T4353,T4353))</f>
        <v/>
      </c>
      <c r="S4353" s="6">
        <f t="shared" si="678"/>
        <v>0</v>
      </c>
      <c r="T4353" s="36">
        <f t="shared" si="679"/>
        <v>0</v>
      </c>
      <c r="V4353" s="6">
        <f t="shared" si="680"/>
        <v>0</v>
      </c>
      <c r="Y4353" s="8">
        <f t="shared" si="681"/>
        <v>46023</v>
      </c>
    </row>
    <row r="4354" spans="2:25" ht="18.75" x14ac:dyDescent="0.3">
      <c r="B4354" s="6">
        <f t="shared" si="673"/>
        <v>0</v>
      </c>
      <c r="C4354" s="6">
        <f t="shared" si="674"/>
        <v>0</v>
      </c>
      <c r="D4354" s="6" t="str">
        <f t="shared" si="675"/>
        <v/>
      </c>
      <c r="E4354" s="35" t="str">
        <f t="shared" si="672"/>
        <v/>
      </c>
      <c r="F4354" s="31"/>
      <c r="G4354" s="29"/>
      <c r="H4354" s="78" t="str">
        <f t="shared" si="676"/>
        <v/>
      </c>
      <c r="I4354" s="25"/>
      <c r="J4354" s="25"/>
      <c r="K4354" s="26"/>
      <c r="L4354" s="26"/>
      <c r="M4354" s="37"/>
      <c r="N4354" s="27"/>
      <c r="O4354" s="30"/>
      <c r="P4354" s="39" t="str">
        <f t="shared" si="677"/>
        <v/>
      </c>
      <c r="Q4354" s="40" t="str">
        <f>IF(OR(T4354=0,RIGHT(T4354,1)=$W$1),"",COUNTIF($T$3:T4354,T4354))</f>
        <v/>
      </c>
      <c r="S4354" s="6">
        <f t="shared" si="678"/>
        <v>0</v>
      </c>
      <c r="T4354" s="36">
        <f t="shared" si="679"/>
        <v>0</v>
      </c>
      <c r="V4354" s="6">
        <f t="shared" si="680"/>
        <v>0</v>
      </c>
      <c r="Y4354" s="8">
        <f t="shared" si="681"/>
        <v>46023</v>
      </c>
    </row>
    <row r="4355" spans="2:25" ht="18.75" x14ac:dyDescent="0.3">
      <c r="B4355" s="6">
        <f t="shared" si="673"/>
        <v>0</v>
      </c>
      <c r="C4355" s="6">
        <f t="shared" si="674"/>
        <v>0</v>
      </c>
      <c r="D4355" s="6" t="str">
        <f t="shared" si="675"/>
        <v/>
      </c>
      <c r="E4355" s="35" t="str">
        <f t="shared" ref="E4355:E4418" si="682">IF(D4355&lt;&gt;"",D4355&amp;" - "&amp;YEAR(F4355),"")</f>
        <v/>
      </c>
      <c r="F4355" s="31"/>
      <c r="G4355" s="29"/>
      <c r="H4355" s="78" t="str">
        <f t="shared" si="676"/>
        <v/>
      </c>
      <c r="I4355" s="25"/>
      <c r="J4355" s="25"/>
      <c r="K4355" s="26"/>
      <c r="L4355" s="26"/>
      <c r="M4355" s="37"/>
      <c r="N4355" s="27"/>
      <c r="O4355" s="30"/>
      <c r="P4355" s="39" t="str">
        <f t="shared" si="677"/>
        <v/>
      </c>
      <c r="Q4355" s="40" t="str">
        <f>IF(OR(T4355=0,RIGHT(T4355,1)=$W$1),"",COUNTIF($T$3:T4355,T4355))</f>
        <v/>
      </c>
      <c r="S4355" s="6">
        <f t="shared" si="678"/>
        <v>0</v>
      </c>
      <c r="T4355" s="36">
        <f t="shared" si="679"/>
        <v>0</v>
      </c>
      <c r="V4355" s="6">
        <f t="shared" si="680"/>
        <v>0</v>
      </c>
      <c r="Y4355" s="8">
        <f t="shared" si="681"/>
        <v>46023</v>
      </c>
    </row>
    <row r="4356" spans="2:25" ht="18.75" x14ac:dyDescent="0.3">
      <c r="B4356" s="6">
        <f t="shared" ref="B4356:B4419" si="683">IF($B$1=YEAR(F4356),B4355+1,B4355)</f>
        <v>0</v>
      </c>
      <c r="C4356" s="6">
        <f t="shared" ref="C4356:C4419" si="684">IF(AND($C$1=K4356,$Y$1=YEAR(F4356)),C4355+1,C4355)</f>
        <v>0</v>
      </c>
      <c r="D4356" s="6" t="str">
        <f t="shared" ref="D4356:D4419" si="685">IF(F4356&lt;&gt;0,IF(YEAR(F4356)&lt;&gt;YEAR(F4355),1,IF(M4356=$AI$1,D4355,D4355+1)),"")</f>
        <v/>
      </c>
      <c r="E4356" s="35" t="str">
        <f t="shared" si="682"/>
        <v/>
      </c>
      <c r="F4356" s="31"/>
      <c r="G4356" s="29"/>
      <c r="H4356" s="78" t="str">
        <f t="shared" ref="H4356:H4419" si="686">IF(G4356&lt;&gt;"",F4356,"")</f>
        <v/>
      </c>
      <c r="I4356" s="25"/>
      <c r="J4356" s="25"/>
      <c r="K4356" s="26"/>
      <c r="L4356" s="26"/>
      <c r="M4356" s="37"/>
      <c r="N4356" s="27"/>
      <c r="O4356" s="30"/>
      <c r="P4356" s="39" t="str">
        <f t="shared" ref="P4356:P4419" si="687">IF(OR(T4356=0,RIGHT(T4356,1)=$W$1),"",VLOOKUP(K4356,$AD$1:$AK$15,5,FALSE))</f>
        <v/>
      </c>
      <c r="Q4356" s="40" t="str">
        <f>IF(OR(T4356=0,RIGHT(T4356,1)=$W$1),"",COUNTIF($T$3:T4356,T4356))</f>
        <v/>
      </c>
      <c r="S4356" s="6">
        <f t="shared" ref="S4356:S4419" si="688">IF(AND($C$1=K4356,$Y$1=YEAR(F4356)),C4356,0)</f>
        <v>0</v>
      </c>
      <c r="T4356" s="36">
        <f t="shared" ref="T4356:T4419" si="689">IF(F4356=0,0,YEAR(F4356)&amp;VLOOKUP(K4356,$AD$1:$AE$15,2,FALSE))</f>
        <v>0</v>
      </c>
      <c r="V4356" s="6">
        <f t="shared" ref="V4356:V4419" si="690">IF(AND(YEAR(F4356)=$Y$1,K4356=$C$1,L4356&amp;$V$1&lt;&gt;$V$1),L4356,IF(AND(YEAR(F4356)=$Y$1,K4356=$C$1),1,0))</f>
        <v>0</v>
      </c>
      <c r="Y4356" s="8">
        <f t="shared" ref="Y4356:Y4419" si="691">IF(M4356&lt;&gt;$AI$1,$Y$2,F4355)</f>
        <v>46023</v>
      </c>
    </row>
    <row r="4357" spans="2:25" ht="18.75" x14ac:dyDescent="0.3">
      <c r="B4357" s="6">
        <f t="shared" si="683"/>
        <v>0</v>
      </c>
      <c r="C4357" s="6">
        <f t="shared" si="684"/>
        <v>0</v>
      </c>
      <c r="D4357" s="6" t="str">
        <f t="shared" si="685"/>
        <v/>
      </c>
      <c r="E4357" s="35" t="str">
        <f t="shared" si="682"/>
        <v/>
      </c>
      <c r="F4357" s="31"/>
      <c r="G4357" s="29"/>
      <c r="H4357" s="78" t="str">
        <f t="shared" si="686"/>
        <v/>
      </c>
      <c r="I4357" s="25"/>
      <c r="J4357" s="25"/>
      <c r="K4357" s="26"/>
      <c r="L4357" s="26"/>
      <c r="M4357" s="37"/>
      <c r="N4357" s="27"/>
      <c r="O4357" s="30"/>
      <c r="P4357" s="39" t="str">
        <f t="shared" si="687"/>
        <v/>
      </c>
      <c r="Q4357" s="40" t="str">
        <f>IF(OR(T4357=0,RIGHT(T4357,1)=$W$1),"",COUNTIF($T$3:T4357,T4357))</f>
        <v/>
      </c>
      <c r="S4357" s="6">
        <f t="shared" si="688"/>
        <v>0</v>
      </c>
      <c r="T4357" s="36">
        <f t="shared" si="689"/>
        <v>0</v>
      </c>
      <c r="V4357" s="6">
        <f t="shared" si="690"/>
        <v>0</v>
      </c>
      <c r="Y4357" s="8">
        <f t="shared" si="691"/>
        <v>46023</v>
      </c>
    </row>
    <row r="4358" spans="2:25" ht="18.75" x14ac:dyDescent="0.3">
      <c r="B4358" s="6">
        <f t="shared" si="683"/>
        <v>0</v>
      </c>
      <c r="C4358" s="6">
        <f t="shared" si="684"/>
        <v>0</v>
      </c>
      <c r="D4358" s="6" t="str">
        <f t="shared" si="685"/>
        <v/>
      </c>
      <c r="E4358" s="35" t="str">
        <f t="shared" si="682"/>
        <v/>
      </c>
      <c r="F4358" s="31"/>
      <c r="G4358" s="29"/>
      <c r="H4358" s="78" t="str">
        <f t="shared" si="686"/>
        <v/>
      </c>
      <c r="I4358" s="25"/>
      <c r="J4358" s="25"/>
      <c r="K4358" s="26"/>
      <c r="L4358" s="26"/>
      <c r="M4358" s="37"/>
      <c r="N4358" s="27"/>
      <c r="O4358" s="30"/>
      <c r="P4358" s="39" t="str">
        <f t="shared" si="687"/>
        <v/>
      </c>
      <c r="Q4358" s="40" t="str">
        <f>IF(OR(T4358=0,RIGHT(T4358,1)=$W$1),"",COUNTIF($T$3:T4358,T4358))</f>
        <v/>
      </c>
      <c r="S4358" s="6">
        <f t="shared" si="688"/>
        <v>0</v>
      </c>
      <c r="T4358" s="36">
        <f t="shared" si="689"/>
        <v>0</v>
      </c>
      <c r="V4358" s="6">
        <f t="shared" si="690"/>
        <v>0</v>
      </c>
      <c r="Y4358" s="8">
        <f t="shared" si="691"/>
        <v>46023</v>
      </c>
    </row>
    <row r="4359" spans="2:25" ht="18.75" x14ac:dyDescent="0.3">
      <c r="B4359" s="6">
        <f t="shared" si="683"/>
        <v>0</v>
      </c>
      <c r="C4359" s="6">
        <f t="shared" si="684"/>
        <v>0</v>
      </c>
      <c r="D4359" s="6" t="str">
        <f t="shared" si="685"/>
        <v/>
      </c>
      <c r="E4359" s="35" t="str">
        <f t="shared" si="682"/>
        <v/>
      </c>
      <c r="F4359" s="31"/>
      <c r="G4359" s="29"/>
      <c r="H4359" s="78" t="str">
        <f t="shared" si="686"/>
        <v/>
      </c>
      <c r="I4359" s="25"/>
      <c r="J4359" s="25"/>
      <c r="K4359" s="26"/>
      <c r="L4359" s="26"/>
      <c r="M4359" s="37"/>
      <c r="N4359" s="27"/>
      <c r="O4359" s="30"/>
      <c r="P4359" s="39" t="str">
        <f t="shared" si="687"/>
        <v/>
      </c>
      <c r="Q4359" s="40" t="str">
        <f>IF(OR(T4359=0,RIGHT(T4359,1)=$W$1),"",COUNTIF($T$3:T4359,T4359))</f>
        <v/>
      </c>
      <c r="S4359" s="6">
        <f t="shared" si="688"/>
        <v>0</v>
      </c>
      <c r="T4359" s="36">
        <f t="shared" si="689"/>
        <v>0</v>
      </c>
      <c r="V4359" s="6">
        <f t="shared" si="690"/>
        <v>0</v>
      </c>
      <c r="Y4359" s="8">
        <f t="shared" si="691"/>
        <v>46023</v>
      </c>
    </row>
    <row r="4360" spans="2:25" ht="18.75" x14ac:dyDescent="0.3">
      <c r="B4360" s="6">
        <f t="shared" si="683"/>
        <v>0</v>
      </c>
      <c r="C4360" s="6">
        <f t="shared" si="684"/>
        <v>0</v>
      </c>
      <c r="D4360" s="6" t="str">
        <f t="shared" si="685"/>
        <v/>
      </c>
      <c r="E4360" s="35" t="str">
        <f t="shared" si="682"/>
        <v/>
      </c>
      <c r="F4360" s="31"/>
      <c r="G4360" s="29"/>
      <c r="H4360" s="78" t="str">
        <f t="shared" si="686"/>
        <v/>
      </c>
      <c r="I4360" s="25"/>
      <c r="J4360" s="25"/>
      <c r="K4360" s="26"/>
      <c r="L4360" s="26"/>
      <c r="M4360" s="37"/>
      <c r="N4360" s="27"/>
      <c r="O4360" s="30"/>
      <c r="P4360" s="39" t="str">
        <f t="shared" si="687"/>
        <v/>
      </c>
      <c r="Q4360" s="40" t="str">
        <f>IF(OR(T4360=0,RIGHT(T4360,1)=$W$1),"",COUNTIF($T$3:T4360,T4360))</f>
        <v/>
      </c>
      <c r="S4360" s="6">
        <f t="shared" si="688"/>
        <v>0</v>
      </c>
      <c r="T4360" s="36">
        <f t="shared" si="689"/>
        <v>0</v>
      </c>
      <c r="V4360" s="6">
        <f t="shared" si="690"/>
        <v>0</v>
      </c>
      <c r="Y4360" s="8">
        <f t="shared" si="691"/>
        <v>46023</v>
      </c>
    </row>
    <row r="4361" spans="2:25" ht="18.75" x14ac:dyDescent="0.3">
      <c r="B4361" s="6">
        <f t="shared" si="683"/>
        <v>0</v>
      </c>
      <c r="C4361" s="6">
        <f t="shared" si="684"/>
        <v>0</v>
      </c>
      <c r="D4361" s="6" t="str">
        <f t="shared" si="685"/>
        <v/>
      </c>
      <c r="E4361" s="35" t="str">
        <f t="shared" si="682"/>
        <v/>
      </c>
      <c r="F4361" s="31"/>
      <c r="G4361" s="29"/>
      <c r="H4361" s="78" t="str">
        <f t="shared" si="686"/>
        <v/>
      </c>
      <c r="I4361" s="25"/>
      <c r="J4361" s="25"/>
      <c r="K4361" s="26"/>
      <c r="L4361" s="26"/>
      <c r="M4361" s="37"/>
      <c r="N4361" s="27"/>
      <c r="O4361" s="30"/>
      <c r="P4361" s="39" t="str">
        <f t="shared" si="687"/>
        <v/>
      </c>
      <c r="Q4361" s="40" t="str">
        <f>IF(OR(T4361=0,RIGHT(T4361,1)=$W$1),"",COUNTIF($T$3:T4361,T4361))</f>
        <v/>
      </c>
      <c r="S4361" s="6">
        <f t="shared" si="688"/>
        <v>0</v>
      </c>
      <c r="T4361" s="36">
        <f t="shared" si="689"/>
        <v>0</v>
      </c>
      <c r="V4361" s="6">
        <f t="shared" si="690"/>
        <v>0</v>
      </c>
      <c r="Y4361" s="8">
        <f t="shared" si="691"/>
        <v>46023</v>
      </c>
    </row>
    <row r="4362" spans="2:25" ht="18.75" x14ac:dyDescent="0.3">
      <c r="B4362" s="6">
        <f t="shared" si="683"/>
        <v>0</v>
      </c>
      <c r="C4362" s="6">
        <f t="shared" si="684"/>
        <v>0</v>
      </c>
      <c r="D4362" s="6" t="str">
        <f t="shared" si="685"/>
        <v/>
      </c>
      <c r="E4362" s="35" t="str">
        <f t="shared" si="682"/>
        <v/>
      </c>
      <c r="F4362" s="31"/>
      <c r="G4362" s="29"/>
      <c r="H4362" s="78" t="str">
        <f t="shared" si="686"/>
        <v/>
      </c>
      <c r="I4362" s="25"/>
      <c r="J4362" s="25"/>
      <c r="K4362" s="26"/>
      <c r="L4362" s="26"/>
      <c r="M4362" s="37"/>
      <c r="N4362" s="27"/>
      <c r="O4362" s="30"/>
      <c r="P4362" s="39" t="str">
        <f t="shared" si="687"/>
        <v/>
      </c>
      <c r="Q4362" s="40" t="str">
        <f>IF(OR(T4362=0,RIGHT(T4362,1)=$W$1),"",COUNTIF($T$3:T4362,T4362))</f>
        <v/>
      </c>
      <c r="S4362" s="6">
        <f t="shared" si="688"/>
        <v>0</v>
      </c>
      <c r="T4362" s="36">
        <f t="shared" si="689"/>
        <v>0</v>
      </c>
      <c r="V4362" s="6">
        <f t="shared" si="690"/>
        <v>0</v>
      </c>
      <c r="Y4362" s="8">
        <f t="shared" si="691"/>
        <v>46023</v>
      </c>
    </row>
    <row r="4363" spans="2:25" ht="18.75" x14ac:dyDescent="0.3">
      <c r="B4363" s="6">
        <f t="shared" si="683"/>
        <v>0</v>
      </c>
      <c r="C4363" s="6">
        <f t="shared" si="684"/>
        <v>0</v>
      </c>
      <c r="D4363" s="6" t="str">
        <f t="shared" si="685"/>
        <v/>
      </c>
      <c r="E4363" s="35" t="str">
        <f t="shared" si="682"/>
        <v/>
      </c>
      <c r="F4363" s="31"/>
      <c r="G4363" s="29"/>
      <c r="H4363" s="78" t="str">
        <f t="shared" si="686"/>
        <v/>
      </c>
      <c r="I4363" s="25"/>
      <c r="J4363" s="25"/>
      <c r="K4363" s="26"/>
      <c r="L4363" s="26"/>
      <c r="M4363" s="37"/>
      <c r="N4363" s="27"/>
      <c r="O4363" s="30"/>
      <c r="P4363" s="39" t="str">
        <f t="shared" si="687"/>
        <v/>
      </c>
      <c r="Q4363" s="40" t="str">
        <f>IF(OR(T4363=0,RIGHT(T4363,1)=$W$1),"",COUNTIF($T$3:T4363,T4363))</f>
        <v/>
      </c>
      <c r="S4363" s="6">
        <f t="shared" si="688"/>
        <v>0</v>
      </c>
      <c r="T4363" s="36">
        <f t="shared" si="689"/>
        <v>0</v>
      </c>
      <c r="V4363" s="6">
        <f t="shared" si="690"/>
        <v>0</v>
      </c>
      <c r="Y4363" s="8">
        <f t="shared" si="691"/>
        <v>46023</v>
      </c>
    </row>
    <row r="4364" spans="2:25" ht="18.75" x14ac:dyDescent="0.3">
      <c r="B4364" s="6">
        <f t="shared" si="683"/>
        <v>0</v>
      </c>
      <c r="C4364" s="6">
        <f t="shared" si="684"/>
        <v>0</v>
      </c>
      <c r="D4364" s="6" t="str">
        <f t="shared" si="685"/>
        <v/>
      </c>
      <c r="E4364" s="35" t="str">
        <f t="shared" si="682"/>
        <v/>
      </c>
      <c r="F4364" s="31"/>
      <c r="G4364" s="29"/>
      <c r="H4364" s="78" t="str">
        <f t="shared" si="686"/>
        <v/>
      </c>
      <c r="I4364" s="25"/>
      <c r="J4364" s="25"/>
      <c r="K4364" s="26"/>
      <c r="L4364" s="26"/>
      <c r="M4364" s="37"/>
      <c r="N4364" s="27"/>
      <c r="O4364" s="30"/>
      <c r="P4364" s="39" t="str">
        <f t="shared" si="687"/>
        <v/>
      </c>
      <c r="Q4364" s="40" t="str">
        <f>IF(OR(T4364=0,RIGHT(T4364,1)=$W$1),"",COUNTIF($T$3:T4364,T4364))</f>
        <v/>
      </c>
      <c r="S4364" s="6">
        <f t="shared" si="688"/>
        <v>0</v>
      </c>
      <c r="T4364" s="36">
        <f t="shared" si="689"/>
        <v>0</v>
      </c>
      <c r="V4364" s="6">
        <f t="shared" si="690"/>
        <v>0</v>
      </c>
      <c r="Y4364" s="8">
        <f t="shared" si="691"/>
        <v>46023</v>
      </c>
    </row>
    <row r="4365" spans="2:25" ht="18.75" x14ac:dyDescent="0.3">
      <c r="B4365" s="6">
        <f t="shared" si="683"/>
        <v>0</v>
      </c>
      <c r="C4365" s="6">
        <f t="shared" si="684"/>
        <v>0</v>
      </c>
      <c r="D4365" s="6" t="str">
        <f t="shared" si="685"/>
        <v/>
      </c>
      <c r="E4365" s="35" t="str">
        <f t="shared" si="682"/>
        <v/>
      </c>
      <c r="F4365" s="31"/>
      <c r="G4365" s="29"/>
      <c r="H4365" s="78" t="str">
        <f t="shared" si="686"/>
        <v/>
      </c>
      <c r="I4365" s="25"/>
      <c r="J4365" s="25"/>
      <c r="K4365" s="26"/>
      <c r="L4365" s="26"/>
      <c r="M4365" s="37"/>
      <c r="N4365" s="27"/>
      <c r="O4365" s="30"/>
      <c r="P4365" s="39" t="str">
        <f t="shared" si="687"/>
        <v/>
      </c>
      <c r="Q4365" s="40" t="str">
        <f>IF(OR(T4365=0,RIGHT(T4365,1)=$W$1),"",COUNTIF($T$3:T4365,T4365))</f>
        <v/>
      </c>
      <c r="S4365" s="6">
        <f t="shared" si="688"/>
        <v>0</v>
      </c>
      <c r="T4365" s="36">
        <f t="shared" si="689"/>
        <v>0</v>
      </c>
      <c r="V4365" s="6">
        <f t="shared" si="690"/>
        <v>0</v>
      </c>
      <c r="Y4365" s="8">
        <f t="shared" si="691"/>
        <v>46023</v>
      </c>
    </row>
    <row r="4366" spans="2:25" ht="18.75" x14ac:dyDescent="0.3">
      <c r="B4366" s="6">
        <f t="shared" si="683"/>
        <v>0</v>
      </c>
      <c r="C4366" s="6">
        <f t="shared" si="684"/>
        <v>0</v>
      </c>
      <c r="D4366" s="6" t="str">
        <f t="shared" si="685"/>
        <v/>
      </c>
      <c r="E4366" s="35" t="str">
        <f t="shared" si="682"/>
        <v/>
      </c>
      <c r="F4366" s="31"/>
      <c r="G4366" s="29"/>
      <c r="H4366" s="78" t="str">
        <f t="shared" si="686"/>
        <v/>
      </c>
      <c r="I4366" s="25"/>
      <c r="J4366" s="25"/>
      <c r="K4366" s="26"/>
      <c r="L4366" s="26"/>
      <c r="M4366" s="37"/>
      <c r="N4366" s="27"/>
      <c r="O4366" s="30"/>
      <c r="P4366" s="39" t="str">
        <f t="shared" si="687"/>
        <v/>
      </c>
      <c r="Q4366" s="40" t="str">
        <f>IF(OR(T4366=0,RIGHT(T4366,1)=$W$1),"",COUNTIF($T$3:T4366,T4366))</f>
        <v/>
      </c>
      <c r="S4366" s="6">
        <f t="shared" si="688"/>
        <v>0</v>
      </c>
      <c r="T4366" s="36">
        <f t="shared" si="689"/>
        <v>0</v>
      </c>
      <c r="V4366" s="6">
        <f t="shared" si="690"/>
        <v>0</v>
      </c>
      <c r="Y4366" s="8">
        <f t="shared" si="691"/>
        <v>46023</v>
      </c>
    </row>
    <row r="4367" spans="2:25" ht="18.75" x14ac:dyDescent="0.3">
      <c r="B4367" s="6">
        <f t="shared" si="683"/>
        <v>0</v>
      </c>
      <c r="C4367" s="6">
        <f t="shared" si="684"/>
        <v>0</v>
      </c>
      <c r="D4367" s="6" t="str">
        <f t="shared" si="685"/>
        <v/>
      </c>
      <c r="E4367" s="35" t="str">
        <f t="shared" si="682"/>
        <v/>
      </c>
      <c r="F4367" s="31"/>
      <c r="G4367" s="29"/>
      <c r="H4367" s="78" t="str">
        <f t="shared" si="686"/>
        <v/>
      </c>
      <c r="I4367" s="25"/>
      <c r="J4367" s="25"/>
      <c r="K4367" s="26"/>
      <c r="L4367" s="26"/>
      <c r="M4367" s="37"/>
      <c r="N4367" s="27"/>
      <c r="O4367" s="30"/>
      <c r="P4367" s="39" t="str">
        <f t="shared" si="687"/>
        <v/>
      </c>
      <c r="Q4367" s="40" t="str">
        <f>IF(OR(T4367=0,RIGHT(T4367,1)=$W$1),"",COUNTIF($T$3:T4367,T4367))</f>
        <v/>
      </c>
      <c r="S4367" s="6">
        <f t="shared" si="688"/>
        <v>0</v>
      </c>
      <c r="T4367" s="36">
        <f t="shared" si="689"/>
        <v>0</v>
      </c>
      <c r="V4367" s="6">
        <f t="shared" si="690"/>
        <v>0</v>
      </c>
      <c r="Y4367" s="8">
        <f t="shared" si="691"/>
        <v>46023</v>
      </c>
    </row>
    <row r="4368" spans="2:25" ht="18.75" x14ac:dyDescent="0.3">
      <c r="B4368" s="6">
        <f t="shared" si="683"/>
        <v>0</v>
      </c>
      <c r="C4368" s="6">
        <f t="shared" si="684"/>
        <v>0</v>
      </c>
      <c r="D4368" s="6" t="str">
        <f t="shared" si="685"/>
        <v/>
      </c>
      <c r="E4368" s="35" t="str">
        <f t="shared" si="682"/>
        <v/>
      </c>
      <c r="F4368" s="31"/>
      <c r="G4368" s="29"/>
      <c r="H4368" s="78" t="str">
        <f t="shared" si="686"/>
        <v/>
      </c>
      <c r="I4368" s="25"/>
      <c r="J4368" s="25"/>
      <c r="K4368" s="26"/>
      <c r="L4368" s="26"/>
      <c r="M4368" s="37"/>
      <c r="N4368" s="27"/>
      <c r="O4368" s="30"/>
      <c r="P4368" s="39" t="str">
        <f t="shared" si="687"/>
        <v/>
      </c>
      <c r="Q4368" s="40" t="str">
        <f>IF(OR(T4368=0,RIGHT(T4368,1)=$W$1),"",COUNTIF($T$3:T4368,T4368))</f>
        <v/>
      </c>
      <c r="S4368" s="6">
        <f t="shared" si="688"/>
        <v>0</v>
      </c>
      <c r="T4368" s="36">
        <f t="shared" si="689"/>
        <v>0</v>
      </c>
      <c r="V4368" s="6">
        <f t="shared" si="690"/>
        <v>0</v>
      </c>
      <c r="Y4368" s="8">
        <f t="shared" si="691"/>
        <v>46023</v>
      </c>
    </row>
    <row r="4369" spans="2:25" ht="18.75" x14ac:dyDescent="0.3">
      <c r="B4369" s="6">
        <f t="shared" si="683"/>
        <v>0</v>
      </c>
      <c r="C4369" s="6">
        <f t="shared" si="684"/>
        <v>0</v>
      </c>
      <c r="D4369" s="6" t="str">
        <f t="shared" si="685"/>
        <v/>
      </c>
      <c r="E4369" s="35" t="str">
        <f t="shared" si="682"/>
        <v/>
      </c>
      <c r="F4369" s="31"/>
      <c r="G4369" s="29"/>
      <c r="H4369" s="78" t="str">
        <f t="shared" si="686"/>
        <v/>
      </c>
      <c r="I4369" s="25"/>
      <c r="J4369" s="25"/>
      <c r="K4369" s="26"/>
      <c r="L4369" s="26"/>
      <c r="M4369" s="37"/>
      <c r="N4369" s="27"/>
      <c r="O4369" s="30"/>
      <c r="P4369" s="39" t="str">
        <f t="shared" si="687"/>
        <v/>
      </c>
      <c r="Q4369" s="40" t="str">
        <f>IF(OR(T4369=0,RIGHT(T4369,1)=$W$1),"",COUNTIF($T$3:T4369,T4369))</f>
        <v/>
      </c>
      <c r="S4369" s="6">
        <f t="shared" si="688"/>
        <v>0</v>
      </c>
      <c r="T4369" s="36">
        <f t="shared" si="689"/>
        <v>0</v>
      </c>
      <c r="V4369" s="6">
        <f t="shared" si="690"/>
        <v>0</v>
      </c>
      <c r="Y4369" s="8">
        <f t="shared" si="691"/>
        <v>46023</v>
      </c>
    </row>
    <row r="4370" spans="2:25" ht="18.75" x14ac:dyDescent="0.3">
      <c r="B4370" s="6">
        <f t="shared" si="683"/>
        <v>0</v>
      </c>
      <c r="C4370" s="6">
        <f t="shared" si="684"/>
        <v>0</v>
      </c>
      <c r="D4370" s="6" t="str">
        <f t="shared" si="685"/>
        <v/>
      </c>
      <c r="E4370" s="35" t="str">
        <f t="shared" si="682"/>
        <v/>
      </c>
      <c r="F4370" s="31"/>
      <c r="G4370" s="29"/>
      <c r="H4370" s="78" t="str">
        <f t="shared" si="686"/>
        <v/>
      </c>
      <c r="I4370" s="25"/>
      <c r="J4370" s="25"/>
      <c r="K4370" s="26"/>
      <c r="L4370" s="26"/>
      <c r="M4370" s="37"/>
      <c r="N4370" s="27"/>
      <c r="O4370" s="30"/>
      <c r="P4370" s="39" t="str">
        <f t="shared" si="687"/>
        <v/>
      </c>
      <c r="Q4370" s="40" t="str">
        <f>IF(OR(T4370=0,RIGHT(T4370,1)=$W$1),"",COUNTIF($T$3:T4370,T4370))</f>
        <v/>
      </c>
      <c r="S4370" s="6">
        <f t="shared" si="688"/>
        <v>0</v>
      </c>
      <c r="T4370" s="36">
        <f t="shared" si="689"/>
        <v>0</v>
      </c>
      <c r="V4370" s="6">
        <f t="shared" si="690"/>
        <v>0</v>
      </c>
      <c r="Y4370" s="8">
        <f t="shared" si="691"/>
        <v>46023</v>
      </c>
    </row>
    <row r="4371" spans="2:25" ht="18.75" x14ac:dyDescent="0.3">
      <c r="B4371" s="6">
        <f t="shared" si="683"/>
        <v>0</v>
      </c>
      <c r="C4371" s="6">
        <f t="shared" si="684"/>
        <v>0</v>
      </c>
      <c r="D4371" s="6" t="str">
        <f t="shared" si="685"/>
        <v/>
      </c>
      <c r="E4371" s="35" t="str">
        <f t="shared" si="682"/>
        <v/>
      </c>
      <c r="F4371" s="31"/>
      <c r="G4371" s="29"/>
      <c r="H4371" s="78" t="str">
        <f t="shared" si="686"/>
        <v/>
      </c>
      <c r="I4371" s="25"/>
      <c r="J4371" s="25"/>
      <c r="K4371" s="26"/>
      <c r="L4371" s="26"/>
      <c r="M4371" s="37"/>
      <c r="N4371" s="27"/>
      <c r="O4371" s="30"/>
      <c r="P4371" s="39" t="str">
        <f t="shared" si="687"/>
        <v/>
      </c>
      <c r="Q4371" s="40" t="str">
        <f>IF(OR(T4371=0,RIGHT(T4371,1)=$W$1),"",COUNTIF($T$3:T4371,T4371))</f>
        <v/>
      </c>
      <c r="S4371" s="6">
        <f t="shared" si="688"/>
        <v>0</v>
      </c>
      <c r="T4371" s="36">
        <f t="shared" si="689"/>
        <v>0</v>
      </c>
      <c r="V4371" s="6">
        <f t="shared" si="690"/>
        <v>0</v>
      </c>
      <c r="Y4371" s="8">
        <f t="shared" si="691"/>
        <v>46023</v>
      </c>
    </row>
    <row r="4372" spans="2:25" ht="18.75" x14ac:dyDescent="0.3">
      <c r="B4372" s="6">
        <f t="shared" si="683"/>
        <v>0</v>
      </c>
      <c r="C4372" s="6">
        <f t="shared" si="684"/>
        <v>0</v>
      </c>
      <c r="D4372" s="6" t="str">
        <f t="shared" si="685"/>
        <v/>
      </c>
      <c r="E4372" s="35" t="str">
        <f t="shared" si="682"/>
        <v/>
      </c>
      <c r="F4372" s="31"/>
      <c r="G4372" s="29"/>
      <c r="H4372" s="78" t="str">
        <f t="shared" si="686"/>
        <v/>
      </c>
      <c r="I4372" s="25"/>
      <c r="J4372" s="25"/>
      <c r="K4372" s="26"/>
      <c r="L4372" s="26"/>
      <c r="M4372" s="37"/>
      <c r="N4372" s="27"/>
      <c r="O4372" s="30"/>
      <c r="P4372" s="39" t="str">
        <f t="shared" si="687"/>
        <v/>
      </c>
      <c r="Q4372" s="40" t="str">
        <f>IF(OR(T4372=0,RIGHT(T4372,1)=$W$1),"",COUNTIF($T$3:T4372,T4372))</f>
        <v/>
      </c>
      <c r="S4372" s="6">
        <f t="shared" si="688"/>
        <v>0</v>
      </c>
      <c r="T4372" s="36">
        <f t="shared" si="689"/>
        <v>0</v>
      </c>
      <c r="V4372" s="6">
        <f t="shared" si="690"/>
        <v>0</v>
      </c>
      <c r="Y4372" s="8">
        <f t="shared" si="691"/>
        <v>46023</v>
      </c>
    </row>
    <row r="4373" spans="2:25" ht="18.75" x14ac:dyDescent="0.3">
      <c r="B4373" s="6">
        <f t="shared" si="683"/>
        <v>0</v>
      </c>
      <c r="C4373" s="6">
        <f t="shared" si="684"/>
        <v>0</v>
      </c>
      <c r="D4373" s="6" t="str">
        <f t="shared" si="685"/>
        <v/>
      </c>
      <c r="E4373" s="35" t="str">
        <f t="shared" si="682"/>
        <v/>
      </c>
      <c r="F4373" s="31"/>
      <c r="G4373" s="29"/>
      <c r="H4373" s="78" t="str">
        <f t="shared" si="686"/>
        <v/>
      </c>
      <c r="I4373" s="25"/>
      <c r="J4373" s="25"/>
      <c r="K4373" s="26"/>
      <c r="L4373" s="26"/>
      <c r="M4373" s="37"/>
      <c r="N4373" s="27"/>
      <c r="O4373" s="30"/>
      <c r="P4373" s="39" t="str">
        <f t="shared" si="687"/>
        <v/>
      </c>
      <c r="Q4373" s="40" t="str">
        <f>IF(OR(T4373=0,RIGHT(T4373,1)=$W$1),"",COUNTIF($T$3:T4373,T4373))</f>
        <v/>
      </c>
      <c r="S4373" s="6">
        <f t="shared" si="688"/>
        <v>0</v>
      </c>
      <c r="T4373" s="36">
        <f t="shared" si="689"/>
        <v>0</v>
      </c>
      <c r="V4373" s="6">
        <f t="shared" si="690"/>
        <v>0</v>
      </c>
      <c r="Y4373" s="8">
        <f t="shared" si="691"/>
        <v>46023</v>
      </c>
    </row>
    <row r="4374" spans="2:25" ht="18.75" x14ac:dyDescent="0.3">
      <c r="B4374" s="6">
        <f t="shared" si="683"/>
        <v>0</v>
      </c>
      <c r="C4374" s="6">
        <f t="shared" si="684"/>
        <v>0</v>
      </c>
      <c r="D4374" s="6" t="str">
        <f t="shared" si="685"/>
        <v/>
      </c>
      <c r="E4374" s="35" t="str">
        <f t="shared" si="682"/>
        <v/>
      </c>
      <c r="F4374" s="31"/>
      <c r="G4374" s="29"/>
      <c r="H4374" s="78" t="str">
        <f t="shared" si="686"/>
        <v/>
      </c>
      <c r="I4374" s="25"/>
      <c r="J4374" s="25"/>
      <c r="K4374" s="26"/>
      <c r="L4374" s="26"/>
      <c r="M4374" s="37"/>
      <c r="N4374" s="27"/>
      <c r="O4374" s="30"/>
      <c r="P4374" s="39" t="str">
        <f t="shared" si="687"/>
        <v/>
      </c>
      <c r="Q4374" s="40" t="str">
        <f>IF(OR(T4374=0,RIGHT(T4374,1)=$W$1),"",COUNTIF($T$3:T4374,T4374))</f>
        <v/>
      </c>
      <c r="S4374" s="6">
        <f t="shared" si="688"/>
        <v>0</v>
      </c>
      <c r="T4374" s="36">
        <f t="shared" si="689"/>
        <v>0</v>
      </c>
      <c r="V4374" s="6">
        <f t="shared" si="690"/>
        <v>0</v>
      </c>
      <c r="Y4374" s="8">
        <f t="shared" si="691"/>
        <v>46023</v>
      </c>
    </row>
    <row r="4375" spans="2:25" ht="18.75" x14ac:dyDescent="0.3">
      <c r="B4375" s="6">
        <f t="shared" si="683"/>
        <v>0</v>
      </c>
      <c r="C4375" s="6">
        <f t="shared" si="684"/>
        <v>0</v>
      </c>
      <c r="D4375" s="6" t="str">
        <f t="shared" si="685"/>
        <v/>
      </c>
      <c r="E4375" s="35" t="str">
        <f t="shared" si="682"/>
        <v/>
      </c>
      <c r="F4375" s="31"/>
      <c r="G4375" s="29"/>
      <c r="H4375" s="78" t="str">
        <f t="shared" si="686"/>
        <v/>
      </c>
      <c r="I4375" s="25"/>
      <c r="J4375" s="25"/>
      <c r="K4375" s="26"/>
      <c r="L4375" s="26"/>
      <c r="M4375" s="37"/>
      <c r="N4375" s="27"/>
      <c r="O4375" s="30"/>
      <c r="P4375" s="39" t="str">
        <f t="shared" si="687"/>
        <v/>
      </c>
      <c r="Q4375" s="40" t="str">
        <f>IF(OR(T4375=0,RIGHT(T4375,1)=$W$1),"",COUNTIF($T$3:T4375,T4375))</f>
        <v/>
      </c>
      <c r="S4375" s="6">
        <f t="shared" si="688"/>
        <v>0</v>
      </c>
      <c r="T4375" s="36">
        <f t="shared" si="689"/>
        <v>0</v>
      </c>
      <c r="V4375" s="6">
        <f t="shared" si="690"/>
        <v>0</v>
      </c>
      <c r="Y4375" s="8">
        <f t="shared" si="691"/>
        <v>46023</v>
      </c>
    </row>
    <row r="4376" spans="2:25" ht="18.75" x14ac:dyDescent="0.3">
      <c r="B4376" s="6">
        <f t="shared" si="683"/>
        <v>0</v>
      </c>
      <c r="C4376" s="6">
        <f t="shared" si="684"/>
        <v>0</v>
      </c>
      <c r="D4376" s="6" t="str">
        <f t="shared" si="685"/>
        <v/>
      </c>
      <c r="E4376" s="35" t="str">
        <f t="shared" si="682"/>
        <v/>
      </c>
      <c r="F4376" s="31"/>
      <c r="G4376" s="29"/>
      <c r="H4376" s="78" t="str">
        <f t="shared" si="686"/>
        <v/>
      </c>
      <c r="I4376" s="25"/>
      <c r="J4376" s="25"/>
      <c r="K4376" s="26"/>
      <c r="L4376" s="26"/>
      <c r="M4376" s="37"/>
      <c r="N4376" s="27"/>
      <c r="O4376" s="30"/>
      <c r="P4376" s="39" t="str">
        <f t="shared" si="687"/>
        <v/>
      </c>
      <c r="Q4376" s="40" t="str">
        <f>IF(OR(T4376=0,RIGHT(T4376,1)=$W$1),"",COUNTIF($T$3:T4376,T4376))</f>
        <v/>
      </c>
      <c r="S4376" s="6">
        <f t="shared" si="688"/>
        <v>0</v>
      </c>
      <c r="T4376" s="36">
        <f t="shared" si="689"/>
        <v>0</v>
      </c>
      <c r="V4376" s="6">
        <f t="shared" si="690"/>
        <v>0</v>
      </c>
      <c r="Y4376" s="8">
        <f t="shared" si="691"/>
        <v>46023</v>
      </c>
    </row>
    <row r="4377" spans="2:25" ht="18.75" x14ac:dyDescent="0.3">
      <c r="B4377" s="6">
        <f t="shared" si="683"/>
        <v>0</v>
      </c>
      <c r="C4377" s="6">
        <f t="shared" si="684"/>
        <v>0</v>
      </c>
      <c r="D4377" s="6" t="str">
        <f t="shared" si="685"/>
        <v/>
      </c>
      <c r="E4377" s="35" t="str">
        <f t="shared" si="682"/>
        <v/>
      </c>
      <c r="F4377" s="31"/>
      <c r="G4377" s="29"/>
      <c r="H4377" s="78" t="str">
        <f t="shared" si="686"/>
        <v/>
      </c>
      <c r="I4377" s="25"/>
      <c r="J4377" s="25"/>
      <c r="K4377" s="26"/>
      <c r="L4377" s="26"/>
      <c r="M4377" s="37"/>
      <c r="N4377" s="27"/>
      <c r="O4377" s="30"/>
      <c r="P4377" s="39" t="str">
        <f t="shared" si="687"/>
        <v/>
      </c>
      <c r="Q4377" s="40" t="str">
        <f>IF(OR(T4377=0,RIGHT(T4377,1)=$W$1),"",COUNTIF($T$3:T4377,T4377))</f>
        <v/>
      </c>
      <c r="S4377" s="6">
        <f t="shared" si="688"/>
        <v>0</v>
      </c>
      <c r="T4377" s="36">
        <f t="shared" si="689"/>
        <v>0</v>
      </c>
      <c r="V4377" s="6">
        <f t="shared" si="690"/>
        <v>0</v>
      </c>
      <c r="Y4377" s="8">
        <f t="shared" si="691"/>
        <v>46023</v>
      </c>
    </row>
    <row r="4378" spans="2:25" ht="18.75" x14ac:dyDescent="0.3">
      <c r="B4378" s="6">
        <f t="shared" si="683"/>
        <v>0</v>
      </c>
      <c r="C4378" s="6">
        <f t="shared" si="684"/>
        <v>0</v>
      </c>
      <c r="D4378" s="6" t="str">
        <f t="shared" si="685"/>
        <v/>
      </c>
      <c r="E4378" s="35" t="str">
        <f t="shared" si="682"/>
        <v/>
      </c>
      <c r="F4378" s="31"/>
      <c r="G4378" s="29"/>
      <c r="H4378" s="78" t="str">
        <f t="shared" si="686"/>
        <v/>
      </c>
      <c r="I4378" s="25"/>
      <c r="J4378" s="25"/>
      <c r="K4378" s="26"/>
      <c r="L4378" s="26"/>
      <c r="M4378" s="37"/>
      <c r="N4378" s="27"/>
      <c r="O4378" s="30"/>
      <c r="P4378" s="39" t="str">
        <f t="shared" si="687"/>
        <v/>
      </c>
      <c r="Q4378" s="40" t="str">
        <f>IF(OR(T4378=0,RIGHT(T4378,1)=$W$1),"",COUNTIF($T$3:T4378,T4378))</f>
        <v/>
      </c>
      <c r="S4378" s="6">
        <f t="shared" si="688"/>
        <v>0</v>
      </c>
      <c r="T4378" s="36">
        <f t="shared" si="689"/>
        <v>0</v>
      </c>
      <c r="V4378" s="6">
        <f t="shared" si="690"/>
        <v>0</v>
      </c>
      <c r="Y4378" s="8">
        <f t="shared" si="691"/>
        <v>46023</v>
      </c>
    </row>
    <row r="4379" spans="2:25" ht="18.75" x14ac:dyDescent="0.3">
      <c r="B4379" s="6">
        <f t="shared" si="683"/>
        <v>0</v>
      </c>
      <c r="C4379" s="6">
        <f t="shared" si="684"/>
        <v>0</v>
      </c>
      <c r="D4379" s="6" t="str">
        <f t="shared" si="685"/>
        <v/>
      </c>
      <c r="E4379" s="35" t="str">
        <f t="shared" si="682"/>
        <v/>
      </c>
      <c r="F4379" s="31"/>
      <c r="G4379" s="29"/>
      <c r="H4379" s="78" t="str">
        <f t="shared" si="686"/>
        <v/>
      </c>
      <c r="I4379" s="25"/>
      <c r="J4379" s="25"/>
      <c r="K4379" s="26"/>
      <c r="L4379" s="26"/>
      <c r="M4379" s="37"/>
      <c r="N4379" s="27"/>
      <c r="O4379" s="30"/>
      <c r="P4379" s="39" t="str">
        <f t="shared" si="687"/>
        <v/>
      </c>
      <c r="Q4379" s="40" t="str">
        <f>IF(OR(T4379=0,RIGHT(T4379,1)=$W$1),"",COUNTIF($T$3:T4379,T4379))</f>
        <v/>
      </c>
      <c r="S4379" s="6">
        <f t="shared" si="688"/>
        <v>0</v>
      </c>
      <c r="T4379" s="36">
        <f t="shared" si="689"/>
        <v>0</v>
      </c>
      <c r="V4379" s="6">
        <f t="shared" si="690"/>
        <v>0</v>
      </c>
      <c r="Y4379" s="8">
        <f t="shared" si="691"/>
        <v>46023</v>
      </c>
    </row>
    <row r="4380" spans="2:25" ht="18.75" x14ac:dyDescent="0.3">
      <c r="B4380" s="6">
        <f t="shared" si="683"/>
        <v>0</v>
      </c>
      <c r="C4380" s="6">
        <f t="shared" si="684"/>
        <v>0</v>
      </c>
      <c r="D4380" s="6" t="str">
        <f t="shared" si="685"/>
        <v/>
      </c>
      <c r="E4380" s="35" t="str">
        <f t="shared" si="682"/>
        <v/>
      </c>
      <c r="F4380" s="31"/>
      <c r="G4380" s="29"/>
      <c r="H4380" s="78" t="str">
        <f t="shared" si="686"/>
        <v/>
      </c>
      <c r="I4380" s="25"/>
      <c r="J4380" s="25"/>
      <c r="K4380" s="26"/>
      <c r="L4380" s="26"/>
      <c r="M4380" s="37"/>
      <c r="N4380" s="27"/>
      <c r="O4380" s="30"/>
      <c r="P4380" s="39" t="str">
        <f t="shared" si="687"/>
        <v/>
      </c>
      <c r="Q4380" s="40" t="str">
        <f>IF(OR(T4380=0,RIGHT(T4380,1)=$W$1),"",COUNTIF($T$3:T4380,T4380))</f>
        <v/>
      </c>
      <c r="S4380" s="6">
        <f t="shared" si="688"/>
        <v>0</v>
      </c>
      <c r="T4380" s="36">
        <f t="shared" si="689"/>
        <v>0</v>
      </c>
      <c r="V4380" s="6">
        <f t="shared" si="690"/>
        <v>0</v>
      </c>
      <c r="Y4380" s="8">
        <f t="shared" si="691"/>
        <v>46023</v>
      </c>
    </row>
    <row r="4381" spans="2:25" ht="18.75" x14ac:dyDescent="0.3">
      <c r="B4381" s="6">
        <f t="shared" si="683"/>
        <v>0</v>
      </c>
      <c r="C4381" s="6">
        <f t="shared" si="684"/>
        <v>0</v>
      </c>
      <c r="D4381" s="6" t="str">
        <f t="shared" si="685"/>
        <v/>
      </c>
      <c r="E4381" s="35" t="str">
        <f t="shared" si="682"/>
        <v/>
      </c>
      <c r="F4381" s="31"/>
      <c r="G4381" s="29"/>
      <c r="H4381" s="78" t="str">
        <f t="shared" si="686"/>
        <v/>
      </c>
      <c r="I4381" s="25"/>
      <c r="J4381" s="25"/>
      <c r="K4381" s="26"/>
      <c r="L4381" s="26"/>
      <c r="M4381" s="37"/>
      <c r="N4381" s="27"/>
      <c r="O4381" s="30"/>
      <c r="P4381" s="39" t="str">
        <f t="shared" si="687"/>
        <v/>
      </c>
      <c r="Q4381" s="40" t="str">
        <f>IF(OR(T4381=0,RIGHT(T4381,1)=$W$1),"",COUNTIF($T$3:T4381,T4381))</f>
        <v/>
      </c>
      <c r="S4381" s="6">
        <f t="shared" si="688"/>
        <v>0</v>
      </c>
      <c r="T4381" s="36">
        <f t="shared" si="689"/>
        <v>0</v>
      </c>
      <c r="V4381" s="6">
        <f t="shared" si="690"/>
        <v>0</v>
      </c>
      <c r="Y4381" s="8">
        <f t="shared" si="691"/>
        <v>46023</v>
      </c>
    </row>
    <row r="4382" spans="2:25" ht="18.75" x14ac:dyDescent="0.3">
      <c r="B4382" s="6">
        <f t="shared" si="683"/>
        <v>0</v>
      </c>
      <c r="C4382" s="6">
        <f t="shared" si="684"/>
        <v>0</v>
      </c>
      <c r="D4382" s="6" t="str">
        <f t="shared" si="685"/>
        <v/>
      </c>
      <c r="E4382" s="35" t="str">
        <f t="shared" si="682"/>
        <v/>
      </c>
      <c r="F4382" s="31"/>
      <c r="G4382" s="29"/>
      <c r="H4382" s="78" t="str">
        <f t="shared" si="686"/>
        <v/>
      </c>
      <c r="I4382" s="25"/>
      <c r="J4382" s="25"/>
      <c r="K4382" s="26"/>
      <c r="L4382" s="26"/>
      <c r="M4382" s="37"/>
      <c r="N4382" s="27"/>
      <c r="O4382" s="30"/>
      <c r="P4382" s="39" t="str">
        <f t="shared" si="687"/>
        <v/>
      </c>
      <c r="Q4382" s="40" t="str">
        <f>IF(OR(T4382=0,RIGHT(T4382,1)=$W$1),"",COUNTIF($T$3:T4382,T4382))</f>
        <v/>
      </c>
      <c r="S4382" s="6">
        <f t="shared" si="688"/>
        <v>0</v>
      </c>
      <c r="T4382" s="36">
        <f t="shared" si="689"/>
        <v>0</v>
      </c>
      <c r="V4382" s="6">
        <f t="shared" si="690"/>
        <v>0</v>
      </c>
      <c r="Y4382" s="8">
        <f t="shared" si="691"/>
        <v>46023</v>
      </c>
    </row>
    <row r="4383" spans="2:25" ht="18.75" x14ac:dyDescent="0.3">
      <c r="B4383" s="6">
        <f t="shared" si="683"/>
        <v>0</v>
      </c>
      <c r="C4383" s="6">
        <f t="shared" si="684"/>
        <v>0</v>
      </c>
      <c r="D4383" s="6" t="str">
        <f t="shared" si="685"/>
        <v/>
      </c>
      <c r="E4383" s="35" t="str">
        <f t="shared" si="682"/>
        <v/>
      </c>
      <c r="F4383" s="31"/>
      <c r="G4383" s="29"/>
      <c r="H4383" s="78" t="str">
        <f t="shared" si="686"/>
        <v/>
      </c>
      <c r="I4383" s="25"/>
      <c r="J4383" s="25"/>
      <c r="K4383" s="26"/>
      <c r="L4383" s="26"/>
      <c r="M4383" s="37"/>
      <c r="N4383" s="27"/>
      <c r="O4383" s="30"/>
      <c r="P4383" s="39" t="str">
        <f t="shared" si="687"/>
        <v/>
      </c>
      <c r="Q4383" s="40" t="str">
        <f>IF(OR(T4383=0,RIGHT(T4383,1)=$W$1),"",COUNTIF($T$3:T4383,T4383))</f>
        <v/>
      </c>
      <c r="S4383" s="6">
        <f t="shared" si="688"/>
        <v>0</v>
      </c>
      <c r="T4383" s="36">
        <f t="shared" si="689"/>
        <v>0</v>
      </c>
      <c r="V4383" s="6">
        <f t="shared" si="690"/>
        <v>0</v>
      </c>
      <c r="Y4383" s="8">
        <f t="shared" si="691"/>
        <v>46023</v>
      </c>
    </row>
    <row r="4384" spans="2:25" ht="18.75" x14ac:dyDescent="0.3">
      <c r="B4384" s="6">
        <f t="shared" si="683"/>
        <v>0</v>
      </c>
      <c r="C4384" s="6">
        <f t="shared" si="684"/>
        <v>0</v>
      </c>
      <c r="D4384" s="6" t="str">
        <f t="shared" si="685"/>
        <v/>
      </c>
      <c r="E4384" s="35" t="str">
        <f t="shared" si="682"/>
        <v/>
      </c>
      <c r="F4384" s="31"/>
      <c r="G4384" s="29"/>
      <c r="H4384" s="78" t="str">
        <f t="shared" si="686"/>
        <v/>
      </c>
      <c r="I4384" s="25"/>
      <c r="J4384" s="25"/>
      <c r="K4384" s="26"/>
      <c r="L4384" s="26"/>
      <c r="M4384" s="37"/>
      <c r="N4384" s="27"/>
      <c r="O4384" s="30"/>
      <c r="P4384" s="39" t="str">
        <f t="shared" si="687"/>
        <v/>
      </c>
      <c r="Q4384" s="40" t="str">
        <f>IF(OR(T4384=0,RIGHT(T4384,1)=$W$1),"",COUNTIF($T$3:T4384,T4384))</f>
        <v/>
      </c>
      <c r="S4384" s="6">
        <f t="shared" si="688"/>
        <v>0</v>
      </c>
      <c r="T4384" s="36">
        <f t="shared" si="689"/>
        <v>0</v>
      </c>
      <c r="V4384" s="6">
        <f t="shared" si="690"/>
        <v>0</v>
      </c>
      <c r="Y4384" s="8">
        <f t="shared" si="691"/>
        <v>46023</v>
      </c>
    </row>
    <row r="4385" spans="2:25" ht="18.75" x14ac:dyDescent="0.3">
      <c r="B4385" s="6">
        <f t="shared" si="683"/>
        <v>0</v>
      </c>
      <c r="C4385" s="6">
        <f t="shared" si="684"/>
        <v>0</v>
      </c>
      <c r="D4385" s="6" t="str">
        <f t="shared" si="685"/>
        <v/>
      </c>
      <c r="E4385" s="35" t="str">
        <f t="shared" si="682"/>
        <v/>
      </c>
      <c r="F4385" s="31"/>
      <c r="G4385" s="29"/>
      <c r="H4385" s="78" t="str">
        <f t="shared" si="686"/>
        <v/>
      </c>
      <c r="I4385" s="25"/>
      <c r="J4385" s="25"/>
      <c r="K4385" s="26"/>
      <c r="L4385" s="26"/>
      <c r="M4385" s="37"/>
      <c r="N4385" s="27"/>
      <c r="O4385" s="30"/>
      <c r="P4385" s="39" t="str">
        <f t="shared" si="687"/>
        <v/>
      </c>
      <c r="Q4385" s="40" t="str">
        <f>IF(OR(T4385=0,RIGHT(T4385,1)=$W$1),"",COUNTIF($T$3:T4385,T4385))</f>
        <v/>
      </c>
      <c r="S4385" s="6">
        <f t="shared" si="688"/>
        <v>0</v>
      </c>
      <c r="T4385" s="36">
        <f t="shared" si="689"/>
        <v>0</v>
      </c>
      <c r="V4385" s="6">
        <f t="shared" si="690"/>
        <v>0</v>
      </c>
      <c r="Y4385" s="8">
        <f t="shared" si="691"/>
        <v>46023</v>
      </c>
    </row>
    <row r="4386" spans="2:25" ht="18.75" x14ac:dyDescent="0.3">
      <c r="B4386" s="6">
        <f t="shared" si="683"/>
        <v>0</v>
      </c>
      <c r="C4386" s="6">
        <f t="shared" si="684"/>
        <v>0</v>
      </c>
      <c r="D4386" s="6" t="str">
        <f t="shared" si="685"/>
        <v/>
      </c>
      <c r="E4386" s="35" t="str">
        <f t="shared" si="682"/>
        <v/>
      </c>
      <c r="F4386" s="31"/>
      <c r="G4386" s="29"/>
      <c r="H4386" s="78" t="str">
        <f t="shared" si="686"/>
        <v/>
      </c>
      <c r="I4386" s="25"/>
      <c r="J4386" s="25"/>
      <c r="K4386" s="26"/>
      <c r="L4386" s="26"/>
      <c r="M4386" s="37"/>
      <c r="N4386" s="27"/>
      <c r="O4386" s="30"/>
      <c r="P4386" s="39" t="str">
        <f t="shared" si="687"/>
        <v/>
      </c>
      <c r="Q4386" s="40" t="str">
        <f>IF(OR(T4386=0,RIGHT(T4386,1)=$W$1),"",COUNTIF($T$3:T4386,T4386))</f>
        <v/>
      </c>
      <c r="S4386" s="6">
        <f t="shared" si="688"/>
        <v>0</v>
      </c>
      <c r="T4386" s="36">
        <f t="shared" si="689"/>
        <v>0</v>
      </c>
      <c r="V4386" s="6">
        <f t="shared" si="690"/>
        <v>0</v>
      </c>
      <c r="Y4386" s="8">
        <f t="shared" si="691"/>
        <v>46023</v>
      </c>
    </row>
    <row r="4387" spans="2:25" ht="18.75" x14ac:dyDescent="0.3">
      <c r="B4387" s="6">
        <f t="shared" si="683"/>
        <v>0</v>
      </c>
      <c r="C4387" s="6">
        <f t="shared" si="684"/>
        <v>0</v>
      </c>
      <c r="D4387" s="6" t="str">
        <f t="shared" si="685"/>
        <v/>
      </c>
      <c r="E4387" s="35" t="str">
        <f t="shared" si="682"/>
        <v/>
      </c>
      <c r="F4387" s="31"/>
      <c r="G4387" s="29"/>
      <c r="H4387" s="78" t="str">
        <f t="shared" si="686"/>
        <v/>
      </c>
      <c r="I4387" s="25"/>
      <c r="J4387" s="25"/>
      <c r="K4387" s="26"/>
      <c r="L4387" s="26"/>
      <c r="M4387" s="37"/>
      <c r="N4387" s="27"/>
      <c r="O4387" s="30"/>
      <c r="P4387" s="39" t="str">
        <f t="shared" si="687"/>
        <v/>
      </c>
      <c r="Q4387" s="40" t="str">
        <f>IF(OR(T4387=0,RIGHT(T4387,1)=$W$1),"",COUNTIF($T$3:T4387,T4387))</f>
        <v/>
      </c>
      <c r="S4387" s="6">
        <f t="shared" si="688"/>
        <v>0</v>
      </c>
      <c r="T4387" s="36">
        <f t="shared" si="689"/>
        <v>0</v>
      </c>
      <c r="V4387" s="6">
        <f t="shared" si="690"/>
        <v>0</v>
      </c>
      <c r="Y4387" s="8">
        <f t="shared" si="691"/>
        <v>46023</v>
      </c>
    </row>
    <row r="4388" spans="2:25" ht="18.75" x14ac:dyDescent="0.3">
      <c r="B4388" s="6">
        <f t="shared" si="683"/>
        <v>0</v>
      </c>
      <c r="C4388" s="6">
        <f t="shared" si="684"/>
        <v>0</v>
      </c>
      <c r="D4388" s="6" t="str">
        <f t="shared" si="685"/>
        <v/>
      </c>
      <c r="E4388" s="35" t="str">
        <f t="shared" si="682"/>
        <v/>
      </c>
      <c r="F4388" s="31"/>
      <c r="G4388" s="29"/>
      <c r="H4388" s="78" t="str">
        <f t="shared" si="686"/>
        <v/>
      </c>
      <c r="I4388" s="25"/>
      <c r="J4388" s="25"/>
      <c r="K4388" s="26"/>
      <c r="L4388" s="26"/>
      <c r="M4388" s="37"/>
      <c r="N4388" s="27"/>
      <c r="O4388" s="30"/>
      <c r="P4388" s="39" t="str">
        <f t="shared" si="687"/>
        <v/>
      </c>
      <c r="Q4388" s="40" t="str">
        <f>IF(OR(T4388=0,RIGHT(T4388,1)=$W$1),"",COUNTIF($T$3:T4388,T4388))</f>
        <v/>
      </c>
      <c r="S4388" s="6">
        <f t="shared" si="688"/>
        <v>0</v>
      </c>
      <c r="T4388" s="36">
        <f t="shared" si="689"/>
        <v>0</v>
      </c>
      <c r="V4388" s="6">
        <f t="shared" si="690"/>
        <v>0</v>
      </c>
      <c r="Y4388" s="8">
        <f t="shared" si="691"/>
        <v>46023</v>
      </c>
    </row>
    <row r="4389" spans="2:25" ht="18.75" x14ac:dyDescent="0.3">
      <c r="B4389" s="6">
        <f t="shared" si="683"/>
        <v>0</v>
      </c>
      <c r="C4389" s="6">
        <f t="shared" si="684"/>
        <v>0</v>
      </c>
      <c r="D4389" s="6" t="str">
        <f t="shared" si="685"/>
        <v/>
      </c>
      <c r="E4389" s="35" t="str">
        <f t="shared" si="682"/>
        <v/>
      </c>
      <c r="F4389" s="31"/>
      <c r="G4389" s="29"/>
      <c r="H4389" s="78" t="str">
        <f t="shared" si="686"/>
        <v/>
      </c>
      <c r="I4389" s="25"/>
      <c r="J4389" s="25"/>
      <c r="K4389" s="26"/>
      <c r="L4389" s="26"/>
      <c r="M4389" s="37"/>
      <c r="N4389" s="27"/>
      <c r="O4389" s="30"/>
      <c r="P4389" s="39" t="str">
        <f t="shared" si="687"/>
        <v/>
      </c>
      <c r="Q4389" s="40" t="str">
        <f>IF(OR(T4389=0,RIGHT(T4389,1)=$W$1),"",COUNTIF($T$3:T4389,T4389))</f>
        <v/>
      </c>
      <c r="S4389" s="6">
        <f t="shared" si="688"/>
        <v>0</v>
      </c>
      <c r="T4389" s="36">
        <f t="shared" si="689"/>
        <v>0</v>
      </c>
      <c r="V4389" s="6">
        <f t="shared" si="690"/>
        <v>0</v>
      </c>
      <c r="Y4389" s="8">
        <f t="shared" si="691"/>
        <v>46023</v>
      </c>
    </row>
    <row r="4390" spans="2:25" ht="18.75" x14ac:dyDescent="0.3">
      <c r="B4390" s="6">
        <f t="shared" si="683"/>
        <v>0</v>
      </c>
      <c r="C4390" s="6">
        <f t="shared" si="684"/>
        <v>0</v>
      </c>
      <c r="D4390" s="6" t="str">
        <f t="shared" si="685"/>
        <v/>
      </c>
      <c r="E4390" s="35" t="str">
        <f t="shared" si="682"/>
        <v/>
      </c>
      <c r="F4390" s="31"/>
      <c r="G4390" s="29"/>
      <c r="H4390" s="78" t="str">
        <f t="shared" si="686"/>
        <v/>
      </c>
      <c r="I4390" s="25"/>
      <c r="J4390" s="25"/>
      <c r="K4390" s="26"/>
      <c r="L4390" s="26"/>
      <c r="M4390" s="37"/>
      <c r="N4390" s="27"/>
      <c r="O4390" s="30"/>
      <c r="P4390" s="39" t="str">
        <f t="shared" si="687"/>
        <v/>
      </c>
      <c r="Q4390" s="40" t="str">
        <f>IF(OR(T4390=0,RIGHT(T4390,1)=$W$1),"",COUNTIF($T$3:T4390,T4390))</f>
        <v/>
      </c>
      <c r="S4390" s="6">
        <f t="shared" si="688"/>
        <v>0</v>
      </c>
      <c r="T4390" s="36">
        <f t="shared" si="689"/>
        <v>0</v>
      </c>
      <c r="V4390" s="6">
        <f t="shared" si="690"/>
        <v>0</v>
      </c>
      <c r="Y4390" s="8">
        <f t="shared" si="691"/>
        <v>46023</v>
      </c>
    </row>
    <row r="4391" spans="2:25" ht="18.75" x14ac:dyDescent="0.3">
      <c r="B4391" s="6">
        <f t="shared" si="683"/>
        <v>0</v>
      </c>
      <c r="C4391" s="6">
        <f t="shared" si="684"/>
        <v>0</v>
      </c>
      <c r="D4391" s="6" t="str">
        <f t="shared" si="685"/>
        <v/>
      </c>
      <c r="E4391" s="35" t="str">
        <f t="shared" si="682"/>
        <v/>
      </c>
      <c r="F4391" s="31"/>
      <c r="G4391" s="29"/>
      <c r="H4391" s="78" t="str">
        <f t="shared" si="686"/>
        <v/>
      </c>
      <c r="I4391" s="25"/>
      <c r="J4391" s="25"/>
      <c r="K4391" s="26"/>
      <c r="L4391" s="26"/>
      <c r="M4391" s="37"/>
      <c r="N4391" s="27"/>
      <c r="O4391" s="30"/>
      <c r="P4391" s="39" t="str">
        <f t="shared" si="687"/>
        <v/>
      </c>
      <c r="Q4391" s="40" t="str">
        <f>IF(OR(T4391=0,RIGHT(T4391,1)=$W$1),"",COUNTIF($T$3:T4391,T4391))</f>
        <v/>
      </c>
      <c r="S4391" s="6">
        <f t="shared" si="688"/>
        <v>0</v>
      </c>
      <c r="T4391" s="36">
        <f t="shared" si="689"/>
        <v>0</v>
      </c>
      <c r="V4391" s="6">
        <f t="shared" si="690"/>
        <v>0</v>
      </c>
      <c r="Y4391" s="8">
        <f t="shared" si="691"/>
        <v>46023</v>
      </c>
    </row>
    <row r="4392" spans="2:25" ht="18.75" x14ac:dyDescent="0.3">
      <c r="B4392" s="6">
        <f t="shared" si="683"/>
        <v>0</v>
      </c>
      <c r="C4392" s="6">
        <f t="shared" si="684"/>
        <v>0</v>
      </c>
      <c r="D4392" s="6" t="str">
        <f t="shared" si="685"/>
        <v/>
      </c>
      <c r="E4392" s="35" t="str">
        <f t="shared" si="682"/>
        <v/>
      </c>
      <c r="F4392" s="31"/>
      <c r="G4392" s="29"/>
      <c r="H4392" s="78" t="str">
        <f t="shared" si="686"/>
        <v/>
      </c>
      <c r="I4392" s="25"/>
      <c r="J4392" s="25"/>
      <c r="K4392" s="26"/>
      <c r="L4392" s="26"/>
      <c r="M4392" s="37"/>
      <c r="N4392" s="27"/>
      <c r="O4392" s="30"/>
      <c r="P4392" s="39" t="str">
        <f t="shared" si="687"/>
        <v/>
      </c>
      <c r="Q4392" s="40" t="str">
        <f>IF(OR(T4392=0,RIGHT(T4392,1)=$W$1),"",COUNTIF($T$3:T4392,T4392))</f>
        <v/>
      </c>
      <c r="S4392" s="6">
        <f t="shared" si="688"/>
        <v>0</v>
      </c>
      <c r="T4392" s="36">
        <f t="shared" si="689"/>
        <v>0</v>
      </c>
      <c r="V4392" s="6">
        <f t="shared" si="690"/>
        <v>0</v>
      </c>
      <c r="Y4392" s="8">
        <f t="shared" si="691"/>
        <v>46023</v>
      </c>
    </row>
    <row r="4393" spans="2:25" ht="18.75" x14ac:dyDescent="0.3">
      <c r="B4393" s="6">
        <f t="shared" si="683"/>
        <v>0</v>
      </c>
      <c r="C4393" s="6">
        <f t="shared" si="684"/>
        <v>0</v>
      </c>
      <c r="D4393" s="6" t="str">
        <f t="shared" si="685"/>
        <v/>
      </c>
      <c r="E4393" s="35" t="str">
        <f t="shared" si="682"/>
        <v/>
      </c>
      <c r="F4393" s="31"/>
      <c r="G4393" s="29"/>
      <c r="H4393" s="78" t="str">
        <f t="shared" si="686"/>
        <v/>
      </c>
      <c r="I4393" s="25"/>
      <c r="J4393" s="25"/>
      <c r="K4393" s="26"/>
      <c r="L4393" s="26"/>
      <c r="M4393" s="37"/>
      <c r="N4393" s="27"/>
      <c r="O4393" s="30"/>
      <c r="P4393" s="39" t="str">
        <f t="shared" si="687"/>
        <v/>
      </c>
      <c r="Q4393" s="40" t="str">
        <f>IF(OR(T4393=0,RIGHT(T4393,1)=$W$1),"",COUNTIF($T$3:T4393,T4393))</f>
        <v/>
      </c>
      <c r="S4393" s="6">
        <f t="shared" si="688"/>
        <v>0</v>
      </c>
      <c r="T4393" s="36">
        <f t="shared" si="689"/>
        <v>0</v>
      </c>
      <c r="V4393" s="6">
        <f t="shared" si="690"/>
        <v>0</v>
      </c>
      <c r="Y4393" s="8">
        <f t="shared" si="691"/>
        <v>46023</v>
      </c>
    </row>
    <row r="4394" spans="2:25" ht="18.75" x14ac:dyDescent="0.3">
      <c r="B4394" s="6">
        <f t="shared" si="683"/>
        <v>0</v>
      </c>
      <c r="C4394" s="6">
        <f t="shared" si="684"/>
        <v>0</v>
      </c>
      <c r="D4394" s="6" t="str">
        <f t="shared" si="685"/>
        <v/>
      </c>
      <c r="E4394" s="35" t="str">
        <f t="shared" si="682"/>
        <v/>
      </c>
      <c r="F4394" s="31"/>
      <c r="G4394" s="29"/>
      <c r="H4394" s="78" t="str">
        <f t="shared" si="686"/>
        <v/>
      </c>
      <c r="I4394" s="25"/>
      <c r="J4394" s="25"/>
      <c r="K4394" s="26"/>
      <c r="L4394" s="26"/>
      <c r="M4394" s="37"/>
      <c r="N4394" s="27"/>
      <c r="O4394" s="30"/>
      <c r="P4394" s="39" t="str">
        <f t="shared" si="687"/>
        <v/>
      </c>
      <c r="Q4394" s="40" t="str">
        <f>IF(OR(T4394=0,RIGHT(T4394,1)=$W$1),"",COUNTIF($T$3:T4394,T4394))</f>
        <v/>
      </c>
      <c r="S4394" s="6">
        <f t="shared" si="688"/>
        <v>0</v>
      </c>
      <c r="T4394" s="36">
        <f t="shared" si="689"/>
        <v>0</v>
      </c>
      <c r="V4394" s="6">
        <f t="shared" si="690"/>
        <v>0</v>
      </c>
      <c r="Y4394" s="8">
        <f t="shared" si="691"/>
        <v>46023</v>
      </c>
    </row>
    <row r="4395" spans="2:25" ht="18.75" x14ac:dyDescent="0.3">
      <c r="B4395" s="6">
        <f t="shared" si="683"/>
        <v>0</v>
      </c>
      <c r="C4395" s="6">
        <f t="shared" si="684"/>
        <v>0</v>
      </c>
      <c r="D4395" s="6" t="str">
        <f t="shared" si="685"/>
        <v/>
      </c>
      <c r="E4395" s="35" t="str">
        <f t="shared" si="682"/>
        <v/>
      </c>
      <c r="F4395" s="31"/>
      <c r="G4395" s="29"/>
      <c r="H4395" s="78" t="str">
        <f t="shared" si="686"/>
        <v/>
      </c>
      <c r="I4395" s="25"/>
      <c r="J4395" s="25"/>
      <c r="K4395" s="26"/>
      <c r="L4395" s="26"/>
      <c r="M4395" s="37"/>
      <c r="N4395" s="27"/>
      <c r="O4395" s="30"/>
      <c r="P4395" s="39" t="str">
        <f t="shared" si="687"/>
        <v/>
      </c>
      <c r="Q4395" s="40" t="str">
        <f>IF(OR(T4395=0,RIGHT(T4395,1)=$W$1),"",COUNTIF($T$3:T4395,T4395))</f>
        <v/>
      </c>
      <c r="S4395" s="6">
        <f t="shared" si="688"/>
        <v>0</v>
      </c>
      <c r="T4395" s="36">
        <f t="shared" si="689"/>
        <v>0</v>
      </c>
      <c r="V4395" s="6">
        <f t="shared" si="690"/>
        <v>0</v>
      </c>
      <c r="Y4395" s="8">
        <f t="shared" si="691"/>
        <v>46023</v>
      </c>
    </row>
    <row r="4396" spans="2:25" ht="18.75" x14ac:dyDescent="0.3">
      <c r="B4396" s="6">
        <f t="shared" si="683"/>
        <v>0</v>
      </c>
      <c r="C4396" s="6">
        <f t="shared" si="684"/>
        <v>0</v>
      </c>
      <c r="D4396" s="6" t="str">
        <f t="shared" si="685"/>
        <v/>
      </c>
      <c r="E4396" s="35" t="str">
        <f t="shared" si="682"/>
        <v/>
      </c>
      <c r="F4396" s="31"/>
      <c r="G4396" s="29"/>
      <c r="H4396" s="78" t="str">
        <f t="shared" si="686"/>
        <v/>
      </c>
      <c r="I4396" s="25"/>
      <c r="J4396" s="25"/>
      <c r="K4396" s="26"/>
      <c r="L4396" s="26"/>
      <c r="M4396" s="37"/>
      <c r="N4396" s="27"/>
      <c r="O4396" s="30"/>
      <c r="P4396" s="39" t="str">
        <f t="shared" si="687"/>
        <v/>
      </c>
      <c r="Q4396" s="40" t="str">
        <f>IF(OR(T4396=0,RIGHT(T4396,1)=$W$1),"",COUNTIF($T$3:T4396,T4396))</f>
        <v/>
      </c>
      <c r="S4396" s="6">
        <f t="shared" si="688"/>
        <v>0</v>
      </c>
      <c r="T4396" s="36">
        <f t="shared" si="689"/>
        <v>0</v>
      </c>
      <c r="V4396" s="6">
        <f t="shared" si="690"/>
        <v>0</v>
      </c>
      <c r="Y4396" s="8">
        <f t="shared" si="691"/>
        <v>46023</v>
      </c>
    </row>
    <row r="4397" spans="2:25" ht="18.75" x14ac:dyDescent="0.3">
      <c r="B4397" s="6">
        <f t="shared" si="683"/>
        <v>0</v>
      </c>
      <c r="C4397" s="6">
        <f t="shared" si="684"/>
        <v>0</v>
      </c>
      <c r="D4397" s="6" t="str">
        <f t="shared" si="685"/>
        <v/>
      </c>
      <c r="E4397" s="35" t="str">
        <f t="shared" si="682"/>
        <v/>
      </c>
      <c r="F4397" s="31"/>
      <c r="G4397" s="29"/>
      <c r="H4397" s="78" t="str">
        <f t="shared" si="686"/>
        <v/>
      </c>
      <c r="I4397" s="25"/>
      <c r="J4397" s="25"/>
      <c r="K4397" s="26"/>
      <c r="L4397" s="26"/>
      <c r="M4397" s="37"/>
      <c r="N4397" s="27"/>
      <c r="O4397" s="30"/>
      <c r="P4397" s="39" t="str">
        <f t="shared" si="687"/>
        <v/>
      </c>
      <c r="Q4397" s="40" t="str">
        <f>IF(OR(T4397=0,RIGHT(T4397,1)=$W$1),"",COUNTIF($T$3:T4397,T4397))</f>
        <v/>
      </c>
      <c r="S4397" s="6">
        <f t="shared" si="688"/>
        <v>0</v>
      </c>
      <c r="T4397" s="36">
        <f t="shared" si="689"/>
        <v>0</v>
      </c>
      <c r="V4397" s="6">
        <f t="shared" si="690"/>
        <v>0</v>
      </c>
      <c r="Y4397" s="8">
        <f t="shared" si="691"/>
        <v>46023</v>
      </c>
    </row>
    <row r="4398" spans="2:25" ht="18.75" x14ac:dyDescent="0.3">
      <c r="B4398" s="6">
        <f t="shared" si="683"/>
        <v>0</v>
      </c>
      <c r="C4398" s="6">
        <f t="shared" si="684"/>
        <v>0</v>
      </c>
      <c r="D4398" s="6" t="str">
        <f t="shared" si="685"/>
        <v/>
      </c>
      <c r="E4398" s="35" t="str">
        <f t="shared" si="682"/>
        <v/>
      </c>
      <c r="F4398" s="31"/>
      <c r="G4398" s="29"/>
      <c r="H4398" s="78" t="str">
        <f t="shared" si="686"/>
        <v/>
      </c>
      <c r="I4398" s="25"/>
      <c r="J4398" s="25"/>
      <c r="K4398" s="26"/>
      <c r="L4398" s="26"/>
      <c r="M4398" s="37"/>
      <c r="N4398" s="27"/>
      <c r="O4398" s="30"/>
      <c r="P4398" s="39" t="str">
        <f t="shared" si="687"/>
        <v/>
      </c>
      <c r="Q4398" s="40" t="str">
        <f>IF(OR(T4398=0,RIGHT(T4398,1)=$W$1),"",COUNTIF($T$3:T4398,T4398))</f>
        <v/>
      </c>
      <c r="S4398" s="6">
        <f t="shared" si="688"/>
        <v>0</v>
      </c>
      <c r="T4398" s="36">
        <f t="shared" si="689"/>
        <v>0</v>
      </c>
      <c r="V4398" s="6">
        <f t="shared" si="690"/>
        <v>0</v>
      </c>
      <c r="Y4398" s="8">
        <f t="shared" si="691"/>
        <v>46023</v>
      </c>
    </row>
    <row r="4399" spans="2:25" ht="18.75" x14ac:dyDescent="0.3">
      <c r="B4399" s="6">
        <f t="shared" si="683"/>
        <v>0</v>
      </c>
      <c r="C4399" s="6">
        <f t="shared" si="684"/>
        <v>0</v>
      </c>
      <c r="D4399" s="6" t="str">
        <f t="shared" si="685"/>
        <v/>
      </c>
      <c r="E4399" s="35" t="str">
        <f t="shared" si="682"/>
        <v/>
      </c>
      <c r="F4399" s="31"/>
      <c r="G4399" s="29"/>
      <c r="H4399" s="78" t="str">
        <f t="shared" si="686"/>
        <v/>
      </c>
      <c r="I4399" s="25"/>
      <c r="J4399" s="25"/>
      <c r="K4399" s="26"/>
      <c r="L4399" s="26"/>
      <c r="M4399" s="37"/>
      <c r="N4399" s="27"/>
      <c r="O4399" s="30"/>
      <c r="P4399" s="39" t="str">
        <f t="shared" si="687"/>
        <v/>
      </c>
      <c r="Q4399" s="40" t="str">
        <f>IF(OR(T4399=0,RIGHT(T4399,1)=$W$1),"",COUNTIF($T$3:T4399,T4399))</f>
        <v/>
      </c>
      <c r="S4399" s="6">
        <f t="shared" si="688"/>
        <v>0</v>
      </c>
      <c r="T4399" s="36">
        <f t="shared" si="689"/>
        <v>0</v>
      </c>
      <c r="V4399" s="6">
        <f t="shared" si="690"/>
        <v>0</v>
      </c>
      <c r="Y4399" s="8">
        <f t="shared" si="691"/>
        <v>46023</v>
      </c>
    </row>
    <row r="4400" spans="2:25" ht="18.75" x14ac:dyDescent="0.3">
      <c r="B4400" s="6">
        <f t="shared" si="683"/>
        <v>0</v>
      </c>
      <c r="C4400" s="6">
        <f t="shared" si="684"/>
        <v>0</v>
      </c>
      <c r="D4400" s="6" t="str">
        <f t="shared" si="685"/>
        <v/>
      </c>
      <c r="E4400" s="35" t="str">
        <f t="shared" si="682"/>
        <v/>
      </c>
      <c r="F4400" s="31"/>
      <c r="G4400" s="29"/>
      <c r="H4400" s="78" t="str">
        <f t="shared" si="686"/>
        <v/>
      </c>
      <c r="I4400" s="25"/>
      <c r="J4400" s="25"/>
      <c r="K4400" s="26"/>
      <c r="L4400" s="26"/>
      <c r="M4400" s="37"/>
      <c r="N4400" s="27"/>
      <c r="O4400" s="30"/>
      <c r="P4400" s="39" t="str">
        <f t="shared" si="687"/>
        <v/>
      </c>
      <c r="Q4400" s="40" t="str">
        <f>IF(OR(T4400=0,RIGHT(T4400,1)=$W$1),"",COUNTIF($T$3:T4400,T4400))</f>
        <v/>
      </c>
      <c r="S4400" s="6">
        <f t="shared" si="688"/>
        <v>0</v>
      </c>
      <c r="T4400" s="36">
        <f t="shared" si="689"/>
        <v>0</v>
      </c>
      <c r="V4400" s="6">
        <f t="shared" si="690"/>
        <v>0</v>
      </c>
      <c r="Y4400" s="8">
        <f t="shared" si="691"/>
        <v>46023</v>
      </c>
    </row>
    <row r="4401" spans="2:25" ht="18.75" x14ac:dyDescent="0.3">
      <c r="B4401" s="6">
        <f t="shared" si="683"/>
        <v>0</v>
      </c>
      <c r="C4401" s="6">
        <f t="shared" si="684"/>
        <v>0</v>
      </c>
      <c r="D4401" s="6" t="str">
        <f t="shared" si="685"/>
        <v/>
      </c>
      <c r="E4401" s="35" t="str">
        <f t="shared" si="682"/>
        <v/>
      </c>
      <c r="F4401" s="31"/>
      <c r="G4401" s="29"/>
      <c r="H4401" s="78" t="str">
        <f t="shared" si="686"/>
        <v/>
      </c>
      <c r="I4401" s="25"/>
      <c r="J4401" s="25"/>
      <c r="K4401" s="26"/>
      <c r="L4401" s="26"/>
      <c r="M4401" s="37"/>
      <c r="N4401" s="27"/>
      <c r="O4401" s="30"/>
      <c r="P4401" s="39" t="str">
        <f t="shared" si="687"/>
        <v/>
      </c>
      <c r="Q4401" s="40" t="str">
        <f>IF(OR(T4401=0,RIGHT(T4401,1)=$W$1),"",COUNTIF($T$3:T4401,T4401))</f>
        <v/>
      </c>
      <c r="S4401" s="6">
        <f t="shared" si="688"/>
        <v>0</v>
      </c>
      <c r="T4401" s="36">
        <f t="shared" si="689"/>
        <v>0</v>
      </c>
      <c r="V4401" s="6">
        <f t="shared" si="690"/>
        <v>0</v>
      </c>
      <c r="Y4401" s="8">
        <f t="shared" si="691"/>
        <v>46023</v>
      </c>
    </row>
    <row r="4402" spans="2:25" ht="18.75" x14ac:dyDescent="0.3">
      <c r="B4402" s="6">
        <f t="shared" si="683"/>
        <v>0</v>
      </c>
      <c r="C4402" s="6">
        <f t="shared" si="684"/>
        <v>0</v>
      </c>
      <c r="D4402" s="6" t="str">
        <f t="shared" si="685"/>
        <v/>
      </c>
      <c r="E4402" s="35" t="str">
        <f t="shared" si="682"/>
        <v/>
      </c>
      <c r="F4402" s="31"/>
      <c r="G4402" s="29"/>
      <c r="H4402" s="78" t="str">
        <f t="shared" si="686"/>
        <v/>
      </c>
      <c r="I4402" s="25"/>
      <c r="J4402" s="25"/>
      <c r="K4402" s="26"/>
      <c r="L4402" s="26"/>
      <c r="M4402" s="37"/>
      <c r="N4402" s="27"/>
      <c r="O4402" s="30"/>
      <c r="P4402" s="39" t="str">
        <f t="shared" si="687"/>
        <v/>
      </c>
      <c r="Q4402" s="40" t="str">
        <f>IF(OR(T4402=0,RIGHT(T4402,1)=$W$1),"",COUNTIF($T$3:T4402,T4402))</f>
        <v/>
      </c>
      <c r="S4402" s="6">
        <f t="shared" si="688"/>
        <v>0</v>
      </c>
      <c r="T4402" s="36">
        <f t="shared" si="689"/>
        <v>0</v>
      </c>
      <c r="V4402" s="6">
        <f t="shared" si="690"/>
        <v>0</v>
      </c>
      <c r="Y4402" s="8">
        <f t="shared" si="691"/>
        <v>46023</v>
      </c>
    </row>
    <row r="4403" spans="2:25" ht="18.75" x14ac:dyDescent="0.3">
      <c r="B4403" s="6">
        <f t="shared" si="683"/>
        <v>0</v>
      </c>
      <c r="C4403" s="6">
        <f t="shared" si="684"/>
        <v>0</v>
      </c>
      <c r="D4403" s="6" t="str">
        <f t="shared" si="685"/>
        <v/>
      </c>
      <c r="E4403" s="35" t="str">
        <f t="shared" si="682"/>
        <v/>
      </c>
      <c r="F4403" s="31"/>
      <c r="G4403" s="29"/>
      <c r="H4403" s="78" t="str">
        <f t="shared" si="686"/>
        <v/>
      </c>
      <c r="I4403" s="25"/>
      <c r="J4403" s="25"/>
      <c r="K4403" s="26"/>
      <c r="L4403" s="26"/>
      <c r="M4403" s="37"/>
      <c r="N4403" s="27"/>
      <c r="O4403" s="30"/>
      <c r="P4403" s="39" t="str">
        <f t="shared" si="687"/>
        <v/>
      </c>
      <c r="Q4403" s="40" t="str">
        <f>IF(OR(T4403=0,RIGHT(T4403,1)=$W$1),"",COUNTIF($T$3:T4403,T4403))</f>
        <v/>
      </c>
      <c r="S4403" s="6">
        <f t="shared" si="688"/>
        <v>0</v>
      </c>
      <c r="T4403" s="36">
        <f t="shared" si="689"/>
        <v>0</v>
      </c>
      <c r="V4403" s="6">
        <f t="shared" si="690"/>
        <v>0</v>
      </c>
      <c r="Y4403" s="8">
        <f t="shared" si="691"/>
        <v>46023</v>
      </c>
    </row>
    <row r="4404" spans="2:25" ht="18.75" x14ac:dyDescent="0.3">
      <c r="B4404" s="6">
        <f t="shared" si="683"/>
        <v>0</v>
      </c>
      <c r="C4404" s="6">
        <f t="shared" si="684"/>
        <v>0</v>
      </c>
      <c r="D4404" s="6" t="str">
        <f t="shared" si="685"/>
        <v/>
      </c>
      <c r="E4404" s="35" t="str">
        <f t="shared" si="682"/>
        <v/>
      </c>
      <c r="F4404" s="31"/>
      <c r="G4404" s="29"/>
      <c r="H4404" s="78" t="str">
        <f t="shared" si="686"/>
        <v/>
      </c>
      <c r="I4404" s="25"/>
      <c r="J4404" s="25"/>
      <c r="K4404" s="26"/>
      <c r="L4404" s="26"/>
      <c r="M4404" s="37"/>
      <c r="N4404" s="27"/>
      <c r="O4404" s="30"/>
      <c r="P4404" s="39" t="str">
        <f t="shared" si="687"/>
        <v/>
      </c>
      <c r="Q4404" s="40" t="str">
        <f>IF(OR(T4404=0,RIGHT(T4404,1)=$W$1),"",COUNTIF($T$3:T4404,T4404))</f>
        <v/>
      </c>
      <c r="S4404" s="6">
        <f t="shared" si="688"/>
        <v>0</v>
      </c>
      <c r="T4404" s="36">
        <f t="shared" si="689"/>
        <v>0</v>
      </c>
      <c r="V4404" s="6">
        <f t="shared" si="690"/>
        <v>0</v>
      </c>
      <c r="Y4404" s="8">
        <f t="shared" si="691"/>
        <v>46023</v>
      </c>
    </row>
    <row r="4405" spans="2:25" ht="18.75" x14ac:dyDescent="0.3">
      <c r="B4405" s="6">
        <f t="shared" si="683"/>
        <v>0</v>
      </c>
      <c r="C4405" s="6">
        <f t="shared" si="684"/>
        <v>0</v>
      </c>
      <c r="D4405" s="6" t="str">
        <f t="shared" si="685"/>
        <v/>
      </c>
      <c r="E4405" s="35" t="str">
        <f t="shared" si="682"/>
        <v/>
      </c>
      <c r="F4405" s="31"/>
      <c r="G4405" s="29"/>
      <c r="H4405" s="78" t="str">
        <f t="shared" si="686"/>
        <v/>
      </c>
      <c r="I4405" s="25"/>
      <c r="J4405" s="25"/>
      <c r="K4405" s="26"/>
      <c r="L4405" s="26"/>
      <c r="M4405" s="37"/>
      <c r="N4405" s="27"/>
      <c r="O4405" s="30"/>
      <c r="P4405" s="39" t="str">
        <f t="shared" si="687"/>
        <v/>
      </c>
      <c r="Q4405" s="40" t="str">
        <f>IF(OR(T4405=0,RIGHT(T4405,1)=$W$1),"",COUNTIF($T$3:T4405,T4405))</f>
        <v/>
      </c>
      <c r="S4405" s="6">
        <f t="shared" si="688"/>
        <v>0</v>
      </c>
      <c r="T4405" s="36">
        <f t="shared" si="689"/>
        <v>0</v>
      </c>
      <c r="V4405" s="6">
        <f t="shared" si="690"/>
        <v>0</v>
      </c>
      <c r="Y4405" s="8">
        <f t="shared" si="691"/>
        <v>46023</v>
      </c>
    </row>
    <row r="4406" spans="2:25" ht="18.75" x14ac:dyDescent="0.3">
      <c r="B4406" s="6">
        <f t="shared" si="683"/>
        <v>0</v>
      </c>
      <c r="C4406" s="6">
        <f t="shared" si="684"/>
        <v>0</v>
      </c>
      <c r="D4406" s="6" t="str">
        <f t="shared" si="685"/>
        <v/>
      </c>
      <c r="E4406" s="35" t="str">
        <f t="shared" si="682"/>
        <v/>
      </c>
      <c r="F4406" s="31"/>
      <c r="G4406" s="29"/>
      <c r="H4406" s="78" t="str">
        <f t="shared" si="686"/>
        <v/>
      </c>
      <c r="I4406" s="25"/>
      <c r="J4406" s="25"/>
      <c r="K4406" s="26"/>
      <c r="L4406" s="26"/>
      <c r="M4406" s="37"/>
      <c r="N4406" s="27"/>
      <c r="O4406" s="30"/>
      <c r="P4406" s="39" t="str">
        <f t="shared" si="687"/>
        <v/>
      </c>
      <c r="Q4406" s="40" t="str">
        <f>IF(OR(T4406=0,RIGHT(T4406,1)=$W$1),"",COUNTIF($T$3:T4406,T4406))</f>
        <v/>
      </c>
      <c r="S4406" s="6">
        <f t="shared" si="688"/>
        <v>0</v>
      </c>
      <c r="T4406" s="36">
        <f t="shared" si="689"/>
        <v>0</v>
      </c>
      <c r="V4406" s="6">
        <f t="shared" si="690"/>
        <v>0</v>
      </c>
      <c r="Y4406" s="8">
        <f t="shared" si="691"/>
        <v>46023</v>
      </c>
    </row>
    <row r="4407" spans="2:25" ht="18.75" x14ac:dyDescent="0.3">
      <c r="B4407" s="6">
        <f t="shared" si="683"/>
        <v>0</v>
      </c>
      <c r="C4407" s="6">
        <f t="shared" si="684"/>
        <v>0</v>
      </c>
      <c r="D4407" s="6" t="str">
        <f t="shared" si="685"/>
        <v/>
      </c>
      <c r="E4407" s="35" t="str">
        <f t="shared" si="682"/>
        <v/>
      </c>
      <c r="F4407" s="31"/>
      <c r="G4407" s="29"/>
      <c r="H4407" s="78" t="str">
        <f t="shared" si="686"/>
        <v/>
      </c>
      <c r="I4407" s="25"/>
      <c r="J4407" s="25"/>
      <c r="K4407" s="26"/>
      <c r="L4407" s="26"/>
      <c r="M4407" s="37"/>
      <c r="N4407" s="27"/>
      <c r="O4407" s="30"/>
      <c r="P4407" s="39" t="str">
        <f t="shared" si="687"/>
        <v/>
      </c>
      <c r="Q4407" s="40" t="str">
        <f>IF(OR(T4407=0,RIGHT(T4407,1)=$W$1),"",COUNTIF($T$3:T4407,T4407))</f>
        <v/>
      </c>
      <c r="S4407" s="6">
        <f t="shared" si="688"/>
        <v>0</v>
      </c>
      <c r="T4407" s="36">
        <f t="shared" si="689"/>
        <v>0</v>
      </c>
      <c r="V4407" s="6">
        <f t="shared" si="690"/>
        <v>0</v>
      </c>
      <c r="Y4407" s="8">
        <f t="shared" si="691"/>
        <v>46023</v>
      </c>
    </row>
    <row r="4408" spans="2:25" ht="18.75" x14ac:dyDescent="0.3">
      <c r="B4408" s="6">
        <f t="shared" si="683"/>
        <v>0</v>
      </c>
      <c r="C4408" s="6">
        <f t="shared" si="684"/>
        <v>0</v>
      </c>
      <c r="D4408" s="6" t="str">
        <f t="shared" si="685"/>
        <v/>
      </c>
      <c r="E4408" s="35" t="str">
        <f t="shared" si="682"/>
        <v/>
      </c>
      <c r="F4408" s="31"/>
      <c r="G4408" s="29"/>
      <c r="H4408" s="78" t="str">
        <f t="shared" si="686"/>
        <v/>
      </c>
      <c r="I4408" s="25"/>
      <c r="J4408" s="25"/>
      <c r="K4408" s="26"/>
      <c r="L4408" s="26"/>
      <c r="M4408" s="37"/>
      <c r="N4408" s="27"/>
      <c r="O4408" s="30"/>
      <c r="P4408" s="39" t="str">
        <f t="shared" si="687"/>
        <v/>
      </c>
      <c r="Q4408" s="40" t="str">
        <f>IF(OR(T4408=0,RIGHT(T4408,1)=$W$1),"",COUNTIF($T$3:T4408,T4408))</f>
        <v/>
      </c>
      <c r="S4408" s="6">
        <f t="shared" si="688"/>
        <v>0</v>
      </c>
      <c r="T4408" s="36">
        <f t="shared" si="689"/>
        <v>0</v>
      </c>
      <c r="V4408" s="6">
        <f t="shared" si="690"/>
        <v>0</v>
      </c>
      <c r="Y4408" s="8">
        <f t="shared" si="691"/>
        <v>46023</v>
      </c>
    </row>
    <row r="4409" spans="2:25" ht="18.75" x14ac:dyDescent="0.3">
      <c r="B4409" s="6">
        <f t="shared" si="683"/>
        <v>0</v>
      </c>
      <c r="C4409" s="6">
        <f t="shared" si="684"/>
        <v>0</v>
      </c>
      <c r="D4409" s="6" t="str">
        <f t="shared" si="685"/>
        <v/>
      </c>
      <c r="E4409" s="35" t="str">
        <f t="shared" si="682"/>
        <v/>
      </c>
      <c r="F4409" s="31"/>
      <c r="G4409" s="29"/>
      <c r="H4409" s="78" t="str">
        <f t="shared" si="686"/>
        <v/>
      </c>
      <c r="I4409" s="25"/>
      <c r="J4409" s="25"/>
      <c r="K4409" s="26"/>
      <c r="L4409" s="26"/>
      <c r="M4409" s="37"/>
      <c r="N4409" s="27"/>
      <c r="O4409" s="30"/>
      <c r="P4409" s="39" t="str">
        <f t="shared" si="687"/>
        <v/>
      </c>
      <c r="Q4409" s="40" t="str">
        <f>IF(OR(T4409=0,RIGHT(T4409,1)=$W$1),"",COUNTIF($T$3:T4409,T4409))</f>
        <v/>
      </c>
      <c r="S4409" s="6">
        <f t="shared" si="688"/>
        <v>0</v>
      </c>
      <c r="T4409" s="36">
        <f t="shared" si="689"/>
        <v>0</v>
      </c>
      <c r="V4409" s="6">
        <f t="shared" si="690"/>
        <v>0</v>
      </c>
      <c r="Y4409" s="8">
        <f t="shared" si="691"/>
        <v>46023</v>
      </c>
    </row>
    <row r="4410" spans="2:25" ht="18.75" x14ac:dyDescent="0.3">
      <c r="B4410" s="6">
        <f t="shared" si="683"/>
        <v>0</v>
      </c>
      <c r="C4410" s="6">
        <f t="shared" si="684"/>
        <v>0</v>
      </c>
      <c r="D4410" s="6" t="str">
        <f t="shared" si="685"/>
        <v/>
      </c>
      <c r="E4410" s="35" t="str">
        <f t="shared" si="682"/>
        <v/>
      </c>
      <c r="F4410" s="31"/>
      <c r="G4410" s="29"/>
      <c r="H4410" s="78" t="str">
        <f t="shared" si="686"/>
        <v/>
      </c>
      <c r="I4410" s="25"/>
      <c r="J4410" s="25"/>
      <c r="K4410" s="26"/>
      <c r="L4410" s="26"/>
      <c r="M4410" s="37"/>
      <c r="N4410" s="27"/>
      <c r="O4410" s="30"/>
      <c r="P4410" s="39" t="str">
        <f t="shared" si="687"/>
        <v/>
      </c>
      <c r="Q4410" s="40" t="str">
        <f>IF(OR(T4410=0,RIGHT(T4410,1)=$W$1),"",COUNTIF($T$3:T4410,T4410))</f>
        <v/>
      </c>
      <c r="S4410" s="6">
        <f t="shared" si="688"/>
        <v>0</v>
      </c>
      <c r="T4410" s="36">
        <f t="shared" si="689"/>
        <v>0</v>
      </c>
      <c r="V4410" s="6">
        <f t="shared" si="690"/>
        <v>0</v>
      </c>
      <c r="Y4410" s="8">
        <f t="shared" si="691"/>
        <v>46023</v>
      </c>
    </row>
    <row r="4411" spans="2:25" ht="18.75" x14ac:dyDescent="0.3">
      <c r="B4411" s="6">
        <f t="shared" si="683"/>
        <v>0</v>
      </c>
      <c r="C4411" s="6">
        <f t="shared" si="684"/>
        <v>0</v>
      </c>
      <c r="D4411" s="6" t="str">
        <f t="shared" si="685"/>
        <v/>
      </c>
      <c r="E4411" s="35" t="str">
        <f t="shared" si="682"/>
        <v/>
      </c>
      <c r="F4411" s="31"/>
      <c r="G4411" s="29"/>
      <c r="H4411" s="78" t="str">
        <f t="shared" si="686"/>
        <v/>
      </c>
      <c r="I4411" s="25"/>
      <c r="J4411" s="25"/>
      <c r="K4411" s="26"/>
      <c r="L4411" s="26"/>
      <c r="M4411" s="37"/>
      <c r="N4411" s="27"/>
      <c r="O4411" s="30"/>
      <c r="P4411" s="39" t="str">
        <f t="shared" si="687"/>
        <v/>
      </c>
      <c r="Q4411" s="40" t="str">
        <f>IF(OR(T4411=0,RIGHT(T4411,1)=$W$1),"",COUNTIF($T$3:T4411,T4411))</f>
        <v/>
      </c>
      <c r="S4411" s="6">
        <f t="shared" si="688"/>
        <v>0</v>
      </c>
      <c r="T4411" s="36">
        <f t="shared" si="689"/>
        <v>0</v>
      </c>
      <c r="V4411" s="6">
        <f t="shared" si="690"/>
        <v>0</v>
      </c>
      <c r="Y4411" s="8">
        <f t="shared" si="691"/>
        <v>46023</v>
      </c>
    </row>
    <row r="4412" spans="2:25" ht="18.75" x14ac:dyDescent="0.3">
      <c r="B4412" s="6">
        <f t="shared" si="683"/>
        <v>0</v>
      </c>
      <c r="C4412" s="6">
        <f t="shared" si="684"/>
        <v>0</v>
      </c>
      <c r="D4412" s="6" t="str">
        <f t="shared" si="685"/>
        <v/>
      </c>
      <c r="E4412" s="35" t="str">
        <f t="shared" si="682"/>
        <v/>
      </c>
      <c r="F4412" s="31"/>
      <c r="G4412" s="29"/>
      <c r="H4412" s="78" t="str">
        <f t="shared" si="686"/>
        <v/>
      </c>
      <c r="I4412" s="25"/>
      <c r="J4412" s="25"/>
      <c r="K4412" s="26"/>
      <c r="L4412" s="26"/>
      <c r="M4412" s="37"/>
      <c r="N4412" s="27"/>
      <c r="O4412" s="30"/>
      <c r="P4412" s="39" t="str">
        <f t="shared" si="687"/>
        <v/>
      </c>
      <c r="Q4412" s="40" t="str">
        <f>IF(OR(T4412=0,RIGHT(T4412,1)=$W$1),"",COUNTIF($T$3:T4412,T4412))</f>
        <v/>
      </c>
      <c r="S4412" s="6">
        <f t="shared" si="688"/>
        <v>0</v>
      </c>
      <c r="T4412" s="36">
        <f t="shared" si="689"/>
        <v>0</v>
      </c>
      <c r="V4412" s="6">
        <f t="shared" si="690"/>
        <v>0</v>
      </c>
      <c r="Y4412" s="8">
        <f t="shared" si="691"/>
        <v>46023</v>
      </c>
    </row>
    <row r="4413" spans="2:25" ht="18.75" x14ac:dyDescent="0.3">
      <c r="B4413" s="6">
        <f t="shared" si="683"/>
        <v>0</v>
      </c>
      <c r="C4413" s="6">
        <f t="shared" si="684"/>
        <v>0</v>
      </c>
      <c r="D4413" s="6" t="str">
        <f t="shared" si="685"/>
        <v/>
      </c>
      <c r="E4413" s="35" t="str">
        <f t="shared" si="682"/>
        <v/>
      </c>
      <c r="F4413" s="31"/>
      <c r="G4413" s="29"/>
      <c r="H4413" s="78" t="str">
        <f t="shared" si="686"/>
        <v/>
      </c>
      <c r="I4413" s="25"/>
      <c r="J4413" s="25"/>
      <c r="K4413" s="26"/>
      <c r="L4413" s="26"/>
      <c r="M4413" s="37"/>
      <c r="N4413" s="27"/>
      <c r="O4413" s="30"/>
      <c r="P4413" s="39" t="str">
        <f t="shared" si="687"/>
        <v/>
      </c>
      <c r="Q4413" s="40" t="str">
        <f>IF(OR(T4413=0,RIGHT(T4413,1)=$W$1),"",COUNTIF($T$3:T4413,T4413))</f>
        <v/>
      </c>
      <c r="S4413" s="6">
        <f t="shared" si="688"/>
        <v>0</v>
      </c>
      <c r="T4413" s="36">
        <f t="shared" si="689"/>
        <v>0</v>
      </c>
      <c r="V4413" s="6">
        <f t="shared" si="690"/>
        <v>0</v>
      </c>
      <c r="Y4413" s="8">
        <f t="shared" si="691"/>
        <v>46023</v>
      </c>
    </row>
    <row r="4414" spans="2:25" ht="18.75" x14ac:dyDescent="0.3">
      <c r="B4414" s="6">
        <f t="shared" si="683"/>
        <v>0</v>
      </c>
      <c r="C4414" s="6">
        <f t="shared" si="684"/>
        <v>0</v>
      </c>
      <c r="D4414" s="6" t="str">
        <f t="shared" si="685"/>
        <v/>
      </c>
      <c r="E4414" s="35" t="str">
        <f t="shared" si="682"/>
        <v/>
      </c>
      <c r="F4414" s="31"/>
      <c r="G4414" s="29"/>
      <c r="H4414" s="78" t="str">
        <f t="shared" si="686"/>
        <v/>
      </c>
      <c r="I4414" s="25"/>
      <c r="J4414" s="25"/>
      <c r="K4414" s="26"/>
      <c r="L4414" s="26"/>
      <c r="M4414" s="37"/>
      <c r="N4414" s="27"/>
      <c r="O4414" s="30"/>
      <c r="P4414" s="39" t="str">
        <f t="shared" si="687"/>
        <v/>
      </c>
      <c r="Q4414" s="40" t="str">
        <f>IF(OR(T4414=0,RIGHT(T4414,1)=$W$1),"",COUNTIF($T$3:T4414,T4414))</f>
        <v/>
      </c>
      <c r="S4414" s="6">
        <f t="shared" si="688"/>
        <v>0</v>
      </c>
      <c r="T4414" s="36">
        <f t="shared" si="689"/>
        <v>0</v>
      </c>
      <c r="V4414" s="6">
        <f t="shared" si="690"/>
        <v>0</v>
      </c>
      <c r="Y4414" s="8">
        <f t="shared" si="691"/>
        <v>46023</v>
      </c>
    </row>
    <row r="4415" spans="2:25" ht="18.75" x14ac:dyDescent="0.3">
      <c r="B4415" s="6">
        <f t="shared" si="683"/>
        <v>0</v>
      </c>
      <c r="C4415" s="6">
        <f t="shared" si="684"/>
        <v>0</v>
      </c>
      <c r="D4415" s="6" t="str">
        <f t="shared" si="685"/>
        <v/>
      </c>
      <c r="E4415" s="35" t="str">
        <f t="shared" si="682"/>
        <v/>
      </c>
      <c r="F4415" s="31"/>
      <c r="G4415" s="29"/>
      <c r="H4415" s="78" t="str">
        <f t="shared" si="686"/>
        <v/>
      </c>
      <c r="I4415" s="25"/>
      <c r="J4415" s="25"/>
      <c r="K4415" s="26"/>
      <c r="L4415" s="26"/>
      <c r="M4415" s="37"/>
      <c r="N4415" s="27"/>
      <c r="O4415" s="30"/>
      <c r="P4415" s="39" t="str">
        <f t="shared" si="687"/>
        <v/>
      </c>
      <c r="Q4415" s="40" t="str">
        <f>IF(OR(T4415=0,RIGHT(T4415,1)=$W$1),"",COUNTIF($T$3:T4415,T4415))</f>
        <v/>
      </c>
      <c r="S4415" s="6">
        <f t="shared" si="688"/>
        <v>0</v>
      </c>
      <c r="T4415" s="36">
        <f t="shared" si="689"/>
        <v>0</v>
      </c>
      <c r="V4415" s="6">
        <f t="shared" si="690"/>
        <v>0</v>
      </c>
      <c r="Y4415" s="8">
        <f t="shared" si="691"/>
        <v>46023</v>
      </c>
    </row>
    <row r="4416" spans="2:25" ht="18.75" x14ac:dyDescent="0.3">
      <c r="B4416" s="6">
        <f t="shared" si="683"/>
        <v>0</v>
      </c>
      <c r="C4416" s="6">
        <f t="shared" si="684"/>
        <v>0</v>
      </c>
      <c r="D4416" s="6" t="str">
        <f t="shared" si="685"/>
        <v/>
      </c>
      <c r="E4416" s="35" t="str">
        <f t="shared" si="682"/>
        <v/>
      </c>
      <c r="F4416" s="31"/>
      <c r="G4416" s="29"/>
      <c r="H4416" s="78" t="str">
        <f t="shared" si="686"/>
        <v/>
      </c>
      <c r="I4416" s="25"/>
      <c r="J4416" s="25"/>
      <c r="K4416" s="26"/>
      <c r="L4416" s="26"/>
      <c r="M4416" s="37"/>
      <c r="N4416" s="27"/>
      <c r="O4416" s="30"/>
      <c r="P4416" s="39" t="str">
        <f t="shared" si="687"/>
        <v/>
      </c>
      <c r="Q4416" s="40" t="str">
        <f>IF(OR(T4416=0,RIGHT(T4416,1)=$W$1),"",COUNTIF($T$3:T4416,T4416))</f>
        <v/>
      </c>
      <c r="S4416" s="6">
        <f t="shared" si="688"/>
        <v>0</v>
      </c>
      <c r="T4416" s="36">
        <f t="shared" si="689"/>
        <v>0</v>
      </c>
      <c r="V4416" s="6">
        <f t="shared" si="690"/>
        <v>0</v>
      </c>
      <c r="Y4416" s="8">
        <f t="shared" si="691"/>
        <v>46023</v>
      </c>
    </row>
    <row r="4417" spans="2:25" ht="18.75" x14ac:dyDescent="0.3">
      <c r="B4417" s="6">
        <f t="shared" si="683"/>
        <v>0</v>
      </c>
      <c r="C4417" s="6">
        <f t="shared" si="684"/>
        <v>0</v>
      </c>
      <c r="D4417" s="6" t="str">
        <f t="shared" si="685"/>
        <v/>
      </c>
      <c r="E4417" s="35" t="str">
        <f t="shared" si="682"/>
        <v/>
      </c>
      <c r="F4417" s="31"/>
      <c r="G4417" s="29"/>
      <c r="H4417" s="78" t="str">
        <f t="shared" si="686"/>
        <v/>
      </c>
      <c r="I4417" s="25"/>
      <c r="J4417" s="25"/>
      <c r="K4417" s="26"/>
      <c r="L4417" s="26"/>
      <c r="M4417" s="37"/>
      <c r="N4417" s="27"/>
      <c r="O4417" s="30"/>
      <c r="P4417" s="39" t="str">
        <f t="shared" si="687"/>
        <v/>
      </c>
      <c r="Q4417" s="40" t="str">
        <f>IF(OR(T4417=0,RIGHT(T4417,1)=$W$1),"",COUNTIF($T$3:T4417,T4417))</f>
        <v/>
      </c>
      <c r="S4417" s="6">
        <f t="shared" si="688"/>
        <v>0</v>
      </c>
      <c r="T4417" s="36">
        <f t="shared" si="689"/>
        <v>0</v>
      </c>
      <c r="V4417" s="6">
        <f t="shared" si="690"/>
        <v>0</v>
      </c>
      <c r="Y4417" s="8">
        <f t="shared" si="691"/>
        <v>46023</v>
      </c>
    </row>
    <row r="4418" spans="2:25" ht="18.75" x14ac:dyDescent="0.3">
      <c r="B4418" s="6">
        <f t="shared" si="683"/>
        <v>0</v>
      </c>
      <c r="C4418" s="6">
        <f t="shared" si="684"/>
        <v>0</v>
      </c>
      <c r="D4418" s="6" t="str">
        <f t="shared" si="685"/>
        <v/>
      </c>
      <c r="E4418" s="35" t="str">
        <f t="shared" si="682"/>
        <v/>
      </c>
      <c r="F4418" s="31"/>
      <c r="G4418" s="29"/>
      <c r="H4418" s="78" t="str">
        <f t="shared" si="686"/>
        <v/>
      </c>
      <c r="I4418" s="25"/>
      <c r="J4418" s="25"/>
      <c r="K4418" s="26"/>
      <c r="L4418" s="26"/>
      <c r="M4418" s="37"/>
      <c r="N4418" s="27"/>
      <c r="O4418" s="30"/>
      <c r="P4418" s="39" t="str">
        <f t="shared" si="687"/>
        <v/>
      </c>
      <c r="Q4418" s="40" t="str">
        <f>IF(OR(T4418=0,RIGHT(T4418,1)=$W$1),"",COUNTIF($T$3:T4418,T4418))</f>
        <v/>
      </c>
      <c r="S4418" s="6">
        <f t="shared" si="688"/>
        <v>0</v>
      </c>
      <c r="T4418" s="36">
        <f t="shared" si="689"/>
        <v>0</v>
      </c>
      <c r="V4418" s="6">
        <f t="shared" si="690"/>
        <v>0</v>
      </c>
      <c r="Y4418" s="8">
        <f t="shared" si="691"/>
        <v>46023</v>
      </c>
    </row>
    <row r="4419" spans="2:25" ht="18.75" x14ac:dyDescent="0.3">
      <c r="B4419" s="6">
        <f t="shared" si="683"/>
        <v>0</v>
      </c>
      <c r="C4419" s="6">
        <f t="shared" si="684"/>
        <v>0</v>
      </c>
      <c r="D4419" s="6" t="str">
        <f t="shared" si="685"/>
        <v/>
      </c>
      <c r="E4419" s="35" t="str">
        <f t="shared" ref="E4419:E4482" si="692">IF(D4419&lt;&gt;"",D4419&amp;" - "&amp;YEAR(F4419),"")</f>
        <v/>
      </c>
      <c r="F4419" s="31"/>
      <c r="G4419" s="29"/>
      <c r="H4419" s="78" t="str">
        <f t="shared" si="686"/>
        <v/>
      </c>
      <c r="I4419" s="25"/>
      <c r="J4419" s="25"/>
      <c r="K4419" s="26"/>
      <c r="L4419" s="26"/>
      <c r="M4419" s="37"/>
      <c r="N4419" s="27"/>
      <c r="O4419" s="30"/>
      <c r="P4419" s="39" t="str">
        <f t="shared" si="687"/>
        <v/>
      </c>
      <c r="Q4419" s="40" t="str">
        <f>IF(OR(T4419=0,RIGHT(T4419,1)=$W$1),"",COUNTIF($T$3:T4419,T4419))</f>
        <v/>
      </c>
      <c r="S4419" s="6">
        <f t="shared" si="688"/>
        <v>0</v>
      </c>
      <c r="T4419" s="36">
        <f t="shared" si="689"/>
        <v>0</v>
      </c>
      <c r="V4419" s="6">
        <f t="shared" si="690"/>
        <v>0</v>
      </c>
      <c r="Y4419" s="8">
        <f t="shared" si="691"/>
        <v>46023</v>
      </c>
    </row>
    <row r="4420" spans="2:25" ht="18.75" x14ac:dyDescent="0.3">
      <c r="B4420" s="6">
        <f t="shared" ref="B4420:B4483" si="693">IF($B$1=YEAR(F4420),B4419+1,B4419)</f>
        <v>0</v>
      </c>
      <c r="C4420" s="6">
        <f t="shared" ref="C4420:C4483" si="694">IF(AND($C$1=K4420,$Y$1=YEAR(F4420)),C4419+1,C4419)</f>
        <v>0</v>
      </c>
      <c r="D4420" s="6" t="str">
        <f t="shared" ref="D4420:D4483" si="695">IF(F4420&lt;&gt;0,IF(YEAR(F4420)&lt;&gt;YEAR(F4419),1,IF(M4420=$AI$1,D4419,D4419+1)),"")</f>
        <v/>
      </c>
      <c r="E4420" s="35" t="str">
        <f t="shared" si="692"/>
        <v/>
      </c>
      <c r="F4420" s="31"/>
      <c r="G4420" s="29"/>
      <c r="H4420" s="78" t="str">
        <f t="shared" ref="H4420:H4483" si="696">IF(G4420&lt;&gt;"",F4420,"")</f>
        <v/>
      </c>
      <c r="I4420" s="25"/>
      <c r="J4420" s="25"/>
      <c r="K4420" s="26"/>
      <c r="L4420" s="26"/>
      <c r="M4420" s="37"/>
      <c r="N4420" s="27"/>
      <c r="O4420" s="30"/>
      <c r="P4420" s="39" t="str">
        <f t="shared" ref="P4420:P4483" si="697">IF(OR(T4420=0,RIGHT(T4420,1)=$W$1),"",VLOOKUP(K4420,$AD$1:$AK$15,5,FALSE))</f>
        <v/>
      </c>
      <c r="Q4420" s="40" t="str">
        <f>IF(OR(T4420=0,RIGHT(T4420,1)=$W$1),"",COUNTIF($T$3:T4420,T4420))</f>
        <v/>
      </c>
      <c r="S4420" s="6">
        <f t="shared" ref="S4420:S4483" si="698">IF(AND($C$1=K4420,$Y$1=YEAR(F4420)),C4420,0)</f>
        <v>0</v>
      </c>
      <c r="T4420" s="36">
        <f t="shared" ref="T4420:T4483" si="699">IF(F4420=0,0,YEAR(F4420)&amp;VLOOKUP(K4420,$AD$1:$AE$15,2,FALSE))</f>
        <v>0</v>
      </c>
      <c r="V4420" s="6">
        <f t="shared" ref="V4420:V4483" si="700">IF(AND(YEAR(F4420)=$Y$1,K4420=$C$1,L4420&amp;$V$1&lt;&gt;$V$1),L4420,IF(AND(YEAR(F4420)=$Y$1,K4420=$C$1),1,0))</f>
        <v>0</v>
      </c>
      <c r="Y4420" s="8">
        <f t="shared" ref="Y4420:Y4483" si="701">IF(M4420&lt;&gt;$AI$1,$Y$2,F4419)</f>
        <v>46023</v>
      </c>
    </row>
    <row r="4421" spans="2:25" ht="18.75" x14ac:dyDescent="0.3">
      <c r="B4421" s="6">
        <f t="shared" si="693"/>
        <v>0</v>
      </c>
      <c r="C4421" s="6">
        <f t="shared" si="694"/>
        <v>0</v>
      </c>
      <c r="D4421" s="6" t="str">
        <f t="shared" si="695"/>
        <v/>
      </c>
      <c r="E4421" s="35" t="str">
        <f t="shared" si="692"/>
        <v/>
      </c>
      <c r="F4421" s="31"/>
      <c r="G4421" s="29"/>
      <c r="H4421" s="78" t="str">
        <f t="shared" si="696"/>
        <v/>
      </c>
      <c r="I4421" s="25"/>
      <c r="J4421" s="25"/>
      <c r="K4421" s="26"/>
      <c r="L4421" s="26"/>
      <c r="M4421" s="37"/>
      <c r="N4421" s="27"/>
      <c r="O4421" s="30"/>
      <c r="P4421" s="39" t="str">
        <f t="shared" si="697"/>
        <v/>
      </c>
      <c r="Q4421" s="40" t="str">
        <f>IF(OR(T4421=0,RIGHT(T4421,1)=$W$1),"",COUNTIF($T$3:T4421,T4421))</f>
        <v/>
      </c>
      <c r="S4421" s="6">
        <f t="shared" si="698"/>
        <v>0</v>
      </c>
      <c r="T4421" s="36">
        <f t="shared" si="699"/>
        <v>0</v>
      </c>
      <c r="V4421" s="6">
        <f t="shared" si="700"/>
        <v>0</v>
      </c>
      <c r="Y4421" s="8">
        <f t="shared" si="701"/>
        <v>46023</v>
      </c>
    </row>
    <row r="4422" spans="2:25" ht="18.75" x14ac:dyDescent="0.3">
      <c r="B4422" s="6">
        <f t="shared" si="693"/>
        <v>0</v>
      </c>
      <c r="C4422" s="6">
        <f t="shared" si="694"/>
        <v>0</v>
      </c>
      <c r="D4422" s="6" t="str">
        <f t="shared" si="695"/>
        <v/>
      </c>
      <c r="E4422" s="35" t="str">
        <f t="shared" si="692"/>
        <v/>
      </c>
      <c r="F4422" s="31"/>
      <c r="G4422" s="29"/>
      <c r="H4422" s="78" t="str">
        <f t="shared" si="696"/>
        <v/>
      </c>
      <c r="I4422" s="25"/>
      <c r="J4422" s="25"/>
      <c r="K4422" s="26"/>
      <c r="L4422" s="26"/>
      <c r="M4422" s="37"/>
      <c r="N4422" s="27"/>
      <c r="O4422" s="30"/>
      <c r="P4422" s="39" t="str">
        <f t="shared" si="697"/>
        <v/>
      </c>
      <c r="Q4422" s="40" t="str">
        <f>IF(OR(T4422=0,RIGHT(T4422,1)=$W$1),"",COUNTIF($T$3:T4422,T4422))</f>
        <v/>
      </c>
      <c r="S4422" s="6">
        <f t="shared" si="698"/>
        <v>0</v>
      </c>
      <c r="T4422" s="36">
        <f t="shared" si="699"/>
        <v>0</v>
      </c>
      <c r="V4422" s="6">
        <f t="shared" si="700"/>
        <v>0</v>
      </c>
      <c r="Y4422" s="8">
        <f t="shared" si="701"/>
        <v>46023</v>
      </c>
    </row>
    <row r="4423" spans="2:25" ht="18.75" x14ac:dyDescent="0.3">
      <c r="B4423" s="6">
        <f t="shared" si="693"/>
        <v>0</v>
      </c>
      <c r="C4423" s="6">
        <f t="shared" si="694"/>
        <v>0</v>
      </c>
      <c r="D4423" s="6" t="str">
        <f t="shared" si="695"/>
        <v/>
      </c>
      <c r="E4423" s="35" t="str">
        <f t="shared" si="692"/>
        <v/>
      </c>
      <c r="F4423" s="31"/>
      <c r="G4423" s="29"/>
      <c r="H4423" s="78" t="str">
        <f t="shared" si="696"/>
        <v/>
      </c>
      <c r="I4423" s="25"/>
      <c r="J4423" s="25"/>
      <c r="K4423" s="26"/>
      <c r="L4423" s="26"/>
      <c r="M4423" s="37"/>
      <c r="N4423" s="27"/>
      <c r="O4423" s="30"/>
      <c r="P4423" s="39" t="str">
        <f t="shared" si="697"/>
        <v/>
      </c>
      <c r="Q4423" s="40" t="str">
        <f>IF(OR(T4423=0,RIGHT(T4423,1)=$W$1),"",COUNTIF($T$3:T4423,T4423))</f>
        <v/>
      </c>
      <c r="S4423" s="6">
        <f t="shared" si="698"/>
        <v>0</v>
      </c>
      <c r="T4423" s="36">
        <f t="shared" si="699"/>
        <v>0</v>
      </c>
      <c r="V4423" s="6">
        <f t="shared" si="700"/>
        <v>0</v>
      </c>
      <c r="Y4423" s="8">
        <f t="shared" si="701"/>
        <v>46023</v>
      </c>
    </row>
    <row r="4424" spans="2:25" ht="18.75" x14ac:dyDescent="0.3">
      <c r="B4424" s="6">
        <f t="shared" si="693"/>
        <v>0</v>
      </c>
      <c r="C4424" s="6">
        <f t="shared" si="694"/>
        <v>0</v>
      </c>
      <c r="D4424" s="6" t="str">
        <f t="shared" si="695"/>
        <v/>
      </c>
      <c r="E4424" s="35" t="str">
        <f t="shared" si="692"/>
        <v/>
      </c>
      <c r="F4424" s="31"/>
      <c r="G4424" s="29"/>
      <c r="H4424" s="78" t="str">
        <f t="shared" si="696"/>
        <v/>
      </c>
      <c r="I4424" s="25"/>
      <c r="J4424" s="25"/>
      <c r="K4424" s="26"/>
      <c r="L4424" s="26"/>
      <c r="M4424" s="37"/>
      <c r="N4424" s="27"/>
      <c r="O4424" s="30"/>
      <c r="P4424" s="39" t="str">
        <f t="shared" si="697"/>
        <v/>
      </c>
      <c r="Q4424" s="40" t="str">
        <f>IF(OR(T4424=0,RIGHT(T4424,1)=$W$1),"",COUNTIF($T$3:T4424,T4424))</f>
        <v/>
      </c>
      <c r="S4424" s="6">
        <f t="shared" si="698"/>
        <v>0</v>
      </c>
      <c r="T4424" s="36">
        <f t="shared" si="699"/>
        <v>0</v>
      </c>
      <c r="V4424" s="6">
        <f t="shared" si="700"/>
        <v>0</v>
      </c>
      <c r="Y4424" s="8">
        <f t="shared" si="701"/>
        <v>46023</v>
      </c>
    </row>
    <row r="4425" spans="2:25" ht="18.75" x14ac:dyDescent="0.3">
      <c r="B4425" s="6">
        <f t="shared" si="693"/>
        <v>0</v>
      </c>
      <c r="C4425" s="6">
        <f t="shared" si="694"/>
        <v>0</v>
      </c>
      <c r="D4425" s="6" t="str">
        <f t="shared" si="695"/>
        <v/>
      </c>
      <c r="E4425" s="35" t="str">
        <f t="shared" si="692"/>
        <v/>
      </c>
      <c r="F4425" s="31"/>
      <c r="G4425" s="29"/>
      <c r="H4425" s="78" t="str">
        <f t="shared" si="696"/>
        <v/>
      </c>
      <c r="I4425" s="25"/>
      <c r="J4425" s="25"/>
      <c r="K4425" s="26"/>
      <c r="L4425" s="26"/>
      <c r="M4425" s="37"/>
      <c r="N4425" s="27"/>
      <c r="O4425" s="30"/>
      <c r="P4425" s="39" t="str">
        <f t="shared" si="697"/>
        <v/>
      </c>
      <c r="Q4425" s="40" t="str">
        <f>IF(OR(T4425=0,RIGHT(T4425,1)=$W$1),"",COUNTIF($T$3:T4425,T4425))</f>
        <v/>
      </c>
      <c r="S4425" s="6">
        <f t="shared" si="698"/>
        <v>0</v>
      </c>
      <c r="T4425" s="36">
        <f t="shared" si="699"/>
        <v>0</v>
      </c>
      <c r="V4425" s="6">
        <f t="shared" si="700"/>
        <v>0</v>
      </c>
      <c r="Y4425" s="8">
        <f t="shared" si="701"/>
        <v>46023</v>
      </c>
    </row>
    <row r="4426" spans="2:25" ht="18.75" x14ac:dyDescent="0.3">
      <c r="B4426" s="6">
        <f t="shared" si="693"/>
        <v>0</v>
      </c>
      <c r="C4426" s="6">
        <f t="shared" si="694"/>
        <v>0</v>
      </c>
      <c r="D4426" s="6" t="str">
        <f t="shared" si="695"/>
        <v/>
      </c>
      <c r="E4426" s="35" t="str">
        <f t="shared" si="692"/>
        <v/>
      </c>
      <c r="F4426" s="31"/>
      <c r="G4426" s="29"/>
      <c r="H4426" s="78" t="str">
        <f t="shared" si="696"/>
        <v/>
      </c>
      <c r="I4426" s="25"/>
      <c r="J4426" s="25"/>
      <c r="K4426" s="26"/>
      <c r="L4426" s="26"/>
      <c r="M4426" s="37"/>
      <c r="N4426" s="27"/>
      <c r="O4426" s="30"/>
      <c r="P4426" s="39" t="str">
        <f t="shared" si="697"/>
        <v/>
      </c>
      <c r="Q4426" s="40" t="str">
        <f>IF(OR(T4426=0,RIGHT(T4426,1)=$W$1),"",COUNTIF($T$3:T4426,T4426))</f>
        <v/>
      </c>
      <c r="S4426" s="6">
        <f t="shared" si="698"/>
        <v>0</v>
      </c>
      <c r="T4426" s="36">
        <f t="shared" si="699"/>
        <v>0</v>
      </c>
      <c r="V4426" s="6">
        <f t="shared" si="700"/>
        <v>0</v>
      </c>
      <c r="Y4426" s="8">
        <f t="shared" si="701"/>
        <v>46023</v>
      </c>
    </row>
    <row r="4427" spans="2:25" ht="18.75" x14ac:dyDescent="0.3">
      <c r="B4427" s="6">
        <f t="shared" si="693"/>
        <v>0</v>
      </c>
      <c r="C4427" s="6">
        <f t="shared" si="694"/>
        <v>0</v>
      </c>
      <c r="D4427" s="6" t="str">
        <f t="shared" si="695"/>
        <v/>
      </c>
      <c r="E4427" s="35" t="str">
        <f t="shared" si="692"/>
        <v/>
      </c>
      <c r="F4427" s="31"/>
      <c r="G4427" s="29"/>
      <c r="H4427" s="78" t="str">
        <f t="shared" si="696"/>
        <v/>
      </c>
      <c r="I4427" s="25"/>
      <c r="J4427" s="25"/>
      <c r="K4427" s="26"/>
      <c r="L4427" s="26"/>
      <c r="M4427" s="37"/>
      <c r="N4427" s="27"/>
      <c r="O4427" s="30"/>
      <c r="P4427" s="39" t="str">
        <f t="shared" si="697"/>
        <v/>
      </c>
      <c r="Q4427" s="40" t="str">
        <f>IF(OR(T4427=0,RIGHT(T4427,1)=$W$1),"",COUNTIF($T$3:T4427,T4427))</f>
        <v/>
      </c>
      <c r="S4427" s="6">
        <f t="shared" si="698"/>
        <v>0</v>
      </c>
      <c r="T4427" s="36">
        <f t="shared" si="699"/>
        <v>0</v>
      </c>
      <c r="V4427" s="6">
        <f t="shared" si="700"/>
        <v>0</v>
      </c>
      <c r="Y4427" s="8">
        <f t="shared" si="701"/>
        <v>46023</v>
      </c>
    </row>
    <row r="4428" spans="2:25" ht="18.75" x14ac:dyDescent="0.3">
      <c r="B4428" s="6">
        <f t="shared" si="693"/>
        <v>0</v>
      </c>
      <c r="C4428" s="6">
        <f t="shared" si="694"/>
        <v>0</v>
      </c>
      <c r="D4428" s="6" t="str">
        <f t="shared" si="695"/>
        <v/>
      </c>
      <c r="E4428" s="35" t="str">
        <f t="shared" si="692"/>
        <v/>
      </c>
      <c r="F4428" s="31"/>
      <c r="G4428" s="29"/>
      <c r="H4428" s="78" t="str">
        <f t="shared" si="696"/>
        <v/>
      </c>
      <c r="I4428" s="25"/>
      <c r="J4428" s="25"/>
      <c r="K4428" s="26"/>
      <c r="L4428" s="26"/>
      <c r="M4428" s="37"/>
      <c r="N4428" s="27"/>
      <c r="O4428" s="30"/>
      <c r="P4428" s="39" t="str">
        <f t="shared" si="697"/>
        <v/>
      </c>
      <c r="Q4428" s="40" t="str">
        <f>IF(OR(T4428=0,RIGHT(T4428,1)=$W$1),"",COUNTIF($T$3:T4428,T4428))</f>
        <v/>
      </c>
      <c r="S4428" s="6">
        <f t="shared" si="698"/>
        <v>0</v>
      </c>
      <c r="T4428" s="36">
        <f t="shared" si="699"/>
        <v>0</v>
      </c>
      <c r="V4428" s="6">
        <f t="shared" si="700"/>
        <v>0</v>
      </c>
      <c r="Y4428" s="8">
        <f t="shared" si="701"/>
        <v>46023</v>
      </c>
    </row>
    <row r="4429" spans="2:25" ht="18.75" x14ac:dyDescent="0.3">
      <c r="B4429" s="6">
        <f t="shared" si="693"/>
        <v>0</v>
      </c>
      <c r="C4429" s="6">
        <f t="shared" si="694"/>
        <v>0</v>
      </c>
      <c r="D4429" s="6" t="str">
        <f t="shared" si="695"/>
        <v/>
      </c>
      <c r="E4429" s="35" t="str">
        <f t="shared" si="692"/>
        <v/>
      </c>
      <c r="F4429" s="31"/>
      <c r="G4429" s="29"/>
      <c r="H4429" s="78" t="str">
        <f t="shared" si="696"/>
        <v/>
      </c>
      <c r="I4429" s="25"/>
      <c r="J4429" s="25"/>
      <c r="K4429" s="26"/>
      <c r="L4429" s="26"/>
      <c r="M4429" s="37"/>
      <c r="N4429" s="27"/>
      <c r="O4429" s="30"/>
      <c r="P4429" s="39" t="str">
        <f t="shared" si="697"/>
        <v/>
      </c>
      <c r="Q4429" s="40" t="str">
        <f>IF(OR(T4429=0,RIGHT(T4429,1)=$W$1),"",COUNTIF($T$3:T4429,T4429))</f>
        <v/>
      </c>
      <c r="S4429" s="6">
        <f t="shared" si="698"/>
        <v>0</v>
      </c>
      <c r="T4429" s="36">
        <f t="shared" si="699"/>
        <v>0</v>
      </c>
      <c r="V4429" s="6">
        <f t="shared" si="700"/>
        <v>0</v>
      </c>
      <c r="Y4429" s="8">
        <f t="shared" si="701"/>
        <v>46023</v>
      </c>
    </row>
    <row r="4430" spans="2:25" ht="18.75" x14ac:dyDescent="0.3">
      <c r="B4430" s="6">
        <f t="shared" si="693"/>
        <v>0</v>
      </c>
      <c r="C4430" s="6">
        <f t="shared" si="694"/>
        <v>0</v>
      </c>
      <c r="D4430" s="6" t="str">
        <f t="shared" si="695"/>
        <v/>
      </c>
      <c r="E4430" s="35" t="str">
        <f t="shared" si="692"/>
        <v/>
      </c>
      <c r="F4430" s="31"/>
      <c r="G4430" s="29"/>
      <c r="H4430" s="78" t="str">
        <f t="shared" si="696"/>
        <v/>
      </c>
      <c r="I4430" s="25"/>
      <c r="J4430" s="25"/>
      <c r="K4430" s="26"/>
      <c r="L4430" s="26"/>
      <c r="M4430" s="37"/>
      <c r="N4430" s="27"/>
      <c r="O4430" s="30"/>
      <c r="P4430" s="39" t="str">
        <f t="shared" si="697"/>
        <v/>
      </c>
      <c r="Q4430" s="40" t="str">
        <f>IF(OR(T4430=0,RIGHT(T4430,1)=$W$1),"",COUNTIF($T$3:T4430,T4430))</f>
        <v/>
      </c>
      <c r="S4430" s="6">
        <f t="shared" si="698"/>
        <v>0</v>
      </c>
      <c r="T4430" s="36">
        <f t="shared" si="699"/>
        <v>0</v>
      </c>
      <c r="V4430" s="6">
        <f t="shared" si="700"/>
        <v>0</v>
      </c>
      <c r="Y4430" s="8">
        <f t="shared" si="701"/>
        <v>46023</v>
      </c>
    </row>
    <row r="4431" spans="2:25" ht="18.75" x14ac:dyDescent="0.3">
      <c r="B4431" s="6">
        <f t="shared" si="693"/>
        <v>0</v>
      </c>
      <c r="C4431" s="6">
        <f t="shared" si="694"/>
        <v>0</v>
      </c>
      <c r="D4431" s="6" t="str">
        <f t="shared" si="695"/>
        <v/>
      </c>
      <c r="E4431" s="35" t="str">
        <f t="shared" si="692"/>
        <v/>
      </c>
      <c r="F4431" s="31"/>
      <c r="G4431" s="29"/>
      <c r="H4431" s="78" t="str">
        <f t="shared" si="696"/>
        <v/>
      </c>
      <c r="I4431" s="25"/>
      <c r="J4431" s="25"/>
      <c r="K4431" s="26"/>
      <c r="L4431" s="26"/>
      <c r="M4431" s="37"/>
      <c r="N4431" s="27"/>
      <c r="O4431" s="30"/>
      <c r="P4431" s="39" t="str">
        <f t="shared" si="697"/>
        <v/>
      </c>
      <c r="Q4431" s="40" t="str">
        <f>IF(OR(T4431=0,RIGHT(T4431,1)=$W$1),"",COUNTIF($T$3:T4431,T4431))</f>
        <v/>
      </c>
      <c r="S4431" s="6">
        <f t="shared" si="698"/>
        <v>0</v>
      </c>
      <c r="T4431" s="36">
        <f t="shared" si="699"/>
        <v>0</v>
      </c>
      <c r="V4431" s="6">
        <f t="shared" si="700"/>
        <v>0</v>
      </c>
      <c r="Y4431" s="8">
        <f t="shared" si="701"/>
        <v>46023</v>
      </c>
    </row>
    <row r="4432" spans="2:25" ht="18.75" x14ac:dyDescent="0.3">
      <c r="B4432" s="6">
        <f t="shared" si="693"/>
        <v>0</v>
      </c>
      <c r="C4432" s="6">
        <f t="shared" si="694"/>
        <v>0</v>
      </c>
      <c r="D4432" s="6" t="str">
        <f t="shared" si="695"/>
        <v/>
      </c>
      <c r="E4432" s="35" t="str">
        <f t="shared" si="692"/>
        <v/>
      </c>
      <c r="F4432" s="31"/>
      <c r="G4432" s="29"/>
      <c r="H4432" s="78" t="str">
        <f t="shared" si="696"/>
        <v/>
      </c>
      <c r="I4432" s="25"/>
      <c r="J4432" s="25"/>
      <c r="K4432" s="26"/>
      <c r="L4432" s="26"/>
      <c r="M4432" s="37"/>
      <c r="N4432" s="27"/>
      <c r="O4432" s="30"/>
      <c r="P4432" s="39" t="str">
        <f t="shared" si="697"/>
        <v/>
      </c>
      <c r="Q4432" s="40" t="str">
        <f>IF(OR(T4432=0,RIGHT(T4432,1)=$W$1),"",COUNTIF($T$3:T4432,T4432))</f>
        <v/>
      </c>
      <c r="S4432" s="6">
        <f t="shared" si="698"/>
        <v>0</v>
      </c>
      <c r="T4432" s="36">
        <f t="shared" si="699"/>
        <v>0</v>
      </c>
      <c r="V4432" s="6">
        <f t="shared" si="700"/>
        <v>0</v>
      </c>
      <c r="Y4432" s="8">
        <f t="shared" si="701"/>
        <v>46023</v>
      </c>
    </row>
    <row r="4433" spans="2:25" ht="18.75" x14ac:dyDescent="0.3">
      <c r="B4433" s="6">
        <f t="shared" si="693"/>
        <v>0</v>
      </c>
      <c r="C4433" s="6">
        <f t="shared" si="694"/>
        <v>0</v>
      </c>
      <c r="D4433" s="6" t="str">
        <f t="shared" si="695"/>
        <v/>
      </c>
      <c r="E4433" s="35" t="str">
        <f t="shared" si="692"/>
        <v/>
      </c>
      <c r="F4433" s="31"/>
      <c r="G4433" s="29"/>
      <c r="H4433" s="78" t="str">
        <f t="shared" si="696"/>
        <v/>
      </c>
      <c r="I4433" s="25"/>
      <c r="J4433" s="25"/>
      <c r="K4433" s="26"/>
      <c r="L4433" s="26"/>
      <c r="M4433" s="37"/>
      <c r="N4433" s="27"/>
      <c r="O4433" s="30"/>
      <c r="P4433" s="39" t="str">
        <f t="shared" si="697"/>
        <v/>
      </c>
      <c r="Q4433" s="40" t="str">
        <f>IF(OR(T4433=0,RIGHT(T4433,1)=$W$1),"",COUNTIF($T$3:T4433,T4433))</f>
        <v/>
      </c>
      <c r="S4433" s="6">
        <f t="shared" si="698"/>
        <v>0</v>
      </c>
      <c r="T4433" s="36">
        <f t="shared" si="699"/>
        <v>0</v>
      </c>
      <c r="V4433" s="6">
        <f t="shared" si="700"/>
        <v>0</v>
      </c>
      <c r="Y4433" s="8">
        <f t="shared" si="701"/>
        <v>46023</v>
      </c>
    </row>
    <row r="4434" spans="2:25" ht="18.75" x14ac:dyDescent="0.3">
      <c r="B4434" s="6">
        <f t="shared" si="693"/>
        <v>0</v>
      </c>
      <c r="C4434" s="6">
        <f t="shared" si="694"/>
        <v>0</v>
      </c>
      <c r="D4434" s="6" t="str">
        <f t="shared" si="695"/>
        <v/>
      </c>
      <c r="E4434" s="35" t="str">
        <f t="shared" si="692"/>
        <v/>
      </c>
      <c r="F4434" s="31"/>
      <c r="G4434" s="29"/>
      <c r="H4434" s="78" t="str">
        <f t="shared" si="696"/>
        <v/>
      </c>
      <c r="I4434" s="25"/>
      <c r="J4434" s="25"/>
      <c r="K4434" s="26"/>
      <c r="L4434" s="26"/>
      <c r="M4434" s="37"/>
      <c r="N4434" s="27"/>
      <c r="O4434" s="30"/>
      <c r="P4434" s="39" t="str">
        <f t="shared" si="697"/>
        <v/>
      </c>
      <c r="Q4434" s="40" t="str">
        <f>IF(OR(T4434=0,RIGHT(T4434,1)=$W$1),"",COUNTIF($T$3:T4434,T4434))</f>
        <v/>
      </c>
      <c r="S4434" s="6">
        <f t="shared" si="698"/>
        <v>0</v>
      </c>
      <c r="T4434" s="36">
        <f t="shared" si="699"/>
        <v>0</v>
      </c>
      <c r="V4434" s="6">
        <f t="shared" si="700"/>
        <v>0</v>
      </c>
      <c r="Y4434" s="8">
        <f t="shared" si="701"/>
        <v>46023</v>
      </c>
    </row>
    <row r="4435" spans="2:25" ht="18.75" x14ac:dyDescent="0.3">
      <c r="B4435" s="6">
        <f t="shared" si="693"/>
        <v>0</v>
      </c>
      <c r="C4435" s="6">
        <f t="shared" si="694"/>
        <v>0</v>
      </c>
      <c r="D4435" s="6" t="str">
        <f t="shared" si="695"/>
        <v/>
      </c>
      <c r="E4435" s="35" t="str">
        <f t="shared" si="692"/>
        <v/>
      </c>
      <c r="F4435" s="31"/>
      <c r="G4435" s="29"/>
      <c r="H4435" s="78" t="str">
        <f t="shared" si="696"/>
        <v/>
      </c>
      <c r="I4435" s="25"/>
      <c r="J4435" s="25"/>
      <c r="K4435" s="26"/>
      <c r="L4435" s="26"/>
      <c r="M4435" s="37"/>
      <c r="N4435" s="27"/>
      <c r="O4435" s="30"/>
      <c r="P4435" s="39" t="str">
        <f t="shared" si="697"/>
        <v/>
      </c>
      <c r="Q4435" s="40" t="str">
        <f>IF(OR(T4435=0,RIGHT(T4435,1)=$W$1),"",COUNTIF($T$3:T4435,T4435))</f>
        <v/>
      </c>
      <c r="S4435" s="6">
        <f t="shared" si="698"/>
        <v>0</v>
      </c>
      <c r="T4435" s="36">
        <f t="shared" si="699"/>
        <v>0</v>
      </c>
      <c r="V4435" s="6">
        <f t="shared" si="700"/>
        <v>0</v>
      </c>
      <c r="Y4435" s="8">
        <f t="shared" si="701"/>
        <v>46023</v>
      </c>
    </row>
    <row r="4436" spans="2:25" ht="18.75" x14ac:dyDescent="0.3">
      <c r="B4436" s="6">
        <f t="shared" si="693"/>
        <v>0</v>
      </c>
      <c r="C4436" s="6">
        <f t="shared" si="694"/>
        <v>0</v>
      </c>
      <c r="D4436" s="6" t="str">
        <f t="shared" si="695"/>
        <v/>
      </c>
      <c r="E4436" s="35" t="str">
        <f t="shared" si="692"/>
        <v/>
      </c>
      <c r="F4436" s="31"/>
      <c r="G4436" s="29"/>
      <c r="H4436" s="78" t="str">
        <f t="shared" si="696"/>
        <v/>
      </c>
      <c r="I4436" s="25"/>
      <c r="J4436" s="25"/>
      <c r="K4436" s="26"/>
      <c r="L4436" s="26"/>
      <c r="M4436" s="37"/>
      <c r="N4436" s="27"/>
      <c r="O4436" s="30"/>
      <c r="P4436" s="39" t="str">
        <f t="shared" si="697"/>
        <v/>
      </c>
      <c r="Q4436" s="40" t="str">
        <f>IF(OR(T4436=0,RIGHT(T4436,1)=$W$1),"",COUNTIF($T$3:T4436,T4436))</f>
        <v/>
      </c>
      <c r="S4436" s="6">
        <f t="shared" si="698"/>
        <v>0</v>
      </c>
      <c r="T4436" s="36">
        <f t="shared" si="699"/>
        <v>0</v>
      </c>
      <c r="V4436" s="6">
        <f t="shared" si="700"/>
        <v>0</v>
      </c>
      <c r="Y4436" s="8">
        <f t="shared" si="701"/>
        <v>46023</v>
      </c>
    </row>
    <row r="4437" spans="2:25" ht="18.75" x14ac:dyDescent="0.3">
      <c r="B4437" s="6">
        <f t="shared" si="693"/>
        <v>0</v>
      </c>
      <c r="C4437" s="6">
        <f t="shared" si="694"/>
        <v>0</v>
      </c>
      <c r="D4437" s="6" t="str">
        <f t="shared" si="695"/>
        <v/>
      </c>
      <c r="E4437" s="35" t="str">
        <f t="shared" si="692"/>
        <v/>
      </c>
      <c r="F4437" s="31"/>
      <c r="G4437" s="29"/>
      <c r="H4437" s="78" t="str">
        <f t="shared" si="696"/>
        <v/>
      </c>
      <c r="I4437" s="25"/>
      <c r="J4437" s="25"/>
      <c r="K4437" s="26"/>
      <c r="L4437" s="26"/>
      <c r="M4437" s="37"/>
      <c r="N4437" s="27"/>
      <c r="O4437" s="30"/>
      <c r="P4437" s="39" t="str">
        <f t="shared" si="697"/>
        <v/>
      </c>
      <c r="Q4437" s="40" t="str">
        <f>IF(OR(T4437=0,RIGHT(T4437,1)=$W$1),"",COUNTIF($T$3:T4437,T4437))</f>
        <v/>
      </c>
      <c r="S4437" s="6">
        <f t="shared" si="698"/>
        <v>0</v>
      </c>
      <c r="T4437" s="36">
        <f t="shared" si="699"/>
        <v>0</v>
      </c>
      <c r="V4437" s="6">
        <f t="shared" si="700"/>
        <v>0</v>
      </c>
      <c r="Y4437" s="8">
        <f t="shared" si="701"/>
        <v>46023</v>
      </c>
    </row>
    <row r="4438" spans="2:25" ht="18.75" x14ac:dyDescent="0.3">
      <c r="B4438" s="6">
        <f t="shared" si="693"/>
        <v>0</v>
      </c>
      <c r="C4438" s="6">
        <f t="shared" si="694"/>
        <v>0</v>
      </c>
      <c r="D4438" s="6" t="str">
        <f t="shared" si="695"/>
        <v/>
      </c>
      <c r="E4438" s="35" t="str">
        <f t="shared" si="692"/>
        <v/>
      </c>
      <c r="F4438" s="31"/>
      <c r="G4438" s="29"/>
      <c r="H4438" s="78" t="str">
        <f t="shared" si="696"/>
        <v/>
      </c>
      <c r="I4438" s="25"/>
      <c r="J4438" s="25"/>
      <c r="K4438" s="26"/>
      <c r="L4438" s="26"/>
      <c r="M4438" s="37"/>
      <c r="N4438" s="27"/>
      <c r="O4438" s="30"/>
      <c r="P4438" s="39" t="str">
        <f t="shared" si="697"/>
        <v/>
      </c>
      <c r="Q4438" s="40" t="str">
        <f>IF(OR(T4438=0,RIGHT(T4438,1)=$W$1),"",COUNTIF($T$3:T4438,T4438))</f>
        <v/>
      </c>
      <c r="S4438" s="6">
        <f t="shared" si="698"/>
        <v>0</v>
      </c>
      <c r="T4438" s="36">
        <f t="shared" si="699"/>
        <v>0</v>
      </c>
      <c r="V4438" s="6">
        <f t="shared" si="700"/>
        <v>0</v>
      </c>
      <c r="Y4438" s="8">
        <f t="shared" si="701"/>
        <v>46023</v>
      </c>
    </row>
    <row r="4439" spans="2:25" ht="18.75" x14ac:dyDescent="0.3">
      <c r="B4439" s="6">
        <f t="shared" si="693"/>
        <v>0</v>
      </c>
      <c r="C4439" s="6">
        <f t="shared" si="694"/>
        <v>0</v>
      </c>
      <c r="D4439" s="6" t="str">
        <f t="shared" si="695"/>
        <v/>
      </c>
      <c r="E4439" s="35" t="str">
        <f t="shared" si="692"/>
        <v/>
      </c>
      <c r="F4439" s="31"/>
      <c r="G4439" s="29"/>
      <c r="H4439" s="78" t="str">
        <f t="shared" si="696"/>
        <v/>
      </c>
      <c r="I4439" s="25"/>
      <c r="J4439" s="25"/>
      <c r="K4439" s="26"/>
      <c r="L4439" s="26"/>
      <c r="M4439" s="37"/>
      <c r="N4439" s="27"/>
      <c r="O4439" s="30"/>
      <c r="P4439" s="39" t="str">
        <f t="shared" si="697"/>
        <v/>
      </c>
      <c r="Q4439" s="40" t="str">
        <f>IF(OR(T4439=0,RIGHT(T4439,1)=$W$1),"",COUNTIF($T$3:T4439,T4439))</f>
        <v/>
      </c>
      <c r="S4439" s="6">
        <f t="shared" si="698"/>
        <v>0</v>
      </c>
      <c r="T4439" s="36">
        <f t="shared" si="699"/>
        <v>0</v>
      </c>
      <c r="V4439" s="6">
        <f t="shared" si="700"/>
        <v>0</v>
      </c>
      <c r="Y4439" s="8">
        <f t="shared" si="701"/>
        <v>46023</v>
      </c>
    </row>
    <row r="4440" spans="2:25" ht="18.75" x14ac:dyDescent="0.3">
      <c r="B4440" s="6">
        <f t="shared" si="693"/>
        <v>0</v>
      </c>
      <c r="C4440" s="6">
        <f t="shared" si="694"/>
        <v>0</v>
      </c>
      <c r="D4440" s="6" t="str">
        <f t="shared" si="695"/>
        <v/>
      </c>
      <c r="E4440" s="35" t="str">
        <f t="shared" si="692"/>
        <v/>
      </c>
      <c r="F4440" s="31"/>
      <c r="G4440" s="29"/>
      <c r="H4440" s="78" t="str">
        <f t="shared" si="696"/>
        <v/>
      </c>
      <c r="I4440" s="25"/>
      <c r="J4440" s="25"/>
      <c r="K4440" s="26"/>
      <c r="L4440" s="26"/>
      <c r="M4440" s="37"/>
      <c r="N4440" s="27"/>
      <c r="O4440" s="30"/>
      <c r="P4440" s="39" t="str">
        <f t="shared" si="697"/>
        <v/>
      </c>
      <c r="Q4440" s="40" t="str">
        <f>IF(OR(T4440=0,RIGHT(T4440,1)=$W$1),"",COUNTIF($T$3:T4440,T4440))</f>
        <v/>
      </c>
      <c r="S4440" s="6">
        <f t="shared" si="698"/>
        <v>0</v>
      </c>
      <c r="T4440" s="36">
        <f t="shared" si="699"/>
        <v>0</v>
      </c>
      <c r="V4440" s="6">
        <f t="shared" si="700"/>
        <v>0</v>
      </c>
      <c r="Y4440" s="8">
        <f t="shared" si="701"/>
        <v>46023</v>
      </c>
    </row>
    <row r="4441" spans="2:25" ht="18.75" x14ac:dyDescent="0.3">
      <c r="B4441" s="6">
        <f t="shared" si="693"/>
        <v>0</v>
      </c>
      <c r="C4441" s="6">
        <f t="shared" si="694"/>
        <v>0</v>
      </c>
      <c r="D4441" s="6" t="str">
        <f t="shared" si="695"/>
        <v/>
      </c>
      <c r="E4441" s="35" t="str">
        <f t="shared" si="692"/>
        <v/>
      </c>
      <c r="F4441" s="31"/>
      <c r="G4441" s="29"/>
      <c r="H4441" s="78" t="str">
        <f t="shared" si="696"/>
        <v/>
      </c>
      <c r="I4441" s="25"/>
      <c r="J4441" s="25"/>
      <c r="K4441" s="26"/>
      <c r="L4441" s="26"/>
      <c r="M4441" s="37"/>
      <c r="N4441" s="27"/>
      <c r="O4441" s="30"/>
      <c r="P4441" s="39" t="str">
        <f t="shared" si="697"/>
        <v/>
      </c>
      <c r="Q4441" s="40" t="str">
        <f>IF(OR(T4441=0,RIGHT(T4441,1)=$W$1),"",COUNTIF($T$3:T4441,T4441))</f>
        <v/>
      </c>
      <c r="S4441" s="6">
        <f t="shared" si="698"/>
        <v>0</v>
      </c>
      <c r="T4441" s="36">
        <f t="shared" si="699"/>
        <v>0</v>
      </c>
      <c r="V4441" s="6">
        <f t="shared" si="700"/>
        <v>0</v>
      </c>
      <c r="Y4441" s="8">
        <f t="shared" si="701"/>
        <v>46023</v>
      </c>
    </row>
    <row r="4442" spans="2:25" ht="18.75" x14ac:dyDescent="0.3">
      <c r="B4442" s="6">
        <f t="shared" si="693"/>
        <v>0</v>
      </c>
      <c r="C4442" s="6">
        <f t="shared" si="694"/>
        <v>0</v>
      </c>
      <c r="D4442" s="6" t="str">
        <f t="shared" si="695"/>
        <v/>
      </c>
      <c r="E4442" s="35" t="str">
        <f t="shared" si="692"/>
        <v/>
      </c>
      <c r="F4442" s="31"/>
      <c r="G4442" s="29"/>
      <c r="H4442" s="78" t="str">
        <f t="shared" si="696"/>
        <v/>
      </c>
      <c r="I4442" s="25"/>
      <c r="J4442" s="25"/>
      <c r="K4442" s="26"/>
      <c r="L4442" s="26"/>
      <c r="M4442" s="37"/>
      <c r="N4442" s="27"/>
      <c r="O4442" s="30"/>
      <c r="P4442" s="39" t="str">
        <f t="shared" si="697"/>
        <v/>
      </c>
      <c r="Q4442" s="40" t="str">
        <f>IF(OR(T4442=0,RIGHT(T4442,1)=$W$1),"",COUNTIF($T$3:T4442,T4442))</f>
        <v/>
      </c>
      <c r="S4442" s="6">
        <f t="shared" si="698"/>
        <v>0</v>
      </c>
      <c r="T4442" s="36">
        <f t="shared" si="699"/>
        <v>0</v>
      </c>
      <c r="V4442" s="6">
        <f t="shared" si="700"/>
        <v>0</v>
      </c>
      <c r="Y4442" s="8">
        <f t="shared" si="701"/>
        <v>46023</v>
      </c>
    </row>
    <row r="4443" spans="2:25" ht="18.75" x14ac:dyDescent="0.3">
      <c r="B4443" s="6">
        <f t="shared" si="693"/>
        <v>0</v>
      </c>
      <c r="C4443" s="6">
        <f t="shared" si="694"/>
        <v>0</v>
      </c>
      <c r="D4443" s="6" t="str">
        <f t="shared" si="695"/>
        <v/>
      </c>
      <c r="E4443" s="35" t="str">
        <f t="shared" si="692"/>
        <v/>
      </c>
      <c r="F4443" s="31"/>
      <c r="G4443" s="29"/>
      <c r="H4443" s="78" t="str">
        <f t="shared" si="696"/>
        <v/>
      </c>
      <c r="I4443" s="25"/>
      <c r="J4443" s="25"/>
      <c r="K4443" s="26"/>
      <c r="L4443" s="26"/>
      <c r="M4443" s="37"/>
      <c r="N4443" s="27"/>
      <c r="O4443" s="30"/>
      <c r="P4443" s="39" t="str">
        <f t="shared" si="697"/>
        <v/>
      </c>
      <c r="Q4443" s="40" t="str">
        <f>IF(OR(T4443=0,RIGHT(T4443,1)=$W$1),"",COUNTIF($T$3:T4443,T4443))</f>
        <v/>
      </c>
      <c r="S4443" s="6">
        <f t="shared" si="698"/>
        <v>0</v>
      </c>
      <c r="T4443" s="36">
        <f t="shared" si="699"/>
        <v>0</v>
      </c>
      <c r="V4443" s="6">
        <f t="shared" si="700"/>
        <v>0</v>
      </c>
      <c r="Y4443" s="8">
        <f t="shared" si="701"/>
        <v>46023</v>
      </c>
    </row>
    <row r="4444" spans="2:25" ht="18.75" x14ac:dyDescent="0.3">
      <c r="B4444" s="6">
        <f t="shared" si="693"/>
        <v>0</v>
      </c>
      <c r="C4444" s="6">
        <f t="shared" si="694"/>
        <v>0</v>
      </c>
      <c r="D4444" s="6" t="str">
        <f t="shared" si="695"/>
        <v/>
      </c>
      <c r="E4444" s="35" t="str">
        <f t="shared" si="692"/>
        <v/>
      </c>
      <c r="F4444" s="31"/>
      <c r="G4444" s="29"/>
      <c r="H4444" s="78" t="str">
        <f t="shared" si="696"/>
        <v/>
      </c>
      <c r="I4444" s="25"/>
      <c r="J4444" s="25"/>
      <c r="K4444" s="26"/>
      <c r="L4444" s="26"/>
      <c r="M4444" s="37"/>
      <c r="N4444" s="27"/>
      <c r="O4444" s="30"/>
      <c r="P4444" s="39" t="str">
        <f t="shared" si="697"/>
        <v/>
      </c>
      <c r="Q4444" s="40" t="str">
        <f>IF(OR(T4444=0,RIGHT(T4444,1)=$W$1),"",COUNTIF($T$3:T4444,T4444))</f>
        <v/>
      </c>
      <c r="S4444" s="6">
        <f t="shared" si="698"/>
        <v>0</v>
      </c>
      <c r="T4444" s="36">
        <f t="shared" si="699"/>
        <v>0</v>
      </c>
      <c r="V4444" s="6">
        <f t="shared" si="700"/>
        <v>0</v>
      </c>
      <c r="Y4444" s="8">
        <f t="shared" si="701"/>
        <v>46023</v>
      </c>
    </row>
    <row r="4445" spans="2:25" ht="18.75" x14ac:dyDescent="0.3">
      <c r="B4445" s="6">
        <f t="shared" si="693"/>
        <v>0</v>
      </c>
      <c r="C4445" s="6">
        <f t="shared" si="694"/>
        <v>0</v>
      </c>
      <c r="D4445" s="6" t="str">
        <f t="shared" si="695"/>
        <v/>
      </c>
      <c r="E4445" s="35" t="str">
        <f t="shared" si="692"/>
        <v/>
      </c>
      <c r="F4445" s="31"/>
      <c r="G4445" s="29"/>
      <c r="H4445" s="78" t="str">
        <f t="shared" si="696"/>
        <v/>
      </c>
      <c r="I4445" s="25"/>
      <c r="J4445" s="25"/>
      <c r="K4445" s="26"/>
      <c r="L4445" s="26"/>
      <c r="M4445" s="37"/>
      <c r="N4445" s="27"/>
      <c r="O4445" s="30"/>
      <c r="P4445" s="39" t="str">
        <f t="shared" si="697"/>
        <v/>
      </c>
      <c r="Q4445" s="40" t="str">
        <f>IF(OR(T4445=0,RIGHT(T4445,1)=$W$1),"",COUNTIF($T$3:T4445,T4445))</f>
        <v/>
      </c>
      <c r="S4445" s="6">
        <f t="shared" si="698"/>
        <v>0</v>
      </c>
      <c r="T4445" s="36">
        <f t="shared" si="699"/>
        <v>0</v>
      </c>
      <c r="V4445" s="6">
        <f t="shared" si="700"/>
        <v>0</v>
      </c>
      <c r="Y4445" s="8">
        <f t="shared" si="701"/>
        <v>46023</v>
      </c>
    </row>
    <row r="4446" spans="2:25" ht="18.75" x14ac:dyDescent="0.3">
      <c r="B4446" s="6">
        <f t="shared" si="693"/>
        <v>0</v>
      </c>
      <c r="C4446" s="6">
        <f t="shared" si="694"/>
        <v>0</v>
      </c>
      <c r="D4446" s="6" t="str">
        <f t="shared" si="695"/>
        <v/>
      </c>
      <c r="E4446" s="35" t="str">
        <f t="shared" si="692"/>
        <v/>
      </c>
      <c r="F4446" s="31"/>
      <c r="G4446" s="29"/>
      <c r="H4446" s="78" t="str">
        <f t="shared" si="696"/>
        <v/>
      </c>
      <c r="I4446" s="25"/>
      <c r="J4446" s="25"/>
      <c r="K4446" s="26"/>
      <c r="L4446" s="26"/>
      <c r="M4446" s="37"/>
      <c r="N4446" s="27"/>
      <c r="O4446" s="30"/>
      <c r="P4446" s="39" t="str">
        <f t="shared" si="697"/>
        <v/>
      </c>
      <c r="Q4446" s="40" t="str">
        <f>IF(OR(T4446=0,RIGHT(T4446,1)=$W$1),"",COUNTIF($T$3:T4446,T4446))</f>
        <v/>
      </c>
      <c r="S4446" s="6">
        <f t="shared" si="698"/>
        <v>0</v>
      </c>
      <c r="T4446" s="36">
        <f t="shared" si="699"/>
        <v>0</v>
      </c>
      <c r="V4446" s="6">
        <f t="shared" si="700"/>
        <v>0</v>
      </c>
      <c r="Y4446" s="8">
        <f t="shared" si="701"/>
        <v>46023</v>
      </c>
    </row>
    <row r="4447" spans="2:25" ht="18.75" x14ac:dyDescent="0.3">
      <c r="B4447" s="6">
        <f t="shared" si="693"/>
        <v>0</v>
      </c>
      <c r="C4447" s="6">
        <f t="shared" si="694"/>
        <v>0</v>
      </c>
      <c r="D4447" s="6" t="str">
        <f t="shared" si="695"/>
        <v/>
      </c>
      <c r="E4447" s="35" t="str">
        <f t="shared" si="692"/>
        <v/>
      </c>
      <c r="F4447" s="31"/>
      <c r="G4447" s="29"/>
      <c r="H4447" s="78" t="str">
        <f t="shared" si="696"/>
        <v/>
      </c>
      <c r="I4447" s="25"/>
      <c r="J4447" s="25"/>
      <c r="K4447" s="26"/>
      <c r="L4447" s="26"/>
      <c r="M4447" s="37"/>
      <c r="N4447" s="27"/>
      <c r="O4447" s="30"/>
      <c r="P4447" s="39" t="str">
        <f t="shared" si="697"/>
        <v/>
      </c>
      <c r="Q4447" s="40" t="str">
        <f>IF(OR(T4447=0,RIGHT(T4447,1)=$W$1),"",COUNTIF($T$3:T4447,T4447))</f>
        <v/>
      </c>
      <c r="S4447" s="6">
        <f t="shared" si="698"/>
        <v>0</v>
      </c>
      <c r="T4447" s="36">
        <f t="shared" si="699"/>
        <v>0</v>
      </c>
      <c r="V4447" s="6">
        <f t="shared" si="700"/>
        <v>0</v>
      </c>
      <c r="Y4447" s="8">
        <f t="shared" si="701"/>
        <v>46023</v>
      </c>
    </row>
    <row r="4448" spans="2:25" ht="18.75" x14ac:dyDescent="0.3">
      <c r="B4448" s="6">
        <f t="shared" si="693"/>
        <v>0</v>
      </c>
      <c r="C4448" s="6">
        <f t="shared" si="694"/>
        <v>0</v>
      </c>
      <c r="D4448" s="6" t="str">
        <f t="shared" si="695"/>
        <v/>
      </c>
      <c r="E4448" s="35" t="str">
        <f t="shared" si="692"/>
        <v/>
      </c>
      <c r="F4448" s="31"/>
      <c r="G4448" s="29"/>
      <c r="H4448" s="78" t="str">
        <f t="shared" si="696"/>
        <v/>
      </c>
      <c r="I4448" s="25"/>
      <c r="J4448" s="25"/>
      <c r="K4448" s="26"/>
      <c r="L4448" s="26"/>
      <c r="M4448" s="37"/>
      <c r="N4448" s="27"/>
      <c r="O4448" s="30"/>
      <c r="P4448" s="39" t="str">
        <f t="shared" si="697"/>
        <v/>
      </c>
      <c r="Q4448" s="40" t="str">
        <f>IF(OR(T4448=0,RIGHT(T4448,1)=$W$1),"",COUNTIF($T$3:T4448,T4448))</f>
        <v/>
      </c>
      <c r="S4448" s="6">
        <f t="shared" si="698"/>
        <v>0</v>
      </c>
      <c r="T4448" s="36">
        <f t="shared" si="699"/>
        <v>0</v>
      </c>
      <c r="V4448" s="6">
        <f t="shared" si="700"/>
        <v>0</v>
      </c>
      <c r="Y4448" s="8">
        <f t="shared" si="701"/>
        <v>46023</v>
      </c>
    </row>
    <row r="4449" spans="2:25" ht="18.75" x14ac:dyDescent="0.3">
      <c r="B4449" s="6">
        <f t="shared" si="693"/>
        <v>0</v>
      </c>
      <c r="C4449" s="6">
        <f t="shared" si="694"/>
        <v>0</v>
      </c>
      <c r="D4449" s="6" t="str">
        <f t="shared" si="695"/>
        <v/>
      </c>
      <c r="E4449" s="35" t="str">
        <f t="shared" si="692"/>
        <v/>
      </c>
      <c r="F4449" s="31"/>
      <c r="G4449" s="29"/>
      <c r="H4449" s="78" t="str">
        <f t="shared" si="696"/>
        <v/>
      </c>
      <c r="I4449" s="25"/>
      <c r="J4449" s="25"/>
      <c r="K4449" s="26"/>
      <c r="L4449" s="26"/>
      <c r="M4449" s="37"/>
      <c r="N4449" s="27"/>
      <c r="O4449" s="30"/>
      <c r="P4449" s="39" t="str">
        <f t="shared" si="697"/>
        <v/>
      </c>
      <c r="Q4449" s="40" t="str">
        <f>IF(OR(T4449=0,RIGHT(T4449,1)=$W$1),"",COUNTIF($T$3:T4449,T4449))</f>
        <v/>
      </c>
      <c r="S4449" s="6">
        <f t="shared" si="698"/>
        <v>0</v>
      </c>
      <c r="T4449" s="36">
        <f t="shared" si="699"/>
        <v>0</v>
      </c>
      <c r="V4449" s="6">
        <f t="shared" si="700"/>
        <v>0</v>
      </c>
      <c r="Y4449" s="8">
        <f t="shared" si="701"/>
        <v>46023</v>
      </c>
    </row>
    <row r="4450" spans="2:25" ht="18.75" x14ac:dyDescent="0.3">
      <c r="B4450" s="6">
        <f t="shared" si="693"/>
        <v>0</v>
      </c>
      <c r="C4450" s="6">
        <f t="shared" si="694"/>
        <v>0</v>
      </c>
      <c r="D4450" s="6" t="str">
        <f t="shared" si="695"/>
        <v/>
      </c>
      <c r="E4450" s="35" t="str">
        <f t="shared" si="692"/>
        <v/>
      </c>
      <c r="F4450" s="31"/>
      <c r="G4450" s="29"/>
      <c r="H4450" s="78" t="str">
        <f t="shared" si="696"/>
        <v/>
      </c>
      <c r="I4450" s="25"/>
      <c r="J4450" s="25"/>
      <c r="K4450" s="26"/>
      <c r="L4450" s="26"/>
      <c r="M4450" s="37"/>
      <c r="N4450" s="27"/>
      <c r="O4450" s="30"/>
      <c r="P4450" s="39" t="str">
        <f t="shared" si="697"/>
        <v/>
      </c>
      <c r="Q4450" s="40" t="str">
        <f>IF(OR(T4450=0,RIGHT(T4450,1)=$W$1),"",COUNTIF($T$3:T4450,T4450))</f>
        <v/>
      </c>
      <c r="S4450" s="6">
        <f t="shared" si="698"/>
        <v>0</v>
      </c>
      <c r="T4450" s="36">
        <f t="shared" si="699"/>
        <v>0</v>
      </c>
      <c r="V4450" s="6">
        <f t="shared" si="700"/>
        <v>0</v>
      </c>
      <c r="Y4450" s="8">
        <f t="shared" si="701"/>
        <v>46023</v>
      </c>
    </row>
    <row r="4451" spans="2:25" ht="18.75" x14ac:dyDescent="0.3">
      <c r="B4451" s="6">
        <f t="shared" si="693"/>
        <v>0</v>
      </c>
      <c r="C4451" s="6">
        <f t="shared" si="694"/>
        <v>0</v>
      </c>
      <c r="D4451" s="6" t="str">
        <f t="shared" si="695"/>
        <v/>
      </c>
      <c r="E4451" s="35" t="str">
        <f t="shared" si="692"/>
        <v/>
      </c>
      <c r="F4451" s="31"/>
      <c r="G4451" s="29"/>
      <c r="H4451" s="78" t="str">
        <f t="shared" si="696"/>
        <v/>
      </c>
      <c r="I4451" s="25"/>
      <c r="J4451" s="25"/>
      <c r="K4451" s="26"/>
      <c r="L4451" s="26"/>
      <c r="M4451" s="37"/>
      <c r="N4451" s="27"/>
      <c r="O4451" s="30"/>
      <c r="P4451" s="39" t="str">
        <f t="shared" si="697"/>
        <v/>
      </c>
      <c r="Q4451" s="40" t="str">
        <f>IF(OR(T4451=0,RIGHT(T4451,1)=$W$1),"",COUNTIF($T$3:T4451,T4451))</f>
        <v/>
      </c>
      <c r="S4451" s="6">
        <f t="shared" si="698"/>
        <v>0</v>
      </c>
      <c r="T4451" s="36">
        <f t="shared" si="699"/>
        <v>0</v>
      </c>
      <c r="V4451" s="6">
        <f t="shared" si="700"/>
        <v>0</v>
      </c>
      <c r="Y4451" s="8">
        <f t="shared" si="701"/>
        <v>46023</v>
      </c>
    </row>
    <row r="4452" spans="2:25" ht="18.75" x14ac:dyDescent="0.3">
      <c r="B4452" s="6">
        <f t="shared" si="693"/>
        <v>0</v>
      </c>
      <c r="C4452" s="6">
        <f t="shared" si="694"/>
        <v>0</v>
      </c>
      <c r="D4452" s="6" t="str">
        <f t="shared" si="695"/>
        <v/>
      </c>
      <c r="E4452" s="35" t="str">
        <f t="shared" si="692"/>
        <v/>
      </c>
      <c r="F4452" s="31"/>
      <c r="G4452" s="29"/>
      <c r="H4452" s="78" t="str">
        <f t="shared" si="696"/>
        <v/>
      </c>
      <c r="I4452" s="25"/>
      <c r="J4452" s="25"/>
      <c r="K4452" s="26"/>
      <c r="L4452" s="26"/>
      <c r="M4452" s="37"/>
      <c r="N4452" s="27"/>
      <c r="O4452" s="30"/>
      <c r="P4452" s="39" t="str">
        <f t="shared" si="697"/>
        <v/>
      </c>
      <c r="Q4452" s="40" t="str">
        <f>IF(OR(T4452=0,RIGHT(T4452,1)=$W$1),"",COUNTIF($T$3:T4452,T4452))</f>
        <v/>
      </c>
      <c r="S4452" s="6">
        <f t="shared" si="698"/>
        <v>0</v>
      </c>
      <c r="T4452" s="36">
        <f t="shared" si="699"/>
        <v>0</v>
      </c>
      <c r="V4452" s="6">
        <f t="shared" si="700"/>
        <v>0</v>
      </c>
      <c r="Y4452" s="8">
        <f t="shared" si="701"/>
        <v>46023</v>
      </c>
    </row>
    <row r="4453" spans="2:25" ht="18.75" x14ac:dyDescent="0.3">
      <c r="B4453" s="6">
        <f t="shared" si="693"/>
        <v>0</v>
      </c>
      <c r="C4453" s="6">
        <f t="shared" si="694"/>
        <v>0</v>
      </c>
      <c r="D4453" s="6" t="str">
        <f t="shared" si="695"/>
        <v/>
      </c>
      <c r="E4453" s="35" t="str">
        <f t="shared" si="692"/>
        <v/>
      </c>
      <c r="F4453" s="31"/>
      <c r="G4453" s="29"/>
      <c r="H4453" s="78" t="str">
        <f t="shared" si="696"/>
        <v/>
      </c>
      <c r="I4453" s="25"/>
      <c r="J4453" s="25"/>
      <c r="K4453" s="26"/>
      <c r="L4453" s="26"/>
      <c r="M4453" s="37"/>
      <c r="N4453" s="27"/>
      <c r="O4453" s="30"/>
      <c r="P4453" s="39" t="str">
        <f t="shared" si="697"/>
        <v/>
      </c>
      <c r="Q4453" s="40" t="str">
        <f>IF(OR(T4453=0,RIGHT(T4453,1)=$W$1),"",COUNTIF($T$3:T4453,T4453))</f>
        <v/>
      </c>
      <c r="S4453" s="6">
        <f t="shared" si="698"/>
        <v>0</v>
      </c>
      <c r="T4453" s="36">
        <f t="shared" si="699"/>
        <v>0</v>
      </c>
      <c r="V4453" s="6">
        <f t="shared" si="700"/>
        <v>0</v>
      </c>
      <c r="Y4453" s="8">
        <f t="shared" si="701"/>
        <v>46023</v>
      </c>
    </row>
    <row r="4454" spans="2:25" ht="18.75" x14ac:dyDescent="0.3">
      <c r="B4454" s="6">
        <f t="shared" si="693"/>
        <v>0</v>
      </c>
      <c r="C4454" s="6">
        <f t="shared" si="694"/>
        <v>0</v>
      </c>
      <c r="D4454" s="6" t="str">
        <f t="shared" si="695"/>
        <v/>
      </c>
      <c r="E4454" s="35" t="str">
        <f t="shared" si="692"/>
        <v/>
      </c>
      <c r="F4454" s="31"/>
      <c r="G4454" s="29"/>
      <c r="H4454" s="78" t="str">
        <f t="shared" si="696"/>
        <v/>
      </c>
      <c r="I4454" s="25"/>
      <c r="J4454" s="25"/>
      <c r="K4454" s="26"/>
      <c r="L4454" s="26"/>
      <c r="M4454" s="37"/>
      <c r="N4454" s="27"/>
      <c r="O4454" s="30"/>
      <c r="P4454" s="39" t="str">
        <f t="shared" si="697"/>
        <v/>
      </c>
      <c r="Q4454" s="40" t="str">
        <f>IF(OR(T4454=0,RIGHT(T4454,1)=$W$1),"",COUNTIF($T$3:T4454,T4454))</f>
        <v/>
      </c>
      <c r="S4454" s="6">
        <f t="shared" si="698"/>
        <v>0</v>
      </c>
      <c r="T4454" s="36">
        <f t="shared" si="699"/>
        <v>0</v>
      </c>
      <c r="V4454" s="6">
        <f t="shared" si="700"/>
        <v>0</v>
      </c>
      <c r="Y4454" s="8">
        <f t="shared" si="701"/>
        <v>46023</v>
      </c>
    </row>
    <row r="4455" spans="2:25" ht="18.75" x14ac:dyDescent="0.3">
      <c r="B4455" s="6">
        <f t="shared" si="693"/>
        <v>0</v>
      </c>
      <c r="C4455" s="6">
        <f t="shared" si="694"/>
        <v>0</v>
      </c>
      <c r="D4455" s="6" t="str">
        <f t="shared" si="695"/>
        <v/>
      </c>
      <c r="E4455" s="35" t="str">
        <f t="shared" si="692"/>
        <v/>
      </c>
      <c r="F4455" s="31"/>
      <c r="G4455" s="29"/>
      <c r="H4455" s="78" t="str">
        <f t="shared" si="696"/>
        <v/>
      </c>
      <c r="I4455" s="25"/>
      <c r="J4455" s="25"/>
      <c r="K4455" s="26"/>
      <c r="L4455" s="26"/>
      <c r="M4455" s="37"/>
      <c r="N4455" s="27"/>
      <c r="O4455" s="30"/>
      <c r="P4455" s="39" t="str">
        <f t="shared" si="697"/>
        <v/>
      </c>
      <c r="Q4455" s="40" t="str">
        <f>IF(OR(T4455=0,RIGHT(T4455,1)=$W$1),"",COUNTIF($T$3:T4455,T4455))</f>
        <v/>
      </c>
      <c r="S4455" s="6">
        <f t="shared" si="698"/>
        <v>0</v>
      </c>
      <c r="T4455" s="36">
        <f t="shared" si="699"/>
        <v>0</v>
      </c>
      <c r="V4455" s="6">
        <f t="shared" si="700"/>
        <v>0</v>
      </c>
      <c r="Y4455" s="8">
        <f t="shared" si="701"/>
        <v>46023</v>
      </c>
    </row>
    <row r="4456" spans="2:25" ht="18.75" x14ac:dyDescent="0.3">
      <c r="B4456" s="6">
        <f t="shared" si="693"/>
        <v>0</v>
      </c>
      <c r="C4456" s="6">
        <f t="shared" si="694"/>
        <v>0</v>
      </c>
      <c r="D4456" s="6" t="str">
        <f t="shared" si="695"/>
        <v/>
      </c>
      <c r="E4456" s="35" t="str">
        <f t="shared" si="692"/>
        <v/>
      </c>
      <c r="F4456" s="31"/>
      <c r="G4456" s="29"/>
      <c r="H4456" s="78" t="str">
        <f t="shared" si="696"/>
        <v/>
      </c>
      <c r="I4456" s="25"/>
      <c r="J4456" s="25"/>
      <c r="K4456" s="26"/>
      <c r="L4456" s="26"/>
      <c r="M4456" s="37"/>
      <c r="N4456" s="27"/>
      <c r="O4456" s="30"/>
      <c r="P4456" s="39" t="str">
        <f t="shared" si="697"/>
        <v/>
      </c>
      <c r="Q4456" s="40" t="str">
        <f>IF(OR(T4456=0,RIGHT(T4456,1)=$W$1),"",COUNTIF($T$3:T4456,T4456))</f>
        <v/>
      </c>
      <c r="S4456" s="6">
        <f t="shared" si="698"/>
        <v>0</v>
      </c>
      <c r="T4456" s="36">
        <f t="shared" si="699"/>
        <v>0</v>
      </c>
      <c r="V4456" s="6">
        <f t="shared" si="700"/>
        <v>0</v>
      </c>
      <c r="Y4456" s="8">
        <f t="shared" si="701"/>
        <v>46023</v>
      </c>
    </row>
    <row r="4457" spans="2:25" ht="18.75" x14ac:dyDescent="0.3">
      <c r="B4457" s="6">
        <f t="shared" si="693"/>
        <v>0</v>
      </c>
      <c r="C4457" s="6">
        <f t="shared" si="694"/>
        <v>0</v>
      </c>
      <c r="D4457" s="6" t="str">
        <f t="shared" si="695"/>
        <v/>
      </c>
      <c r="E4457" s="35" t="str">
        <f t="shared" si="692"/>
        <v/>
      </c>
      <c r="F4457" s="31"/>
      <c r="G4457" s="29"/>
      <c r="H4457" s="78" t="str">
        <f t="shared" si="696"/>
        <v/>
      </c>
      <c r="I4457" s="25"/>
      <c r="J4457" s="25"/>
      <c r="K4457" s="26"/>
      <c r="L4457" s="26"/>
      <c r="M4457" s="37"/>
      <c r="N4457" s="27"/>
      <c r="O4457" s="30"/>
      <c r="P4457" s="39" t="str">
        <f t="shared" si="697"/>
        <v/>
      </c>
      <c r="Q4457" s="40" t="str">
        <f>IF(OR(T4457=0,RIGHT(T4457,1)=$W$1),"",COUNTIF($T$3:T4457,T4457))</f>
        <v/>
      </c>
      <c r="S4457" s="6">
        <f t="shared" si="698"/>
        <v>0</v>
      </c>
      <c r="T4457" s="36">
        <f t="shared" si="699"/>
        <v>0</v>
      </c>
      <c r="V4457" s="6">
        <f t="shared" si="700"/>
        <v>0</v>
      </c>
      <c r="Y4457" s="8">
        <f t="shared" si="701"/>
        <v>46023</v>
      </c>
    </row>
    <row r="4458" spans="2:25" ht="18.75" x14ac:dyDescent="0.3">
      <c r="B4458" s="6">
        <f t="shared" si="693"/>
        <v>0</v>
      </c>
      <c r="C4458" s="6">
        <f t="shared" si="694"/>
        <v>0</v>
      </c>
      <c r="D4458" s="6" t="str">
        <f t="shared" si="695"/>
        <v/>
      </c>
      <c r="E4458" s="35" t="str">
        <f t="shared" si="692"/>
        <v/>
      </c>
      <c r="F4458" s="31"/>
      <c r="G4458" s="29"/>
      <c r="H4458" s="78" t="str">
        <f t="shared" si="696"/>
        <v/>
      </c>
      <c r="I4458" s="25"/>
      <c r="J4458" s="25"/>
      <c r="K4458" s="26"/>
      <c r="L4458" s="26"/>
      <c r="M4458" s="37"/>
      <c r="N4458" s="27"/>
      <c r="O4458" s="30"/>
      <c r="P4458" s="39" t="str">
        <f t="shared" si="697"/>
        <v/>
      </c>
      <c r="Q4458" s="40" t="str">
        <f>IF(OR(T4458=0,RIGHT(T4458,1)=$W$1),"",COUNTIF($T$3:T4458,T4458))</f>
        <v/>
      </c>
      <c r="S4458" s="6">
        <f t="shared" si="698"/>
        <v>0</v>
      </c>
      <c r="T4458" s="36">
        <f t="shared" si="699"/>
        <v>0</v>
      </c>
      <c r="V4458" s="6">
        <f t="shared" si="700"/>
        <v>0</v>
      </c>
      <c r="Y4458" s="8">
        <f t="shared" si="701"/>
        <v>46023</v>
      </c>
    </row>
    <row r="4459" spans="2:25" ht="18.75" x14ac:dyDescent="0.3">
      <c r="B4459" s="6">
        <f t="shared" si="693"/>
        <v>0</v>
      </c>
      <c r="C4459" s="6">
        <f t="shared" si="694"/>
        <v>0</v>
      </c>
      <c r="D4459" s="6" t="str">
        <f t="shared" si="695"/>
        <v/>
      </c>
      <c r="E4459" s="35" t="str">
        <f t="shared" si="692"/>
        <v/>
      </c>
      <c r="F4459" s="31"/>
      <c r="G4459" s="29"/>
      <c r="H4459" s="78" t="str">
        <f t="shared" si="696"/>
        <v/>
      </c>
      <c r="I4459" s="25"/>
      <c r="J4459" s="25"/>
      <c r="K4459" s="26"/>
      <c r="L4459" s="26"/>
      <c r="M4459" s="37"/>
      <c r="N4459" s="27"/>
      <c r="O4459" s="30"/>
      <c r="P4459" s="39" t="str">
        <f t="shared" si="697"/>
        <v/>
      </c>
      <c r="Q4459" s="40" t="str">
        <f>IF(OR(T4459=0,RIGHT(T4459,1)=$W$1),"",COUNTIF($T$3:T4459,T4459))</f>
        <v/>
      </c>
      <c r="S4459" s="6">
        <f t="shared" si="698"/>
        <v>0</v>
      </c>
      <c r="T4459" s="36">
        <f t="shared" si="699"/>
        <v>0</v>
      </c>
      <c r="V4459" s="6">
        <f t="shared" si="700"/>
        <v>0</v>
      </c>
      <c r="Y4459" s="8">
        <f t="shared" si="701"/>
        <v>46023</v>
      </c>
    </row>
    <row r="4460" spans="2:25" ht="18.75" x14ac:dyDescent="0.3">
      <c r="B4460" s="6">
        <f t="shared" si="693"/>
        <v>0</v>
      </c>
      <c r="C4460" s="6">
        <f t="shared" si="694"/>
        <v>0</v>
      </c>
      <c r="D4460" s="6" t="str">
        <f t="shared" si="695"/>
        <v/>
      </c>
      <c r="E4460" s="35" t="str">
        <f t="shared" si="692"/>
        <v/>
      </c>
      <c r="F4460" s="31"/>
      <c r="G4460" s="29"/>
      <c r="H4460" s="78" t="str">
        <f t="shared" si="696"/>
        <v/>
      </c>
      <c r="I4460" s="25"/>
      <c r="J4460" s="25"/>
      <c r="K4460" s="26"/>
      <c r="L4460" s="26"/>
      <c r="M4460" s="37"/>
      <c r="N4460" s="27"/>
      <c r="O4460" s="30"/>
      <c r="P4460" s="39" t="str">
        <f t="shared" si="697"/>
        <v/>
      </c>
      <c r="Q4460" s="40" t="str">
        <f>IF(OR(T4460=0,RIGHT(T4460,1)=$W$1),"",COUNTIF($T$3:T4460,T4460))</f>
        <v/>
      </c>
      <c r="S4460" s="6">
        <f t="shared" si="698"/>
        <v>0</v>
      </c>
      <c r="T4460" s="36">
        <f t="shared" si="699"/>
        <v>0</v>
      </c>
      <c r="V4460" s="6">
        <f t="shared" si="700"/>
        <v>0</v>
      </c>
      <c r="Y4460" s="8">
        <f t="shared" si="701"/>
        <v>46023</v>
      </c>
    </row>
    <row r="4461" spans="2:25" ht="18.75" x14ac:dyDescent="0.3">
      <c r="B4461" s="6">
        <f t="shared" si="693"/>
        <v>0</v>
      </c>
      <c r="C4461" s="6">
        <f t="shared" si="694"/>
        <v>0</v>
      </c>
      <c r="D4461" s="6" t="str">
        <f t="shared" si="695"/>
        <v/>
      </c>
      <c r="E4461" s="35" t="str">
        <f t="shared" si="692"/>
        <v/>
      </c>
      <c r="F4461" s="31"/>
      <c r="G4461" s="29"/>
      <c r="H4461" s="78" t="str">
        <f t="shared" si="696"/>
        <v/>
      </c>
      <c r="I4461" s="25"/>
      <c r="J4461" s="25"/>
      <c r="K4461" s="26"/>
      <c r="L4461" s="26"/>
      <c r="M4461" s="37"/>
      <c r="N4461" s="27"/>
      <c r="O4461" s="30"/>
      <c r="P4461" s="39" t="str">
        <f t="shared" si="697"/>
        <v/>
      </c>
      <c r="Q4461" s="40" t="str">
        <f>IF(OR(T4461=0,RIGHT(T4461,1)=$W$1),"",COUNTIF($T$3:T4461,T4461))</f>
        <v/>
      </c>
      <c r="S4461" s="6">
        <f t="shared" si="698"/>
        <v>0</v>
      </c>
      <c r="T4461" s="36">
        <f t="shared" si="699"/>
        <v>0</v>
      </c>
      <c r="V4461" s="6">
        <f t="shared" si="700"/>
        <v>0</v>
      </c>
      <c r="Y4461" s="8">
        <f t="shared" si="701"/>
        <v>46023</v>
      </c>
    </row>
    <row r="4462" spans="2:25" ht="18.75" x14ac:dyDescent="0.3">
      <c r="B4462" s="6">
        <f t="shared" si="693"/>
        <v>0</v>
      </c>
      <c r="C4462" s="6">
        <f t="shared" si="694"/>
        <v>0</v>
      </c>
      <c r="D4462" s="6" t="str">
        <f t="shared" si="695"/>
        <v/>
      </c>
      <c r="E4462" s="35" t="str">
        <f t="shared" si="692"/>
        <v/>
      </c>
      <c r="F4462" s="31"/>
      <c r="G4462" s="29"/>
      <c r="H4462" s="78" t="str">
        <f t="shared" si="696"/>
        <v/>
      </c>
      <c r="I4462" s="25"/>
      <c r="J4462" s="25"/>
      <c r="K4462" s="26"/>
      <c r="L4462" s="26"/>
      <c r="M4462" s="37"/>
      <c r="N4462" s="27"/>
      <c r="O4462" s="30"/>
      <c r="P4462" s="39" t="str">
        <f t="shared" si="697"/>
        <v/>
      </c>
      <c r="Q4462" s="40" t="str">
        <f>IF(OR(T4462=0,RIGHT(T4462,1)=$W$1),"",COUNTIF($T$3:T4462,T4462))</f>
        <v/>
      </c>
      <c r="S4462" s="6">
        <f t="shared" si="698"/>
        <v>0</v>
      </c>
      <c r="T4462" s="36">
        <f t="shared" si="699"/>
        <v>0</v>
      </c>
      <c r="V4462" s="6">
        <f t="shared" si="700"/>
        <v>0</v>
      </c>
      <c r="Y4462" s="8">
        <f t="shared" si="701"/>
        <v>46023</v>
      </c>
    </row>
    <row r="4463" spans="2:25" ht="18.75" x14ac:dyDescent="0.3">
      <c r="B4463" s="6">
        <f t="shared" si="693"/>
        <v>0</v>
      </c>
      <c r="C4463" s="6">
        <f t="shared" si="694"/>
        <v>0</v>
      </c>
      <c r="D4463" s="6" t="str">
        <f t="shared" si="695"/>
        <v/>
      </c>
      <c r="E4463" s="35" t="str">
        <f t="shared" si="692"/>
        <v/>
      </c>
      <c r="F4463" s="31"/>
      <c r="G4463" s="29"/>
      <c r="H4463" s="78" t="str">
        <f t="shared" si="696"/>
        <v/>
      </c>
      <c r="I4463" s="25"/>
      <c r="J4463" s="25"/>
      <c r="K4463" s="26"/>
      <c r="L4463" s="26"/>
      <c r="M4463" s="37"/>
      <c r="N4463" s="27"/>
      <c r="O4463" s="30"/>
      <c r="P4463" s="39" t="str">
        <f t="shared" si="697"/>
        <v/>
      </c>
      <c r="Q4463" s="40" t="str">
        <f>IF(OR(T4463=0,RIGHT(T4463,1)=$W$1),"",COUNTIF($T$3:T4463,T4463))</f>
        <v/>
      </c>
      <c r="S4463" s="6">
        <f t="shared" si="698"/>
        <v>0</v>
      </c>
      <c r="T4463" s="36">
        <f t="shared" si="699"/>
        <v>0</v>
      </c>
      <c r="V4463" s="6">
        <f t="shared" si="700"/>
        <v>0</v>
      </c>
      <c r="Y4463" s="8">
        <f t="shared" si="701"/>
        <v>46023</v>
      </c>
    </row>
    <row r="4464" spans="2:25" ht="18.75" x14ac:dyDescent="0.3">
      <c r="B4464" s="6">
        <f t="shared" si="693"/>
        <v>0</v>
      </c>
      <c r="C4464" s="6">
        <f t="shared" si="694"/>
        <v>0</v>
      </c>
      <c r="D4464" s="6" t="str">
        <f t="shared" si="695"/>
        <v/>
      </c>
      <c r="E4464" s="35" t="str">
        <f t="shared" si="692"/>
        <v/>
      </c>
      <c r="F4464" s="31"/>
      <c r="G4464" s="29"/>
      <c r="H4464" s="78" t="str">
        <f t="shared" si="696"/>
        <v/>
      </c>
      <c r="I4464" s="25"/>
      <c r="J4464" s="25"/>
      <c r="K4464" s="26"/>
      <c r="L4464" s="26"/>
      <c r="M4464" s="37"/>
      <c r="N4464" s="27"/>
      <c r="O4464" s="30"/>
      <c r="P4464" s="39" t="str">
        <f t="shared" si="697"/>
        <v/>
      </c>
      <c r="Q4464" s="40" t="str">
        <f>IF(OR(T4464=0,RIGHT(T4464,1)=$W$1),"",COUNTIF($T$3:T4464,T4464))</f>
        <v/>
      </c>
      <c r="S4464" s="6">
        <f t="shared" si="698"/>
        <v>0</v>
      </c>
      <c r="T4464" s="36">
        <f t="shared" si="699"/>
        <v>0</v>
      </c>
      <c r="V4464" s="6">
        <f t="shared" si="700"/>
        <v>0</v>
      </c>
      <c r="Y4464" s="8">
        <f t="shared" si="701"/>
        <v>46023</v>
      </c>
    </row>
    <row r="4465" spans="2:25" ht="18.75" x14ac:dyDescent="0.3">
      <c r="B4465" s="6">
        <f t="shared" si="693"/>
        <v>0</v>
      </c>
      <c r="C4465" s="6">
        <f t="shared" si="694"/>
        <v>0</v>
      </c>
      <c r="D4465" s="6" t="str">
        <f t="shared" si="695"/>
        <v/>
      </c>
      <c r="E4465" s="35" t="str">
        <f t="shared" si="692"/>
        <v/>
      </c>
      <c r="F4465" s="31"/>
      <c r="G4465" s="29"/>
      <c r="H4465" s="78" t="str">
        <f t="shared" si="696"/>
        <v/>
      </c>
      <c r="I4465" s="25"/>
      <c r="J4465" s="25"/>
      <c r="K4465" s="26"/>
      <c r="L4465" s="26"/>
      <c r="M4465" s="37"/>
      <c r="N4465" s="27"/>
      <c r="O4465" s="30"/>
      <c r="P4465" s="39" t="str">
        <f t="shared" si="697"/>
        <v/>
      </c>
      <c r="Q4465" s="40" t="str">
        <f>IF(OR(T4465=0,RIGHT(T4465,1)=$W$1),"",COUNTIF($T$3:T4465,T4465))</f>
        <v/>
      </c>
      <c r="S4465" s="6">
        <f t="shared" si="698"/>
        <v>0</v>
      </c>
      <c r="T4465" s="36">
        <f t="shared" si="699"/>
        <v>0</v>
      </c>
      <c r="V4465" s="6">
        <f t="shared" si="700"/>
        <v>0</v>
      </c>
      <c r="Y4465" s="8">
        <f t="shared" si="701"/>
        <v>46023</v>
      </c>
    </row>
    <row r="4466" spans="2:25" ht="18.75" x14ac:dyDescent="0.3">
      <c r="B4466" s="6">
        <f t="shared" si="693"/>
        <v>0</v>
      </c>
      <c r="C4466" s="6">
        <f t="shared" si="694"/>
        <v>0</v>
      </c>
      <c r="D4466" s="6" t="str">
        <f t="shared" si="695"/>
        <v/>
      </c>
      <c r="E4466" s="35" t="str">
        <f t="shared" si="692"/>
        <v/>
      </c>
      <c r="F4466" s="31"/>
      <c r="G4466" s="29"/>
      <c r="H4466" s="78" t="str">
        <f t="shared" si="696"/>
        <v/>
      </c>
      <c r="I4466" s="25"/>
      <c r="J4466" s="25"/>
      <c r="K4466" s="26"/>
      <c r="L4466" s="26"/>
      <c r="M4466" s="37"/>
      <c r="N4466" s="27"/>
      <c r="O4466" s="30"/>
      <c r="P4466" s="39" t="str">
        <f t="shared" si="697"/>
        <v/>
      </c>
      <c r="Q4466" s="40" t="str">
        <f>IF(OR(T4466=0,RIGHT(T4466,1)=$W$1),"",COUNTIF($T$3:T4466,T4466))</f>
        <v/>
      </c>
      <c r="S4466" s="6">
        <f t="shared" si="698"/>
        <v>0</v>
      </c>
      <c r="T4466" s="36">
        <f t="shared" si="699"/>
        <v>0</v>
      </c>
      <c r="V4466" s="6">
        <f t="shared" si="700"/>
        <v>0</v>
      </c>
      <c r="Y4466" s="8">
        <f t="shared" si="701"/>
        <v>46023</v>
      </c>
    </row>
    <row r="4467" spans="2:25" ht="18.75" x14ac:dyDescent="0.3">
      <c r="B4467" s="6">
        <f t="shared" si="693"/>
        <v>0</v>
      </c>
      <c r="C4467" s="6">
        <f t="shared" si="694"/>
        <v>0</v>
      </c>
      <c r="D4467" s="6" t="str">
        <f t="shared" si="695"/>
        <v/>
      </c>
      <c r="E4467" s="35" t="str">
        <f t="shared" si="692"/>
        <v/>
      </c>
      <c r="F4467" s="31"/>
      <c r="G4467" s="29"/>
      <c r="H4467" s="78" t="str">
        <f t="shared" si="696"/>
        <v/>
      </c>
      <c r="I4467" s="25"/>
      <c r="J4467" s="25"/>
      <c r="K4467" s="26"/>
      <c r="L4467" s="26"/>
      <c r="M4467" s="37"/>
      <c r="N4467" s="27"/>
      <c r="O4467" s="30"/>
      <c r="P4467" s="39" t="str">
        <f t="shared" si="697"/>
        <v/>
      </c>
      <c r="Q4467" s="40" t="str">
        <f>IF(OR(T4467=0,RIGHT(T4467,1)=$W$1),"",COUNTIF($T$3:T4467,T4467))</f>
        <v/>
      </c>
      <c r="S4467" s="6">
        <f t="shared" si="698"/>
        <v>0</v>
      </c>
      <c r="T4467" s="36">
        <f t="shared" si="699"/>
        <v>0</v>
      </c>
      <c r="V4467" s="6">
        <f t="shared" si="700"/>
        <v>0</v>
      </c>
      <c r="Y4467" s="8">
        <f t="shared" si="701"/>
        <v>46023</v>
      </c>
    </row>
    <row r="4468" spans="2:25" ht="18.75" x14ac:dyDescent="0.3">
      <c r="B4468" s="6">
        <f t="shared" si="693"/>
        <v>0</v>
      </c>
      <c r="C4468" s="6">
        <f t="shared" si="694"/>
        <v>0</v>
      </c>
      <c r="D4468" s="6" t="str">
        <f t="shared" si="695"/>
        <v/>
      </c>
      <c r="E4468" s="35" t="str">
        <f t="shared" si="692"/>
        <v/>
      </c>
      <c r="F4468" s="31"/>
      <c r="G4468" s="29"/>
      <c r="H4468" s="78" t="str">
        <f t="shared" si="696"/>
        <v/>
      </c>
      <c r="I4468" s="25"/>
      <c r="J4468" s="25"/>
      <c r="K4468" s="26"/>
      <c r="L4468" s="26"/>
      <c r="M4468" s="37"/>
      <c r="N4468" s="27"/>
      <c r="O4468" s="30"/>
      <c r="P4468" s="39" t="str">
        <f t="shared" si="697"/>
        <v/>
      </c>
      <c r="Q4468" s="40" t="str">
        <f>IF(OR(T4468=0,RIGHT(T4468,1)=$W$1),"",COUNTIF($T$3:T4468,T4468))</f>
        <v/>
      </c>
      <c r="S4468" s="6">
        <f t="shared" si="698"/>
        <v>0</v>
      </c>
      <c r="T4468" s="36">
        <f t="shared" si="699"/>
        <v>0</v>
      </c>
      <c r="V4468" s="6">
        <f t="shared" si="700"/>
        <v>0</v>
      </c>
      <c r="Y4468" s="8">
        <f t="shared" si="701"/>
        <v>46023</v>
      </c>
    </row>
    <row r="4469" spans="2:25" ht="18.75" x14ac:dyDescent="0.3">
      <c r="B4469" s="6">
        <f t="shared" si="693"/>
        <v>0</v>
      </c>
      <c r="C4469" s="6">
        <f t="shared" si="694"/>
        <v>0</v>
      </c>
      <c r="D4469" s="6" t="str">
        <f t="shared" si="695"/>
        <v/>
      </c>
      <c r="E4469" s="35" t="str">
        <f t="shared" si="692"/>
        <v/>
      </c>
      <c r="F4469" s="31"/>
      <c r="G4469" s="29"/>
      <c r="H4469" s="78" t="str">
        <f t="shared" si="696"/>
        <v/>
      </c>
      <c r="I4469" s="25"/>
      <c r="J4469" s="25"/>
      <c r="K4469" s="26"/>
      <c r="L4469" s="26"/>
      <c r="M4469" s="37"/>
      <c r="N4469" s="27"/>
      <c r="O4469" s="30"/>
      <c r="P4469" s="39" t="str">
        <f t="shared" si="697"/>
        <v/>
      </c>
      <c r="Q4469" s="40" t="str">
        <f>IF(OR(T4469=0,RIGHT(T4469,1)=$W$1),"",COUNTIF($T$3:T4469,T4469))</f>
        <v/>
      </c>
      <c r="S4469" s="6">
        <f t="shared" si="698"/>
        <v>0</v>
      </c>
      <c r="T4469" s="36">
        <f t="shared" si="699"/>
        <v>0</v>
      </c>
      <c r="V4469" s="6">
        <f t="shared" si="700"/>
        <v>0</v>
      </c>
      <c r="Y4469" s="8">
        <f t="shared" si="701"/>
        <v>46023</v>
      </c>
    </row>
    <row r="4470" spans="2:25" ht="18.75" x14ac:dyDescent="0.3">
      <c r="B4470" s="6">
        <f t="shared" si="693"/>
        <v>0</v>
      </c>
      <c r="C4470" s="6">
        <f t="shared" si="694"/>
        <v>0</v>
      </c>
      <c r="D4470" s="6" t="str">
        <f t="shared" si="695"/>
        <v/>
      </c>
      <c r="E4470" s="35" t="str">
        <f t="shared" si="692"/>
        <v/>
      </c>
      <c r="F4470" s="31"/>
      <c r="G4470" s="29"/>
      <c r="H4470" s="78" t="str">
        <f t="shared" si="696"/>
        <v/>
      </c>
      <c r="I4470" s="25"/>
      <c r="J4470" s="25"/>
      <c r="K4470" s="26"/>
      <c r="L4470" s="26"/>
      <c r="M4470" s="37"/>
      <c r="N4470" s="27"/>
      <c r="O4470" s="30"/>
      <c r="P4470" s="39" t="str">
        <f t="shared" si="697"/>
        <v/>
      </c>
      <c r="Q4470" s="40" t="str">
        <f>IF(OR(T4470=0,RIGHT(T4470,1)=$W$1),"",COUNTIF($T$3:T4470,T4470))</f>
        <v/>
      </c>
      <c r="S4470" s="6">
        <f t="shared" si="698"/>
        <v>0</v>
      </c>
      <c r="T4470" s="36">
        <f t="shared" si="699"/>
        <v>0</v>
      </c>
      <c r="V4470" s="6">
        <f t="shared" si="700"/>
        <v>0</v>
      </c>
      <c r="Y4470" s="8">
        <f t="shared" si="701"/>
        <v>46023</v>
      </c>
    </row>
    <row r="4471" spans="2:25" ht="18.75" x14ac:dyDescent="0.3">
      <c r="B4471" s="6">
        <f t="shared" si="693"/>
        <v>0</v>
      </c>
      <c r="C4471" s="6">
        <f t="shared" si="694"/>
        <v>0</v>
      </c>
      <c r="D4471" s="6" t="str">
        <f t="shared" si="695"/>
        <v/>
      </c>
      <c r="E4471" s="35" t="str">
        <f t="shared" si="692"/>
        <v/>
      </c>
      <c r="F4471" s="31"/>
      <c r="G4471" s="29"/>
      <c r="H4471" s="78" t="str">
        <f t="shared" si="696"/>
        <v/>
      </c>
      <c r="I4471" s="25"/>
      <c r="J4471" s="25"/>
      <c r="K4471" s="26"/>
      <c r="L4471" s="26"/>
      <c r="M4471" s="37"/>
      <c r="N4471" s="27"/>
      <c r="O4471" s="30"/>
      <c r="P4471" s="39" t="str">
        <f t="shared" si="697"/>
        <v/>
      </c>
      <c r="Q4471" s="40" t="str">
        <f>IF(OR(T4471=0,RIGHT(T4471,1)=$W$1),"",COUNTIF($T$3:T4471,T4471))</f>
        <v/>
      </c>
      <c r="S4471" s="6">
        <f t="shared" si="698"/>
        <v>0</v>
      </c>
      <c r="T4471" s="36">
        <f t="shared" si="699"/>
        <v>0</v>
      </c>
      <c r="V4471" s="6">
        <f t="shared" si="700"/>
        <v>0</v>
      </c>
      <c r="Y4471" s="8">
        <f t="shared" si="701"/>
        <v>46023</v>
      </c>
    </row>
    <row r="4472" spans="2:25" ht="18.75" x14ac:dyDescent="0.3">
      <c r="B4472" s="6">
        <f t="shared" si="693"/>
        <v>0</v>
      </c>
      <c r="C4472" s="6">
        <f t="shared" si="694"/>
        <v>0</v>
      </c>
      <c r="D4472" s="6" t="str">
        <f t="shared" si="695"/>
        <v/>
      </c>
      <c r="E4472" s="35" t="str">
        <f t="shared" si="692"/>
        <v/>
      </c>
      <c r="F4472" s="31"/>
      <c r="G4472" s="29"/>
      <c r="H4472" s="78" t="str">
        <f t="shared" si="696"/>
        <v/>
      </c>
      <c r="I4472" s="25"/>
      <c r="J4472" s="25"/>
      <c r="K4472" s="26"/>
      <c r="L4472" s="26"/>
      <c r="M4472" s="37"/>
      <c r="N4472" s="27"/>
      <c r="O4472" s="30"/>
      <c r="P4472" s="39" t="str">
        <f t="shared" si="697"/>
        <v/>
      </c>
      <c r="Q4472" s="40" t="str">
        <f>IF(OR(T4472=0,RIGHT(T4472,1)=$W$1),"",COUNTIF($T$3:T4472,T4472))</f>
        <v/>
      </c>
      <c r="S4472" s="6">
        <f t="shared" si="698"/>
        <v>0</v>
      </c>
      <c r="T4472" s="36">
        <f t="shared" si="699"/>
        <v>0</v>
      </c>
      <c r="V4472" s="6">
        <f t="shared" si="700"/>
        <v>0</v>
      </c>
      <c r="Y4472" s="8">
        <f t="shared" si="701"/>
        <v>46023</v>
      </c>
    </row>
    <row r="4473" spans="2:25" ht="18.75" x14ac:dyDescent="0.3">
      <c r="B4473" s="6">
        <f t="shared" si="693"/>
        <v>0</v>
      </c>
      <c r="C4473" s="6">
        <f t="shared" si="694"/>
        <v>0</v>
      </c>
      <c r="D4473" s="6" t="str">
        <f t="shared" si="695"/>
        <v/>
      </c>
      <c r="E4473" s="35" t="str">
        <f t="shared" si="692"/>
        <v/>
      </c>
      <c r="F4473" s="31"/>
      <c r="G4473" s="29"/>
      <c r="H4473" s="78" t="str">
        <f t="shared" si="696"/>
        <v/>
      </c>
      <c r="I4473" s="25"/>
      <c r="J4473" s="25"/>
      <c r="K4473" s="26"/>
      <c r="L4473" s="26"/>
      <c r="M4473" s="37"/>
      <c r="N4473" s="27"/>
      <c r="O4473" s="30"/>
      <c r="P4473" s="39" t="str">
        <f t="shared" si="697"/>
        <v/>
      </c>
      <c r="Q4473" s="40" t="str">
        <f>IF(OR(T4473=0,RIGHT(T4473,1)=$W$1),"",COUNTIF($T$3:T4473,T4473))</f>
        <v/>
      </c>
      <c r="S4473" s="6">
        <f t="shared" si="698"/>
        <v>0</v>
      </c>
      <c r="T4473" s="36">
        <f t="shared" si="699"/>
        <v>0</v>
      </c>
      <c r="V4473" s="6">
        <f t="shared" si="700"/>
        <v>0</v>
      </c>
      <c r="Y4473" s="8">
        <f t="shared" si="701"/>
        <v>46023</v>
      </c>
    </row>
    <row r="4474" spans="2:25" ht="18.75" x14ac:dyDescent="0.3">
      <c r="B4474" s="6">
        <f t="shared" si="693"/>
        <v>0</v>
      </c>
      <c r="C4474" s="6">
        <f t="shared" si="694"/>
        <v>0</v>
      </c>
      <c r="D4474" s="6" t="str">
        <f t="shared" si="695"/>
        <v/>
      </c>
      <c r="E4474" s="35" t="str">
        <f t="shared" si="692"/>
        <v/>
      </c>
      <c r="F4474" s="31"/>
      <c r="G4474" s="29"/>
      <c r="H4474" s="78" t="str">
        <f t="shared" si="696"/>
        <v/>
      </c>
      <c r="I4474" s="25"/>
      <c r="J4474" s="25"/>
      <c r="K4474" s="26"/>
      <c r="L4474" s="26"/>
      <c r="M4474" s="37"/>
      <c r="N4474" s="27"/>
      <c r="O4474" s="30"/>
      <c r="P4474" s="39" t="str">
        <f t="shared" si="697"/>
        <v/>
      </c>
      <c r="Q4474" s="40" t="str">
        <f>IF(OR(T4474=0,RIGHT(T4474,1)=$W$1),"",COUNTIF($T$3:T4474,T4474))</f>
        <v/>
      </c>
      <c r="S4474" s="6">
        <f t="shared" si="698"/>
        <v>0</v>
      </c>
      <c r="T4474" s="36">
        <f t="shared" si="699"/>
        <v>0</v>
      </c>
      <c r="V4474" s="6">
        <f t="shared" si="700"/>
        <v>0</v>
      </c>
      <c r="Y4474" s="8">
        <f t="shared" si="701"/>
        <v>46023</v>
      </c>
    </row>
    <row r="4475" spans="2:25" ht="18.75" x14ac:dyDescent="0.3">
      <c r="B4475" s="6">
        <f t="shared" si="693"/>
        <v>0</v>
      </c>
      <c r="C4475" s="6">
        <f t="shared" si="694"/>
        <v>0</v>
      </c>
      <c r="D4475" s="6" t="str">
        <f t="shared" si="695"/>
        <v/>
      </c>
      <c r="E4475" s="35" t="str">
        <f t="shared" si="692"/>
        <v/>
      </c>
      <c r="F4475" s="31"/>
      <c r="G4475" s="29"/>
      <c r="H4475" s="78" t="str">
        <f t="shared" si="696"/>
        <v/>
      </c>
      <c r="I4475" s="25"/>
      <c r="J4475" s="25"/>
      <c r="K4475" s="26"/>
      <c r="L4475" s="26"/>
      <c r="M4475" s="37"/>
      <c r="N4475" s="27"/>
      <c r="O4475" s="30"/>
      <c r="P4475" s="39" t="str">
        <f t="shared" si="697"/>
        <v/>
      </c>
      <c r="Q4475" s="40" t="str">
        <f>IF(OR(T4475=0,RIGHT(T4475,1)=$W$1),"",COUNTIF($T$3:T4475,T4475))</f>
        <v/>
      </c>
      <c r="S4475" s="6">
        <f t="shared" si="698"/>
        <v>0</v>
      </c>
      <c r="T4475" s="36">
        <f t="shared" si="699"/>
        <v>0</v>
      </c>
      <c r="V4475" s="6">
        <f t="shared" si="700"/>
        <v>0</v>
      </c>
      <c r="Y4475" s="8">
        <f t="shared" si="701"/>
        <v>46023</v>
      </c>
    </row>
    <row r="4476" spans="2:25" ht="18.75" x14ac:dyDescent="0.3">
      <c r="B4476" s="6">
        <f t="shared" si="693"/>
        <v>0</v>
      </c>
      <c r="C4476" s="6">
        <f t="shared" si="694"/>
        <v>0</v>
      </c>
      <c r="D4476" s="6" t="str">
        <f t="shared" si="695"/>
        <v/>
      </c>
      <c r="E4476" s="35" t="str">
        <f t="shared" si="692"/>
        <v/>
      </c>
      <c r="F4476" s="31"/>
      <c r="G4476" s="29"/>
      <c r="H4476" s="78" t="str">
        <f t="shared" si="696"/>
        <v/>
      </c>
      <c r="I4476" s="25"/>
      <c r="J4476" s="25"/>
      <c r="K4476" s="26"/>
      <c r="L4476" s="26"/>
      <c r="M4476" s="37"/>
      <c r="N4476" s="27"/>
      <c r="O4476" s="30"/>
      <c r="P4476" s="39" t="str">
        <f t="shared" si="697"/>
        <v/>
      </c>
      <c r="Q4476" s="40" t="str">
        <f>IF(OR(T4476=0,RIGHT(T4476,1)=$W$1),"",COUNTIF($T$3:T4476,T4476))</f>
        <v/>
      </c>
      <c r="S4476" s="6">
        <f t="shared" si="698"/>
        <v>0</v>
      </c>
      <c r="T4476" s="36">
        <f t="shared" si="699"/>
        <v>0</v>
      </c>
      <c r="V4476" s="6">
        <f t="shared" si="700"/>
        <v>0</v>
      </c>
      <c r="Y4476" s="8">
        <f t="shared" si="701"/>
        <v>46023</v>
      </c>
    </row>
    <row r="4477" spans="2:25" ht="18.75" x14ac:dyDescent="0.3">
      <c r="B4477" s="6">
        <f t="shared" si="693"/>
        <v>0</v>
      </c>
      <c r="C4477" s="6">
        <f t="shared" si="694"/>
        <v>0</v>
      </c>
      <c r="D4477" s="6" t="str">
        <f t="shared" si="695"/>
        <v/>
      </c>
      <c r="E4477" s="35" t="str">
        <f t="shared" si="692"/>
        <v/>
      </c>
      <c r="F4477" s="31"/>
      <c r="G4477" s="29"/>
      <c r="H4477" s="78" t="str">
        <f t="shared" si="696"/>
        <v/>
      </c>
      <c r="I4477" s="25"/>
      <c r="J4477" s="25"/>
      <c r="K4477" s="26"/>
      <c r="L4477" s="26"/>
      <c r="M4477" s="37"/>
      <c r="N4477" s="27"/>
      <c r="O4477" s="30"/>
      <c r="P4477" s="39" t="str">
        <f t="shared" si="697"/>
        <v/>
      </c>
      <c r="Q4477" s="40" t="str">
        <f>IF(OR(T4477=0,RIGHT(T4477,1)=$W$1),"",COUNTIF($T$3:T4477,T4477))</f>
        <v/>
      </c>
      <c r="S4477" s="6">
        <f t="shared" si="698"/>
        <v>0</v>
      </c>
      <c r="T4477" s="36">
        <f t="shared" si="699"/>
        <v>0</v>
      </c>
      <c r="V4477" s="6">
        <f t="shared" si="700"/>
        <v>0</v>
      </c>
      <c r="Y4477" s="8">
        <f t="shared" si="701"/>
        <v>46023</v>
      </c>
    </row>
    <row r="4478" spans="2:25" ht="18.75" x14ac:dyDescent="0.3">
      <c r="B4478" s="6">
        <f t="shared" si="693"/>
        <v>0</v>
      </c>
      <c r="C4478" s="6">
        <f t="shared" si="694"/>
        <v>0</v>
      </c>
      <c r="D4478" s="6" t="str">
        <f t="shared" si="695"/>
        <v/>
      </c>
      <c r="E4478" s="35" t="str">
        <f t="shared" si="692"/>
        <v/>
      </c>
      <c r="F4478" s="31"/>
      <c r="G4478" s="29"/>
      <c r="H4478" s="78" t="str">
        <f t="shared" si="696"/>
        <v/>
      </c>
      <c r="I4478" s="25"/>
      <c r="J4478" s="25"/>
      <c r="K4478" s="26"/>
      <c r="L4478" s="26"/>
      <c r="M4478" s="37"/>
      <c r="N4478" s="27"/>
      <c r="O4478" s="30"/>
      <c r="P4478" s="39" t="str">
        <f t="shared" si="697"/>
        <v/>
      </c>
      <c r="Q4478" s="40" t="str">
        <f>IF(OR(T4478=0,RIGHT(T4478,1)=$W$1),"",COUNTIF($T$3:T4478,T4478))</f>
        <v/>
      </c>
      <c r="S4478" s="6">
        <f t="shared" si="698"/>
        <v>0</v>
      </c>
      <c r="T4478" s="36">
        <f t="shared" si="699"/>
        <v>0</v>
      </c>
      <c r="V4478" s="6">
        <f t="shared" si="700"/>
        <v>0</v>
      </c>
      <c r="Y4478" s="8">
        <f t="shared" si="701"/>
        <v>46023</v>
      </c>
    </row>
    <row r="4479" spans="2:25" ht="18.75" x14ac:dyDescent="0.3">
      <c r="B4479" s="6">
        <f t="shared" si="693"/>
        <v>0</v>
      </c>
      <c r="C4479" s="6">
        <f t="shared" si="694"/>
        <v>0</v>
      </c>
      <c r="D4479" s="6" t="str">
        <f t="shared" si="695"/>
        <v/>
      </c>
      <c r="E4479" s="35" t="str">
        <f t="shared" si="692"/>
        <v/>
      </c>
      <c r="F4479" s="31"/>
      <c r="G4479" s="29"/>
      <c r="H4479" s="78" t="str">
        <f t="shared" si="696"/>
        <v/>
      </c>
      <c r="I4479" s="25"/>
      <c r="J4479" s="25"/>
      <c r="K4479" s="26"/>
      <c r="L4479" s="26"/>
      <c r="M4479" s="37"/>
      <c r="N4479" s="27"/>
      <c r="O4479" s="30"/>
      <c r="P4479" s="39" t="str">
        <f t="shared" si="697"/>
        <v/>
      </c>
      <c r="Q4479" s="40" t="str">
        <f>IF(OR(T4479=0,RIGHT(T4479,1)=$W$1),"",COUNTIF($T$3:T4479,T4479))</f>
        <v/>
      </c>
      <c r="S4479" s="6">
        <f t="shared" si="698"/>
        <v>0</v>
      </c>
      <c r="T4479" s="36">
        <f t="shared" si="699"/>
        <v>0</v>
      </c>
      <c r="V4479" s="6">
        <f t="shared" si="700"/>
        <v>0</v>
      </c>
      <c r="Y4479" s="8">
        <f t="shared" si="701"/>
        <v>46023</v>
      </c>
    </row>
    <row r="4480" spans="2:25" ht="18.75" x14ac:dyDescent="0.3">
      <c r="B4480" s="6">
        <f t="shared" si="693"/>
        <v>0</v>
      </c>
      <c r="C4480" s="6">
        <f t="shared" si="694"/>
        <v>0</v>
      </c>
      <c r="D4480" s="6" t="str">
        <f t="shared" si="695"/>
        <v/>
      </c>
      <c r="E4480" s="35" t="str">
        <f t="shared" si="692"/>
        <v/>
      </c>
      <c r="F4480" s="31"/>
      <c r="G4480" s="29"/>
      <c r="H4480" s="78" t="str">
        <f t="shared" si="696"/>
        <v/>
      </c>
      <c r="I4480" s="25"/>
      <c r="J4480" s="25"/>
      <c r="K4480" s="26"/>
      <c r="L4480" s="26"/>
      <c r="M4480" s="37"/>
      <c r="N4480" s="27"/>
      <c r="O4480" s="30"/>
      <c r="P4480" s="39" t="str">
        <f t="shared" si="697"/>
        <v/>
      </c>
      <c r="Q4480" s="40" t="str">
        <f>IF(OR(T4480=0,RIGHT(T4480,1)=$W$1),"",COUNTIF($T$3:T4480,T4480))</f>
        <v/>
      </c>
      <c r="S4480" s="6">
        <f t="shared" si="698"/>
        <v>0</v>
      </c>
      <c r="T4480" s="36">
        <f t="shared" si="699"/>
        <v>0</v>
      </c>
      <c r="V4480" s="6">
        <f t="shared" si="700"/>
        <v>0</v>
      </c>
      <c r="Y4480" s="8">
        <f t="shared" si="701"/>
        <v>46023</v>
      </c>
    </row>
    <row r="4481" spans="2:25" ht="18.75" x14ac:dyDescent="0.3">
      <c r="B4481" s="6">
        <f t="shared" si="693"/>
        <v>0</v>
      </c>
      <c r="C4481" s="6">
        <f t="shared" si="694"/>
        <v>0</v>
      </c>
      <c r="D4481" s="6" t="str">
        <f t="shared" si="695"/>
        <v/>
      </c>
      <c r="E4481" s="35" t="str">
        <f t="shared" si="692"/>
        <v/>
      </c>
      <c r="F4481" s="31"/>
      <c r="G4481" s="29"/>
      <c r="H4481" s="78" t="str">
        <f t="shared" si="696"/>
        <v/>
      </c>
      <c r="I4481" s="25"/>
      <c r="J4481" s="25"/>
      <c r="K4481" s="26"/>
      <c r="L4481" s="26"/>
      <c r="M4481" s="37"/>
      <c r="N4481" s="27"/>
      <c r="O4481" s="30"/>
      <c r="P4481" s="39" t="str">
        <f t="shared" si="697"/>
        <v/>
      </c>
      <c r="Q4481" s="40" t="str">
        <f>IF(OR(T4481=0,RIGHT(T4481,1)=$W$1),"",COUNTIF($T$3:T4481,T4481))</f>
        <v/>
      </c>
      <c r="S4481" s="6">
        <f t="shared" si="698"/>
        <v>0</v>
      </c>
      <c r="T4481" s="36">
        <f t="shared" si="699"/>
        <v>0</v>
      </c>
      <c r="V4481" s="6">
        <f t="shared" si="700"/>
        <v>0</v>
      </c>
      <c r="Y4481" s="8">
        <f t="shared" si="701"/>
        <v>46023</v>
      </c>
    </row>
    <row r="4482" spans="2:25" ht="18.75" x14ac:dyDescent="0.3">
      <c r="B4482" s="6">
        <f t="shared" si="693"/>
        <v>0</v>
      </c>
      <c r="C4482" s="6">
        <f t="shared" si="694"/>
        <v>0</v>
      </c>
      <c r="D4482" s="6" t="str">
        <f t="shared" si="695"/>
        <v/>
      </c>
      <c r="E4482" s="35" t="str">
        <f t="shared" si="692"/>
        <v/>
      </c>
      <c r="F4482" s="31"/>
      <c r="G4482" s="29"/>
      <c r="H4482" s="78" t="str">
        <f t="shared" si="696"/>
        <v/>
      </c>
      <c r="I4482" s="25"/>
      <c r="J4482" s="25"/>
      <c r="K4482" s="26"/>
      <c r="L4482" s="26"/>
      <c r="M4482" s="37"/>
      <c r="N4482" s="27"/>
      <c r="O4482" s="30"/>
      <c r="P4482" s="39" t="str">
        <f t="shared" si="697"/>
        <v/>
      </c>
      <c r="Q4482" s="40" t="str">
        <f>IF(OR(T4482=0,RIGHT(T4482,1)=$W$1),"",COUNTIF($T$3:T4482,T4482))</f>
        <v/>
      </c>
      <c r="S4482" s="6">
        <f t="shared" si="698"/>
        <v>0</v>
      </c>
      <c r="T4482" s="36">
        <f t="shared" si="699"/>
        <v>0</v>
      </c>
      <c r="V4482" s="6">
        <f t="shared" si="700"/>
        <v>0</v>
      </c>
      <c r="Y4482" s="8">
        <f t="shared" si="701"/>
        <v>46023</v>
      </c>
    </row>
    <row r="4483" spans="2:25" ht="18.75" x14ac:dyDescent="0.3">
      <c r="B4483" s="6">
        <f t="shared" si="693"/>
        <v>0</v>
      </c>
      <c r="C4483" s="6">
        <f t="shared" si="694"/>
        <v>0</v>
      </c>
      <c r="D4483" s="6" t="str">
        <f t="shared" si="695"/>
        <v/>
      </c>
      <c r="E4483" s="35" t="str">
        <f t="shared" ref="E4483:E4546" si="702">IF(D4483&lt;&gt;"",D4483&amp;" - "&amp;YEAR(F4483),"")</f>
        <v/>
      </c>
      <c r="F4483" s="31"/>
      <c r="G4483" s="29"/>
      <c r="H4483" s="78" t="str">
        <f t="shared" si="696"/>
        <v/>
      </c>
      <c r="I4483" s="25"/>
      <c r="J4483" s="25"/>
      <c r="K4483" s="26"/>
      <c r="L4483" s="26"/>
      <c r="M4483" s="37"/>
      <c r="N4483" s="27"/>
      <c r="O4483" s="30"/>
      <c r="P4483" s="39" t="str">
        <f t="shared" si="697"/>
        <v/>
      </c>
      <c r="Q4483" s="40" t="str">
        <f>IF(OR(T4483=0,RIGHT(T4483,1)=$W$1),"",COUNTIF($T$3:T4483,T4483))</f>
        <v/>
      </c>
      <c r="S4483" s="6">
        <f t="shared" si="698"/>
        <v>0</v>
      </c>
      <c r="T4483" s="36">
        <f t="shared" si="699"/>
        <v>0</v>
      </c>
      <c r="V4483" s="6">
        <f t="shared" si="700"/>
        <v>0</v>
      </c>
      <c r="Y4483" s="8">
        <f t="shared" si="701"/>
        <v>46023</v>
      </c>
    </row>
    <row r="4484" spans="2:25" ht="18.75" x14ac:dyDescent="0.3">
      <c r="B4484" s="6">
        <f t="shared" ref="B4484:B4547" si="703">IF($B$1=YEAR(F4484),B4483+1,B4483)</f>
        <v>0</v>
      </c>
      <c r="C4484" s="6">
        <f t="shared" ref="C4484:C4547" si="704">IF(AND($C$1=K4484,$Y$1=YEAR(F4484)),C4483+1,C4483)</f>
        <v>0</v>
      </c>
      <c r="D4484" s="6" t="str">
        <f t="shared" ref="D4484:D4547" si="705">IF(F4484&lt;&gt;0,IF(YEAR(F4484)&lt;&gt;YEAR(F4483),1,IF(M4484=$AI$1,D4483,D4483+1)),"")</f>
        <v/>
      </c>
      <c r="E4484" s="35" t="str">
        <f t="shared" si="702"/>
        <v/>
      </c>
      <c r="F4484" s="31"/>
      <c r="G4484" s="29"/>
      <c r="H4484" s="78" t="str">
        <f t="shared" ref="H4484:H4547" si="706">IF(G4484&lt;&gt;"",F4484,"")</f>
        <v/>
      </c>
      <c r="I4484" s="25"/>
      <c r="J4484" s="25"/>
      <c r="K4484" s="26"/>
      <c r="L4484" s="26"/>
      <c r="M4484" s="37"/>
      <c r="N4484" s="27"/>
      <c r="O4484" s="30"/>
      <c r="P4484" s="39" t="str">
        <f t="shared" ref="P4484:P4547" si="707">IF(OR(T4484=0,RIGHT(T4484,1)=$W$1),"",VLOOKUP(K4484,$AD$1:$AK$15,5,FALSE))</f>
        <v/>
      </c>
      <c r="Q4484" s="40" t="str">
        <f>IF(OR(T4484=0,RIGHT(T4484,1)=$W$1),"",COUNTIF($T$3:T4484,T4484))</f>
        <v/>
      </c>
      <c r="S4484" s="6">
        <f t="shared" ref="S4484:S4547" si="708">IF(AND($C$1=K4484,$Y$1=YEAR(F4484)),C4484,0)</f>
        <v>0</v>
      </c>
      <c r="T4484" s="36">
        <f t="shared" ref="T4484:T4547" si="709">IF(F4484=0,0,YEAR(F4484)&amp;VLOOKUP(K4484,$AD$1:$AE$15,2,FALSE))</f>
        <v>0</v>
      </c>
      <c r="V4484" s="6">
        <f t="shared" ref="V4484:V4547" si="710">IF(AND(YEAR(F4484)=$Y$1,K4484=$C$1,L4484&amp;$V$1&lt;&gt;$V$1),L4484,IF(AND(YEAR(F4484)=$Y$1,K4484=$C$1),1,0))</f>
        <v>0</v>
      </c>
      <c r="Y4484" s="8">
        <f t="shared" ref="Y4484:Y4547" si="711">IF(M4484&lt;&gt;$AI$1,$Y$2,F4483)</f>
        <v>46023</v>
      </c>
    </row>
    <row r="4485" spans="2:25" ht="18.75" x14ac:dyDescent="0.3">
      <c r="B4485" s="6">
        <f t="shared" si="703"/>
        <v>0</v>
      </c>
      <c r="C4485" s="6">
        <f t="shared" si="704"/>
        <v>0</v>
      </c>
      <c r="D4485" s="6" t="str">
        <f t="shared" si="705"/>
        <v/>
      </c>
      <c r="E4485" s="35" t="str">
        <f t="shared" si="702"/>
        <v/>
      </c>
      <c r="F4485" s="31"/>
      <c r="G4485" s="29"/>
      <c r="H4485" s="78" t="str">
        <f t="shared" si="706"/>
        <v/>
      </c>
      <c r="I4485" s="25"/>
      <c r="J4485" s="25"/>
      <c r="K4485" s="26"/>
      <c r="L4485" s="26"/>
      <c r="M4485" s="37"/>
      <c r="N4485" s="27"/>
      <c r="O4485" s="30"/>
      <c r="P4485" s="39" t="str">
        <f t="shared" si="707"/>
        <v/>
      </c>
      <c r="Q4485" s="40" t="str">
        <f>IF(OR(T4485=0,RIGHT(T4485,1)=$W$1),"",COUNTIF($T$3:T4485,T4485))</f>
        <v/>
      </c>
      <c r="S4485" s="6">
        <f t="shared" si="708"/>
        <v>0</v>
      </c>
      <c r="T4485" s="36">
        <f t="shared" si="709"/>
        <v>0</v>
      </c>
      <c r="V4485" s="6">
        <f t="shared" si="710"/>
        <v>0</v>
      </c>
      <c r="Y4485" s="8">
        <f t="shared" si="711"/>
        <v>46023</v>
      </c>
    </row>
    <row r="4486" spans="2:25" ht="18.75" x14ac:dyDescent="0.3">
      <c r="B4486" s="6">
        <f t="shared" si="703"/>
        <v>0</v>
      </c>
      <c r="C4486" s="6">
        <f t="shared" si="704"/>
        <v>0</v>
      </c>
      <c r="D4486" s="6" t="str">
        <f t="shared" si="705"/>
        <v/>
      </c>
      <c r="E4486" s="35" t="str">
        <f t="shared" si="702"/>
        <v/>
      </c>
      <c r="F4486" s="31"/>
      <c r="G4486" s="29"/>
      <c r="H4486" s="78" t="str">
        <f t="shared" si="706"/>
        <v/>
      </c>
      <c r="I4486" s="25"/>
      <c r="J4486" s="25"/>
      <c r="K4486" s="26"/>
      <c r="L4486" s="26"/>
      <c r="M4486" s="37"/>
      <c r="N4486" s="27"/>
      <c r="O4486" s="30"/>
      <c r="P4486" s="39" t="str">
        <f t="shared" si="707"/>
        <v/>
      </c>
      <c r="Q4486" s="40" t="str">
        <f>IF(OR(T4486=0,RIGHT(T4486,1)=$W$1),"",COUNTIF($T$3:T4486,T4486))</f>
        <v/>
      </c>
      <c r="S4486" s="6">
        <f t="shared" si="708"/>
        <v>0</v>
      </c>
      <c r="T4486" s="36">
        <f t="shared" si="709"/>
        <v>0</v>
      </c>
      <c r="V4486" s="6">
        <f t="shared" si="710"/>
        <v>0</v>
      </c>
      <c r="Y4486" s="8">
        <f t="shared" si="711"/>
        <v>46023</v>
      </c>
    </row>
    <row r="4487" spans="2:25" ht="18.75" x14ac:dyDescent="0.3">
      <c r="B4487" s="6">
        <f t="shared" si="703"/>
        <v>0</v>
      </c>
      <c r="C4487" s="6">
        <f t="shared" si="704"/>
        <v>0</v>
      </c>
      <c r="D4487" s="6" t="str">
        <f t="shared" si="705"/>
        <v/>
      </c>
      <c r="E4487" s="35" t="str">
        <f t="shared" si="702"/>
        <v/>
      </c>
      <c r="F4487" s="31"/>
      <c r="G4487" s="29"/>
      <c r="H4487" s="78" t="str">
        <f t="shared" si="706"/>
        <v/>
      </c>
      <c r="I4487" s="25"/>
      <c r="J4487" s="25"/>
      <c r="K4487" s="26"/>
      <c r="L4487" s="26"/>
      <c r="M4487" s="37"/>
      <c r="N4487" s="27"/>
      <c r="O4487" s="30"/>
      <c r="P4487" s="39" t="str">
        <f t="shared" si="707"/>
        <v/>
      </c>
      <c r="Q4487" s="40" t="str">
        <f>IF(OR(T4487=0,RIGHT(T4487,1)=$W$1),"",COUNTIF($T$3:T4487,T4487))</f>
        <v/>
      </c>
      <c r="S4487" s="6">
        <f t="shared" si="708"/>
        <v>0</v>
      </c>
      <c r="T4487" s="36">
        <f t="shared" si="709"/>
        <v>0</v>
      </c>
      <c r="V4487" s="6">
        <f t="shared" si="710"/>
        <v>0</v>
      </c>
      <c r="Y4487" s="8">
        <f t="shared" si="711"/>
        <v>46023</v>
      </c>
    </row>
    <row r="4488" spans="2:25" ht="18.75" x14ac:dyDescent="0.3">
      <c r="B4488" s="6">
        <f t="shared" si="703"/>
        <v>0</v>
      </c>
      <c r="C4488" s="6">
        <f t="shared" si="704"/>
        <v>0</v>
      </c>
      <c r="D4488" s="6" t="str">
        <f t="shared" si="705"/>
        <v/>
      </c>
      <c r="E4488" s="35" t="str">
        <f t="shared" si="702"/>
        <v/>
      </c>
      <c r="F4488" s="31"/>
      <c r="G4488" s="29"/>
      <c r="H4488" s="78" t="str">
        <f t="shared" si="706"/>
        <v/>
      </c>
      <c r="I4488" s="25"/>
      <c r="J4488" s="25"/>
      <c r="K4488" s="26"/>
      <c r="L4488" s="26"/>
      <c r="M4488" s="37"/>
      <c r="N4488" s="27"/>
      <c r="O4488" s="30"/>
      <c r="P4488" s="39" t="str">
        <f t="shared" si="707"/>
        <v/>
      </c>
      <c r="Q4488" s="40" t="str">
        <f>IF(OR(T4488=0,RIGHT(T4488,1)=$W$1),"",COUNTIF($T$3:T4488,T4488))</f>
        <v/>
      </c>
      <c r="S4488" s="6">
        <f t="shared" si="708"/>
        <v>0</v>
      </c>
      <c r="T4488" s="36">
        <f t="shared" si="709"/>
        <v>0</v>
      </c>
      <c r="V4488" s="6">
        <f t="shared" si="710"/>
        <v>0</v>
      </c>
      <c r="Y4488" s="8">
        <f t="shared" si="711"/>
        <v>46023</v>
      </c>
    </row>
    <row r="4489" spans="2:25" ht="18.75" x14ac:dyDescent="0.3">
      <c r="B4489" s="6">
        <f t="shared" si="703"/>
        <v>0</v>
      </c>
      <c r="C4489" s="6">
        <f t="shared" si="704"/>
        <v>0</v>
      </c>
      <c r="D4489" s="6" t="str">
        <f t="shared" si="705"/>
        <v/>
      </c>
      <c r="E4489" s="35" t="str">
        <f t="shared" si="702"/>
        <v/>
      </c>
      <c r="F4489" s="31"/>
      <c r="G4489" s="29"/>
      <c r="H4489" s="78" t="str">
        <f t="shared" si="706"/>
        <v/>
      </c>
      <c r="I4489" s="25"/>
      <c r="J4489" s="25"/>
      <c r="K4489" s="26"/>
      <c r="L4489" s="26"/>
      <c r="M4489" s="37"/>
      <c r="N4489" s="27"/>
      <c r="O4489" s="30"/>
      <c r="P4489" s="39" t="str">
        <f t="shared" si="707"/>
        <v/>
      </c>
      <c r="Q4489" s="40" t="str">
        <f>IF(OR(T4489=0,RIGHT(T4489,1)=$W$1),"",COUNTIF($T$3:T4489,T4489))</f>
        <v/>
      </c>
      <c r="S4489" s="6">
        <f t="shared" si="708"/>
        <v>0</v>
      </c>
      <c r="T4489" s="36">
        <f t="shared" si="709"/>
        <v>0</v>
      </c>
      <c r="V4489" s="6">
        <f t="shared" si="710"/>
        <v>0</v>
      </c>
      <c r="Y4489" s="8">
        <f t="shared" si="711"/>
        <v>46023</v>
      </c>
    </row>
    <row r="4490" spans="2:25" ht="18.75" x14ac:dyDescent="0.3">
      <c r="B4490" s="6">
        <f t="shared" si="703"/>
        <v>0</v>
      </c>
      <c r="C4490" s="6">
        <f t="shared" si="704"/>
        <v>0</v>
      </c>
      <c r="D4490" s="6" t="str">
        <f t="shared" si="705"/>
        <v/>
      </c>
      <c r="E4490" s="35" t="str">
        <f t="shared" si="702"/>
        <v/>
      </c>
      <c r="F4490" s="31"/>
      <c r="G4490" s="29"/>
      <c r="H4490" s="78" t="str">
        <f t="shared" si="706"/>
        <v/>
      </c>
      <c r="I4490" s="25"/>
      <c r="J4490" s="25"/>
      <c r="K4490" s="26"/>
      <c r="L4490" s="26"/>
      <c r="M4490" s="37"/>
      <c r="N4490" s="27"/>
      <c r="O4490" s="30"/>
      <c r="P4490" s="39" t="str">
        <f t="shared" si="707"/>
        <v/>
      </c>
      <c r="Q4490" s="40" t="str">
        <f>IF(OR(T4490=0,RIGHT(T4490,1)=$W$1),"",COUNTIF($T$3:T4490,T4490))</f>
        <v/>
      </c>
      <c r="S4490" s="6">
        <f t="shared" si="708"/>
        <v>0</v>
      </c>
      <c r="T4490" s="36">
        <f t="shared" si="709"/>
        <v>0</v>
      </c>
      <c r="V4490" s="6">
        <f t="shared" si="710"/>
        <v>0</v>
      </c>
      <c r="Y4490" s="8">
        <f t="shared" si="711"/>
        <v>46023</v>
      </c>
    </row>
    <row r="4491" spans="2:25" ht="18.75" x14ac:dyDescent="0.3">
      <c r="B4491" s="6">
        <f t="shared" si="703"/>
        <v>0</v>
      </c>
      <c r="C4491" s="6">
        <f t="shared" si="704"/>
        <v>0</v>
      </c>
      <c r="D4491" s="6" t="str">
        <f t="shared" si="705"/>
        <v/>
      </c>
      <c r="E4491" s="35" t="str">
        <f t="shared" si="702"/>
        <v/>
      </c>
      <c r="F4491" s="31"/>
      <c r="G4491" s="29"/>
      <c r="H4491" s="78" t="str">
        <f t="shared" si="706"/>
        <v/>
      </c>
      <c r="I4491" s="25"/>
      <c r="J4491" s="25"/>
      <c r="K4491" s="26"/>
      <c r="L4491" s="26"/>
      <c r="M4491" s="37"/>
      <c r="N4491" s="27"/>
      <c r="O4491" s="30"/>
      <c r="P4491" s="39" t="str">
        <f t="shared" si="707"/>
        <v/>
      </c>
      <c r="Q4491" s="40" t="str">
        <f>IF(OR(T4491=0,RIGHT(T4491,1)=$W$1),"",COUNTIF($T$3:T4491,T4491))</f>
        <v/>
      </c>
      <c r="S4491" s="6">
        <f t="shared" si="708"/>
        <v>0</v>
      </c>
      <c r="T4491" s="36">
        <f t="shared" si="709"/>
        <v>0</v>
      </c>
      <c r="V4491" s="6">
        <f t="shared" si="710"/>
        <v>0</v>
      </c>
      <c r="Y4491" s="8">
        <f t="shared" si="711"/>
        <v>46023</v>
      </c>
    </row>
    <row r="4492" spans="2:25" ht="18.75" x14ac:dyDescent="0.3">
      <c r="B4492" s="6">
        <f t="shared" si="703"/>
        <v>0</v>
      </c>
      <c r="C4492" s="6">
        <f t="shared" si="704"/>
        <v>0</v>
      </c>
      <c r="D4492" s="6" t="str">
        <f t="shared" si="705"/>
        <v/>
      </c>
      <c r="E4492" s="35" t="str">
        <f t="shared" si="702"/>
        <v/>
      </c>
      <c r="F4492" s="31"/>
      <c r="G4492" s="29"/>
      <c r="H4492" s="78" t="str">
        <f t="shared" si="706"/>
        <v/>
      </c>
      <c r="I4492" s="25"/>
      <c r="J4492" s="25"/>
      <c r="K4492" s="26"/>
      <c r="L4492" s="26"/>
      <c r="M4492" s="37"/>
      <c r="N4492" s="27"/>
      <c r="O4492" s="30"/>
      <c r="P4492" s="39" t="str">
        <f t="shared" si="707"/>
        <v/>
      </c>
      <c r="Q4492" s="40" t="str">
        <f>IF(OR(T4492=0,RIGHT(T4492,1)=$W$1),"",COUNTIF($T$3:T4492,T4492))</f>
        <v/>
      </c>
      <c r="S4492" s="6">
        <f t="shared" si="708"/>
        <v>0</v>
      </c>
      <c r="T4492" s="36">
        <f t="shared" si="709"/>
        <v>0</v>
      </c>
      <c r="V4492" s="6">
        <f t="shared" si="710"/>
        <v>0</v>
      </c>
      <c r="Y4492" s="8">
        <f t="shared" si="711"/>
        <v>46023</v>
      </c>
    </row>
    <row r="4493" spans="2:25" ht="18.75" x14ac:dyDescent="0.3">
      <c r="B4493" s="6">
        <f t="shared" si="703"/>
        <v>0</v>
      </c>
      <c r="C4493" s="6">
        <f t="shared" si="704"/>
        <v>0</v>
      </c>
      <c r="D4493" s="6" t="str">
        <f t="shared" si="705"/>
        <v/>
      </c>
      <c r="E4493" s="35" t="str">
        <f t="shared" si="702"/>
        <v/>
      </c>
      <c r="F4493" s="31"/>
      <c r="G4493" s="29"/>
      <c r="H4493" s="78" t="str">
        <f t="shared" si="706"/>
        <v/>
      </c>
      <c r="I4493" s="25"/>
      <c r="J4493" s="25"/>
      <c r="K4493" s="26"/>
      <c r="L4493" s="26"/>
      <c r="M4493" s="37"/>
      <c r="N4493" s="27"/>
      <c r="O4493" s="30"/>
      <c r="P4493" s="39" t="str">
        <f t="shared" si="707"/>
        <v/>
      </c>
      <c r="Q4493" s="40" t="str">
        <f>IF(OR(T4493=0,RIGHT(T4493,1)=$W$1),"",COUNTIF($T$3:T4493,T4493))</f>
        <v/>
      </c>
      <c r="S4493" s="6">
        <f t="shared" si="708"/>
        <v>0</v>
      </c>
      <c r="T4493" s="36">
        <f t="shared" si="709"/>
        <v>0</v>
      </c>
      <c r="V4493" s="6">
        <f t="shared" si="710"/>
        <v>0</v>
      </c>
      <c r="Y4493" s="8">
        <f t="shared" si="711"/>
        <v>46023</v>
      </c>
    </row>
    <row r="4494" spans="2:25" ht="18.75" x14ac:dyDescent="0.3">
      <c r="B4494" s="6">
        <f t="shared" si="703"/>
        <v>0</v>
      </c>
      <c r="C4494" s="6">
        <f t="shared" si="704"/>
        <v>0</v>
      </c>
      <c r="D4494" s="6" t="str">
        <f t="shared" si="705"/>
        <v/>
      </c>
      <c r="E4494" s="35" t="str">
        <f t="shared" si="702"/>
        <v/>
      </c>
      <c r="F4494" s="31"/>
      <c r="G4494" s="29"/>
      <c r="H4494" s="78" t="str">
        <f t="shared" si="706"/>
        <v/>
      </c>
      <c r="I4494" s="25"/>
      <c r="J4494" s="25"/>
      <c r="K4494" s="26"/>
      <c r="L4494" s="26"/>
      <c r="M4494" s="37"/>
      <c r="N4494" s="27"/>
      <c r="O4494" s="30"/>
      <c r="P4494" s="39" t="str">
        <f t="shared" si="707"/>
        <v/>
      </c>
      <c r="Q4494" s="40" t="str">
        <f>IF(OR(T4494=0,RIGHT(T4494,1)=$W$1),"",COUNTIF($T$3:T4494,T4494))</f>
        <v/>
      </c>
      <c r="S4494" s="6">
        <f t="shared" si="708"/>
        <v>0</v>
      </c>
      <c r="T4494" s="36">
        <f t="shared" si="709"/>
        <v>0</v>
      </c>
      <c r="V4494" s="6">
        <f t="shared" si="710"/>
        <v>0</v>
      </c>
      <c r="Y4494" s="8">
        <f t="shared" si="711"/>
        <v>46023</v>
      </c>
    </row>
    <row r="4495" spans="2:25" ht="18.75" x14ac:dyDescent="0.3">
      <c r="B4495" s="6">
        <f t="shared" si="703"/>
        <v>0</v>
      </c>
      <c r="C4495" s="6">
        <f t="shared" si="704"/>
        <v>0</v>
      </c>
      <c r="D4495" s="6" t="str">
        <f t="shared" si="705"/>
        <v/>
      </c>
      <c r="E4495" s="35" t="str">
        <f t="shared" si="702"/>
        <v/>
      </c>
      <c r="F4495" s="31"/>
      <c r="G4495" s="29"/>
      <c r="H4495" s="78" t="str">
        <f t="shared" si="706"/>
        <v/>
      </c>
      <c r="I4495" s="25"/>
      <c r="J4495" s="25"/>
      <c r="K4495" s="26"/>
      <c r="L4495" s="26"/>
      <c r="M4495" s="37"/>
      <c r="N4495" s="27"/>
      <c r="O4495" s="30"/>
      <c r="P4495" s="39" t="str">
        <f t="shared" si="707"/>
        <v/>
      </c>
      <c r="Q4495" s="40" t="str">
        <f>IF(OR(T4495=0,RIGHT(T4495,1)=$W$1),"",COUNTIF($T$3:T4495,T4495))</f>
        <v/>
      </c>
      <c r="S4495" s="6">
        <f t="shared" si="708"/>
        <v>0</v>
      </c>
      <c r="T4495" s="36">
        <f t="shared" si="709"/>
        <v>0</v>
      </c>
      <c r="V4495" s="6">
        <f t="shared" si="710"/>
        <v>0</v>
      </c>
      <c r="Y4495" s="8">
        <f t="shared" si="711"/>
        <v>46023</v>
      </c>
    </row>
    <row r="4496" spans="2:25" ht="18.75" x14ac:dyDescent="0.3">
      <c r="B4496" s="6">
        <f t="shared" si="703"/>
        <v>0</v>
      </c>
      <c r="C4496" s="6">
        <f t="shared" si="704"/>
        <v>0</v>
      </c>
      <c r="D4496" s="6" t="str">
        <f t="shared" si="705"/>
        <v/>
      </c>
      <c r="E4496" s="35" t="str">
        <f t="shared" si="702"/>
        <v/>
      </c>
      <c r="F4496" s="31"/>
      <c r="G4496" s="29"/>
      <c r="H4496" s="78" t="str">
        <f t="shared" si="706"/>
        <v/>
      </c>
      <c r="I4496" s="25"/>
      <c r="J4496" s="25"/>
      <c r="K4496" s="26"/>
      <c r="L4496" s="26"/>
      <c r="M4496" s="37"/>
      <c r="N4496" s="27"/>
      <c r="O4496" s="30"/>
      <c r="P4496" s="39" t="str">
        <f t="shared" si="707"/>
        <v/>
      </c>
      <c r="Q4496" s="40" t="str">
        <f>IF(OR(T4496=0,RIGHT(T4496,1)=$W$1),"",COUNTIF($T$3:T4496,T4496))</f>
        <v/>
      </c>
      <c r="S4496" s="6">
        <f t="shared" si="708"/>
        <v>0</v>
      </c>
      <c r="T4496" s="36">
        <f t="shared" si="709"/>
        <v>0</v>
      </c>
      <c r="V4496" s="6">
        <f t="shared" si="710"/>
        <v>0</v>
      </c>
      <c r="Y4496" s="8">
        <f t="shared" si="711"/>
        <v>46023</v>
      </c>
    </row>
    <row r="4497" spans="2:25" ht="18.75" x14ac:dyDescent="0.3">
      <c r="B4497" s="6">
        <f t="shared" si="703"/>
        <v>0</v>
      </c>
      <c r="C4497" s="6">
        <f t="shared" si="704"/>
        <v>0</v>
      </c>
      <c r="D4497" s="6" t="str">
        <f t="shared" si="705"/>
        <v/>
      </c>
      <c r="E4497" s="35" t="str">
        <f t="shared" si="702"/>
        <v/>
      </c>
      <c r="F4497" s="31"/>
      <c r="G4497" s="29"/>
      <c r="H4497" s="78" t="str">
        <f t="shared" si="706"/>
        <v/>
      </c>
      <c r="I4497" s="25"/>
      <c r="J4497" s="25"/>
      <c r="K4497" s="26"/>
      <c r="L4497" s="26"/>
      <c r="M4497" s="37"/>
      <c r="N4497" s="27"/>
      <c r="O4497" s="30"/>
      <c r="P4497" s="39" t="str">
        <f t="shared" si="707"/>
        <v/>
      </c>
      <c r="Q4497" s="40" t="str">
        <f>IF(OR(T4497=0,RIGHT(T4497,1)=$W$1),"",COUNTIF($T$3:T4497,T4497))</f>
        <v/>
      </c>
      <c r="S4497" s="6">
        <f t="shared" si="708"/>
        <v>0</v>
      </c>
      <c r="T4497" s="36">
        <f t="shared" si="709"/>
        <v>0</v>
      </c>
      <c r="V4497" s="6">
        <f t="shared" si="710"/>
        <v>0</v>
      </c>
      <c r="Y4497" s="8">
        <f t="shared" si="711"/>
        <v>46023</v>
      </c>
    </row>
    <row r="4498" spans="2:25" ht="18.75" x14ac:dyDescent="0.3">
      <c r="B4498" s="6">
        <f t="shared" si="703"/>
        <v>0</v>
      </c>
      <c r="C4498" s="6">
        <f t="shared" si="704"/>
        <v>0</v>
      </c>
      <c r="D4498" s="6" t="str">
        <f t="shared" si="705"/>
        <v/>
      </c>
      <c r="E4498" s="35" t="str">
        <f t="shared" si="702"/>
        <v/>
      </c>
      <c r="F4498" s="31"/>
      <c r="G4498" s="29"/>
      <c r="H4498" s="78" t="str">
        <f t="shared" si="706"/>
        <v/>
      </c>
      <c r="I4498" s="25"/>
      <c r="J4498" s="25"/>
      <c r="K4498" s="26"/>
      <c r="L4498" s="26"/>
      <c r="M4498" s="37"/>
      <c r="N4498" s="27"/>
      <c r="O4498" s="30"/>
      <c r="P4498" s="39" t="str">
        <f t="shared" si="707"/>
        <v/>
      </c>
      <c r="Q4498" s="40" t="str">
        <f>IF(OR(T4498=0,RIGHT(T4498,1)=$W$1),"",COUNTIF($T$3:T4498,T4498))</f>
        <v/>
      </c>
      <c r="S4498" s="6">
        <f t="shared" si="708"/>
        <v>0</v>
      </c>
      <c r="T4498" s="36">
        <f t="shared" si="709"/>
        <v>0</v>
      </c>
      <c r="V4498" s="6">
        <f t="shared" si="710"/>
        <v>0</v>
      </c>
      <c r="Y4498" s="8">
        <f t="shared" si="711"/>
        <v>46023</v>
      </c>
    </row>
    <row r="4499" spans="2:25" ht="18.75" x14ac:dyDescent="0.3">
      <c r="B4499" s="6">
        <f t="shared" si="703"/>
        <v>0</v>
      </c>
      <c r="C4499" s="6">
        <f t="shared" si="704"/>
        <v>0</v>
      </c>
      <c r="D4499" s="6" t="str">
        <f t="shared" si="705"/>
        <v/>
      </c>
      <c r="E4499" s="35" t="str">
        <f t="shared" si="702"/>
        <v/>
      </c>
      <c r="F4499" s="31"/>
      <c r="G4499" s="29"/>
      <c r="H4499" s="78" t="str">
        <f t="shared" si="706"/>
        <v/>
      </c>
      <c r="I4499" s="25"/>
      <c r="J4499" s="25"/>
      <c r="K4499" s="26"/>
      <c r="L4499" s="26"/>
      <c r="M4499" s="37"/>
      <c r="N4499" s="27"/>
      <c r="O4499" s="30"/>
      <c r="P4499" s="39" t="str">
        <f t="shared" si="707"/>
        <v/>
      </c>
      <c r="Q4499" s="40" t="str">
        <f>IF(OR(T4499=0,RIGHT(T4499,1)=$W$1),"",COUNTIF($T$3:T4499,T4499))</f>
        <v/>
      </c>
      <c r="S4499" s="6">
        <f t="shared" si="708"/>
        <v>0</v>
      </c>
      <c r="T4499" s="36">
        <f t="shared" si="709"/>
        <v>0</v>
      </c>
      <c r="V4499" s="6">
        <f t="shared" si="710"/>
        <v>0</v>
      </c>
      <c r="Y4499" s="8">
        <f t="shared" si="711"/>
        <v>46023</v>
      </c>
    </row>
    <row r="4500" spans="2:25" ht="18.75" x14ac:dyDescent="0.3">
      <c r="B4500" s="6">
        <f t="shared" si="703"/>
        <v>0</v>
      </c>
      <c r="C4500" s="6">
        <f t="shared" si="704"/>
        <v>0</v>
      </c>
      <c r="D4500" s="6" t="str">
        <f t="shared" si="705"/>
        <v/>
      </c>
      <c r="E4500" s="35" t="str">
        <f t="shared" si="702"/>
        <v/>
      </c>
      <c r="F4500" s="31"/>
      <c r="G4500" s="29"/>
      <c r="H4500" s="78" t="str">
        <f t="shared" si="706"/>
        <v/>
      </c>
      <c r="I4500" s="25"/>
      <c r="J4500" s="25"/>
      <c r="K4500" s="26"/>
      <c r="L4500" s="26"/>
      <c r="M4500" s="37"/>
      <c r="N4500" s="27"/>
      <c r="O4500" s="30"/>
      <c r="P4500" s="39" t="str">
        <f t="shared" si="707"/>
        <v/>
      </c>
      <c r="Q4500" s="40" t="str">
        <f>IF(OR(T4500=0,RIGHT(T4500,1)=$W$1),"",COUNTIF($T$3:T4500,T4500))</f>
        <v/>
      </c>
      <c r="S4500" s="6">
        <f t="shared" si="708"/>
        <v>0</v>
      </c>
      <c r="T4500" s="36">
        <f t="shared" si="709"/>
        <v>0</v>
      </c>
      <c r="V4500" s="6">
        <f t="shared" si="710"/>
        <v>0</v>
      </c>
      <c r="Y4500" s="8">
        <f t="shared" si="711"/>
        <v>46023</v>
      </c>
    </row>
    <row r="4501" spans="2:25" ht="18.75" x14ac:dyDescent="0.3">
      <c r="B4501" s="6">
        <f t="shared" si="703"/>
        <v>0</v>
      </c>
      <c r="C4501" s="6">
        <f t="shared" si="704"/>
        <v>0</v>
      </c>
      <c r="D4501" s="6" t="str">
        <f t="shared" si="705"/>
        <v/>
      </c>
      <c r="E4501" s="35" t="str">
        <f t="shared" si="702"/>
        <v/>
      </c>
      <c r="F4501" s="31"/>
      <c r="G4501" s="29"/>
      <c r="H4501" s="78" t="str">
        <f t="shared" si="706"/>
        <v/>
      </c>
      <c r="I4501" s="25"/>
      <c r="J4501" s="25"/>
      <c r="K4501" s="26"/>
      <c r="L4501" s="26"/>
      <c r="M4501" s="37"/>
      <c r="N4501" s="27"/>
      <c r="O4501" s="30"/>
      <c r="P4501" s="39" t="str">
        <f t="shared" si="707"/>
        <v/>
      </c>
      <c r="Q4501" s="40" t="str">
        <f>IF(OR(T4501=0,RIGHT(T4501,1)=$W$1),"",COUNTIF($T$3:T4501,T4501))</f>
        <v/>
      </c>
      <c r="S4501" s="6">
        <f t="shared" si="708"/>
        <v>0</v>
      </c>
      <c r="T4501" s="36">
        <f t="shared" si="709"/>
        <v>0</v>
      </c>
      <c r="V4501" s="6">
        <f t="shared" si="710"/>
        <v>0</v>
      </c>
      <c r="Y4501" s="8">
        <f t="shared" si="711"/>
        <v>46023</v>
      </c>
    </row>
    <row r="4502" spans="2:25" ht="18.75" x14ac:dyDescent="0.3">
      <c r="B4502" s="6">
        <f t="shared" si="703"/>
        <v>0</v>
      </c>
      <c r="C4502" s="6">
        <f t="shared" si="704"/>
        <v>0</v>
      </c>
      <c r="D4502" s="6" t="str">
        <f t="shared" si="705"/>
        <v/>
      </c>
      <c r="E4502" s="35" t="str">
        <f t="shared" si="702"/>
        <v/>
      </c>
      <c r="F4502" s="31"/>
      <c r="G4502" s="29"/>
      <c r="H4502" s="78" t="str">
        <f t="shared" si="706"/>
        <v/>
      </c>
      <c r="I4502" s="25"/>
      <c r="J4502" s="25"/>
      <c r="K4502" s="26"/>
      <c r="L4502" s="26"/>
      <c r="M4502" s="37"/>
      <c r="N4502" s="27"/>
      <c r="O4502" s="30"/>
      <c r="P4502" s="39" t="str">
        <f t="shared" si="707"/>
        <v/>
      </c>
      <c r="Q4502" s="40" t="str">
        <f>IF(OR(T4502=0,RIGHT(T4502,1)=$W$1),"",COUNTIF($T$3:T4502,T4502))</f>
        <v/>
      </c>
      <c r="S4502" s="6">
        <f t="shared" si="708"/>
        <v>0</v>
      </c>
      <c r="T4502" s="36">
        <f t="shared" si="709"/>
        <v>0</v>
      </c>
      <c r="V4502" s="6">
        <f t="shared" si="710"/>
        <v>0</v>
      </c>
      <c r="Y4502" s="8">
        <f t="shared" si="711"/>
        <v>46023</v>
      </c>
    </row>
    <row r="4503" spans="2:25" ht="18.75" x14ac:dyDescent="0.3">
      <c r="B4503" s="6">
        <f t="shared" si="703"/>
        <v>0</v>
      </c>
      <c r="C4503" s="6">
        <f t="shared" si="704"/>
        <v>0</v>
      </c>
      <c r="D4503" s="6" t="str">
        <f t="shared" si="705"/>
        <v/>
      </c>
      <c r="E4503" s="35" t="str">
        <f t="shared" si="702"/>
        <v/>
      </c>
      <c r="F4503" s="31"/>
      <c r="G4503" s="29"/>
      <c r="H4503" s="78" t="str">
        <f t="shared" si="706"/>
        <v/>
      </c>
      <c r="I4503" s="25"/>
      <c r="J4503" s="25"/>
      <c r="K4503" s="26"/>
      <c r="L4503" s="26"/>
      <c r="M4503" s="37"/>
      <c r="N4503" s="27"/>
      <c r="O4503" s="30"/>
      <c r="P4503" s="39" t="str">
        <f t="shared" si="707"/>
        <v/>
      </c>
      <c r="Q4503" s="40" t="str">
        <f>IF(OR(T4503=0,RIGHT(T4503,1)=$W$1),"",COUNTIF($T$3:T4503,T4503))</f>
        <v/>
      </c>
      <c r="S4503" s="6">
        <f t="shared" si="708"/>
        <v>0</v>
      </c>
      <c r="T4503" s="36">
        <f t="shared" si="709"/>
        <v>0</v>
      </c>
      <c r="V4503" s="6">
        <f t="shared" si="710"/>
        <v>0</v>
      </c>
      <c r="Y4503" s="8">
        <f t="shared" si="711"/>
        <v>46023</v>
      </c>
    </row>
    <row r="4504" spans="2:25" ht="18.75" x14ac:dyDescent="0.3">
      <c r="B4504" s="6">
        <f t="shared" si="703"/>
        <v>0</v>
      </c>
      <c r="C4504" s="6">
        <f t="shared" si="704"/>
        <v>0</v>
      </c>
      <c r="D4504" s="6" t="str">
        <f t="shared" si="705"/>
        <v/>
      </c>
      <c r="E4504" s="35" t="str">
        <f t="shared" si="702"/>
        <v/>
      </c>
      <c r="F4504" s="31"/>
      <c r="G4504" s="29"/>
      <c r="H4504" s="78" t="str">
        <f t="shared" si="706"/>
        <v/>
      </c>
      <c r="I4504" s="25"/>
      <c r="J4504" s="25"/>
      <c r="K4504" s="26"/>
      <c r="L4504" s="26"/>
      <c r="M4504" s="37"/>
      <c r="N4504" s="27"/>
      <c r="O4504" s="30"/>
      <c r="P4504" s="39" t="str">
        <f t="shared" si="707"/>
        <v/>
      </c>
      <c r="Q4504" s="40" t="str">
        <f>IF(OR(T4504=0,RIGHT(T4504,1)=$W$1),"",COUNTIF($T$3:T4504,T4504))</f>
        <v/>
      </c>
      <c r="S4504" s="6">
        <f t="shared" si="708"/>
        <v>0</v>
      </c>
      <c r="T4504" s="36">
        <f t="shared" si="709"/>
        <v>0</v>
      </c>
      <c r="V4504" s="6">
        <f t="shared" si="710"/>
        <v>0</v>
      </c>
      <c r="Y4504" s="8">
        <f t="shared" si="711"/>
        <v>46023</v>
      </c>
    </row>
    <row r="4505" spans="2:25" ht="18.75" x14ac:dyDescent="0.3">
      <c r="B4505" s="6">
        <f t="shared" si="703"/>
        <v>0</v>
      </c>
      <c r="C4505" s="6">
        <f t="shared" si="704"/>
        <v>0</v>
      </c>
      <c r="D4505" s="6" t="str">
        <f t="shared" si="705"/>
        <v/>
      </c>
      <c r="E4505" s="35" t="str">
        <f t="shared" si="702"/>
        <v/>
      </c>
      <c r="F4505" s="31"/>
      <c r="G4505" s="29"/>
      <c r="H4505" s="78" t="str">
        <f t="shared" si="706"/>
        <v/>
      </c>
      <c r="I4505" s="25"/>
      <c r="J4505" s="25"/>
      <c r="K4505" s="26"/>
      <c r="L4505" s="26"/>
      <c r="M4505" s="37"/>
      <c r="N4505" s="27"/>
      <c r="O4505" s="30"/>
      <c r="P4505" s="39" t="str">
        <f t="shared" si="707"/>
        <v/>
      </c>
      <c r="Q4505" s="40" t="str">
        <f>IF(OR(T4505=0,RIGHT(T4505,1)=$W$1),"",COUNTIF($T$3:T4505,T4505))</f>
        <v/>
      </c>
      <c r="S4505" s="6">
        <f t="shared" si="708"/>
        <v>0</v>
      </c>
      <c r="T4505" s="36">
        <f t="shared" si="709"/>
        <v>0</v>
      </c>
      <c r="V4505" s="6">
        <f t="shared" si="710"/>
        <v>0</v>
      </c>
      <c r="Y4505" s="8">
        <f t="shared" si="711"/>
        <v>46023</v>
      </c>
    </row>
    <row r="4506" spans="2:25" ht="18.75" x14ac:dyDescent="0.3">
      <c r="B4506" s="6">
        <f t="shared" si="703"/>
        <v>0</v>
      </c>
      <c r="C4506" s="6">
        <f t="shared" si="704"/>
        <v>0</v>
      </c>
      <c r="D4506" s="6" t="str">
        <f t="shared" si="705"/>
        <v/>
      </c>
      <c r="E4506" s="35" t="str">
        <f t="shared" si="702"/>
        <v/>
      </c>
      <c r="F4506" s="31"/>
      <c r="G4506" s="29"/>
      <c r="H4506" s="78" t="str">
        <f t="shared" si="706"/>
        <v/>
      </c>
      <c r="I4506" s="25"/>
      <c r="J4506" s="25"/>
      <c r="K4506" s="26"/>
      <c r="L4506" s="26"/>
      <c r="M4506" s="37"/>
      <c r="N4506" s="27"/>
      <c r="O4506" s="30"/>
      <c r="P4506" s="39" t="str">
        <f t="shared" si="707"/>
        <v/>
      </c>
      <c r="Q4506" s="40" t="str">
        <f>IF(OR(T4506=0,RIGHT(T4506,1)=$W$1),"",COUNTIF($T$3:T4506,T4506))</f>
        <v/>
      </c>
      <c r="S4506" s="6">
        <f t="shared" si="708"/>
        <v>0</v>
      </c>
      <c r="T4506" s="36">
        <f t="shared" si="709"/>
        <v>0</v>
      </c>
      <c r="V4506" s="6">
        <f t="shared" si="710"/>
        <v>0</v>
      </c>
      <c r="Y4506" s="8">
        <f t="shared" si="711"/>
        <v>46023</v>
      </c>
    </row>
    <row r="4507" spans="2:25" ht="18.75" x14ac:dyDescent="0.3">
      <c r="B4507" s="6">
        <f t="shared" si="703"/>
        <v>0</v>
      </c>
      <c r="C4507" s="6">
        <f t="shared" si="704"/>
        <v>0</v>
      </c>
      <c r="D4507" s="6" t="str">
        <f t="shared" si="705"/>
        <v/>
      </c>
      <c r="E4507" s="35" t="str">
        <f t="shared" si="702"/>
        <v/>
      </c>
      <c r="F4507" s="31"/>
      <c r="G4507" s="29"/>
      <c r="H4507" s="78" t="str">
        <f t="shared" si="706"/>
        <v/>
      </c>
      <c r="I4507" s="25"/>
      <c r="J4507" s="25"/>
      <c r="K4507" s="26"/>
      <c r="L4507" s="26"/>
      <c r="M4507" s="37"/>
      <c r="N4507" s="27"/>
      <c r="O4507" s="30"/>
      <c r="P4507" s="39" t="str">
        <f t="shared" si="707"/>
        <v/>
      </c>
      <c r="Q4507" s="40" t="str">
        <f>IF(OR(T4507=0,RIGHT(T4507,1)=$W$1),"",COUNTIF($T$3:T4507,T4507))</f>
        <v/>
      </c>
      <c r="S4507" s="6">
        <f t="shared" si="708"/>
        <v>0</v>
      </c>
      <c r="T4507" s="36">
        <f t="shared" si="709"/>
        <v>0</v>
      </c>
      <c r="V4507" s="6">
        <f t="shared" si="710"/>
        <v>0</v>
      </c>
      <c r="Y4507" s="8">
        <f t="shared" si="711"/>
        <v>46023</v>
      </c>
    </row>
    <row r="4508" spans="2:25" ht="18.75" x14ac:dyDescent="0.3">
      <c r="B4508" s="6">
        <f t="shared" si="703"/>
        <v>0</v>
      </c>
      <c r="C4508" s="6">
        <f t="shared" si="704"/>
        <v>0</v>
      </c>
      <c r="D4508" s="6" t="str">
        <f t="shared" si="705"/>
        <v/>
      </c>
      <c r="E4508" s="35" t="str">
        <f t="shared" si="702"/>
        <v/>
      </c>
      <c r="F4508" s="31"/>
      <c r="G4508" s="29"/>
      <c r="H4508" s="78" t="str">
        <f t="shared" si="706"/>
        <v/>
      </c>
      <c r="I4508" s="25"/>
      <c r="J4508" s="25"/>
      <c r="K4508" s="26"/>
      <c r="L4508" s="26"/>
      <c r="M4508" s="37"/>
      <c r="N4508" s="27"/>
      <c r="O4508" s="30"/>
      <c r="P4508" s="39" t="str">
        <f t="shared" si="707"/>
        <v/>
      </c>
      <c r="Q4508" s="40" t="str">
        <f>IF(OR(T4508=0,RIGHT(T4508,1)=$W$1),"",COUNTIF($T$3:T4508,T4508))</f>
        <v/>
      </c>
      <c r="S4508" s="6">
        <f t="shared" si="708"/>
        <v>0</v>
      </c>
      <c r="T4508" s="36">
        <f t="shared" si="709"/>
        <v>0</v>
      </c>
      <c r="V4508" s="6">
        <f t="shared" si="710"/>
        <v>0</v>
      </c>
      <c r="Y4508" s="8">
        <f t="shared" si="711"/>
        <v>46023</v>
      </c>
    </row>
    <row r="4509" spans="2:25" ht="18.75" x14ac:dyDescent="0.3">
      <c r="B4509" s="6">
        <f t="shared" si="703"/>
        <v>0</v>
      </c>
      <c r="C4509" s="6">
        <f t="shared" si="704"/>
        <v>0</v>
      </c>
      <c r="D4509" s="6" t="str">
        <f t="shared" si="705"/>
        <v/>
      </c>
      <c r="E4509" s="35" t="str">
        <f t="shared" si="702"/>
        <v/>
      </c>
      <c r="F4509" s="31"/>
      <c r="G4509" s="29"/>
      <c r="H4509" s="78" t="str">
        <f t="shared" si="706"/>
        <v/>
      </c>
      <c r="I4509" s="25"/>
      <c r="J4509" s="25"/>
      <c r="K4509" s="26"/>
      <c r="L4509" s="26"/>
      <c r="M4509" s="37"/>
      <c r="N4509" s="27"/>
      <c r="O4509" s="30"/>
      <c r="P4509" s="39" t="str">
        <f t="shared" si="707"/>
        <v/>
      </c>
      <c r="Q4509" s="40" t="str">
        <f>IF(OR(T4509=0,RIGHT(T4509,1)=$W$1),"",COUNTIF($T$3:T4509,T4509))</f>
        <v/>
      </c>
      <c r="S4509" s="6">
        <f t="shared" si="708"/>
        <v>0</v>
      </c>
      <c r="T4509" s="36">
        <f t="shared" si="709"/>
        <v>0</v>
      </c>
      <c r="V4509" s="6">
        <f t="shared" si="710"/>
        <v>0</v>
      </c>
      <c r="Y4509" s="8">
        <f t="shared" si="711"/>
        <v>46023</v>
      </c>
    </row>
    <row r="4510" spans="2:25" ht="18.75" x14ac:dyDescent="0.3">
      <c r="B4510" s="6">
        <f t="shared" si="703"/>
        <v>0</v>
      </c>
      <c r="C4510" s="6">
        <f t="shared" si="704"/>
        <v>0</v>
      </c>
      <c r="D4510" s="6" t="str">
        <f t="shared" si="705"/>
        <v/>
      </c>
      <c r="E4510" s="35" t="str">
        <f t="shared" si="702"/>
        <v/>
      </c>
      <c r="F4510" s="31"/>
      <c r="G4510" s="29"/>
      <c r="H4510" s="78" t="str">
        <f t="shared" si="706"/>
        <v/>
      </c>
      <c r="I4510" s="25"/>
      <c r="J4510" s="25"/>
      <c r="K4510" s="26"/>
      <c r="L4510" s="26"/>
      <c r="M4510" s="37"/>
      <c r="N4510" s="27"/>
      <c r="O4510" s="30"/>
      <c r="P4510" s="39" t="str">
        <f t="shared" si="707"/>
        <v/>
      </c>
      <c r="Q4510" s="40" t="str">
        <f>IF(OR(T4510=0,RIGHT(T4510,1)=$W$1),"",COUNTIF($T$3:T4510,T4510))</f>
        <v/>
      </c>
      <c r="S4510" s="6">
        <f t="shared" si="708"/>
        <v>0</v>
      </c>
      <c r="T4510" s="36">
        <f t="shared" si="709"/>
        <v>0</v>
      </c>
      <c r="V4510" s="6">
        <f t="shared" si="710"/>
        <v>0</v>
      </c>
      <c r="Y4510" s="8">
        <f t="shared" si="711"/>
        <v>46023</v>
      </c>
    </row>
    <row r="4511" spans="2:25" ht="18.75" x14ac:dyDescent="0.3">
      <c r="B4511" s="6">
        <f t="shared" si="703"/>
        <v>0</v>
      </c>
      <c r="C4511" s="6">
        <f t="shared" si="704"/>
        <v>0</v>
      </c>
      <c r="D4511" s="6" t="str">
        <f t="shared" si="705"/>
        <v/>
      </c>
      <c r="E4511" s="35" t="str">
        <f t="shared" si="702"/>
        <v/>
      </c>
      <c r="F4511" s="31"/>
      <c r="G4511" s="29"/>
      <c r="H4511" s="78" t="str">
        <f t="shared" si="706"/>
        <v/>
      </c>
      <c r="I4511" s="25"/>
      <c r="J4511" s="25"/>
      <c r="K4511" s="26"/>
      <c r="L4511" s="26"/>
      <c r="M4511" s="37"/>
      <c r="N4511" s="27"/>
      <c r="O4511" s="30"/>
      <c r="P4511" s="39" t="str">
        <f t="shared" si="707"/>
        <v/>
      </c>
      <c r="Q4511" s="40" t="str">
        <f>IF(OR(T4511=0,RIGHT(T4511,1)=$W$1),"",COUNTIF($T$3:T4511,T4511))</f>
        <v/>
      </c>
      <c r="S4511" s="6">
        <f t="shared" si="708"/>
        <v>0</v>
      </c>
      <c r="T4511" s="36">
        <f t="shared" si="709"/>
        <v>0</v>
      </c>
      <c r="V4511" s="6">
        <f t="shared" si="710"/>
        <v>0</v>
      </c>
      <c r="Y4511" s="8">
        <f t="shared" si="711"/>
        <v>46023</v>
      </c>
    </row>
    <row r="4512" spans="2:25" ht="18.75" x14ac:dyDescent="0.3">
      <c r="B4512" s="6">
        <f t="shared" si="703"/>
        <v>0</v>
      </c>
      <c r="C4512" s="6">
        <f t="shared" si="704"/>
        <v>0</v>
      </c>
      <c r="D4512" s="6" t="str">
        <f t="shared" si="705"/>
        <v/>
      </c>
      <c r="E4512" s="35" t="str">
        <f t="shared" si="702"/>
        <v/>
      </c>
      <c r="F4512" s="31"/>
      <c r="G4512" s="29"/>
      <c r="H4512" s="78" t="str">
        <f t="shared" si="706"/>
        <v/>
      </c>
      <c r="I4512" s="25"/>
      <c r="J4512" s="25"/>
      <c r="K4512" s="26"/>
      <c r="L4512" s="26"/>
      <c r="M4512" s="37"/>
      <c r="N4512" s="27"/>
      <c r="O4512" s="30"/>
      <c r="P4512" s="39" t="str">
        <f t="shared" si="707"/>
        <v/>
      </c>
      <c r="Q4512" s="40" t="str">
        <f>IF(OR(T4512=0,RIGHT(T4512,1)=$W$1),"",COUNTIF($T$3:T4512,T4512))</f>
        <v/>
      </c>
      <c r="S4512" s="6">
        <f t="shared" si="708"/>
        <v>0</v>
      </c>
      <c r="T4512" s="36">
        <f t="shared" si="709"/>
        <v>0</v>
      </c>
      <c r="V4512" s="6">
        <f t="shared" si="710"/>
        <v>0</v>
      </c>
      <c r="Y4512" s="8">
        <f t="shared" si="711"/>
        <v>46023</v>
      </c>
    </row>
    <row r="4513" spans="2:25" ht="18.75" x14ac:dyDescent="0.3">
      <c r="B4513" s="6">
        <f t="shared" si="703"/>
        <v>0</v>
      </c>
      <c r="C4513" s="6">
        <f t="shared" si="704"/>
        <v>0</v>
      </c>
      <c r="D4513" s="6" t="str">
        <f t="shared" si="705"/>
        <v/>
      </c>
      <c r="E4513" s="35" t="str">
        <f t="shared" si="702"/>
        <v/>
      </c>
      <c r="F4513" s="31"/>
      <c r="G4513" s="29"/>
      <c r="H4513" s="78" t="str">
        <f t="shared" si="706"/>
        <v/>
      </c>
      <c r="I4513" s="25"/>
      <c r="J4513" s="25"/>
      <c r="K4513" s="26"/>
      <c r="L4513" s="26"/>
      <c r="M4513" s="37"/>
      <c r="N4513" s="27"/>
      <c r="O4513" s="30"/>
      <c r="P4513" s="39" t="str">
        <f t="shared" si="707"/>
        <v/>
      </c>
      <c r="Q4513" s="40" t="str">
        <f>IF(OR(T4513=0,RIGHT(T4513,1)=$W$1),"",COUNTIF($T$3:T4513,T4513))</f>
        <v/>
      </c>
      <c r="S4513" s="6">
        <f t="shared" si="708"/>
        <v>0</v>
      </c>
      <c r="T4513" s="36">
        <f t="shared" si="709"/>
        <v>0</v>
      </c>
      <c r="V4513" s="6">
        <f t="shared" si="710"/>
        <v>0</v>
      </c>
      <c r="Y4513" s="8">
        <f t="shared" si="711"/>
        <v>46023</v>
      </c>
    </row>
    <row r="4514" spans="2:25" ht="18.75" x14ac:dyDescent="0.3">
      <c r="B4514" s="6">
        <f t="shared" si="703"/>
        <v>0</v>
      </c>
      <c r="C4514" s="6">
        <f t="shared" si="704"/>
        <v>0</v>
      </c>
      <c r="D4514" s="6" t="str">
        <f t="shared" si="705"/>
        <v/>
      </c>
      <c r="E4514" s="35" t="str">
        <f t="shared" si="702"/>
        <v/>
      </c>
      <c r="F4514" s="31"/>
      <c r="G4514" s="29"/>
      <c r="H4514" s="78" t="str">
        <f t="shared" si="706"/>
        <v/>
      </c>
      <c r="I4514" s="25"/>
      <c r="J4514" s="25"/>
      <c r="K4514" s="26"/>
      <c r="L4514" s="26"/>
      <c r="M4514" s="37"/>
      <c r="N4514" s="27"/>
      <c r="O4514" s="30"/>
      <c r="P4514" s="39" t="str">
        <f t="shared" si="707"/>
        <v/>
      </c>
      <c r="Q4514" s="40" t="str">
        <f>IF(OR(T4514=0,RIGHT(T4514,1)=$W$1),"",COUNTIF($T$3:T4514,T4514))</f>
        <v/>
      </c>
      <c r="S4514" s="6">
        <f t="shared" si="708"/>
        <v>0</v>
      </c>
      <c r="T4514" s="36">
        <f t="shared" si="709"/>
        <v>0</v>
      </c>
      <c r="V4514" s="6">
        <f t="shared" si="710"/>
        <v>0</v>
      </c>
      <c r="Y4514" s="8">
        <f t="shared" si="711"/>
        <v>46023</v>
      </c>
    </row>
    <row r="4515" spans="2:25" ht="18.75" x14ac:dyDescent="0.3">
      <c r="B4515" s="6">
        <f t="shared" si="703"/>
        <v>0</v>
      </c>
      <c r="C4515" s="6">
        <f t="shared" si="704"/>
        <v>0</v>
      </c>
      <c r="D4515" s="6" t="str">
        <f t="shared" si="705"/>
        <v/>
      </c>
      <c r="E4515" s="35" t="str">
        <f t="shared" si="702"/>
        <v/>
      </c>
      <c r="F4515" s="31"/>
      <c r="G4515" s="29"/>
      <c r="H4515" s="78" t="str">
        <f t="shared" si="706"/>
        <v/>
      </c>
      <c r="I4515" s="25"/>
      <c r="J4515" s="25"/>
      <c r="K4515" s="26"/>
      <c r="L4515" s="26"/>
      <c r="M4515" s="37"/>
      <c r="N4515" s="27"/>
      <c r="O4515" s="30"/>
      <c r="P4515" s="39" t="str">
        <f t="shared" si="707"/>
        <v/>
      </c>
      <c r="Q4515" s="40" t="str">
        <f>IF(OR(T4515=0,RIGHT(T4515,1)=$W$1),"",COUNTIF($T$3:T4515,T4515))</f>
        <v/>
      </c>
      <c r="S4515" s="6">
        <f t="shared" si="708"/>
        <v>0</v>
      </c>
      <c r="T4515" s="36">
        <f t="shared" si="709"/>
        <v>0</v>
      </c>
      <c r="V4515" s="6">
        <f t="shared" si="710"/>
        <v>0</v>
      </c>
      <c r="Y4515" s="8">
        <f t="shared" si="711"/>
        <v>46023</v>
      </c>
    </row>
    <row r="4516" spans="2:25" ht="18.75" x14ac:dyDescent="0.3">
      <c r="B4516" s="6">
        <f t="shared" si="703"/>
        <v>0</v>
      </c>
      <c r="C4516" s="6">
        <f t="shared" si="704"/>
        <v>0</v>
      </c>
      <c r="D4516" s="6" t="str">
        <f t="shared" si="705"/>
        <v/>
      </c>
      <c r="E4516" s="35" t="str">
        <f t="shared" si="702"/>
        <v/>
      </c>
      <c r="F4516" s="31"/>
      <c r="G4516" s="29"/>
      <c r="H4516" s="78" t="str">
        <f t="shared" si="706"/>
        <v/>
      </c>
      <c r="I4516" s="25"/>
      <c r="J4516" s="25"/>
      <c r="K4516" s="26"/>
      <c r="L4516" s="26"/>
      <c r="M4516" s="37"/>
      <c r="N4516" s="27"/>
      <c r="O4516" s="30"/>
      <c r="P4516" s="39" t="str">
        <f t="shared" si="707"/>
        <v/>
      </c>
      <c r="Q4516" s="40" t="str">
        <f>IF(OR(T4516=0,RIGHT(T4516,1)=$W$1),"",COUNTIF($T$3:T4516,T4516))</f>
        <v/>
      </c>
      <c r="S4516" s="6">
        <f t="shared" si="708"/>
        <v>0</v>
      </c>
      <c r="T4516" s="36">
        <f t="shared" si="709"/>
        <v>0</v>
      </c>
      <c r="V4516" s="6">
        <f t="shared" si="710"/>
        <v>0</v>
      </c>
      <c r="Y4516" s="8">
        <f t="shared" si="711"/>
        <v>46023</v>
      </c>
    </row>
    <row r="4517" spans="2:25" ht="18.75" x14ac:dyDescent="0.3">
      <c r="B4517" s="6">
        <f t="shared" si="703"/>
        <v>0</v>
      </c>
      <c r="C4517" s="6">
        <f t="shared" si="704"/>
        <v>0</v>
      </c>
      <c r="D4517" s="6" t="str">
        <f t="shared" si="705"/>
        <v/>
      </c>
      <c r="E4517" s="35" t="str">
        <f t="shared" si="702"/>
        <v/>
      </c>
      <c r="F4517" s="31"/>
      <c r="G4517" s="29"/>
      <c r="H4517" s="78" t="str">
        <f t="shared" si="706"/>
        <v/>
      </c>
      <c r="I4517" s="25"/>
      <c r="J4517" s="25"/>
      <c r="K4517" s="26"/>
      <c r="L4517" s="26"/>
      <c r="M4517" s="37"/>
      <c r="N4517" s="27"/>
      <c r="O4517" s="30"/>
      <c r="P4517" s="39" t="str">
        <f t="shared" si="707"/>
        <v/>
      </c>
      <c r="Q4517" s="40" t="str">
        <f>IF(OR(T4517=0,RIGHT(T4517,1)=$W$1),"",COUNTIF($T$3:T4517,T4517))</f>
        <v/>
      </c>
      <c r="S4517" s="6">
        <f t="shared" si="708"/>
        <v>0</v>
      </c>
      <c r="T4517" s="36">
        <f t="shared" si="709"/>
        <v>0</v>
      </c>
      <c r="V4517" s="6">
        <f t="shared" si="710"/>
        <v>0</v>
      </c>
      <c r="Y4517" s="8">
        <f t="shared" si="711"/>
        <v>46023</v>
      </c>
    </row>
    <row r="4518" spans="2:25" ht="18.75" x14ac:dyDescent="0.3">
      <c r="B4518" s="6">
        <f t="shared" si="703"/>
        <v>0</v>
      </c>
      <c r="C4518" s="6">
        <f t="shared" si="704"/>
        <v>0</v>
      </c>
      <c r="D4518" s="6" t="str">
        <f t="shared" si="705"/>
        <v/>
      </c>
      <c r="E4518" s="35" t="str">
        <f t="shared" si="702"/>
        <v/>
      </c>
      <c r="F4518" s="31"/>
      <c r="G4518" s="29"/>
      <c r="H4518" s="78" t="str">
        <f t="shared" si="706"/>
        <v/>
      </c>
      <c r="I4518" s="25"/>
      <c r="J4518" s="25"/>
      <c r="K4518" s="26"/>
      <c r="L4518" s="26"/>
      <c r="M4518" s="37"/>
      <c r="N4518" s="27"/>
      <c r="O4518" s="30"/>
      <c r="P4518" s="39" t="str">
        <f t="shared" si="707"/>
        <v/>
      </c>
      <c r="Q4518" s="40" t="str">
        <f>IF(OR(T4518=0,RIGHT(T4518,1)=$W$1),"",COUNTIF($T$3:T4518,T4518))</f>
        <v/>
      </c>
      <c r="S4518" s="6">
        <f t="shared" si="708"/>
        <v>0</v>
      </c>
      <c r="T4518" s="36">
        <f t="shared" si="709"/>
        <v>0</v>
      </c>
      <c r="V4518" s="6">
        <f t="shared" si="710"/>
        <v>0</v>
      </c>
      <c r="Y4518" s="8">
        <f t="shared" si="711"/>
        <v>46023</v>
      </c>
    </row>
    <row r="4519" spans="2:25" ht="18.75" x14ac:dyDescent="0.3">
      <c r="B4519" s="6">
        <f t="shared" si="703"/>
        <v>0</v>
      </c>
      <c r="C4519" s="6">
        <f t="shared" si="704"/>
        <v>0</v>
      </c>
      <c r="D4519" s="6" t="str">
        <f t="shared" si="705"/>
        <v/>
      </c>
      <c r="E4519" s="35" t="str">
        <f t="shared" si="702"/>
        <v/>
      </c>
      <c r="F4519" s="31"/>
      <c r="G4519" s="29"/>
      <c r="H4519" s="78" t="str">
        <f t="shared" si="706"/>
        <v/>
      </c>
      <c r="I4519" s="25"/>
      <c r="J4519" s="25"/>
      <c r="K4519" s="26"/>
      <c r="L4519" s="26"/>
      <c r="M4519" s="37"/>
      <c r="N4519" s="27"/>
      <c r="O4519" s="30"/>
      <c r="P4519" s="39" t="str">
        <f t="shared" si="707"/>
        <v/>
      </c>
      <c r="Q4519" s="40" t="str">
        <f>IF(OR(T4519=0,RIGHT(T4519,1)=$W$1),"",COUNTIF($T$3:T4519,T4519))</f>
        <v/>
      </c>
      <c r="S4519" s="6">
        <f t="shared" si="708"/>
        <v>0</v>
      </c>
      <c r="T4519" s="36">
        <f t="shared" si="709"/>
        <v>0</v>
      </c>
      <c r="V4519" s="6">
        <f t="shared" si="710"/>
        <v>0</v>
      </c>
      <c r="Y4519" s="8">
        <f t="shared" si="711"/>
        <v>46023</v>
      </c>
    </row>
    <row r="4520" spans="2:25" ht="18.75" x14ac:dyDescent="0.3">
      <c r="B4520" s="6">
        <f t="shared" si="703"/>
        <v>0</v>
      </c>
      <c r="C4520" s="6">
        <f t="shared" si="704"/>
        <v>0</v>
      </c>
      <c r="D4520" s="6" t="str">
        <f t="shared" si="705"/>
        <v/>
      </c>
      <c r="E4520" s="35" t="str">
        <f t="shared" si="702"/>
        <v/>
      </c>
      <c r="F4520" s="31"/>
      <c r="G4520" s="29"/>
      <c r="H4520" s="78" t="str">
        <f t="shared" si="706"/>
        <v/>
      </c>
      <c r="I4520" s="25"/>
      <c r="J4520" s="25"/>
      <c r="K4520" s="26"/>
      <c r="L4520" s="26"/>
      <c r="M4520" s="37"/>
      <c r="N4520" s="27"/>
      <c r="O4520" s="30"/>
      <c r="P4520" s="39" t="str">
        <f t="shared" si="707"/>
        <v/>
      </c>
      <c r="Q4520" s="40" t="str">
        <f>IF(OR(T4520=0,RIGHT(T4520,1)=$W$1),"",COUNTIF($T$3:T4520,T4520))</f>
        <v/>
      </c>
      <c r="S4520" s="6">
        <f t="shared" si="708"/>
        <v>0</v>
      </c>
      <c r="T4520" s="36">
        <f t="shared" si="709"/>
        <v>0</v>
      </c>
      <c r="V4520" s="6">
        <f t="shared" si="710"/>
        <v>0</v>
      </c>
      <c r="Y4520" s="8">
        <f t="shared" si="711"/>
        <v>46023</v>
      </c>
    </row>
    <row r="4521" spans="2:25" ht="18.75" x14ac:dyDescent="0.3">
      <c r="B4521" s="6">
        <f t="shared" si="703"/>
        <v>0</v>
      </c>
      <c r="C4521" s="6">
        <f t="shared" si="704"/>
        <v>0</v>
      </c>
      <c r="D4521" s="6" t="str">
        <f t="shared" si="705"/>
        <v/>
      </c>
      <c r="E4521" s="35" t="str">
        <f t="shared" si="702"/>
        <v/>
      </c>
      <c r="F4521" s="31"/>
      <c r="G4521" s="29"/>
      <c r="H4521" s="78" t="str">
        <f t="shared" si="706"/>
        <v/>
      </c>
      <c r="I4521" s="25"/>
      <c r="J4521" s="25"/>
      <c r="K4521" s="26"/>
      <c r="L4521" s="26"/>
      <c r="M4521" s="37"/>
      <c r="N4521" s="27"/>
      <c r="O4521" s="30"/>
      <c r="P4521" s="39" t="str">
        <f t="shared" si="707"/>
        <v/>
      </c>
      <c r="Q4521" s="40" t="str">
        <f>IF(OR(T4521=0,RIGHT(T4521,1)=$W$1),"",COUNTIF($T$3:T4521,T4521))</f>
        <v/>
      </c>
      <c r="S4521" s="6">
        <f t="shared" si="708"/>
        <v>0</v>
      </c>
      <c r="T4521" s="36">
        <f t="shared" si="709"/>
        <v>0</v>
      </c>
      <c r="V4521" s="6">
        <f t="shared" si="710"/>
        <v>0</v>
      </c>
      <c r="Y4521" s="8">
        <f t="shared" si="711"/>
        <v>46023</v>
      </c>
    </row>
    <row r="4522" spans="2:25" ht="18.75" x14ac:dyDescent="0.3">
      <c r="B4522" s="6">
        <f t="shared" si="703"/>
        <v>0</v>
      </c>
      <c r="C4522" s="6">
        <f t="shared" si="704"/>
        <v>0</v>
      </c>
      <c r="D4522" s="6" t="str">
        <f t="shared" si="705"/>
        <v/>
      </c>
      <c r="E4522" s="35" t="str">
        <f t="shared" si="702"/>
        <v/>
      </c>
      <c r="F4522" s="31"/>
      <c r="G4522" s="29"/>
      <c r="H4522" s="78" t="str">
        <f t="shared" si="706"/>
        <v/>
      </c>
      <c r="I4522" s="25"/>
      <c r="J4522" s="25"/>
      <c r="K4522" s="26"/>
      <c r="L4522" s="26"/>
      <c r="M4522" s="37"/>
      <c r="N4522" s="27"/>
      <c r="O4522" s="30"/>
      <c r="P4522" s="39" t="str">
        <f t="shared" si="707"/>
        <v/>
      </c>
      <c r="Q4522" s="40" t="str">
        <f>IF(OR(T4522=0,RIGHT(T4522,1)=$W$1),"",COUNTIF($T$3:T4522,T4522))</f>
        <v/>
      </c>
      <c r="S4522" s="6">
        <f t="shared" si="708"/>
        <v>0</v>
      </c>
      <c r="T4522" s="36">
        <f t="shared" si="709"/>
        <v>0</v>
      </c>
      <c r="V4522" s="6">
        <f t="shared" si="710"/>
        <v>0</v>
      </c>
      <c r="Y4522" s="8">
        <f t="shared" si="711"/>
        <v>46023</v>
      </c>
    </row>
    <row r="4523" spans="2:25" ht="18.75" x14ac:dyDescent="0.3">
      <c r="B4523" s="6">
        <f t="shared" si="703"/>
        <v>0</v>
      </c>
      <c r="C4523" s="6">
        <f t="shared" si="704"/>
        <v>0</v>
      </c>
      <c r="D4523" s="6" t="str">
        <f t="shared" si="705"/>
        <v/>
      </c>
      <c r="E4523" s="35" t="str">
        <f t="shared" si="702"/>
        <v/>
      </c>
      <c r="F4523" s="31"/>
      <c r="G4523" s="29"/>
      <c r="H4523" s="78" t="str">
        <f t="shared" si="706"/>
        <v/>
      </c>
      <c r="I4523" s="25"/>
      <c r="J4523" s="25"/>
      <c r="K4523" s="26"/>
      <c r="L4523" s="26"/>
      <c r="M4523" s="37"/>
      <c r="N4523" s="27"/>
      <c r="O4523" s="30"/>
      <c r="P4523" s="39" t="str">
        <f t="shared" si="707"/>
        <v/>
      </c>
      <c r="Q4523" s="40" t="str">
        <f>IF(OR(T4523=0,RIGHT(T4523,1)=$W$1),"",COUNTIF($T$3:T4523,T4523))</f>
        <v/>
      </c>
      <c r="S4523" s="6">
        <f t="shared" si="708"/>
        <v>0</v>
      </c>
      <c r="T4523" s="36">
        <f t="shared" si="709"/>
        <v>0</v>
      </c>
      <c r="V4523" s="6">
        <f t="shared" si="710"/>
        <v>0</v>
      </c>
      <c r="Y4523" s="8">
        <f t="shared" si="711"/>
        <v>46023</v>
      </c>
    </row>
    <row r="4524" spans="2:25" ht="18.75" x14ac:dyDescent="0.3">
      <c r="B4524" s="6">
        <f t="shared" si="703"/>
        <v>0</v>
      </c>
      <c r="C4524" s="6">
        <f t="shared" si="704"/>
        <v>0</v>
      </c>
      <c r="D4524" s="6" t="str">
        <f t="shared" si="705"/>
        <v/>
      </c>
      <c r="E4524" s="35" t="str">
        <f t="shared" si="702"/>
        <v/>
      </c>
      <c r="F4524" s="31"/>
      <c r="G4524" s="29"/>
      <c r="H4524" s="78" t="str">
        <f t="shared" si="706"/>
        <v/>
      </c>
      <c r="I4524" s="25"/>
      <c r="J4524" s="25"/>
      <c r="K4524" s="26"/>
      <c r="L4524" s="26"/>
      <c r="M4524" s="37"/>
      <c r="N4524" s="27"/>
      <c r="O4524" s="30"/>
      <c r="P4524" s="39" t="str">
        <f t="shared" si="707"/>
        <v/>
      </c>
      <c r="Q4524" s="40" t="str">
        <f>IF(OR(T4524=0,RIGHT(T4524,1)=$W$1),"",COUNTIF($T$3:T4524,T4524))</f>
        <v/>
      </c>
      <c r="S4524" s="6">
        <f t="shared" si="708"/>
        <v>0</v>
      </c>
      <c r="T4524" s="36">
        <f t="shared" si="709"/>
        <v>0</v>
      </c>
      <c r="V4524" s="6">
        <f t="shared" si="710"/>
        <v>0</v>
      </c>
      <c r="Y4524" s="8">
        <f t="shared" si="711"/>
        <v>46023</v>
      </c>
    </row>
    <row r="4525" spans="2:25" ht="18.75" x14ac:dyDescent="0.3">
      <c r="B4525" s="6">
        <f t="shared" si="703"/>
        <v>0</v>
      </c>
      <c r="C4525" s="6">
        <f t="shared" si="704"/>
        <v>0</v>
      </c>
      <c r="D4525" s="6" t="str">
        <f t="shared" si="705"/>
        <v/>
      </c>
      <c r="E4525" s="35" t="str">
        <f t="shared" si="702"/>
        <v/>
      </c>
      <c r="F4525" s="31"/>
      <c r="G4525" s="29"/>
      <c r="H4525" s="78" t="str">
        <f t="shared" si="706"/>
        <v/>
      </c>
      <c r="I4525" s="25"/>
      <c r="J4525" s="25"/>
      <c r="K4525" s="26"/>
      <c r="L4525" s="26"/>
      <c r="M4525" s="37"/>
      <c r="N4525" s="27"/>
      <c r="O4525" s="30"/>
      <c r="P4525" s="39" t="str">
        <f t="shared" si="707"/>
        <v/>
      </c>
      <c r="Q4525" s="40" t="str">
        <f>IF(OR(T4525=0,RIGHT(T4525,1)=$W$1),"",COUNTIF($T$3:T4525,T4525))</f>
        <v/>
      </c>
      <c r="S4525" s="6">
        <f t="shared" si="708"/>
        <v>0</v>
      </c>
      <c r="T4525" s="36">
        <f t="shared" si="709"/>
        <v>0</v>
      </c>
      <c r="V4525" s="6">
        <f t="shared" si="710"/>
        <v>0</v>
      </c>
      <c r="Y4525" s="8">
        <f t="shared" si="711"/>
        <v>46023</v>
      </c>
    </row>
    <row r="4526" spans="2:25" ht="18.75" x14ac:dyDescent="0.3">
      <c r="B4526" s="6">
        <f t="shared" si="703"/>
        <v>0</v>
      </c>
      <c r="C4526" s="6">
        <f t="shared" si="704"/>
        <v>0</v>
      </c>
      <c r="D4526" s="6" t="str">
        <f t="shared" si="705"/>
        <v/>
      </c>
      <c r="E4526" s="35" t="str">
        <f t="shared" si="702"/>
        <v/>
      </c>
      <c r="F4526" s="31"/>
      <c r="G4526" s="29"/>
      <c r="H4526" s="78" t="str">
        <f t="shared" si="706"/>
        <v/>
      </c>
      <c r="I4526" s="25"/>
      <c r="J4526" s="25"/>
      <c r="K4526" s="26"/>
      <c r="L4526" s="26"/>
      <c r="M4526" s="37"/>
      <c r="N4526" s="27"/>
      <c r="O4526" s="30"/>
      <c r="P4526" s="39" t="str">
        <f t="shared" si="707"/>
        <v/>
      </c>
      <c r="Q4526" s="40" t="str">
        <f>IF(OR(T4526=0,RIGHT(T4526,1)=$W$1),"",COUNTIF($T$3:T4526,T4526))</f>
        <v/>
      </c>
      <c r="S4526" s="6">
        <f t="shared" si="708"/>
        <v>0</v>
      </c>
      <c r="T4526" s="36">
        <f t="shared" si="709"/>
        <v>0</v>
      </c>
      <c r="V4526" s="6">
        <f t="shared" si="710"/>
        <v>0</v>
      </c>
      <c r="Y4526" s="8">
        <f t="shared" si="711"/>
        <v>46023</v>
      </c>
    </row>
    <row r="4527" spans="2:25" ht="18.75" x14ac:dyDescent="0.3">
      <c r="B4527" s="6">
        <f t="shared" si="703"/>
        <v>0</v>
      </c>
      <c r="C4527" s="6">
        <f t="shared" si="704"/>
        <v>0</v>
      </c>
      <c r="D4527" s="6" t="str">
        <f t="shared" si="705"/>
        <v/>
      </c>
      <c r="E4527" s="35" t="str">
        <f t="shared" si="702"/>
        <v/>
      </c>
      <c r="F4527" s="31"/>
      <c r="G4527" s="29"/>
      <c r="H4527" s="78" t="str">
        <f t="shared" si="706"/>
        <v/>
      </c>
      <c r="I4527" s="25"/>
      <c r="J4527" s="25"/>
      <c r="K4527" s="26"/>
      <c r="L4527" s="26"/>
      <c r="M4527" s="37"/>
      <c r="N4527" s="27"/>
      <c r="O4527" s="30"/>
      <c r="P4527" s="39" t="str">
        <f t="shared" si="707"/>
        <v/>
      </c>
      <c r="Q4527" s="40" t="str">
        <f>IF(OR(T4527=0,RIGHT(T4527,1)=$W$1),"",COUNTIF($T$3:T4527,T4527))</f>
        <v/>
      </c>
      <c r="S4527" s="6">
        <f t="shared" si="708"/>
        <v>0</v>
      </c>
      <c r="T4527" s="36">
        <f t="shared" si="709"/>
        <v>0</v>
      </c>
      <c r="V4527" s="6">
        <f t="shared" si="710"/>
        <v>0</v>
      </c>
      <c r="Y4527" s="8">
        <f t="shared" si="711"/>
        <v>46023</v>
      </c>
    </row>
    <row r="4528" spans="2:25" ht="18.75" x14ac:dyDescent="0.3">
      <c r="B4528" s="6">
        <f t="shared" si="703"/>
        <v>0</v>
      </c>
      <c r="C4528" s="6">
        <f t="shared" si="704"/>
        <v>0</v>
      </c>
      <c r="D4528" s="6" t="str">
        <f t="shared" si="705"/>
        <v/>
      </c>
      <c r="E4528" s="35" t="str">
        <f t="shared" si="702"/>
        <v/>
      </c>
      <c r="F4528" s="31"/>
      <c r="G4528" s="29"/>
      <c r="H4528" s="78" t="str">
        <f t="shared" si="706"/>
        <v/>
      </c>
      <c r="I4528" s="25"/>
      <c r="J4528" s="25"/>
      <c r="K4528" s="26"/>
      <c r="L4528" s="26"/>
      <c r="M4528" s="37"/>
      <c r="N4528" s="27"/>
      <c r="O4528" s="30"/>
      <c r="P4528" s="39" t="str">
        <f t="shared" si="707"/>
        <v/>
      </c>
      <c r="Q4528" s="40" t="str">
        <f>IF(OR(T4528=0,RIGHT(T4528,1)=$W$1),"",COUNTIF($T$3:T4528,T4528))</f>
        <v/>
      </c>
      <c r="S4528" s="6">
        <f t="shared" si="708"/>
        <v>0</v>
      </c>
      <c r="T4528" s="36">
        <f t="shared" si="709"/>
        <v>0</v>
      </c>
      <c r="V4528" s="6">
        <f t="shared" si="710"/>
        <v>0</v>
      </c>
      <c r="Y4528" s="8">
        <f t="shared" si="711"/>
        <v>46023</v>
      </c>
    </row>
    <row r="4529" spans="2:25" ht="18.75" x14ac:dyDescent="0.3">
      <c r="B4529" s="6">
        <f t="shared" si="703"/>
        <v>0</v>
      </c>
      <c r="C4529" s="6">
        <f t="shared" si="704"/>
        <v>0</v>
      </c>
      <c r="D4529" s="6" t="str">
        <f t="shared" si="705"/>
        <v/>
      </c>
      <c r="E4529" s="35" t="str">
        <f t="shared" si="702"/>
        <v/>
      </c>
      <c r="F4529" s="31"/>
      <c r="G4529" s="29"/>
      <c r="H4529" s="78" t="str">
        <f t="shared" si="706"/>
        <v/>
      </c>
      <c r="I4529" s="25"/>
      <c r="J4529" s="25"/>
      <c r="K4529" s="26"/>
      <c r="L4529" s="26"/>
      <c r="M4529" s="37"/>
      <c r="N4529" s="27"/>
      <c r="O4529" s="30"/>
      <c r="P4529" s="39" t="str">
        <f t="shared" si="707"/>
        <v/>
      </c>
      <c r="Q4529" s="40" t="str">
        <f>IF(OR(T4529=0,RIGHT(T4529,1)=$W$1),"",COUNTIF($T$3:T4529,T4529))</f>
        <v/>
      </c>
      <c r="S4529" s="6">
        <f t="shared" si="708"/>
        <v>0</v>
      </c>
      <c r="T4529" s="36">
        <f t="shared" si="709"/>
        <v>0</v>
      </c>
      <c r="V4529" s="6">
        <f t="shared" si="710"/>
        <v>0</v>
      </c>
      <c r="Y4529" s="8">
        <f t="shared" si="711"/>
        <v>46023</v>
      </c>
    </row>
    <row r="4530" spans="2:25" ht="18.75" x14ac:dyDescent="0.3">
      <c r="B4530" s="6">
        <f t="shared" si="703"/>
        <v>0</v>
      </c>
      <c r="C4530" s="6">
        <f t="shared" si="704"/>
        <v>0</v>
      </c>
      <c r="D4530" s="6" t="str">
        <f t="shared" si="705"/>
        <v/>
      </c>
      <c r="E4530" s="35" t="str">
        <f t="shared" si="702"/>
        <v/>
      </c>
      <c r="F4530" s="31"/>
      <c r="G4530" s="29"/>
      <c r="H4530" s="78" t="str">
        <f t="shared" si="706"/>
        <v/>
      </c>
      <c r="I4530" s="25"/>
      <c r="J4530" s="25"/>
      <c r="K4530" s="26"/>
      <c r="L4530" s="26"/>
      <c r="M4530" s="37"/>
      <c r="N4530" s="27"/>
      <c r="O4530" s="30"/>
      <c r="P4530" s="39" t="str">
        <f t="shared" si="707"/>
        <v/>
      </c>
      <c r="Q4530" s="40" t="str">
        <f>IF(OR(T4530=0,RIGHT(T4530,1)=$W$1),"",COUNTIF($T$3:T4530,T4530))</f>
        <v/>
      </c>
      <c r="S4530" s="6">
        <f t="shared" si="708"/>
        <v>0</v>
      </c>
      <c r="T4530" s="36">
        <f t="shared" si="709"/>
        <v>0</v>
      </c>
      <c r="V4530" s="6">
        <f t="shared" si="710"/>
        <v>0</v>
      </c>
      <c r="Y4530" s="8">
        <f t="shared" si="711"/>
        <v>46023</v>
      </c>
    </row>
    <row r="4531" spans="2:25" ht="18.75" x14ac:dyDescent="0.3">
      <c r="B4531" s="6">
        <f t="shared" si="703"/>
        <v>0</v>
      </c>
      <c r="C4531" s="6">
        <f t="shared" si="704"/>
        <v>0</v>
      </c>
      <c r="D4531" s="6" t="str">
        <f t="shared" si="705"/>
        <v/>
      </c>
      <c r="E4531" s="35" t="str">
        <f t="shared" si="702"/>
        <v/>
      </c>
      <c r="F4531" s="31"/>
      <c r="G4531" s="29"/>
      <c r="H4531" s="78" t="str">
        <f t="shared" si="706"/>
        <v/>
      </c>
      <c r="I4531" s="25"/>
      <c r="J4531" s="25"/>
      <c r="K4531" s="26"/>
      <c r="L4531" s="26"/>
      <c r="M4531" s="37"/>
      <c r="N4531" s="27"/>
      <c r="O4531" s="30"/>
      <c r="P4531" s="39" t="str">
        <f t="shared" si="707"/>
        <v/>
      </c>
      <c r="Q4531" s="40" t="str">
        <f>IF(OR(T4531=0,RIGHT(T4531,1)=$W$1),"",COUNTIF($T$3:T4531,T4531))</f>
        <v/>
      </c>
      <c r="S4531" s="6">
        <f t="shared" si="708"/>
        <v>0</v>
      </c>
      <c r="T4531" s="36">
        <f t="shared" si="709"/>
        <v>0</v>
      </c>
      <c r="V4531" s="6">
        <f t="shared" si="710"/>
        <v>0</v>
      </c>
      <c r="Y4531" s="8">
        <f t="shared" si="711"/>
        <v>46023</v>
      </c>
    </row>
    <row r="4532" spans="2:25" ht="18.75" x14ac:dyDescent="0.3">
      <c r="B4532" s="6">
        <f t="shared" si="703"/>
        <v>0</v>
      </c>
      <c r="C4532" s="6">
        <f t="shared" si="704"/>
        <v>0</v>
      </c>
      <c r="D4532" s="6" t="str">
        <f t="shared" si="705"/>
        <v/>
      </c>
      <c r="E4532" s="35" t="str">
        <f t="shared" si="702"/>
        <v/>
      </c>
      <c r="F4532" s="31"/>
      <c r="G4532" s="29"/>
      <c r="H4532" s="78" t="str">
        <f t="shared" si="706"/>
        <v/>
      </c>
      <c r="I4532" s="25"/>
      <c r="J4532" s="25"/>
      <c r="K4532" s="26"/>
      <c r="L4532" s="26"/>
      <c r="M4532" s="37"/>
      <c r="N4532" s="27"/>
      <c r="O4532" s="30"/>
      <c r="P4532" s="39" t="str">
        <f t="shared" si="707"/>
        <v/>
      </c>
      <c r="Q4532" s="40" t="str">
        <f>IF(OR(T4532=0,RIGHT(T4532,1)=$W$1),"",COUNTIF($T$3:T4532,T4532))</f>
        <v/>
      </c>
      <c r="S4532" s="6">
        <f t="shared" si="708"/>
        <v>0</v>
      </c>
      <c r="T4532" s="36">
        <f t="shared" si="709"/>
        <v>0</v>
      </c>
      <c r="V4532" s="6">
        <f t="shared" si="710"/>
        <v>0</v>
      </c>
      <c r="Y4532" s="8">
        <f t="shared" si="711"/>
        <v>46023</v>
      </c>
    </row>
    <row r="4533" spans="2:25" ht="18.75" x14ac:dyDescent="0.3">
      <c r="B4533" s="6">
        <f t="shared" si="703"/>
        <v>0</v>
      </c>
      <c r="C4533" s="6">
        <f t="shared" si="704"/>
        <v>0</v>
      </c>
      <c r="D4533" s="6" t="str">
        <f t="shared" si="705"/>
        <v/>
      </c>
      <c r="E4533" s="35" t="str">
        <f t="shared" si="702"/>
        <v/>
      </c>
      <c r="F4533" s="31"/>
      <c r="G4533" s="29"/>
      <c r="H4533" s="78" t="str">
        <f t="shared" si="706"/>
        <v/>
      </c>
      <c r="I4533" s="25"/>
      <c r="J4533" s="25"/>
      <c r="K4533" s="26"/>
      <c r="L4533" s="26"/>
      <c r="M4533" s="37"/>
      <c r="N4533" s="27"/>
      <c r="O4533" s="30"/>
      <c r="P4533" s="39" t="str">
        <f t="shared" si="707"/>
        <v/>
      </c>
      <c r="Q4533" s="40" t="str">
        <f>IF(OR(T4533=0,RIGHT(T4533,1)=$W$1),"",COUNTIF($T$3:T4533,T4533))</f>
        <v/>
      </c>
      <c r="S4533" s="6">
        <f t="shared" si="708"/>
        <v>0</v>
      </c>
      <c r="T4533" s="36">
        <f t="shared" si="709"/>
        <v>0</v>
      </c>
      <c r="V4533" s="6">
        <f t="shared" si="710"/>
        <v>0</v>
      </c>
      <c r="Y4533" s="8">
        <f t="shared" si="711"/>
        <v>46023</v>
      </c>
    </row>
    <row r="4534" spans="2:25" ht="18.75" x14ac:dyDescent="0.3">
      <c r="B4534" s="6">
        <f t="shared" si="703"/>
        <v>0</v>
      </c>
      <c r="C4534" s="6">
        <f t="shared" si="704"/>
        <v>0</v>
      </c>
      <c r="D4534" s="6" t="str">
        <f t="shared" si="705"/>
        <v/>
      </c>
      <c r="E4534" s="35" t="str">
        <f t="shared" si="702"/>
        <v/>
      </c>
      <c r="F4534" s="31"/>
      <c r="G4534" s="29"/>
      <c r="H4534" s="78" t="str">
        <f t="shared" si="706"/>
        <v/>
      </c>
      <c r="I4534" s="25"/>
      <c r="J4534" s="25"/>
      <c r="K4534" s="26"/>
      <c r="L4534" s="26"/>
      <c r="M4534" s="37"/>
      <c r="N4534" s="27"/>
      <c r="O4534" s="30"/>
      <c r="P4534" s="39" t="str">
        <f t="shared" si="707"/>
        <v/>
      </c>
      <c r="Q4534" s="40" t="str">
        <f>IF(OR(T4534=0,RIGHT(T4534,1)=$W$1),"",COUNTIF($T$3:T4534,T4534))</f>
        <v/>
      </c>
      <c r="S4534" s="6">
        <f t="shared" si="708"/>
        <v>0</v>
      </c>
      <c r="T4534" s="36">
        <f t="shared" si="709"/>
        <v>0</v>
      </c>
      <c r="V4534" s="6">
        <f t="shared" si="710"/>
        <v>0</v>
      </c>
      <c r="Y4534" s="8">
        <f t="shared" si="711"/>
        <v>46023</v>
      </c>
    </row>
    <row r="4535" spans="2:25" ht="18.75" x14ac:dyDescent="0.3">
      <c r="B4535" s="6">
        <f t="shared" si="703"/>
        <v>0</v>
      </c>
      <c r="C4535" s="6">
        <f t="shared" si="704"/>
        <v>0</v>
      </c>
      <c r="D4535" s="6" t="str">
        <f t="shared" si="705"/>
        <v/>
      </c>
      <c r="E4535" s="35" t="str">
        <f t="shared" si="702"/>
        <v/>
      </c>
      <c r="F4535" s="31"/>
      <c r="G4535" s="29"/>
      <c r="H4535" s="78" t="str">
        <f t="shared" si="706"/>
        <v/>
      </c>
      <c r="I4535" s="25"/>
      <c r="J4535" s="25"/>
      <c r="K4535" s="26"/>
      <c r="L4535" s="26"/>
      <c r="M4535" s="37"/>
      <c r="N4535" s="27"/>
      <c r="O4535" s="30"/>
      <c r="P4535" s="39" t="str">
        <f t="shared" si="707"/>
        <v/>
      </c>
      <c r="Q4535" s="40" t="str">
        <f>IF(OR(T4535=0,RIGHT(T4535,1)=$W$1),"",COUNTIF($T$3:T4535,T4535))</f>
        <v/>
      </c>
      <c r="S4535" s="6">
        <f t="shared" si="708"/>
        <v>0</v>
      </c>
      <c r="T4535" s="36">
        <f t="shared" si="709"/>
        <v>0</v>
      </c>
      <c r="V4535" s="6">
        <f t="shared" si="710"/>
        <v>0</v>
      </c>
      <c r="Y4535" s="8">
        <f t="shared" si="711"/>
        <v>46023</v>
      </c>
    </row>
    <row r="4536" spans="2:25" ht="18.75" x14ac:dyDescent="0.3">
      <c r="B4536" s="6">
        <f t="shared" si="703"/>
        <v>0</v>
      </c>
      <c r="C4536" s="6">
        <f t="shared" si="704"/>
        <v>0</v>
      </c>
      <c r="D4536" s="6" t="str">
        <f t="shared" si="705"/>
        <v/>
      </c>
      <c r="E4536" s="35" t="str">
        <f t="shared" si="702"/>
        <v/>
      </c>
      <c r="F4536" s="31"/>
      <c r="G4536" s="29"/>
      <c r="H4536" s="78" t="str">
        <f t="shared" si="706"/>
        <v/>
      </c>
      <c r="I4536" s="25"/>
      <c r="J4536" s="25"/>
      <c r="K4536" s="26"/>
      <c r="L4536" s="26"/>
      <c r="M4536" s="37"/>
      <c r="N4536" s="27"/>
      <c r="O4536" s="30"/>
      <c r="P4536" s="39" t="str">
        <f t="shared" si="707"/>
        <v/>
      </c>
      <c r="Q4536" s="40" t="str">
        <f>IF(OR(T4536=0,RIGHT(T4536,1)=$W$1),"",COUNTIF($T$3:T4536,T4536))</f>
        <v/>
      </c>
      <c r="S4536" s="6">
        <f t="shared" si="708"/>
        <v>0</v>
      </c>
      <c r="T4536" s="36">
        <f t="shared" si="709"/>
        <v>0</v>
      </c>
      <c r="V4536" s="6">
        <f t="shared" si="710"/>
        <v>0</v>
      </c>
      <c r="Y4536" s="8">
        <f t="shared" si="711"/>
        <v>46023</v>
      </c>
    </row>
    <row r="4537" spans="2:25" ht="18.75" x14ac:dyDescent="0.3">
      <c r="B4537" s="6">
        <f t="shared" si="703"/>
        <v>0</v>
      </c>
      <c r="C4537" s="6">
        <f t="shared" si="704"/>
        <v>0</v>
      </c>
      <c r="D4537" s="6" t="str">
        <f t="shared" si="705"/>
        <v/>
      </c>
      <c r="E4537" s="35" t="str">
        <f t="shared" si="702"/>
        <v/>
      </c>
      <c r="F4537" s="31"/>
      <c r="G4537" s="29"/>
      <c r="H4537" s="78" t="str">
        <f t="shared" si="706"/>
        <v/>
      </c>
      <c r="I4537" s="25"/>
      <c r="J4537" s="25"/>
      <c r="K4537" s="26"/>
      <c r="L4537" s="26"/>
      <c r="M4537" s="37"/>
      <c r="N4537" s="27"/>
      <c r="O4537" s="30"/>
      <c r="P4537" s="39" t="str">
        <f t="shared" si="707"/>
        <v/>
      </c>
      <c r="Q4537" s="40" t="str">
        <f>IF(OR(T4537=0,RIGHT(T4537,1)=$W$1),"",COUNTIF($T$3:T4537,T4537))</f>
        <v/>
      </c>
      <c r="S4537" s="6">
        <f t="shared" si="708"/>
        <v>0</v>
      </c>
      <c r="T4537" s="36">
        <f t="shared" si="709"/>
        <v>0</v>
      </c>
      <c r="V4537" s="6">
        <f t="shared" si="710"/>
        <v>0</v>
      </c>
      <c r="Y4537" s="8">
        <f t="shared" si="711"/>
        <v>46023</v>
      </c>
    </row>
    <row r="4538" spans="2:25" ht="18.75" x14ac:dyDescent="0.3">
      <c r="B4538" s="6">
        <f t="shared" si="703"/>
        <v>0</v>
      </c>
      <c r="C4538" s="6">
        <f t="shared" si="704"/>
        <v>0</v>
      </c>
      <c r="D4538" s="6" t="str">
        <f t="shared" si="705"/>
        <v/>
      </c>
      <c r="E4538" s="35" t="str">
        <f t="shared" si="702"/>
        <v/>
      </c>
      <c r="F4538" s="31"/>
      <c r="G4538" s="29"/>
      <c r="H4538" s="78" t="str">
        <f t="shared" si="706"/>
        <v/>
      </c>
      <c r="I4538" s="25"/>
      <c r="J4538" s="25"/>
      <c r="K4538" s="26"/>
      <c r="L4538" s="26"/>
      <c r="M4538" s="37"/>
      <c r="N4538" s="27"/>
      <c r="O4538" s="30"/>
      <c r="P4538" s="39" t="str">
        <f t="shared" si="707"/>
        <v/>
      </c>
      <c r="Q4538" s="40" t="str">
        <f>IF(OR(T4538=0,RIGHT(T4538,1)=$W$1),"",COUNTIF($T$3:T4538,T4538))</f>
        <v/>
      </c>
      <c r="S4538" s="6">
        <f t="shared" si="708"/>
        <v>0</v>
      </c>
      <c r="T4538" s="36">
        <f t="shared" si="709"/>
        <v>0</v>
      </c>
      <c r="V4538" s="6">
        <f t="shared" si="710"/>
        <v>0</v>
      </c>
      <c r="Y4538" s="8">
        <f t="shared" si="711"/>
        <v>46023</v>
      </c>
    </row>
    <row r="4539" spans="2:25" ht="18.75" x14ac:dyDescent="0.3">
      <c r="B4539" s="6">
        <f t="shared" si="703"/>
        <v>0</v>
      </c>
      <c r="C4539" s="6">
        <f t="shared" si="704"/>
        <v>0</v>
      </c>
      <c r="D4539" s="6" t="str">
        <f t="shared" si="705"/>
        <v/>
      </c>
      <c r="E4539" s="35" t="str">
        <f t="shared" si="702"/>
        <v/>
      </c>
      <c r="F4539" s="31"/>
      <c r="G4539" s="29"/>
      <c r="H4539" s="78" t="str">
        <f t="shared" si="706"/>
        <v/>
      </c>
      <c r="I4539" s="25"/>
      <c r="J4539" s="25"/>
      <c r="K4539" s="26"/>
      <c r="L4539" s="26"/>
      <c r="M4539" s="37"/>
      <c r="N4539" s="27"/>
      <c r="O4539" s="30"/>
      <c r="P4539" s="39" t="str">
        <f t="shared" si="707"/>
        <v/>
      </c>
      <c r="Q4539" s="40" t="str">
        <f>IF(OR(T4539=0,RIGHT(T4539,1)=$W$1),"",COUNTIF($T$3:T4539,T4539))</f>
        <v/>
      </c>
      <c r="S4539" s="6">
        <f t="shared" si="708"/>
        <v>0</v>
      </c>
      <c r="T4539" s="36">
        <f t="shared" si="709"/>
        <v>0</v>
      </c>
      <c r="V4539" s="6">
        <f t="shared" si="710"/>
        <v>0</v>
      </c>
      <c r="Y4539" s="8">
        <f t="shared" si="711"/>
        <v>46023</v>
      </c>
    </row>
    <row r="4540" spans="2:25" ht="18.75" x14ac:dyDescent="0.3">
      <c r="B4540" s="6">
        <f t="shared" si="703"/>
        <v>0</v>
      </c>
      <c r="C4540" s="6">
        <f t="shared" si="704"/>
        <v>0</v>
      </c>
      <c r="D4540" s="6" t="str">
        <f t="shared" si="705"/>
        <v/>
      </c>
      <c r="E4540" s="35" t="str">
        <f t="shared" si="702"/>
        <v/>
      </c>
      <c r="F4540" s="31"/>
      <c r="G4540" s="29"/>
      <c r="H4540" s="78" t="str">
        <f t="shared" si="706"/>
        <v/>
      </c>
      <c r="I4540" s="25"/>
      <c r="J4540" s="25"/>
      <c r="K4540" s="26"/>
      <c r="L4540" s="26"/>
      <c r="M4540" s="37"/>
      <c r="N4540" s="27"/>
      <c r="O4540" s="30"/>
      <c r="P4540" s="39" t="str">
        <f t="shared" si="707"/>
        <v/>
      </c>
      <c r="Q4540" s="40" t="str">
        <f>IF(OR(T4540=0,RIGHT(T4540,1)=$W$1),"",COUNTIF($T$3:T4540,T4540))</f>
        <v/>
      </c>
      <c r="S4540" s="6">
        <f t="shared" si="708"/>
        <v>0</v>
      </c>
      <c r="T4540" s="36">
        <f t="shared" si="709"/>
        <v>0</v>
      </c>
      <c r="V4540" s="6">
        <f t="shared" si="710"/>
        <v>0</v>
      </c>
      <c r="Y4540" s="8">
        <f t="shared" si="711"/>
        <v>46023</v>
      </c>
    </row>
    <row r="4541" spans="2:25" ht="18.75" x14ac:dyDescent="0.3">
      <c r="B4541" s="6">
        <f t="shared" si="703"/>
        <v>0</v>
      </c>
      <c r="C4541" s="6">
        <f t="shared" si="704"/>
        <v>0</v>
      </c>
      <c r="D4541" s="6" t="str">
        <f t="shared" si="705"/>
        <v/>
      </c>
      <c r="E4541" s="35" t="str">
        <f t="shared" si="702"/>
        <v/>
      </c>
      <c r="F4541" s="31"/>
      <c r="G4541" s="29"/>
      <c r="H4541" s="78" t="str">
        <f t="shared" si="706"/>
        <v/>
      </c>
      <c r="I4541" s="25"/>
      <c r="J4541" s="25"/>
      <c r="K4541" s="26"/>
      <c r="L4541" s="26"/>
      <c r="M4541" s="37"/>
      <c r="N4541" s="27"/>
      <c r="O4541" s="30"/>
      <c r="P4541" s="39" t="str">
        <f t="shared" si="707"/>
        <v/>
      </c>
      <c r="Q4541" s="40" t="str">
        <f>IF(OR(T4541=0,RIGHT(T4541,1)=$W$1),"",COUNTIF($T$3:T4541,T4541))</f>
        <v/>
      </c>
      <c r="S4541" s="6">
        <f t="shared" si="708"/>
        <v>0</v>
      </c>
      <c r="T4541" s="36">
        <f t="shared" si="709"/>
        <v>0</v>
      </c>
      <c r="V4541" s="6">
        <f t="shared" si="710"/>
        <v>0</v>
      </c>
      <c r="Y4541" s="8">
        <f t="shared" si="711"/>
        <v>46023</v>
      </c>
    </row>
    <row r="4542" spans="2:25" ht="18.75" x14ac:dyDescent="0.3">
      <c r="B4542" s="6">
        <f t="shared" si="703"/>
        <v>0</v>
      </c>
      <c r="C4542" s="6">
        <f t="shared" si="704"/>
        <v>0</v>
      </c>
      <c r="D4542" s="6" t="str">
        <f t="shared" si="705"/>
        <v/>
      </c>
      <c r="E4542" s="35" t="str">
        <f t="shared" si="702"/>
        <v/>
      </c>
      <c r="F4542" s="31"/>
      <c r="G4542" s="29"/>
      <c r="H4542" s="78" t="str">
        <f t="shared" si="706"/>
        <v/>
      </c>
      <c r="I4542" s="25"/>
      <c r="J4542" s="25"/>
      <c r="K4542" s="26"/>
      <c r="L4542" s="26"/>
      <c r="M4542" s="37"/>
      <c r="N4542" s="27"/>
      <c r="O4542" s="30"/>
      <c r="P4542" s="39" t="str">
        <f t="shared" si="707"/>
        <v/>
      </c>
      <c r="Q4542" s="40" t="str">
        <f>IF(OR(T4542=0,RIGHT(T4542,1)=$W$1),"",COUNTIF($T$3:T4542,T4542))</f>
        <v/>
      </c>
      <c r="S4542" s="6">
        <f t="shared" si="708"/>
        <v>0</v>
      </c>
      <c r="T4542" s="36">
        <f t="shared" si="709"/>
        <v>0</v>
      </c>
      <c r="V4542" s="6">
        <f t="shared" si="710"/>
        <v>0</v>
      </c>
      <c r="Y4542" s="8">
        <f t="shared" si="711"/>
        <v>46023</v>
      </c>
    </row>
    <row r="4543" spans="2:25" ht="18.75" x14ac:dyDescent="0.3">
      <c r="B4543" s="6">
        <f t="shared" si="703"/>
        <v>0</v>
      </c>
      <c r="C4543" s="6">
        <f t="shared" si="704"/>
        <v>0</v>
      </c>
      <c r="D4543" s="6" t="str">
        <f t="shared" si="705"/>
        <v/>
      </c>
      <c r="E4543" s="35" t="str">
        <f t="shared" si="702"/>
        <v/>
      </c>
      <c r="F4543" s="31"/>
      <c r="G4543" s="29"/>
      <c r="H4543" s="78" t="str">
        <f t="shared" si="706"/>
        <v/>
      </c>
      <c r="I4543" s="25"/>
      <c r="J4543" s="25"/>
      <c r="K4543" s="26"/>
      <c r="L4543" s="26"/>
      <c r="M4543" s="37"/>
      <c r="N4543" s="27"/>
      <c r="O4543" s="30"/>
      <c r="P4543" s="39" t="str">
        <f t="shared" si="707"/>
        <v/>
      </c>
      <c r="Q4543" s="40" t="str">
        <f>IF(OR(T4543=0,RIGHT(T4543,1)=$W$1),"",COUNTIF($T$3:T4543,T4543))</f>
        <v/>
      </c>
      <c r="S4543" s="6">
        <f t="shared" si="708"/>
        <v>0</v>
      </c>
      <c r="T4543" s="36">
        <f t="shared" si="709"/>
        <v>0</v>
      </c>
      <c r="V4543" s="6">
        <f t="shared" si="710"/>
        <v>0</v>
      </c>
      <c r="Y4543" s="8">
        <f t="shared" si="711"/>
        <v>46023</v>
      </c>
    </row>
    <row r="4544" spans="2:25" ht="18.75" x14ac:dyDescent="0.3">
      <c r="B4544" s="6">
        <f t="shared" si="703"/>
        <v>0</v>
      </c>
      <c r="C4544" s="6">
        <f t="shared" si="704"/>
        <v>0</v>
      </c>
      <c r="D4544" s="6" t="str">
        <f t="shared" si="705"/>
        <v/>
      </c>
      <c r="E4544" s="35" t="str">
        <f t="shared" si="702"/>
        <v/>
      </c>
      <c r="F4544" s="31"/>
      <c r="G4544" s="29"/>
      <c r="H4544" s="78" t="str">
        <f t="shared" si="706"/>
        <v/>
      </c>
      <c r="I4544" s="25"/>
      <c r="J4544" s="25"/>
      <c r="K4544" s="26"/>
      <c r="L4544" s="26"/>
      <c r="M4544" s="37"/>
      <c r="N4544" s="27"/>
      <c r="O4544" s="30"/>
      <c r="P4544" s="39" t="str">
        <f t="shared" si="707"/>
        <v/>
      </c>
      <c r="Q4544" s="40" t="str">
        <f>IF(OR(T4544=0,RIGHT(T4544,1)=$W$1),"",COUNTIF($T$3:T4544,T4544))</f>
        <v/>
      </c>
      <c r="S4544" s="6">
        <f t="shared" si="708"/>
        <v>0</v>
      </c>
      <c r="T4544" s="36">
        <f t="shared" si="709"/>
        <v>0</v>
      </c>
      <c r="V4544" s="6">
        <f t="shared" si="710"/>
        <v>0</v>
      </c>
      <c r="Y4544" s="8">
        <f t="shared" si="711"/>
        <v>46023</v>
      </c>
    </row>
    <row r="4545" spans="2:25" ht="18.75" x14ac:dyDescent="0.3">
      <c r="B4545" s="6">
        <f t="shared" si="703"/>
        <v>0</v>
      </c>
      <c r="C4545" s="6">
        <f t="shared" si="704"/>
        <v>0</v>
      </c>
      <c r="D4545" s="6" t="str">
        <f t="shared" si="705"/>
        <v/>
      </c>
      <c r="E4545" s="35" t="str">
        <f t="shared" si="702"/>
        <v/>
      </c>
      <c r="F4545" s="31"/>
      <c r="G4545" s="29"/>
      <c r="H4545" s="78" t="str">
        <f t="shared" si="706"/>
        <v/>
      </c>
      <c r="I4545" s="25"/>
      <c r="J4545" s="25"/>
      <c r="K4545" s="26"/>
      <c r="L4545" s="26"/>
      <c r="M4545" s="37"/>
      <c r="N4545" s="27"/>
      <c r="O4545" s="30"/>
      <c r="P4545" s="39" t="str">
        <f t="shared" si="707"/>
        <v/>
      </c>
      <c r="Q4545" s="40" t="str">
        <f>IF(OR(T4545=0,RIGHT(T4545,1)=$W$1),"",COUNTIF($T$3:T4545,T4545))</f>
        <v/>
      </c>
      <c r="S4545" s="6">
        <f t="shared" si="708"/>
        <v>0</v>
      </c>
      <c r="T4545" s="36">
        <f t="shared" si="709"/>
        <v>0</v>
      </c>
      <c r="V4545" s="6">
        <f t="shared" si="710"/>
        <v>0</v>
      </c>
      <c r="Y4545" s="8">
        <f t="shared" si="711"/>
        <v>46023</v>
      </c>
    </row>
    <row r="4546" spans="2:25" ht="18.75" x14ac:dyDescent="0.3">
      <c r="B4546" s="6">
        <f t="shared" si="703"/>
        <v>0</v>
      </c>
      <c r="C4546" s="6">
        <f t="shared" si="704"/>
        <v>0</v>
      </c>
      <c r="D4546" s="6" t="str">
        <f t="shared" si="705"/>
        <v/>
      </c>
      <c r="E4546" s="35" t="str">
        <f t="shared" si="702"/>
        <v/>
      </c>
      <c r="F4546" s="31"/>
      <c r="G4546" s="29"/>
      <c r="H4546" s="78" t="str">
        <f t="shared" si="706"/>
        <v/>
      </c>
      <c r="I4546" s="25"/>
      <c r="J4546" s="25"/>
      <c r="K4546" s="26"/>
      <c r="L4546" s="26"/>
      <c r="M4546" s="37"/>
      <c r="N4546" s="27"/>
      <c r="O4546" s="30"/>
      <c r="P4546" s="39" t="str">
        <f t="shared" si="707"/>
        <v/>
      </c>
      <c r="Q4546" s="40" t="str">
        <f>IF(OR(T4546=0,RIGHT(T4546,1)=$W$1),"",COUNTIF($T$3:T4546,T4546))</f>
        <v/>
      </c>
      <c r="S4546" s="6">
        <f t="shared" si="708"/>
        <v>0</v>
      </c>
      <c r="T4546" s="36">
        <f t="shared" si="709"/>
        <v>0</v>
      </c>
      <c r="V4546" s="6">
        <f t="shared" si="710"/>
        <v>0</v>
      </c>
      <c r="Y4546" s="8">
        <f t="shared" si="711"/>
        <v>46023</v>
      </c>
    </row>
    <row r="4547" spans="2:25" ht="18.75" x14ac:dyDescent="0.3">
      <c r="B4547" s="6">
        <f t="shared" si="703"/>
        <v>0</v>
      </c>
      <c r="C4547" s="6">
        <f t="shared" si="704"/>
        <v>0</v>
      </c>
      <c r="D4547" s="6" t="str">
        <f t="shared" si="705"/>
        <v/>
      </c>
      <c r="E4547" s="35" t="str">
        <f t="shared" ref="E4547:E4610" si="712">IF(D4547&lt;&gt;"",D4547&amp;" - "&amp;YEAR(F4547),"")</f>
        <v/>
      </c>
      <c r="F4547" s="31"/>
      <c r="G4547" s="29"/>
      <c r="H4547" s="78" t="str">
        <f t="shared" si="706"/>
        <v/>
      </c>
      <c r="I4547" s="25"/>
      <c r="J4547" s="25"/>
      <c r="K4547" s="26"/>
      <c r="L4547" s="26"/>
      <c r="M4547" s="37"/>
      <c r="N4547" s="27"/>
      <c r="O4547" s="30"/>
      <c r="P4547" s="39" t="str">
        <f t="shared" si="707"/>
        <v/>
      </c>
      <c r="Q4547" s="40" t="str">
        <f>IF(OR(T4547=0,RIGHT(T4547,1)=$W$1),"",COUNTIF($T$3:T4547,T4547))</f>
        <v/>
      </c>
      <c r="S4547" s="6">
        <f t="shared" si="708"/>
        <v>0</v>
      </c>
      <c r="T4547" s="36">
        <f t="shared" si="709"/>
        <v>0</v>
      </c>
      <c r="V4547" s="6">
        <f t="shared" si="710"/>
        <v>0</v>
      </c>
      <c r="Y4547" s="8">
        <f t="shared" si="711"/>
        <v>46023</v>
      </c>
    </row>
    <row r="4548" spans="2:25" ht="18.75" x14ac:dyDescent="0.3">
      <c r="B4548" s="6">
        <f t="shared" ref="B4548:B4611" si="713">IF($B$1=YEAR(F4548),B4547+1,B4547)</f>
        <v>0</v>
      </c>
      <c r="C4548" s="6">
        <f t="shared" ref="C4548:C4611" si="714">IF(AND($C$1=K4548,$Y$1=YEAR(F4548)),C4547+1,C4547)</f>
        <v>0</v>
      </c>
      <c r="D4548" s="6" t="str">
        <f t="shared" ref="D4548:D4611" si="715">IF(F4548&lt;&gt;0,IF(YEAR(F4548)&lt;&gt;YEAR(F4547),1,IF(M4548=$AI$1,D4547,D4547+1)),"")</f>
        <v/>
      </c>
      <c r="E4548" s="35" t="str">
        <f t="shared" si="712"/>
        <v/>
      </c>
      <c r="F4548" s="31"/>
      <c r="G4548" s="29"/>
      <c r="H4548" s="78" t="str">
        <f t="shared" ref="H4548:H4611" si="716">IF(G4548&lt;&gt;"",F4548,"")</f>
        <v/>
      </c>
      <c r="I4548" s="25"/>
      <c r="J4548" s="25"/>
      <c r="K4548" s="26"/>
      <c r="L4548" s="26"/>
      <c r="M4548" s="37"/>
      <c r="N4548" s="27"/>
      <c r="O4548" s="30"/>
      <c r="P4548" s="39" t="str">
        <f t="shared" ref="P4548:P4611" si="717">IF(OR(T4548=0,RIGHT(T4548,1)=$W$1),"",VLOOKUP(K4548,$AD$1:$AK$15,5,FALSE))</f>
        <v/>
      </c>
      <c r="Q4548" s="40" t="str">
        <f>IF(OR(T4548=0,RIGHT(T4548,1)=$W$1),"",COUNTIF($T$3:T4548,T4548))</f>
        <v/>
      </c>
      <c r="S4548" s="6">
        <f t="shared" ref="S4548:S4611" si="718">IF(AND($C$1=K4548,$Y$1=YEAR(F4548)),C4548,0)</f>
        <v>0</v>
      </c>
      <c r="T4548" s="36">
        <f t="shared" ref="T4548:T4611" si="719">IF(F4548=0,0,YEAR(F4548)&amp;VLOOKUP(K4548,$AD$1:$AE$15,2,FALSE))</f>
        <v>0</v>
      </c>
      <c r="V4548" s="6">
        <f t="shared" ref="V4548:V4611" si="720">IF(AND(YEAR(F4548)=$Y$1,K4548=$C$1,L4548&amp;$V$1&lt;&gt;$V$1),L4548,IF(AND(YEAR(F4548)=$Y$1,K4548=$C$1),1,0))</f>
        <v>0</v>
      </c>
      <c r="Y4548" s="8">
        <f t="shared" ref="Y4548:Y4611" si="721">IF(M4548&lt;&gt;$AI$1,$Y$2,F4547)</f>
        <v>46023</v>
      </c>
    </row>
    <row r="4549" spans="2:25" ht="18.75" x14ac:dyDescent="0.3">
      <c r="B4549" s="6">
        <f t="shared" si="713"/>
        <v>0</v>
      </c>
      <c r="C4549" s="6">
        <f t="shared" si="714"/>
        <v>0</v>
      </c>
      <c r="D4549" s="6" t="str">
        <f t="shared" si="715"/>
        <v/>
      </c>
      <c r="E4549" s="35" t="str">
        <f t="shared" si="712"/>
        <v/>
      </c>
      <c r="F4549" s="31"/>
      <c r="G4549" s="29"/>
      <c r="H4549" s="78" t="str">
        <f t="shared" si="716"/>
        <v/>
      </c>
      <c r="I4549" s="25"/>
      <c r="J4549" s="25"/>
      <c r="K4549" s="26"/>
      <c r="L4549" s="26"/>
      <c r="M4549" s="37"/>
      <c r="N4549" s="27"/>
      <c r="O4549" s="30"/>
      <c r="P4549" s="39" t="str">
        <f t="shared" si="717"/>
        <v/>
      </c>
      <c r="Q4549" s="40" t="str">
        <f>IF(OR(T4549=0,RIGHT(T4549,1)=$W$1),"",COUNTIF($T$3:T4549,T4549))</f>
        <v/>
      </c>
      <c r="S4549" s="6">
        <f t="shared" si="718"/>
        <v>0</v>
      </c>
      <c r="T4549" s="36">
        <f t="shared" si="719"/>
        <v>0</v>
      </c>
      <c r="V4549" s="6">
        <f t="shared" si="720"/>
        <v>0</v>
      </c>
      <c r="Y4549" s="8">
        <f t="shared" si="721"/>
        <v>46023</v>
      </c>
    </row>
    <row r="4550" spans="2:25" ht="18.75" x14ac:dyDescent="0.3">
      <c r="B4550" s="6">
        <f t="shared" si="713"/>
        <v>0</v>
      </c>
      <c r="C4550" s="6">
        <f t="shared" si="714"/>
        <v>0</v>
      </c>
      <c r="D4550" s="6" t="str">
        <f t="shared" si="715"/>
        <v/>
      </c>
      <c r="E4550" s="35" t="str">
        <f t="shared" si="712"/>
        <v/>
      </c>
      <c r="F4550" s="31"/>
      <c r="G4550" s="29"/>
      <c r="H4550" s="78" t="str">
        <f t="shared" si="716"/>
        <v/>
      </c>
      <c r="I4550" s="25"/>
      <c r="J4550" s="25"/>
      <c r="K4550" s="26"/>
      <c r="L4550" s="26"/>
      <c r="M4550" s="37"/>
      <c r="N4550" s="27"/>
      <c r="O4550" s="30"/>
      <c r="P4550" s="39" t="str">
        <f t="shared" si="717"/>
        <v/>
      </c>
      <c r="Q4550" s="40" t="str">
        <f>IF(OR(T4550=0,RIGHT(T4550,1)=$W$1),"",COUNTIF($T$3:T4550,T4550))</f>
        <v/>
      </c>
      <c r="S4550" s="6">
        <f t="shared" si="718"/>
        <v>0</v>
      </c>
      <c r="T4550" s="36">
        <f t="shared" si="719"/>
        <v>0</v>
      </c>
      <c r="V4550" s="6">
        <f t="shared" si="720"/>
        <v>0</v>
      </c>
      <c r="Y4550" s="8">
        <f t="shared" si="721"/>
        <v>46023</v>
      </c>
    </row>
    <row r="4551" spans="2:25" ht="18.75" x14ac:dyDescent="0.3">
      <c r="B4551" s="6">
        <f t="shared" si="713"/>
        <v>0</v>
      </c>
      <c r="C4551" s="6">
        <f t="shared" si="714"/>
        <v>0</v>
      </c>
      <c r="D4551" s="6" t="str">
        <f t="shared" si="715"/>
        <v/>
      </c>
      <c r="E4551" s="35" t="str">
        <f t="shared" si="712"/>
        <v/>
      </c>
      <c r="F4551" s="31"/>
      <c r="G4551" s="29"/>
      <c r="H4551" s="78" t="str">
        <f t="shared" si="716"/>
        <v/>
      </c>
      <c r="I4551" s="25"/>
      <c r="J4551" s="25"/>
      <c r="K4551" s="26"/>
      <c r="L4551" s="26"/>
      <c r="M4551" s="37"/>
      <c r="N4551" s="27"/>
      <c r="O4551" s="30"/>
      <c r="P4551" s="39" t="str">
        <f t="shared" si="717"/>
        <v/>
      </c>
      <c r="Q4551" s="40" t="str">
        <f>IF(OR(T4551=0,RIGHT(T4551,1)=$W$1),"",COUNTIF($T$3:T4551,T4551))</f>
        <v/>
      </c>
      <c r="S4551" s="6">
        <f t="shared" si="718"/>
        <v>0</v>
      </c>
      <c r="T4551" s="36">
        <f t="shared" si="719"/>
        <v>0</v>
      </c>
      <c r="V4551" s="6">
        <f t="shared" si="720"/>
        <v>0</v>
      </c>
      <c r="Y4551" s="8">
        <f t="shared" si="721"/>
        <v>46023</v>
      </c>
    </row>
    <row r="4552" spans="2:25" ht="18.75" x14ac:dyDescent="0.3">
      <c r="B4552" s="6">
        <f t="shared" si="713"/>
        <v>0</v>
      </c>
      <c r="C4552" s="6">
        <f t="shared" si="714"/>
        <v>0</v>
      </c>
      <c r="D4552" s="6" t="str">
        <f t="shared" si="715"/>
        <v/>
      </c>
      <c r="E4552" s="35" t="str">
        <f t="shared" si="712"/>
        <v/>
      </c>
      <c r="F4552" s="31"/>
      <c r="G4552" s="29"/>
      <c r="H4552" s="78" t="str">
        <f t="shared" si="716"/>
        <v/>
      </c>
      <c r="I4552" s="25"/>
      <c r="J4552" s="25"/>
      <c r="K4552" s="26"/>
      <c r="L4552" s="26"/>
      <c r="M4552" s="37"/>
      <c r="N4552" s="27"/>
      <c r="O4552" s="30"/>
      <c r="P4552" s="39" t="str">
        <f t="shared" si="717"/>
        <v/>
      </c>
      <c r="Q4552" s="40" t="str">
        <f>IF(OR(T4552=0,RIGHT(T4552,1)=$W$1),"",COUNTIF($T$3:T4552,T4552))</f>
        <v/>
      </c>
      <c r="S4552" s="6">
        <f t="shared" si="718"/>
        <v>0</v>
      </c>
      <c r="T4552" s="36">
        <f t="shared" si="719"/>
        <v>0</v>
      </c>
      <c r="V4552" s="6">
        <f t="shared" si="720"/>
        <v>0</v>
      </c>
      <c r="Y4552" s="8">
        <f t="shared" si="721"/>
        <v>46023</v>
      </c>
    </row>
    <row r="4553" spans="2:25" ht="18.75" x14ac:dyDescent="0.3">
      <c r="B4553" s="6">
        <f t="shared" si="713"/>
        <v>0</v>
      </c>
      <c r="C4553" s="6">
        <f t="shared" si="714"/>
        <v>0</v>
      </c>
      <c r="D4553" s="6" t="str">
        <f t="shared" si="715"/>
        <v/>
      </c>
      <c r="E4553" s="35" t="str">
        <f t="shared" si="712"/>
        <v/>
      </c>
      <c r="F4553" s="31"/>
      <c r="G4553" s="29"/>
      <c r="H4553" s="78" t="str">
        <f t="shared" si="716"/>
        <v/>
      </c>
      <c r="I4553" s="25"/>
      <c r="J4553" s="25"/>
      <c r="K4553" s="26"/>
      <c r="L4553" s="26"/>
      <c r="M4553" s="37"/>
      <c r="N4553" s="27"/>
      <c r="O4553" s="30"/>
      <c r="P4553" s="39" t="str">
        <f t="shared" si="717"/>
        <v/>
      </c>
      <c r="Q4553" s="40" t="str">
        <f>IF(OR(T4553=0,RIGHT(T4553,1)=$W$1),"",COUNTIF($T$3:T4553,T4553))</f>
        <v/>
      </c>
      <c r="S4553" s="6">
        <f t="shared" si="718"/>
        <v>0</v>
      </c>
      <c r="T4553" s="36">
        <f t="shared" si="719"/>
        <v>0</v>
      </c>
      <c r="V4553" s="6">
        <f t="shared" si="720"/>
        <v>0</v>
      </c>
      <c r="Y4553" s="8">
        <f t="shared" si="721"/>
        <v>46023</v>
      </c>
    </row>
    <row r="4554" spans="2:25" ht="18.75" x14ac:dyDescent="0.3">
      <c r="B4554" s="6">
        <f t="shared" si="713"/>
        <v>0</v>
      </c>
      <c r="C4554" s="6">
        <f t="shared" si="714"/>
        <v>0</v>
      </c>
      <c r="D4554" s="6" t="str">
        <f t="shared" si="715"/>
        <v/>
      </c>
      <c r="E4554" s="35" t="str">
        <f t="shared" si="712"/>
        <v/>
      </c>
      <c r="F4554" s="31"/>
      <c r="G4554" s="29"/>
      <c r="H4554" s="78" t="str">
        <f t="shared" si="716"/>
        <v/>
      </c>
      <c r="I4554" s="25"/>
      <c r="J4554" s="25"/>
      <c r="K4554" s="26"/>
      <c r="L4554" s="26"/>
      <c r="M4554" s="37"/>
      <c r="N4554" s="27"/>
      <c r="O4554" s="30"/>
      <c r="P4554" s="39" t="str">
        <f t="shared" si="717"/>
        <v/>
      </c>
      <c r="Q4554" s="40" t="str">
        <f>IF(OR(T4554=0,RIGHT(T4554,1)=$W$1),"",COUNTIF($T$3:T4554,T4554))</f>
        <v/>
      </c>
      <c r="S4554" s="6">
        <f t="shared" si="718"/>
        <v>0</v>
      </c>
      <c r="T4554" s="36">
        <f t="shared" si="719"/>
        <v>0</v>
      </c>
      <c r="V4554" s="6">
        <f t="shared" si="720"/>
        <v>0</v>
      </c>
      <c r="Y4554" s="8">
        <f t="shared" si="721"/>
        <v>46023</v>
      </c>
    </row>
    <row r="4555" spans="2:25" ht="18.75" x14ac:dyDescent="0.3">
      <c r="B4555" s="6">
        <f t="shared" si="713"/>
        <v>0</v>
      </c>
      <c r="C4555" s="6">
        <f t="shared" si="714"/>
        <v>0</v>
      </c>
      <c r="D4555" s="6" t="str">
        <f t="shared" si="715"/>
        <v/>
      </c>
      <c r="E4555" s="35" t="str">
        <f t="shared" si="712"/>
        <v/>
      </c>
      <c r="F4555" s="31"/>
      <c r="G4555" s="29"/>
      <c r="H4555" s="78" t="str">
        <f t="shared" si="716"/>
        <v/>
      </c>
      <c r="I4555" s="25"/>
      <c r="J4555" s="25"/>
      <c r="K4555" s="26"/>
      <c r="L4555" s="26"/>
      <c r="M4555" s="37"/>
      <c r="N4555" s="27"/>
      <c r="O4555" s="30"/>
      <c r="P4555" s="39" t="str">
        <f t="shared" si="717"/>
        <v/>
      </c>
      <c r="Q4555" s="40" t="str">
        <f>IF(OR(T4555=0,RIGHT(T4555,1)=$W$1),"",COUNTIF($T$3:T4555,T4555))</f>
        <v/>
      </c>
      <c r="S4555" s="6">
        <f t="shared" si="718"/>
        <v>0</v>
      </c>
      <c r="T4555" s="36">
        <f t="shared" si="719"/>
        <v>0</v>
      </c>
      <c r="V4555" s="6">
        <f t="shared" si="720"/>
        <v>0</v>
      </c>
      <c r="Y4555" s="8">
        <f t="shared" si="721"/>
        <v>46023</v>
      </c>
    </row>
    <row r="4556" spans="2:25" ht="18.75" x14ac:dyDescent="0.3">
      <c r="B4556" s="6">
        <f t="shared" si="713"/>
        <v>0</v>
      </c>
      <c r="C4556" s="6">
        <f t="shared" si="714"/>
        <v>0</v>
      </c>
      <c r="D4556" s="6" t="str">
        <f t="shared" si="715"/>
        <v/>
      </c>
      <c r="E4556" s="35" t="str">
        <f t="shared" si="712"/>
        <v/>
      </c>
      <c r="F4556" s="31"/>
      <c r="G4556" s="29"/>
      <c r="H4556" s="78" t="str">
        <f t="shared" si="716"/>
        <v/>
      </c>
      <c r="I4556" s="25"/>
      <c r="J4556" s="25"/>
      <c r="K4556" s="26"/>
      <c r="L4556" s="26"/>
      <c r="M4556" s="37"/>
      <c r="N4556" s="27"/>
      <c r="O4556" s="30"/>
      <c r="P4556" s="39" t="str">
        <f t="shared" si="717"/>
        <v/>
      </c>
      <c r="Q4556" s="40" t="str">
        <f>IF(OR(T4556=0,RIGHT(T4556,1)=$W$1),"",COUNTIF($T$3:T4556,T4556))</f>
        <v/>
      </c>
      <c r="S4556" s="6">
        <f t="shared" si="718"/>
        <v>0</v>
      </c>
      <c r="T4556" s="36">
        <f t="shared" si="719"/>
        <v>0</v>
      </c>
      <c r="V4556" s="6">
        <f t="shared" si="720"/>
        <v>0</v>
      </c>
      <c r="Y4556" s="8">
        <f t="shared" si="721"/>
        <v>46023</v>
      </c>
    </row>
    <row r="4557" spans="2:25" ht="18.75" x14ac:dyDescent="0.3">
      <c r="B4557" s="6">
        <f t="shared" si="713"/>
        <v>0</v>
      </c>
      <c r="C4557" s="6">
        <f t="shared" si="714"/>
        <v>0</v>
      </c>
      <c r="D4557" s="6" t="str">
        <f t="shared" si="715"/>
        <v/>
      </c>
      <c r="E4557" s="35" t="str">
        <f t="shared" si="712"/>
        <v/>
      </c>
      <c r="F4557" s="31"/>
      <c r="G4557" s="29"/>
      <c r="H4557" s="78" t="str">
        <f t="shared" si="716"/>
        <v/>
      </c>
      <c r="I4557" s="25"/>
      <c r="J4557" s="25"/>
      <c r="K4557" s="26"/>
      <c r="L4557" s="26"/>
      <c r="M4557" s="37"/>
      <c r="N4557" s="27"/>
      <c r="O4557" s="30"/>
      <c r="P4557" s="39" t="str">
        <f t="shared" si="717"/>
        <v/>
      </c>
      <c r="Q4557" s="40" t="str">
        <f>IF(OR(T4557=0,RIGHT(T4557,1)=$W$1),"",COUNTIF($T$3:T4557,T4557))</f>
        <v/>
      </c>
      <c r="S4557" s="6">
        <f t="shared" si="718"/>
        <v>0</v>
      </c>
      <c r="T4557" s="36">
        <f t="shared" si="719"/>
        <v>0</v>
      </c>
      <c r="V4557" s="6">
        <f t="shared" si="720"/>
        <v>0</v>
      </c>
      <c r="Y4557" s="8">
        <f t="shared" si="721"/>
        <v>46023</v>
      </c>
    </row>
    <row r="4558" spans="2:25" ht="18.75" x14ac:dyDescent="0.3">
      <c r="B4558" s="6">
        <f t="shared" si="713"/>
        <v>0</v>
      </c>
      <c r="C4558" s="6">
        <f t="shared" si="714"/>
        <v>0</v>
      </c>
      <c r="D4558" s="6" t="str">
        <f t="shared" si="715"/>
        <v/>
      </c>
      <c r="E4558" s="35" t="str">
        <f t="shared" si="712"/>
        <v/>
      </c>
      <c r="F4558" s="31"/>
      <c r="G4558" s="29"/>
      <c r="H4558" s="78" t="str">
        <f t="shared" si="716"/>
        <v/>
      </c>
      <c r="I4558" s="25"/>
      <c r="J4558" s="25"/>
      <c r="K4558" s="26"/>
      <c r="L4558" s="26"/>
      <c r="M4558" s="37"/>
      <c r="N4558" s="27"/>
      <c r="O4558" s="30"/>
      <c r="P4558" s="39" t="str">
        <f t="shared" si="717"/>
        <v/>
      </c>
      <c r="Q4558" s="40" t="str">
        <f>IF(OR(T4558=0,RIGHT(T4558,1)=$W$1),"",COUNTIF($T$3:T4558,T4558))</f>
        <v/>
      </c>
      <c r="S4558" s="6">
        <f t="shared" si="718"/>
        <v>0</v>
      </c>
      <c r="T4558" s="36">
        <f t="shared" si="719"/>
        <v>0</v>
      </c>
      <c r="V4558" s="6">
        <f t="shared" si="720"/>
        <v>0</v>
      </c>
      <c r="Y4558" s="8">
        <f t="shared" si="721"/>
        <v>46023</v>
      </c>
    </row>
    <row r="4559" spans="2:25" ht="18.75" x14ac:dyDescent="0.3">
      <c r="B4559" s="6">
        <f t="shared" si="713"/>
        <v>0</v>
      </c>
      <c r="C4559" s="6">
        <f t="shared" si="714"/>
        <v>0</v>
      </c>
      <c r="D4559" s="6" t="str">
        <f t="shared" si="715"/>
        <v/>
      </c>
      <c r="E4559" s="35" t="str">
        <f t="shared" si="712"/>
        <v/>
      </c>
      <c r="F4559" s="31"/>
      <c r="G4559" s="29"/>
      <c r="H4559" s="78" t="str">
        <f t="shared" si="716"/>
        <v/>
      </c>
      <c r="I4559" s="25"/>
      <c r="J4559" s="25"/>
      <c r="K4559" s="26"/>
      <c r="L4559" s="26"/>
      <c r="M4559" s="37"/>
      <c r="N4559" s="27"/>
      <c r="O4559" s="30"/>
      <c r="P4559" s="39" t="str">
        <f t="shared" si="717"/>
        <v/>
      </c>
      <c r="Q4559" s="40" t="str">
        <f>IF(OR(T4559=0,RIGHT(T4559,1)=$W$1),"",COUNTIF($T$3:T4559,T4559))</f>
        <v/>
      </c>
      <c r="S4559" s="6">
        <f t="shared" si="718"/>
        <v>0</v>
      </c>
      <c r="T4559" s="36">
        <f t="shared" si="719"/>
        <v>0</v>
      </c>
      <c r="V4559" s="6">
        <f t="shared" si="720"/>
        <v>0</v>
      </c>
      <c r="Y4559" s="8">
        <f t="shared" si="721"/>
        <v>46023</v>
      </c>
    </row>
    <row r="4560" spans="2:25" ht="18.75" x14ac:dyDescent="0.3">
      <c r="B4560" s="6">
        <f t="shared" si="713"/>
        <v>0</v>
      </c>
      <c r="C4560" s="6">
        <f t="shared" si="714"/>
        <v>0</v>
      </c>
      <c r="D4560" s="6" t="str">
        <f t="shared" si="715"/>
        <v/>
      </c>
      <c r="E4560" s="35" t="str">
        <f t="shared" si="712"/>
        <v/>
      </c>
      <c r="F4560" s="31"/>
      <c r="G4560" s="29"/>
      <c r="H4560" s="78" t="str">
        <f t="shared" si="716"/>
        <v/>
      </c>
      <c r="I4560" s="25"/>
      <c r="J4560" s="25"/>
      <c r="K4560" s="26"/>
      <c r="L4560" s="26"/>
      <c r="M4560" s="37"/>
      <c r="N4560" s="27"/>
      <c r="O4560" s="30"/>
      <c r="P4560" s="39" t="str">
        <f t="shared" si="717"/>
        <v/>
      </c>
      <c r="Q4560" s="40" t="str">
        <f>IF(OR(T4560=0,RIGHT(T4560,1)=$W$1),"",COUNTIF($T$3:T4560,T4560))</f>
        <v/>
      </c>
      <c r="S4560" s="6">
        <f t="shared" si="718"/>
        <v>0</v>
      </c>
      <c r="T4560" s="36">
        <f t="shared" si="719"/>
        <v>0</v>
      </c>
      <c r="V4560" s="6">
        <f t="shared" si="720"/>
        <v>0</v>
      </c>
      <c r="Y4560" s="8">
        <f t="shared" si="721"/>
        <v>46023</v>
      </c>
    </row>
    <row r="4561" spans="2:25" ht="18.75" x14ac:dyDescent="0.3">
      <c r="B4561" s="6">
        <f t="shared" si="713"/>
        <v>0</v>
      </c>
      <c r="C4561" s="6">
        <f t="shared" si="714"/>
        <v>0</v>
      </c>
      <c r="D4561" s="6" t="str">
        <f t="shared" si="715"/>
        <v/>
      </c>
      <c r="E4561" s="35" t="str">
        <f t="shared" si="712"/>
        <v/>
      </c>
      <c r="F4561" s="31"/>
      <c r="G4561" s="29"/>
      <c r="H4561" s="78" t="str">
        <f t="shared" si="716"/>
        <v/>
      </c>
      <c r="I4561" s="25"/>
      <c r="J4561" s="25"/>
      <c r="K4561" s="26"/>
      <c r="L4561" s="26"/>
      <c r="M4561" s="37"/>
      <c r="N4561" s="27"/>
      <c r="O4561" s="30"/>
      <c r="P4561" s="39" t="str">
        <f t="shared" si="717"/>
        <v/>
      </c>
      <c r="Q4561" s="40" t="str">
        <f>IF(OR(T4561=0,RIGHT(T4561,1)=$W$1),"",COUNTIF($T$3:T4561,T4561))</f>
        <v/>
      </c>
      <c r="S4561" s="6">
        <f t="shared" si="718"/>
        <v>0</v>
      </c>
      <c r="T4561" s="36">
        <f t="shared" si="719"/>
        <v>0</v>
      </c>
      <c r="V4561" s="6">
        <f t="shared" si="720"/>
        <v>0</v>
      </c>
      <c r="Y4561" s="8">
        <f t="shared" si="721"/>
        <v>46023</v>
      </c>
    </row>
    <row r="4562" spans="2:25" ht="18.75" x14ac:dyDescent="0.3">
      <c r="B4562" s="6">
        <f t="shared" si="713"/>
        <v>0</v>
      </c>
      <c r="C4562" s="6">
        <f t="shared" si="714"/>
        <v>0</v>
      </c>
      <c r="D4562" s="6" t="str">
        <f t="shared" si="715"/>
        <v/>
      </c>
      <c r="E4562" s="35" t="str">
        <f t="shared" si="712"/>
        <v/>
      </c>
      <c r="F4562" s="31"/>
      <c r="G4562" s="29"/>
      <c r="H4562" s="78" t="str">
        <f t="shared" si="716"/>
        <v/>
      </c>
      <c r="I4562" s="25"/>
      <c r="J4562" s="25"/>
      <c r="K4562" s="26"/>
      <c r="L4562" s="26"/>
      <c r="M4562" s="37"/>
      <c r="N4562" s="27"/>
      <c r="O4562" s="30"/>
      <c r="P4562" s="39" t="str">
        <f t="shared" si="717"/>
        <v/>
      </c>
      <c r="Q4562" s="40" t="str">
        <f>IF(OR(T4562=0,RIGHT(T4562,1)=$W$1),"",COUNTIF($T$3:T4562,T4562))</f>
        <v/>
      </c>
      <c r="S4562" s="6">
        <f t="shared" si="718"/>
        <v>0</v>
      </c>
      <c r="T4562" s="36">
        <f t="shared" si="719"/>
        <v>0</v>
      </c>
      <c r="V4562" s="6">
        <f t="shared" si="720"/>
        <v>0</v>
      </c>
      <c r="Y4562" s="8">
        <f t="shared" si="721"/>
        <v>46023</v>
      </c>
    </row>
    <row r="4563" spans="2:25" ht="18.75" x14ac:dyDescent="0.3">
      <c r="B4563" s="6">
        <f t="shared" si="713"/>
        <v>0</v>
      </c>
      <c r="C4563" s="6">
        <f t="shared" si="714"/>
        <v>0</v>
      </c>
      <c r="D4563" s="6" t="str">
        <f t="shared" si="715"/>
        <v/>
      </c>
      <c r="E4563" s="35" t="str">
        <f t="shared" si="712"/>
        <v/>
      </c>
      <c r="F4563" s="31"/>
      <c r="G4563" s="29"/>
      <c r="H4563" s="78" t="str">
        <f t="shared" si="716"/>
        <v/>
      </c>
      <c r="I4563" s="25"/>
      <c r="J4563" s="25"/>
      <c r="K4563" s="26"/>
      <c r="L4563" s="26"/>
      <c r="M4563" s="37"/>
      <c r="N4563" s="27"/>
      <c r="O4563" s="30"/>
      <c r="P4563" s="39" t="str">
        <f t="shared" si="717"/>
        <v/>
      </c>
      <c r="Q4563" s="40" t="str">
        <f>IF(OR(T4563=0,RIGHT(T4563,1)=$W$1),"",COUNTIF($T$3:T4563,T4563))</f>
        <v/>
      </c>
      <c r="S4563" s="6">
        <f t="shared" si="718"/>
        <v>0</v>
      </c>
      <c r="T4563" s="36">
        <f t="shared" si="719"/>
        <v>0</v>
      </c>
      <c r="V4563" s="6">
        <f t="shared" si="720"/>
        <v>0</v>
      </c>
      <c r="Y4563" s="8">
        <f t="shared" si="721"/>
        <v>46023</v>
      </c>
    </row>
    <row r="4564" spans="2:25" ht="18.75" x14ac:dyDescent="0.3">
      <c r="B4564" s="6">
        <f t="shared" si="713"/>
        <v>0</v>
      </c>
      <c r="C4564" s="6">
        <f t="shared" si="714"/>
        <v>0</v>
      </c>
      <c r="D4564" s="6" t="str">
        <f t="shared" si="715"/>
        <v/>
      </c>
      <c r="E4564" s="35" t="str">
        <f t="shared" si="712"/>
        <v/>
      </c>
      <c r="F4564" s="31"/>
      <c r="G4564" s="29"/>
      <c r="H4564" s="78" t="str">
        <f t="shared" si="716"/>
        <v/>
      </c>
      <c r="I4564" s="25"/>
      <c r="J4564" s="25"/>
      <c r="K4564" s="26"/>
      <c r="L4564" s="26"/>
      <c r="M4564" s="37"/>
      <c r="N4564" s="27"/>
      <c r="O4564" s="30"/>
      <c r="P4564" s="39" t="str">
        <f t="shared" si="717"/>
        <v/>
      </c>
      <c r="Q4564" s="40" t="str">
        <f>IF(OR(T4564=0,RIGHT(T4564,1)=$W$1),"",COUNTIF($T$3:T4564,T4564))</f>
        <v/>
      </c>
      <c r="S4564" s="6">
        <f t="shared" si="718"/>
        <v>0</v>
      </c>
      <c r="T4564" s="36">
        <f t="shared" si="719"/>
        <v>0</v>
      </c>
      <c r="V4564" s="6">
        <f t="shared" si="720"/>
        <v>0</v>
      </c>
      <c r="Y4564" s="8">
        <f t="shared" si="721"/>
        <v>46023</v>
      </c>
    </row>
    <row r="4565" spans="2:25" ht="18.75" x14ac:dyDescent="0.3">
      <c r="B4565" s="6">
        <f t="shared" si="713"/>
        <v>0</v>
      </c>
      <c r="C4565" s="6">
        <f t="shared" si="714"/>
        <v>0</v>
      </c>
      <c r="D4565" s="6" t="str">
        <f t="shared" si="715"/>
        <v/>
      </c>
      <c r="E4565" s="35" t="str">
        <f t="shared" si="712"/>
        <v/>
      </c>
      <c r="F4565" s="31"/>
      <c r="G4565" s="29"/>
      <c r="H4565" s="78" t="str">
        <f t="shared" si="716"/>
        <v/>
      </c>
      <c r="I4565" s="25"/>
      <c r="J4565" s="25"/>
      <c r="K4565" s="26"/>
      <c r="L4565" s="26"/>
      <c r="M4565" s="37"/>
      <c r="N4565" s="27"/>
      <c r="O4565" s="30"/>
      <c r="P4565" s="39" t="str">
        <f t="shared" si="717"/>
        <v/>
      </c>
      <c r="Q4565" s="40" t="str">
        <f>IF(OR(T4565=0,RIGHT(T4565,1)=$W$1),"",COUNTIF($T$3:T4565,T4565))</f>
        <v/>
      </c>
      <c r="S4565" s="6">
        <f t="shared" si="718"/>
        <v>0</v>
      </c>
      <c r="T4565" s="36">
        <f t="shared" si="719"/>
        <v>0</v>
      </c>
      <c r="V4565" s="6">
        <f t="shared" si="720"/>
        <v>0</v>
      </c>
      <c r="Y4565" s="8">
        <f t="shared" si="721"/>
        <v>46023</v>
      </c>
    </row>
    <row r="4566" spans="2:25" ht="18.75" x14ac:dyDescent="0.3">
      <c r="B4566" s="6">
        <f t="shared" si="713"/>
        <v>0</v>
      </c>
      <c r="C4566" s="6">
        <f t="shared" si="714"/>
        <v>0</v>
      </c>
      <c r="D4566" s="6" t="str">
        <f t="shared" si="715"/>
        <v/>
      </c>
      <c r="E4566" s="35" t="str">
        <f t="shared" si="712"/>
        <v/>
      </c>
      <c r="F4566" s="31"/>
      <c r="G4566" s="29"/>
      <c r="H4566" s="78" t="str">
        <f t="shared" si="716"/>
        <v/>
      </c>
      <c r="I4566" s="25"/>
      <c r="J4566" s="25"/>
      <c r="K4566" s="26"/>
      <c r="L4566" s="26"/>
      <c r="M4566" s="37"/>
      <c r="N4566" s="27"/>
      <c r="O4566" s="30"/>
      <c r="P4566" s="39" t="str">
        <f t="shared" si="717"/>
        <v/>
      </c>
      <c r="Q4566" s="40" t="str">
        <f>IF(OR(T4566=0,RIGHT(T4566,1)=$W$1),"",COUNTIF($T$3:T4566,T4566))</f>
        <v/>
      </c>
      <c r="S4566" s="6">
        <f t="shared" si="718"/>
        <v>0</v>
      </c>
      <c r="T4566" s="36">
        <f t="shared" si="719"/>
        <v>0</v>
      </c>
      <c r="V4566" s="6">
        <f t="shared" si="720"/>
        <v>0</v>
      </c>
      <c r="Y4566" s="8">
        <f t="shared" si="721"/>
        <v>46023</v>
      </c>
    </row>
    <row r="4567" spans="2:25" ht="18.75" x14ac:dyDescent="0.3">
      <c r="B4567" s="6">
        <f t="shared" si="713"/>
        <v>0</v>
      </c>
      <c r="C4567" s="6">
        <f t="shared" si="714"/>
        <v>0</v>
      </c>
      <c r="D4567" s="6" t="str">
        <f t="shared" si="715"/>
        <v/>
      </c>
      <c r="E4567" s="35" t="str">
        <f t="shared" si="712"/>
        <v/>
      </c>
      <c r="F4567" s="31"/>
      <c r="G4567" s="29"/>
      <c r="H4567" s="78" t="str">
        <f t="shared" si="716"/>
        <v/>
      </c>
      <c r="I4567" s="25"/>
      <c r="J4567" s="25"/>
      <c r="K4567" s="26"/>
      <c r="L4567" s="26"/>
      <c r="M4567" s="37"/>
      <c r="N4567" s="27"/>
      <c r="O4567" s="30"/>
      <c r="P4567" s="39" t="str">
        <f t="shared" si="717"/>
        <v/>
      </c>
      <c r="Q4567" s="40" t="str">
        <f>IF(OR(T4567=0,RIGHT(T4567,1)=$W$1),"",COUNTIF($T$3:T4567,T4567))</f>
        <v/>
      </c>
      <c r="S4567" s="6">
        <f t="shared" si="718"/>
        <v>0</v>
      </c>
      <c r="T4567" s="36">
        <f t="shared" si="719"/>
        <v>0</v>
      </c>
      <c r="V4567" s="6">
        <f t="shared" si="720"/>
        <v>0</v>
      </c>
      <c r="Y4567" s="8">
        <f t="shared" si="721"/>
        <v>46023</v>
      </c>
    </row>
    <row r="4568" spans="2:25" ht="18.75" x14ac:dyDescent="0.3">
      <c r="B4568" s="6">
        <f t="shared" si="713"/>
        <v>0</v>
      </c>
      <c r="C4568" s="6">
        <f t="shared" si="714"/>
        <v>0</v>
      </c>
      <c r="D4568" s="6" t="str">
        <f t="shared" si="715"/>
        <v/>
      </c>
      <c r="E4568" s="35" t="str">
        <f t="shared" si="712"/>
        <v/>
      </c>
      <c r="F4568" s="31"/>
      <c r="G4568" s="29"/>
      <c r="H4568" s="78" t="str">
        <f t="shared" si="716"/>
        <v/>
      </c>
      <c r="I4568" s="25"/>
      <c r="J4568" s="25"/>
      <c r="K4568" s="26"/>
      <c r="L4568" s="26"/>
      <c r="M4568" s="37"/>
      <c r="N4568" s="27"/>
      <c r="O4568" s="30"/>
      <c r="P4568" s="39" t="str">
        <f t="shared" si="717"/>
        <v/>
      </c>
      <c r="Q4568" s="40" t="str">
        <f>IF(OR(T4568=0,RIGHT(T4568,1)=$W$1),"",COUNTIF($T$3:T4568,T4568))</f>
        <v/>
      </c>
      <c r="S4568" s="6">
        <f t="shared" si="718"/>
        <v>0</v>
      </c>
      <c r="T4568" s="36">
        <f t="shared" si="719"/>
        <v>0</v>
      </c>
      <c r="V4568" s="6">
        <f t="shared" si="720"/>
        <v>0</v>
      </c>
      <c r="Y4568" s="8">
        <f t="shared" si="721"/>
        <v>46023</v>
      </c>
    </row>
    <row r="4569" spans="2:25" ht="18.75" x14ac:dyDescent="0.3">
      <c r="B4569" s="6">
        <f t="shared" si="713"/>
        <v>0</v>
      </c>
      <c r="C4569" s="6">
        <f t="shared" si="714"/>
        <v>0</v>
      </c>
      <c r="D4569" s="6" t="str">
        <f t="shared" si="715"/>
        <v/>
      </c>
      <c r="E4569" s="35" t="str">
        <f t="shared" si="712"/>
        <v/>
      </c>
      <c r="F4569" s="31"/>
      <c r="G4569" s="29"/>
      <c r="H4569" s="78" t="str">
        <f t="shared" si="716"/>
        <v/>
      </c>
      <c r="I4569" s="25"/>
      <c r="J4569" s="25"/>
      <c r="K4569" s="26"/>
      <c r="L4569" s="26"/>
      <c r="M4569" s="37"/>
      <c r="N4569" s="27"/>
      <c r="O4569" s="30"/>
      <c r="P4569" s="39" t="str">
        <f t="shared" si="717"/>
        <v/>
      </c>
      <c r="Q4569" s="40" t="str">
        <f>IF(OR(T4569=0,RIGHT(T4569,1)=$W$1),"",COUNTIF($T$3:T4569,T4569))</f>
        <v/>
      </c>
      <c r="S4569" s="6">
        <f t="shared" si="718"/>
        <v>0</v>
      </c>
      <c r="T4569" s="36">
        <f t="shared" si="719"/>
        <v>0</v>
      </c>
      <c r="V4569" s="6">
        <f t="shared" si="720"/>
        <v>0</v>
      </c>
      <c r="Y4569" s="8">
        <f t="shared" si="721"/>
        <v>46023</v>
      </c>
    </row>
    <row r="4570" spans="2:25" ht="18.75" x14ac:dyDescent="0.3">
      <c r="B4570" s="6">
        <f t="shared" si="713"/>
        <v>0</v>
      </c>
      <c r="C4570" s="6">
        <f t="shared" si="714"/>
        <v>0</v>
      </c>
      <c r="D4570" s="6" t="str">
        <f t="shared" si="715"/>
        <v/>
      </c>
      <c r="E4570" s="35" t="str">
        <f t="shared" si="712"/>
        <v/>
      </c>
      <c r="F4570" s="31"/>
      <c r="G4570" s="29"/>
      <c r="H4570" s="78" t="str">
        <f t="shared" si="716"/>
        <v/>
      </c>
      <c r="I4570" s="25"/>
      <c r="J4570" s="25"/>
      <c r="K4570" s="26"/>
      <c r="L4570" s="26"/>
      <c r="M4570" s="37"/>
      <c r="N4570" s="27"/>
      <c r="O4570" s="30"/>
      <c r="P4570" s="39" t="str">
        <f t="shared" si="717"/>
        <v/>
      </c>
      <c r="Q4570" s="40" t="str">
        <f>IF(OR(T4570=0,RIGHT(T4570,1)=$W$1),"",COUNTIF($T$3:T4570,T4570))</f>
        <v/>
      </c>
      <c r="S4570" s="6">
        <f t="shared" si="718"/>
        <v>0</v>
      </c>
      <c r="T4570" s="36">
        <f t="shared" si="719"/>
        <v>0</v>
      </c>
      <c r="V4570" s="6">
        <f t="shared" si="720"/>
        <v>0</v>
      </c>
      <c r="Y4570" s="8">
        <f t="shared" si="721"/>
        <v>46023</v>
      </c>
    </row>
    <row r="4571" spans="2:25" ht="18.75" x14ac:dyDescent="0.3">
      <c r="B4571" s="6">
        <f t="shared" si="713"/>
        <v>0</v>
      </c>
      <c r="C4571" s="6">
        <f t="shared" si="714"/>
        <v>0</v>
      </c>
      <c r="D4571" s="6" t="str">
        <f t="shared" si="715"/>
        <v/>
      </c>
      <c r="E4571" s="35" t="str">
        <f t="shared" si="712"/>
        <v/>
      </c>
      <c r="F4571" s="31"/>
      <c r="G4571" s="29"/>
      <c r="H4571" s="78" t="str">
        <f t="shared" si="716"/>
        <v/>
      </c>
      <c r="I4571" s="25"/>
      <c r="J4571" s="25"/>
      <c r="K4571" s="26"/>
      <c r="L4571" s="26"/>
      <c r="M4571" s="37"/>
      <c r="N4571" s="27"/>
      <c r="O4571" s="30"/>
      <c r="P4571" s="39" t="str">
        <f t="shared" si="717"/>
        <v/>
      </c>
      <c r="Q4571" s="40" t="str">
        <f>IF(OR(T4571=0,RIGHT(T4571,1)=$W$1),"",COUNTIF($T$3:T4571,T4571))</f>
        <v/>
      </c>
      <c r="S4571" s="6">
        <f t="shared" si="718"/>
        <v>0</v>
      </c>
      <c r="T4571" s="36">
        <f t="shared" si="719"/>
        <v>0</v>
      </c>
      <c r="V4571" s="6">
        <f t="shared" si="720"/>
        <v>0</v>
      </c>
      <c r="Y4571" s="8">
        <f t="shared" si="721"/>
        <v>46023</v>
      </c>
    </row>
    <row r="4572" spans="2:25" ht="18.75" x14ac:dyDescent="0.3">
      <c r="B4572" s="6">
        <f t="shared" si="713"/>
        <v>0</v>
      </c>
      <c r="C4572" s="6">
        <f t="shared" si="714"/>
        <v>0</v>
      </c>
      <c r="D4572" s="6" t="str">
        <f t="shared" si="715"/>
        <v/>
      </c>
      <c r="E4572" s="35" t="str">
        <f t="shared" si="712"/>
        <v/>
      </c>
      <c r="F4572" s="31"/>
      <c r="G4572" s="29"/>
      <c r="H4572" s="78" t="str">
        <f t="shared" si="716"/>
        <v/>
      </c>
      <c r="I4572" s="25"/>
      <c r="J4572" s="25"/>
      <c r="K4572" s="26"/>
      <c r="L4572" s="26"/>
      <c r="M4572" s="37"/>
      <c r="N4572" s="27"/>
      <c r="O4572" s="30"/>
      <c r="P4572" s="39" t="str">
        <f t="shared" si="717"/>
        <v/>
      </c>
      <c r="Q4572" s="40" t="str">
        <f>IF(OR(T4572=0,RIGHT(T4572,1)=$W$1),"",COUNTIF($T$3:T4572,T4572))</f>
        <v/>
      </c>
      <c r="S4572" s="6">
        <f t="shared" si="718"/>
        <v>0</v>
      </c>
      <c r="T4572" s="36">
        <f t="shared" si="719"/>
        <v>0</v>
      </c>
      <c r="V4572" s="6">
        <f t="shared" si="720"/>
        <v>0</v>
      </c>
      <c r="Y4572" s="8">
        <f t="shared" si="721"/>
        <v>46023</v>
      </c>
    </row>
    <row r="4573" spans="2:25" ht="18.75" x14ac:dyDescent="0.3">
      <c r="B4573" s="6">
        <f t="shared" si="713"/>
        <v>0</v>
      </c>
      <c r="C4573" s="6">
        <f t="shared" si="714"/>
        <v>0</v>
      </c>
      <c r="D4573" s="6" t="str">
        <f t="shared" si="715"/>
        <v/>
      </c>
      <c r="E4573" s="35" t="str">
        <f t="shared" si="712"/>
        <v/>
      </c>
      <c r="F4573" s="31"/>
      <c r="G4573" s="29"/>
      <c r="H4573" s="78" t="str">
        <f t="shared" si="716"/>
        <v/>
      </c>
      <c r="I4573" s="25"/>
      <c r="J4573" s="25"/>
      <c r="K4573" s="26"/>
      <c r="L4573" s="26"/>
      <c r="M4573" s="37"/>
      <c r="N4573" s="27"/>
      <c r="O4573" s="30"/>
      <c r="P4573" s="39" t="str">
        <f t="shared" si="717"/>
        <v/>
      </c>
      <c r="Q4573" s="40" t="str">
        <f>IF(OR(T4573=0,RIGHT(T4573,1)=$W$1),"",COUNTIF($T$3:T4573,T4573))</f>
        <v/>
      </c>
      <c r="S4573" s="6">
        <f t="shared" si="718"/>
        <v>0</v>
      </c>
      <c r="T4573" s="36">
        <f t="shared" si="719"/>
        <v>0</v>
      </c>
      <c r="V4573" s="6">
        <f t="shared" si="720"/>
        <v>0</v>
      </c>
      <c r="Y4573" s="8">
        <f t="shared" si="721"/>
        <v>46023</v>
      </c>
    </row>
    <row r="4574" spans="2:25" ht="18.75" x14ac:dyDescent="0.3">
      <c r="B4574" s="6">
        <f t="shared" si="713"/>
        <v>0</v>
      </c>
      <c r="C4574" s="6">
        <f t="shared" si="714"/>
        <v>0</v>
      </c>
      <c r="D4574" s="6" t="str">
        <f t="shared" si="715"/>
        <v/>
      </c>
      <c r="E4574" s="35" t="str">
        <f t="shared" si="712"/>
        <v/>
      </c>
      <c r="F4574" s="31"/>
      <c r="G4574" s="29"/>
      <c r="H4574" s="78" t="str">
        <f t="shared" si="716"/>
        <v/>
      </c>
      <c r="I4574" s="25"/>
      <c r="J4574" s="25"/>
      <c r="K4574" s="26"/>
      <c r="L4574" s="26"/>
      <c r="M4574" s="37"/>
      <c r="N4574" s="27"/>
      <c r="O4574" s="30"/>
      <c r="P4574" s="39" t="str">
        <f t="shared" si="717"/>
        <v/>
      </c>
      <c r="Q4574" s="40" t="str">
        <f>IF(OR(T4574=0,RIGHT(T4574,1)=$W$1),"",COUNTIF($T$3:T4574,T4574))</f>
        <v/>
      </c>
      <c r="S4574" s="6">
        <f t="shared" si="718"/>
        <v>0</v>
      </c>
      <c r="T4574" s="36">
        <f t="shared" si="719"/>
        <v>0</v>
      </c>
      <c r="V4574" s="6">
        <f t="shared" si="720"/>
        <v>0</v>
      </c>
      <c r="Y4574" s="8">
        <f t="shared" si="721"/>
        <v>46023</v>
      </c>
    </row>
    <row r="4575" spans="2:25" ht="18.75" x14ac:dyDescent="0.3">
      <c r="B4575" s="6">
        <f t="shared" si="713"/>
        <v>0</v>
      </c>
      <c r="C4575" s="6">
        <f t="shared" si="714"/>
        <v>0</v>
      </c>
      <c r="D4575" s="6" t="str">
        <f t="shared" si="715"/>
        <v/>
      </c>
      <c r="E4575" s="35" t="str">
        <f t="shared" si="712"/>
        <v/>
      </c>
      <c r="F4575" s="31"/>
      <c r="G4575" s="29"/>
      <c r="H4575" s="78" t="str">
        <f t="shared" si="716"/>
        <v/>
      </c>
      <c r="I4575" s="25"/>
      <c r="J4575" s="25"/>
      <c r="K4575" s="26"/>
      <c r="L4575" s="26"/>
      <c r="M4575" s="37"/>
      <c r="N4575" s="27"/>
      <c r="O4575" s="30"/>
      <c r="P4575" s="39" t="str">
        <f t="shared" si="717"/>
        <v/>
      </c>
      <c r="Q4575" s="40" t="str">
        <f>IF(OR(T4575=0,RIGHT(T4575,1)=$W$1),"",COUNTIF($T$3:T4575,T4575))</f>
        <v/>
      </c>
      <c r="S4575" s="6">
        <f t="shared" si="718"/>
        <v>0</v>
      </c>
      <c r="T4575" s="36">
        <f t="shared" si="719"/>
        <v>0</v>
      </c>
      <c r="V4575" s="6">
        <f t="shared" si="720"/>
        <v>0</v>
      </c>
      <c r="Y4575" s="8">
        <f t="shared" si="721"/>
        <v>46023</v>
      </c>
    </row>
    <row r="4576" spans="2:25" ht="18.75" x14ac:dyDescent="0.3">
      <c r="B4576" s="6">
        <f t="shared" si="713"/>
        <v>0</v>
      </c>
      <c r="C4576" s="6">
        <f t="shared" si="714"/>
        <v>0</v>
      </c>
      <c r="D4576" s="6" t="str">
        <f t="shared" si="715"/>
        <v/>
      </c>
      <c r="E4576" s="35" t="str">
        <f t="shared" si="712"/>
        <v/>
      </c>
      <c r="F4576" s="31"/>
      <c r="G4576" s="29"/>
      <c r="H4576" s="78" t="str">
        <f t="shared" si="716"/>
        <v/>
      </c>
      <c r="I4576" s="25"/>
      <c r="J4576" s="25"/>
      <c r="K4576" s="26"/>
      <c r="L4576" s="26"/>
      <c r="M4576" s="37"/>
      <c r="N4576" s="27"/>
      <c r="O4576" s="30"/>
      <c r="P4576" s="39" t="str">
        <f t="shared" si="717"/>
        <v/>
      </c>
      <c r="Q4576" s="40" t="str">
        <f>IF(OR(T4576=0,RIGHT(T4576,1)=$W$1),"",COUNTIF($T$3:T4576,T4576))</f>
        <v/>
      </c>
      <c r="S4576" s="6">
        <f t="shared" si="718"/>
        <v>0</v>
      </c>
      <c r="T4576" s="36">
        <f t="shared" si="719"/>
        <v>0</v>
      </c>
      <c r="V4576" s="6">
        <f t="shared" si="720"/>
        <v>0</v>
      </c>
      <c r="Y4576" s="8">
        <f t="shared" si="721"/>
        <v>46023</v>
      </c>
    </row>
    <row r="4577" spans="2:25" ht="18.75" x14ac:dyDescent="0.3">
      <c r="B4577" s="6">
        <f t="shared" si="713"/>
        <v>0</v>
      </c>
      <c r="C4577" s="6">
        <f t="shared" si="714"/>
        <v>0</v>
      </c>
      <c r="D4577" s="6" t="str">
        <f t="shared" si="715"/>
        <v/>
      </c>
      <c r="E4577" s="35" t="str">
        <f t="shared" si="712"/>
        <v/>
      </c>
      <c r="F4577" s="31"/>
      <c r="G4577" s="29"/>
      <c r="H4577" s="78" t="str">
        <f t="shared" si="716"/>
        <v/>
      </c>
      <c r="I4577" s="25"/>
      <c r="J4577" s="25"/>
      <c r="K4577" s="26"/>
      <c r="L4577" s="26"/>
      <c r="M4577" s="37"/>
      <c r="N4577" s="27"/>
      <c r="O4577" s="30"/>
      <c r="P4577" s="39" t="str">
        <f t="shared" si="717"/>
        <v/>
      </c>
      <c r="Q4577" s="40" t="str">
        <f>IF(OR(T4577=0,RIGHT(T4577,1)=$W$1),"",COUNTIF($T$3:T4577,T4577))</f>
        <v/>
      </c>
      <c r="S4577" s="6">
        <f t="shared" si="718"/>
        <v>0</v>
      </c>
      <c r="T4577" s="36">
        <f t="shared" si="719"/>
        <v>0</v>
      </c>
      <c r="V4577" s="6">
        <f t="shared" si="720"/>
        <v>0</v>
      </c>
      <c r="Y4577" s="8">
        <f t="shared" si="721"/>
        <v>46023</v>
      </c>
    </row>
    <row r="4578" spans="2:25" ht="18.75" x14ac:dyDescent="0.3">
      <c r="B4578" s="6">
        <f t="shared" si="713"/>
        <v>0</v>
      </c>
      <c r="C4578" s="6">
        <f t="shared" si="714"/>
        <v>0</v>
      </c>
      <c r="D4578" s="6" t="str">
        <f t="shared" si="715"/>
        <v/>
      </c>
      <c r="E4578" s="35" t="str">
        <f t="shared" si="712"/>
        <v/>
      </c>
      <c r="F4578" s="31"/>
      <c r="G4578" s="29"/>
      <c r="H4578" s="78" t="str">
        <f t="shared" si="716"/>
        <v/>
      </c>
      <c r="I4578" s="25"/>
      <c r="J4578" s="25"/>
      <c r="K4578" s="26"/>
      <c r="L4578" s="26"/>
      <c r="M4578" s="37"/>
      <c r="N4578" s="27"/>
      <c r="O4578" s="30"/>
      <c r="P4578" s="39" t="str">
        <f t="shared" si="717"/>
        <v/>
      </c>
      <c r="Q4578" s="40" t="str">
        <f>IF(OR(T4578=0,RIGHT(T4578,1)=$W$1),"",COUNTIF($T$3:T4578,T4578))</f>
        <v/>
      </c>
      <c r="S4578" s="6">
        <f t="shared" si="718"/>
        <v>0</v>
      </c>
      <c r="T4578" s="36">
        <f t="shared" si="719"/>
        <v>0</v>
      </c>
      <c r="V4578" s="6">
        <f t="shared" si="720"/>
        <v>0</v>
      </c>
      <c r="Y4578" s="8">
        <f t="shared" si="721"/>
        <v>46023</v>
      </c>
    </row>
    <row r="4579" spans="2:25" ht="18.75" x14ac:dyDescent="0.3">
      <c r="B4579" s="6">
        <f t="shared" si="713"/>
        <v>0</v>
      </c>
      <c r="C4579" s="6">
        <f t="shared" si="714"/>
        <v>0</v>
      </c>
      <c r="D4579" s="6" t="str">
        <f t="shared" si="715"/>
        <v/>
      </c>
      <c r="E4579" s="35" t="str">
        <f t="shared" si="712"/>
        <v/>
      </c>
      <c r="F4579" s="31"/>
      <c r="G4579" s="29"/>
      <c r="H4579" s="78" t="str">
        <f t="shared" si="716"/>
        <v/>
      </c>
      <c r="I4579" s="25"/>
      <c r="J4579" s="25"/>
      <c r="K4579" s="26"/>
      <c r="L4579" s="26"/>
      <c r="M4579" s="37"/>
      <c r="N4579" s="27"/>
      <c r="O4579" s="30"/>
      <c r="P4579" s="39" t="str">
        <f t="shared" si="717"/>
        <v/>
      </c>
      <c r="Q4579" s="40" t="str">
        <f>IF(OR(T4579=0,RIGHT(T4579,1)=$W$1),"",COUNTIF($T$3:T4579,T4579))</f>
        <v/>
      </c>
      <c r="S4579" s="6">
        <f t="shared" si="718"/>
        <v>0</v>
      </c>
      <c r="T4579" s="36">
        <f t="shared" si="719"/>
        <v>0</v>
      </c>
      <c r="V4579" s="6">
        <f t="shared" si="720"/>
        <v>0</v>
      </c>
      <c r="Y4579" s="8">
        <f t="shared" si="721"/>
        <v>46023</v>
      </c>
    </row>
    <row r="4580" spans="2:25" ht="18.75" x14ac:dyDescent="0.3">
      <c r="B4580" s="6">
        <f t="shared" si="713"/>
        <v>0</v>
      </c>
      <c r="C4580" s="6">
        <f t="shared" si="714"/>
        <v>0</v>
      </c>
      <c r="D4580" s="6" t="str">
        <f t="shared" si="715"/>
        <v/>
      </c>
      <c r="E4580" s="35" t="str">
        <f t="shared" si="712"/>
        <v/>
      </c>
      <c r="F4580" s="31"/>
      <c r="G4580" s="29"/>
      <c r="H4580" s="78" t="str">
        <f t="shared" si="716"/>
        <v/>
      </c>
      <c r="I4580" s="25"/>
      <c r="J4580" s="25"/>
      <c r="K4580" s="26"/>
      <c r="L4580" s="26"/>
      <c r="M4580" s="37"/>
      <c r="N4580" s="27"/>
      <c r="O4580" s="30"/>
      <c r="P4580" s="39" t="str">
        <f t="shared" si="717"/>
        <v/>
      </c>
      <c r="Q4580" s="40" t="str">
        <f>IF(OR(T4580=0,RIGHT(T4580,1)=$W$1),"",COUNTIF($T$3:T4580,T4580))</f>
        <v/>
      </c>
      <c r="S4580" s="6">
        <f t="shared" si="718"/>
        <v>0</v>
      </c>
      <c r="T4580" s="36">
        <f t="shared" si="719"/>
        <v>0</v>
      </c>
      <c r="V4580" s="6">
        <f t="shared" si="720"/>
        <v>0</v>
      </c>
      <c r="Y4580" s="8">
        <f t="shared" si="721"/>
        <v>46023</v>
      </c>
    </row>
    <row r="4581" spans="2:25" ht="18.75" x14ac:dyDescent="0.3">
      <c r="B4581" s="6">
        <f t="shared" si="713"/>
        <v>0</v>
      </c>
      <c r="C4581" s="6">
        <f t="shared" si="714"/>
        <v>0</v>
      </c>
      <c r="D4581" s="6" t="str">
        <f t="shared" si="715"/>
        <v/>
      </c>
      <c r="E4581" s="35" t="str">
        <f t="shared" si="712"/>
        <v/>
      </c>
      <c r="F4581" s="31"/>
      <c r="G4581" s="29"/>
      <c r="H4581" s="78" t="str">
        <f t="shared" si="716"/>
        <v/>
      </c>
      <c r="I4581" s="25"/>
      <c r="J4581" s="25"/>
      <c r="K4581" s="26"/>
      <c r="L4581" s="26"/>
      <c r="M4581" s="37"/>
      <c r="N4581" s="27"/>
      <c r="O4581" s="30"/>
      <c r="P4581" s="39" t="str">
        <f t="shared" si="717"/>
        <v/>
      </c>
      <c r="Q4581" s="40" t="str">
        <f>IF(OR(T4581=0,RIGHT(T4581,1)=$W$1),"",COUNTIF($T$3:T4581,T4581))</f>
        <v/>
      </c>
      <c r="S4581" s="6">
        <f t="shared" si="718"/>
        <v>0</v>
      </c>
      <c r="T4581" s="36">
        <f t="shared" si="719"/>
        <v>0</v>
      </c>
      <c r="V4581" s="6">
        <f t="shared" si="720"/>
        <v>0</v>
      </c>
      <c r="Y4581" s="8">
        <f t="shared" si="721"/>
        <v>46023</v>
      </c>
    </row>
    <row r="4582" spans="2:25" ht="18.75" x14ac:dyDescent="0.3">
      <c r="B4582" s="6">
        <f t="shared" si="713"/>
        <v>0</v>
      </c>
      <c r="C4582" s="6">
        <f t="shared" si="714"/>
        <v>0</v>
      </c>
      <c r="D4582" s="6" t="str">
        <f t="shared" si="715"/>
        <v/>
      </c>
      <c r="E4582" s="35" t="str">
        <f t="shared" si="712"/>
        <v/>
      </c>
      <c r="F4582" s="31"/>
      <c r="G4582" s="29"/>
      <c r="H4582" s="78" t="str">
        <f t="shared" si="716"/>
        <v/>
      </c>
      <c r="I4582" s="25"/>
      <c r="J4582" s="25"/>
      <c r="K4582" s="26"/>
      <c r="L4582" s="26"/>
      <c r="M4582" s="37"/>
      <c r="N4582" s="27"/>
      <c r="O4582" s="30"/>
      <c r="P4582" s="39" t="str">
        <f t="shared" si="717"/>
        <v/>
      </c>
      <c r="Q4582" s="40" t="str">
        <f>IF(OR(T4582=0,RIGHT(T4582,1)=$W$1),"",COUNTIF($T$3:T4582,T4582))</f>
        <v/>
      </c>
      <c r="S4582" s="6">
        <f t="shared" si="718"/>
        <v>0</v>
      </c>
      <c r="T4582" s="36">
        <f t="shared" si="719"/>
        <v>0</v>
      </c>
      <c r="V4582" s="6">
        <f t="shared" si="720"/>
        <v>0</v>
      </c>
      <c r="Y4582" s="8">
        <f t="shared" si="721"/>
        <v>46023</v>
      </c>
    </row>
    <row r="4583" spans="2:25" ht="18.75" x14ac:dyDescent="0.3">
      <c r="B4583" s="6">
        <f t="shared" si="713"/>
        <v>0</v>
      </c>
      <c r="C4583" s="6">
        <f t="shared" si="714"/>
        <v>0</v>
      </c>
      <c r="D4583" s="6" t="str">
        <f t="shared" si="715"/>
        <v/>
      </c>
      <c r="E4583" s="35" t="str">
        <f t="shared" si="712"/>
        <v/>
      </c>
      <c r="F4583" s="31"/>
      <c r="G4583" s="29"/>
      <c r="H4583" s="78" t="str">
        <f t="shared" si="716"/>
        <v/>
      </c>
      <c r="I4583" s="25"/>
      <c r="J4583" s="25"/>
      <c r="K4583" s="26"/>
      <c r="L4583" s="26"/>
      <c r="M4583" s="37"/>
      <c r="N4583" s="27"/>
      <c r="O4583" s="30"/>
      <c r="P4583" s="39" t="str">
        <f t="shared" si="717"/>
        <v/>
      </c>
      <c r="Q4583" s="40" t="str">
        <f>IF(OR(T4583=0,RIGHT(T4583,1)=$W$1),"",COUNTIF($T$3:T4583,T4583))</f>
        <v/>
      </c>
      <c r="S4583" s="6">
        <f t="shared" si="718"/>
        <v>0</v>
      </c>
      <c r="T4583" s="36">
        <f t="shared" si="719"/>
        <v>0</v>
      </c>
      <c r="V4583" s="6">
        <f t="shared" si="720"/>
        <v>0</v>
      </c>
      <c r="Y4583" s="8">
        <f t="shared" si="721"/>
        <v>46023</v>
      </c>
    </row>
    <row r="4584" spans="2:25" ht="18.75" x14ac:dyDescent="0.3">
      <c r="B4584" s="6">
        <f t="shared" si="713"/>
        <v>0</v>
      </c>
      <c r="C4584" s="6">
        <f t="shared" si="714"/>
        <v>0</v>
      </c>
      <c r="D4584" s="6" t="str">
        <f t="shared" si="715"/>
        <v/>
      </c>
      <c r="E4584" s="35" t="str">
        <f t="shared" si="712"/>
        <v/>
      </c>
      <c r="F4584" s="31"/>
      <c r="G4584" s="29"/>
      <c r="H4584" s="78" t="str">
        <f t="shared" si="716"/>
        <v/>
      </c>
      <c r="I4584" s="25"/>
      <c r="J4584" s="25"/>
      <c r="K4584" s="26"/>
      <c r="L4584" s="26"/>
      <c r="M4584" s="37"/>
      <c r="N4584" s="27"/>
      <c r="O4584" s="30"/>
      <c r="P4584" s="39" t="str">
        <f t="shared" si="717"/>
        <v/>
      </c>
      <c r="Q4584" s="40" t="str">
        <f>IF(OR(T4584=0,RIGHT(T4584,1)=$W$1),"",COUNTIF($T$3:T4584,T4584))</f>
        <v/>
      </c>
      <c r="S4584" s="6">
        <f t="shared" si="718"/>
        <v>0</v>
      </c>
      <c r="T4584" s="36">
        <f t="shared" si="719"/>
        <v>0</v>
      </c>
      <c r="V4584" s="6">
        <f t="shared" si="720"/>
        <v>0</v>
      </c>
      <c r="Y4584" s="8">
        <f t="shared" si="721"/>
        <v>46023</v>
      </c>
    </row>
    <row r="4585" spans="2:25" ht="18.75" x14ac:dyDescent="0.3">
      <c r="B4585" s="6">
        <f t="shared" si="713"/>
        <v>0</v>
      </c>
      <c r="C4585" s="6">
        <f t="shared" si="714"/>
        <v>0</v>
      </c>
      <c r="D4585" s="6" t="str">
        <f t="shared" si="715"/>
        <v/>
      </c>
      <c r="E4585" s="35" t="str">
        <f t="shared" si="712"/>
        <v/>
      </c>
      <c r="F4585" s="31"/>
      <c r="G4585" s="29"/>
      <c r="H4585" s="78" t="str">
        <f t="shared" si="716"/>
        <v/>
      </c>
      <c r="I4585" s="25"/>
      <c r="J4585" s="25"/>
      <c r="K4585" s="26"/>
      <c r="L4585" s="26"/>
      <c r="M4585" s="37"/>
      <c r="N4585" s="27"/>
      <c r="O4585" s="30"/>
      <c r="P4585" s="39" t="str">
        <f t="shared" si="717"/>
        <v/>
      </c>
      <c r="Q4585" s="40" t="str">
        <f>IF(OR(T4585=0,RIGHT(T4585,1)=$W$1),"",COUNTIF($T$3:T4585,T4585))</f>
        <v/>
      </c>
      <c r="S4585" s="6">
        <f t="shared" si="718"/>
        <v>0</v>
      </c>
      <c r="T4585" s="36">
        <f t="shared" si="719"/>
        <v>0</v>
      </c>
      <c r="V4585" s="6">
        <f t="shared" si="720"/>
        <v>0</v>
      </c>
      <c r="Y4585" s="8">
        <f t="shared" si="721"/>
        <v>46023</v>
      </c>
    </row>
    <row r="4586" spans="2:25" ht="18.75" x14ac:dyDescent="0.3">
      <c r="B4586" s="6">
        <f t="shared" si="713"/>
        <v>0</v>
      </c>
      <c r="C4586" s="6">
        <f t="shared" si="714"/>
        <v>0</v>
      </c>
      <c r="D4586" s="6" t="str">
        <f t="shared" si="715"/>
        <v/>
      </c>
      <c r="E4586" s="35" t="str">
        <f t="shared" si="712"/>
        <v/>
      </c>
      <c r="F4586" s="31"/>
      <c r="G4586" s="29"/>
      <c r="H4586" s="78" t="str">
        <f t="shared" si="716"/>
        <v/>
      </c>
      <c r="I4586" s="25"/>
      <c r="J4586" s="25"/>
      <c r="K4586" s="26"/>
      <c r="L4586" s="26"/>
      <c r="M4586" s="37"/>
      <c r="N4586" s="27"/>
      <c r="O4586" s="30"/>
      <c r="P4586" s="39" t="str">
        <f t="shared" si="717"/>
        <v/>
      </c>
      <c r="Q4586" s="40" t="str">
        <f>IF(OR(T4586=0,RIGHT(T4586,1)=$W$1),"",COUNTIF($T$3:T4586,T4586))</f>
        <v/>
      </c>
      <c r="S4586" s="6">
        <f t="shared" si="718"/>
        <v>0</v>
      </c>
      <c r="T4586" s="36">
        <f t="shared" si="719"/>
        <v>0</v>
      </c>
      <c r="V4586" s="6">
        <f t="shared" si="720"/>
        <v>0</v>
      </c>
      <c r="Y4586" s="8">
        <f t="shared" si="721"/>
        <v>46023</v>
      </c>
    </row>
    <row r="4587" spans="2:25" ht="18.75" x14ac:dyDescent="0.3">
      <c r="B4587" s="6">
        <f t="shared" si="713"/>
        <v>0</v>
      </c>
      <c r="C4587" s="6">
        <f t="shared" si="714"/>
        <v>0</v>
      </c>
      <c r="D4587" s="6" t="str">
        <f t="shared" si="715"/>
        <v/>
      </c>
      <c r="E4587" s="35" t="str">
        <f t="shared" si="712"/>
        <v/>
      </c>
      <c r="F4587" s="31"/>
      <c r="G4587" s="29"/>
      <c r="H4587" s="78" t="str">
        <f t="shared" si="716"/>
        <v/>
      </c>
      <c r="I4587" s="25"/>
      <c r="J4587" s="25"/>
      <c r="K4587" s="26"/>
      <c r="L4587" s="26"/>
      <c r="M4587" s="37"/>
      <c r="N4587" s="27"/>
      <c r="O4587" s="30"/>
      <c r="P4587" s="39" t="str">
        <f t="shared" si="717"/>
        <v/>
      </c>
      <c r="Q4587" s="40" t="str">
        <f>IF(OR(T4587=0,RIGHT(T4587,1)=$W$1),"",COUNTIF($T$3:T4587,T4587))</f>
        <v/>
      </c>
      <c r="S4587" s="6">
        <f t="shared" si="718"/>
        <v>0</v>
      </c>
      <c r="T4587" s="36">
        <f t="shared" si="719"/>
        <v>0</v>
      </c>
      <c r="V4587" s="6">
        <f t="shared" si="720"/>
        <v>0</v>
      </c>
      <c r="Y4587" s="8">
        <f t="shared" si="721"/>
        <v>46023</v>
      </c>
    </row>
    <row r="4588" spans="2:25" ht="18.75" x14ac:dyDescent="0.3">
      <c r="B4588" s="6">
        <f t="shared" si="713"/>
        <v>0</v>
      </c>
      <c r="C4588" s="6">
        <f t="shared" si="714"/>
        <v>0</v>
      </c>
      <c r="D4588" s="6" t="str">
        <f t="shared" si="715"/>
        <v/>
      </c>
      <c r="E4588" s="35" t="str">
        <f t="shared" si="712"/>
        <v/>
      </c>
      <c r="F4588" s="31"/>
      <c r="G4588" s="29"/>
      <c r="H4588" s="78" t="str">
        <f t="shared" si="716"/>
        <v/>
      </c>
      <c r="I4588" s="25"/>
      <c r="J4588" s="25"/>
      <c r="K4588" s="26"/>
      <c r="L4588" s="26"/>
      <c r="M4588" s="37"/>
      <c r="N4588" s="27"/>
      <c r="O4588" s="30"/>
      <c r="P4588" s="39" t="str">
        <f t="shared" si="717"/>
        <v/>
      </c>
      <c r="Q4588" s="40" t="str">
        <f>IF(OR(T4588=0,RIGHT(T4588,1)=$W$1),"",COUNTIF($T$3:T4588,T4588))</f>
        <v/>
      </c>
      <c r="S4588" s="6">
        <f t="shared" si="718"/>
        <v>0</v>
      </c>
      <c r="T4588" s="36">
        <f t="shared" si="719"/>
        <v>0</v>
      </c>
      <c r="V4588" s="6">
        <f t="shared" si="720"/>
        <v>0</v>
      </c>
      <c r="Y4588" s="8">
        <f t="shared" si="721"/>
        <v>46023</v>
      </c>
    </row>
    <row r="4589" spans="2:25" ht="18.75" x14ac:dyDescent="0.3">
      <c r="B4589" s="6">
        <f t="shared" si="713"/>
        <v>0</v>
      </c>
      <c r="C4589" s="6">
        <f t="shared" si="714"/>
        <v>0</v>
      </c>
      <c r="D4589" s="6" t="str">
        <f t="shared" si="715"/>
        <v/>
      </c>
      <c r="E4589" s="35" t="str">
        <f t="shared" si="712"/>
        <v/>
      </c>
      <c r="F4589" s="31"/>
      <c r="G4589" s="29"/>
      <c r="H4589" s="78" t="str">
        <f t="shared" si="716"/>
        <v/>
      </c>
      <c r="I4589" s="25"/>
      <c r="J4589" s="25"/>
      <c r="K4589" s="26"/>
      <c r="L4589" s="26"/>
      <c r="M4589" s="37"/>
      <c r="N4589" s="27"/>
      <c r="O4589" s="30"/>
      <c r="P4589" s="39" t="str">
        <f t="shared" si="717"/>
        <v/>
      </c>
      <c r="Q4589" s="40" t="str">
        <f>IF(OR(T4589=0,RIGHT(T4589,1)=$W$1),"",COUNTIF($T$3:T4589,T4589))</f>
        <v/>
      </c>
      <c r="S4589" s="6">
        <f t="shared" si="718"/>
        <v>0</v>
      </c>
      <c r="T4589" s="36">
        <f t="shared" si="719"/>
        <v>0</v>
      </c>
      <c r="V4589" s="6">
        <f t="shared" si="720"/>
        <v>0</v>
      </c>
      <c r="Y4589" s="8">
        <f t="shared" si="721"/>
        <v>46023</v>
      </c>
    </row>
    <row r="4590" spans="2:25" ht="18.75" x14ac:dyDescent="0.3">
      <c r="B4590" s="6">
        <f t="shared" si="713"/>
        <v>0</v>
      </c>
      <c r="C4590" s="6">
        <f t="shared" si="714"/>
        <v>0</v>
      </c>
      <c r="D4590" s="6" t="str">
        <f t="shared" si="715"/>
        <v/>
      </c>
      <c r="E4590" s="35" t="str">
        <f t="shared" si="712"/>
        <v/>
      </c>
      <c r="F4590" s="31"/>
      <c r="G4590" s="29"/>
      <c r="H4590" s="78" t="str">
        <f t="shared" si="716"/>
        <v/>
      </c>
      <c r="I4590" s="25"/>
      <c r="J4590" s="25"/>
      <c r="K4590" s="26"/>
      <c r="L4590" s="26"/>
      <c r="M4590" s="37"/>
      <c r="N4590" s="27"/>
      <c r="O4590" s="30"/>
      <c r="P4590" s="39" t="str">
        <f t="shared" si="717"/>
        <v/>
      </c>
      <c r="Q4590" s="40" t="str">
        <f>IF(OR(T4590=0,RIGHT(T4590,1)=$W$1),"",COUNTIF($T$3:T4590,T4590))</f>
        <v/>
      </c>
      <c r="S4590" s="6">
        <f t="shared" si="718"/>
        <v>0</v>
      </c>
      <c r="T4590" s="36">
        <f t="shared" si="719"/>
        <v>0</v>
      </c>
      <c r="V4590" s="6">
        <f t="shared" si="720"/>
        <v>0</v>
      </c>
      <c r="Y4590" s="8">
        <f t="shared" si="721"/>
        <v>46023</v>
      </c>
    </row>
    <row r="4591" spans="2:25" ht="18.75" x14ac:dyDescent="0.3">
      <c r="B4591" s="6">
        <f t="shared" si="713"/>
        <v>0</v>
      </c>
      <c r="C4591" s="6">
        <f t="shared" si="714"/>
        <v>0</v>
      </c>
      <c r="D4591" s="6" t="str">
        <f t="shared" si="715"/>
        <v/>
      </c>
      <c r="E4591" s="35" t="str">
        <f t="shared" si="712"/>
        <v/>
      </c>
      <c r="F4591" s="31"/>
      <c r="G4591" s="29"/>
      <c r="H4591" s="78" t="str">
        <f t="shared" si="716"/>
        <v/>
      </c>
      <c r="I4591" s="25"/>
      <c r="J4591" s="25"/>
      <c r="K4591" s="26"/>
      <c r="L4591" s="26"/>
      <c r="M4591" s="37"/>
      <c r="N4591" s="27"/>
      <c r="O4591" s="30"/>
      <c r="P4591" s="39" t="str">
        <f t="shared" si="717"/>
        <v/>
      </c>
      <c r="Q4591" s="40" t="str">
        <f>IF(OR(T4591=0,RIGHT(T4591,1)=$W$1),"",COUNTIF($T$3:T4591,T4591))</f>
        <v/>
      </c>
      <c r="S4591" s="6">
        <f t="shared" si="718"/>
        <v>0</v>
      </c>
      <c r="T4591" s="36">
        <f t="shared" si="719"/>
        <v>0</v>
      </c>
      <c r="V4591" s="6">
        <f t="shared" si="720"/>
        <v>0</v>
      </c>
      <c r="Y4591" s="8">
        <f t="shared" si="721"/>
        <v>46023</v>
      </c>
    </row>
    <row r="4592" spans="2:25" ht="18.75" x14ac:dyDescent="0.3">
      <c r="B4592" s="6">
        <f t="shared" si="713"/>
        <v>0</v>
      </c>
      <c r="C4592" s="6">
        <f t="shared" si="714"/>
        <v>0</v>
      </c>
      <c r="D4592" s="6" t="str">
        <f t="shared" si="715"/>
        <v/>
      </c>
      <c r="E4592" s="35" t="str">
        <f t="shared" si="712"/>
        <v/>
      </c>
      <c r="F4592" s="31"/>
      <c r="G4592" s="29"/>
      <c r="H4592" s="78" t="str">
        <f t="shared" si="716"/>
        <v/>
      </c>
      <c r="I4592" s="25"/>
      <c r="J4592" s="25"/>
      <c r="K4592" s="26"/>
      <c r="L4592" s="26"/>
      <c r="M4592" s="37"/>
      <c r="N4592" s="27"/>
      <c r="O4592" s="30"/>
      <c r="P4592" s="39" t="str">
        <f t="shared" si="717"/>
        <v/>
      </c>
      <c r="Q4592" s="40" t="str">
        <f>IF(OR(T4592=0,RIGHT(T4592,1)=$W$1),"",COUNTIF($T$3:T4592,T4592))</f>
        <v/>
      </c>
      <c r="S4592" s="6">
        <f t="shared" si="718"/>
        <v>0</v>
      </c>
      <c r="T4592" s="36">
        <f t="shared" si="719"/>
        <v>0</v>
      </c>
      <c r="V4592" s="6">
        <f t="shared" si="720"/>
        <v>0</v>
      </c>
      <c r="Y4592" s="8">
        <f t="shared" si="721"/>
        <v>46023</v>
      </c>
    </row>
    <row r="4593" spans="2:25" ht="18.75" x14ac:dyDescent="0.3">
      <c r="B4593" s="6">
        <f t="shared" si="713"/>
        <v>0</v>
      </c>
      <c r="C4593" s="6">
        <f t="shared" si="714"/>
        <v>0</v>
      </c>
      <c r="D4593" s="6" t="str">
        <f t="shared" si="715"/>
        <v/>
      </c>
      <c r="E4593" s="35" t="str">
        <f t="shared" si="712"/>
        <v/>
      </c>
      <c r="F4593" s="31"/>
      <c r="G4593" s="29"/>
      <c r="H4593" s="78" t="str">
        <f t="shared" si="716"/>
        <v/>
      </c>
      <c r="I4593" s="25"/>
      <c r="J4593" s="25"/>
      <c r="K4593" s="26"/>
      <c r="L4593" s="26"/>
      <c r="M4593" s="37"/>
      <c r="N4593" s="27"/>
      <c r="O4593" s="30"/>
      <c r="P4593" s="39" t="str">
        <f t="shared" si="717"/>
        <v/>
      </c>
      <c r="Q4593" s="40" t="str">
        <f>IF(OR(T4593=0,RIGHT(T4593,1)=$W$1),"",COUNTIF($T$3:T4593,T4593))</f>
        <v/>
      </c>
      <c r="S4593" s="6">
        <f t="shared" si="718"/>
        <v>0</v>
      </c>
      <c r="T4593" s="36">
        <f t="shared" si="719"/>
        <v>0</v>
      </c>
      <c r="V4593" s="6">
        <f t="shared" si="720"/>
        <v>0</v>
      </c>
      <c r="Y4593" s="8">
        <f t="shared" si="721"/>
        <v>46023</v>
      </c>
    </row>
    <row r="4594" spans="2:25" ht="18.75" x14ac:dyDescent="0.3">
      <c r="B4594" s="6">
        <f t="shared" si="713"/>
        <v>0</v>
      </c>
      <c r="C4594" s="6">
        <f t="shared" si="714"/>
        <v>0</v>
      </c>
      <c r="D4594" s="6" t="str">
        <f t="shared" si="715"/>
        <v/>
      </c>
      <c r="E4594" s="35" t="str">
        <f t="shared" si="712"/>
        <v/>
      </c>
      <c r="F4594" s="31"/>
      <c r="G4594" s="29"/>
      <c r="H4594" s="78" t="str">
        <f t="shared" si="716"/>
        <v/>
      </c>
      <c r="I4594" s="25"/>
      <c r="J4594" s="25"/>
      <c r="K4594" s="26"/>
      <c r="L4594" s="26"/>
      <c r="M4594" s="37"/>
      <c r="N4594" s="27"/>
      <c r="O4594" s="30"/>
      <c r="P4594" s="39" t="str">
        <f t="shared" si="717"/>
        <v/>
      </c>
      <c r="Q4594" s="40" t="str">
        <f>IF(OR(T4594=0,RIGHT(T4594,1)=$W$1),"",COUNTIF($T$3:T4594,T4594))</f>
        <v/>
      </c>
      <c r="S4594" s="6">
        <f t="shared" si="718"/>
        <v>0</v>
      </c>
      <c r="T4594" s="36">
        <f t="shared" si="719"/>
        <v>0</v>
      </c>
      <c r="V4594" s="6">
        <f t="shared" si="720"/>
        <v>0</v>
      </c>
      <c r="Y4594" s="8">
        <f t="shared" si="721"/>
        <v>46023</v>
      </c>
    </row>
    <row r="4595" spans="2:25" ht="18.75" x14ac:dyDescent="0.3">
      <c r="B4595" s="6">
        <f t="shared" si="713"/>
        <v>0</v>
      </c>
      <c r="C4595" s="6">
        <f t="shared" si="714"/>
        <v>0</v>
      </c>
      <c r="D4595" s="6" t="str">
        <f t="shared" si="715"/>
        <v/>
      </c>
      <c r="E4595" s="35" t="str">
        <f t="shared" si="712"/>
        <v/>
      </c>
      <c r="F4595" s="31"/>
      <c r="G4595" s="29"/>
      <c r="H4595" s="78" t="str">
        <f t="shared" si="716"/>
        <v/>
      </c>
      <c r="I4595" s="25"/>
      <c r="J4595" s="25"/>
      <c r="K4595" s="26"/>
      <c r="L4595" s="26"/>
      <c r="M4595" s="37"/>
      <c r="N4595" s="27"/>
      <c r="O4595" s="30"/>
      <c r="P4595" s="39" t="str">
        <f t="shared" si="717"/>
        <v/>
      </c>
      <c r="Q4595" s="40" t="str">
        <f>IF(OR(T4595=0,RIGHT(T4595,1)=$W$1),"",COUNTIF($T$3:T4595,T4595))</f>
        <v/>
      </c>
      <c r="S4595" s="6">
        <f t="shared" si="718"/>
        <v>0</v>
      </c>
      <c r="T4595" s="36">
        <f t="shared" si="719"/>
        <v>0</v>
      </c>
      <c r="V4595" s="6">
        <f t="shared" si="720"/>
        <v>0</v>
      </c>
      <c r="Y4595" s="8">
        <f t="shared" si="721"/>
        <v>46023</v>
      </c>
    </row>
    <row r="4596" spans="2:25" ht="18.75" x14ac:dyDescent="0.3">
      <c r="B4596" s="6">
        <f t="shared" si="713"/>
        <v>0</v>
      </c>
      <c r="C4596" s="6">
        <f t="shared" si="714"/>
        <v>0</v>
      </c>
      <c r="D4596" s="6" t="str">
        <f t="shared" si="715"/>
        <v/>
      </c>
      <c r="E4596" s="35" t="str">
        <f t="shared" si="712"/>
        <v/>
      </c>
      <c r="F4596" s="31"/>
      <c r="G4596" s="29"/>
      <c r="H4596" s="78" t="str">
        <f t="shared" si="716"/>
        <v/>
      </c>
      <c r="I4596" s="25"/>
      <c r="J4596" s="25"/>
      <c r="K4596" s="26"/>
      <c r="L4596" s="26"/>
      <c r="M4596" s="37"/>
      <c r="N4596" s="27"/>
      <c r="O4596" s="30"/>
      <c r="P4596" s="39" t="str">
        <f t="shared" si="717"/>
        <v/>
      </c>
      <c r="Q4596" s="40" t="str">
        <f>IF(OR(T4596=0,RIGHT(T4596,1)=$W$1),"",COUNTIF($T$3:T4596,T4596))</f>
        <v/>
      </c>
      <c r="S4596" s="6">
        <f t="shared" si="718"/>
        <v>0</v>
      </c>
      <c r="T4596" s="36">
        <f t="shared" si="719"/>
        <v>0</v>
      </c>
      <c r="V4596" s="6">
        <f t="shared" si="720"/>
        <v>0</v>
      </c>
      <c r="Y4596" s="8">
        <f t="shared" si="721"/>
        <v>46023</v>
      </c>
    </row>
    <row r="4597" spans="2:25" ht="18.75" x14ac:dyDescent="0.3">
      <c r="B4597" s="6">
        <f t="shared" si="713"/>
        <v>0</v>
      </c>
      <c r="C4597" s="6">
        <f t="shared" si="714"/>
        <v>0</v>
      </c>
      <c r="D4597" s="6" t="str">
        <f t="shared" si="715"/>
        <v/>
      </c>
      <c r="E4597" s="35" t="str">
        <f t="shared" si="712"/>
        <v/>
      </c>
      <c r="F4597" s="31"/>
      <c r="G4597" s="29"/>
      <c r="H4597" s="78" t="str">
        <f t="shared" si="716"/>
        <v/>
      </c>
      <c r="I4597" s="25"/>
      <c r="J4597" s="25"/>
      <c r="K4597" s="26"/>
      <c r="L4597" s="26"/>
      <c r="M4597" s="37"/>
      <c r="N4597" s="27"/>
      <c r="O4597" s="30"/>
      <c r="P4597" s="39" t="str">
        <f t="shared" si="717"/>
        <v/>
      </c>
      <c r="Q4597" s="40" t="str">
        <f>IF(OR(T4597=0,RIGHT(T4597,1)=$W$1),"",COUNTIF($T$3:T4597,T4597))</f>
        <v/>
      </c>
      <c r="S4597" s="6">
        <f t="shared" si="718"/>
        <v>0</v>
      </c>
      <c r="T4597" s="36">
        <f t="shared" si="719"/>
        <v>0</v>
      </c>
      <c r="V4597" s="6">
        <f t="shared" si="720"/>
        <v>0</v>
      </c>
      <c r="Y4597" s="8">
        <f t="shared" si="721"/>
        <v>46023</v>
      </c>
    </row>
    <row r="4598" spans="2:25" ht="18.75" x14ac:dyDescent="0.3">
      <c r="B4598" s="6">
        <f t="shared" si="713"/>
        <v>0</v>
      </c>
      <c r="C4598" s="6">
        <f t="shared" si="714"/>
        <v>0</v>
      </c>
      <c r="D4598" s="6" t="str">
        <f t="shared" si="715"/>
        <v/>
      </c>
      <c r="E4598" s="35" t="str">
        <f t="shared" si="712"/>
        <v/>
      </c>
      <c r="F4598" s="31"/>
      <c r="G4598" s="29"/>
      <c r="H4598" s="78" t="str">
        <f t="shared" si="716"/>
        <v/>
      </c>
      <c r="I4598" s="25"/>
      <c r="J4598" s="25"/>
      <c r="K4598" s="26"/>
      <c r="L4598" s="26"/>
      <c r="M4598" s="37"/>
      <c r="N4598" s="27"/>
      <c r="O4598" s="30"/>
      <c r="P4598" s="39" t="str">
        <f t="shared" si="717"/>
        <v/>
      </c>
      <c r="Q4598" s="40" t="str">
        <f>IF(OR(T4598=0,RIGHT(T4598,1)=$W$1),"",COUNTIF($T$3:T4598,T4598))</f>
        <v/>
      </c>
      <c r="S4598" s="6">
        <f t="shared" si="718"/>
        <v>0</v>
      </c>
      <c r="T4598" s="36">
        <f t="shared" si="719"/>
        <v>0</v>
      </c>
      <c r="V4598" s="6">
        <f t="shared" si="720"/>
        <v>0</v>
      </c>
      <c r="Y4598" s="8">
        <f t="shared" si="721"/>
        <v>46023</v>
      </c>
    </row>
    <row r="4599" spans="2:25" ht="18.75" x14ac:dyDescent="0.3">
      <c r="B4599" s="6">
        <f t="shared" si="713"/>
        <v>0</v>
      </c>
      <c r="C4599" s="6">
        <f t="shared" si="714"/>
        <v>0</v>
      </c>
      <c r="D4599" s="6" t="str">
        <f t="shared" si="715"/>
        <v/>
      </c>
      <c r="E4599" s="35" t="str">
        <f t="shared" si="712"/>
        <v/>
      </c>
      <c r="F4599" s="31"/>
      <c r="G4599" s="29"/>
      <c r="H4599" s="78" t="str">
        <f t="shared" si="716"/>
        <v/>
      </c>
      <c r="I4599" s="25"/>
      <c r="J4599" s="25"/>
      <c r="K4599" s="26"/>
      <c r="L4599" s="26"/>
      <c r="M4599" s="37"/>
      <c r="N4599" s="27"/>
      <c r="O4599" s="30"/>
      <c r="P4599" s="39" t="str">
        <f t="shared" si="717"/>
        <v/>
      </c>
      <c r="Q4599" s="40" t="str">
        <f>IF(OR(T4599=0,RIGHT(T4599,1)=$W$1),"",COUNTIF($T$3:T4599,T4599))</f>
        <v/>
      </c>
      <c r="S4599" s="6">
        <f t="shared" si="718"/>
        <v>0</v>
      </c>
      <c r="T4599" s="36">
        <f t="shared" si="719"/>
        <v>0</v>
      </c>
      <c r="V4599" s="6">
        <f t="shared" si="720"/>
        <v>0</v>
      </c>
      <c r="Y4599" s="8">
        <f t="shared" si="721"/>
        <v>46023</v>
      </c>
    </row>
    <row r="4600" spans="2:25" ht="18.75" x14ac:dyDescent="0.3">
      <c r="B4600" s="6">
        <f t="shared" si="713"/>
        <v>0</v>
      </c>
      <c r="C4600" s="6">
        <f t="shared" si="714"/>
        <v>0</v>
      </c>
      <c r="D4600" s="6" t="str">
        <f t="shared" si="715"/>
        <v/>
      </c>
      <c r="E4600" s="35" t="str">
        <f t="shared" si="712"/>
        <v/>
      </c>
      <c r="F4600" s="31"/>
      <c r="G4600" s="29"/>
      <c r="H4600" s="78" t="str">
        <f t="shared" si="716"/>
        <v/>
      </c>
      <c r="I4600" s="25"/>
      <c r="J4600" s="25"/>
      <c r="K4600" s="26"/>
      <c r="L4600" s="26"/>
      <c r="M4600" s="37"/>
      <c r="N4600" s="27"/>
      <c r="O4600" s="30"/>
      <c r="P4600" s="39" t="str">
        <f t="shared" si="717"/>
        <v/>
      </c>
      <c r="Q4600" s="40" t="str">
        <f>IF(OR(T4600=0,RIGHT(T4600,1)=$W$1),"",COUNTIF($T$3:T4600,T4600))</f>
        <v/>
      </c>
      <c r="S4600" s="6">
        <f t="shared" si="718"/>
        <v>0</v>
      </c>
      <c r="T4600" s="36">
        <f t="shared" si="719"/>
        <v>0</v>
      </c>
      <c r="V4600" s="6">
        <f t="shared" si="720"/>
        <v>0</v>
      </c>
      <c r="Y4600" s="8">
        <f t="shared" si="721"/>
        <v>46023</v>
      </c>
    </row>
    <row r="4601" spans="2:25" ht="18.75" x14ac:dyDescent="0.3">
      <c r="B4601" s="6">
        <f t="shared" si="713"/>
        <v>0</v>
      </c>
      <c r="C4601" s="6">
        <f t="shared" si="714"/>
        <v>0</v>
      </c>
      <c r="D4601" s="6" t="str">
        <f t="shared" si="715"/>
        <v/>
      </c>
      <c r="E4601" s="35" t="str">
        <f t="shared" si="712"/>
        <v/>
      </c>
      <c r="F4601" s="31"/>
      <c r="G4601" s="29"/>
      <c r="H4601" s="78" t="str">
        <f t="shared" si="716"/>
        <v/>
      </c>
      <c r="I4601" s="25"/>
      <c r="J4601" s="25"/>
      <c r="K4601" s="26"/>
      <c r="L4601" s="26"/>
      <c r="M4601" s="37"/>
      <c r="N4601" s="27"/>
      <c r="O4601" s="30"/>
      <c r="P4601" s="39" t="str">
        <f t="shared" si="717"/>
        <v/>
      </c>
      <c r="Q4601" s="40" t="str">
        <f>IF(OR(T4601=0,RIGHT(T4601,1)=$W$1),"",COUNTIF($T$3:T4601,T4601))</f>
        <v/>
      </c>
      <c r="S4601" s="6">
        <f t="shared" si="718"/>
        <v>0</v>
      </c>
      <c r="T4601" s="36">
        <f t="shared" si="719"/>
        <v>0</v>
      </c>
      <c r="V4601" s="6">
        <f t="shared" si="720"/>
        <v>0</v>
      </c>
      <c r="Y4601" s="8">
        <f t="shared" si="721"/>
        <v>46023</v>
      </c>
    </row>
    <row r="4602" spans="2:25" ht="18.75" x14ac:dyDescent="0.3">
      <c r="B4602" s="6">
        <f t="shared" si="713"/>
        <v>0</v>
      </c>
      <c r="C4602" s="6">
        <f t="shared" si="714"/>
        <v>0</v>
      </c>
      <c r="D4602" s="6" t="str">
        <f t="shared" si="715"/>
        <v/>
      </c>
      <c r="E4602" s="35" t="str">
        <f t="shared" si="712"/>
        <v/>
      </c>
      <c r="F4602" s="31"/>
      <c r="G4602" s="29"/>
      <c r="H4602" s="78" t="str">
        <f t="shared" si="716"/>
        <v/>
      </c>
      <c r="I4602" s="25"/>
      <c r="J4602" s="25"/>
      <c r="K4602" s="26"/>
      <c r="L4602" s="26"/>
      <c r="M4602" s="37"/>
      <c r="N4602" s="27"/>
      <c r="O4602" s="30"/>
      <c r="P4602" s="39" t="str">
        <f t="shared" si="717"/>
        <v/>
      </c>
      <c r="Q4602" s="40" t="str">
        <f>IF(OR(T4602=0,RIGHT(T4602,1)=$W$1),"",COUNTIF($T$3:T4602,T4602))</f>
        <v/>
      </c>
      <c r="S4602" s="6">
        <f t="shared" si="718"/>
        <v>0</v>
      </c>
      <c r="T4602" s="36">
        <f t="shared" si="719"/>
        <v>0</v>
      </c>
      <c r="V4602" s="6">
        <f t="shared" si="720"/>
        <v>0</v>
      </c>
      <c r="Y4602" s="8">
        <f t="shared" si="721"/>
        <v>46023</v>
      </c>
    </row>
    <row r="4603" spans="2:25" ht="18.75" x14ac:dyDescent="0.3">
      <c r="B4603" s="6">
        <f t="shared" si="713"/>
        <v>0</v>
      </c>
      <c r="C4603" s="6">
        <f t="shared" si="714"/>
        <v>0</v>
      </c>
      <c r="D4603" s="6" t="str">
        <f t="shared" si="715"/>
        <v/>
      </c>
      <c r="E4603" s="35" t="str">
        <f t="shared" si="712"/>
        <v/>
      </c>
      <c r="F4603" s="31"/>
      <c r="G4603" s="29"/>
      <c r="H4603" s="78" t="str">
        <f t="shared" si="716"/>
        <v/>
      </c>
      <c r="I4603" s="25"/>
      <c r="J4603" s="25"/>
      <c r="K4603" s="26"/>
      <c r="L4603" s="26"/>
      <c r="M4603" s="37"/>
      <c r="N4603" s="27"/>
      <c r="O4603" s="30"/>
      <c r="P4603" s="39" t="str">
        <f t="shared" si="717"/>
        <v/>
      </c>
      <c r="Q4603" s="40" t="str">
        <f>IF(OR(T4603=0,RIGHT(T4603,1)=$W$1),"",COUNTIF($T$3:T4603,T4603))</f>
        <v/>
      </c>
      <c r="S4603" s="6">
        <f t="shared" si="718"/>
        <v>0</v>
      </c>
      <c r="T4603" s="36">
        <f t="shared" si="719"/>
        <v>0</v>
      </c>
      <c r="V4603" s="6">
        <f t="shared" si="720"/>
        <v>0</v>
      </c>
      <c r="Y4603" s="8">
        <f t="shared" si="721"/>
        <v>46023</v>
      </c>
    </row>
    <row r="4604" spans="2:25" ht="18.75" x14ac:dyDescent="0.3">
      <c r="B4604" s="6">
        <f t="shared" si="713"/>
        <v>0</v>
      </c>
      <c r="C4604" s="6">
        <f t="shared" si="714"/>
        <v>0</v>
      </c>
      <c r="D4604" s="6" t="str">
        <f t="shared" si="715"/>
        <v/>
      </c>
      <c r="E4604" s="35" t="str">
        <f t="shared" si="712"/>
        <v/>
      </c>
      <c r="F4604" s="31"/>
      <c r="G4604" s="29"/>
      <c r="H4604" s="78" t="str">
        <f t="shared" si="716"/>
        <v/>
      </c>
      <c r="I4604" s="25"/>
      <c r="J4604" s="25"/>
      <c r="K4604" s="26"/>
      <c r="L4604" s="26"/>
      <c r="M4604" s="37"/>
      <c r="N4604" s="27"/>
      <c r="O4604" s="30"/>
      <c r="P4604" s="39" t="str">
        <f t="shared" si="717"/>
        <v/>
      </c>
      <c r="Q4604" s="40" t="str">
        <f>IF(OR(T4604=0,RIGHT(T4604,1)=$W$1),"",COUNTIF($T$3:T4604,T4604))</f>
        <v/>
      </c>
      <c r="S4604" s="6">
        <f t="shared" si="718"/>
        <v>0</v>
      </c>
      <c r="T4604" s="36">
        <f t="shared" si="719"/>
        <v>0</v>
      </c>
      <c r="V4604" s="6">
        <f t="shared" si="720"/>
        <v>0</v>
      </c>
      <c r="Y4604" s="8">
        <f t="shared" si="721"/>
        <v>46023</v>
      </c>
    </row>
    <row r="4605" spans="2:25" ht="18.75" x14ac:dyDescent="0.3">
      <c r="B4605" s="6">
        <f t="shared" si="713"/>
        <v>0</v>
      </c>
      <c r="C4605" s="6">
        <f t="shared" si="714"/>
        <v>0</v>
      </c>
      <c r="D4605" s="6" t="str">
        <f t="shared" si="715"/>
        <v/>
      </c>
      <c r="E4605" s="35" t="str">
        <f t="shared" si="712"/>
        <v/>
      </c>
      <c r="F4605" s="31"/>
      <c r="G4605" s="29"/>
      <c r="H4605" s="78" t="str">
        <f t="shared" si="716"/>
        <v/>
      </c>
      <c r="I4605" s="25"/>
      <c r="J4605" s="25"/>
      <c r="K4605" s="26"/>
      <c r="L4605" s="26"/>
      <c r="M4605" s="37"/>
      <c r="N4605" s="27"/>
      <c r="O4605" s="30"/>
      <c r="P4605" s="39" t="str">
        <f t="shared" si="717"/>
        <v/>
      </c>
      <c r="Q4605" s="40" t="str">
        <f>IF(OR(T4605=0,RIGHT(T4605,1)=$W$1),"",COUNTIF($T$3:T4605,T4605))</f>
        <v/>
      </c>
      <c r="S4605" s="6">
        <f t="shared" si="718"/>
        <v>0</v>
      </c>
      <c r="T4605" s="36">
        <f t="shared" si="719"/>
        <v>0</v>
      </c>
      <c r="V4605" s="6">
        <f t="shared" si="720"/>
        <v>0</v>
      </c>
      <c r="Y4605" s="8">
        <f t="shared" si="721"/>
        <v>46023</v>
      </c>
    </row>
    <row r="4606" spans="2:25" ht="18.75" x14ac:dyDescent="0.3">
      <c r="B4606" s="6">
        <f t="shared" si="713"/>
        <v>0</v>
      </c>
      <c r="C4606" s="6">
        <f t="shared" si="714"/>
        <v>0</v>
      </c>
      <c r="D4606" s="6" t="str">
        <f t="shared" si="715"/>
        <v/>
      </c>
      <c r="E4606" s="35" t="str">
        <f t="shared" si="712"/>
        <v/>
      </c>
      <c r="F4606" s="31"/>
      <c r="G4606" s="29"/>
      <c r="H4606" s="78" t="str">
        <f t="shared" si="716"/>
        <v/>
      </c>
      <c r="I4606" s="25"/>
      <c r="J4606" s="25"/>
      <c r="K4606" s="26"/>
      <c r="L4606" s="26"/>
      <c r="M4606" s="37"/>
      <c r="N4606" s="27"/>
      <c r="O4606" s="30"/>
      <c r="P4606" s="39" t="str">
        <f t="shared" si="717"/>
        <v/>
      </c>
      <c r="Q4606" s="40" t="str">
        <f>IF(OR(T4606=0,RIGHT(T4606,1)=$W$1),"",COUNTIF($T$3:T4606,T4606))</f>
        <v/>
      </c>
      <c r="S4606" s="6">
        <f t="shared" si="718"/>
        <v>0</v>
      </c>
      <c r="T4606" s="36">
        <f t="shared" si="719"/>
        <v>0</v>
      </c>
      <c r="V4606" s="6">
        <f t="shared" si="720"/>
        <v>0</v>
      </c>
      <c r="Y4606" s="8">
        <f t="shared" si="721"/>
        <v>46023</v>
      </c>
    </row>
    <row r="4607" spans="2:25" ht="18.75" x14ac:dyDescent="0.3">
      <c r="B4607" s="6">
        <f t="shared" si="713"/>
        <v>0</v>
      </c>
      <c r="C4607" s="6">
        <f t="shared" si="714"/>
        <v>0</v>
      </c>
      <c r="D4607" s="6" t="str">
        <f t="shared" si="715"/>
        <v/>
      </c>
      <c r="E4607" s="35" t="str">
        <f t="shared" si="712"/>
        <v/>
      </c>
      <c r="F4607" s="31"/>
      <c r="G4607" s="29"/>
      <c r="H4607" s="78" t="str">
        <f t="shared" si="716"/>
        <v/>
      </c>
      <c r="I4607" s="25"/>
      <c r="J4607" s="25"/>
      <c r="K4607" s="26"/>
      <c r="L4607" s="26"/>
      <c r="M4607" s="37"/>
      <c r="N4607" s="27"/>
      <c r="O4607" s="30"/>
      <c r="P4607" s="39" t="str">
        <f t="shared" si="717"/>
        <v/>
      </c>
      <c r="Q4607" s="40" t="str">
        <f>IF(OR(T4607=0,RIGHT(T4607,1)=$W$1),"",COUNTIF($T$3:T4607,T4607))</f>
        <v/>
      </c>
      <c r="S4607" s="6">
        <f t="shared" si="718"/>
        <v>0</v>
      </c>
      <c r="T4607" s="36">
        <f t="shared" si="719"/>
        <v>0</v>
      </c>
      <c r="V4607" s="6">
        <f t="shared" si="720"/>
        <v>0</v>
      </c>
      <c r="Y4607" s="8">
        <f t="shared" si="721"/>
        <v>46023</v>
      </c>
    </row>
    <row r="4608" spans="2:25" ht="18.75" x14ac:dyDescent="0.3">
      <c r="B4608" s="6">
        <f t="shared" si="713"/>
        <v>0</v>
      </c>
      <c r="C4608" s="6">
        <f t="shared" si="714"/>
        <v>0</v>
      </c>
      <c r="D4608" s="6" t="str">
        <f t="shared" si="715"/>
        <v/>
      </c>
      <c r="E4608" s="35" t="str">
        <f t="shared" si="712"/>
        <v/>
      </c>
      <c r="F4608" s="31"/>
      <c r="G4608" s="29"/>
      <c r="H4608" s="78" t="str">
        <f t="shared" si="716"/>
        <v/>
      </c>
      <c r="I4608" s="25"/>
      <c r="J4608" s="25"/>
      <c r="K4608" s="26"/>
      <c r="L4608" s="26"/>
      <c r="M4608" s="37"/>
      <c r="N4608" s="27"/>
      <c r="O4608" s="30"/>
      <c r="P4608" s="39" t="str">
        <f t="shared" si="717"/>
        <v/>
      </c>
      <c r="Q4608" s="40" t="str">
        <f>IF(OR(T4608=0,RIGHT(T4608,1)=$W$1),"",COUNTIF($T$3:T4608,T4608))</f>
        <v/>
      </c>
      <c r="S4608" s="6">
        <f t="shared" si="718"/>
        <v>0</v>
      </c>
      <c r="T4608" s="36">
        <f t="shared" si="719"/>
        <v>0</v>
      </c>
      <c r="V4608" s="6">
        <f t="shared" si="720"/>
        <v>0</v>
      </c>
      <c r="Y4608" s="8">
        <f t="shared" si="721"/>
        <v>46023</v>
      </c>
    </row>
    <row r="4609" spans="2:25" ht="18.75" x14ac:dyDescent="0.3">
      <c r="B4609" s="6">
        <f t="shared" si="713"/>
        <v>0</v>
      </c>
      <c r="C4609" s="6">
        <f t="shared" si="714"/>
        <v>0</v>
      </c>
      <c r="D4609" s="6" t="str">
        <f t="shared" si="715"/>
        <v/>
      </c>
      <c r="E4609" s="35" t="str">
        <f t="shared" si="712"/>
        <v/>
      </c>
      <c r="F4609" s="31"/>
      <c r="G4609" s="29"/>
      <c r="H4609" s="78" t="str">
        <f t="shared" si="716"/>
        <v/>
      </c>
      <c r="I4609" s="25"/>
      <c r="J4609" s="25"/>
      <c r="K4609" s="26"/>
      <c r="L4609" s="26"/>
      <c r="M4609" s="37"/>
      <c r="N4609" s="27"/>
      <c r="O4609" s="30"/>
      <c r="P4609" s="39" t="str">
        <f t="shared" si="717"/>
        <v/>
      </c>
      <c r="Q4609" s="40" t="str">
        <f>IF(OR(T4609=0,RIGHT(T4609,1)=$W$1),"",COUNTIF($T$3:T4609,T4609))</f>
        <v/>
      </c>
      <c r="S4609" s="6">
        <f t="shared" si="718"/>
        <v>0</v>
      </c>
      <c r="T4609" s="36">
        <f t="shared" si="719"/>
        <v>0</v>
      </c>
      <c r="V4609" s="6">
        <f t="shared" si="720"/>
        <v>0</v>
      </c>
      <c r="Y4609" s="8">
        <f t="shared" si="721"/>
        <v>46023</v>
      </c>
    </row>
    <row r="4610" spans="2:25" ht="18.75" x14ac:dyDescent="0.3">
      <c r="B4610" s="6">
        <f t="shared" si="713"/>
        <v>0</v>
      </c>
      <c r="C4610" s="6">
        <f t="shared" si="714"/>
        <v>0</v>
      </c>
      <c r="D4610" s="6" t="str">
        <f t="shared" si="715"/>
        <v/>
      </c>
      <c r="E4610" s="35" t="str">
        <f t="shared" si="712"/>
        <v/>
      </c>
      <c r="F4610" s="31"/>
      <c r="G4610" s="29"/>
      <c r="H4610" s="78" t="str">
        <f t="shared" si="716"/>
        <v/>
      </c>
      <c r="I4610" s="25"/>
      <c r="J4610" s="25"/>
      <c r="K4610" s="26"/>
      <c r="L4610" s="26"/>
      <c r="M4610" s="37"/>
      <c r="N4610" s="27"/>
      <c r="O4610" s="30"/>
      <c r="P4610" s="39" t="str">
        <f t="shared" si="717"/>
        <v/>
      </c>
      <c r="Q4610" s="40" t="str">
        <f>IF(OR(T4610=0,RIGHT(T4610,1)=$W$1),"",COUNTIF($T$3:T4610,T4610))</f>
        <v/>
      </c>
      <c r="S4610" s="6">
        <f t="shared" si="718"/>
        <v>0</v>
      </c>
      <c r="T4610" s="36">
        <f t="shared" si="719"/>
        <v>0</v>
      </c>
      <c r="V4610" s="6">
        <f t="shared" si="720"/>
        <v>0</v>
      </c>
      <c r="Y4610" s="8">
        <f t="shared" si="721"/>
        <v>46023</v>
      </c>
    </row>
    <row r="4611" spans="2:25" ht="18.75" x14ac:dyDescent="0.3">
      <c r="B4611" s="6">
        <f t="shared" si="713"/>
        <v>0</v>
      </c>
      <c r="C4611" s="6">
        <f t="shared" si="714"/>
        <v>0</v>
      </c>
      <c r="D4611" s="6" t="str">
        <f t="shared" si="715"/>
        <v/>
      </c>
      <c r="E4611" s="35" t="str">
        <f t="shared" ref="E4611:E4674" si="722">IF(D4611&lt;&gt;"",D4611&amp;" - "&amp;YEAR(F4611),"")</f>
        <v/>
      </c>
      <c r="F4611" s="31"/>
      <c r="G4611" s="29"/>
      <c r="H4611" s="78" t="str">
        <f t="shared" si="716"/>
        <v/>
      </c>
      <c r="I4611" s="25"/>
      <c r="J4611" s="25"/>
      <c r="K4611" s="26"/>
      <c r="L4611" s="26"/>
      <c r="M4611" s="37"/>
      <c r="N4611" s="27"/>
      <c r="O4611" s="30"/>
      <c r="P4611" s="39" t="str">
        <f t="shared" si="717"/>
        <v/>
      </c>
      <c r="Q4611" s="40" t="str">
        <f>IF(OR(T4611=0,RIGHT(T4611,1)=$W$1),"",COUNTIF($T$3:T4611,T4611))</f>
        <v/>
      </c>
      <c r="S4611" s="6">
        <f t="shared" si="718"/>
        <v>0</v>
      </c>
      <c r="T4611" s="36">
        <f t="shared" si="719"/>
        <v>0</v>
      </c>
      <c r="V4611" s="6">
        <f t="shared" si="720"/>
        <v>0</v>
      </c>
      <c r="Y4611" s="8">
        <f t="shared" si="721"/>
        <v>46023</v>
      </c>
    </row>
    <row r="4612" spans="2:25" ht="18.75" x14ac:dyDescent="0.3">
      <c r="B4612" s="6">
        <f t="shared" ref="B4612:B4675" si="723">IF($B$1=YEAR(F4612),B4611+1,B4611)</f>
        <v>0</v>
      </c>
      <c r="C4612" s="6">
        <f t="shared" ref="C4612:C4675" si="724">IF(AND($C$1=K4612,$Y$1=YEAR(F4612)),C4611+1,C4611)</f>
        <v>0</v>
      </c>
      <c r="D4612" s="6" t="str">
        <f t="shared" ref="D4612:D4675" si="725">IF(F4612&lt;&gt;0,IF(YEAR(F4612)&lt;&gt;YEAR(F4611),1,IF(M4612=$AI$1,D4611,D4611+1)),"")</f>
        <v/>
      </c>
      <c r="E4612" s="35" t="str">
        <f t="shared" si="722"/>
        <v/>
      </c>
      <c r="F4612" s="31"/>
      <c r="G4612" s="29"/>
      <c r="H4612" s="78" t="str">
        <f t="shared" ref="H4612:H4675" si="726">IF(G4612&lt;&gt;"",F4612,"")</f>
        <v/>
      </c>
      <c r="I4612" s="25"/>
      <c r="J4612" s="25"/>
      <c r="K4612" s="26"/>
      <c r="L4612" s="26"/>
      <c r="M4612" s="37"/>
      <c r="N4612" s="27"/>
      <c r="O4612" s="30"/>
      <c r="P4612" s="39" t="str">
        <f t="shared" ref="P4612:P4675" si="727">IF(OR(T4612=0,RIGHT(T4612,1)=$W$1),"",VLOOKUP(K4612,$AD$1:$AK$15,5,FALSE))</f>
        <v/>
      </c>
      <c r="Q4612" s="40" t="str">
        <f>IF(OR(T4612=0,RIGHT(T4612,1)=$W$1),"",COUNTIF($T$3:T4612,T4612))</f>
        <v/>
      </c>
      <c r="S4612" s="6">
        <f t="shared" ref="S4612:S4675" si="728">IF(AND($C$1=K4612,$Y$1=YEAR(F4612)),C4612,0)</f>
        <v>0</v>
      </c>
      <c r="T4612" s="36">
        <f t="shared" ref="T4612:T4675" si="729">IF(F4612=0,0,YEAR(F4612)&amp;VLOOKUP(K4612,$AD$1:$AE$15,2,FALSE))</f>
        <v>0</v>
      </c>
      <c r="V4612" s="6">
        <f t="shared" ref="V4612:V4675" si="730">IF(AND(YEAR(F4612)=$Y$1,K4612=$C$1,L4612&amp;$V$1&lt;&gt;$V$1),L4612,IF(AND(YEAR(F4612)=$Y$1,K4612=$C$1),1,0))</f>
        <v>0</v>
      </c>
      <c r="Y4612" s="8">
        <f t="shared" ref="Y4612:Y4675" si="731">IF(M4612&lt;&gt;$AI$1,$Y$2,F4611)</f>
        <v>46023</v>
      </c>
    </row>
    <row r="4613" spans="2:25" ht="18.75" x14ac:dyDescent="0.3">
      <c r="B4613" s="6">
        <f t="shared" si="723"/>
        <v>0</v>
      </c>
      <c r="C4613" s="6">
        <f t="shared" si="724"/>
        <v>0</v>
      </c>
      <c r="D4613" s="6" t="str">
        <f t="shared" si="725"/>
        <v/>
      </c>
      <c r="E4613" s="35" t="str">
        <f t="shared" si="722"/>
        <v/>
      </c>
      <c r="F4613" s="31"/>
      <c r="G4613" s="29"/>
      <c r="H4613" s="78" t="str">
        <f t="shared" si="726"/>
        <v/>
      </c>
      <c r="I4613" s="25"/>
      <c r="J4613" s="25"/>
      <c r="K4613" s="26"/>
      <c r="L4613" s="26"/>
      <c r="M4613" s="37"/>
      <c r="N4613" s="27"/>
      <c r="O4613" s="30"/>
      <c r="P4613" s="39" t="str">
        <f t="shared" si="727"/>
        <v/>
      </c>
      <c r="Q4613" s="40" t="str">
        <f>IF(OR(T4613=0,RIGHT(T4613,1)=$W$1),"",COUNTIF($T$3:T4613,T4613))</f>
        <v/>
      </c>
      <c r="S4613" s="6">
        <f t="shared" si="728"/>
        <v>0</v>
      </c>
      <c r="T4613" s="36">
        <f t="shared" si="729"/>
        <v>0</v>
      </c>
      <c r="V4613" s="6">
        <f t="shared" si="730"/>
        <v>0</v>
      </c>
      <c r="Y4613" s="8">
        <f t="shared" si="731"/>
        <v>46023</v>
      </c>
    </row>
    <row r="4614" spans="2:25" ht="18.75" x14ac:dyDescent="0.3">
      <c r="B4614" s="6">
        <f t="shared" si="723"/>
        <v>0</v>
      </c>
      <c r="C4614" s="6">
        <f t="shared" si="724"/>
        <v>0</v>
      </c>
      <c r="D4614" s="6" t="str">
        <f t="shared" si="725"/>
        <v/>
      </c>
      <c r="E4614" s="35" t="str">
        <f t="shared" si="722"/>
        <v/>
      </c>
      <c r="F4614" s="31"/>
      <c r="G4614" s="29"/>
      <c r="H4614" s="78" t="str">
        <f t="shared" si="726"/>
        <v/>
      </c>
      <c r="I4614" s="25"/>
      <c r="J4614" s="25"/>
      <c r="K4614" s="26"/>
      <c r="L4614" s="26"/>
      <c r="M4614" s="37"/>
      <c r="N4614" s="27"/>
      <c r="O4614" s="30"/>
      <c r="P4614" s="39" t="str">
        <f t="shared" si="727"/>
        <v/>
      </c>
      <c r="Q4614" s="40" t="str">
        <f>IF(OR(T4614=0,RIGHT(T4614,1)=$W$1),"",COUNTIF($T$3:T4614,T4614))</f>
        <v/>
      </c>
      <c r="S4614" s="6">
        <f t="shared" si="728"/>
        <v>0</v>
      </c>
      <c r="T4614" s="36">
        <f t="shared" si="729"/>
        <v>0</v>
      </c>
      <c r="V4614" s="6">
        <f t="shared" si="730"/>
        <v>0</v>
      </c>
      <c r="Y4614" s="8">
        <f t="shared" si="731"/>
        <v>46023</v>
      </c>
    </row>
    <row r="4615" spans="2:25" ht="18.75" x14ac:dyDescent="0.3">
      <c r="B4615" s="6">
        <f t="shared" si="723"/>
        <v>0</v>
      </c>
      <c r="C4615" s="6">
        <f t="shared" si="724"/>
        <v>0</v>
      </c>
      <c r="D4615" s="6" t="str">
        <f t="shared" si="725"/>
        <v/>
      </c>
      <c r="E4615" s="35" t="str">
        <f t="shared" si="722"/>
        <v/>
      </c>
      <c r="F4615" s="31"/>
      <c r="G4615" s="29"/>
      <c r="H4615" s="78" t="str">
        <f t="shared" si="726"/>
        <v/>
      </c>
      <c r="I4615" s="25"/>
      <c r="J4615" s="25"/>
      <c r="K4615" s="26"/>
      <c r="L4615" s="26"/>
      <c r="M4615" s="37"/>
      <c r="N4615" s="27"/>
      <c r="O4615" s="30"/>
      <c r="P4615" s="39" t="str">
        <f t="shared" si="727"/>
        <v/>
      </c>
      <c r="Q4615" s="40" t="str">
        <f>IF(OR(T4615=0,RIGHT(T4615,1)=$W$1),"",COUNTIF($T$3:T4615,T4615))</f>
        <v/>
      </c>
      <c r="S4615" s="6">
        <f t="shared" si="728"/>
        <v>0</v>
      </c>
      <c r="T4615" s="36">
        <f t="shared" si="729"/>
        <v>0</v>
      </c>
      <c r="V4615" s="6">
        <f t="shared" si="730"/>
        <v>0</v>
      </c>
      <c r="Y4615" s="8">
        <f t="shared" si="731"/>
        <v>46023</v>
      </c>
    </row>
    <row r="4616" spans="2:25" ht="18.75" x14ac:dyDescent="0.3">
      <c r="B4616" s="6">
        <f t="shared" si="723"/>
        <v>0</v>
      </c>
      <c r="C4616" s="6">
        <f t="shared" si="724"/>
        <v>0</v>
      </c>
      <c r="D4616" s="6" t="str">
        <f t="shared" si="725"/>
        <v/>
      </c>
      <c r="E4616" s="35" t="str">
        <f t="shared" si="722"/>
        <v/>
      </c>
      <c r="F4616" s="31"/>
      <c r="G4616" s="29"/>
      <c r="H4616" s="78" t="str">
        <f t="shared" si="726"/>
        <v/>
      </c>
      <c r="I4616" s="25"/>
      <c r="J4616" s="25"/>
      <c r="K4616" s="26"/>
      <c r="L4616" s="26"/>
      <c r="M4616" s="37"/>
      <c r="N4616" s="27"/>
      <c r="O4616" s="30"/>
      <c r="P4616" s="39" t="str">
        <f t="shared" si="727"/>
        <v/>
      </c>
      <c r="Q4616" s="40" t="str">
        <f>IF(OR(T4616=0,RIGHT(T4616,1)=$W$1),"",COUNTIF($T$3:T4616,T4616))</f>
        <v/>
      </c>
      <c r="S4616" s="6">
        <f t="shared" si="728"/>
        <v>0</v>
      </c>
      <c r="T4616" s="36">
        <f t="shared" si="729"/>
        <v>0</v>
      </c>
      <c r="V4616" s="6">
        <f t="shared" si="730"/>
        <v>0</v>
      </c>
      <c r="Y4616" s="8">
        <f t="shared" si="731"/>
        <v>46023</v>
      </c>
    </row>
    <row r="4617" spans="2:25" ht="18.75" x14ac:dyDescent="0.3">
      <c r="B4617" s="6">
        <f t="shared" si="723"/>
        <v>0</v>
      </c>
      <c r="C4617" s="6">
        <f t="shared" si="724"/>
        <v>0</v>
      </c>
      <c r="D4617" s="6" t="str">
        <f t="shared" si="725"/>
        <v/>
      </c>
      <c r="E4617" s="35" t="str">
        <f t="shared" si="722"/>
        <v/>
      </c>
      <c r="F4617" s="31"/>
      <c r="G4617" s="29"/>
      <c r="H4617" s="78" t="str">
        <f t="shared" si="726"/>
        <v/>
      </c>
      <c r="I4617" s="25"/>
      <c r="J4617" s="25"/>
      <c r="K4617" s="26"/>
      <c r="L4617" s="26"/>
      <c r="M4617" s="37"/>
      <c r="N4617" s="27"/>
      <c r="O4617" s="30"/>
      <c r="P4617" s="39" t="str">
        <f t="shared" si="727"/>
        <v/>
      </c>
      <c r="Q4617" s="40" t="str">
        <f>IF(OR(T4617=0,RIGHT(T4617,1)=$W$1),"",COUNTIF($T$3:T4617,T4617))</f>
        <v/>
      </c>
      <c r="S4617" s="6">
        <f t="shared" si="728"/>
        <v>0</v>
      </c>
      <c r="T4617" s="36">
        <f t="shared" si="729"/>
        <v>0</v>
      </c>
      <c r="V4617" s="6">
        <f t="shared" si="730"/>
        <v>0</v>
      </c>
      <c r="Y4617" s="8">
        <f t="shared" si="731"/>
        <v>46023</v>
      </c>
    </row>
    <row r="4618" spans="2:25" ht="18.75" x14ac:dyDescent="0.3">
      <c r="B4618" s="6">
        <f t="shared" si="723"/>
        <v>0</v>
      </c>
      <c r="C4618" s="6">
        <f t="shared" si="724"/>
        <v>0</v>
      </c>
      <c r="D4618" s="6" t="str">
        <f t="shared" si="725"/>
        <v/>
      </c>
      <c r="E4618" s="35" t="str">
        <f t="shared" si="722"/>
        <v/>
      </c>
      <c r="F4618" s="31"/>
      <c r="G4618" s="29"/>
      <c r="H4618" s="78" t="str">
        <f t="shared" si="726"/>
        <v/>
      </c>
      <c r="I4618" s="25"/>
      <c r="J4618" s="25"/>
      <c r="K4618" s="26"/>
      <c r="L4618" s="26"/>
      <c r="M4618" s="37"/>
      <c r="N4618" s="27"/>
      <c r="O4618" s="30"/>
      <c r="P4618" s="39" t="str">
        <f t="shared" si="727"/>
        <v/>
      </c>
      <c r="Q4618" s="40" t="str">
        <f>IF(OR(T4618=0,RIGHT(T4618,1)=$W$1),"",COUNTIF($T$3:T4618,T4618))</f>
        <v/>
      </c>
      <c r="S4618" s="6">
        <f t="shared" si="728"/>
        <v>0</v>
      </c>
      <c r="T4618" s="36">
        <f t="shared" si="729"/>
        <v>0</v>
      </c>
      <c r="V4618" s="6">
        <f t="shared" si="730"/>
        <v>0</v>
      </c>
      <c r="Y4618" s="8">
        <f t="shared" si="731"/>
        <v>46023</v>
      </c>
    </row>
    <row r="4619" spans="2:25" ht="18.75" x14ac:dyDescent="0.3">
      <c r="B4619" s="6">
        <f t="shared" si="723"/>
        <v>0</v>
      </c>
      <c r="C4619" s="6">
        <f t="shared" si="724"/>
        <v>0</v>
      </c>
      <c r="D4619" s="6" t="str">
        <f t="shared" si="725"/>
        <v/>
      </c>
      <c r="E4619" s="35" t="str">
        <f t="shared" si="722"/>
        <v/>
      </c>
      <c r="F4619" s="31"/>
      <c r="G4619" s="29"/>
      <c r="H4619" s="78" t="str">
        <f t="shared" si="726"/>
        <v/>
      </c>
      <c r="I4619" s="25"/>
      <c r="J4619" s="25"/>
      <c r="K4619" s="26"/>
      <c r="L4619" s="26"/>
      <c r="M4619" s="37"/>
      <c r="N4619" s="27"/>
      <c r="O4619" s="30"/>
      <c r="P4619" s="39" t="str">
        <f t="shared" si="727"/>
        <v/>
      </c>
      <c r="Q4619" s="40" t="str">
        <f>IF(OR(T4619=0,RIGHT(T4619,1)=$W$1),"",COUNTIF($T$3:T4619,T4619))</f>
        <v/>
      </c>
      <c r="S4619" s="6">
        <f t="shared" si="728"/>
        <v>0</v>
      </c>
      <c r="T4619" s="36">
        <f t="shared" si="729"/>
        <v>0</v>
      </c>
      <c r="V4619" s="6">
        <f t="shared" si="730"/>
        <v>0</v>
      </c>
      <c r="Y4619" s="8">
        <f t="shared" si="731"/>
        <v>46023</v>
      </c>
    </row>
    <row r="4620" spans="2:25" ht="18.75" x14ac:dyDescent="0.3">
      <c r="B4620" s="6">
        <f t="shared" si="723"/>
        <v>0</v>
      </c>
      <c r="C4620" s="6">
        <f t="shared" si="724"/>
        <v>0</v>
      </c>
      <c r="D4620" s="6" t="str">
        <f t="shared" si="725"/>
        <v/>
      </c>
      <c r="E4620" s="35" t="str">
        <f t="shared" si="722"/>
        <v/>
      </c>
      <c r="F4620" s="31"/>
      <c r="G4620" s="29"/>
      <c r="H4620" s="78" t="str">
        <f t="shared" si="726"/>
        <v/>
      </c>
      <c r="I4620" s="25"/>
      <c r="J4620" s="25"/>
      <c r="K4620" s="26"/>
      <c r="L4620" s="26"/>
      <c r="M4620" s="37"/>
      <c r="N4620" s="27"/>
      <c r="O4620" s="30"/>
      <c r="P4620" s="39" t="str">
        <f t="shared" si="727"/>
        <v/>
      </c>
      <c r="Q4620" s="40" t="str">
        <f>IF(OR(T4620=0,RIGHT(T4620,1)=$W$1),"",COUNTIF($T$3:T4620,T4620))</f>
        <v/>
      </c>
      <c r="S4620" s="6">
        <f t="shared" si="728"/>
        <v>0</v>
      </c>
      <c r="T4620" s="36">
        <f t="shared" si="729"/>
        <v>0</v>
      </c>
      <c r="V4620" s="6">
        <f t="shared" si="730"/>
        <v>0</v>
      </c>
      <c r="Y4620" s="8">
        <f t="shared" si="731"/>
        <v>46023</v>
      </c>
    </row>
    <row r="4621" spans="2:25" ht="18.75" x14ac:dyDescent="0.3">
      <c r="B4621" s="6">
        <f t="shared" si="723"/>
        <v>0</v>
      </c>
      <c r="C4621" s="6">
        <f t="shared" si="724"/>
        <v>0</v>
      </c>
      <c r="D4621" s="6" t="str">
        <f t="shared" si="725"/>
        <v/>
      </c>
      <c r="E4621" s="35" t="str">
        <f t="shared" si="722"/>
        <v/>
      </c>
      <c r="F4621" s="31"/>
      <c r="G4621" s="29"/>
      <c r="H4621" s="78" t="str">
        <f t="shared" si="726"/>
        <v/>
      </c>
      <c r="I4621" s="25"/>
      <c r="J4621" s="25"/>
      <c r="K4621" s="26"/>
      <c r="L4621" s="26"/>
      <c r="M4621" s="37"/>
      <c r="N4621" s="27"/>
      <c r="O4621" s="30"/>
      <c r="P4621" s="39" t="str">
        <f t="shared" si="727"/>
        <v/>
      </c>
      <c r="Q4621" s="40" t="str">
        <f>IF(OR(T4621=0,RIGHT(T4621,1)=$W$1),"",COUNTIF($T$3:T4621,T4621))</f>
        <v/>
      </c>
      <c r="S4621" s="6">
        <f t="shared" si="728"/>
        <v>0</v>
      </c>
      <c r="T4621" s="36">
        <f t="shared" si="729"/>
        <v>0</v>
      </c>
      <c r="V4621" s="6">
        <f t="shared" si="730"/>
        <v>0</v>
      </c>
      <c r="Y4621" s="8">
        <f t="shared" si="731"/>
        <v>46023</v>
      </c>
    </row>
    <row r="4622" spans="2:25" ht="18.75" x14ac:dyDescent="0.3">
      <c r="B4622" s="6">
        <f t="shared" si="723"/>
        <v>0</v>
      </c>
      <c r="C4622" s="6">
        <f t="shared" si="724"/>
        <v>0</v>
      </c>
      <c r="D4622" s="6" t="str">
        <f t="shared" si="725"/>
        <v/>
      </c>
      <c r="E4622" s="35" t="str">
        <f t="shared" si="722"/>
        <v/>
      </c>
      <c r="F4622" s="31"/>
      <c r="G4622" s="29"/>
      <c r="H4622" s="78" t="str">
        <f t="shared" si="726"/>
        <v/>
      </c>
      <c r="I4622" s="25"/>
      <c r="J4622" s="25"/>
      <c r="K4622" s="26"/>
      <c r="L4622" s="26"/>
      <c r="M4622" s="37"/>
      <c r="N4622" s="27"/>
      <c r="O4622" s="30"/>
      <c r="P4622" s="39" t="str">
        <f t="shared" si="727"/>
        <v/>
      </c>
      <c r="Q4622" s="40" t="str">
        <f>IF(OR(T4622=0,RIGHT(T4622,1)=$W$1),"",COUNTIF($T$3:T4622,T4622))</f>
        <v/>
      </c>
      <c r="S4622" s="6">
        <f t="shared" si="728"/>
        <v>0</v>
      </c>
      <c r="T4622" s="36">
        <f t="shared" si="729"/>
        <v>0</v>
      </c>
      <c r="V4622" s="6">
        <f t="shared" si="730"/>
        <v>0</v>
      </c>
      <c r="Y4622" s="8">
        <f t="shared" si="731"/>
        <v>46023</v>
      </c>
    </row>
    <row r="4623" spans="2:25" ht="18.75" x14ac:dyDescent="0.3">
      <c r="B4623" s="6">
        <f t="shared" si="723"/>
        <v>0</v>
      </c>
      <c r="C4623" s="6">
        <f t="shared" si="724"/>
        <v>0</v>
      </c>
      <c r="D4623" s="6" t="str">
        <f t="shared" si="725"/>
        <v/>
      </c>
      <c r="E4623" s="35" t="str">
        <f t="shared" si="722"/>
        <v/>
      </c>
      <c r="F4623" s="31"/>
      <c r="G4623" s="29"/>
      <c r="H4623" s="78" t="str">
        <f t="shared" si="726"/>
        <v/>
      </c>
      <c r="I4623" s="25"/>
      <c r="J4623" s="25"/>
      <c r="K4623" s="26"/>
      <c r="L4623" s="26"/>
      <c r="M4623" s="37"/>
      <c r="N4623" s="27"/>
      <c r="O4623" s="30"/>
      <c r="P4623" s="39" t="str">
        <f t="shared" si="727"/>
        <v/>
      </c>
      <c r="Q4623" s="40" t="str">
        <f>IF(OR(T4623=0,RIGHT(T4623,1)=$W$1),"",COUNTIF($T$3:T4623,T4623))</f>
        <v/>
      </c>
      <c r="S4623" s="6">
        <f t="shared" si="728"/>
        <v>0</v>
      </c>
      <c r="T4623" s="36">
        <f t="shared" si="729"/>
        <v>0</v>
      </c>
      <c r="V4623" s="6">
        <f t="shared" si="730"/>
        <v>0</v>
      </c>
      <c r="Y4623" s="8">
        <f t="shared" si="731"/>
        <v>46023</v>
      </c>
    </row>
    <row r="4624" spans="2:25" ht="18.75" x14ac:dyDescent="0.3">
      <c r="B4624" s="6">
        <f t="shared" si="723"/>
        <v>0</v>
      </c>
      <c r="C4624" s="6">
        <f t="shared" si="724"/>
        <v>0</v>
      </c>
      <c r="D4624" s="6" t="str">
        <f t="shared" si="725"/>
        <v/>
      </c>
      <c r="E4624" s="35" t="str">
        <f t="shared" si="722"/>
        <v/>
      </c>
      <c r="F4624" s="31"/>
      <c r="G4624" s="29"/>
      <c r="H4624" s="78" t="str">
        <f t="shared" si="726"/>
        <v/>
      </c>
      <c r="I4624" s="25"/>
      <c r="J4624" s="25"/>
      <c r="K4624" s="26"/>
      <c r="L4624" s="26"/>
      <c r="M4624" s="37"/>
      <c r="N4624" s="27"/>
      <c r="O4624" s="30"/>
      <c r="P4624" s="39" t="str">
        <f t="shared" si="727"/>
        <v/>
      </c>
      <c r="Q4624" s="40" t="str">
        <f>IF(OR(T4624=0,RIGHT(T4624,1)=$W$1),"",COUNTIF($T$3:T4624,T4624))</f>
        <v/>
      </c>
      <c r="S4624" s="6">
        <f t="shared" si="728"/>
        <v>0</v>
      </c>
      <c r="T4624" s="36">
        <f t="shared" si="729"/>
        <v>0</v>
      </c>
      <c r="V4624" s="6">
        <f t="shared" si="730"/>
        <v>0</v>
      </c>
      <c r="Y4624" s="8">
        <f t="shared" si="731"/>
        <v>46023</v>
      </c>
    </row>
    <row r="4625" spans="2:25" ht="18.75" x14ac:dyDescent="0.3">
      <c r="B4625" s="6">
        <f t="shared" si="723"/>
        <v>0</v>
      </c>
      <c r="C4625" s="6">
        <f t="shared" si="724"/>
        <v>0</v>
      </c>
      <c r="D4625" s="6" t="str">
        <f t="shared" si="725"/>
        <v/>
      </c>
      <c r="E4625" s="35" t="str">
        <f t="shared" si="722"/>
        <v/>
      </c>
      <c r="F4625" s="31"/>
      <c r="G4625" s="29"/>
      <c r="H4625" s="78" t="str">
        <f t="shared" si="726"/>
        <v/>
      </c>
      <c r="I4625" s="25"/>
      <c r="J4625" s="25"/>
      <c r="K4625" s="26"/>
      <c r="L4625" s="26"/>
      <c r="M4625" s="37"/>
      <c r="N4625" s="27"/>
      <c r="O4625" s="30"/>
      <c r="P4625" s="39" t="str">
        <f t="shared" si="727"/>
        <v/>
      </c>
      <c r="Q4625" s="40" t="str">
        <f>IF(OR(T4625=0,RIGHT(T4625,1)=$W$1),"",COUNTIF($T$3:T4625,T4625))</f>
        <v/>
      </c>
      <c r="S4625" s="6">
        <f t="shared" si="728"/>
        <v>0</v>
      </c>
      <c r="T4625" s="36">
        <f t="shared" si="729"/>
        <v>0</v>
      </c>
      <c r="V4625" s="6">
        <f t="shared" si="730"/>
        <v>0</v>
      </c>
      <c r="Y4625" s="8">
        <f t="shared" si="731"/>
        <v>46023</v>
      </c>
    </row>
    <row r="4626" spans="2:25" ht="18.75" x14ac:dyDescent="0.3">
      <c r="B4626" s="6">
        <f t="shared" si="723"/>
        <v>0</v>
      </c>
      <c r="C4626" s="6">
        <f t="shared" si="724"/>
        <v>0</v>
      </c>
      <c r="D4626" s="6" t="str">
        <f t="shared" si="725"/>
        <v/>
      </c>
      <c r="E4626" s="35" t="str">
        <f t="shared" si="722"/>
        <v/>
      </c>
      <c r="F4626" s="31"/>
      <c r="G4626" s="29"/>
      <c r="H4626" s="78" t="str">
        <f t="shared" si="726"/>
        <v/>
      </c>
      <c r="I4626" s="25"/>
      <c r="J4626" s="25"/>
      <c r="K4626" s="26"/>
      <c r="L4626" s="26"/>
      <c r="M4626" s="37"/>
      <c r="N4626" s="27"/>
      <c r="O4626" s="30"/>
      <c r="P4626" s="39" t="str">
        <f t="shared" si="727"/>
        <v/>
      </c>
      <c r="Q4626" s="40" t="str">
        <f>IF(OR(T4626=0,RIGHT(T4626,1)=$W$1),"",COUNTIF($T$3:T4626,T4626))</f>
        <v/>
      </c>
      <c r="S4626" s="6">
        <f t="shared" si="728"/>
        <v>0</v>
      </c>
      <c r="T4626" s="36">
        <f t="shared" si="729"/>
        <v>0</v>
      </c>
      <c r="V4626" s="6">
        <f t="shared" si="730"/>
        <v>0</v>
      </c>
      <c r="Y4626" s="8">
        <f t="shared" si="731"/>
        <v>46023</v>
      </c>
    </row>
    <row r="4627" spans="2:25" ht="18.75" x14ac:dyDescent="0.3">
      <c r="B4627" s="6">
        <f t="shared" si="723"/>
        <v>0</v>
      </c>
      <c r="C4627" s="6">
        <f t="shared" si="724"/>
        <v>0</v>
      </c>
      <c r="D4627" s="6" t="str">
        <f t="shared" si="725"/>
        <v/>
      </c>
      <c r="E4627" s="35" t="str">
        <f t="shared" si="722"/>
        <v/>
      </c>
      <c r="F4627" s="31"/>
      <c r="G4627" s="29"/>
      <c r="H4627" s="78" t="str">
        <f t="shared" si="726"/>
        <v/>
      </c>
      <c r="I4627" s="25"/>
      <c r="J4627" s="25"/>
      <c r="K4627" s="26"/>
      <c r="L4627" s="26"/>
      <c r="M4627" s="37"/>
      <c r="N4627" s="27"/>
      <c r="O4627" s="30"/>
      <c r="P4627" s="39" t="str">
        <f t="shared" si="727"/>
        <v/>
      </c>
      <c r="Q4627" s="40" t="str">
        <f>IF(OR(T4627=0,RIGHT(T4627,1)=$W$1),"",COUNTIF($T$3:T4627,T4627))</f>
        <v/>
      </c>
      <c r="S4627" s="6">
        <f t="shared" si="728"/>
        <v>0</v>
      </c>
      <c r="T4627" s="36">
        <f t="shared" si="729"/>
        <v>0</v>
      </c>
      <c r="V4627" s="6">
        <f t="shared" si="730"/>
        <v>0</v>
      </c>
      <c r="Y4627" s="8">
        <f t="shared" si="731"/>
        <v>46023</v>
      </c>
    </row>
    <row r="4628" spans="2:25" ht="18.75" x14ac:dyDescent="0.3">
      <c r="B4628" s="6">
        <f t="shared" si="723"/>
        <v>0</v>
      </c>
      <c r="C4628" s="6">
        <f t="shared" si="724"/>
        <v>0</v>
      </c>
      <c r="D4628" s="6" t="str">
        <f t="shared" si="725"/>
        <v/>
      </c>
      <c r="E4628" s="35" t="str">
        <f t="shared" si="722"/>
        <v/>
      </c>
      <c r="F4628" s="31"/>
      <c r="G4628" s="29"/>
      <c r="H4628" s="78" t="str">
        <f t="shared" si="726"/>
        <v/>
      </c>
      <c r="I4628" s="25"/>
      <c r="J4628" s="25"/>
      <c r="K4628" s="26"/>
      <c r="L4628" s="26"/>
      <c r="M4628" s="37"/>
      <c r="N4628" s="27"/>
      <c r="O4628" s="30"/>
      <c r="P4628" s="39" t="str">
        <f t="shared" si="727"/>
        <v/>
      </c>
      <c r="Q4628" s="40" t="str">
        <f>IF(OR(T4628=0,RIGHT(T4628,1)=$W$1),"",COUNTIF($T$3:T4628,T4628))</f>
        <v/>
      </c>
      <c r="S4628" s="6">
        <f t="shared" si="728"/>
        <v>0</v>
      </c>
      <c r="T4628" s="36">
        <f t="shared" si="729"/>
        <v>0</v>
      </c>
      <c r="V4628" s="6">
        <f t="shared" si="730"/>
        <v>0</v>
      </c>
      <c r="Y4628" s="8">
        <f t="shared" si="731"/>
        <v>46023</v>
      </c>
    </row>
    <row r="4629" spans="2:25" ht="18.75" x14ac:dyDescent="0.3">
      <c r="B4629" s="6">
        <f t="shared" si="723"/>
        <v>0</v>
      </c>
      <c r="C4629" s="6">
        <f t="shared" si="724"/>
        <v>0</v>
      </c>
      <c r="D4629" s="6" t="str">
        <f t="shared" si="725"/>
        <v/>
      </c>
      <c r="E4629" s="35" t="str">
        <f t="shared" si="722"/>
        <v/>
      </c>
      <c r="F4629" s="31"/>
      <c r="G4629" s="29"/>
      <c r="H4629" s="78" t="str">
        <f t="shared" si="726"/>
        <v/>
      </c>
      <c r="I4629" s="25"/>
      <c r="J4629" s="25"/>
      <c r="K4629" s="26"/>
      <c r="L4629" s="26"/>
      <c r="M4629" s="37"/>
      <c r="N4629" s="27"/>
      <c r="O4629" s="30"/>
      <c r="P4629" s="39" t="str">
        <f t="shared" si="727"/>
        <v/>
      </c>
      <c r="Q4629" s="40" t="str">
        <f>IF(OR(T4629=0,RIGHT(T4629,1)=$W$1),"",COUNTIF($T$3:T4629,T4629))</f>
        <v/>
      </c>
      <c r="S4629" s="6">
        <f t="shared" si="728"/>
        <v>0</v>
      </c>
      <c r="T4629" s="36">
        <f t="shared" si="729"/>
        <v>0</v>
      </c>
      <c r="V4629" s="6">
        <f t="shared" si="730"/>
        <v>0</v>
      </c>
      <c r="Y4629" s="8">
        <f t="shared" si="731"/>
        <v>46023</v>
      </c>
    </row>
    <row r="4630" spans="2:25" ht="18.75" x14ac:dyDescent="0.3">
      <c r="B4630" s="6">
        <f t="shared" si="723"/>
        <v>0</v>
      </c>
      <c r="C4630" s="6">
        <f t="shared" si="724"/>
        <v>0</v>
      </c>
      <c r="D4630" s="6" t="str">
        <f t="shared" si="725"/>
        <v/>
      </c>
      <c r="E4630" s="35" t="str">
        <f t="shared" si="722"/>
        <v/>
      </c>
      <c r="F4630" s="31"/>
      <c r="G4630" s="29"/>
      <c r="H4630" s="78" t="str">
        <f t="shared" si="726"/>
        <v/>
      </c>
      <c r="I4630" s="25"/>
      <c r="J4630" s="25"/>
      <c r="K4630" s="26"/>
      <c r="L4630" s="26"/>
      <c r="M4630" s="37"/>
      <c r="N4630" s="27"/>
      <c r="O4630" s="30"/>
      <c r="P4630" s="39" t="str">
        <f t="shared" si="727"/>
        <v/>
      </c>
      <c r="Q4630" s="40" t="str">
        <f>IF(OR(T4630=0,RIGHT(T4630,1)=$W$1),"",COUNTIF($T$3:T4630,T4630))</f>
        <v/>
      </c>
      <c r="S4630" s="6">
        <f t="shared" si="728"/>
        <v>0</v>
      </c>
      <c r="T4630" s="36">
        <f t="shared" si="729"/>
        <v>0</v>
      </c>
      <c r="V4630" s="6">
        <f t="shared" si="730"/>
        <v>0</v>
      </c>
      <c r="Y4630" s="8">
        <f t="shared" si="731"/>
        <v>46023</v>
      </c>
    </row>
    <row r="4631" spans="2:25" ht="18.75" x14ac:dyDescent="0.3">
      <c r="B4631" s="6">
        <f t="shared" si="723"/>
        <v>0</v>
      </c>
      <c r="C4631" s="6">
        <f t="shared" si="724"/>
        <v>0</v>
      </c>
      <c r="D4631" s="6" t="str">
        <f t="shared" si="725"/>
        <v/>
      </c>
      <c r="E4631" s="35" t="str">
        <f t="shared" si="722"/>
        <v/>
      </c>
      <c r="F4631" s="31"/>
      <c r="G4631" s="29"/>
      <c r="H4631" s="78" t="str">
        <f t="shared" si="726"/>
        <v/>
      </c>
      <c r="I4631" s="25"/>
      <c r="J4631" s="25"/>
      <c r="K4631" s="26"/>
      <c r="L4631" s="26"/>
      <c r="M4631" s="37"/>
      <c r="N4631" s="27"/>
      <c r="O4631" s="30"/>
      <c r="P4631" s="39" t="str">
        <f t="shared" si="727"/>
        <v/>
      </c>
      <c r="Q4631" s="40" t="str">
        <f>IF(OR(T4631=0,RIGHT(T4631,1)=$W$1),"",COUNTIF($T$3:T4631,T4631))</f>
        <v/>
      </c>
      <c r="S4631" s="6">
        <f t="shared" si="728"/>
        <v>0</v>
      </c>
      <c r="T4631" s="36">
        <f t="shared" si="729"/>
        <v>0</v>
      </c>
      <c r="V4631" s="6">
        <f t="shared" si="730"/>
        <v>0</v>
      </c>
      <c r="Y4631" s="8">
        <f t="shared" si="731"/>
        <v>46023</v>
      </c>
    </row>
    <row r="4632" spans="2:25" ht="18.75" x14ac:dyDescent="0.3">
      <c r="B4632" s="6">
        <f t="shared" si="723"/>
        <v>0</v>
      </c>
      <c r="C4632" s="6">
        <f t="shared" si="724"/>
        <v>0</v>
      </c>
      <c r="D4632" s="6" t="str">
        <f t="shared" si="725"/>
        <v/>
      </c>
      <c r="E4632" s="35" t="str">
        <f t="shared" si="722"/>
        <v/>
      </c>
      <c r="F4632" s="31"/>
      <c r="G4632" s="29"/>
      <c r="H4632" s="78" t="str">
        <f t="shared" si="726"/>
        <v/>
      </c>
      <c r="I4632" s="25"/>
      <c r="J4632" s="25"/>
      <c r="K4632" s="26"/>
      <c r="L4632" s="26"/>
      <c r="M4632" s="37"/>
      <c r="N4632" s="27"/>
      <c r="O4632" s="30"/>
      <c r="P4632" s="39" t="str">
        <f t="shared" si="727"/>
        <v/>
      </c>
      <c r="Q4632" s="40" t="str">
        <f>IF(OR(T4632=0,RIGHT(T4632,1)=$W$1),"",COUNTIF($T$3:T4632,T4632))</f>
        <v/>
      </c>
      <c r="S4632" s="6">
        <f t="shared" si="728"/>
        <v>0</v>
      </c>
      <c r="T4632" s="36">
        <f t="shared" si="729"/>
        <v>0</v>
      </c>
      <c r="V4632" s="6">
        <f t="shared" si="730"/>
        <v>0</v>
      </c>
      <c r="Y4632" s="8">
        <f t="shared" si="731"/>
        <v>46023</v>
      </c>
    </row>
    <row r="4633" spans="2:25" ht="18.75" x14ac:dyDescent="0.3">
      <c r="B4633" s="6">
        <f t="shared" si="723"/>
        <v>0</v>
      </c>
      <c r="C4633" s="6">
        <f t="shared" si="724"/>
        <v>0</v>
      </c>
      <c r="D4633" s="6" t="str">
        <f t="shared" si="725"/>
        <v/>
      </c>
      <c r="E4633" s="35" t="str">
        <f t="shared" si="722"/>
        <v/>
      </c>
      <c r="F4633" s="31"/>
      <c r="G4633" s="29"/>
      <c r="H4633" s="78" t="str">
        <f t="shared" si="726"/>
        <v/>
      </c>
      <c r="I4633" s="25"/>
      <c r="J4633" s="25"/>
      <c r="K4633" s="26"/>
      <c r="L4633" s="26"/>
      <c r="M4633" s="37"/>
      <c r="N4633" s="27"/>
      <c r="O4633" s="30"/>
      <c r="P4633" s="39" t="str">
        <f t="shared" si="727"/>
        <v/>
      </c>
      <c r="Q4633" s="40" t="str">
        <f>IF(OR(T4633=0,RIGHT(T4633,1)=$W$1),"",COUNTIF($T$3:T4633,T4633))</f>
        <v/>
      </c>
      <c r="S4633" s="6">
        <f t="shared" si="728"/>
        <v>0</v>
      </c>
      <c r="T4633" s="36">
        <f t="shared" si="729"/>
        <v>0</v>
      </c>
      <c r="V4633" s="6">
        <f t="shared" si="730"/>
        <v>0</v>
      </c>
      <c r="Y4633" s="8">
        <f t="shared" si="731"/>
        <v>46023</v>
      </c>
    </row>
    <row r="4634" spans="2:25" ht="18.75" x14ac:dyDescent="0.3">
      <c r="B4634" s="6">
        <f t="shared" si="723"/>
        <v>0</v>
      </c>
      <c r="C4634" s="6">
        <f t="shared" si="724"/>
        <v>0</v>
      </c>
      <c r="D4634" s="6" t="str">
        <f t="shared" si="725"/>
        <v/>
      </c>
      <c r="E4634" s="35" t="str">
        <f t="shared" si="722"/>
        <v/>
      </c>
      <c r="F4634" s="31"/>
      <c r="G4634" s="29"/>
      <c r="H4634" s="78" t="str">
        <f t="shared" si="726"/>
        <v/>
      </c>
      <c r="I4634" s="25"/>
      <c r="J4634" s="25"/>
      <c r="K4634" s="26"/>
      <c r="L4634" s="26"/>
      <c r="M4634" s="37"/>
      <c r="N4634" s="27"/>
      <c r="O4634" s="30"/>
      <c r="P4634" s="39" t="str">
        <f t="shared" si="727"/>
        <v/>
      </c>
      <c r="Q4634" s="40" t="str">
        <f>IF(OR(T4634=0,RIGHT(T4634,1)=$W$1),"",COUNTIF($T$3:T4634,T4634))</f>
        <v/>
      </c>
      <c r="S4634" s="6">
        <f t="shared" si="728"/>
        <v>0</v>
      </c>
      <c r="T4634" s="36">
        <f t="shared" si="729"/>
        <v>0</v>
      </c>
      <c r="V4634" s="6">
        <f t="shared" si="730"/>
        <v>0</v>
      </c>
      <c r="Y4634" s="8">
        <f t="shared" si="731"/>
        <v>46023</v>
      </c>
    </row>
    <row r="4635" spans="2:25" ht="18.75" x14ac:dyDescent="0.3">
      <c r="B4635" s="6">
        <f t="shared" si="723"/>
        <v>0</v>
      </c>
      <c r="C4635" s="6">
        <f t="shared" si="724"/>
        <v>0</v>
      </c>
      <c r="D4635" s="6" t="str">
        <f t="shared" si="725"/>
        <v/>
      </c>
      <c r="E4635" s="35" t="str">
        <f t="shared" si="722"/>
        <v/>
      </c>
      <c r="F4635" s="31"/>
      <c r="G4635" s="29"/>
      <c r="H4635" s="78" t="str">
        <f t="shared" si="726"/>
        <v/>
      </c>
      <c r="I4635" s="25"/>
      <c r="J4635" s="25"/>
      <c r="K4635" s="26"/>
      <c r="L4635" s="26"/>
      <c r="M4635" s="37"/>
      <c r="N4635" s="27"/>
      <c r="O4635" s="30"/>
      <c r="P4635" s="39" t="str">
        <f t="shared" si="727"/>
        <v/>
      </c>
      <c r="Q4635" s="40" t="str">
        <f>IF(OR(T4635=0,RIGHT(T4635,1)=$W$1),"",COUNTIF($T$3:T4635,T4635))</f>
        <v/>
      </c>
      <c r="S4635" s="6">
        <f t="shared" si="728"/>
        <v>0</v>
      </c>
      <c r="T4635" s="36">
        <f t="shared" si="729"/>
        <v>0</v>
      </c>
      <c r="V4635" s="6">
        <f t="shared" si="730"/>
        <v>0</v>
      </c>
      <c r="Y4635" s="8">
        <f t="shared" si="731"/>
        <v>46023</v>
      </c>
    </row>
    <row r="4636" spans="2:25" ht="18.75" x14ac:dyDescent="0.3">
      <c r="B4636" s="6">
        <f t="shared" si="723"/>
        <v>0</v>
      </c>
      <c r="C4636" s="6">
        <f t="shared" si="724"/>
        <v>0</v>
      </c>
      <c r="D4636" s="6" t="str">
        <f t="shared" si="725"/>
        <v/>
      </c>
      <c r="E4636" s="35" t="str">
        <f t="shared" si="722"/>
        <v/>
      </c>
      <c r="F4636" s="31"/>
      <c r="G4636" s="29"/>
      <c r="H4636" s="78" t="str">
        <f t="shared" si="726"/>
        <v/>
      </c>
      <c r="I4636" s="25"/>
      <c r="J4636" s="25"/>
      <c r="K4636" s="26"/>
      <c r="L4636" s="26"/>
      <c r="M4636" s="37"/>
      <c r="N4636" s="27"/>
      <c r="O4636" s="30"/>
      <c r="P4636" s="39" t="str">
        <f t="shared" si="727"/>
        <v/>
      </c>
      <c r="Q4636" s="40" t="str">
        <f>IF(OR(T4636=0,RIGHT(T4636,1)=$W$1),"",COUNTIF($T$3:T4636,T4636))</f>
        <v/>
      </c>
      <c r="S4636" s="6">
        <f t="shared" si="728"/>
        <v>0</v>
      </c>
      <c r="T4636" s="36">
        <f t="shared" si="729"/>
        <v>0</v>
      </c>
      <c r="V4636" s="6">
        <f t="shared" si="730"/>
        <v>0</v>
      </c>
      <c r="Y4636" s="8">
        <f t="shared" si="731"/>
        <v>46023</v>
      </c>
    </row>
    <row r="4637" spans="2:25" ht="18.75" x14ac:dyDescent="0.3">
      <c r="B4637" s="6">
        <f t="shared" si="723"/>
        <v>0</v>
      </c>
      <c r="C4637" s="6">
        <f t="shared" si="724"/>
        <v>0</v>
      </c>
      <c r="D4637" s="6" t="str">
        <f t="shared" si="725"/>
        <v/>
      </c>
      <c r="E4637" s="35" t="str">
        <f t="shared" si="722"/>
        <v/>
      </c>
      <c r="F4637" s="31"/>
      <c r="G4637" s="29"/>
      <c r="H4637" s="78" t="str">
        <f t="shared" si="726"/>
        <v/>
      </c>
      <c r="I4637" s="25"/>
      <c r="J4637" s="25"/>
      <c r="K4637" s="26"/>
      <c r="L4637" s="26"/>
      <c r="M4637" s="37"/>
      <c r="N4637" s="27"/>
      <c r="O4637" s="30"/>
      <c r="P4637" s="39" t="str">
        <f t="shared" si="727"/>
        <v/>
      </c>
      <c r="Q4637" s="40" t="str">
        <f>IF(OR(T4637=0,RIGHT(T4637,1)=$W$1),"",COUNTIF($T$3:T4637,T4637))</f>
        <v/>
      </c>
      <c r="S4637" s="6">
        <f t="shared" si="728"/>
        <v>0</v>
      </c>
      <c r="T4637" s="36">
        <f t="shared" si="729"/>
        <v>0</v>
      </c>
      <c r="V4637" s="6">
        <f t="shared" si="730"/>
        <v>0</v>
      </c>
      <c r="Y4637" s="8">
        <f t="shared" si="731"/>
        <v>46023</v>
      </c>
    </row>
    <row r="4638" spans="2:25" ht="18.75" x14ac:dyDescent="0.3">
      <c r="B4638" s="6">
        <f t="shared" si="723"/>
        <v>0</v>
      </c>
      <c r="C4638" s="6">
        <f t="shared" si="724"/>
        <v>0</v>
      </c>
      <c r="D4638" s="6" t="str">
        <f t="shared" si="725"/>
        <v/>
      </c>
      <c r="E4638" s="35" t="str">
        <f t="shared" si="722"/>
        <v/>
      </c>
      <c r="F4638" s="31"/>
      <c r="G4638" s="29"/>
      <c r="H4638" s="78" t="str">
        <f t="shared" si="726"/>
        <v/>
      </c>
      <c r="I4638" s="25"/>
      <c r="J4638" s="25"/>
      <c r="K4638" s="26"/>
      <c r="L4638" s="26"/>
      <c r="M4638" s="37"/>
      <c r="N4638" s="27"/>
      <c r="O4638" s="30"/>
      <c r="P4638" s="39" t="str">
        <f t="shared" si="727"/>
        <v/>
      </c>
      <c r="Q4638" s="40" t="str">
        <f>IF(OR(T4638=0,RIGHT(T4638,1)=$W$1),"",COUNTIF($T$3:T4638,T4638))</f>
        <v/>
      </c>
      <c r="S4638" s="6">
        <f t="shared" si="728"/>
        <v>0</v>
      </c>
      <c r="T4638" s="36">
        <f t="shared" si="729"/>
        <v>0</v>
      </c>
      <c r="V4638" s="6">
        <f t="shared" si="730"/>
        <v>0</v>
      </c>
      <c r="Y4638" s="8">
        <f t="shared" si="731"/>
        <v>46023</v>
      </c>
    </row>
    <row r="4639" spans="2:25" ht="18.75" x14ac:dyDescent="0.3">
      <c r="B4639" s="6">
        <f t="shared" si="723"/>
        <v>0</v>
      </c>
      <c r="C4639" s="6">
        <f t="shared" si="724"/>
        <v>0</v>
      </c>
      <c r="D4639" s="6" t="str">
        <f t="shared" si="725"/>
        <v/>
      </c>
      <c r="E4639" s="35" t="str">
        <f t="shared" si="722"/>
        <v/>
      </c>
      <c r="F4639" s="31"/>
      <c r="G4639" s="29"/>
      <c r="H4639" s="78" t="str">
        <f t="shared" si="726"/>
        <v/>
      </c>
      <c r="I4639" s="25"/>
      <c r="J4639" s="25"/>
      <c r="K4639" s="26"/>
      <c r="L4639" s="26"/>
      <c r="M4639" s="37"/>
      <c r="N4639" s="27"/>
      <c r="O4639" s="30"/>
      <c r="P4639" s="39" t="str">
        <f t="shared" si="727"/>
        <v/>
      </c>
      <c r="Q4639" s="40" t="str">
        <f>IF(OR(T4639=0,RIGHT(T4639,1)=$W$1),"",COUNTIF($T$3:T4639,T4639))</f>
        <v/>
      </c>
      <c r="S4639" s="6">
        <f t="shared" si="728"/>
        <v>0</v>
      </c>
      <c r="T4639" s="36">
        <f t="shared" si="729"/>
        <v>0</v>
      </c>
      <c r="V4639" s="6">
        <f t="shared" si="730"/>
        <v>0</v>
      </c>
      <c r="Y4639" s="8">
        <f t="shared" si="731"/>
        <v>46023</v>
      </c>
    </row>
    <row r="4640" spans="2:25" ht="18.75" x14ac:dyDescent="0.3">
      <c r="B4640" s="6">
        <f t="shared" si="723"/>
        <v>0</v>
      </c>
      <c r="C4640" s="6">
        <f t="shared" si="724"/>
        <v>0</v>
      </c>
      <c r="D4640" s="6" t="str">
        <f t="shared" si="725"/>
        <v/>
      </c>
      <c r="E4640" s="35" t="str">
        <f t="shared" si="722"/>
        <v/>
      </c>
      <c r="F4640" s="31"/>
      <c r="G4640" s="29"/>
      <c r="H4640" s="78" t="str">
        <f t="shared" si="726"/>
        <v/>
      </c>
      <c r="I4640" s="25"/>
      <c r="J4640" s="25"/>
      <c r="K4640" s="26"/>
      <c r="L4640" s="26"/>
      <c r="M4640" s="37"/>
      <c r="N4640" s="27"/>
      <c r="O4640" s="30"/>
      <c r="P4640" s="39" t="str">
        <f t="shared" si="727"/>
        <v/>
      </c>
      <c r="Q4640" s="40" t="str">
        <f>IF(OR(T4640=0,RIGHT(T4640,1)=$W$1),"",COUNTIF($T$3:T4640,T4640))</f>
        <v/>
      </c>
      <c r="S4640" s="6">
        <f t="shared" si="728"/>
        <v>0</v>
      </c>
      <c r="T4640" s="36">
        <f t="shared" si="729"/>
        <v>0</v>
      </c>
      <c r="V4640" s="6">
        <f t="shared" si="730"/>
        <v>0</v>
      </c>
      <c r="Y4640" s="8">
        <f t="shared" si="731"/>
        <v>46023</v>
      </c>
    </row>
    <row r="4641" spans="2:25" ht="18.75" x14ac:dyDescent="0.3">
      <c r="B4641" s="6">
        <f t="shared" si="723"/>
        <v>0</v>
      </c>
      <c r="C4641" s="6">
        <f t="shared" si="724"/>
        <v>0</v>
      </c>
      <c r="D4641" s="6" t="str">
        <f t="shared" si="725"/>
        <v/>
      </c>
      <c r="E4641" s="35" t="str">
        <f t="shared" si="722"/>
        <v/>
      </c>
      <c r="F4641" s="31"/>
      <c r="G4641" s="29"/>
      <c r="H4641" s="78" t="str">
        <f t="shared" si="726"/>
        <v/>
      </c>
      <c r="I4641" s="25"/>
      <c r="J4641" s="25"/>
      <c r="K4641" s="26"/>
      <c r="L4641" s="26"/>
      <c r="M4641" s="37"/>
      <c r="N4641" s="27"/>
      <c r="O4641" s="30"/>
      <c r="P4641" s="39" t="str">
        <f t="shared" si="727"/>
        <v/>
      </c>
      <c r="Q4641" s="40" t="str">
        <f>IF(OR(T4641=0,RIGHT(T4641,1)=$W$1),"",COUNTIF($T$3:T4641,T4641))</f>
        <v/>
      </c>
      <c r="S4641" s="6">
        <f t="shared" si="728"/>
        <v>0</v>
      </c>
      <c r="T4641" s="36">
        <f t="shared" si="729"/>
        <v>0</v>
      </c>
      <c r="V4641" s="6">
        <f t="shared" si="730"/>
        <v>0</v>
      </c>
      <c r="Y4641" s="8">
        <f t="shared" si="731"/>
        <v>46023</v>
      </c>
    </row>
    <row r="4642" spans="2:25" ht="18.75" x14ac:dyDescent="0.3">
      <c r="B4642" s="6">
        <f t="shared" si="723"/>
        <v>0</v>
      </c>
      <c r="C4642" s="6">
        <f t="shared" si="724"/>
        <v>0</v>
      </c>
      <c r="D4642" s="6" t="str">
        <f t="shared" si="725"/>
        <v/>
      </c>
      <c r="E4642" s="35" t="str">
        <f t="shared" si="722"/>
        <v/>
      </c>
      <c r="F4642" s="31"/>
      <c r="G4642" s="29"/>
      <c r="H4642" s="78" t="str">
        <f t="shared" si="726"/>
        <v/>
      </c>
      <c r="I4642" s="25"/>
      <c r="J4642" s="25"/>
      <c r="K4642" s="26"/>
      <c r="L4642" s="26"/>
      <c r="M4642" s="37"/>
      <c r="N4642" s="27"/>
      <c r="O4642" s="30"/>
      <c r="P4642" s="39" t="str">
        <f t="shared" si="727"/>
        <v/>
      </c>
      <c r="Q4642" s="40" t="str">
        <f>IF(OR(T4642=0,RIGHT(T4642,1)=$W$1),"",COUNTIF($T$3:T4642,T4642))</f>
        <v/>
      </c>
      <c r="S4642" s="6">
        <f t="shared" si="728"/>
        <v>0</v>
      </c>
      <c r="T4642" s="36">
        <f t="shared" si="729"/>
        <v>0</v>
      </c>
      <c r="V4642" s="6">
        <f t="shared" si="730"/>
        <v>0</v>
      </c>
      <c r="Y4642" s="8">
        <f t="shared" si="731"/>
        <v>46023</v>
      </c>
    </row>
    <row r="4643" spans="2:25" ht="18.75" x14ac:dyDescent="0.3">
      <c r="B4643" s="6">
        <f t="shared" si="723"/>
        <v>0</v>
      </c>
      <c r="C4643" s="6">
        <f t="shared" si="724"/>
        <v>0</v>
      </c>
      <c r="D4643" s="6" t="str">
        <f t="shared" si="725"/>
        <v/>
      </c>
      <c r="E4643" s="35" t="str">
        <f t="shared" si="722"/>
        <v/>
      </c>
      <c r="F4643" s="31"/>
      <c r="G4643" s="29"/>
      <c r="H4643" s="78" t="str">
        <f t="shared" si="726"/>
        <v/>
      </c>
      <c r="I4643" s="25"/>
      <c r="J4643" s="25"/>
      <c r="K4643" s="26"/>
      <c r="L4643" s="26"/>
      <c r="M4643" s="37"/>
      <c r="N4643" s="27"/>
      <c r="O4643" s="30"/>
      <c r="P4643" s="39" t="str">
        <f t="shared" si="727"/>
        <v/>
      </c>
      <c r="Q4643" s="40" t="str">
        <f>IF(OR(T4643=0,RIGHT(T4643,1)=$W$1),"",COUNTIF($T$3:T4643,T4643))</f>
        <v/>
      </c>
      <c r="S4643" s="6">
        <f t="shared" si="728"/>
        <v>0</v>
      </c>
      <c r="T4643" s="36">
        <f t="shared" si="729"/>
        <v>0</v>
      </c>
      <c r="V4643" s="6">
        <f t="shared" si="730"/>
        <v>0</v>
      </c>
      <c r="Y4643" s="8">
        <f t="shared" si="731"/>
        <v>46023</v>
      </c>
    </row>
    <row r="4644" spans="2:25" ht="18.75" x14ac:dyDescent="0.3">
      <c r="B4644" s="6">
        <f t="shared" si="723"/>
        <v>0</v>
      </c>
      <c r="C4644" s="6">
        <f t="shared" si="724"/>
        <v>0</v>
      </c>
      <c r="D4644" s="6" t="str">
        <f t="shared" si="725"/>
        <v/>
      </c>
      <c r="E4644" s="35" t="str">
        <f t="shared" si="722"/>
        <v/>
      </c>
      <c r="F4644" s="31"/>
      <c r="G4644" s="29"/>
      <c r="H4644" s="78" t="str">
        <f t="shared" si="726"/>
        <v/>
      </c>
      <c r="I4644" s="25"/>
      <c r="J4644" s="25"/>
      <c r="K4644" s="26"/>
      <c r="L4644" s="26"/>
      <c r="M4644" s="37"/>
      <c r="N4644" s="27"/>
      <c r="O4644" s="30"/>
      <c r="P4644" s="39" t="str">
        <f t="shared" si="727"/>
        <v/>
      </c>
      <c r="Q4644" s="40" t="str">
        <f>IF(OR(T4644=0,RIGHT(T4644,1)=$W$1),"",COUNTIF($T$3:T4644,T4644))</f>
        <v/>
      </c>
      <c r="S4644" s="6">
        <f t="shared" si="728"/>
        <v>0</v>
      </c>
      <c r="T4644" s="36">
        <f t="shared" si="729"/>
        <v>0</v>
      </c>
      <c r="V4644" s="6">
        <f t="shared" si="730"/>
        <v>0</v>
      </c>
      <c r="Y4644" s="8">
        <f t="shared" si="731"/>
        <v>46023</v>
      </c>
    </row>
    <row r="4645" spans="2:25" ht="18.75" x14ac:dyDescent="0.3">
      <c r="B4645" s="6">
        <f t="shared" si="723"/>
        <v>0</v>
      </c>
      <c r="C4645" s="6">
        <f t="shared" si="724"/>
        <v>0</v>
      </c>
      <c r="D4645" s="6" t="str">
        <f t="shared" si="725"/>
        <v/>
      </c>
      <c r="E4645" s="35" t="str">
        <f t="shared" si="722"/>
        <v/>
      </c>
      <c r="F4645" s="31"/>
      <c r="G4645" s="29"/>
      <c r="H4645" s="78" t="str">
        <f t="shared" si="726"/>
        <v/>
      </c>
      <c r="I4645" s="25"/>
      <c r="J4645" s="25"/>
      <c r="K4645" s="26"/>
      <c r="L4645" s="26"/>
      <c r="M4645" s="37"/>
      <c r="N4645" s="27"/>
      <c r="O4645" s="30"/>
      <c r="P4645" s="39" t="str">
        <f t="shared" si="727"/>
        <v/>
      </c>
      <c r="Q4645" s="40" t="str">
        <f>IF(OR(T4645=0,RIGHT(T4645,1)=$W$1),"",COUNTIF($T$3:T4645,T4645))</f>
        <v/>
      </c>
      <c r="S4645" s="6">
        <f t="shared" si="728"/>
        <v>0</v>
      </c>
      <c r="T4645" s="36">
        <f t="shared" si="729"/>
        <v>0</v>
      </c>
      <c r="V4645" s="6">
        <f t="shared" si="730"/>
        <v>0</v>
      </c>
      <c r="Y4645" s="8">
        <f t="shared" si="731"/>
        <v>46023</v>
      </c>
    </row>
    <row r="4646" spans="2:25" ht="18.75" x14ac:dyDescent="0.3">
      <c r="B4646" s="6">
        <f t="shared" si="723"/>
        <v>0</v>
      </c>
      <c r="C4646" s="6">
        <f t="shared" si="724"/>
        <v>0</v>
      </c>
      <c r="D4646" s="6" t="str">
        <f t="shared" si="725"/>
        <v/>
      </c>
      <c r="E4646" s="35" t="str">
        <f t="shared" si="722"/>
        <v/>
      </c>
      <c r="F4646" s="31"/>
      <c r="G4646" s="29"/>
      <c r="H4646" s="78" t="str">
        <f t="shared" si="726"/>
        <v/>
      </c>
      <c r="I4646" s="25"/>
      <c r="J4646" s="25"/>
      <c r="K4646" s="26"/>
      <c r="L4646" s="26"/>
      <c r="M4646" s="37"/>
      <c r="N4646" s="27"/>
      <c r="O4646" s="30"/>
      <c r="P4646" s="39" t="str">
        <f t="shared" si="727"/>
        <v/>
      </c>
      <c r="Q4646" s="40" t="str">
        <f>IF(OR(T4646=0,RIGHT(T4646,1)=$W$1),"",COUNTIF($T$3:T4646,T4646))</f>
        <v/>
      </c>
      <c r="S4646" s="6">
        <f t="shared" si="728"/>
        <v>0</v>
      </c>
      <c r="T4646" s="36">
        <f t="shared" si="729"/>
        <v>0</v>
      </c>
      <c r="V4646" s="6">
        <f t="shared" si="730"/>
        <v>0</v>
      </c>
      <c r="Y4646" s="8">
        <f t="shared" si="731"/>
        <v>46023</v>
      </c>
    </row>
    <row r="4647" spans="2:25" ht="18.75" x14ac:dyDescent="0.3">
      <c r="B4647" s="6">
        <f t="shared" si="723"/>
        <v>0</v>
      </c>
      <c r="C4647" s="6">
        <f t="shared" si="724"/>
        <v>0</v>
      </c>
      <c r="D4647" s="6" t="str">
        <f t="shared" si="725"/>
        <v/>
      </c>
      <c r="E4647" s="35" t="str">
        <f t="shared" si="722"/>
        <v/>
      </c>
      <c r="F4647" s="31"/>
      <c r="G4647" s="29"/>
      <c r="H4647" s="78" t="str">
        <f t="shared" si="726"/>
        <v/>
      </c>
      <c r="I4647" s="25"/>
      <c r="J4647" s="25"/>
      <c r="K4647" s="26"/>
      <c r="L4647" s="26"/>
      <c r="M4647" s="37"/>
      <c r="N4647" s="27"/>
      <c r="O4647" s="30"/>
      <c r="P4647" s="39" t="str">
        <f t="shared" si="727"/>
        <v/>
      </c>
      <c r="Q4647" s="40" t="str">
        <f>IF(OR(T4647=0,RIGHT(T4647,1)=$W$1),"",COUNTIF($T$3:T4647,T4647))</f>
        <v/>
      </c>
      <c r="S4647" s="6">
        <f t="shared" si="728"/>
        <v>0</v>
      </c>
      <c r="T4647" s="36">
        <f t="shared" si="729"/>
        <v>0</v>
      </c>
      <c r="V4647" s="6">
        <f t="shared" si="730"/>
        <v>0</v>
      </c>
      <c r="Y4647" s="8">
        <f t="shared" si="731"/>
        <v>46023</v>
      </c>
    </row>
    <row r="4648" spans="2:25" ht="18.75" x14ac:dyDescent="0.3">
      <c r="B4648" s="6">
        <f t="shared" si="723"/>
        <v>0</v>
      </c>
      <c r="C4648" s="6">
        <f t="shared" si="724"/>
        <v>0</v>
      </c>
      <c r="D4648" s="6" t="str">
        <f t="shared" si="725"/>
        <v/>
      </c>
      <c r="E4648" s="35" t="str">
        <f t="shared" si="722"/>
        <v/>
      </c>
      <c r="F4648" s="31"/>
      <c r="G4648" s="29"/>
      <c r="H4648" s="78" t="str">
        <f t="shared" si="726"/>
        <v/>
      </c>
      <c r="I4648" s="25"/>
      <c r="J4648" s="25"/>
      <c r="K4648" s="26"/>
      <c r="L4648" s="26"/>
      <c r="M4648" s="37"/>
      <c r="N4648" s="27"/>
      <c r="O4648" s="30"/>
      <c r="P4648" s="39" t="str">
        <f t="shared" si="727"/>
        <v/>
      </c>
      <c r="Q4648" s="40" t="str">
        <f>IF(OR(T4648=0,RIGHT(T4648,1)=$W$1),"",COUNTIF($T$3:T4648,T4648))</f>
        <v/>
      </c>
      <c r="S4648" s="6">
        <f t="shared" si="728"/>
        <v>0</v>
      </c>
      <c r="T4648" s="36">
        <f t="shared" si="729"/>
        <v>0</v>
      </c>
      <c r="V4648" s="6">
        <f t="shared" si="730"/>
        <v>0</v>
      </c>
      <c r="Y4648" s="8">
        <f t="shared" si="731"/>
        <v>46023</v>
      </c>
    </row>
    <row r="4649" spans="2:25" ht="18.75" x14ac:dyDescent="0.3">
      <c r="B4649" s="6">
        <f t="shared" si="723"/>
        <v>0</v>
      </c>
      <c r="C4649" s="6">
        <f t="shared" si="724"/>
        <v>0</v>
      </c>
      <c r="D4649" s="6" t="str">
        <f t="shared" si="725"/>
        <v/>
      </c>
      <c r="E4649" s="35" t="str">
        <f t="shared" si="722"/>
        <v/>
      </c>
      <c r="F4649" s="31"/>
      <c r="G4649" s="29"/>
      <c r="H4649" s="78" t="str">
        <f t="shared" si="726"/>
        <v/>
      </c>
      <c r="I4649" s="25"/>
      <c r="J4649" s="25"/>
      <c r="K4649" s="26"/>
      <c r="L4649" s="26"/>
      <c r="M4649" s="37"/>
      <c r="N4649" s="27"/>
      <c r="O4649" s="30"/>
      <c r="P4649" s="39" t="str">
        <f t="shared" si="727"/>
        <v/>
      </c>
      <c r="Q4649" s="40" t="str">
        <f>IF(OR(T4649=0,RIGHT(T4649,1)=$W$1),"",COUNTIF($T$3:T4649,T4649))</f>
        <v/>
      </c>
      <c r="S4649" s="6">
        <f t="shared" si="728"/>
        <v>0</v>
      </c>
      <c r="T4649" s="36">
        <f t="shared" si="729"/>
        <v>0</v>
      </c>
      <c r="V4649" s="6">
        <f t="shared" si="730"/>
        <v>0</v>
      </c>
      <c r="Y4649" s="8">
        <f t="shared" si="731"/>
        <v>46023</v>
      </c>
    </row>
    <row r="4650" spans="2:25" ht="18.75" x14ac:dyDescent="0.3">
      <c r="B4650" s="6">
        <f t="shared" si="723"/>
        <v>0</v>
      </c>
      <c r="C4650" s="6">
        <f t="shared" si="724"/>
        <v>0</v>
      </c>
      <c r="D4650" s="6" t="str">
        <f t="shared" si="725"/>
        <v/>
      </c>
      <c r="E4650" s="35" t="str">
        <f t="shared" si="722"/>
        <v/>
      </c>
      <c r="F4650" s="31"/>
      <c r="G4650" s="29"/>
      <c r="H4650" s="78" t="str">
        <f t="shared" si="726"/>
        <v/>
      </c>
      <c r="I4650" s="25"/>
      <c r="J4650" s="25"/>
      <c r="K4650" s="26"/>
      <c r="L4650" s="26"/>
      <c r="M4650" s="37"/>
      <c r="N4650" s="27"/>
      <c r="O4650" s="30"/>
      <c r="P4650" s="39" t="str">
        <f t="shared" si="727"/>
        <v/>
      </c>
      <c r="Q4650" s="40" t="str">
        <f>IF(OR(T4650=0,RIGHT(T4650,1)=$W$1),"",COUNTIF($T$3:T4650,T4650))</f>
        <v/>
      </c>
      <c r="S4650" s="6">
        <f t="shared" si="728"/>
        <v>0</v>
      </c>
      <c r="T4650" s="36">
        <f t="shared" si="729"/>
        <v>0</v>
      </c>
      <c r="V4650" s="6">
        <f t="shared" si="730"/>
        <v>0</v>
      </c>
      <c r="Y4650" s="8">
        <f t="shared" si="731"/>
        <v>46023</v>
      </c>
    </row>
    <row r="4651" spans="2:25" ht="18.75" x14ac:dyDescent="0.3">
      <c r="B4651" s="6">
        <f t="shared" si="723"/>
        <v>0</v>
      </c>
      <c r="C4651" s="6">
        <f t="shared" si="724"/>
        <v>0</v>
      </c>
      <c r="D4651" s="6" t="str">
        <f t="shared" si="725"/>
        <v/>
      </c>
      <c r="E4651" s="35" t="str">
        <f t="shared" si="722"/>
        <v/>
      </c>
      <c r="F4651" s="31"/>
      <c r="G4651" s="29"/>
      <c r="H4651" s="78" t="str">
        <f t="shared" si="726"/>
        <v/>
      </c>
      <c r="I4651" s="25"/>
      <c r="J4651" s="25"/>
      <c r="K4651" s="26"/>
      <c r="L4651" s="26"/>
      <c r="M4651" s="37"/>
      <c r="N4651" s="27"/>
      <c r="O4651" s="30"/>
      <c r="P4651" s="39" t="str">
        <f t="shared" si="727"/>
        <v/>
      </c>
      <c r="Q4651" s="40" t="str">
        <f>IF(OR(T4651=0,RIGHT(T4651,1)=$W$1),"",COUNTIF($T$3:T4651,T4651))</f>
        <v/>
      </c>
      <c r="S4651" s="6">
        <f t="shared" si="728"/>
        <v>0</v>
      </c>
      <c r="T4651" s="36">
        <f t="shared" si="729"/>
        <v>0</v>
      </c>
      <c r="V4651" s="6">
        <f t="shared" si="730"/>
        <v>0</v>
      </c>
      <c r="Y4651" s="8">
        <f t="shared" si="731"/>
        <v>46023</v>
      </c>
    </row>
    <row r="4652" spans="2:25" ht="18.75" x14ac:dyDescent="0.3">
      <c r="B4652" s="6">
        <f t="shared" si="723"/>
        <v>0</v>
      </c>
      <c r="C4652" s="6">
        <f t="shared" si="724"/>
        <v>0</v>
      </c>
      <c r="D4652" s="6" t="str">
        <f t="shared" si="725"/>
        <v/>
      </c>
      <c r="E4652" s="35" t="str">
        <f t="shared" si="722"/>
        <v/>
      </c>
      <c r="F4652" s="31"/>
      <c r="G4652" s="29"/>
      <c r="H4652" s="78" t="str">
        <f t="shared" si="726"/>
        <v/>
      </c>
      <c r="I4652" s="25"/>
      <c r="J4652" s="25"/>
      <c r="K4652" s="26"/>
      <c r="L4652" s="26"/>
      <c r="M4652" s="37"/>
      <c r="N4652" s="27"/>
      <c r="O4652" s="30"/>
      <c r="P4652" s="39" t="str">
        <f t="shared" si="727"/>
        <v/>
      </c>
      <c r="Q4652" s="40" t="str">
        <f>IF(OR(T4652=0,RIGHT(T4652,1)=$W$1),"",COUNTIF($T$3:T4652,T4652))</f>
        <v/>
      </c>
      <c r="S4652" s="6">
        <f t="shared" si="728"/>
        <v>0</v>
      </c>
      <c r="T4652" s="36">
        <f t="shared" si="729"/>
        <v>0</v>
      </c>
      <c r="V4652" s="6">
        <f t="shared" si="730"/>
        <v>0</v>
      </c>
      <c r="Y4652" s="8">
        <f t="shared" si="731"/>
        <v>46023</v>
      </c>
    </row>
    <row r="4653" spans="2:25" ht="18.75" x14ac:dyDescent="0.3">
      <c r="B4653" s="6">
        <f t="shared" si="723"/>
        <v>0</v>
      </c>
      <c r="C4653" s="6">
        <f t="shared" si="724"/>
        <v>0</v>
      </c>
      <c r="D4653" s="6" t="str">
        <f t="shared" si="725"/>
        <v/>
      </c>
      <c r="E4653" s="35" t="str">
        <f t="shared" si="722"/>
        <v/>
      </c>
      <c r="F4653" s="31"/>
      <c r="G4653" s="29"/>
      <c r="H4653" s="78" t="str">
        <f t="shared" si="726"/>
        <v/>
      </c>
      <c r="I4653" s="25"/>
      <c r="J4653" s="25"/>
      <c r="K4653" s="26"/>
      <c r="L4653" s="26"/>
      <c r="M4653" s="37"/>
      <c r="N4653" s="27"/>
      <c r="O4653" s="30"/>
      <c r="P4653" s="39" t="str">
        <f t="shared" si="727"/>
        <v/>
      </c>
      <c r="Q4653" s="40" t="str">
        <f>IF(OR(T4653=0,RIGHT(T4653,1)=$W$1),"",COUNTIF($T$3:T4653,T4653))</f>
        <v/>
      </c>
      <c r="S4653" s="6">
        <f t="shared" si="728"/>
        <v>0</v>
      </c>
      <c r="T4653" s="36">
        <f t="shared" si="729"/>
        <v>0</v>
      </c>
      <c r="V4653" s="6">
        <f t="shared" si="730"/>
        <v>0</v>
      </c>
      <c r="Y4653" s="8">
        <f t="shared" si="731"/>
        <v>46023</v>
      </c>
    </row>
    <row r="4654" spans="2:25" ht="18.75" x14ac:dyDescent="0.3">
      <c r="B4654" s="6">
        <f t="shared" si="723"/>
        <v>0</v>
      </c>
      <c r="C4654" s="6">
        <f t="shared" si="724"/>
        <v>0</v>
      </c>
      <c r="D4654" s="6" t="str">
        <f t="shared" si="725"/>
        <v/>
      </c>
      <c r="E4654" s="35" t="str">
        <f t="shared" si="722"/>
        <v/>
      </c>
      <c r="F4654" s="31"/>
      <c r="G4654" s="29"/>
      <c r="H4654" s="78" t="str">
        <f t="shared" si="726"/>
        <v/>
      </c>
      <c r="I4654" s="25"/>
      <c r="J4654" s="25"/>
      <c r="K4654" s="26"/>
      <c r="L4654" s="26"/>
      <c r="M4654" s="37"/>
      <c r="N4654" s="27"/>
      <c r="O4654" s="30"/>
      <c r="P4654" s="39" t="str">
        <f t="shared" si="727"/>
        <v/>
      </c>
      <c r="Q4654" s="40" t="str">
        <f>IF(OR(T4654=0,RIGHT(T4654,1)=$W$1),"",COUNTIF($T$3:T4654,T4654))</f>
        <v/>
      </c>
      <c r="S4654" s="6">
        <f t="shared" si="728"/>
        <v>0</v>
      </c>
      <c r="T4654" s="36">
        <f t="shared" si="729"/>
        <v>0</v>
      </c>
      <c r="V4654" s="6">
        <f t="shared" si="730"/>
        <v>0</v>
      </c>
      <c r="Y4654" s="8">
        <f t="shared" si="731"/>
        <v>46023</v>
      </c>
    </row>
    <row r="4655" spans="2:25" ht="18.75" x14ac:dyDescent="0.3">
      <c r="B4655" s="6">
        <f t="shared" si="723"/>
        <v>0</v>
      </c>
      <c r="C4655" s="6">
        <f t="shared" si="724"/>
        <v>0</v>
      </c>
      <c r="D4655" s="6" t="str">
        <f t="shared" si="725"/>
        <v/>
      </c>
      <c r="E4655" s="35" t="str">
        <f t="shared" si="722"/>
        <v/>
      </c>
      <c r="F4655" s="31"/>
      <c r="G4655" s="29"/>
      <c r="H4655" s="78" t="str">
        <f t="shared" si="726"/>
        <v/>
      </c>
      <c r="I4655" s="25"/>
      <c r="J4655" s="25"/>
      <c r="K4655" s="26"/>
      <c r="L4655" s="26"/>
      <c r="M4655" s="37"/>
      <c r="N4655" s="27"/>
      <c r="O4655" s="30"/>
      <c r="P4655" s="39" t="str">
        <f t="shared" si="727"/>
        <v/>
      </c>
      <c r="Q4655" s="40" t="str">
        <f>IF(OR(T4655=0,RIGHT(T4655,1)=$W$1),"",COUNTIF($T$3:T4655,T4655))</f>
        <v/>
      </c>
      <c r="S4655" s="6">
        <f t="shared" si="728"/>
        <v>0</v>
      </c>
      <c r="T4655" s="36">
        <f t="shared" si="729"/>
        <v>0</v>
      </c>
      <c r="V4655" s="6">
        <f t="shared" si="730"/>
        <v>0</v>
      </c>
      <c r="Y4655" s="8">
        <f t="shared" si="731"/>
        <v>46023</v>
      </c>
    </row>
    <row r="4656" spans="2:25" ht="18.75" x14ac:dyDescent="0.3">
      <c r="B4656" s="6">
        <f t="shared" si="723"/>
        <v>0</v>
      </c>
      <c r="C4656" s="6">
        <f t="shared" si="724"/>
        <v>0</v>
      </c>
      <c r="D4656" s="6" t="str">
        <f t="shared" si="725"/>
        <v/>
      </c>
      <c r="E4656" s="35" t="str">
        <f t="shared" si="722"/>
        <v/>
      </c>
      <c r="F4656" s="31"/>
      <c r="G4656" s="29"/>
      <c r="H4656" s="78" t="str">
        <f t="shared" si="726"/>
        <v/>
      </c>
      <c r="I4656" s="25"/>
      <c r="J4656" s="25"/>
      <c r="K4656" s="26"/>
      <c r="L4656" s="26"/>
      <c r="M4656" s="37"/>
      <c r="N4656" s="27"/>
      <c r="O4656" s="30"/>
      <c r="P4656" s="39" t="str">
        <f t="shared" si="727"/>
        <v/>
      </c>
      <c r="Q4656" s="40" t="str">
        <f>IF(OR(T4656=0,RIGHT(T4656,1)=$W$1),"",COUNTIF($T$3:T4656,T4656))</f>
        <v/>
      </c>
      <c r="S4656" s="6">
        <f t="shared" si="728"/>
        <v>0</v>
      </c>
      <c r="T4656" s="36">
        <f t="shared" si="729"/>
        <v>0</v>
      </c>
      <c r="V4656" s="6">
        <f t="shared" si="730"/>
        <v>0</v>
      </c>
      <c r="Y4656" s="8">
        <f t="shared" si="731"/>
        <v>46023</v>
      </c>
    </row>
    <row r="4657" spans="2:25" ht="18.75" x14ac:dyDescent="0.3">
      <c r="B4657" s="6">
        <f t="shared" si="723"/>
        <v>0</v>
      </c>
      <c r="C4657" s="6">
        <f t="shared" si="724"/>
        <v>0</v>
      </c>
      <c r="D4657" s="6" t="str">
        <f t="shared" si="725"/>
        <v/>
      </c>
      <c r="E4657" s="35" t="str">
        <f t="shared" si="722"/>
        <v/>
      </c>
      <c r="F4657" s="31"/>
      <c r="G4657" s="29"/>
      <c r="H4657" s="78" t="str">
        <f t="shared" si="726"/>
        <v/>
      </c>
      <c r="I4657" s="25"/>
      <c r="J4657" s="25"/>
      <c r="K4657" s="26"/>
      <c r="L4657" s="26"/>
      <c r="M4657" s="37"/>
      <c r="N4657" s="27"/>
      <c r="O4657" s="30"/>
      <c r="P4657" s="39" t="str">
        <f t="shared" si="727"/>
        <v/>
      </c>
      <c r="Q4657" s="40" t="str">
        <f>IF(OR(T4657=0,RIGHT(T4657,1)=$W$1),"",COUNTIF($T$3:T4657,T4657))</f>
        <v/>
      </c>
      <c r="S4657" s="6">
        <f t="shared" si="728"/>
        <v>0</v>
      </c>
      <c r="T4657" s="36">
        <f t="shared" si="729"/>
        <v>0</v>
      </c>
      <c r="V4657" s="6">
        <f t="shared" si="730"/>
        <v>0</v>
      </c>
      <c r="Y4657" s="8">
        <f t="shared" si="731"/>
        <v>46023</v>
      </c>
    </row>
    <row r="4658" spans="2:25" ht="18.75" x14ac:dyDescent="0.3">
      <c r="B4658" s="6">
        <f t="shared" si="723"/>
        <v>0</v>
      </c>
      <c r="C4658" s="6">
        <f t="shared" si="724"/>
        <v>0</v>
      </c>
      <c r="D4658" s="6" t="str">
        <f t="shared" si="725"/>
        <v/>
      </c>
      <c r="E4658" s="35" t="str">
        <f t="shared" si="722"/>
        <v/>
      </c>
      <c r="F4658" s="31"/>
      <c r="G4658" s="29"/>
      <c r="H4658" s="78" t="str">
        <f t="shared" si="726"/>
        <v/>
      </c>
      <c r="I4658" s="25"/>
      <c r="J4658" s="25"/>
      <c r="K4658" s="26"/>
      <c r="L4658" s="26"/>
      <c r="M4658" s="37"/>
      <c r="N4658" s="27"/>
      <c r="O4658" s="30"/>
      <c r="P4658" s="39" t="str">
        <f t="shared" si="727"/>
        <v/>
      </c>
      <c r="Q4658" s="40" t="str">
        <f>IF(OR(T4658=0,RIGHT(T4658,1)=$W$1),"",COUNTIF($T$3:T4658,T4658))</f>
        <v/>
      </c>
      <c r="S4658" s="6">
        <f t="shared" si="728"/>
        <v>0</v>
      </c>
      <c r="T4658" s="36">
        <f t="shared" si="729"/>
        <v>0</v>
      </c>
      <c r="V4658" s="6">
        <f t="shared" si="730"/>
        <v>0</v>
      </c>
      <c r="Y4658" s="8">
        <f t="shared" si="731"/>
        <v>46023</v>
      </c>
    </row>
    <row r="4659" spans="2:25" ht="18.75" x14ac:dyDescent="0.3">
      <c r="B4659" s="6">
        <f t="shared" si="723"/>
        <v>0</v>
      </c>
      <c r="C4659" s="6">
        <f t="shared" si="724"/>
        <v>0</v>
      </c>
      <c r="D4659" s="6" t="str">
        <f t="shared" si="725"/>
        <v/>
      </c>
      <c r="E4659" s="35" t="str">
        <f t="shared" si="722"/>
        <v/>
      </c>
      <c r="F4659" s="31"/>
      <c r="G4659" s="29"/>
      <c r="H4659" s="78" t="str">
        <f t="shared" si="726"/>
        <v/>
      </c>
      <c r="I4659" s="25"/>
      <c r="J4659" s="25"/>
      <c r="K4659" s="26"/>
      <c r="L4659" s="26"/>
      <c r="M4659" s="37"/>
      <c r="N4659" s="27"/>
      <c r="O4659" s="30"/>
      <c r="P4659" s="39" t="str">
        <f t="shared" si="727"/>
        <v/>
      </c>
      <c r="Q4659" s="40" t="str">
        <f>IF(OR(T4659=0,RIGHT(T4659,1)=$W$1),"",COUNTIF($T$3:T4659,T4659))</f>
        <v/>
      </c>
      <c r="S4659" s="6">
        <f t="shared" si="728"/>
        <v>0</v>
      </c>
      <c r="T4659" s="36">
        <f t="shared" si="729"/>
        <v>0</v>
      </c>
      <c r="V4659" s="6">
        <f t="shared" si="730"/>
        <v>0</v>
      </c>
      <c r="Y4659" s="8">
        <f t="shared" si="731"/>
        <v>46023</v>
      </c>
    </row>
    <row r="4660" spans="2:25" ht="18.75" x14ac:dyDescent="0.3">
      <c r="B4660" s="6">
        <f t="shared" si="723"/>
        <v>0</v>
      </c>
      <c r="C4660" s="6">
        <f t="shared" si="724"/>
        <v>0</v>
      </c>
      <c r="D4660" s="6" t="str">
        <f t="shared" si="725"/>
        <v/>
      </c>
      <c r="E4660" s="35" t="str">
        <f t="shared" si="722"/>
        <v/>
      </c>
      <c r="F4660" s="31"/>
      <c r="G4660" s="29"/>
      <c r="H4660" s="78" t="str">
        <f t="shared" si="726"/>
        <v/>
      </c>
      <c r="I4660" s="25"/>
      <c r="J4660" s="25"/>
      <c r="K4660" s="26"/>
      <c r="L4660" s="26"/>
      <c r="M4660" s="37"/>
      <c r="N4660" s="27"/>
      <c r="O4660" s="30"/>
      <c r="P4660" s="39" t="str">
        <f t="shared" si="727"/>
        <v/>
      </c>
      <c r="Q4660" s="40" t="str">
        <f>IF(OR(T4660=0,RIGHT(T4660,1)=$W$1),"",COUNTIF($T$3:T4660,T4660))</f>
        <v/>
      </c>
      <c r="S4660" s="6">
        <f t="shared" si="728"/>
        <v>0</v>
      </c>
      <c r="T4660" s="36">
        <f t="shared" si="729"/>
        <v>0</v>
      </c>
      <c r="V4660" s="6">
        <f t="shared" si="730"/>
        <v>0</v>
      </c>
      <c r="Y4660" s="8">
        <f t="shared" si="731"/>
        <v>46023</v>
      </c>
    </row>
    <row r="4661" spans="2:25" ht="18.75" x14ac:dyDescent="0.3">
      <c r="B4661" s="6">
        <f t="shared" si="723"/>
        <v>0</v>
      </c>
      <c r="C4661" s="6">
        <f t="shared" si="724"/>
        <v>0</v>
      </c>
      <c r="D4661" s="6" t="str">
        <f t="shared" si="725"/>
        <v/>
      </c>
      <c r="E4661" s="35" t="str">
        <f t="shared" si="722"/>
        <v/>
      </c>
      <c r="F4661" s="31"/>
      <c r="G4661" s="29"/>
      <c r="H4661" s="78" t="str">
        <f t="shared" si="726"/>
        <v/>
      </c>
      <c r="I4661" s="25"/>
      <c r="J4661" s="25"/>
      <c r="K4661" s="26"/>
      <c r="L4661" s="26"/>
      <c r="M4661" s="37"/>
      <c r="N4661" s="27"/>
      <c r="O4661" s="30"/>
      <c r="P4661" s="39" t="str">
        <f t="shared" si="727"/>
        <v/>
      </c>
      <c r="Q4661" s="40" t="str">
        <f>IF(OR(T4661=0,RIGHT(T4661,1)=$W$1),"",COUNTIF($T$3:T4661,T4661))</f>
        <v/>
      </c>
      <c r="S4661" s="6">
        <f t="shared" si="728"/>
        <v>0</v>
      </c>
      <c r="T4661" s="36">
        <f t="shared" si="729"/>
        <v>0</v>
      </c>
      <c r="V4661" s="6">
        <f t="shared" si="730"/>
        <v>0</v>
      </c>
      <c r="Y4661" s="8">
        <f t="shared" si="731"/>
        <v>46023</v>
      </c>
    </row>
    <row r="4662" spans="2:25" ht="18.75" x14ac:dyDescent="0.3">
      <c r="B4662" s="6">
        <f t="shared" si="723"/>
        <v>0</v>
      </c>
      <c r="C4662" s="6">
        <f t="shared" si="724"/>
        <v>0</v>
      </c>
      <c r="D4662" s="6" t="str">
        <f t="shared" si="725"/>
        <v/>
      </c>
      <c r="E4662" s="35" t="str">
        <f t="shared" si="722"/>
        <v/>
      </c>
      <c r="F4662" s="31"/>
      <c r="G4662" s="29"/>
      <c r="H4662" s="78" t="str">
        <f t="shared" si="726"/>
        <v/>
      </c>
      <c r="I4662" s="25"/>
      <c r="J4662" s="25"/>
      <c r="K4662" s="26"/>
      <c r="L4662" s="26"/>
      <c r="M4662" s="37"/>
      <c r="N4662" s="27"/>
      <c r="O4662" s="30"/>
      <c r="P4662" s="39" t="str">
        <f t="shared" si="727"/>
        <v/>
      </c>
      <c r="Q4662" s="40" t="str">
        <f>IF(OR(T4662=0,RIGHT(T4662,1)=$W$1),"",COUNTIF($T$3:T4662,T4662))</f>
        <v/>
      </c>
      <c r="S4662" s="6">
        <f t="shared" si="728"/>
        <v>0</v>
      </c>
      <c r="T4662" s="36">
        <f t="shared" si="729"/>
        <v>0</v>
      </c>
      <c r="V4662" s="6">
        <f t="shared" si="730"/>
        <v>0</v>
      </c>
      <c r="Y4662" s="8">
        <f t="shared" si="731"/>
        <v>46023</v>
      </c>
    </row>
    <row r="4663" spans="2:25" ht="18.75" x14ac:dyDescent="0.3">
      <c r="B4663" s="6">
        <f t="shared" si="723"/>
        <v>0</v>
      </c>
      <c r="C4663" s="6">
        <f t="shared" si="724"/>
        <v>0</v>
      </c>
      <c r="D4663" s="6" t="str">
        <f t="shared" si="725"/>
        <v/>
      </c>
      <c r="E4663" s="35" t="str">
        <f t="shared" si="722"/>
        <v/>
      </c>
      <c r="F4663" s="31"/>
      <c r="G4663" s="29"/>
      <c r="H4663" s="78" t="str">
        <f t="shared" si="726"/>
        <v/>
      </c>
      <c r="I4663" s="25"/>
      <c r="J4663" s="25"/>
      <c r="K4663" s="26"/>
      <c r="L4663" s="26"/>
      <c r="M4663" s="37"/>
      <c r="N4663" s="27"/>
      <c r="O4663" s="30"/>
      <c r="P4663" s="39" t="str">
        <f t="shared" si="727"/>
        <v/>
      </c>
      <c r="Q4663" s="40" t="str">
        <f>IF(OR(T4663=0,RIGHT(T4663,1)=$W$1),"",COUNTIF($T$3:T4663,T4663))</f>
        <v/>
      </c>
      <c r="S4663" s="6">
        <f t="shared" si="728"/>
        <v>0</v>
      </c>
      <c r="T4663" s="36">
        <f t="shared" si="729"/>
        <v>0</v>
      </c>
      <c r="V4663" s="6">
        <f t="shared" si="730"/>
        <v>0</v>
      </c>
      <c r="Y4663" s="8">
        <f t="shared" si="731"/>
        <v>46023</v>
      </c>
    </row>
    <row r="4664" spans="2:25" ht="18.75" x14ac:dyDescent="0.3">
      <c r="B4664" s="6">
        <f t="shared" si="723"/>
        <v>0</v>
      </c>
      <c r="C4664" s="6">
        <f t="shared" si="724"/>
        <v>0</v>
      </c>
      <c r="D4664" s="6" t="str">
        <f t="shared" si="725"/>
        <v/>
      </c>
      <c r="E4664" s="35" t="str">
        <f t="shared" si="722"/>
        <v/>
      </c>
      <c r="F4664" s="31"/>
      <c r="G4664" s="29"/>
      <c r="H4664" s="78" t="str">
        <f t="shared" si="726"/>
        <v/>
      </c>
      <c r="I4664" s="25"/>
      <c r="J4664" s="25"/>
      <c r="K4664" s="26"/>
      <c r="L4664" s="26"/>
      <c r="M4664" s="37"/>
      <c r="N4664" s="27"/>
      <c r="O4664" s="30"/>
      <c r="P4664" s="39" t="str">
        <f t="shared" si="727"/>
        <v/>
      </c>
      <c r="Q4664" s="40" t="str">
        <f>IF(OR(T4664=0,RIGHT(T4664,1)=$W$1),"",COUNTIF($T$3:T4664,T4664))</f>
        <v/>
      </c>
      <c r="S4664" s="6">
        <f t="shared" si="728"/>
        <v>0</v>
      </c>
      <c r="T4664" s="36">
        <f t="shared" si="729"/>
        <v>0</v>
      </c>
      <c r="V4664" s="6">
        <f t="shared" si="730"/>
        <v>0</v>
      </c>
      <c r="Y4664" s="8">
        <f t="shared" si="731"/>
        <v>46023</v>
      </c>
    </row>
    <row r="4665" spans="2:25" ht="18.75" x14ac:dyDescent="0.3">
      <c r="B4665" s="6">
        <f t="shared" si="723"/>
        <v>0</v>
      </c>
      <c r="C4665" s="6">
        <f t="shared" si="724"/>
        <v>0</v>
      </c>
      <c r="D4665" s="6" t="str">
        <f t="shared" si="725"/>
        <v/>
      </c>
      <c r="E4665" s="35" t="str">
        <f t="shared" si="722"/>
        <v/>
      </c>
      <c r="F4665" s="31"/>
      <c r="G4665" s="29"/>
      <c r="H4665" s="78" t="str">
        <f t="shared" si="726"/>
        <v/>
      </c>
      <c r="I4665" s="25"/>
      <c r="J4665" s="25"/>
      <c r="K4665" s="26"/>
      <c r="L4665" s="26"/>
      <c r="M4665" s="37"/>
      <c r="N4665" s="27"/>
      <c r="O4665" s="30"/>
      <c r="P4665" s="39" t="str">
        <f t="shared" si="727"/>
        <v/>
      </c>
      <c r="Q4665" s="40" t="str">
        <f>IF(OR(T4665=0,RIGHT(T4665,1)=$W$1),"",COUNTIF($T$3:T4665,T4665))</f>
        <v/>
      </c>
      <c r="S4665" s="6">
        <f t="shared" si="728"/>
        <v>0</v>
      </c>
      <c r="T4665" s="36">
        <f t="shared" si="729"/>
        <v>0</v>
      </c>
      <c r="V4665" s="6">
        <f t="shared" si="730"/>
        <v>0</v>
      </c>
      <c r="Y4665" s="8">
        <f t="shared" si="731"/>
        <v>46023</v>
      </c>
    </row>
    <row r="4666" spans="2:25" ht="18.75" x14ac:dyDescent="0.3">
      <c r="B4666" s="6">
        <f t="shared" si="723"/>
        <v>0</v>
      </c>
      <c r="C4666" s="6">
        <f t="shared" si="724"/>
        <v>0</v>
      </c>
      <c r="D4666" s="6" t="str">
        <f t="shared" si="725"/>
        <v/>
      </c>
      <c r="E4666" s="35" t="str">
        <f t="shared" si="722"/>
        <v/>
      </c>
      <c r="F4666" s="31"/>
      <c r="G4666" s="29"/>
      <c r="H4666" s="78" t="str">
        <f t="shared" si="726"/>
        <v/>
      </c>
      <c r="I4666" s="25"/>
      <c r="J4666" s="25"/>
      <c r="K4666" s="26"/>
      <c r="L4666" s="26"/>
      <c r="M4666" s="37"/>
      <c r="N4666" s="27"/>
      <c r="O4666" s="30"/>
      <c r="P4666" s="39" t="str">
        <f t="shared" si="727"/>
        <v/>
      </c>
      <c r="Q4666" s="40" t="str">
        <f>IF(OR(T4666=0,RIGHT(T4666,1)=$W$1),"",COUNTIF($T$3:T4666,T4666))</f>
        <v/>
      </c>
      <c r="S4666" s="6">
        <f t="shared" si="728"/>
        <v>0</v>
      </c>
      <c r="T4666" s="36">
        <f t="shared" si="729"/>
        <v>0</v>
      </c>
      <c r="V4666" s="6">
        <f t="shared" si="730"/>
        <v>0</v>
      </c>
      <c r="Y4666" s="8">
        <f t="shared" si="731"/>
        <v>46023</v>
      </c>
    </row>
    <row r="4667" spans="2:25" ht="18.75" x14ac:dyDescent="0.3">
      <c r="B4667" s="6">
        <f t="shared" si="723"/>
        <v>0</v>
      </c>
      <c r="C4667" s="6">
        <f t="shared" si="724"/>
        <v>0</v>
      </c>
      <c r="D4667" s="6" t="str">
        <f t="shared" si="725"/>
        <v/>
      </c>
      <c r="E4667" s="35" t="str">
        <f t="shared" si="722"/>
        <v/>
      </c>
      <c r="F4667" s="31"/>
      <c r="G4667" s="29"/>
      <c r="H4667" s="78" t="str">
        <f t="shared" si="726"/>
        <v/>
      </c>
      <c r="I4667" s="25"/>
      <c r="J4667" s="25"/>
      <c r="K4667" s="26"/>
      <c r="L4667" s="26"/>
      <c r="M4667" s="37"/>
      <c r="N4667" s="27"/>
      <c r="O4667" s="30"/>
      <c r="P4667" s="39" t="str">
        <f t="shared" si="727"/>
        <v/>
      </c>
      <c r="Q4667" s="40" t="str">
        <f>IF(OR(T4667=0,RIGHT(T4667,1)=$W$1),"",COUNTIF($T$3:T4667,T4667))</f>
        <v/>
      </c>
      <c r="S4667" s="6">
        <f t="shared" si="728"/>
        <v>0</v>
      </c>
      <c r="T4667" s="36">
        <f t="shared" si="729"/>
        <v>0</v>
      </c>
      <c r="V4667" s="6">
        <f t="shared" si="730"/>
        <v>0</v>
      </c>
      <c r="Y4667" s="8">
        <f t="shared" si="731"/>
        <v>46023</v>
      </c>
    </row>
    <row r="4668" spans="2:25" ht="18.75" x14ac:dyDescent="0.3">
      <c r="B4668" s="6">
        <f t="shared" si="723"/>
        <v>0</v>
      </c>
      <c r="C4668" s="6">
        <f t="shared" si="724"/>
        <v>0</v>
      </c>
      <c r="D4668" s="6" t="str">
        <f t="shared" si="725"/>
        <v/>
      </c>
      <c r="E4668" s="35" t="str">
        <f t="shared" si="722"/>
        <v/>
      </c>
      <c r="F4668" s="31"/>
      <c r="G4668" s="29"/>
      <c r="H4668" s="78" t="str">
        <f t="shared" si="726"/>
        <v/>
      </c>
      <c r="I4668" s="25"/>
      <c r="J4668" s="25"/>
      <c r="K4668" s="26"/>
      <c r="L4668" s="26"/>
      <c r="M4668" s="37"/>
      <c r="N4668" s="27"/>
      <c r="O4668" s="30"/>
      <c r="P4668" s="39" t="str">
        <f t="shared" si="727"/>
        <v/>
      </c>
      <c r="Q4668" s="40" t="str">
        <f>IF(OR(T4668=0,RIGHT(T4668,1)=$W$1),"",COUNTIF($T$3:T4668,T4668))</f>
        <v/>
      </c>
      <c r="S4668" s="6">
        <f t="shared" si="728"/>
        <v>0</v>
      </c>
      <c r="T4668" s="36">
        <f t="shared" si="729"/>
        <v>0</v>
      </c>
      <c r="V4668" s="6">
        <f t="shared" si="730"/>
        <v>0</v>
      </c>
      <c r="Y4668" s="8">
        <f t="shared" si="731"/>
        <v>46023</v>
      </c>
    </row>
    <row r="4669" spans="2:25" ht="18.75" x14ac:dyDescent="0.3">
      <c r="B4669" s="6">
        <f t="shared" si="723"/>
        <v>0</v>
      </c>
      <c r="C4669" s="6">
        <f t="shared" si="724"/>
        <v>0</v>
      </c>
      <c r="D4669" s="6" t="str">
        <f t="shared" si="725"/>
        <v/>
      </c>
      <c r="E4669" s="35" t="str">
        <f t="shared" si="722"/>
        <v/>
      </c>
      <c r="F4669" s="31"/>
      <c r="G4669" s="29"/>
      <c r="H4669" s="78" t="str">
        <f t="shared" si="726"/>
        <v/>
      </c>
      <c r="I4669" s="25"/>
      <c r="J4669" s="25"/>
      <c r="K4669" s="26"/>
      <c r="L4669" s="26"/>
      <c r="M4669" s="37"/>
      <c r="N4669" s="27"/>
      <c r="O4669" s="30"/>
      <c r="P4669" s="39" t="str">
        <f t="shared" si="727"/>
        <v/>
      </c>
      <c r="Q4669" s="40" t="str">
        <f>IF(OR(T4669=0,RIGHT(T4669,1)=$W$1),"",COUNTIF($T$3:T4669,T4669))</f>
        <v/>
      </c>
      <c r="S4669" s="6">
        <f t="shared" si="728"/>
        <v>0</v>
      </c>
      <c r="T4669" s="36">
        <f t="shared" si="729"/>
        <v>0</v>
      </c>
      <c r="V4669" s="6">
        <f t="shared" si="730"/>
        <v>0</v>
      </c>
      <c r="Y4669" s="8">
        <f t="shared" si="731"/>
        <v>46023</v>
      </c>
    </row>
    <row r="4670" spans="2:25" ht="18.75" x14ac:dyDescent="0.3">
      <c r="B4670" s="6">
        <f t="shared" si="723"/>
        <v>0</v>
      </c>
      <c r="C4670" s="6">
        <f t="shared" si="724"/>
        <v>0</v>
      </c>
      <c r="D4670" s="6" t="str">
        <f t="shared" si="725"/>
        <v/>
      </c>
      <c r="E4670" s="35" t="str">
        <f t="shared" si="722"/>
        <v/>
      </c>
      <c r="F4670" s="31"/>
      <c r="G4670" s="29"/>
      <c r="H4670" s="78" t="str">
        <f t="shared" si="726"/>
        <v/>
      </c>
      <c r="I4670" s="25"/>
      <c r="J4670" s="25"/>
      <c r="K4670" s="26"/>
      <c r="L4670" s="26"/>
      <c r="M4670" s="37"/>
      <c r="N4670" s="27"/>
      <c r="O4670" s="30"/>
      <c r="P4670" s="39" t="str">
        <f t="shared" si="727"/>
        <v/>
      </c>
      <c r="Q4670" s="40" t="str">
        <f>IF(OR(T4670=0,RIGHT(T4670,1)=$W$1),"",COUNTIF($T$3:T4670,T4670))</f>
        <v/>
      </c>
      <c r="S4670" s="6">
        <f t="shared" si="728"/>
        <v>0</v>
      </c>
      <c r="T4670" s="36">
        <f t="shared" si="729"/>
        <v>0</v>
      </c>
      <c r="V4670" s="6">
        <f t="shared" si="730"/>
        <v>0</v>
      </c>
      <c r="Y4670" s="8">
        <f t="shared" si="731"/>
        <v>46023</v>
      </c>
    </row>
    <row r="4671" spans="2:25" ht="18.75" x14ac:dyDescent="0.3">
      <c r="B4671" s="6">
        <f t="shared" si="723"/>
        <v>0</v>
      </c>
      <c r="C4671" s="6">
        <f t="shared" si="724"/>
        <v>0</v>
      </c>
      <c r="D4671" s="6" t="str">
        <f t="shared" si="725"/>
        <v/>
      </c>
      <c r="E4671" s="35" t="str">
        <f t="shared" si="722"/>
        <v/>
      </c>
      <c r="F4671" s="31"/>
      <c r="G4671" s="29"/>
      <c r="H4671" s="78" t="str">
        <f t="shared" si="726"/>
        <v/>
      </c>
      <c r="I4671" s="25"/>
      <c r="J4671" s="25"/>
      <c r="K4671" s="26"/>
      <c r="L4671" s="26"/>
      <c r="M4671" s="37"/>
      <c r="N4671" s="27"/>
      <c r="O4671" s="30"/>
      <c r="P4671" s="39" t="str">
        <f t="shared" si="727"/>
        <v/>
      </c>
      <c r="Q4671" s="40" t="str">
        <f>IF(OR(T4671=0,RIGHT(T4671,1)=$W$1),"",COUNTIF($T$3:T4671,T4671))</f>
        <v/>
      </c>
      <c r="S4671" s="6">
        <f t="shared" si="728"/>
        <v>0</v>
      </c>
      <c r="T4671" s="36">
        <f t="shared" si="729"/>
        <v>0</v>
      </c>
      <c r="V4671" s="6">
        <f t="shared" si="730"/>
        <v>0</v>
      </c>
      <c r="Y4671" s="8">
        <f t="shared" si="731"/>
        <v>46023</v>
      </c>
    </row>
    <row r="4672" spans="2:25" ht="18.75" x14ac:dyDescent="0.3">
      <c r="B4672" s="6">
        <f t="shared" si="723"/>
        <v>0</v>
      </c>
      <c r="C4672" s="6">
        <f t="shared" si="724"/>
        <v>0</v>
      </c>
      <c r="D4672" s="6" t="str">
        <f t="shared" si="725"/>
        <v/>
      </c>
      <c r="E4672" s="35" t="str">
        <f t="shared" si="722"/>
        <v/>
      </c>
      <c r="F4672" s="31"/>
      <c r="G4672" s="29"/>
      <c r="H4672" s="78" t="str">
        <f t="shared" si="726"/>
        <v/>
      </c>
      <c r="I4672" s="25"/>
      <c r="J4672" s="25"/>
      <c r="K4672" s="26"/>
      <c r="L4672" s="26"/>
      <c r="M4672" s="37"/>
      <c r="N4672" s="27"/>
      <c r="O4672" s="30"/>
      <c r="P4672" s="39" t="str">
        <f t="shared" si="727"/>
        <v/>
      </c>
      <c r="Q4672" s="40" t="str">
        <f>IF(OR(T4672=0,RIGHT(T4672,1)=$W$1),"",COUNTIF($T$3:T4672,T4672))</f>
        <v/>
      </c>
      <c r="S4672" s="6">
        <f t="shared" si="728"/>
        <v>0</v>
      </c>
      <c r="T4672" s="36">
        <f t="shared" si="729"/>
        <v>0</v>
      </c>
      <c r="V4672" s="6">
        <f t="shared" si="730"/>
        <v>0</v>
      </c>
      <c r="Y4672" s="8">
        <f t="shared" si="731"/>
        <v>46023</v>
      </c>
    </row>
    <row r="4673" spans="2:25" ht="18.75" x14ac:dyDescent="0.3">
      <c r="B4673" s="6">
        <f t="shared" si="723"/>
        <v>0</v>
      </c>
      <c r="C4673" s="6">
        <f t="shared" si="724"/>
        <v>0</v>
      </c>
      <c r="D4673" s="6" t="str">
        <f t="shared" si="725"/>
        <v/>
      </c>
      <c r="E4673" s="35" t="str">
        <f t="shared" si="722"/>
        <v/>
      </c>
      <c r="F4673" s="31"/>
      <c r="G4673" s="29"/>
      <c r="H4673" s="78" t="str">
        <f t="shared" si="726"/>
        <v/>
      </c>
      <c r="I4673" s="25"/>
      <c r="J4673" s="25"/>
      <c r="K4673" s="26"/>
      <c r="L4673" s="26"/>
      <c r="M4673" s="37"/>
      <c r="N4673" s="27"/>
      <c r="O4673" s="30"/>
      <c r="P4673" s="39" t="str">
        <f t="shared" si="727"/>
        <v/>
      </c>
      <c r="Q4673" s="40" t="str">
        <f>IF(OR(T4673=0,RIGHT(T4673,1)=$W$1),"",COUNTIF($T$3:T4673,T4673))</f>
        <v/>
      </c>
      <c r="S4673" s="6">
        <f t="shared" si="728"/>
        <v>0</v>
      </c>
      <c r="T4673" s="36">
        <f t="shared" si="729"/>
        <v>0</v>
      </c>
      <c r="V4673" s="6">
        <f t="shared" si="730"/>
        <v>0</v>
      </c>
      <c r="Y4673" s="8">
        <f t="shared" si="731"/>
        <v>46023</v>
      </c>
    </row>
    <row r="4674" spans="2:25" ht="18.75" x14ac:dyDescent="0.3">
      <c r="B4674" s="6">
        <f t="shared" si="723"/>
        <v>0</v>
      </c>
      <c r="C4674" s="6">
        <f t="shared" si="724"/>
        <v>0</v>
      </c>
      <c r="D4674" s="6" t="str">
        <f t="shared" si="725"/>
        <v/>
      </c>
      <c r="E4674" s="35" t="str">
        <f t="shared" si="722"/>
        <v/>
      </c>
      <c r="F4674" s="31"/>
      <c r="G4674" s="29"/>
      <c r="H4674" s="78" t="str">
        <f t="shared" si="726"/>
        <v/>
      </c>
      <c r="I4674" s="25"/>
      <c r="J4674" s="25"/>
      <c r="K4674" s="26"/>
      <c r="L4674" s="26"/>
      <c r="M4674" s="37"/>
      <c r="N4674" s="27"/>
      <c r="O4674" s="30"/>
      <c r="P4674" s="39" t="str">
        <f t="shared" si="727"/>
        <v/>
      </c>
      <c r="Q4674" s="40" t="str">
        <f>IF(OR(T4674=0,RIGHT(T4674,1)=$W$1),"",COUNTIF($T$3:T4674,T4674))</f>
        <v/>
      </c>
      <c r="S4674" s="6">
        <f t="shared" si="728"/>
        <v>0</v>
      </c>
      <c r="T4674" s="36">
        <f t="shared" si="729"/>
        <v>0</v>
      </c>
      <c r="V4674" s="6">
        <f t="shared" si="730"/>
        <v>0</v>
      </c>
      <c r="Y4674" s="8">
        <f t="shared" si="731"/>
        <v>46023</v>
      </c>
    </row>
    <row r="4675" spans="2:25" ht="18.75" x14ac:dyDescent="0.3">
      <c r="B4675" s="6">
        <f t="shared" si="723"/>
        <v>0</v>
      </c>
      <c r="C4675" s="6">
        <f t="shared" si="724"/>
        <v>0</v>
      </c>
      <c r="D4675" s="6" t="str">
        <f t="shared" si="725"/>
        <v/>
      </c>
      <c r="E4675" s="35" t="str">
        <f t="shared" ref="E4675:E4738" si="732">IF(D4675&lt;&gt;"",D4675&amp;" - "&amp;YEAR(F4675),"")</f>
        <v/>
      </c>
      <c r="F4675" s="31"/>
      <c r="G4675" s="29"/>
      <c r="H4675" s="78" t="str">
        <f t="shared" si="726"/>
        <v/>
      </c>
      <c r="I4675" s="25"/>
      <c r="J4675" s="25"/>
      <c r="K4675" s="26"/>
      <c r="L4675" s="26"/>
      <c r="M4675" s="37"/>
      <c r="N4675" s="27"/>
      <c r="O4675" s="30"/>
      <c r="P4675" s="39" t="str">
        <f t="shared" si="727"/>
        <v/>
      </c>
      <c r="Q4675" s="40" t="str">
        <f>IF(OR(T4675=0,RIGHT(T4675,1)=$W$1),"",COUNTIF($T$3:T4675,T4675))</f>
        <v/>
      </c>
      <c r="S4675" s="6">
        <f t="shared" si="728"/>
        <v>0</v>
      </c>
      <c r="T4675" s="36">
        <f t="shared" si="729"/>
        <v>0</v>
      </c>
      <c r="V4675" s="6">
        <f t="shared" si="730"/>
        <v>0</v>
      </c>
      <c r="Y4675" s="8">
        <f t="shared" si="731"/>
        <v>46023</v>
      </c>
    </row>
    <row r="4676" spans="2:25" ht="18.75" x14ac:dyDescent="0.3">
      <c r="B4676" s="6">
        <f t="shared" ref="B4676:B4739" si="733">IF($B$1=YEAR(F4676),B4675+1,B4675)</f>
        <v>0</v>
      </c>
      <c r="C4676" s="6">
        <f t="shared" ref="C4676:C4739" si="734">IF(AND($C$1=K4676,$Y$1=YEAR(F4676)),C4675+1,C4675)</f>
        <v>0</v>
      </c>
      <c r="D4676" s="6" t="str">
        <f t="shared" ref="D4676:D4739" si="735">IF(F4676&lt;&gt;0,IF(YEAR(F4676)&lt;&gt;YEAR(F4675),1,IF(M4676=$AI$1,D4675,D4675+1)),"")</f>
        <v/>
      </c>
      <c r="E4676" s="35" t="str">
        <f t="shared" si="732"/>
        <v/>
      </c>
      <c r="F4676" s="31"/>
      <c r="G4676" s="29"/>
      <c r="H4676" s="78" t="str">
        <f t="shared" ref="H4676:H4739" si="736">IF(G4676&lt;&gt;"",F4676,"")</f>
        <v/>
      </c>
      <c r="I4676" s="25"/>
      <c r="J4676" s="25"/>
      <c r="K4676" s="26"/>
      <c r="L4676" s="26"/>
      <c r="M4676" s="37"/>
      <c r="N4676" s="27"/>
      <c r="O4676" s="30"/>
      <c r="P4676" s="39" t="str">
        <f t="shared" ref="P4676:P4739" si="737">IF(OR(T4676=0,RIGHT(T4676,1)=$W$1),"",VLOOKUP(K4676,$AD$1:$AK$15,5,FALSE))</f>
        <v/>
      </c>
      <c r="Q4676" s="40" t="str">
        <f>IF(OR(T4676=0,RIGHT(T4676,1)=$W$1),"",COUNTIF($T$3:T4676,T4676))</f>
        <v/>
      </c>
      <c r="S4676" s="6">
        <f t="shared" ref="S4676:S4739" si="738">IF(AND($C$1=K4676,$Y$1=YEAR(F4676)),C4676,0)</f>
        <v>0</v>
      </c>
      <c r="T4676" s="36">
        <f t="shared" ref="T4676:T4739" si="739">IF(F4676=0,0,YEAR(F4676)&amp;VLOOKUP(K4676,$AD$1:$AE$15,2,FALSE))</f>
        <v>0</v>
      </c>
      <c r="V4676" s="6">
        <f t="shared" ref="V4676:V4739" si="740">IF(AND(YEAR(F4676)=$Y$1,K4676=$C$1,L4676&amp;$V$1&lt;&gt;$V$1),L4676,IF(AND(YEAR(F4676)=$Y$1,K4676=$C$1),1,0))</f>
        <v>0</v>
      </c>
      <c r="Y4676" s="8">
        <f t="shared" ref="Y4676:Y4739" si="741">IF(M4676&lt;&gt;$AI$1,$Y$2,F4675)</f>
        <v>46023</v>
      </c>
    </row>
    <row r="4677" spans="2:25" ht="18.75" x14ac:dyDescent="0.3">
      <c r="B4677" s="6">
        <f t="shared" si="733"/>
        <v>0</v>
      </c>
      <c r="C4677" s="6">
        <f t="shared" si="734"/>
        <v>0</v>
      </c>
      <c r="D4677" s="6" t="str">
        <f t="shared" si="735"/>
        <v/>
      </c>
      <c r="E4677" s="35" t="str">
        <f t="shared" si="732"/>
        <v/>
      </c>
      <c r="F4677" s="31"/>
      <c r="G4677" s="29"/>
      <c r="H4677" s="78" t="str">
        <f t="shared" si="736"/>
        <v/>
      </c>
      <c r="I4677" s="25"/>
      <c r="J4677" s="25"/>
      <c r="K4677" s="26"/>
      <c r="L4677" s="26"/>
      <c r="M4677" s="37"/>
      <c r="N4677" s="27"/>
      <c r="O4677" s="30"/>
      <c r="P4677" s="39" t="str">
        <f t="shared" si="737"/>
        <v/>
      </c>
      <c r="Q4677" s="40" t="str">
        <f>IF(OR(T4677=0,RIGHT(T4677,1)=$W$1),"",COUNTIF($T$3:T4677,T4677))</f>
        <v/>
      </c>
      <c r="S4677" s="6">
        <f t="shared" si="738"/>
        <v>0</v>
      </c>
      <c r="T4677" s="36">
        <f t="shared" si="739"/>
        <v>0</v>
      </c>
      <c r="V4677" s="6">
        <f t="shared" si="740"/>
        <v>0</v>
      </c>
      <c r="Y4677" s="8">
        <f t="shared" si="741"/>
        <v>46023</v>
      </c>
    </row>
    <row r="4678" spans="2:25" ht="18.75" x14ac:dyDescent="0.3">
      <c r="B4678" s="6">
        <f t="shared" si="733"/>
        <v>0</v>
      </c>
      <c r="C4678" s="6">
        <f t="shared" si="734"/>
        <v>0</v>
      </c>
      <c r="D4678" s="6" t="str">
        <f t="shared" si="735"/>
        <v/>
      </c>
      <c r="E4678" s="35" t="str">
        <f t="shared" si="732"/>
        <v/>
      </c>
      <c r="F4678" s="31"/>
      <c r="G4678" s="29"/>
      <c r="H4678" s="78" t="str">
        <f t="shared" si="736"/>
        <v/>
      </c>
      <c r="I4678" s="25"/>
      <c r="J4678" s="25"/>
      <c r="K4678" s="26"/>
      <c r="L4678" s="26"/>
      <c r="M4678" s="37"/>
      <c r="N4678" s="27"/>
      <c r="O4678" s="30"/>
      <c r="P4678" s="39" t="str">
        <f t="shared" si="737"/>
        <v/>
      </c>
      <c r="Q4678" s="40" t="str">
        <f>IF(OR(T4678=0,RIGHT(T4678,1)=$W$1),"",COUNTIF($T$3:T4678,T4678))</f>
        <v/>
      </c>
      <c r="S4678" s="6">
        <f t="shared" si="738"/>
        <v>0</v>
      </c>
      <c r="T4678" s="36">
        <f t="shared" si="739"/>
        <v>0</v>
      </c>
      <c r="V4678" s="6">
        <f t="shared" si="740"/>
        <v>0</v>
      </c>
      <c r="Y4678" s="8">
        <f t="shared" si="741"/>
        <v>46023</v>
      </c>
    </row>
    <row r="4679" spans="2:25" ht="18.75" x14ac:dyDescent="0.3">
      <c r="B4679" s="6">
        <f t="shared" si="733"/>
        <v>0</v>
      </c>
      <c r="C4679" s="6">
        <f t="shared" si="734"/>
        <v>0</v>
      </c>
      <c r="D4679" s="6" t="str">
        <f t="shared" si="735"/>
        <v/>
      </c>
      <c r="E4679" s="35" t="str">
        <f t="shared" si="732"/>
        <v/>
      </c>
      <c r="F4679" s="31"/>
      <c r="G4679" s="29"/>
      <c r="H4679" s="78" t="str">
        <f t="shared" si="736"/>
        <v/>
      </c>
      <c r="I4679" s="25"/>
      <c r="J4679" s="25"/>
      <c r="K4679" s="26"/>
      <c r="L4679" s="26"/>
      <c r="M4679" s="37"/>
      <c r="N4679" s="27"/>
      <c r="O4679" s="30"/>
      <c r="P4679" s="39" t="str">
        <f t="shared" si="737"/>
        <v/>
      </c>
      <c r="Q4679" s="40" t="str">
        <f>IF(OR(T4679=0,RIGHT(T4679,1)=$W$1),"",COUNTIF($T$3:T4679,T4679))</f>
        <v/>
      </c>
      <c r="S4679" s="6">
        <f t="shared" si="738"/>
        <v>0</v>
      </c>
      <c r="T4679" s="36">
        <f t="shared" si="739"/>
        <v>0</v>
      </c>
      <c r="V4679" s="6">
        <f t="shared" si="740"/>
        <v>0</v>
      </c>
      <c r="Y4679" s="8">
        <f t="shared" si="741"/>
        <v>46023</v>
      </c>
    </row>
    <row r="4680" spans="2:25" ht="18.75" x14ac:dyDescent="0.3">
      <c r="B4680" s="6">
        <f t="shared" si="733"/>
        <v>0</v>
      </c>
      <c r="C4680" s="6">
        <f t="shared" si="734"/>
        <v>0</v>
      </c>
      <c r="D4680" s="6" t="str">
        <f t="shared" si="735"/>
        <v/>
      </c>
      <c r="E4680" s="35" t="str">
        <f t="shared" si="732"/>
        <v/>
      </c>
      <c r="F4680" s="31"/>
      <c r="G4680" s="29"/>
      <c r="H4680" s="78" t="str">
        <f t="shared" si="736"/>
        <v/>
      </c>
      <c r="I4680" s="25"/>
      <c r="J4680" s="25"/>
      <c r="K4680" s="26"/>
      <c r="L4680" s="26"/>
      <c r="M4680" s="37"/>
      <c r="N4680" s="27"/>
      <c r="O4680" s="30"/>
      <c r="P4680" s="39" t="str">
        <f t="shared" si="737"/>
        <v/>
      </c>
      <c r="Q4680" s="40" t="str">
        <f>IF(OR(T4680=0,RIGHT(T4680,1)=$W$1),"",COUNTIF($T$3:T4680,T4680))</f>
        <v/>
      </c>
      <c r="S4680" s="6">
        <f t="shared" si="738"/>
        <v>0</v>
      </c>
      <c r="T4680" s="36">
        <f t="shared" si="739"/>
        <v>0</v>
      </c>
      <c r="V4680" s="6">
        <f t="shared" si="740"/>
        <v>0</v>
      </c>
      <c r="Y4680" s="8">
        <f t="shared" si="741"/>
        <v>46023</v>
      </c>
    </row>
    <row r="4681" spans="2:25" ht="18.75" x14ac:dyDescent="0.3">
      <c r="B4681" s="6">
        <f t="shared" si="733"/>
        <v>0</v>
      </c>
      <c r="C4681" s="6">
        <f t="shared" si="734"/>
        <v>0</v>
      </c>
      <c r="D4681" s="6" t="str">
        <f t="shared" si="735"/>
        <v/>
      </c>
      <c r="E4681" s="35" t="str">
        <f t="shared" si="732"/>
        <v/>
      </c>
      <c r="F4681" s="31"/>
      <c r="G4681" s="29"/>
      <c r="H4681" s="78" t="str">
        <f t="shared" si="736"/>
        <v/>
      </c>
      <c r="I4681" s="25"/>
      <c r="J4681" s="25"/>
      <c r="K4681" s="26"/>
      <c r="L4681" s="26"/>
      <c r="M4681" s="37"/>
      <c r="N4681" s="27"/>
      <c r="O4681" s="30"/>
      <c r="P4681" s="39" t="str">
        <f t="shared" si="737"/>
        <v/>
      </c>
      <c r="Q4681" s="40" t="str">
        <f>IF(OR(T4681=0,RIGHT(T4681,1)=$W$1),"",COUNTIF($T$3:T4681,T4681))</f>
        <v/>
      </c>
      <c r="S4681" s="6">
        <f t="shared" si="738"/>
        <v>0</v>
      </c>
      <c r="T4681" s="36">
        <f t="shared" si="739"/>
        <v>0</v>
      </c>
      <c r="V4681" s="6">
        <f t="shared" si="740"/>
        <v>0</v>
      </c>
      <c r="Y4681" s="8">
        <f t="shared" si="741"/>
        <v>46023</v>
      </c>
    </row>
    <row r="4682" spans="2:25" ht="18.75" x14ac:dyDescent="0.3">
      <c r="B4682" s="6">
        <f t="shared" si="733"/>
        <v>0</v>
      </c>
      <c r="C4682" s="6">
        <f t="shared" si="734"/>
        <v>0</v>
      </c>
      <c r="D4682" s="6" t="str">
        <f t="shared" si="735"/>
        <v/>
      </c>
      <c r="E4682" s="35" t="str">
        <f t="shared" si="732"/>
        <v/>
      </c>
      <c r="F4682" s="31"/>
      <c r="G4682" s="29"/>
      <c r="H4682" s="78" t="str">
        <f t="shared" si="736"/>
        <v/>
      </c>
      <c r="I4682" s="25"/>
      <c r="J4682" s="25"/>
      <c r="K4682" s="26"/>
      <c r="L4682" s="26"/>
      <c r="M4682" s="37"/>
      <c r="N4682" s="27"/>
      <c r="O4682" s="30"/>
      <c r="P4682" s="39" t="str">
        <f t="shared" si="737"/>
        <v/>
      </c>
      <c r="Q4682" s="40" t="str">
        <f>IF(OR(T4682=0,RIGHT(T4682,1)=$W$1),"",COUNTIF($T$3:T4682,T4682))</f>
        <v/>
      </c>
      <c r="S4682" s="6">
        <f t="shared" si="738"/>
        <v>0</v>
      </c>
      <c r="T4682" s="36">
        <f t="shared" si="739"/>
        <v>0</v>
      </c>
      <c r="V4682" s="6">
        <f t="shared" si="740"/>
        <v>0</v>
      </c>
      <c r="Y4682" s="8">
        <f t="shared" si="741"/>
        <v>46023</v>
      </c>
    </row>
    <row r="4683" spans="2:25" ht="18.75" x14ac:dyDescent="0.3">
      <c r="B4683" s="6">
        <f t="shared" si="733"/>
        <v>0</v>
      </c>
      <c r="C4683" s="6">
        <f t="shared" si="734"/>
        <v>0</v>
      </c>
      <c r="D4683" s="6" t="str">
        <f t="shared" si="735"/>
        <v/>
      </c>
      <c r="E4683" s="35" t="str">
        <f t="shared" si="732"/>
        <v/>
      </c>
      <c r="F4683" s="31"/>
      <c r="G4683" s="29"/>
      <c r="H4683" s="78" t="str">
        <f t="shared" si="736"/>
        <v/>
      </c>
      <c r="I4683" s="25"/>
      <c r="J4683" s="25"/>
      <c r="K4683" s="26"/>
      <c r="L4683" s="26"/>
      <c r="M4683" s="37"/>
      <c r="N4683" s="27"/>
      <c r="O4683" s="30"/>
      <c r="P4683" s="39" t="str">
        <f t="shared" si="737"/>
        <v/>
      </c>
      <c r="Q4683" s="40" t="str">
        <f>IF(OR(T4683=0,RIGHT(T4683,1)=$W$1),"",COUNTIF($T$3:T4683,T4683))</f>
        <v/>
      </c>
      <c r="S4683" s="6">
        <f t="shared" si="738"/>
        <v>0</v>
      </c>
      <c r="T4683" s="36">
        <f t="shared" si="739"/>
        <v>0</v>
      </c>
      <c r="V4683" s="6">
        <f t="shared" si="740"/>
        <v>0</v>
      </c>
      <c r="Y4683" s="8">
        <f t="shared" si="741"/>
        <v>46023</v>
      </c>
    </row>
    <row r="4684" spans="2:25" ht="18.75" x14ac:dyDescent="0.3">
      <c r="B4684" s="6">
        <f t="shared" si="733"/>
        <v>0</v>
      </c>
      <c r="C4684" s="6">
        <f t="shared" si="734"/>
        <v>0</v>
      </c>
      <c r="D4684" s="6" t="str">
        <f t="shared" si="735"/>
        <v/>
      </c>
      <c r="E4684" s="35" t="str">
        <f t="shared" si="732"/>
        <v/>
      </c>
      <c r="F4684" s="31"/>
      <c r="G4684" s="29"/>
      <c r="H4684" s="78" t="str">
        <f t="shared" si="736"/>
        <v/>
      </c>
      <c r="I4684" s="25"/>
      <c r="J4684" s="25"/>
      <c r="K4684" s="26"/>
      <c r="L4684" s="26"/>
      <c r="M4684" s="37"/>
      <c r="N4684" s="27"/>
      <c r="O4684" s="30"/>
      <c r="P4684" s="39" t="str">
        <f t="shared" si="737"/>
        <v/>
      </c>
      <c r="Q4684" s="40" t="str">
        <f>IF(OR(T4684=0,RIGHT(T4684,1)=$W$1),"",COUNTIF($T$3:T4684,T4684))</f>
        <v/>
      </c>
      <c r="S4684" s="6">
        <f t="shared" si="738"/>
        <v>0</v>
      </c>
      <c r="T4684" s="36">
        <f t="shared" si="739"/>
        <v>0</v>
      </c>
      <c r="V4684" s="6">
        <f t="shared" si="740"/>
        <v>0</v>
      </c>
      <c r="Y4684" s="8">
        <f t="shared" si="741"/>
        <v>46023</v>
      </c>
    </row>
    <row r="4685" spans="2:25" ht="18.75" x14ac:dyDescent="0.3">
      <c r="B4685" s="6">
        <f t="shared" si="733"/>
        <v>0</v>
      </c>
      <c r="C4685" s="6">
        <f t="shared" si="734"/>
        <v>0</v>
      </c>
      <c r="D4685" s="6" t="str">
        <f t="shared" si="735"/>
        <v/>
      </c>
      <c r="E4685" s="35" t="str">
        <f t="shared" si="732"/>
        <v/>
      </c>
      <c r="F4685" s="31"/>
      <c r="G4685" s="29"/>
      <c r="H4685" s="78" t="str">
        <f t="shared" si="736"/>
        <v/>
      </c>
      <c r="I4685" s="25"/>
      <c r="J4685" s="25"/>
      <c r="K4685" s="26"/>
      <c r="L4685" s="26"/>
      <c r="M4685" s="37"/>
      <c r="N4685" s="27"/>
      <c r="O4685" s="30"/>
      <c r="P4685" s="39" t="str">
        <f t="shared" si="737"/>
        <v/>
      </c>
      <c r="Q4685" s="40" t="str">
        <f>IF(OR(T4685=0,RIGHT(T4685,1)=$W$1),"",COUNTIF($T$3:T4685,T4685))</f>
        <v/>
      </c>
      <c r="S4685" s="6">
        <f t="shared" si="738"/>
        <v>0</v>
      </c>
      <c r="T4685" s="36">
        <f t="shared" si="739"/>
        <v>0</v>
      </c>
      <c r="V4685" s="6">
        <f t="shared" si="740"/>
        <v>0</v>
      </c>
      <c r="Y4685" s="8">
        <f t="shared" si="741"/>
        <v>46023</v>
      </c>
    </row>
    <row r="4686" spans="2:25" ht="18.75" x14ac:dyDescent="0.3">
      <c r="B4686" s="6">
        <f t="shared" si="733"/>
        <v>0</v>
      </c>
      <c r="C4686" s="6">
        <f t="shared" si="734"/>
        <v>0</v>
      </c>
      <c r="D4686" s="6" t="str">
        <f t="shared" si="735"/>
        <v/>
      </c>
      <c r="E4686" s="35" t="str">
        <f t="shared" si="732"/>
        <v/>
      </c>
      <c r="F4686" s="31"/>
      <c r="G4686" s="29"/>
      <c r="H4686" s="78" t="str">
        <f t="shared" si="736"/>
        <v/>
      </c>
      <c r="I4686" s="25"/>
      <c r="J4686" s="25"/>
      <c r="K4686" s="26"/>
      <c r="L4686" s="26"/>
      <c r="M4686" s="37"/>
      <c r="N4686" s="27"/>
      <c r="O4686" s="30"/>
      <c r="P4686" s="39" t="str">
        <f t="shared" si="737"/>
        <v/>
      </c>
      <c r="Q4686" s="40" t="str">
        <f>IF(OR(T4686=0,RIGHT(T4686,1)=$W$1),"",COUNTIF($T$3:T4686,T4686))</f>
        <v/>
      </c>
      <c r="S4686" s="6">
        <f t="shared" si="738"/>
        <v>0</v>
      </c>
      <c r="T4686" s="36">
        <f t="shared" si="739"/>
        <v>0</v>
      </c>
      <c r="V4686" s="6">
        <f t="shared" si="740"/>
        <v>0</v>
      </c>
      <c r="Y4686" s="8">
        <f t="shared" si="741"/>
        <v>46023</v>
      </c>
    </row>
    <row r="4687" spans="2:25" ht="18.75" x14ac:dyDescent="0.3">
      <c r="B4687" s="6">
        <f t="shared" si="733"/>
        <v>0</v>
      </c>
      <c r="C4687" s="6">
        <f t="shared" si="734"/>
        <v>0</v>
      </c>
      <c r="D4687" s="6" t="str">
        <f t="shared" si="735"/>
        <v/>
      </c>
      <c r="E4687" s="35" t="str">
        <f t="shared" si="732"/>
        <v/>
      </c>
      <c r="F4687" s="31"/>
      <c r="G4687" s="29"/>
      <c r="H4687" s="78" t="str">
        <f t="shared" si="736"/>
        <v/>
      </c>
      <c r="I4687" s="25"/>
      <c r="J4687" s="25"/>
      <c r="K4687" s="26"/>
      <c r="L4687" s="26"/>
      <c r="M4687" s="37"/>
      <c r="N4687" s="27"/>
      <c r="O4687" s="30"/>
      <c r="P4687" s="39" t="str">
        <f t="shared" si="737"/>
        <v/>
      </c>
      <c r="Q4687" s="40" t="str">
        <f>IF(OR(T4687=0,RIGHT(T4687,1)=$W$1),"",COUNTIF($T$3:T4687,T4687))</f>
        <v/>
      </c>
      <c r="S4687" s="6">
        <f t="shared" si="738"/>
        <v>0</v>
      </c>
      <c r="T4687" s="36">
        <f t="shared" si="739"/>
        <v>0</v>
      </c>
      <c r="V4687" s="6">
        <f t="shared" si="740"/>
        <v>0</v>
      </c>
      <c r="Y4687" s="8">
        <f t="shared" si="741"/>
        <v>46023</v>
      </c>
    </row>
    <row r="4688" spans="2:25" ht="18.75" x14ac:dyDescent="0.3">
      <c r="B4688" s="6">
        <f t="shared" si="733"/>
        <v>0</v>
      </c>
      <c r="C4688" s="6">
        <f t="shared" si="734"/>
        <v>0</v>
      </c>
      <c r="D4688" s="6" t="str">
        <f t="shared" si="735"/>
        <v/>
      </c>
      <c r="E4688" s="35" t="str">
        <f t="shared" si="732"/>
        <v/>
      </c>
      <c r="F4688" s="31"/>
      <c r="G4688" s="29"/>
      <c r="H4688" s="78" t="str">
        <f t="shared" si="736"/>
        <v/>
      </c>
      <c r="I4688" s="25"/>
      <c r="J4688" s="25"/>
      <c r="K4688" s="26"/>
      <c r="L4688" s="26"/>
      <c r="M4688" s="37"/>
      <c r="N4688" s="27"/>
      <c r="O4688" s="30"/>
      <c r="P4688" s="39" t="str">
        <f t="shared" si="737"/>
        <v/>
      </c>
      <c r="Q4688" s="40" t="str">
        <f>IF(OR(T4688=0,RIGHT(T4688,1)=$W$1),"",COUNTIF($T$3:T4688,T4688))</f>
        <v/>
      </c>
      <c r="S4688" s="6">
        <f t="shared" si="738"/>
        <v>0</v>
      </c>
      <c r="T4688" s="36">
        <f t="shared" si="739"/>
        <v>0</v>
      </c>
      <c r="V4688" s="6">
        <f t="shared" si="740"/>
        <v>0</v>
      </c>
      <c r="Y4688" s="8">
        <f t="shared" si="741"/>
        <v>46023</v>
      </c>
    </row>
    <row r="4689" spans="2:25" ht="18.75" x14ac:dyDescent="0.3">
      <c r="B4689" s="6">
        <f t="shared" si="733"/>
        <v>0</v>
      </c>
      <c r="C4689" s="6">
        <f t="shared" si="734"/>
        <v>0</v>
      </c>
      <c r="D4689" s="6" t="str">
        <f t="shared" si="735"/>
        <v/>
      </c>
      <c r="E4689" s="35" t="str">
        <f t="shared" si="732"/>
        <v/>
      </c>
      <c r="F4689" s="31"/>
      <c r="G4689" s="29"/>
      <c r="H4689" s="78" t="str">
        <f t="shared" si="736"/>
        <v/>
      </c>
      <c r="I4689" s="25"/>
      <c r="J4689" s="25"/>
      <c r="K4689" s="26"/>
      <c r="L4689" s="26"/>
      <c r="M4689" s="37"/>
      <c r="N4689" s="27"/>
      <c r="O4689" s="30"/>
      <c r="P4689" s="39" t="str">
        <f t="shared" si="737"/>
        <v/>
      </c>
      <c r="Q4689" s="40" t="str">
        <f>IF(OR(T4689=0,RIGHT(T4689,1)=$W$1),"",COUNTIF($T$3:T4689,T4689))</f>
        <v/>
      </c>
      <c r="S4689" s="6">
        <f t="shared" si="738"/>
        <v>0</v>
      </c>
      <c r="T4689" s="36">
        <f t="shared" si="739"/>
        <v>0</v>
      </c>
      <c r="V4689" s="6">
        <f t="shared" si="740"/>
        <v>0</v>
      </c>
      <c r="Y4689" s="8">
        <f t="shared" si="741"/>
        <v>46023</v>
      </c>
    </row>
    <row r="4690" spans="2:25" ht="18.75" x14ac:dyDescent="0.3">
      <c r="B4690" s="6">
        <f t="shared" si="733"/>
        <v>0</v>
      </c>
      <c r="C4690" s="6">
        <f t="shared" si="734"/>
        <v>0</v>
      </c>
      <c r="D4690" s="6" t="str">
        <f t="shared" si="735"/>
        <v/>
      </c>
      <c r="E4690" s="35" t="str">
        <f t="shared" si="732"/>
        <v/>
      </c>
      <c r="F4690" s="31"/>
      <c r="G4690" s="29"/>
      <c r="H4690" s="78" t="str">
        <f t="shared" si="736"/>
        <v/>
      </c>
      <c r="I4690" s="25"/>
      <c r="J4690" s="25"/>
      <c r="K4690" s="26"/>
      <c r="L4690" s="26"/>
      <c r="M4690" s="37"/>
      <c r="N4690" s="27"/>
      <c r="O4690" s="30"/>
      <c r="P4690" s="39" t="str">
        <f t="shared" si="737"/>
        <v/>
      </c>
      <c r="Q4690" s="40" t="str">
        <f>IF(OR(T4690=0,RIGHT(T4690,1)=$W$1),"",COUNTIF($T$3:T4690,T4690))</f>
        <v/>
      </c>
      <c r="S4690" s="6">
        <f t="shared" si="738"/>
        <v>0</v>
      </c>
      <c r="T4690" s="36">
        <f t="shared" si="739"/>
        <v>0</v>
      </c>
      <c r="V4690" s="6">
        <f t="shared" si="740"/>
        <v>0</v>
      </c>
      <c r="Y4690" s="8">
        <f t="shared" si="741"/>
        <v>46023</v>
      </c>
    </row>
    <row r="4691" spans="2:25" ht="18.75" x14ac:dyDescent="0.3">
      <c r="B4691" s="6">
        <f t="shared" si="733"/>
        <v>0</v>
      </c>
      <c r="C4691" s="6">
        <f t="shared" si="734"/>
        <v>0</v>
      </c>
      <c r="D4691" s="6" t="str">
        <f t="shared" si="735"/>
        <v/>
      </c>
      <c r="E4691" s="35" t="str">
        <f t="shared" si="732"/>
        <v/>
      </c>
      <c r="F4691" s="31"/>
      <c r="G4691" s="29"/>
      <c r="H4691" s="78" t="str">
        <f t="shared" si="736"/>
        <v/>
      </c>
      <c r="I4691" s="25"/>
      <c r="J4691" s="25"/>
      <c r="K4691" s="26"/>
      <c r="L4691" s="26"/>
      <c r="M4691" s="37"/>
      <c r="N4691" s="27"/>
      <c r="O4691" s="30"/>
      <c r="P4691" s="39" t="str">
        <f t="shared" si="737"/>
        <v/>
      </c>
      <c r="Q4691" s="40" t="str">
        <f>IF(OR(T4691=0,RIGHT(T4691,1)=$W$1),"",COUNTIF($T$3:T4691,T4691))</f>
        <v/>
      </c>
      <c r="S4691" s="6">
        <f t="shared" si="738"/>
        <v>0</v>
      </c>
      <c r="T4691" s="36">
        <f t="shared" si="739"/>
        <v>0</v>
      </c>
      <c r="V4691" s="6">
        <f t="shared" si="740"/>
        <v>0</v>
      </c>
      <c r="Y4691" s="8">
        <f t="shared" si="741"/>
        <v>46023</v>
      </c>
    </row>
    <row r="4692" spans="2:25" ht="18.75" x14ac:dyDescent="0.3">
      <c r="B4692" s="6">
        <f t="shared" si="733"/>
        <v>0</v>
      </c>
      <c r="C4692" s="6">
        <f t="shared" si="734"/>
        <v>0</v>
      </c>
      <c r="D4692" s="6" t="str">
        <f t="shared" si="735"/>
        <v/>
      </c>
      <c r="E4692" s="35" t="str">
        <f t="shared" si="732"/>
        <v/>
      </c>
      <c r="F4692" s="31"/>
      <c r="G4692" s="29"/>
      <c r="H4692" s="78" t="str">
        <f t="shared" si="736"/>
        <v/>
      </c>
      <c r="I4692" s="25"/>
      <c r="J4692" s="25"/>
      <c r="K4692" s="26"/>
      <c r="L4692" s="26"/>
      <c r="M4692" s="37"/>
      <c r="N4692" s="27"/>
      <c r="O4692" s="30"/>
      <c r="P4692" s="39" t="str">
        <f t="shared" si="737"/>
        <v/>
      </c>
      <c r="Q4692" s="40" t="str">
        <f>IF(OR(T4692=0,RIGHT(T4692,1)=$W$1),"",COUNTIF($T$3:T4692,T4692))</f>
        <v/>
      </c>
      <c r="S4692" s="6">
        <f t="shared" si="738"/>
        <v>0</v>
      </c>
      <c r="T4692" s="36">
        <f t="shared" si="739"/>
        <v>0</v>
      </c>
      <c r="V4692" s="6">
        <f t="shared" si="740"/>
        <v>0</v>
      </c>
      <c r="Y4692" s="8">
        <f t="shared" si="741"/>
        <v>46023</v>
      </c>
    </row>
    <row r="4693" spans="2:25" ht="18.75" x14ac:dyDescent="0.3">
      <c r="B4693" s="6">
        <f t="shared" si="733"/>
        <v>0</v>
      </c>
      <c r="C4693" s="6">
        <f t="shared" si="734"/>
        <v>0</v>
      </c>
      <c r="D4693" s="6" t="str">
        <f t="shared" si="735"/>
        <v/>
      </c>
      <c r="E4693" s="35" t="str">
        <f t="shared" si="732"/>
        <v/>
      </c>
      <c r="F4693" s="31"/>
      <c r="G4693" s="29"/>
      <c r="H4693" s="78" t="str">
        <f t="shared" si="736"/>
        <v/>
      </c>
      <c r="I4693" s="25"/>
      <c r="J4693" s="25"/>
      <c r="K4693" s="26"/>
      <c r="L4693" s="26"/>
      <c r="M4693" s="37"/>
      <c r="N4693" s="27"/>
      <c r="O4693" s="30"/>
      <c r="P4693" s="39" t="str">
        <f t="shared" si="737"/>
        <v/>
      </c>
      <c r="Q4693" s="40" t="str">
        <f>IF(OR(T4693=0,RIGHT(T4693,1)=$W$1),"",COUNTIF($T$3:T4693,T4693))</f>
        <v/>
      </c>
      <c r="S4693" s="6">
        <f t="shared" si="738"/>
        <v>0</v>
      </c>
      <c r="T4693" s="36">
        <f t="shared" si="739"/>
        <v>0</v>
      </c>
      <c r="V4693" s="6">
        <f t="shared" si="740"/>
        <v>0</v>
      </c>
      <c r="Y4693" s="8">
        <f t="shared" si="741"/>
        <v>46023</v>
      </c>
    </row>
    <row r="4694" spans="2:25" ht="18.75" x14ac:dyDescent="0.3">
      <c r="B4694" s="6">
        <f t="shared" si="733"/>
        <v>0</v>
      </c>
      <c r="C4694" s="6">
        <f t="shared" si="734"/>
        <v>0</v>
      </c>
      <c r="D4694" s="6" t="str">
        <f t="shared" si="735"/>
        <v/>
      </c>
      <c r="E4694" s="35" t="str">
        <f t="shared" si="732"/>
        <v/>
      </c>
      <c r="F4694" s="31"/>
      <c r="G4694" s="29"/>
      <c r="H4694" s="78" t="str">
        <f t="shared" si="736"/>
        <v/>
      </c>
      <c r="I4694" s="25"/>
      <c r="J4694" s="25"/>
      <c r="K4694" s="26"/>
      <c r="L4694" s="26"/>
      <c r="M4694" s="37"/>
      <c r="N4694" s="27"/>
      <c r="O4694" s="30"/>
      <c r="P4694" s="39" t="str">
        <f t="shared" si="737"/>
        <v/>
      </c>
      <c r="Q4694" s="40" t="str">
        <f>IF(OR(T4694=0,RIGHT(T4694,1)=$W$1),"",COUNTIF($T$3:T4694,T4694))</f>
        <v/>
      </c>
      <c r="S4694" s="6">
        <f t="shared" si="738"/>
        <v>0</v>
      </c>
      <c r="T4694" s="36">
        <f t="shared" si="739"/>
        <v>0</v>
      </c>
      <c r="V4694" s="6">
        <f t="shared" si="740"/>
        <v>0</v>
      </c>
      <c r="Y4694" s="8">
        <f t="shared" si="741"/>
        <v>46023</v>
      </c>
    </row>
    <row r="4695" spans="2:25" ht="18.75" x14ac:dyDescent="0.3">
      <c r="B4695" s="6">
        <f t="shared" si="733"/>
        <v>0</v>
      </c>
      <c r="C4695" s="6">
        <f t="shared" si="734"/>
        <v>0</v>
      </c>
      <c r="D4695" s="6" t="str">
        <f t="shared" si="735"/>
        <v/>
      </c>
      <c r="E4695" s="35" t="str">
        <f t="shared" si="732"/>
        <v/>
      </c>
      <c r="F4695" s="31"/>
      <c r="G4695" s="29"/>
      <c r="H4695" s="78" t="str">
        <f t="shared" si="736"/>
        <v/>
      </c>
      <c r="I4695" s="25"/>
      <c r="J4695" s="25"/>
      <c r="K4695" s="26"/>
      <c r="L4695" s="26"/>
      <c r="M4695" s="37"/>
      <c r="N4695" s="27"/>
      <c r="O4695" s="30"/>
      <c r="P4695" s="39" t="str">
        <f t="shared" si="737"/>
        <v/>
      </c>
      <c r="Q4695" s="40" t="str">
        <f>IF(OR(T4695=0,RIGHT(T4695,1)=$W$1),"",COUNTIF($T$3:T4695,T4695))</f>
        <v/>
      </c>
      <c r="S4695" s="6">
        <f t="shared" si="738"/>
        <v>0</v>
      </c>
      <c r="T4695" s="36">
        <f t="shared" si="739"/>
        <v>0</v>
      </c>
      <c r="V4695" s="6">
        <f t="shared" si="740"/>
        <v>0</v>
      </c>
      <c r="Y4695" s="8">
        <f t="shared" si="741"/>
        <v>46023</v>
      </c>
    </row>
    <row r="4696" spans="2:25" ht="18.75" x14ac:dyDescent="0.3">
      <c r="B4696" s="6">
        <f t="shared" si="733"/>
        <v>0</v>
      </c>
      <c r="C4696" s="6">
        <f t="shared" si="734"/>
        <v>0</v>
      </c>
      <c r="D4696" s="6" t="str">
        <f t="shared" si="735"/>
        <v/>
      </c>
      <c r="E4696" s="35" t="str">
        <f t="shared" si="732"/>
        <v/>
      </c>
      <c r="F4696" s="31"/>
      <c r="G4696" s="29"/>
      <c r="H4696" s="78" t="str">
        <f t="shared" si="736"/>
        <v/>
      </c>
      <c r="I4696" s="25"/>
      <c r="J4696" s="25"/>
      <c r="K4696" s="26"/>
      <c r="L4696" s="26"/>
      <c r="M4696" s="37"/>
      <c r="N4696" s="27"/>
      <c r="O4696" s="30"/>
      <c r="P4696" s="39" t="str">
        <f t="shared" si="737"/>
        <v/>
      </c>
      <c r="Q4696" s="40" t="str">
        <f>IF(OR(T4696=0,RIGHT(T4696,1)=$W$1),"",COUNTIF($T$3:T4696,T4696))</f>
        <v/>
      </c>
      <c r="S4696" s="6">
        <f t="shared" si="738"/>
        <v>0</v>
      </c>
      <c r="T4696" s="36">
        <f t="shared" si="739"/>
        <v>0</v>
      </c>
      <c r="V4696" s="6">
        <f t="shared" si="740"/>
        <v>0</v>
      </c>
      <c r="Y4696" s="8">
        <f t="shared" si="741"/>
        <v>46023</v>
      </c>
    </row>
    <row r="4697" spans="2:25" ht="18.75" x14ac:dyDescent="0.3">
      <c r="B4697" s="6">
        <f t="shared" si="733"/>
        <v>0</v>
      </c>
      <c r="C4697" s="6">
        <f t="shared" si="734"/>
        <v>0</v>
      </c>
      <c r="D4697" s="6" t="str">
        <f t="shared" si="735"/>
        <v/>
      </c>
      <c r="E4697" s="35" t="str">
        <f t="shared" si="732"/>
        <v/>
      </c>
      <c r="F4697" s="31"/>
      <c r="G4697" s="29"/>
      <c r="H4697" s="78" t="str">
        <f t="shared" si="736"/>
        <v/>
      </c>
      <c r="I4697" s="25"/>
      <c r="J4697" s="25"/>
      <c r="K4697" s="26"/>
      <c r="L4697" s="26"/>
      <c r="M4697" s="37"/>
      <c r="N4697" s="27"/>
      <c r="O4697" s="30"/>
      <c r="P4697" s="39" t="str">
        <f t="shared" si="737"/>
        <v/>
      </c>
      <c r="Q4697" s="40" t="str">
        <f>IF(OR(T4697=0,RIGHT(T4697,1)=$W$1),"",COUNTIF($T$3:T4697,T4697))</f>
        <v/>
      </c>
      <c r="S4697" s="6">
        <f t="shared" si="738"/>
        <v>0</v>
      </c>
      <c r="T4697" s="36">
        <f t="shared" si="739"/>
        <v>0</v>
      </c>
      <c r="V4697" s="6">
        <f t="shared" si="740"/>
        <v>0</v>
      </c>
      <c r="Y4697" s="8">
        <f t="shared" si="741"/>
        <v>46023</v>
      </c>
    </row>
    <row r="4698" spans="2:25" ht="18.75" x14ac:dyDescent="0.3">
      <c r="B4698" s="6">
        <f t="shared" si="733"/>
        <v>0</v>
      </c>
      <c r="C4698" s="6">
        <f t="shared" si="734"/>
        <v>0</v>
      </c>
      <c r="D4698" s="6" t="str">
        <f t="shared" si="735"/>
        <v/>
      </c>
      <c r="E4698" s="35" t="str">
        <f t="shared" si="732"/>
        <v/>
      </c>
      <c r="F4698" s="31"/>
      <c r="G4698" s="29"/>
      <c r="H4698" s="78" t="str">
        <f t="shared" si="736"/>
        <v/>
      </c>
      <c r="I4698" s="25"/>
      <c r="J4698" s="25"/>
      <c r="K4698" s="26"/>
      <c r="L4698" s="26"/>
      <c r="M4698" s="37"/>
      <c r="N4698" s="27"/>
      <c r="O4698" s="30"/>
      <c r="P4698" s="39" t="str">
        <f t="shared" si="737"/>
        <v/>
      </c>
      <c r="Q4698" s="40" t="str">
        <f>IF(OR(T4698=0,RIGHT(T4698,1)=$W$1),"",COUNTIF($T$3:T4698,T4698))</f>
        <v/>
      </c>
      <c r="S4698" s="6">
        <f t="shared" si="738"/>
        <v>0</v>
      </c>
      <c r="T4698" s="36">
        <f t="shared" si="739"/>
        <v>0</v>
      </c>
      <c r="V4698" s="6">
        <f t="shared" si="740"/>
        <v>0</v>
      </c>
      <c r="Y4698" s="8">
        <f t="shared" si="741"/>
        <v>46023</v>
      </c>
    </row>
    <row r="4699" spans="2:25" ht="18.75" x14ac:dyDescent="0.3">
      <c r="B4699" s="6">
        <f t="shared" si="733"/>
        <v>0</v>
      </c>
      <c r="C4699" s="6">
        <f t="shared" si="734"/>
        <v>0</v>
      </c>
      <c r="D4699" s="6" t="str">
        <f t="shared" si="735"/>
        <v/>
      </c>
      <c r="E4699" s="35" t="str">
        <f t="shared" si="732"/>
        <v/>
      </c>
      <c r="F4699" s="31"/>
      <c r="G4699" s="29"/>
      <c r="H4699" s="78" t="str">
        <f t="shared" si="736"/>
        <v/>
      </c>
      <c r="I4699" s="25"/>
      <c r="J4699" s="25"/>
      <c r="K4699" s="26"/>
      <c r="L4699" s="26"/>
      <c r="M4699" s="37"/>
      <c r="N4699" s="27"/>
      <c r="O4699" s="30"/>
      <c r="P4699" s="39" t="str">
        <f t="shared" si="737"/>
        <v/>
      </c>
      <c r="Q4699" s="40" t="str">
        <f>IF(OR(T4699=0,RIGHT(T4699,1)=$W$1),"",COUNTIF($T$3:T4699,T4699))</f>
        <v/>
      </c>
      <c r="S4699" s="6">
        <f t="shared" si="738"/>
        <v>0</v>
      </c>
      <c r="T4699" s="36">
        <f t="shared" si="739"/>
        <v>0</v>
      </c>
      <c r="V4699" s="6">
        <f t="shared" si="740"/>
        <v>0</v>
      </c>
      <c r="Y4699" s="8">
        <f t="shared" si="741"/>
        <v>46023</v>
      </c>
    </row>
    <row r="4700" spans="2:25" ht="18.75" x14ac:dyDescent="0.3">
      <c r="B4700" s="6">
        <f t="shared" si="733"/>
        <v>0</v>
      </c>
      <c r="C4700" s="6">
        <f t="shared" si="734"/>
        <v>0</v>
      </c>
      <c r="D4700" s="6" t="str">
        <f t="shared" si="735"/>
        <v/>
      </c>
      <c r="E4700" s="35" t="str">
        <f t="shared" si="732"/>
        <v/>
      </c>
      <c r="F4700" s="31"/>
      <c r="G4700" s="29"/>
      <c r="H4700" s="78" t="str">
        <f t="shared" si="736"/>
        <v/>
      </c>
      <c r="I4700" s="25"/>
      <c r="J4700" s="25"/>
      <c r="K4700" s="26"/>
      <c r="L4700" s="26"/>
      <c r="M4700" s="37"/>
      <c r="N4700" s="27"/>
      <c r="O4700" s="30"/>
      <c r="P4700" s="39" t="str">
        <f t="shared" si="737"/>
        <v/>
      </c>
      <c r="Q4700" s="40" t="str">
        <f>IF(OR(T4700=0,RIGHT(T4700,1)=$W$1),"",COUNTIF($T$3:T4700,T4700))</f>
        <v/>
      </c>
      <c r="S4700" s="6">
        <f t="shared" si="738"/>
        <v>0</v>
      </c>
      <c r="T4700" s="36">
        <f t="shared" si="739"/>
        <v>0</v>
      </c>
      <c r="V4700" s="6">
        <f t="shared" si="740"/>
        <v>0</v>
      </c>
      <c r="Y4700" s="8">
        <f t="shared" si="741"/>
        <v>46023</v>
      </c>
    </row>
    <row r="4701" spans="2:25" ht="18.75" x14ac:dyDescent="0.3">
      <c r="B4701" s="6">
        <f t="shared" si="733"/>
        <v>0</v>
      </c>
      <c r="C4701" s="6">
        <f t="shared" si="734"/>
        <v>0</v>
      </c>
      <c r="D4701" s="6" t="str">
        <f t="shared" si="735"/>
        <v/>
      </c>
      <c r="E4701" s="35" t="str">
        <f t="shared" si="732"/>
        <v/>
      </c>
      <c r="F4701" s="31"/>
      <c r="G4701" s="29"/>
      <c r="H4701" s="78" t="str">
        <f t="shared" si="736"/>
        <v/>
      </c>
      <c r="I4701" s="25"/>
      <c r="J4701" s="25"/>
      <c r="K4701" s="26"/>
      <c r="L4701" s="26"/>
      <c r="M4701" s="37"/>
      <c r="N4701" s="27"/>
      <c r="O4701" s="30"/>
      <c r="P4701" s="39" t="str">
        <f t="shared" si="737"/>
        <v/>
      </c>
      <c r="Q4701" s="40" t="str">
        <f>IF(OR(T4701=0,RIGHT(T4701,1)=$W$1),"",COUNTIF($T$3:T4701,T4701))</f>
        <v/>
      </c>
      <c r="S4701" s="6">
        <f t="shared" si="738"/>
        <v>0</v>
      </c>
      <c r="T4701" s="36">
        <f t="shared" si="739"/>
        <v>0</v>
      </c>
      <c r="V4701" s="6">
        <f t="shared" si="740"/>
        <v>0</v>
      </c>
      <c r="Y4701" s="8">
        <f t="shared" si="741"/>
        <v>46023</v>
      </c>
    </row>
    <row r="4702" spans="2:25" ht="18.75" x14ac:dyDescent="0.3">
      <c r="B4702" s="6">
        <f t="shared" si="733"/>
        <v>0</v>
      </c>
      <c r="C4702" s="6">
        <f t="shared" si="734"/>
        <v>0</v>
      </c>
      <c r="D4702" s="6" t="str">
        <f t="shared" si="735"/>
        <v/>
      </c>
      <c r="E4702" s="35" t="str">
        <f t="shared" si="732"/>
        <v/>
      </c>
      <c r="F4702" s="31"/>
      <c r="G4702" s="29"/>
      <c r="H4702" s="78" t="str">
        <f t="shared" si="736"/>
        <v/>
      </c>
      <c r="I4702" s="25"/>
      <c r="J4702" s="25"/>
      <c r="K4702" s="26"/>
      <c r="L4702" s="26"/>
      <c r="M4702" s="37"/>
      <c r="N4702" s="27"/>
      <c r="O4702" s="30"/>
      <c r="P4702" s="39" t="str">
        <f t="shared" si="737"/>
        <v/>
      </c>
      <c r="Q4702" s="40" t="str">
        <f>IF(OR(T4702=0,RIGHT(T4702,1)=$W$1),"",COUNTIF($T$3:T4702,T4702))</f>
        <v/>
      </c>
      <c r="S4702" s="6">
        <f t="shared" si="738"/>
        <v>0</v>
      </c>
      <c r="T4702" s="36">
        <f t="shared" si="739"/>
        <v>0</v>
      </c>
      <c r="V4702" s="6">
        <f t="shared" si="740"/>
        <v>0</v>
      </c>
      <c r="Y4702" s="8">
        <f t="shared" si="741"/>
        <v>46023</v>
      </c>
    </row>
    <row r="4703" spans="2:25" ht="18.75" x14ac:dyDescent="0.3">
      <c r="B4703" s="6">
        <f t="shared" si="733"/>
        <v>0</v>
      </c>
      <c r="C4703" s="6">
        <f t="shared" si="734"/>
        <v>0</v>
      </c>
      <c r="D4703" s="6" t="str">
        <f t="shared" si="735"/>
        <v/>
      </c>
      <c r="E4703" s="35" t="str">
        <f t="shared" si="732"/>
        <v/>
      </c>
      <c r="F4703" s="31"/>
      <c r="G4703" s="29"/>
      <c r="H4703" s="78" t="str">
        <f t="shared" si="736"/>
        <v/>
      </c>
      <c r="I4703" s="25"/>
      <c r="J4703" s="25"/>
      <c r="K4703" s="26"/>
      <c r="L4703" s="26"/>
      <c r="M4703" s="37"/>
      <c r="N4703" s="27"/>
      <c r="O4703" s="30"/>
      <c r="P4703" s="39" t="str">
        <f t="shared" si="737"/>
        <v/>
      </c>
      <c r="Q4703" s="40" t="str">
        <f>IF(OR(T4703=0,RIGHT(T4703,1)=$W$1),"",COUNTIF($T$3:T4703,T4703))</f>
        <v/>
      </c>
      <c r="S4703" s="6">
        <f t="shared" si="738"/>
        <v>0</v>
      </c>
      <c r="T4703" s="36">
        <f t="shared" si="739"/>
        <v>0</v>
      </c>
      <c r="V4703" s="6">
        <f t="shared" si="740"/>
        <v>0</v>
      </c>
      <c r="Y4703" s="8">
        <f t="shared" si="741"/>
        <v>46023</v>
      </c>
    </row>
    <row r="4704" spans="2:25" ht="18.75" x14ac:dyDescent="0.3">
      <c r="B4704" s="6">
        <f t="shared" si="733"/>
        <v>0</v>
      </c>
      <c r="C4704" s="6">
        <f t="shared" si="734"/>
        <v>0</v>
      </c>
      <c r="D4704" s="6" t="str">
        <f t="shared" si="735"/>
        <v/>
      </c>
      <c r="E4704" s="35" t="str">
        <f t="shared" si="732"/>
        <v/>
      </c>
      <c r="F4704" s="31"/>
      <c r="G4704" s="29"/>
      <c r="H4704" s="78" t="str">
        <f t="shared" si="736"/>
        <v/>
      </c>
      <c r="I4704" s="25"/>
      <c r="J4704" s="25"/>
      <c r="K4704" s="26"/>
      <c r="L4704" s="26"/>
      <c r="M4704" s="37"/>
      <c r="N4704" s="27"/>
      <c r="O4704" s="30"/>
      <c r="P4704" s="39" t="str">
        <f t="shared" si="737"/>
        <v/>
      </c>
      <c r="Q4704" s="40" t="str">
        <f>IF(OR(T4704=0,RIGHT(T4704,1)=$W$1),"",COUNTIF($T$3:T4704,T4704))</f>
        <v/>
      </c>
      <c r="S4704" s="6">
        <f t="shared" si="738"/>
        <v>0</v>
      </c>
      <c r="T4704" s="36">
        <f t="shared" si="739"/>
        <v>0</v>
      </c>
      <c r="V4704" s="6">
        <f t="shared" si="740"/>
        <v>0</v>
      </c>
      <c r="Y4704" s="8">
        <f t="shared" si="741"/>
        <v>46023</v>
      </c>
    </row>
    <row r="4705" spans="2:25" ht="18.75" x14ac:dyDescent="0.3">
      <c r="B4705" s="6">
        <f t="shared" si="733"/>
        <v>0</v>
      </c>
      <c r="C4705" s="6">
        <f t="shared" si="734"/>
        <v>0</v>
      </c>
      <c r="D4705" s="6" t="str">
        <f t="shared" si="735"/>
        <v/>
      </c>
      <c r="E4705" s="35" t="str">
        <f t="shared" si="732"/>
        <v/>
      </c>
      <c r="F4705" s="31"/>
      <c r="G4705" s="29"/>
      <c r="H4705" s="78" t="str">
        <f t="shared" si="736"/>
        <v/>
      </c>
      <c r="I4705" s="25"/>
      <c r="J4705" s="25"/>
      <c r="K4705" s="26"/>
      <c r="L4705" s="26"/>
      <c r="M4705" s="37"/>
      <c r="N4705" s="27"/>
      <c r="O4705" s="30"/>
      <c r="P4705" s="39" t="str">
        <f t="shared" si="737"/>
        <v/>
      </c>
      <c r="Q4705" s="40" t="str">
        <f>IF(OR(T4705=0,RIGHT(T4705,1)=$W$1),"",COUNTIF($T$3:T4705,T4705))</f>
        <v/>
      </c>
      <c r="S4705" s="6">
        <f t="shared" si="738"/>
        <v>0</v>
      </c>
      <c r="T4705" s="36">
        <f t="shared" si="739"/>
        <v>0</v>
      </c>
      <c r="V4705" s="6">
        <f t="shared" si="740"/>
        <v>0</v>
      </c>
      <c r="Y4705" s="8">
        <f t="shared" si="741"/>
        <v>46023</v>
      </c>
    </row>
    <row r="4706" spans="2:25" ht="18.75" x14ac:dyDescent="0.3">
      <c r="B4706" s="6">
        <f t="shared" si="733"/>
        <v>0</v>
      </c>
      <c r="C4706" s="6">
        <f t="shared" si="734"/>
        <v>0</v>
      </c>
      <c r="D4706" s="6" t="str">
        <f t="shared" si="735"/>
        <v/>
      </c>
      <c r="E4706" s="35" t="str">
        <f t="shared" si="732"/>
        <v/>
      </c>
      <c r="F4706" s="31"/>
      <c r="G4706" s="29"/>
      <c r="H4706" s="78" t="str">
        <f t="shared" si="736"/>
        <v/>
      </c>
      <c r="I4706" s="25"/>
      <c r="J4706" s="25"/>
      <c r="K4706" s="26"/>
      <c r="L4706" s="26"/>
      <c r="M4706" s="37"/>
      <c r="N4706" s="27"/>
      <c r="O4706" s="30"/>
      <c r="P4706" s="39" t="str">
        <f t="shared" si="737"/>
        <v/>
      </c>
      <c r="Q4706" s="40" t="str">
        <f>IF(OR(T4706=0,RIGHT(T4706,1)=$W$1),"",COUNTIF($T$3:T4706,T4706))</f>
        <v/>
      </c>
      <c r="S4706" s="6">
        <f t="shared" si="738"/>
        <v>0</v>
      </c>
      <c r="T4706" s="36">
        <f t="shared" si="739"/>
        <v>0</v>
      </c>
      <c r="V4706" s="6">
        <f t="shared" si="740"/>
        <v>0</v>
      </c>
      <c r="Y4706" s="8">
        <f t="shared" si="741"/>
        <v>46023</v>
      </c>
    </row>
    <row r="4707" spans="2:25" ht="18.75" x14ac:dyDescent="0.3">
      <c r="B4707" s="6">
        <f t="shared" si="733"/>
        <v>0</v>
      </c>
      <c r="C4707" s="6">
        <f t="shared" si="734"/>
        <v>0</v>
      </c>
      <c r="D4707" s="6" t="str">
        <f t="shared" si="735"/>
        <v/>
      </c>
      <c r="E4707" s="35" t="str">
        <f t="shared" si="732"/>
        <v/>
      </c>
      <c r="F4707" s="31"/>
      <c r="G4707" s="29"/>
      <c r="H4707" s="78" t="str">
        <f t="shared" si="736"/>
        <v/>
      </c>
      <c r="I4707" s="25"/>
      <c r="J4707" s="25"/>
      <c r="K4707" s="26"/>
      <c r="L4707" s="26"/>
      <c r="M4707" s="37"/>
      <c r="N4707" s="27"/>
      <c r="O4707" s="30"/>
      <c r="P4707" s="39" t="str">
        <f t="shared" si="737"/>
        <v/>
      </c>
      <c r="Q4707" s="40" t="str">
        <f>IF(OR(T4707=0,RIGHT(T4707,1)=$W$1),"",COUNTIF($T$3:T4707,T4707))</f>
        <v/>
      </c>
      <c r="S4707" s="6">
        <f t="shared" si="738"/>
        <v>0</v>
      </c>
      <c r="T4707" s="36">
        <f t="shared" si="739"/>
        <v>0</v>
      </c>
      <c r="V4707" s="6">
        <f t="shared" si="740"/>
        <v>0</v>
      </c>
      <c r="Y4707" s="8">
        <f t="shared" si="741"/>
        <v>46023</v>
      </c>
    </row>
    <row r="4708" spans="2:25" ht="18.75" x14ac:dyDescent="0.3">
      <c r="B4708" s="6">
        <f t="shared" si="733"/>
        <v>0</v>
      </c>
      <c r="C4708" s="6">
        <f t="shared" si="734"/>
        <v>0</v>
      </c>
      <c r="D4708" s="6" t="str">
        <f t="shared" si="735"/>
        <v/>
      </c>
      <c r="E4708" s="35" t="str">
        <f t="shared" si="732"/>
        <v/>
      </c>
      <c r="F4708" s="31"/>
      <c r="G4708" s="29"/>
      <c r="H4708" s="78" t="str">
        <f t="shared" si="736"/>
        <v/>
      </c>
      <c r="I4708" s="25"/>
      <c r="J4708" s="25"/>
      <c r="K4708" s="26"/>
      <c r="L4708" s="26"/>
      <c r="M4708" s="37"/>
      <c r="N4708" s="27"/>
      <c r="O4708" s="30"/>
      <c r="P4708" s="39" t="str">
        <f t="shared" si="737"/>
        <v/>
      </c>
      <c r="Q4708" s="40" t="str">
        <f>IF(OR(T4708=0,RIGHT(T4708,1)=$W$1),"",COUNTIF($T$3:T4708,T4708))</f>
        <v/>
      </c>
      <c r="S4708" s="6">
        <f t="shared" si="738"/>
        <v>0</v>
      </c>
      <c r="T4708" s="36">
        <f t="shared" si="739"/>
        <v>0</v>
      </c>
      <c r="V4708" s="6">
        <f t="shared" si="740"/>
        <v>0</v>
      </c>
      <c r="Y4708" s="8">
        <f t="shared" si="741"/>
        <v>46023</v>
      </c>
    </row>
    <row r="4709" spans="2:25" ht="18.75" x14ac:dyDescent="0.3">
      <c r="B4709" s="6">
        <f t="shared" si="733"/>
        <v>0</v>
      </c>
      <c r="C4709" s="6">
        <f t="shared" si="734"/>
        <v>0</v>
      </c>
      <c r="D4709" s="6" t="str">
        <f t="shared" si="735"/>
        <v/>
      </c>
      <c r="E4709" s="35" t="str">
        <f t="shared" si="732"/>
        <v/>
      </c>
      <c r="F4709" s="31"/>
      <c r="G4709" s="29"/>
      <c r="H4709" s="78" t="str">
        <f t="shared" si="736"/>
        <v/>
      </c>
      <c r="I4709" s="25"/>
      <c r="J4709" s="25"/>
      <c r="K4709" s="26"/>
      <c r="L4709" s="26"/>
      <c r="M4709" s="37"/>
      <c r="N4709" s="27"/>
      <c r="O4709" s="30"/>
      <c r="P4709" s="39" t="str">
        <f t="shared" si="737"/>
        <v/>
      </c>
      <c r="Q4709" s="40" t="str">
        <f>IF(OR(T4709=0,RIGHT(T4709,1)=$W$1),"",COUNTIF($T$3:T4709,T4709))</f>
        <v/>
      </c>
      <c r="S4709" s="6">
        <f t="shared" si="738"/>
        <v>0</v>
      </c>
      <c r="T4709" s="36">
        <f t="shared" si="739"/>
        <v>0</v>
      </c>
      <c r="V4709" s="6">
        <f t="shared" si="740"/>
        <v>0</v>
      </c>
      <c r="Y4709" s="8">
        <f t="shared" si="741"/>
        <v>46023</v>
      </c>
    </row>
    <row r="4710" spans="2:25" ht="18.75" x14ac:dyDescent="0.3">
      <c r="B4710" s="6">
        <f t="shared" si="733"/>
        <v>0</v>
      </c>
      <c r="C4710" s="6">
        <f t="shared" si="734"/>
        <v>0</v>
      </c>
      <c r="D4710" s="6" t="str">
        <f t="shared" si="735"/>
        <v/>
      </c>
      <c r="E4710" s="35" t="str">
        <f t="shared" si="732"/>
        <v/>
      </c>
      <c r="F4710" s="31"/>
      <c r="G4710" s="29"/>
      <c r="H4710" s="78" t="str">
        <f t="shared" si="736"/>
        <v/>
      </c>
      <c r="I4710" s="25"/>
      <c r="J4710" s="25"/>
      <c r="K4710" s="26"/>
      <c r="L4710" s="26"/>
      <c r="M4710" s="37"/>
      <c r="N4710" s="27"/>
      <c r="O4710" s="30"/>
      <c r="P4710" s="39" t="str">
        <f t="shared" si="737"/>
        <v/>
      </c>
      <c r="Q4710" s="40" t="str">
        <f>IF(OR(T4710=0,RIGHT(T4710,1)=$W$1),"",COUNTIF($T$3:T4710,T4710))</f>
        <v/>
      </c>
      <c r="S4710" s="6">
        <f t="shared" si="738"/>
        <v>0</v>
      </c>
      <c r="T4710" s="36">
        <f t="shared" si="739"/>
        <v>0</v>
      </c>
      <c r="V4710" s="6">
        <f t="shared" si="740"/>
        <v>0</v>
      </c>
      <c r="Y4710" s="8">
        <f t="shared" si="741"/>
        <v>46023</v>
      </c>
    </row>
    <row r="4711" spans="2:25" ht="18.75" x14ac:dyDescent="0.3">
      <c r="B4711" s="6">
        <f t="shared" si="733"/>
        <v>0</v>
      </c>
      <c r="C4711" s="6">
        <f t="shared" si="734"/>
        <v>0</v>
      </c>
      <c r="D4711" s="6" t="str">
        <f t="shared" si="735"/>
        <v/>
      </c>
      <c r="E4711" s="35" t="str">
        <f t="shared" si="732"/>
        <v/>
      </c>
      <c r="F4711" s="31"/>
      <c r="G4711" s="29"/>
      <c r="H4711" s="78" t="str">
        <f t="shared" si="736"/>
        <v/>
      </c>
      <c r="I4711" s="25"/>
      <c r="J4711" s="25"/>
      <c r="K4711" s="26"/>
      <c r="L4711" s="26"/>
      <c r="M4711" s="37"/>
      <c r="N4711" s="27"/>
      <c r="O4711" s="30"/>
      <c r="P4711" s="39" t="str">
        <f t="shared" si="737"/>
        <v/>
      </c>
      <c r="Q4711" s="40" t="str">
        <f>IF(OR(T4711=0,RIGHT(T4711,1)=$W$1),"",COUNTIF($T$3:T4711,T4711))</f>
        <v/>
      </c>
      <c r="S4711" s="6">
        <f t="shared" si="738"/>
        <v>0</v>
      </c>
      <c r="T4711" s="36">
        <f t="shared" si="739"/>
        <v>0</v>
      </c>
      <c r="V4711" s="6">
        <f t="shared" si="740"/>
        <v>0</v>
      </c>
      <c r="Y4711" s="8">
        <f t="shared" si="741"/>
        <v>46023</v>
      </c>
    </row>
    <row r="4712" spans="2:25" ht="18.75" x14ac:dyDescent="0.3">
      <c r="B4712" s="6">
        <f t="shared" si="733"/>
        <v>0</v>
      </c>
      <c r="C4712" s="6">
        <f t="shared" si="734"/>
        <v>0</v>
      </c>
      <c r="D4712" s="6" t="str">
        <f t="shared" si="735"/>
        <v/>
      </c>
      <c r="E4712" s="35" t="str">
        <f t="shared" si="732"/>
        <v/>
      </c>
      <c r="F4712" s="31"/>
      <c r="G4712" s="29"/>
      <c r="H4712" s="78" t="str">
        <f t="shared" si="736"/>
        <v/>
      </c>
      <c r="I4712" s="25"/>
      <c r="J4712" s="25"/>
      <c r="K4712" s="26"/>
      <c r="L4712" s="26"/>
      <c r="M4712" s="37"/>
      <c r="N4712" s="27"/>
      <c r="O4712" s="30"/>
      <c r="P4712" s="39" t="str">
        <f t="shared" si="737"/>
        <v/>
      </c>
      <c r="Q4712" s="40" t="str">
        <f>IF(OR(T4712=0,RIGHT(T4712,1)=$W$1),"",COUNTIF($T$3:T4712,T4712))</f>
        <v/>
      </c>
      <c r="S4712" s="6">
        <f t="shared" si="738"/>
        <v>0</v>
      </c>
      <c r="T4712" s="36">
        <f t="shared" si="739"/>
        <v>0</v>
      </c>
      <c r="V4712" s="6">
        <f t="shared" si="740"/>
        <v>0</v>
      </c>
      <c r="Y4712" s="8">
        <f t="shared" si="741"/>
        <v>46023</v>
      </c>
    </row>
    <row r="4713" spans="2:25" ht="18.75" x14ac:dyDescent="0.3">
      <c r="B4713" s="6">
        <f t="shared" si="733"/>
        <v>0</v>
      </c>
      <c r="C4713" s="6">
        <f t="shared" si="734"/>
        <v>0</v>
      </c>
      <c r="D4713" s="6" t="str">
        <f t="shared" si="735"/>
        <v/>
      </c>
      <c r="E4713" s="35" t="str">
        <f t="shared" si="732"/>
        <v/>
      </c>
      <c r="F4713" s="31"/>
      <c r="G4713" s="29"/>
      <c r="H4713" s="78" t="str">
        <f t="shared" si="736"/>
        <v/>
      </c>
      <c r="I4713" s="25"/>
      <c r="J4713" s="25"/>
      <c r="K4713" s="26"/>
      <c r="L4713" s="26"/>
      <c r="M4713" s="37"/>
      <c r="N4713" s="27"/>
      <c r="O4713" s="30"/>
      <c r="P4713" s="39" t="str">
        <f t="shared" si="737"/>
        <v/>
      </c>
      <c r="Q4713" s="40" t="str">
        <f>IF(OR(T4713=0,RIGHT(T4713,1)=$W$1),"",COUNTIF($T$3:T4713,T4713))</f>
        <v/>
      </c>
      <c r="S4713" s="6">
        <f t="shared" si="738"/>
        <v>0</v>
      </c>
      <c r="T4713" s="36">
        <f t="shared" si="739"/>
        <v>0</v>
      </c>
      <c r="V4713" s="6">
        <f t="shared" si="740"/>
        <v>0</v>
      </c>
      <c r="Y4713" s="8">
        <f t="shared" si="741"/>
        <v>46023</v>
      </c>
    </row>
    <row r="4714" spans="2:25" ht="18.75" x14ac:dyDescent="0.3">
      <c r="B4714" s="6">
        <f t="shared" si="733"/>
        <v>0</v>
      </c>
      <c r="C4714" s="6">
        <f t="shared" si="734"/>
        <v>0</v>
      </c>
      <c r="D4714" s="6" t="str">
        <f t="shared" si="735"/>
        <v/>
      </c>
      <c r="E4714" s="35" t="str">
        <f t="shared" si="732"/>
        <v/>
      </c>
      <c r="F4714" s="31"/>
      <c r="G4714" s="29"/>
      <c r="H4714" s="78" t="str">
        <f t="shared" si="736"/>
        <v/>
      </c>
      <c r="I4714" s="25"/>
      <c r="J4714" s="25"/>
      <c r="K4714" s="26"/>
      <c r="L4714" s="26"/>
      <c r="M4714" s="37"/>
      <c r="N4714" s="27"/>
      <c r="O4714" s="30"/>
      <c r="P4714" s="39" t="str">
        <f t="shared" si="737"/>
        <v/>
      </c>
      <c r="Q4714" s="40" t="str">
        <f>IF(OR(T4714=0,RIGHT(T4714,1)=$W$1),"",COUNTIF($T$3:T4714,T4714))</f>
        <v/>
      </c>
      <c r="S4714" s="6">
        <f t="shared" si="738"/>
        <v>0</v>
      </c>
      <c r="T4714" s="36">
        <f t="shared" si="739"/>
        <v>0</v>
      </c>
      <c r="V4714" s="6">
        <f t="shared" si="740"/>
        <v>0</v>
      </c>
      <c r="Y4714" s="8">
        <f t="shared" si="741"/>
        <v>46023</v>
      </c>
    </row>
    <row r="4715" spans="2:25" ht="18.75" x14ac:dyDescent="0.3">
      <c r="B4715" s="6">
        <f t="shared" si="733"/>
        <v>0</v>
      </c>
      <c r="C4715" s="6">
        <f t="shared" si="734"/>
        <v>0</v>
      </c>
      <c r="D4715" s="6" t="str">
        <f t="shared" si="735"/>
        <v/>
      </c>
      <c r="E4715" s="35" t="str">
        <f t="shared" si="732"/>
        <v/>
      </c>
      <c r="F4715" s="31"/>
      <c r="G4715" s="29"/>
      <c r="H4715" s="78" t="str">
        <f t="shared" si="736"/>
        <v/>
      </c>
      <c r="I4715" s="25"/>
      <c r="J4715" s="25"/>
      <c r="K4715" s="26"/>
      <c r="L4715" s="26"/>
      <c r="M4715" s="37"/>
      <c r="N4715" s="27"/>
      <c r="O4715" s="30"/>
      <c r="P4715" s="39" t="str">
        <f t="shared" si="737"/>
        <v/>
      </c>
      <c r="Q4715" s="40" t="str">
        <f>IF(OR(T4715=0,RIGHT(T4715,1)=$W$1),"",COUNTIF($T$3:T4715,T4715))</f>
        <v/>
      </c>
      <c r="S4715" s="6">
        <f t="shared" si="738"/>
        <v>0</v>
      </c>
      <c r="T4715" s="36">
        <f t="shared" si="739"/>
        <v>0</v>
      </c>
      <c r="V4715" s="6">
        <f t="shared" si="740"/>
        <v>0</v>
      </c>
      <c r="Y4715" s="8">
        <f t="shared" si="741"/>
        <v>46023</v>
      </c>
    </row>
    <row r="4716" spans="2:25" ht="18.75" x14ac:dyDescent="0.3">
      <c r="B4716" s="6">
        <f t="shared" si="733"/>
        <v>0</v>
      </c>
      <c r="C4716" s="6">
        <f t="shared" si="734"/>
        <v>0</v>
      </c>
      <c r="D4716" s="6" t="str">
        <f t="shared" si="735"/>
        <v/>
      </c>
      <c r="E4716" s="35" t="str">
        <f t="shared" si="732"/>
        <v/>
      </c>
      <c r="F4716" s="31"/>
      <c r="G4716" s="29"/>
      <c r="H4716" s="78" t="str">
        <f t="shared" si="736"/>
        <v/>
      </c>
      <c r="I4716" s="25"/>
      <c r="J4716" s="25"/>
      <c r="K4716" s="26"/>
      <c r="L4716" s="26"/>
      <c r="M4716" s="37"/>
      <c r="N4716" s="27"/>
      <c r="O4716" s="30"/>
      <c r="P4716" s="39" t="str">
        <f t="shared" si="737"/>
        <v/>
      </c>
      <c r="Q4716" s="40" t="str">
        <f>IF(OR(T4716=0,RIGHT(T4716,1)=$W$1),"",COUNTIF($T$3:T4716,T4716))</f>
        <v/>
      </c>
      <c r="S4716" s="6">
        <f t="shared" si="738"/>
        <v>0</v>
      </c>
      <c r="T4716" s="36">
        <f t="shared" si="739"/>
        <v>0</v>
      </c>
      <c r="V4716" s="6">
        <f t="shared" si="740"/>
        <v>0</v>
      </c>
      <c r="Y4716" s="8">
        <f t="shared" si="741"/>
        <v>46023</v>
      </c>
    </row>
    <row r="4717" spans="2:25" ht="18.75" x14ac:dyDescent="0.3">
      <c r="B4717" s="6">
        <f t="shared" si="733"/>
        <v>0</v>
      </c>
      <c r="C4717" s="6">
        <f t="shared" si="734"/>
        <v>0</v>
      </c>
      <c r="D4717" s="6" t="str">
        <f t="shared" si="735"/>
        <v/>
      </c>
      <c r="E4717" s="35" t="str">
        <f t="shared" si="732"/>
        <v/>
      </c>
      <c r="F4717" s="31"/>
      <c r="G4717" s="29"/>
      <c r="H4717" s="78" t="str">
        <f t="shared" si="736"/>
        <v/>
      </c>
      <c r="I4717" s="25"/>
      <c r="J4717" s="25"/>
      <c r="K4717" s="26"/>
      <c r="L4717" s="26"/>
      <c r="M4717" s="37"/>
      <c r="N4717" s="27"/>
      <c r="O4717" s="30"/>
      <c r="P4717" s="39" t="str">
        <f t="shared" si="737"/>
        <v/>
      </c>
      <c r="Q4717" s="40" t="str">
        <f>IF(OR(T4717=0,RIGHT(T4717,1)=$W$1),"",COUNTIF($T$3:T4717,T4717))</f>
        <v/>
      </c>
      <c r="S4717" s="6">
        <f t="shared" si="738"/>
        <v>0</v>
      </c>
      <c r="T4717" s="36">
        <f t="shared" si="739"/>
        <v>0</v>
      </c>
      <c r="V4717" s="6">
        <f t="shared" si="740"/>
        <v>0</v>
      </c>
      <c r="Y4717" s="8">
        <f t="shared" si="741"/>
        <v>46023</v>
      </c>
    </row>
    <row r="4718" spans="2:25" ht="18.75" x14ac:dyDescent="0.3">
      <c r="B4718" s="6">
        <f t="shared" si="733"/>
        <v>0</v>
      </c>
      <c r="C4718" s="6">
        <f t="shared" si="734"/>
        <v>0</v>
      </c>
      <c r="D4718" s="6" t="str">
        <f t="shared" si="735"/>
        <v/>
      </c>
      <c r="E4718" s="35" t="str">
        <f t="shared" si="732"/>
        <v/>
      </c>
      <c r="F4718" s="31"/>
      <c r="G4718" s="29"/>
      <c r="H4718" s="78" t="str">
        <f t="shared" si="736"/>
        <v/>
      </c>
      <c r="I4718" s="25"/>
      <c r="J4718" s="25"/>
      <c r="K4718" s="26"/>
      <c r="L4718" s="26"/>
      <c r="M4718" s="37"/>
      <c r="N4718" s="27"/>
      <c r="O4718" s="30"/>
      <c r="P4718" s="39" t="str">
        <f t="shared" si="737"/>
        <v/>
      </c>
      <c r="Q4718" s="40" t="str">
        <f>IF(OR(T4718=0,RIGHT(T4718,1)=$W$1),"",COUNTIF($T$3:T4718,T4718))</f>
        <v/>
      </c>
      <c r="S4718" s="6">
        <f t="shared" si="738"/>
        <v>0</v>
      </c>
      <c r="T4718" s="36">
        <f t="shared" si="739"/>
        <v>0</v>
      </c>
      <c r="V4718" s="6">
        <f t="shared" si="740"/>
        <v>0</v>
      </c>
      <c r="Y4718" s="8">
        <f t="shared" si="741"/>
        <v>46023</v>
      </c>
    </row>
    <row r="4719" spans="2:25" ht="18.75" x14ac:dyDescent="0.3">
      <c r="B4719" s="6">
        <f t="shared" si="733"/>
        <v>0</v>
      </c>
      <c r="C4719" s="6">
        <f t="shared" si="734"/>
        <v>0</v>
      </c>
      <c r="D4719" s="6" t="str">
        <f t="shared" si="735"/>
        <v/>
      </c>
      <c r="E4719" s="35" t="str">
        <f t="shared" si="732"/>
        <v/>
      </c>
      <c r="F4719" s="31"/>
      <c r="G4719" s="29"/>
      <c r="H4719" s="78" t="str">
        <f t="shared" si="736"/>
        <v/>
      </c>
      <c r="I4719" s="25"/>
      <c r="J4719" s="25"/>
      <c r="K4719" s="26"/>
      <c r="L4719" s="26"/>
      <c r="M4719" s="37"/>
      <c r="N4719" s="27"/>
      <c r="O4719" s="30"/>
      <c r="P4719" s="39" t="str">
        <f t="shared" si="737"/>
        <v/>
      </c>
      <c r="Q4719" s="40" t="str">
        <f>IF(OR(T4719=0,RIGHT(T4719,1)=$W$1),"",COUNTIF($T$3:T4719,T4719))</f>
        <v/>
      </c>
      <c r="S4719" s="6">
        <f t="shared" si="738"/>
        <v>0</v>
      </c>
      <c r="T4719" s="36">
        <f t="shared" si="739"/>
        <v>0</v>
      </c>
      <c r="V4719" s="6">
        <f t="shared" si="740"/>
        <v>0</v>
      </c>
      <c r="Y4719" s="8">
        <f t="shared" si="741"/>
        <v>46023</v>
      </c>
    </row>
    <row r="4720" spans="2:25" ht="18.75" x14ac:dyDescent="0.3">
      <c r="B4720" s="6">
        <f t="shared" si="733"/>
        <v>0</v>
      </c>
      <c r="C4720" s="6">
        <f t="shared" si="734"/>
        <v>0</v>
      </c>
      <c r="D4720" s="6" t="str">
        <f t="shared" si="735"/>
        <v/>
      </c>
      <c r="E4720" s="35" t="str">
        <f t="shared" si="732"/>
        <v/>
      </c>
      <c r="F4720" s="31"/>
      <c r="G4720" s="29"/>
      <c r="H4720" s="78" t="str">
        <f t="shared" si="736"/>
        <v/>
      </c>
      <c r="I4720" s="25"/>
      <c r="J4720" s="25"/>
      <c r="K4720" s="26"/>
      <c r="L4720" s="26"/>
      <c r="M4720" s="37"/>
      <c r="N4720" s="27"/>
      <c r="O4720" s="30"/>
      <c r="P4720" s="39" t="str">
        <f t="shared" si="737"/>
        <v/>
      </c>
      <c r="Q4720" s="40" t="str">
        <f>IF(OR(T4720=0,RIGHT(T4720,1)=$W$1),"",COUNTIF($T$3:T4720,T4720))</f>
        <v/>
      </c>
      <c r="S4720" s="6">
        <f t="shared" si="738"/>
        <v>0</v>
      </c>
      <c r="T4720" s="36">
        <f t="shared" si="739"/>
        <v>0</v>
      </c>
      <c r="V4720" s="6">
        <f t="shared" si="740"/>
        <v>0</v>
      </c>
      <c r="Y4720" s="8">
        <f t="shared" si="741"/>
        <v>46023</v>
      </c>
    </row>
    <row r="4721" spans="2:25" ht="18.75" x14ac:dyDescent="0.3">
      <c r="B4721" s="6">
        <f t="shared" si="733"/>
        <v>0</v>
      </c>
      <c r="C4721" s="6">
        <f t="shared" si="734"/>
        <v>0</v>
      </c>
      <c r="D4721" s="6" t="str">
        <f t="shared" si="735"/>
        <v/>
      </c>
      <c r="E4721" s="35" t="str">
        <f t="shared" si="732"/>
        <v/>
      </c>
      <c r="F4721" s="31"/>
      <c r="G4721" s="29"/>
      <c r="H4721" s="78" t="str">
        <f t="shared" si="736"/>
        <v/>
      </c>
      <c r="I4721" s="25"/>
      <c r="J4721" s="25"/>
      <c r="K4721" s="26"/>
      <c r="L4721" s="26"/>
      <c r="M4721" s="37"/>
      <c r="N4721" s="27"/>
      <c r="O4721" s="30"/>
      <c r="P4721" s="39" t="str">
        <f t="shared" si="737"/>
        <v/>
      </c>
      <c r="Q4721" s="40" t="str">
        <f>IF(OR(T4721=0,RIGHT(T4721,1)=$W$1),"",COUNTIF($T$3:T4721,T4721))</f>
        <v/>
      </c>
      <c r="S4721" s="6">
        <f t="shared" si="738"/>
        <v>0</v>
      </c>
      <c r="T4721" s="36">
        <f t="shared" si="739"/>
        <v>0</v>
      </c>
      <c r="V4721" s="6">
        <f t="shared" si="740"/>
        <v>0</v>
      </c>
      <c r="Y4721" s="8">
        <f t="shared" si="741"/>
        <v>46023</v>
      </c>
    </row>
    <row r="4722" spans="2:25" ht="18.75" x14ac:dyDescent="0.3">
      <c r="B4722" s="6">
        <f t="shared" si="733"/>
        <v>0</v>
      </c>
      <c r="C4722" s="6">
        <f t="shared" si="734"/>
        <v>0</v>
      </c>
      <c r="D4722" s="6" t="str">
        <f t="shared" si="735"/>
        <v/>
      </c>
      <c r="E4722" s="35" t="str">
        <f t="shared" si="732"/>
        <v/>
      </c>
      <c r="F4722" s="31"/>
      <c r="G4722" s="29"/>
      <c r="H4722" s="78" t="str">
        <f t="shared" si="736"/>
        <v/>
      </c>
      <c r="I4722" s="25"/>
      <c r="J4722" s="25"/>
      <c r="K4722" s="26"/>
      <c r="L4722" s="26"/>
      <c r="M4722" s="37"/>
      <c r="N4722" s="27"/>
      <c r="O4722" s="30"/>
      <c r="P4722" s="39" t="str">
        <f t="shared" si="737"/>
        <v/>
      </c>
      <c r="Q4722" s="40" t="str">
        <f>IF(OR(T4722=0,RIGHT(T4722,1)=$W$1),"",COUNTIF($T$3:T4722,T4722))</f>
        <v/>
      </c>
      <c r="S4722" s="6">
        <f t="shared" si="738"/>
        <v>0</v>
      </c>
      <c r="T4722" s="36">
        <f t="shared" si="739"/>
        <v>0</v>
      </c>
      <c r="V4722" s="6">
        <f t="shared" si="740"/>
        <v>0</v>
      </c>
      <c r="Y4722" s="8">
        <f t="shared" si="741"/>
        <v>46023</v>
      </c>
    </row>
    <row r="4723" spans="2:25" ht="18.75" x14ac:dyDescent="0.3">
      <c r="B4723" s="6">
        <f t="shared" si="733"/>
        <v>0</v>
      </c>
      <c r="C4723" s="6">
        <f t="shared" si="734"/>
        <v>0</v>
      </c>
      <c r="D4723" s="6" t="str">
        <f t="shared" si="735"/>
        <v/>
      </c>
      <c r="E4723" s="35" t="str">
        <f t="shared" si="732"/>
        <v/>
      </c>
      <c r="F4723" s="31"/>
      <c r="G4723" s="29"/>
      <c r="H4723" s="78" t="str">
        <f t="shared" si="736"/>
        <v/>
      </c>
      <c r="I4723" s="25"/>
      <c r="J4723" s="25"/>
      <c r="K4723" s="26"/>
      <c r="L4723" s="26"/>
      <c r="M4723" s="37"/>
      <c r="N4723" s="27"/>
      <c r="O4723" s="30"/>
      <c r="P4723" s="39" t="str">
        <f t="shared" si="737"/>
        <v/>
      </c>
      <c r="Q4723" s="40" t="str">
        <f>IF(OR(T4723=0,RIGHT(T4723,1)=$W$1),"",COUNTIF($T$3:T4723,T4723))</f>
        <v/>
      </c>
      <c r="S4723" s="6">
        <f t="shared" si="738"/>
        <v>0</v>
      </c>
      <c r="T4723" s="36">
        <f t="shared" si="739"/>
        <v>0</v>
      </c>
      <c r="V4723" s="6">
        <f t="shared" si="740"/>
        <v>0</v>
      </c>
      <c r="Y4723" s="8">
        <f t="shared" si="741"/>
        <v>46023</v>
      </c>
    </row>
    <row r="4724" spans="2:25" ht="18.75" x14ac:dyDescent="0.3">
      <c r="B4724" s="6">
        <f t="shared" si="733"/>
        <v>0</v>
      </c>
      <c r="C4724" s="6">
        <f t="shared" si="734"/>
        <v>0</v>
      </c>
      <c r="D4724" s="6" t="str">
        <f t="shared" si="735"/>
        <v/>
      </c>
      <c r="E4724" s="35" t="str">
        <f t="shared" si="732"/>
        <v/>
      </c>
      <c r="F4724" s="31"/>
      <c r="G4724" s="29"/>
      <c r="H4724" s="78" t="str">
        <f t="shared" si="736"/>
        <v/>
      </c>
      <c r="I4724" s="25"/>
      <c r="J4724" s="25"/>
      <c r="K4724" s="26"/>
      <c r="L4724" s="26"/>
      <c r="M4724" s="37"/>
      <c r="N4724" s="27"/>
      <c r="O4724" s="30"/>
      <c r="P4724" s="39" t="str">
        <f t="shared" si="737"/>
        <v/>
      </c>
      <c r="Q4724" s="40" t="str">
        <f>IF(OR(T4724=0,RIGHT(T4724,1)=$W$1),"",COUNTIF($T$3:T4724,T4724))</f>
        <v/>
      </c>
      <c r="S4724" s="6">
        <f t="shared" si="738"/>
        <v>0</v>
      </c>
      <c r="T4724" s="36">
        <f t="shared" si="739"/>
        <v>0</v>
      </c>
      <c r="V4724" s="6">
        <f t="shared" si="740"/>
        <v>0</v>
      </c>
      <c r="Y4724" s="8">
        <f t="shared" si="741"/>
        <v>46023</v>
      </c>
    </row>
    <row r="4725" spans="2:25" ht="18.75" x14ac:dyDescent="0.3">
      <c r="B4725" s="6">
        <f t="shared" si="733"/>
        <v>0</v>
      </c>
      <c r="C4725" s="6">
        <f t="shared" si="734"/>
        <v>0</v>
      </c>
      <c r="D4725" s="6" t="str">
        <f t="shared" si="735"/>
        <v/>
      </c>
      <c r="E4725" s="35" t="str">
        <f t="shared" si="732"/>
        <v/>
      </c>
      <c r="F4725" s="31"/>
      <c r="G4725" s="29"/>
      <c r="H4725" s="78" t="str">
        <f t="shared" si="736"/>
        <v/>
      </c>
      <c r="I4725" s="25"/>
      <c r="J4725" s="25"/>
      <c r="K4725" s="26"/>
      <c r="L4725" s="26"/>
      <c r="M4725" s="37"/>
      <c r="N4725" s="27"/>
      <c r="O4725" s="30"/>
      <c r="P4725" s="39" t="str">
        <f t="shared" si="737"/>
        <v/>
      </c>
      <c r="Q4725" s="40" t="str">
        <f>IF(OR(T4725=0,RIGHT(T4725,1)=$W$1),"",COUNTIF($T$3:T4725,T4725))</f>
        <v/>
      </c>
      <c r="S4725" s="6">
        <f t="shared" si="738"/>
        <v>0</v>
      </c>
      <c r="T4725" s="36">
        <f t="shared" si="739"/>
        <v>0</v>
      </c>
      <c r="V4725" s="6">
        <f t="shared" si="740"/>
        <v>0</v>
      </c>
      <c r="Y4725" s="8">
        <f t="shared" si="741"/>
        <v>46023</v>
      </c>
    </row>
    <row r="4726" spans="2:25" ht="18.75" x14ac:dyDescent="0.3">
      <c r="B4726" s="6">
        <f t="shared" si="733"/>
        <v>0</v>
      </c>
      <c r="C4726" s="6">
        <f t="shared" si="734"/>
        <v>0</v>
      </c>
      <c r="D4726" s="6" t="str">
        <f t="shared" si="735"/>
        <v/>
      </c>
      <c r="E4726" s="35" t="str">
        <f t="shared" si="732"/>
        <v/>
      </c>
      <c r="F4726" s="31"/>
      <c r="G4726" s="29"/>
      <c r="H4726" s="78" t="str">
        <f t="shared" si="736"/>
        <v/>
      </c>
      <c r="I4726" s="25"/>
      <c r="J4726" s="25"/>
      <c r="K4726" s="26"/>
      <c r="L4726" s="26"/>
      <c r="M4726" s="37"/>
      <c r="N4726" s="27"/>
      <c r="O4726" s="30"/>
      <c r="P4726" s="39" t="str">
        <f t="shared" si="737"/>
        <v/>
      </c>
      <c r="Q4726" s="40" t="str">
        <f>IF(OR(T4726=0,RIGHT(T4726,1)=$W$1),"",COUNTIF($T$3:T4726,T4726))</f>
        <v/>
      </c>
      <c r="S4726" s="6">
        <f t="shared" si="738"/>
        <v>0</v>
      </c>
      <c r="T4726" s="36">
        <f t="shared" si="739"/>
        <v>0</v>
      </c>
      <c r="V4726" s="6">
        <f t="shared" si="740"/>
        <v>0</v>
      </c>
      <c r="Y4726" s="8">
        <f t="shared" si="741"/>
        <v>46023</v>
      </c>
    </row>
    <row r="4727" spans="2:25" ht="18.75" x14ac:dyDescent="0.3">
      <c r="B4727" s="6">
        <f t="shared" si="733"/>
        <v>0</v>
      </c>
      <c r="C4727" s="6">
        <f t="shared" si="734"/>
        <v>0</v>
      </c>
      <c r="D4727" s="6" t="str">
        <f t="shared" si="735"/>
        <v/>
      </c>
      <c r="E4727" s="35" t="str">
        <f t="shared" si="732"/>
        <v/>
      </c>
      <c r="F4727" s="31"/>
      <c r="G4727" s="29"/>
      <c r="H4727" s="78" t="str">
        <f t="shared" si="736"/>
        <v/>
      </c>
      <c r="I4727" s="25"/>
      <c r="J4727" s="25"/>
      <c r="K4727" s="26"/>
      <c r="L4727" s="26"/>
      <c r="M4727" s="37"/>
      <c r="N4727" s="27"/>
      <c r="O4727" s="30"/>
      <c r="P4727" s="39" t="str">
        <f t="shared" si="737"/>
        <v/>
      </c>
      <c r="Q4727" s="40" t="str">
        <f>IF(OR(T4727=0,RIGHT(T4727,1)=$W$1),"",COUNTIF($T$3:T4727,T4727))</f>
        <v/>
      </c>
      <c r="S4727" s="6">
        <f t="shared" si="738"/>
        <v>0</v>
      </c>
      <c r="T4727" s="36">
        <f t="shared" si="739"/>
        <v>0</v>
      </c>
      <c r="V4727" s="6">
        <f t="shared" si="740"/>
        <v>0</v>
      </c>
      <c r="Y4727" s="8">
        <f t="shared" si="741"/>
        <v>46023</v>
      </c>
    </row>
    <row r="4728" spans="2:25" ht="18.75" x14ac:dyDescent="0.3">
      <c r="B4728" s="6">
        <f t="shared" si="733"/>
        <v>0</v>
      </c>
      <c r="C4728" s="6">
        <f t="shared" si="734"/>
        <v>0</v>
      </c>
      <c r="D4728" s="6" t="str">
        <f t="shared" si="735"/>
        <v/>
      </c>
      <c r="E4728" s="35" t="str">
        <f t="shared" si="732"/>
        <v/>
      </c>
      <c r="F4728" s="31"/>
      <c r="G4728" s="29"/>
      <c r="H4728" s="78" t="str">
        <f t="shared" si="736"/>
        <v/>
      </c>
      <c r="I4728" s="25"/>
      <c r="J4728" s="25"/>
      <c r="K4728" s="26"/>
      <c r="L4728" s="26"/>
      <c r="M4728" s="37"/>
      <c r="N4728" s="27"/>
      <c r="O4728" s="30"/>
      <c r="P4728" s="39" t="str">
        <f t="shared" si="737"/>
        <v/>
      </c>
      <c r="Q4728" s="40" t="str">
        <f>IF(OR(T4728=0,RIGHT(T4728,1)=$W$1),"",COUNTIF($T$3:T4728,T4728))</f>
        <v/>
      </c>
      <c r="S4728" s="6">
        <f t="shared" si="738"/>
        <v>0</v>
      </c>
      <c r="T4728" s="36">
        <f t="shared" si="739"/>
        <v>0</v>
      </c>
      <c r="V4728" s="6">
        <f t="shared" si="740"/>
        <v>0</v>
      </c>
      <c r="Y4728" s="8">
        <f t="shared" si="741"/>
        <v>46023</v>
      </c>
    </row>
    <row r="4729" spans="2:25" ht="18.75" x14ac:dyDescent="0.3">
      <c r="B4729" s="6">
        <f t="shared" si="733"/>
        <v>0</v>
      </c>
      <c r="C4729" s="6">
        <f t="shared" si="734"/>
        <v>0</v>
      </c>
      <c r="D4729" s="6" t="str">
        <f t="shared" si="735"/>
        <v/>
      </c>
      <c r="E4729" s="35" t="str">
        <f t="shared" si="732"/>
        <v/>
      </c>
      <c r="F4729" s="31"/>
      <c r="G4729" s="29"/>
      <c r="H4729" s="78" t="str">
        <f t="shared" si="736"/>
        <v/>
      </c>
      <c r="I4729" s="25"/>
      <c r="J4729" s="25"/>
      <c r="K4729" s="26"/>
      <c r="L4729" s="26"/>
      <c r="M4729" s="37"/>
      <c r="N4729" s="27"/>
      <c r="O4729" s="30"/>
      <c r="P4729" s="39" t="str">
        <f t="shared" si="737"/>
        <v/>
      </c>
      <c r="Q4729" s="40" t="str">
        <f>IF(OR(T4729=0,RIGHT(T4729,1)=$W$1),"",COUNTIF($T$3:T4729,T4729))</f>
        <v/>
      </c>
      <c r="S4729" s="6">
        <f t="shared" si="738"/>
        <v>0</v>
      </c>
      <c r="T4729" s="36">
        <f t="shared" si="739"/>
        <v>0</v>
      </c>
      <c r="V4729" s="6">
        <f t="shared" si="740"/>
        <v>0</v>
      </c>
      <c r="Y4729" s="8">
        <f t="shared" si="741"/>
        <v>46023</v>
      </c>
    </row>
    <row r="4730" spans="2:25" ht="18.75" x14ac:dyDescent="0.3">
      <c r="B4730" s="6">
        <f t="shared" si="733"/>
        <v>0</v>
      </c>
      <c r="C4730" s="6">
        <f t="shared" si="734"/>
        <v>0</v>
      </c>
      <c r="D4730" s="6" t="str">
        <f t="shared" si="735"/>
        <v/>
      </c>
      <c r="E4730" s="35" t="str">
        <f t="shared" si="732"/>
        <v/>
      </c>
      <c r="F4730" s="31"/>
      <c r="G4730" s="29"/>
      <c r="H4730" s="78" t="str">
        <f t="shared" si="736"/>
        <v/>
      </c>
      <c r="I4730" s="25"/>
      <c r="J4730" s="25"/>
      <c r="K4730" s="26"/>
      <c r="L4730" s="26"/>
      <c r="M4730" s="37"/>
      <c r="N4730" s="27"/>
      <c r="O4730" s="30"/>
      <c r="P4730" s="39" t="str">
        <f t="shared" si="737"/>
        <v/>
      </c>
      <c r="Q4730" s="40" t="str">
        <f>IF(OR(T4730=0,RIGHT(T4730,1)=$W$1),"",COUNTIF($T$3:T4730,T4730))</f>
        <v/>
      </c>
      <c r="S4730" s="6">
        <f t="shared" si="738"/>
        <v>0</v>
      </c>
      <c r="T4730" s="36">
        <f t="shared" si="739"/>
        <v>0</v>
      </c>
      <c r="V4730" s="6">
        <f t="shared" si="740"/>
        <v>0</v>
      </c>
      <c r="Y4730" s="8">
        <f t="shared" si="741"/>
        <v>46023</v>
      </c>
    </row>
    <row r="4731" spans="2:25" ht="18.75" x14ac:dyDescent="0.3">
      <c r="B4731" s="6">
        <f t="shared" si="733"/>
        <v>0</v>
      </c>
      <c r="C4731" s="6">
        <f t="shared" si="734"/>
        <v>0</v>
      </c>
      <c r="D4731" s="6" t="str">
        <f t="shared" si="735"/>
        <v/>
      </c>
      <c r="E4731" s="35" t="str">
        <f t="shared" si="732"/>
        <v/>
      </c>
      <c r="F4731" s="31"/>
      <c r="G4731" s="29"/>
      <c r="H4731" s="78" t="str">
        <f t="shared" si="736"/>
        <v/>
      </c>
      <c r="I4731" s="25"/>
      <c r="J4731" s="25"/>
      <c r="K4731" s="26"/>
      <c r="L4731" s="26"/>
      <c r="M4731" s="37"/>
      <c r="N4731" s="27"/>
      <c r="O4731" s="30"/>
      <c r="P4731" s="39" t="str">
        <f t="shared" si="737"/>
        <v/>
      </c>
      <c r="Q4731" s="40" t="str">
        <f>IF(OR(T4731=0,RIGHT(T4731,1)=$W$1),"",COUNTIF($T$3:T4731,T4731))</f>
        <v/>
      </c>
      <c r="S4731" s="6">
        <f t="shared" si="738"/>
        <v>0</v>
      </c>
      <c r="T4731" s="36">
        <f t="shared" si="739"/>
        <v>0</v>
      </c>
      <c r="V4731" s="6">
        <f t="shared" si="740"/>
        <v>0</v>
      </c>
      <c r="Y4731" s="8">
        <f t="shared" si="741"/>
        <v>46023</v>
      </c>
    </row>
    <row r="4732" spans="2:25" ht="18.75" x14ac:dyDescent="0.3">
      <c r="B4732" s="6">
        <f t="shared" si="733"/>
        <v>0</v>
      </c>
      <c r="C4732" s="6">
        <f t="shared" si="734"/>
        <v>0</v>
      </c>
      <c r="D4732" s="6" t="str">
        <f t="shared" si="735"/>
        <v/>
      </c>
      <c r="E4732" s="35" t="str">
        <f t="shared" si="732"/>
        <v/>
      </c>
      <c r="F4732" s="31"/>
      <c r="G4732" s="29"/>
      <c r="H4732" s="78" t="str">
        <f t="shared" si="736"/>
        <v/>
      </c>
      <c r="I4732" s="25"/>
      <c r="J4732" s="25"/>
      <c r="K4732" s="26"/>
      <c r="L4732" s="26"/>
      <c r="M4732" s="37"/>
      <c r="N4732" s="27"/>
      <c r="O4732" s="30"/>
      <c r="P4732" s="39" t="str">
        <f t="shared" si="737"/>
        <v/>
      </c>
      <c r="Q4732" s="40" t="str">
        <f>IF(OR(T4732=0,RIGHT(T4732,1)=$W$1),"",COUNTIF($T$3:T4732,T4732))</f>
        <v/>
      </c>
      <c r="S4732" s="6">
        <f t="shared" si="738"/>
        <v>0</v>
      </c>
      <c r="T4732" s="36">
        <f t="shared" si="739"/>
        <v>0</v>
      </c>
      <c r="V4732" s="6">
        <f t="shared" si="740"/>
        <v>0</v>
      </c>
      <c r="Y4732" s="8">
        <f t="shared" si="741"/>
        <v>46023</v>
      </c>
    </row>
    <row r="4733" spans="2:25" ht="18.75" x14ac:dyDescent="0.3">
      <c r="B4733" s="6">
        <f t="shared" si="733"/>
        <v>0</v>
      </c>
      <c r="C4733" s="6">
        <f t="shared" si="734"/>
        <v>0</v>
      </c>
      <c r="D4733" s="6" t="str">
        <f t="shared" si="735"/>
        <v/>
      </c>
      <c r="E4733" s="35" t="str">
        <f t="shared" si="732"/>
        <v/>
      </c>
      <c r="F4733" s="31"/>
      <c r="G4733" s="29"/>
      <c r="H4733" s="78" t="str">
        <f t="shared" si="736"/>
        <v/>
      </c>
      <c r="I4733" s="25"/>
      <c r="J4733" s="25"/>
      <c r="K4733" s="26"/>
      <c r="L4733" s="26"/>
      <c r="M4733" s="37"/>
      <c r="N4733" s="27"/>
      <c r="O4733" s="30"/>
      <c r="P4733" s="39" t="str">
        <f t="shared" si="737"/>
        <v/>
      </c>
      <c r="Q4733" s="40" t="str">
        <f>IF(OR(T4733=0,RIGHT(T4733,1)=$W$1),"",COUNTIF($T$3:T4733,T4733))</f>
        <v/>
      </c>
      <c r="S4733" s="6">
        <f t="shared" si="738"/>
        <v>0</v>
      </c>
      <c r="T4733" s="36">
        <f t="shared" si="739"/>
        <v>0</v>
      </c>
      <c r="V4733" s="6">
        <f t="shared" si="740"/>
        <v>0</v>
      </c>
      <c r="Y4733" s="8">
        <f t="shared" si="741"/>
        <v>46023</v>
      </c>
    </row>
    <row r="4734" spans="2:25" ht="18.75" x14ac:dyDescent="0.3">
      <c r="B4734" s="6">
        <f t="shared" si="733"/>
        <v>0</v>
      </c>
      <c r="C4734" s="6">
        <f t="shared" si="734"/>
        <v>0</v>
      </c>
      <c r="D4734" s="6" t="str">
        <f t="shared" si="735"/>
        <v/>
      </c>
      <c r="E4734" s="35" t="str">
        <f t="shared" si="732"/>
        <v/>
      </c>
      <c r="F4734" s="31"/>
      <c r="G4734" s="29"/>
      <c r="H4734" s="78" t="str">
        <f t="shared" si="736"/>
        <v/>
      </c>
      <c r="I4734" s="25"/>
      <c r="J4734" s="25"/>
      <c r="K4734" s="26"/>
      <c r="L4734" s="26"/>
      <c r="M4734" s="37"/>
      <c r="N4734" s="27"/>
      <c r="O4734" s="30"/>
      <c r="P4734" s="39" t="str">
        <f t="shared" si="737"/>
        <v/>
      </c>
      <c r="Q4734" s="40" t="str">
        <f>IF(OR(T4734=0,RIGHT(T4734,1)=$W$1),"",COUNTIF($T$3:T4734,T4734))</f>
        <v/>
      </c>
      <c r="S4734" s="6">
        <f t="shared" si="738"/>
        <v>0</v>
      </c>
      <c r="T4734" s="36">
        <f t="shared" si="739"/>
        <v>0</v>
      </c>
      <c r="V4734" s="6">
        <f t="shared" si="740"/>
        <v>0</v>
      </c>
      <c r="Y4734" s="8">
        <f t="shared" si="741"/>
        <v>46023</v>
      </c>
    </row>
    <row r="4735" spans="2:25" ht="18.75" x14ac:dyDescent="0.3">
      <c r="B4735" s="6">
        <f t="shared" si="733"/>
        <v>0</v>
      </c>
      <c r="C4735" s="6">
        <f t="shared" si="734"/>
        <v>0</v>
      </c>
      <c r="D4735" s="6" t="str">
        <f t="shared" si="735"/>
        <v/>
      </c>
      <c r="E4735" s="35" t="str">
        <f t="shared" si="732"/>
        <v/>
      </c>
      <c r="F4735" s="31"/>
      <c r="G4735" s="29"/>
      <c r="H4735" s="78" t="str">
        <f t="shared" si="736"/>
        <v/>
      </c>
      <c r="I4735" s="25"/>
      <c r="J4735" s="25"/>
      <c r="K4735" s="26"/>
      <c r="L4735" s="26"/>
      <c r="M4735" s="37"/>
      <c r="N4735" s="27"/>
      <c r="O4735" s="30"/>
      <c r="P4735" s="39" t="str">
        <f t="shared" si="737"/>
        <v/>
      </c>
      <c r="Q4735" s="40" t="str">
        <f>IF(OR(T4735=0,RIGHT(T4735,1)=$W$1),"",COUNTIF($T$3:T4735,T4735))</f>
        <v/>
      </c>
      <c r="S4735" s="6">
        <f t="shared" si="738"/>
        <v>0</v>
      </c>
      <c r="T4735" s="36">
        <f t="shared" si="739"/>
        <v>0</v>
      </c>
      <c r="V4735" s="6">
        <f t="shared" si="740"/>
        <v>0</v>
      </c>
      <c r="Y4735" s="8">
        <f t="shared" si="741"/>
        <v>46023</v>
      </c>
    </row>
    <row r="4736" spans="2:25" ht="18.75" x14ac:dyDescent="0.3">
      <c r="B4736" s="6">
        <f t="shared" si="733"/>
        <v>0</v>
      </c>
      <c r="C4736" s="6">
        <f t="shared" si="734"/>
        <v>0</v>
      </c>
      <c r="D4736" s="6" t="str">
        <f t="shared" si="735"/>
        <v/>
      </c>
      <c r="E4736" s="35" t="str">
        <f t="shared" si="732"/>
        <v/>
      </c>
      <c r="F4736" s="31"/>
      <c r="G4736" s="29"/>
      <c r="H4736" s="78" t="str">
        <f t="shared" si="736"/>
        <v/>
      </c>
      <c r="I4736" s="25"/>
      <c r="J4736" s="25"/>
      <c r="K4736" s="26"/>
      <c r="L4736" s="26"/>
      <c r="M4736" s="37"/>
      <c r="N4736" s="27"/>
      <c r="O4736" s="30"/>
      <c r="P4736" s="39" t="str">
        <f t="shared" si="737"/>
        <v/>
      </c>
      <c r="Q4736" s="40" t="str">
        <f>IF(OR(T4736=0,RIGHT(T4736,1)=$W$1),"",COUNTIF($T$3:T4736,T4736))</f>
        <v/>
      </c>
      <c r="S4736" s="6">
        <f t="shared" si="738"/>
        <v>0</v>
      </c>
      <c r="T4736" s="36">
        <f t="shared" si="739"/>
        <v>0</v>
      </c>
      <c r="V4736" s="6">
        <f t="shared" si="740"/>
        <v>0</v>
      </c>
      <c r="Y4736" s="8">
        <f t="shared" si="741"/>
        <v>46023</v>
      </c>
    </row>
    <row r="4737" spans="2:25" ht="18.75" x14ac:dyDescent="0.3">
      <c r="B4737" s="6">
        <f t="shared" si="733"/>
        <v>0</v>
      </c>
      <c r="C4737" s="6">
        <f t="shared" si="734"/>
        <v>0</v>
      </c>
      <c r="D4737" s="6" t="str">
        <f t="shared" si="735"/>
        <v/>
      </c>
      <c r="E4737" s="35" t="str">
        <f t="shared" si="732"/>
        <v/>
      </c>
      <c r="F4737" s="31"/>
      <c r="G4737" s="29"/>
      <c r="H4737" s="78" t="str">
        <f t="shared" si="736"/>
        <v/>
      </c>
      <c r="I4737" s="25"/>
      <c r="J4737" s="25"/>
      <c r="K4737" s="26"/>
      <c r="L4737" s="26"/>
      <c r="M4737" s="37"/>
      <c r="N4737" s="27"/>
      <c r="O4737" s="30"/>
      <c r="P4737" s="39" t="str">
        <f t="shared" si="737"/>
        <v/>
      </c>
      <c r="Q4737" s="40" t="str">
        <f>IF(OR(T4737=0,RIGHT(T4737,1)=$W$1),"",COUNTIF($T$3:T4737,T4737))</f>
        <v/>
      </c>
      <c r="S4737" s="6">
        <f t="shared" si="738"/>
        <v>0</v>
      </c>
      <c r="T4737" s="36">
        <f t="shared" si="739"/>
        <v>0</v>
      </c>
      <c r="V4737" s="6">
        <f t="shared" si="740"/>
        <v>0</v>
      </c>
      <c r="Y4737" s="8">
        <f t="shared" si="741"/>
        <v>46023</v>
      </c>
    </row>
    <row r="4738" spans="2:25" ht="18.75" x14ac:dyDescent="0.3">
      <c r="B4738" s="6">
        <f t="shared" si="733"/>
        <v>0</v>
      </c>
      <c r="C4738" s="6">
        <f t="shared" si="734"/>
        <v>0</v>
      </c>
      <c r="D4738" s="6" t="str">
        <f t="shared" si="735"/>
        <v/>
      </c>
      <c r="E4738" s="35" t="str">
        <f t="shared" si="732"/>
        <v/>
      </c>
      <c r="F4738" s="31"/>
      <c r="G4738" s="29"/>
      <c r="H4738" s="78" t="str">
        <f t="shared" si="736"/>
        <v/>
      </c>
      <c r="I4738" s="25"/>
      <c r="J4738" s="25"/>
      <c r="K4738" s="26"/>
      <c r="L4738" s="26"/>
      <c r="M4738" s="37"/>
      <c r="N4738" s="27"/>
      <c r="O4738" s="30"/>
      <c r="P4738" s="39" t="str">
        <f t="shared" si="737"/>
        <v/>
      </c>
      <c r="Q4738" s="40" t="str">
        <f>IF(OR(T4738=0,RIGHT(T4738,1)=$W$1),"",COUNTIF($T$3:T4738,T4738))</f>
        <v/>
      </c>
      <c r="S4738" s="6">
        <f t="shared" si="738"/>
        <v>0</v>
      </c>
      <c r="T4738" s="36">
        <f t="shared" si="739"/>
        <v>0</v>
      </c>
      <c r="V4738" s="6">
        <f t="shared" si="740"/>
        <v>0</v>
      </c>
      <c r="Y4738" s="8">
        <f t="shared" si="741"/>
        <v>46023</v>
      </c>
    </row>
    <row r="4739" spans="2:25" ht="18.75" x14ac:dyDescent="0.3">
      <c r="B4739" s="6">
        <f t="shared" si="733"/>
        <v>0</v>
      </c>
      <c r="C4739" s="6">
        <f t="shared" si="734"/>
        <v>0</v>
      </c>
      <c r="D4739" s="6" t="str">
        <f t="shared" si="735"/>
        <v/>
      </c>
      <c r="E4739" s="35" t="str">
        <f t="shared" ref="E4739:E4802" si="742">IF(D4739&lt;&gt;"",D4739&amp;" - "&amp;YEAR(F4739),"")</f>
        <v/>
      </c>
      <c r="F4739" s="31"/>
      <c r="G4739" s="29"/>
      <c r="H4739" s="78" t="str">
        <f t="shared" si="736"/>
        <v/>
      </c>
      <c r="I4739" s="25"/>
      <c r="J4739" s="25"/>
      <c r="K4739" s="26"/>
      <c r="L4739" s="26"/>
      <c r="M4739" s="37"/>
      <c r="N4739" s="27"/>
      <c r="O4739" s="30"/>
      <c r="P4739" s="39" t="str">
        <f t="shared" si="737"/>
        <v/>
      </c>
      <c r="Q4739" s="40" t="str">
        <f>IF(OR(T4739=0,RIGHT(T4739,1)=$W$1),"",COUNTIF($T$3:T4739,T4739))</f>
        <v/>
      </c>
      <c r="S4739" s="6">
        <f t="shared" si="738"/>
        <v>0</v>
      </c>
      <c r="T4739" s="36">
        <f t="shared" si="739"/>
        <v>0</v>
      </c>
      <c r="V4739" s="6">
        <f t="shared" si="740"/>
        <v>0</v>
      </c>
      <c r="Y4739" s="8">
        <f t="shared" si="741"/>
        <v>46023</v>
      </c>
    </row>
    <row r="4740" spans="2:25" ht="18.75" x14ac:dyDescent="0.3">
      <c r="B4740" s="6">
        <f t="shared" ref="B4740:B4803" si="743">IF($B$1=YEAR(F4740),B4739+1,B4739)</f>
        <v>0</v>
      </c>
      <c r="C4740" s="6">
        <f t="shared" ref="C4740:C4803" si="744">IF(AND($C$1=K4740,$Y$1=YEAR(F4740)),C4739+1,C4739)</f>
        <v>0</v>
      </c>
      <c r="D4740" s="6" t="str">
        <f t="shared" ref="D4740:D4803" si="745">IF(F4740&lt;&gt;0,IF(YEAR(F4740)&lt;&gt;YEAR(F4739),1,IF(M4740=$AI$1,D4739,D4739+1)),"")</f>
        <v/>
      </c>
      <c r="E4740" s="35" t="str">
        <f t="shared" si="742"/>
        <v/>
      </c>
      <c r="F4740" s="31"/>
      <c r="G4740" s="29"/>
      <c r="H4740" s="78" t="str">
        <f t="shared" ref="H4740:H4803" si="746">IF(G4740&lt;&gt;"",F4740,"")</f>
        <v/>
      </c>
      <c r="I4740" s="25"/>
      <c r="J4740" s="25"/>
      <c r="K4740" s="26"/>
      <c r="L4740" s="26"/>
      <c r="M4740" s="37"/>
      <c r="N4740" s="27"/>
      <c r="O4740" s="30"/>
      <c r="P4740" s="39" t="str">
        <f t="shared" ref="P4740:P4803" si="747">IF(OR(T4740=0,RIGHT(T4740,1)=$W$1),"",VLOOKUP(K4740,$AD$1:$AK$15,5,FALSE))</f>
        <v/>
      </c>
      <c r="Q4740" s="40" t="str">
        <f>IF(OR(T4740=0,RIGHT(T4740,1)=$W$1),"",COUNTIF($T$3:T4740,T4740))</f>
        <v/>
      </c>
      <c r="S4740" s="6">
        <f t="shared" ref="S4740:S4803" si="748">IF(AND($C$1=K4740,$Y$1=YEAR(F4740)),C4740,0)</f>
        <v>0</v>
      </c>
      <c r="T4740" s="36">
        <f t="shared" ref="T4740:T4803" si="749">IF(F4740=0,0,YEAR(F4740)&amp;VLOOKUP(K4740,$AD$1:$AE$15,2,FALSE))</f>
        <v>0</v>
      </c>
      <c r="V4740" s="6">
        <f t="shared" ref="V4740:V4803" si="750">IF(AND(YEAR(F4740)=$Y$1,K4740=$C$1,L4740&amp;$V$1&lt;&gt;$V$1),L4740,IF(AND(YEAR(F4740)=$Y$1,K4740=$C$1),1,0))</f>
        <v>0</v>
      </c>
      <c r="Y4740" s="8">
        <f t="shared" ref="Y4740:Y4803" si="751">IF(M4740&lt;&gt;$AI$1,$Y$2,F4739)</f>
        <v>46023</v>
      </c>
    </row>
    <row r="4741" spans="2:25" ht="18.75" x14ac:dyDescent="0.3">
      <c r="B4741" s="6">
        <f t="shared" si="743"/>
        <v>0</v>
      </c>
      <c r="C4741" s="6">
        <f t="shared" si="744"/>
        <v>0</v>
      </c>
      <c r="D4741" s="6" t="str">
        <f t="shared" si="745"/>
        <v/>
      </c>
      <c r="E4741" s="35" t="str">
        <f t="shared" si="742"/>
        <v/>
      </c>
      <c r="F4741" s="31"/>
      <c r="G4741" s="29"/>
      <c r="H4741" s="78" t="str">
        <f t="shared" si="746"/>
        <v/>
      </c>
      <c r="I4741" s="25"/>
      <c r="J4741" s="25"/>
      <c r="K4741" s="26"/>
      <c r="L4741" s="26"/>
      <c r="M4741" s="37"/>
      <c r="N4741" s="27"/>
      <c r="O4741" s="30"/>
      <c r="P4741" s="39" t="str">
        <f t="shared" si="747"/>
        <v/>
      </c>
      <c r="Q4741" s="40" t="str">
        <f>IF(OR(T4741=0,RIGHT(T4741,1)=$W$1),"",COUNTIF($T$3:T4741,T4741))</f>
        <v/>
      </c>
      <c r="S4741" s="6">
        <f t="shared" si="748"/>
        <v>0</v>
      </c>
      <c r="T4741" s="36">
        <f t="shared" si="749"/>
        <v>0</v>
      </c>
      <c r="V4741" s="6">
        <f t="shared" si="750"/>
        <v>0</v>
      </c>
      <c r="Y4741" s="8">
        <f t="shared" si="751"/>
        <v>46023</v>
      </c>
    </row>
    <row r="4742" spans="2:25" ht="18.75" x14ac:dyDescent="0.3">
      <c r="B4742" s="6">
        <f t="shared" si="743"/>
        <v>0</v>
      </c>
      <c r="C4742" s="6">
        <f t="shared" si="744"/>
        <v>0</v>
      </c>
      <c r="D4742" s="6" t="str">
        <f t="shared" si="745"/>
        <v/>
      </c>
      <c r="E4742" s="35" t="str">
        <f t="shared" si="742"/>
        <v/>
      </c>
      <c r="F4742" s="31"/>
      <c r="G4742" s="29"/>
      <c r="H4742" s="78" t="str">
        <f t="shared" si="746"/>
        <v/>
      </c>
      <c r="I4742" s="25"/>
      <c r="J4742" s="25"/>
      <c r="K4742" s="26"/>
      <c r="L4742" s="26"/>
      <c r="M4742" s="37"/>
      <c r="N4742" s="27"/>
      <c r="O4742" s="30"/>
      <c r="P4742" s="39" t="str">
        <f t="shared" si="747"/>
        <v/>
      </c>
      <c r="Q4742" s="40" t="str">
        <f>IF(OR(T4742=0,RIGHT(T4742,1)=$W$1),"",COUNTIF($T$3:T4742,T4742))</f>
        <v/>
      </c>
      <c r="S4742" s="6">
        <f t="shared" si="748"/>
        <v>0</v>
      </c>
      <c r="T4742" s="36">
        <f t="shared" si="749"/>
        <v>0</v>
      </c>
      <c r="V4742" s="6">
        <f t="shared" si="750"/>
        <v>0</v>
      </c>
      <c r="Y4742" s="8">
        <f t="shared" si="751"/>
        <v>46023</v>
      </c>
    </row>
    <row r="4743" spans="2:25" ht="18.75" x14ac:dyDescent="0.3">
      <c r="B4743" s="6">
        <f t="shared" si="743"/>
        <v>0</v>
      </c>
      <c r="C4743" s="6">
        <f t="shared" si="744"/>
        <v>0</v>
      </c>
      <c r="D4743" s="6" t="str">
        <f t="shared" si="745"/>
        <v/>
      </c>
      <c r="E4743" s="35" t="str">
        <f t="shared" si="742"/>
        <v/>
      </c>
      <c r="F4743" s="31"/>
      <c r="G4743" s="29"/>
      <c r="H4743" s="78" t="str">
        <f t="shared" si="746"/>
        <v/>
      </c>
      <c r="I4743" s="25"/>
      <c r="J4743" s="25"/>
      <c r="K4743" s="26"/>
      <c r="L4743" s="26"/>
      <c r="M4743" s="37"/>
      <c r="N4743" s="27"/>
      <c r="O4743" s="30"/>
      <c r="P4743" s="39" t="str">
        <f t="shared" si="747"/>
        <v/>
      </c>
      <c r="Q4743" s="40" t="str">
        <f>IF(OR(T4743=0,RIGHT(T4743,1)=$W$1),"",COUNTIF($T$3:T4743,T4743))</f>
        <v/>
      </c>
      <c r="S4743" s="6">
        <f t="shared" si="748"/>
        <v>0</v>
      </c>
      <c r="T4743" s="36">
        <f t="shared" si="749"/>
        <v>0</v>
      </c>
      <c r="V4743" s="6">
        <f t="shared" si="750"/>
        <v>0</v>
      </c>
      <c r="Y4743" s="8">
        <f t="shared" si="751"/>
        <v>46023</v>
      </c>
    </row>
    <row r="4744" spans="2:25" ht="18.75" x14ac:dyDescent="0.3">
      <c r="B4744" s="6">
        <f t="shared" si="743"/>
        <v>0</v>
      </c>
      <c r="C4744" s="6">
        <f t="shared" si="744"/>
        <v>0</v>
      </c>
      <c r="D4744" s="6" t="str">
        <f t="shared" si="745"/>
        <v/>
      </c>
      <c r="E4744" s="35" t="str">
        <f t="shared" si="742"/>
        <v/>
      </c>
      <c r="F4744" s="31"/>
      <c r="G4744" s="29"/>
      <c r="H4744" s="78" t="str">
        <f t="shared" si="746"/>
        <v/>
      </c>
      <c r="I4744" s="25"/>
      <c r="J4744" s="25"/>
      <c r="K4744" s="26"/>
      <c r="L4744" s="26"/>
      <c r="M4744" s="37"/>
      <c r="N4744" s="27"/>
      <c r="O4744" s="30"/>
      <c r="P4744" s="39" t="str">
        <f t="shared" si="747"/>
        <v/>
      </c>
      <c r="Q4744" s="40" t="str">
        <f>IF(OR(T4744=0,RIGHT(T4744,1)=$W$1),"",COUNTIF($T$3:T4744,T4744))</f>
        <v/>
      </c>
      <c r="S4744" s="6">
        <f t="shared" si="748"/>
        <v>0</v>
      </c>
      <c r="T4744" s="36">
        <f t="shared" si="749"/>
        <v>0</v>
      </c>
      <c r="V4744" s="6">
        <f t="shared" si="750"/>
        <v>0</v>
      </c>
      <c r="Y4744" s="8">
        <f t="shared" si="751"/>
        <v>46023</v>
      </c>
    </row>
    <row r="4745" spans="2:25" ht="18.75" x14ac:dyDescent="0.3">
      <c r="B4745" s="6">
        <f t="shared" si="743"/>
        <v>0</v>
      </c>
      <c r="C4745" s="6">
        <f t="shared" si="744"/>
        <v>0</v>
      </c>
      <c r="D4745" s="6" t="str">
        <f t="shared" si="745"/>
        <v/>
      </c>
      <c r="E4745" s="35" t="str">
        <f t="shared" si="742"/>
        <v/>
      </c>
      <c r="F4745" s="31"/>
      <c r="G4745" s="29"/>
      <c r="H4745" s="78" t="str">
        <f t="shared" si="746"/>
        <v/>
      </c>
      <c r="I4745" s="25"/>
      <c r="J4745" s="25"/>
      <c r="K4745" s="26"/>
      <c r="L4745" s="26"/>
      <c r="M4745" s="37"/>
      <c r="N4745" s="27"/>
      <c r="O4745" s="30"/>
      <c r="P4745" s="39" t="str">
        <f t="shared" si="747"/>
        <v/>
      </c>
      <c r="Q4745" s="40" t="str">
        <f>IF(OR(T4745=0,RIGHT(T4745,1)=$W$1),"",COUNTIF($T$3:T4745,T4745))</f>
        <v/>
      </c>
      <c r="S4745" s="6">
        <f t="shared" si="748"/>
        <v>0</v>
      </c>
      <c r="T4745" s="36">
        <f t="shared" si="749"/>
        <v>0</v>
      </c>
      <c r="V4745" s="6">
        <f t="shared" si="750"/>
        <v>0</v>
      </c>
      <c r="Y4745" s="8">
        <f t="shared" si="751"/>
        <v>46023</v>
      </c>
    </row>
    <row r="4746" spans="2:25" ht="18.75" x14ac:dyDescent="0.3">
      <c r="B4746" s="6">
        <f t="shared" si="743"/>
        <v>0</v>
      </c>
      <c r="C4746" s="6">
        <f t="shared" si="744"/>
        <v>0</v>
      </c>
      <c r="D4746" s="6" t="str">
        <f t="shared" si="745"/>
        <v/>
      </c>
      <c r="E4746" s="35" t="str">
        <f t="shared" si="742"/>
        <v/>
      </c>
      <c r="F4746" s="31"/>
      <c r="G4746" s="29"/>
      <c r="H4746" s="78" t="str">
        <f t="shared" si="746"/>
        <v/>
      </c>
      <c r="I4746" s="25"/>
      <c r="J4746" s="25"/>
      <c r="K4746" s="26"/>
      <c r="L4746" s="26"/>
      <c r="M4746" s="37"/>
      <c r="N4746" s="27"/>
      <c r="O4746" s="30"/>
      <c r="P4746" s="39" t="str">
        <f t="shared" si="747"/>
        <v/>
      </c>
      <c r="Q4746" s="40" t="str">
        <f>IF(OR(T4746=0,RIGHT(T4746,1)=$W$1),"",COUNTIF($T$3:T4746,T4746))</f>
        <v/>
      </c>
      <c r="S4746" s="6">
        <f t="shared" si="748"/>
        <v>0</v>
      </c>
      <c r="T4746" s="36">
        <f t="shared" si="749"/>
        <v>0</v>
      </c>
      <c r="V4746" s="6">
        <f t="shared" si="750"/>
        <v>0</v>
      </c>
      <c r="Y4746" s="8">
        <f t="shared" si="751"/>
        <v>46023</v>
      </c>
    </row>
    <row r="4747" spans="2:25" ht="18.75" x14ac:dyDescent="0.3">
      <c r="B4747" s="6">
        <f t="shared" si="743"/>
        <v>0</v>
      </c>
      <c r="C4747" s="6">
        <f t="shared" si="744"/>
        <v>0</v>
      </c>
      <c r="D4747" s="6" t="str">
        <f t="shared" si="745"/>
        <v/>
      </c>
      <c r="E4747" s="35" t="str">
        <f t="shared" si="742"/>
        <v/>
      </c>
      <c r="F4747" s="31"/>
      <c r="G4747" s="29"/>
      <c r="H4747" s="78" t="str">
        <f t="shared" si="746"/>
        <v/>
      </c>
      <c r="I4747" s="25"/>
      <c r="J4747" s="25"/>
      <c r="K4747" s="26"/>
      <c r="L4747" s="26"/>
      <c r="M4747" s="37"/>
      <c r="N4747" s="27"/>
      <c r="O4747" s="30"/>
      <c r="P4747" s="39" t="str">
        <f t="shared" si="747"/>
        <v/>
      </c>
      <c r="Q4747" s="40" t="str">
        <f>IF(OR(T4747=0,RIGHT(T4747,1)=$W$1),"",COUNTIF($T$3:T4747,T4747))</f>
        <v/>
      </c>
      <c r="S4747" s="6">
        <f t="shared" si="748"/>
        <v>0</v>
      </c>
      <c r="T4747" s="36">
        <f t="shared" si="749"/>
        <v>0</v>
      </c>
      <c r="V4747" s="6">
        <f t="shared" si="750"/>
        <v>0</v>
      </c>
      <c r="Y4747" s="8">
        <f t="shared" si="751"/>
        <v>46023</v>
      </c>
    </row>
    <row r="4748" spans="2:25" ht="18.75" x14ac:dyDescent="0.3">
      <c r="B4748" s="6">
        <f t="shared" si="743"/>
        <v>0</v>
      </c>
      <c r="C4748" s="6">
        <f t="shared" si="744"/>
        <v>0</v>
      </c>
      <c r="D4748" s="6" t="str">
        <f t="shared" si="745"/>
        <v/>
      </c>
      <c r="E4748" s="35" t="str">
        <f t="shared" si="742"/>
        <v/>
      </c>
      <c r="F4748" s="31"/>
      <c r="G4748" s="29"/>
      <c r="H4748" s="78" t="str">
        <f t="shared" si="746"/>
        <v/>
      </c>
      <c r="I4748" s="25"/>
      <c r="J4748" s="25"/>
      <c r="K4748" s="26"/>
      <c r="L4748" s="26"/>
      <c r="M4748" s="37"/>
      <c r="N4748" s="27"/>
      <c r="O4748" s="30"/>
      <c r="P4748" s="39" t="str">
        <f t="shared" si="747"/>
        <v/>
      </c>
      <c r="Q4748" s="40" t="str">
        <f>IF(OR(T4748=0,RIGHT(T4748,1)=$W$1),"",COUNTIF($T$3:T4748,T4748))</f>
        <v/>
      </c>
      <c r="S4748" s="6">
        <f t="shared" si="748"/>
        <v>0</v>
      </c>
      <c r="T4748" s="36">
        <f t="shared" si="749"/>
        <v>0</v>
      </c>
      <c r="V4748" s="6">
        <f t="shared" si="750"/>
        <v>0</v>
      </c>
      <c r="Y4748" s="8">
        <f t="shared" si="751"/>
        <v>46023</v>
      </c>
    </row>
    <row r="4749" spans="2:25" ht="18.75" x14ac:dyDescent="0.3">
      <c r="B4749" s="6">
        <f t="shared" si="743"/>
        <v>0</v>
      </c>
      <c r="C4749" s="6">
        <f t="shared" si="744"/>
        <v>0</v>
      </c>
      <c r="D4749" s="6" t="str">
        <f t="shared" si="745"/>
        <v/>
      </c>
      <c r="E4749" s="35" t="str">
        <f t="shared" si="742"/>
        <v/>
      </c>
      <c r="F4749" s="31"/>
      <c r="G4749" s="29"/>
      <c r="H4749" s="78" t="str">
        <f t="shared" si="746"/>
        <v/>
      </c>
      <c r="I4749" s="25"/>
      <c r="J4749" s="25"/>
      <c r="K4749" s="26"/>
      <c r="L4749" s="26"/>
      <c r="M4749" s="37"/>
      <c r="N4749" s="27"/>
      <c r="O4749" s="30"/>
      <c r="P4749" s="39" t="str">
        <f t="shared" si="747"/>
        <v/>
      </c>
      <c r="Q4749" s="40" t="str">
        <f>IF(OR(T4749=0,RIGHT(T4749,1)=$W$1),"",COUNTIF($T$3:T4749,T4749))</f>
        <v/>
      </c>
      <c r="S4749" s="6">
        <f t="shared" si="748"/>
        <v>0</v>
      </c>
      <c r="T4749" s="36">
        <f t="shared" si="749"/>
        <v>0</v>
      </c>
      <c r="V4749" s="6">
        <f t="shared" si="750"/>
        <v>0</v>
      </c>
      <c r="Y4749" s="8">
        <f t="shared" si="751"/>
        <v>46023</v>
      </c>
    </row>
    <row r="4750" spans="2:25" ht="18.75" x14ac:dyDescent="0.3">
      <c r="B4750" s="6">
        <f t="shared" si="743"/>
        <v>0</v>
      </c>
      <c r="C4750" s="6">
        <f t="shared" si="744"/>
        <v>0</v>
      </c>
      <c r="D4750" s="6" t="str">
        <f t="shared" si="745"/>
        <v/>
      </c>
      <c r="E4750" s="35" t="str">
        <f t="shared" si="742"/>
        <v/>
      </c>
      <c r="F4750" s="31"/>
      <c r="G4750" s="29"/>
      <c r="H4750" s="78" t="str">
        <f t="shared" si="746"/>
        <v/>
      </c>
      <c r="I4750" s="25"/>
      <c r="J4750" s="25"/>
      <c r="K4750" s="26"/>
      <c r="L4750" s="26"/>
      <c r="M4750" s="37"/>
      <c r="N4750" s="27"/>
      <c r="O4750" s="30"/>
      <c r="P4750" s="39" t="str">
        <f t="shared" si="747"/>
        <v/>
      </c>
      <c r="Q4750" s="40" t="str">
        <f>IF(OR(T4750=0,RIGHT(T4750,1)=$W$1),"",COUNTIF($T$3:T4750,T4750))</f>
        <v/>
      </c>
      <c r="S4750" s="6">
        <f t="shared" si="748"/>
        <v>0</v>
      </c>
      <c r="T4750" s="36">
        <f t="shared" si="749"/>
        <v>0</v>
      </c>
      <c r="V4750" s="6">
        <f t="shared" si="750"/>
        <v>0</v>
      </c>
      <c r="Y4750" s="8">
        <f t="shared" si="751"/>
        <v>46023</v>
      </c>
    </row>
    <row r="4751" spans="2:25" ht="18.75" x14ac:dyDescent="0.3">
      <c r="B4751" s="6">
        <f t="shared" si="743"/>
        <v>0</v>
      </c>
      <c r="C4751" s="6">
        <f t="shared" si="744"/>
        <v>0</v>
      </c>
      <c r="D4751" s="6" t="str">
        <f t="shared" si="745"/>
        <v/>
      </c>
      <c r="E4751" s="35" t="str">
        <f t="shared" si="742"/>
        <v/>
      </c>
      <c r="F4751" s="31"/>
      <c r="G4751" s="29"/>
      <c r="H4751" s="78" t="str">
        <f t="shared" si="746"/>
        <v/>
      </c>
      <c r="I4751" s="25"/>
      <c r="J4751" s="25"/>
      <c r="K4751" s="26"/>
      <c r="L4751" s="26"/>
      <c r="M4751" s="37"/>
      <c r="N4751" s="27"/>
      <c r="O4751" s="30"/>
      <c r="P4751" s="39" t="str">
        <f t="shared" si="747"/>
        <v/>
      </c>
      <c r="Q4751" s="40" t="str">
        <f>IF(OR(T4751=0,RIGHT(T4751,1)=$W$1),"",COUNTIF($T$3:T4751,T4751))</f>
        <v/>
      </c>
      <c r="S4751" s="6">
        <f t="shared" si="748"/>
        <v>0</v>
      </c>
      <c r="T4751" s="36">
        <f t="shared" si="749"/>
        <v>0</v>
      </c>
      <c r="V4751" s="6">
        <f t="shared" si="750"/>
        <v>0</v>
      </c>
      <c r="Y4751" s="8">
        <f t="shared" si="751"/>
        <v>46023</v>
      </c>
    </row>
    <row r="4752" spans="2:25" ht="18.75" x14ac:dyDescent="0.3">
      <c r="B4752" s="6">
        <f t="shared" si="743"/>
        <v>0</v>
      </c>
      <c r="C4752" s="6">
        <f t="shared" si="744"/>
        <v>0</v>
      </c>
      <c r="D4752" s="6" t="str">
        <f t="shared" si="745"/>
        <v/>
      </c>
      <c r="E4752" s="35" t="str">
        <f t="shared" si="742"/>
        <v/>
      </c>
      <c r="F4752" s="31"/>
      <c r="G4752" s="29"/>
      <c r="H4752" s="78" t="str">
        <f t="shared" si="746"/>
        <v/>
      </c>
      <c r="I4752" s="25"/>
      <c r="J4752" s="25"/>
      <c r="K4752" s="26"/>
      <c r="L4752" s="26"/>
      <c r="M4752" s="37"/>
      <c r="N4752" s="27"/>
      <c r="O4752" s="30"/>
      <c r="P4752" s="39" t="str">
        <f t="shared" si="747"/>
        <v/>
      </c>
      <c r="Q4752" s="40" t="str">
        <f>IF(OR(T4752=0,RIGHT(T4752,1)=$W$1),"",COUNTIF($T$3:T4752,T4752))</f>
        <v/>
      </c>
      <c r="S4752" s="6">
        <f t="shared" si="748"/>
        <v>0</v>
      </c>
      <c r="T4752" s="36">
        <f t="shared" si="749"/>
        <v>0</v>
      </c>
      <c r="V4752" s="6">
        <f t="shared" si="750"/>
        <v>0</v>
      </c>
      <c r="Y4752" s="8">
        <f t="shared" si="751"/>
        <v>46023</v>
      </c>
    </row>
    <row r="4753" spans="2:25" ht="18.75" x14ac:dyDescent="0.3">
      <c r="B4753" s="6">
        <f t="shared" si="743"/>
        <v>0</v>
      </c>
      <c r="C4753" s="6">
        <f t="shared" si="744"/>
        <v>0</v>
      </c>
      <c r="D4753" s="6" t="str">
        <f t="shared" si="745"/>
        <v/>
      </c>
      <c r="E4753" s="35" t="str">
        <f t="shared" si="742"/>
        <v/>
      </c>
      <c r="F4753" s="31"/>
      <c r="G4753" s="29"/>
      <c r="H4753" s="78" t="str">
        <f t="shared" si="746"/>
        <v/>
      </c>
      <c r="I4753" s="25"/>
      <c r="J4753" s="25"/>
      <c r="K4753" s="26"/>
      <c r="L4753" s="26"/>
      <c r="M4753" s="37"/>
      <c r="N4753" s="27"/>
      <c r="O4753" s="30"/>
      <c r="P4753" s="39" t="str">
        <f t="shared" si="747"/>
        <v/>
      </c>
      <c r="Q4753" s="40" t="str">
        <f>IF(OR(T4753=0,RIGHT(T4753,1)=$W$1),"",COUNTIF($T$3:T4753,T4753))</f>
        <v/>
      </c>
      <c r="S4753" s="6">
        <f t="shared" si="748"/>
        <v>0</v>
      </c>
      <c r="T4753" s="36">
        <f t="shared" si="749"/>
        <v>0</v>
      </c>
      <c r="V4753" s="6">
        <f t="shared" si="750"/>
        <v>0</v>
      </c>
      <c r="Y4753" s="8">
        <f t="shared" si="751"/>
        <v>46023</v>
      </c>
    </row>
    <row r="4754" spans="2:25" ht="18.75" x14ac:dyDescent="0.3">
      <c r="B4754" s="6">
        <f t="shared" si="743"/>
        <v>0</v>
      </c>
      <c r="C4754" s="6">
        <f t="shared" si="744"/>
        <v>0</v>
      </c>
      <c r="D4754" s="6" t="str">
        <f t="shared" si="745"/>
        <v/>
      </c>
      <c r="E4754" s="35" t="str">
        <f t="shared" si="742"/>
        <v/>
      </c>
      <c r="F4754" s="31"/>
      <c r="G4754" s="29"/>
      <c r="H4754" s="78" t="str">
        <f t="shared" si="746"/>
        <v/>
      </c>
      <c r="I4754" s="25"/>
      <c r="J4754" s="25"/>
      <c r="K4754" s="26"/>
      <c r="L4754" s="26"/>
      <c r="M4754" s="37"/>
      <c r="N4754" s="27"/>
      <c r="O4754" s="30"/>
      <c r="P4754" s="39" t="str">
        <f t="shared" si="747"/>
        <v/>
      </c>
      <c r="Q4754" s="40" t="str">
        <f>IF(OR(T4754=0,RIGHT(T4754,1)=$W$1),"",COUNTIF($T$3:T4754,T4754))</f>
        <v/>
      </c>
      <c r="S4754" s="6">
        <f t="shared" si="748"/>
        <v>0</v>
      </c>
      <c r="T4754" s="36">
        <f t="shared" si="749"/>
        <v>0</v>
      </c>
      <c r="V4754" s="6">
        <f t="shared" si="750"/>
        <v>0</v>
      </c>
      <c r="Y4754" s="8">
        <f t="shared" si="751"/>
        <v>46023</v>
      </c>
    </row>
    <row r="4755" spans="2:25" ht="18.75" x14ac:dyDescent="0.3">
      <c r="B4755" s="6">
        <f t="shared" si="743"/>
        <v>0</v>
      </c>
      <c r="C4755" s="6">
        <f t="shared" si="744"/>
        <v>0</v>
      </c>
      <c r="D4755" s="6" t="str">
        <f t="shared" si="745"/>
        <v/>
      </c>
      <c r="E4755" s="35" t="str">
        <f t="shared" si="742"/>
        <v/>
      </c>
      <c r="F4755" s="31"/>
      <c r="G4755" s="29"/>
      <c r="H4755" s="78" t="str">
        <f t="shared" si="746"/>
        <v/>
      </c>
      <c r="I4755" s="25"/>
      <c r="J4755" s="25"/>
      <c r="K4755" s="26"/>
      <c r="L4755" s="26"/>
      <c r="M4755" s="37"/>
      <c r="N4755" s="27"/>
      <c r="O4755" s="30"/>
      <c r="P4755" s="39" t="str">
        <f t="shared" si="747"/>
        <v/>
      </c>
      <c r="Q4755" s="40" t="str">
        <f>IF(OR(T4755=0,RIGHT(T4755,1)=$W$1),"",COUNTIF($T$3:T4755,T4755))</f>
        <v/>
      </c>
      <c r="S4755" s="6">
        <f t="shared" si="748"/>
        <v>0</v>
      </c>
      <c r="T4755" s="36">
        <f t="shared" si="749"/>
        <v>0</v>
      </c>
      <c r="V4755" s="6">
        <f t="shared" si="750"/>
        <v>0</v>
      </c>
      <c r="Y4755" s="8">
        <f t="shared" si="751"/>
        <v>46023</v>
      </c>
    </row>
    <row r="4756" spans="2:25" ht="18.75" x14ac:dyDescent="0.3">
      <c r="B4756" s="6">
        <f t="shared" si="743"/>
        <v>0</v>
      </c>
      <c r="C4756" s="6">
        <f t="shared" si="744"/>
        <v>0</v>
      </c>
      <c r="D4756" s="6" t="str">
        <f t="shared" si="745"/>
        <v/>
      </c>
      <c r="E4756" s="35" t="str">
        <f t="shared" si="742"/>
        <v/>
      </c>
      <c r="F4756" s="31"/>
      <c r="G4756" s="29"/>
      <c r="H4756" s="78" t="str">
        <f t="shared" si="746"/>
        <v/>
      </c>
      <c r="I4756" s="25"/>
      <c r="J4756" s="25"/>
      <c r="K4756" s="26"/>
      <c r="L4756" s="26"/>
      <c r="M4756" s="37"/>
      <c r="N4756" s="27"/>
      <c r="O4756" s="30"/>
      <c r="P4756" s="39" t="str">
        <f t="shared" si="747"/>
        <v/>
      </c>
      <c r="Q4756" s="40" t="str">
        <f>IF(OR(T4756=0,RIGHT(T4756,1)=$W$1),"",COUNTIF($T$3:T4756,T4756))</f>
        <v/>
      </c>
      <c r="S4756" s="6">
        <f t="shared" si="748"/>
        <v>0</v>
      </c>
      <c r="T4756" s="36">
        <f t="shared" si="749"/>
        <v>0</v>
      </c>
      <c r="V4756" s="6">
        <f t="shared" si="750"/>
        <v>0</v>
      </c>
      <c r="Y4756" s="8">
        <f t="shared" si="751"/>
        <v>46023</v>
      </c>
    </row>
    <row r="4757" spans="2:25" ht="18.75" x14ac:dyDescent="0.3">
      <c r="B4757" s="6">
        <f t="shared" si="743"/>
        <v>0</v>
      </c>
      <c r="C4757" s="6">
        <f t="shared" si="744"/>
        <v>0</v>
      </c>
      <c r="D4757" s="6" t="str">
        <f t="shared" si="745"/>
        <v/>
      </c>
      <c r="E4757" s="35" t="str">
        <f t="shared" si="742"/>
        <v/>
      </c>
      <c r="F4757" s="31"/>
      <c r="G4757" s="29"/>
      <c r="H4757" s="78" t="str">
        <f t="shared" si="746"/>
        <v/>
      </c>
      <c r="I4757" s="25"/>
      <c r="J4757" s="25"/>
      <c r="K4757" s="26"/>
      <c r="L4757" s="26"/>
      <c r="M4757" s="37"/>
      <c r="N4757" s="27"/>
      <c r="O4757" s="30"/>
      <c r="P4757" s="39" t="str">
        <f t="shared" si="747"/>
        <v/>
      </c>
      <c r="Q4757" s="40" t="str">
        <f>IF(OR(T4757=0,RIGHT(T4757,1)=$W$1),"",COUNTIF($T$3:T4757,T4757))</f>
        <v/>
      </c>
      <c r="S4757" s="6">
        <f t="shared" si="748"/>
        <v>0</v>
      </c>
      <c r="T4757" s="36">
        <f t="shared" si="749"/>
        <v>0</v>
      </c>
      <c r="V4757" s="6">
        <f t="shared" si="750"/>
        <v>0</v>
      </c>
      <c r="Y4757" s="8">
        <f t="shared" si="751"/>
        <v>46023</v>
      </c>
    </row>
    <row r="4758" spans="2:25" ht="18.75" x14ac:dyDescent="0.3">
      <c r="B4758" s="6">
        <f t="shared" si="743"/>
        <v>0</v>
      </c>
      <c r="C4758" s="6">
        <f t="shared" si="744"/>
        <v>0</v>
      </c>
      <c r="D4758" s="6" t="str">
        <f t="shared" si="745"/>
        <v/>
      </c>
      <c r="E4758" s="35" t="str">
        <f t="shared" si="742"/>
        <v/>
      </c>
      <c r="F4758" s="31"/>
      <c r="G4758" s="29"/>
      <c r="H4758" s="78" t="str">
        <f t="shared" si="746"/>
        <v/>
      </c>
      <c r="I4758" s="25"/>
      <c r="J4758" s="25"/>
      <c r="K4758" s="26"/>
      <c r="L4758" s="26"/>
      <c r="M4758" s="37"/>
      <c r="N4758" s="27"/>
      <c r="O4758" s="30"/>
      <c r="P4758" s="39" t="str">
        <f t="shared" si="747"/>
        <v/>
      </c>
      <c r="Q4758" s="40" t="str">
        <f>IF(OR(T4758=0,RIGHT(T4758,1)=$W$1),"",COUNTIF($T$3:T4758,T4758))</f>
        <v/>
      </c>
      <c r="S4758" s="6">
        <f t="shared" si="748"/>
        <v>0</v>
      </c>
      <c r="T4758" s="36">
        <f t="shared" si="749"/>
        <v>0</v>
      </c>
      <c r="V4758" s="6">
        <f t="shared" si="750"/>
        <v>0</v>
      </c>
      <c r="Y4758" s="8">
        <f t="shared" si="751"/>
        <v>46023</v>
      </c>
    </row>
    <row r="4759" spans="2:25" ht="18.75" x14ac:dyDescent="0.3">
      <c r="B4759" s="6">
        <f t="shared" si="743"/>
        <v>0</v>
      </c>
      <c r="C4759" s="6">
        <f t="shared" si="744"/>
        <v>0</v>
      </c>
      <c r="D4759" s="6" t="str">
        <f t="shared" si="745"/>
        <v/>
      </c>
      <c r="E4759" s="35" t="str">
        <f t="shared" si="742"/>
        <v/>
      </c>
      <c r="F4759" s="31"/>
      <c r="G4759" s="29"/>
      <c r="H4759" s="78" t="str">
        <f t="shared" si="746"/>
        <v/>
      </c>
      <c r="I4759" s="25"/>
      <c r="J4759" s="25"/>
      <c r="K4759" s="26"/>
      <c r="L4759" s="26"/>
      <c r="M4759" s="37"/>
      <c r="N4759" s="27"/>
      <c r="O4759" s="30"/>
      <c r="P4759" s="39" t="str">
        <f t="shared" si="747"/>
        <v/>
      </c>
      <c r="Q4759" s="40" t="str">
        <f>IF(OR(T4759=0,RIGHT(T4759,1)=$W$1),"",COUNTIF($T$3:T4759,T4759))</f>
        <v/>
      </c>
      <c r="S4759" s="6">
        <f t="shared" si="748"/>
        <v>0</v>
      </c>
      <c r="T4759" s="36">
        <f t="shared" si="749"/>
        <v>0</v>
      </c>
      <c r="V4759" s="6">
        <f t="shared" si="750"/>
        <v>0</v>
      </c>
      <c r="Y4759" s="8">
        <f t="shared" si="751"/>
        <v>46023</v>
      </c>
    </row>
    <row r="4760" spans="2:25" ht="18.75" x14ac:dyDescent="0.3">
      <c r="B4760" s="6">
        <f t="shared" si="743"/>
        <v>0</v>
      </c>
      <c r="C4760" s="6">
        <f t="shared" si="744"/>
        <v>0</v>
      </c>
      <c r="D4760" s="6" t="str">
        <f t="shared" si="745"/>
        <v/>
      </c>
      <c r="E4760" s="35" t="str">
        <f t="shared" si="742"/>
        <v/>
      </c>
      <c r="F4760" s="31"/>
      <c r="G4760" s="29"/>
      <c r="H4760" s="78" t="str">
        <f t="shared" si="746"/>
        <v/>
      </c>
      <c r="I4760" s="25"/>
      <c r="J4760" s="25"/>
      <c r="K4760" s="26"/>
      <c r="L4760" s="26"/>
      <c r="M4760" s="37"/>
      <c r="N4760" s="27"/>
      <c r="O4760" s="30"/>
      <c r="P4760" s="39" t="str">
        <f t="shared" si="747"/>
        <v/>
      </c>
      <c r="Q4760" s="40" t="str">
        <f>IF(OR(T4760=0,RIGHT(T4760,1)=$W$1),"",COUNTIF($T$3:T4760,T4760))</f>
        <v/>
      </c>
      <c r="S4760" s="6">
        <f t="shared" si="748"/>
        <v>0</v>
      </c>
      <c r="T4760" s="36">
        <f t="shared" si="749"/>
        <v>0</v>
      </c>
      <c r="V4760" s="6">
        <f t="shared" si="750"/>
        <v>0</v>
      </c>
      <c r="Y4760" s="8">
        <f t="shared" si="751"/>
        <v>46023</v>
      </c>
    </row>
    <row r="4761" spans="2:25" ht="18.75" x14ac:dyDescent="0.3">
      <c r="B4761" s="6">
        <f t="shared" si="743"/>
        <v>0</v>
      </c>
      <c r="C4761" s="6">
        <f t="shared" si="744"/>
        <v>0</v>
      </c>
      <c r="D4761" s="6" t="str">
        <f t="shared" si="745"/>
        <v/>
      </c>
      <c r="E4761" s="35" t="str">
        <f t="shared" si="742"/>
        <v/>
      </c>
      <c r="F4761" s="31"/>
      <c r="G4761" s="29"/>
      <c r="H4761" s="78" t="str">
        <f t="shared" si="746"/>
        <v/>
      </c>
      <c r="I4761" s="25"/>
      <c r="J4761" s="25"/>
      <c r="K4761" s="26"/>
      <c r="L4761" s="26"/>
      <c r="M4761" s="37"/>
      <c r="N4761" s="27"/>
      <c r="O4761" s="30"/>
      <c r="P4761" s="39" t="str">
        <f t="shared" si="747"/>
        <v/>
      </c>
      <c r="Q4761" s="40" t="str">
        <f>IF(OR(T4761=0,RIGHT(T4761,1)=$W$1),"",COUNTIF($T$3:T4761,T4761))</f>
        <v/>
      </c>
      <c r="S4761" s="6">
        <f t="shared" si="748"/>
        <v>0</v>
      </c>
      <c r="T4761" s="36">
        <f t="shared" si="749"/>
        <v>0</v>
      </c>
      <c r="V4761" s="6">
        <f t="shared" si="750"/>
        <v>0</v>
      </c>
      <c r="Y4761" s="8">
        <f t="shared" si="751"/>
        <v>46023</v>
      </c>
    </row>
    <row r="4762" spans="2:25" ht="18.75" x14ac:dyDescent="0.3">
      <c r="B4762" s="6">
        <f t="shared" si="743"/>
        <v>0</v>
      </c>
      <c r="C4762" s="6">
        <f t="shared" si="744"/>
        <v>0</v>
      </c>
      <c r="D4762" s="6" t="str">
        <f t="shared" si="745"/>
        <v/>
      </c>
      <c r="E4762" s="35" t="str">
        <f t="shared" si="742"/>
        <v/>
      </c>
      <c r="F4762" s="31"/>
      <c r="G4762" s="29"/>
      <c r="H4762" s="78" t="str">
        <f t="shared" si="746"/>
        <v/>
      </c>
      <c r="I4762" s="25"/>
      <c r="J4762" s="25"/>
      <c r="K4762" s="26"/>
      <c r="L4762" s="26"/>
      <c r="M4762" s="37"/>
      <c r="N4762" s="27"/>
      <c r="O4762" s="30"/>
      <c r="P4762" s="39" t="str">
        <f t="shared" si="747"/>
        <v/>
      </c>
      <c r="Q4762" s="40" t="str">
        <f>IF(OR(T4762=0,RIGHT(T4762,1)=$W$1),"",COUNTIF($T$3:T4762,T4762))</f>
        <v/>
      </c>
      <c r="S4762" s="6">
        <f t="shared" si="748"/>
        <v>0</v>
      </c>
      <c r="T4762" s="36">
        <f t="shared" si="749"/>
        <v>0</v>
      </c>
      <c r="V4762" s="6">
        <f t="shared" si="750"/>
        <v>0</v>
      </c>
      <c r="Y4762" s="8">
        <f t="shared" si="751"/>
        <v>46023</v>
      </c>
    </row>
    <row r="4763" spans="2:25" ht="18.75" x14ac:dyDescent="0.3">
      <c r="B4763" s="6">
        <f t="shared" si="743"/>
        <v>0</v>
      </c>
      <c r="C4763" s="6">
        <f t="shared" si="744"/>
        <v>0</v>
      </c>
      <c r="D4763" s="6" t="str">
        <f t="shared" si="745"/>
        <v/>
      </c>
      <c r="E4763" s="35" t="str">
        <f t="shared" si="742"/>
        <v/>
      </c>
      <c r="F4763" s="31"/>
      <c r="G4763" s="29"/>
      <c r="H4763" s="78" t="str">
        <f t="shared" si="746"/>
        <v/>
      </c>
      <c r="I4763" s="25"/>
      <c r="J4763" s="25"/>
      <c r="K4763" s="26"/>
      <c r="L4763" s="26"/>
      <c r="M4763" s="37"/>
      <c r="N4763" s="27"/>
      <c r="O4763" s="30"/>
      <c r="P4763" s="39" t="str">
        <f t="shared" si="747"/>
        <v/>
      </c>
      <c r="Q4763" s="40" t="str">
        <f>IF(OR(T4763=0,RIGHT(T4763,1)=$W$1),"",COUNTIF($T$3:T4763,T4763))</f>
        <v/>
      </c>
      <c r="S4763" s="6">
        <f t="shared" si="748"/>
        <v>0</v>
      </c>
      <c r="T4763" s="36">
        <f t="shared" si="749"/>
        <v>0</v>
      </c>
      <c r="V4763" s="6">
        <f t="shared" si="750"/>
        <v>0</v>
      </c>
      <c r="Y4763" s="8">
        <f t="shared" si="751"/>
        <v>46023</v>
      </c>
    </row>
    <row r="4764" spans="2:25" ht="18.75" x14ac:dyDescent="0.3">
      <c r="B4764" s="6">
        <f t="shared" si="743"/>
        <v>0</v>
      </c>
      <c r="C4764" s="6">
        <f t="shared" si="744"/>
        <v>0</v>
      </c>
      <c r="D4764" s="6" t="str">
        <f t="shared" si="745"/>
        <v/>
      </c>
      <c r="E4764" s="35" t="str">
        <f t="shared" si="742"/>
        <v/>
      </c>
      <c r="F4764" s="31"/>
      <c r="G4764" s="29"/>
      <c r="H4764" s="78" t="str">
        <f t="shared" si="746"/>
        <v/>
      </c>
      <c r="I4764" s="25"/>
      <c r="J4764" s="25"/>
      <c r="K4764" s="26"/>
      <c r="L4764" s="26"/>
      <c r="M4764" s="37"/>
      <c r="N4764" s="27"/>
      <c r="O4764" s="30"/>
      <c r="P4764" s="39" t="str">
        <f t="shared" si="747"/>
        <v/>
      </c>
      <c r="Q4764" s="40" t="str">
        <f>IF(OR(T4764=0,RIGHT(T4764,1)=$W$1),"",COUNTIF($T$3:T4764,T4764))</f>
        <v/>
      </c>
      <c r="S4764" s="6">
        <f t="shared" si="748"/>
        <v>0</v>
      </c>
      <c r="T4764" s="36">
        <f t="shared" si="749"/>
        <v>0</v>
      </c>
      <c r="V4764" s="6">
        <f t="shared" si="750"/>
        <v>0</v>
      </c>
      <c r="Y4764" s="8">
        <f t="shared" si="751"/>
        <v>46023</v>
      </c>
    </row>
    <row r="4765" spans="2:25" ht="18.75" x14ac:dyDescent="0.3">
      <c r="B4765" s="6">
        <f t="shared" si="743"/>
        <v>0</v>
      </c>
      <c r="C4765" s="6">
        <f t="shared" si="744"/>
        <v>0</v>
      </c>
      <c r="D4765" s="6" t="str">
        <f t="shared" si="745"/>
        <v/>
      </c>
      <c r="E4765" s="35" t="str">
        <f t="shared" si="742"/>
        <v/>
      </c>
      <c r="F4765" s="31"/>
      <c r="G4765" s="29"/>
      <c r="H4765" s="78" t="str">
        <f t="shared" si="746"/>
        <v/>
      </c>
      <c r="I4765" s="25"/>
      <c r="J4765" s="25"/>
      <c r="K4765" s="26"/>
      <c r="L4765" s="26"/>
      <c r="M4765" s="37"/>
      <c r="N4765" s="27"/>
      <c r="O4765" s="30"/>
      <c r="P4765" s="39" t="str">
        <f t="shared" si="747"/>
        <v/>
      </c>
      <c r="Q4765" s="40" t="str">
        <f>IF(OR(T4765=0,RIGHT(T4765,1)=$W$1),"",COUNTIF($T$3:T4765,T4765))</f>
        <v/>
      </c>
      <c r="S4765" s="6">
        <f t="shared" si="748"/>
        <v>0</v>
      </c>
      <c r="T4765" s="36">
        <f t="shared" si="749"/>
        <v>0</v>
      </c>
      <c r="V4765" s="6">
        <f t="shared" si="750"/>
        <v>0</v>
      </c>
      <c r="Y4765" s="8">
        <f t="shared" si="751"/>
        <v>46023</v>
      </c>
    </row>
    <row r="4766" spans="2:25" ht="18.75" x14ac:dyDescent="0.3">
      <c r="B4766" s="6">
        <f t="shared" si="743"/>
        <v>0</v>
      </c>
      <c r="C4766" s="6">
        <f t="shared" si="744"/>
        <v>0</v>
      </c>
      <c r="D4766" s="6" t="str">
        <f t="shared" si="745"/>
        <v/>
      </c>
      <c r="E4766" s="35" t="str">
        <f t="shared" si="742"/>
        <v/>
      </c>
      <c r="F4766" s="31"/>
      <c r="G4766" s="29"/>
      <c r="H4766" s="78" t="str">
        <f t="shared" si="746"/>
        <v/>
      </c>
      <c r="I4766" s="25"/>
      <c r="J4766" s="25"/>
      <c r="K4766" s="26"/>
      <c r="L4766" s="26"/>
      <c r="M4766" s="37"/>
      <c r="N4766" s="27"/>
      <c r="O4766" s="30"/>
      <c r="P4766" s="39" t="str">
        <f t="shared" si="747"/>
        <v/>
      </c>
      <c r="Q4766" s="40" t="str">
        <f>IF(OR(T4766=0,RIGHT(T4766,1)=$W$1),"",COUNTIF($T$3:T4766,T4766))</f>
        <v/>
      </c>
      <c r="S4766" s="6">
        <f t="shared" si="748"/>
        <v>0</v>
      </c>
      <c r="T4766" s="36">
        <f t="shared" si="749"/>
        <v>0</v>
      </c>
      <c r="V4766" s="6">
        <f t="shared" si="750"/>
        <v>0</v>
      </c>
      <c r="Y4766" s="8">
        <f t="shared" si="751"/>
        <v>46023</v>
      </c>
    </row>
    <row r="4767" spans="2:25" ht="18.75" x14ac:dyDescent="0.3">
      <c r="B4767" s="6">
        <f t="shared" si="743"/>
        <v>0</v>
      </c>
      <c r="C4767" s="6">
        <f t="shared" si="744"/>
        <v>0</v>
      </c>
      <c r="D4767" s="6" t="str">
        <f t="shared" si="745"/>
        <v/>
      </c>
      <c r="E4767" s="35" t="str">
        <f t="shared" si="742"/>
        <v/>
      </c>
      <c r="F4767" s="31"/>
      <c r="G4767" s="29"/>
      <c r="H4767" s="78" t="str">
        <f t="shared" si="746"/>
        <v/>
      </c>
      <c r="I4767" s="25"/>
      <c r="J4767" s="25"/>
      <c r="K4767" s="26"/>
      <c r="L4767" s="26"/>
      <c r="M4767" s="37"/>
      <c r="N4767" s="27"/>
      <c r="O4767" s="30"/>
      <c r="P4767" s="39" t="str">
        <f t="shared" si="747"/>
        <v/>
      </c>
      <c r="Q4767" s="40" t="str">
        <f>IF(OR(T4767=0,RIGHT(T4767,1)=$W$1),"",COUNTIF($T$3:T4767,T4767))</f>
        <v/>
      </c>
      <c r="S4767" s="6">
        <f t="shared" si="748"/>
        <v>0</v>
      </c>
      <c r="T4767" s="36">
        <f t="shared" si="749"/>
        <v>0</v>
      </c>
      <c r="V4767" s="6">
        <f t="shared" si="750"/>
        <v>0</v>
      </c>
      <c r="Y4767" s="8">
        <f t="shared" si="751"/>
        <v>46023</v>
      </c>
    </row>
    <row r="4768" spans="2:25" ht="18.75" x14ac:dyDescent="0.3">
      <c r="B4768" s="6">
        <f t="shared" si="743"/>
        <v>0</v>
      </c>
      <c r="C4768" s="6">
        <f t="shared" si="744"/>
        <v>0</v>
      </c>
      <c r="D4768" s="6" t="str">
        <f t="shared" si="745"/>
        <v/>
      </c>
      <c r="E4768" s="35" t="str">
        <f t="shared" si="742"/>
        <v/>
      </c>
      <c r="F4768" s="31"/>
      <c r="G4768" s="29"/>
      <c r="H4768" s="78" t="str">
        <f t="shared" si="746"/>
        <v/>
      </c>
      <c r="I4768" s="25"/>
      <c r="J4768" s="25"/>
      <c r="K4768" s="26"/>
      <c r="L4768" s="26"/>
      <c r="M4768" s="37"/>
      <c r="N4768" s="27"/>
      <c r="O4768" s="30"/>
      <c r="P4768" s="39" t="str">
        <f t="shared" si="747"/>
        <v/>
      </c>
      <c r="Q4768" s="40" t="str">
        <f>IF(OR(T4768=0,RIGHT(T4768,1)=$W$1),"",COUNTIF($T$3:T4768,T4768))</f>
        <v/>
      </c>
      <c r="S4768" s="6">
        <f t="shared" si="748"/>
        <v>0</v>
      </c>
      <c r="T4768" s="36">
        <f t="shared" si="749"/>
        <v>0</v>
      </c>
      <c r="V4768" s="6">
        <f t="shared" si="750"/>
        <v>0</v>
      </c>
      <c r="Y4768" s="8">
        <f t="shared" si="751"/>
        <v>46023</v>
      </c>
    </row>
    <row r="4769" spans="2:25" ht="18.75" x14ac:dyDescent="0.3">
      <c r="B4769" s="6">
        <f t="shared" si="743"/>
        <v>0</v>
      </c>
      <c r="C4769" s="6">
        <f t="shared" si="744"/>
        <v>0</v>
      </c>
      <c r="D4769" s="6" t="str">
        <f t="shared" si="745"/>
        <v/>
      </c>
      <c r="E4769" s="35" t="str">
        <f t="shared" si="742"/>
        <v/>
      </c>
      <c r="F4769" s="31"/>
      <c r="G4769" s="29"/>
      <c r="H4769" s="78" t="str">
        <f t="shared" si="746"/>
        <v/>
      </c>
      <c r="I4769" s="25"/>
      <c r="J4769" s="25"/>
      <c r="K4769" s="26"/>
      <c r="L4769" s="26"/>
      <c r="M4769" s="37"/>
      <c r="N4769" s="27"/>
      <c r="O4769" s="30"/>
      <c r="P4769" s="39" t="str">
        <f t="shared" si="747"/>
        <v/>
      </c>
      <c r="Q4769" s="40" t="str">
        <f>IF(OR(T4769=0,RIGHT(T4769,1)=$W$1),"",COUNTIF($T$3:T4769,T4769))</f>
        <v/>
      </c>
      <c r="S4769" s="6">
        <f t="shared" si="748"/>
        <v>0</v>
      </c>
      <c r="T4769" s="36">
        <f t="shared" si="749"/>
        <v>0</v>
      </c>
      <c r="V4769" s="6">
        <f t="shared" si="750"/>
        <v>0</v>
      </c>
      <c r="Y4769" s="8">
        <f t="shared" si="751"/>
        <v>46023</v>
      </c>
    </row>
    <row r="4770" spans="2:25" ht="18.75" x14ac:dyDescent="0.3">
      <c r="B4770" s="6">
        <f t="shared" si="743"/>
        <v>0</v>
      </c>
      <c r="C4770" s="6">
        <f t="shared" si="744"/>
        <v>0</v>
      </c>
      <c r="D4770" s="6" t="str">
        <f t="shared" si="745"/>
        <v/>
      </c>
      <c r="E4770" s="35" t="str">
        <f t="shared" si="742"/>
        <v/>
      </c>
      <c r="F4770" s="31"/>
      <c r="G4770" s="29"/>
      <c r="H4770" s="78" t="str">
        <f t="shared" si="746"/>
        <v/>
      </c>
      <c r="I4770" s="25"/>
      <c r="J4770" s="25"/>
      <c r="K4770" s="26"/>
      <c r="L4770" s="26"/>
      <c r="M4770" s="37"/>
      <c r="N4770" s="27"/>
      <c r="O4770" s="30"/>
      <c r="P4770" s="39" t="str">
        <f t="shared" si="747"/>
        <v/>
      </c>
      <c r="Q4770" s="40" t="str">
        <f>IF(OR(T4770=0,RIGHT(T4770,1)=$W$1),"",COUNTIF($T$3:T4770,T4770))</f>
        <v/>
      </c>
      <c r="S4770" s="6">
        <f t="shared" si="748"/>
        <v>0</v>
      </c>
      <c r="T4770" s="36">
        <f t="shared" si="749"/>
        <v>0</v>
      </c>
      <c r="V4770" s="6">
        <f t="shared" si="750"/>
        <v>0</v>
      </c>
      <c r="Y4770" s="8">
        <f t="shared" si="751"/>
        <v>46023</v>
      </c>
    </row>
    <row r="4771" spans="2:25" ht="18.75" x14ac:dyDescent="0.3">
      <c r="B4771" s="6">
        <f t="shared" si="743"/>
        <v>0</v>
      </c>
      <c r="C4771" s="6">
        <f t="shared" si="744"/>
        <v>0</v>
      </c>
      <c r="D4771" s="6" t="str">
        <f t="shared" si="745"/>
        <v/>
      </c>
      <c r="E4771" s="35" t="str">
        <f t="shared" si="742"/>
        <v/>
      </c>
      <c r="F4771" s="31"/>
      <c r="G4771" s="29"/>
      <c r="H4771" s="78" t="str">
        <f t="shared" si="746"/>
        <v/>
      </c>
      <c r="I4771" s="25"/>
      <c r="J4771" s="25"/>
      <c r="K4771" s="26"/>
      <c r="L4771" s="26"/>
      <c r="M4771" s="37"/>
      <c r="N4771" s="27"/>
      <c r="O4771" s="30"/>
      <c r="P4771" s="39" t="str">
        <f t="shared" si="747"/>
        <v/>
      </c>
      <c r="Q4771" s="40" t="str">
        <f>IF(OR(T4771=0,RIGHT(T4771,1)=$W$1),"",COUNTIF($T$3:T4771,T4771))</f>
        <v/>
      </c>
      <c r="S4771" s="6">
        <f t="shared" si="748"/>
        <v>0</v>
      </c>
      <c r="T4771" s="36">
        <f t="shared" si="749"/>
        <v>0</v>
      </c>
      <c r="V4771" s="6">
        <f t="shared" si="750"/>
        <v>0</v>
      </c>
      <c r="Y4771" s="8">
        <f t="shared" si="751"/>
        <v>46023</v>
      </c>
    </row>
    <row r="4772" spans="2:25" ht="18.75" x14ac:dyDescent="0.3">
      <c r="B4772" s="6">
        <f t="shared" si="743"/>
        <v>0</v>
      </c>
      <c r="C4772" s="6">
        <f t="shared" si="744"/>
        <v>0</v>
      </c>
      <c r="D4772" s="6" t="str">
        <f t="shared" si="745"/>
        <v/>
      </c>
      <c r="E4772" s="35" t="str">
        <f t="shared" si="742"/>
        <v/>
      </c>
      <c r="F4772" s="31"/>
      <c r="G4772" s="29"/>
      <c r="H4772" s="78" t="str">
        <f t="shared" si="746"/>
        <v/>
      </c>
      <c r="I4772" s="25"/>
      <c r="J4772" s="25"/>
      <c r="K4772" s="26"/>
      <c r="L4772" s="26"/>
      <c r="M4772" s="37"/>
      <c r="N4772" s="27"/>
      <c r="O4772" s="30"/>
      <c r="P4772" s="39" t="str">
        <f t="shared" si="747"/>
        <v/>
      </c>
      <c r="Q4772" s="40" t="str">
        <f>IF(OR(T4772=0,RIGHT(T4772,1)=$W$1),"",COUNTIF($T$3:T4772,T4772))</f>
        <v/>
      </c>
      <c r="S4772" s="6">
        <f t="shared" si="748"/>
        <v>0</v>
      </c>
      <c r="T4772" s="36">
        <f t="shared" si="749"/>
        <v>0</v>
      </c>
      <c r="V4772" s="6">
        <f t="shared" si="750"/>
        <v>0</v>
      </c>
      <c r="Y4772" s="8">
        <f t="shared" si="751"/>
        <v>46023</v>
      </c>
    </row>
    <row r="4773" spans="2:25" ht="18.75" x14ac:dyDescent="0.3">
      <c r="B4773" s="6">
        <f t="shared" si="743"/>
        <v>0</v>
      </c>
      <c r="C4773" s="6">
        <f t="shared" si="744"/>
        <v>0</v>
      </c>
      <c r="D4773" s="6" t="str">
        <f t="shared" si="745"/>
        <v/>
      </c>
      <c r="E4773" s="35" t="str">
        <f t="shared" si="742"/>
        <v/>
      </c>
      <c r="F4773" s="31"/>
      <c r="G4773" s="29"/>
      <c r="H4773" s="78" t="str">
        <f t="shared" si="746"/>
        <v/>
      </c>
      <c r="I4773" s="25"/>
      <c r="J4773" s="25"/>
      <c r="K4773" s="26"/>
      <c r="L4773" s="26"/>
      <c r="M4773" s="37"/>
      <c r="N4773" s="27"/>
      <c r="O4773" s="30"/>
      <c r="P4773" s="39" t="str">
        <f t="shared" si="747"/>
        <v/>
      </c>
      <c r="Q4773" s="40" t="str">
        <f>IF(OR(T4773=0,RIGHT(T4773,1)=$W$1),"",COUNTIF($T$3:T4773,T4773))</f>
        <v/>
      </c>
      <c r="S4773" s="6">
        <f t="shared" si="748"/>
        <v>0</v>
      </c>
      <c r="T4773" s="36">
        <f t="shared" si="749"/>
        <v>0</v>
      </c>
      <c r="V4773" s="6">
        <f t="shared" si="750"/>
        <v>0</v>
      </c>
      <c r="Y4773" s="8">
        <f t="shared" si="751"/>
        <v>46023</v>
      </c>
    </row>
    <row r="4774" spans="2:25" ht="18.75" x14ac:dyDescent="0.3">
      <c r="B4774" s="6">
        <f t="shared" si="743"/>
        <v>0</v>
      </c>
      <c r="C4774" s="6">
        <f t="shared" si="744"/>
        <v>0</v>
      </c>
      <c r="D4774" s="6" t="str">
        <f t="shared" si="745"/>
        <v/>
      </c>
      <c r="E4774" s="35" t="str">
        <f t="shared" si="742"/>
        <v/>
      </c>
      <c r="F4774" s="31"/>
      <c r="G4774" s="29"/>
      <c r="H4774" s="78" t="str">
        <f t="shared" si="746"/>
        <v/>
      </c>
      <c r="I4774" s="25"/>
      <c r="J4774" s="25"/>
      <c r="K4774" s="26"/>
      <c r="L4774" s="26"/>
      <c r="M4774" s="37"/>
      <c r="N4774" s="27"/>
      <c r="O4774" s="30"/>
      <c r="P4774" s="39" t="str">
        <f t="shared" si="747"/>
        <v/>
      </c>
      <c r="Q4774" s="40" t="str">
        <f>IF(OR(T4774=0,RIGHT(T4774,1)=$W$1),"",COUNTIF($T$3:T4774,T4774))</f>
        <v/>
      </c>
      <c r="S4774" s="6">
        <f t="shared" si="748"/>
        <v>0</v>
      </c>
      <c r="T4774" s="36">
        <f t="shared" si="749"/>
        <v>0</v>
      </c>
      <c r="V4774" s="6">
        <f t="shared" si="750"/>
        <v>0</v>
      </c>
      <c r="Y4774" s="8">
        <f t="shared" si="751"/>
        <v>46023</v>
      </c>
    </row>
    <row r="4775" spans="2:25" ht="18.75" x14ac:dyDescent="0.3">
      <c r="B4775" s="6">
        <f t="shared" si="743"/>
        <v>0</v>
      </c>
      <c r="C4775" s="6">
        <f t="shared" si="744"/>
        <v>0</v>
      </c>
      <c r="D4775" s="6" t="str">
        <f t="shared" si="745"/>
        <v/>
      </c>
      <c r="E4775" s="35" t="str">
        <f t="shared" si="742"/>
        <v/>
      </c>
      <c r="F4775" s="31"/>
      <c r="G4775" s="29"/>
      <c r="H4775" s="78" t="str">
        <f t="shared" si="746"/>
        <v/>
      </c>
      <c r="I4775" s="25"/>
      <c r="J4775" s="25"/>
      <c r="K4775" s="26"/>
      <c r="L4775" s="26"/>
      <c r="M4775" s="37"/>
      <c r="N4775" s="27"/>
      <c r="O4775" s="30"/>
      <c r="P4775" s="39" t="str">
        <f t="shared" si="747"/>
        <v/>
      </c>
      <c r="Q4775" s="40" t="str">
        <f>IF(OR(T4775=0,RIGHT(T4775,1)=$W$1),"",COUNTIF($T$3:T4775,T4775))</f>
        <v/>
      </c>
      <c r="S4775" s="6">
        <f t="shared" si="748"/>
        <v>0</v>
      </c>
      <c r="T4775" s="36">
        <f t="shared" si="749"/>
        <v>0</v>
      </c>
      <c r="V4775" s="6">
        <f t="shared" si="750"/>
        <v>0</v>
      </c>
      <c r="Y4775" s="8">
        <f t="shared" si="751"/>
        <v>46023</v>
      </c>
    </row>
    <row r="4776" spans="2:25" ht="18.75" x14ac:dyDescent="0.3">
      <c r="B4776" s="6">
        <f t="shared" si="743"/>
        <v>0</v>
      </c>
      <c r="C4776" s="6">
        <f t="shared" si="744"/>
        <v>0</v>
      </c>
      <c r="D4776" s="6" t="str">
        <f t="shared" si="745"/>
        <v/>
      </c>
      <c r="E4776" s="35" t="str">
        <f t="shared" si="742"/>
        <v/>
      </c>
      <c r="F4776" s="31"/>
      <c r="G4776" s="29"/>
      <c r="H4776" s="78" t="str">
        <f t="shared" si="746"/>
        <v/>
      </c>
      <c r="I4776" s="25"/>
      <c r="J4776" s="25"/>
      <c r="K4776" s="26"/>
      <c r="L4776" s="26"/>
      <c r="M4776" s="37"/>
      <c r="N4776" s="27"/>
      <c r="O4776" s="30"/>
      <c r="P4776" s="39" t="str">
        <f t="shared" si="747"/>
        <v/>
      </c>
      <c r="Q4776" s="40" t="str">
        <f>IF(OR(T4776=0,RIGHT(T4776,1)=$W$1),"",COUNTIF($T$3:T4776,T4776))</f>
        <v/>
      </c>
      <c r="S4776" s="6">
        <f t="shared" si="748"/>
        <v>0</v>
      </c>
      <c r="T4776" s="36">
        <f t="shared" si="749"/>
        <v>0</v>
      </c>
      <c r="V4776" s="6">
        <f t="shared" si="750"/>
        <v>0</v>
      </c>
      <c r="Y4776" s="8">
        <f t="shared" si="751"/>
        <v>46023</v>
      </c>
    </row>
    <row r="4777" spans="2:25" ht="18.75" x14ac:dyDescent="0.3">
      <c r="B4777" s="6">
        <f t="shared" si="743"/>
        <v>0</v>
      </c>
      <c r="C4777" s="6">
        <f t="shared" si="744"/>
        <v>0</v>
      </c>
      <c r="D4777" s="6" t="str">
        <f t="shared" si="745"/>
        <v/>
      </c>
      <c r="E4777" s="35" t="str">
        <f t="shared" si="742"/>
        <v/>
      </c>
      <c r="F4777" s="31"/>
      <c r="G4777" s="29"/>
      <c r="H4777" s="78" t="str">
        <f t="shared" si="746"/>
        <v/>
      </c>
      <c r="I4777" s="25"/>
      <c r="J4777" s="25"/>
      <c r="K4777" s="26"/>
      <c r="L4777" s="26"/>
      <c r="M4777" s="37"/>
      <c r="N4777" s="27"/>
      <c r="O4777" s="30"/>
      <c r="P4777" s="39" t="str">
        <f t="shared" si="747"/>
        <v/>
      </c>
      <c r="Q4777" s="40" t="str">
        <f>IF(OR(T4777=0,RIGHT(T4777,1)=$W$1),"",COUNTIF($T$3:T4777,T4777))</f>
        <v/>
      </c>
      <c r="S4777" s="6">
        <f t="shared" si="748"/>
        <v>0</v>
      </c>
      <c r="T4777" s="36">
        <f t="shared" si="749"/>
        <v>0</v>
      </c>
      <c r="V4777" s="6">
        <f t="shared" si="750"/>
        <v>0</v>
      </c>
      <c r="Y4777" s="8">
        <f t="shared" si="751"/>
        <v>46023</v>
      </c>
    </row>
    <row r="4778" spans="2:25" ht="18.75" x14ac:dyDescent="0.3">
      <c r="B4778" s="6">
        <f t="shared" si="743"/>
        <v>0</v>
      </c>
      <c r="C4778" s="6">
        <f t="shared" si="744"/>
        <v>0</v>
      </c>
      <c r="D4778" s="6" t="str">
        <f t="shared" si="745"/>
        <v/>
      </c>
      <c r="E4778" s="35" t="str">
        <f t="shared" si="742"/>
        <v/>
      </c>
      <c r="F4778" s="31"/>
      <c r="G4778" s="29"/>
      <c r="H4778" s="78" t="str">
        <f t="shared" si="746"/>
        <v/>
      </c>
      <c r="I4778" s="25"/>
      <c r="J4778" s="25"/>
      <c r="K4778" s="26"/>
      <c r="L4778" s="26"/>
      <c r="M4778" s="37"/>
      <c r="N4778" s="27"/>
      <c r="O4778" s="30"/>
      <c r="P4778" s="39" t="str">
        <f t="shared" si="747"/>
        <v/>
      </c>
      <c r="Q4778" s="40" t="str">
        <f>IF(OR(T4778=0,RIGHT(T4778,1)=$W$1),"",COUNTIF($T$3:T4778,T4778))</f>
        <v/>
      </c>
      <c r="S4778" s="6">
        <f t="shared" si="748"/>
        <v>0</v>
      </c>
      <c r="T4778" s="36">
        <f t="shared" si="749"/>
        <v>0</v>
      </c>
      <c r="V4778" s="6">
        <f t="shared" si="750"/>
        <v>0</v>
      </c>
      <c r="Y4778" s="8">
        <f t="shared" si="751"/>
        <v>46023</v>
      </c>
    </row>
    <row r="4779" spans="2:25" ht="18.75" x14ac:dyDescent="0.3">
      <c r="B4779" s="6">
        <f t="shared" si="743"/>
        <v>0</v>
      </c>
      <c r="C4779" s="6">
        <f t="shared" si="744"/>
        <v>0</v>
      </c>
      <c r="D4779" s="6" t="str">
        <f t="shared" si="745"/>
        <v/>
      </c>
      <c r="E4779" s="35" t="str">
        <f t="shared" si="742"/>
        <v/>
      </c>
      <c r="F4779" s="31"/>
      <c r="G4779" s="29"/>
      <c r="H4779" s="78" t="str">
        <f t="shared" si="746"/>
        <v/>
      </c>
      <c r="I4779" s="25"/>
      <c r="J4779" s="25"/>
      <c r="K4779" s="26"/>
      <c r="L4779" s="26"/>
      <c r="M4779" s="37"/>
      <c r="N4779" s="27"/>
      <c r="O4779" s="30"/>
      <c r="P4779" s="39" t="str">
        <f t="shared" si="747"/>
        <v/>
      </c>
      <c r="Q4779" s="40" t="str">
        <f>IF(OR(T4779=0,RIGHT(T4779,1)=$W$1),"",COUNTIF($T$3:T4779,T4779))</f>
        <v/>
      </c>
      <c r="S4779" s="6">
        <f t="shared" si="748"/>
        <v>0</v>
      </c>
      <c r="T4779" s="36">
        <f t="shared" si="749"/>
        <v>0</v>
      </c>
      <c r="V4779" s="6">
        <f t="shared" si="750"/>
        <v>0</v>
      </c>
      <c r="Y4779" s="8">
        <f t="shared" si="751"/>
        <v>46023</v>
      </c>
    </row>
    <row r="4780" spans="2:25" ht="18.75" x14ac:dyDescent="0.3">
      <c r="B4780" s="6">
        <f t="shared" si="743"/>
        <v>0</v>
      </c>
      <c r="C4780" s="6">
        <f t="shared" si="744"/>
        <v>0</v>
      </c>
      <c r="D4780" s="6" t="str">
        <f t="shared" si="745"/>
        <v/>
      </c>
      <c r="E4780" s="35" t="str">
        <f t="shared" si="742"/>
        <v/>
      </c>
      <c r="F4780" s="31"/>
      <c r="G4780" s="29"/>
      <c r="H4780" s="78" t="str">
        <f t="shared" si="746"/>
        <v/>
      </c>
      <c r="I4780" s="25"/>
      <c r="J4780" s="25"/>
      <c r="K4780" s="26"/>
      <c r="L4780" s="26"/>
      <c r="M4780" s="37"/>
      <c r="N4780" s="27"/>
      <c r="O4780" s="30"/>
      <c r="P4780" s="39" t="str">
        <f t="shared" si="747"/>
        <v/>
      </c>
      <c r="Q4780" s="40" t="str">
        <f>IF(OR(T4780=0,RIGHT(T4780,1)=$W$1),"",COUNTIF($T$3:T4780,T4780))</f>
        <v/>
      </c>
      <c r="S4780" s="6">
        <f t="shared" si="748"/>
        <v>0</v>
      </c>
      <c r="T4780" s="36">
        <f t="shared" si="749"/>
        <v>0</v>
      </c>
      <c r="V4780" s="6">
        <f t="shared" si="750"/>
        <v>0</v>
      </c>
      <c r="Y4780" s="8">
        <f t="shared" si="751"/>
        <v>46023</v>
      </c>
    </row>
    <row r="4781" spans="2:25" ht="18.75" x14ac:dyDescent="0.3">
      <c r="B4781" s="6">
        <f t="shared" si="743"/>
        <v>0</v>
      </c>
      <c r="C4781" s="6">
        <f t="shared" si="744"/>
        <v>0</v>
      </c>
      <c r="D4781" s="6" t="str">
        <f t="shared" si="745"/>
        <v/>
      </c>
      <c r="E4781" s="35" t="str">
        <f t="shared" si="742"/>
        <v/>
      </c>
      <c r="F4781" s="31"/>
      <c r="G4781" s="29"/>
      <c r="H4781" s="78" t="str">
        <f t="shared" si="746"/>
        <v/>
      </c>
      <c r="I4781" s="25"/>
      <c r="J4781" s="25"/>
      <c r="K4781" s="26"/>
      <c r="L4781" s="26"/>
      <c r="M4781" s="37"/>
      <c r="N4781" s="27"/>
      <c r="O4781" s="30"/>
      <c r="P4781" s="39" t="str">
        <f t="shared" si="747"/>
        <v/>
      </c>
      <c r="Q4781" s="40" t="str">
        <f>IF(OR(T4781=0,RIGHT(T4781,1)=$W$1),"",COUNTIF($T$3:T4781,T4781))</f>
        <v/>
      </c>
      <c r="S4781" s="6">
        <f t="shared" si="748"/>
        <v>0</v>
      </c>
      <c r="T4781" s="36">
        <f t="shared" si="749"/>
        <v>0</v>
      </c>
      <c r="V4781" s="6">
        <f t="shared" si="750"/>
        <v>0</v>
      </c>
      <c r="Y4781" s="8">
        <f t="shared" si="751"/>
        <v>46023</v>
      </c>
    </row>
    <row r="4782" spans="2:25" ht="18.75" x14ac:dyDescent="0.3">
      <c r="B4782" s="6">
        <f t="shared" si="743"/>
        <v>0</v>
      </c>
      <c r="C4782" s="6">
        <f t="shared" si="744"/>
        <v>0</v>
      </c>
      <c r="D4782" s="6" t="str">
        <f t="shared" si="745"/>
        <v/>
      </c>
      <c r="E4782" s="35" t="str">
        <f t="shared" si="742"/>
        <v/>
      </c>
      <c r="F4782" s="31"/>
      <c r="G4782" s="29"/>
      <c r="H4782" s="78" t="str">
        <f t="shared" si="746"/>
        <v/>
      </c>
      <c r="I4782" s="25"/>
      <c r="J4782" s="25"/>
      <c r="K4782" s="26"/>
      <c r="L4782" s="26"/>
      <c r="M4782" s="37"/>
      <c r="N4782" s="27"/>
      <c r="O4782" s="30"/>
      <c r="P4782" s="39" t="str">
        <f t="shared" si="747"/>
        <v/>
      </c>
      <c r="Q4782" s="40" t="str">
        <f>IF(OR(T4782=0,RIGHT(T4782,1)=$W$1),"",COUNTIF($T$3:T4782,T4782))</f>
        <v/>
      </c>
      <c r="S4782" s="6">
        <f t="shared" si="748"/>
        <v>0</v>
      </c>
      <c r="T4782" s="36">
        <f t="shared" si="749"/>
        <v>0</v>
      </c>
      <c r="V4782" s="6">
        <f t="shared" si="750"/>
        <v>0</v>
      </c>
      <c r="Y4782" s="8">
        <f t="shared" si="751"/>
        <v>46023</v>
      </c>
    </row>
    <row r="4783" spans="2:25" ht="18.75" x14ac:dyDescent="0.3">
      <c r="B4783" s="6">
        <f t="shared" si="743"/>
        <v>0</v>
      </c>
      <c r="C4783" s="6">
        <f t="shared" si="744"/>
        <v>0</v>
      </c>
      <c r="D4783" s="6" t="str">
        <f t="shared" si="745"/>
        <v/>
      </c>
      <c r="E4783" s="35" t="str">
        <f t="shared" si="742"/>
        <v/>
      </c>
      <c r="F4783" s="31"/>
      <c r="G4783" s="29"/>
      <c r="H4783" s="78" t="str">
        <f t="shared" si="746"/>
        <v/>
      </c>
      <c r="I4783" s="25"/>
      <c r="J4783" s="25"/>
      <c r="K4783" s="26"/>
      <c r="L4783" s="26"/>
      <c r="M4783" s="37"/>
      <c r="N4783" s="27"/>
      <c r="O4783" s="30"/>
      <c r="P4783" s="39" t="str">
        <f t="shared" si="747"/>
        <v/>
      </c>
      <c r="Q4783" s="40" t="str">
        <f>IF(OR(T4783=0,RIGHT(T4783,1)=$W$1),"",COUNTIF($T$3:T4783,T4783))</f>
        <v/>
      </c>
      <c r="S4783" s="6">
        <f t="shared" si="748"/>
        <v>0</v>
      </c>
      <c r="T4783" s="36">
        <f t="shared" si="749"/>
        <v>0</v>
      </c>
      <c r="V4783" s="6">
        <f t="shared" si="750"/>
        <v>0</v>
      </c>
      <c r="Y4783" s="8">
        <f t="shared" si="751"/>
        <v>46023</v>
      </c>
    </row>
    <row r="4784" spans="2:25" ht="18.75" x14ac:dyDescent="0.3">
      <c r="B4784" s="6">
        <f t="shared" si="743"/>
        <v>0</v>
      </c>
      <c r="C4784" s="6">
        <f t="shared" si="744"/>
        <v>0</v>
      </c>
      <c r="D4784" s="6" t="str">
        <f t="shared" si="745"/>
        <v/>
      </c>
      <c r="E4784" s="35" t="str">
        <f t="shared" si="742"/>
        <v/>
      </c>
      <c r="F4784" s="31"/>
      <c r="G4784" s="29"/>
      <c r="H4784" s="78" t="str">
        <f t="shared" si="746"/>
        <v/>
      </c>
      <c r="I4784" s="25"/>
      <c r="J4784" s="25"/>
      <c r="K4784" s="26"/>
      <c r="L4784" s="26"/>
      <c r="M4784" s="37"/>
      <c r="N4784" s="27"/>
      <c r="O4784" s="30"/>
      <c r="P4784" s="39" t="str">
        <f t="shared" si="747"/>
        <v/>
      </c>
      <c r="Q4784" s="40" t="str">
        <f>IF(OR(T4784=0,RIGHT(T4784,1)=$W$1),"",COUNTIF($T$3:T4784,T4784))</f>
        <v/>
      </c>
      <c r="S4784" s="6">
        <f t="shared" si="748"/>
        <v>0</v>
      </c>
      <c r="T4784" s="36">
        <f t="shared" si="749"/>
        <v>0</v>
      </c>
      <c r="V4784" s="6">
        <f t="shared" si="750"/>
        <v>0</v>
      </c>
      <c r="Y4784" s="8">
        <f t="shared" si="751"/>
        <v>46023</v>
      </c>
    </row>
    <row r="4785" spans="2:25" ht="18.75" x14ac:dyDescent="0.3">
      <c r="B4785" s="6">
        <f t="shared" si="743"/>
        <v>0</v>
      </c>
      <c r="C4785" s="6">
        <f t="shared" si="744"/>
        <v>0</v>
      </c>
      <c r="D4785" s="6" t="str">
        <f t="shared" si="745"/>
        <v/>
      </c>
      <c r="E4785" s="35" t="str">
        <f t="shared" si="742"/>
        <v/>
      </c>
      <c r="F4785" s="31"/>
      <c r="G4785" s="29"/>
      <c r="H4785" s="78" t="str">
        <f t="shared" si="746"/>
        <v/>
      </c>
      <c r="I4785" s="25"/>
      <c r="J4785" s="25"/>
      <c r="K4785" s="26"/>
      <c r="L4785" s="26"/>
      <c r="M4785" s="37"/>
      <c r="N4785" s="27"/>
      <c r="O4785" s="30"/>
      <c r="P4785" s="39" t="str">
        <f t="shared" si="747"/>
        <v/>
      </c>
      <c r="Q4785" s="40" t="str">
        <f>IF(OR(T4785=0,RIGHT(T4785,1)=$W$1),"",COUNTIF($T$3:T4785,T4785))</f>
        <v/>
      </c>
      <c r="S4785" s="6">
        <f t="shared" si="748"/>
        <v>0</v>
      </c>
      <c r="T4785" s="36">
        <f t="shared" si="749"/>
        <v>0</v>
      </c>
      <c r="V4785" s="6">
        <f t="shared" si="750"/>
        <v>0</v>
      </c>
      <c r="Y4785" s="8">
        <f t="shared" si="751"/>
        <v>46023</v>
      </c>
    </row>
    <row r="4786" spans="2:25" ht="18.75" x14ac:dyDescent="0.3">
      <c r="B4786" s="6">
        <f t="shared" si="743"/>
        <v>0</v>
      </c>
      <c r="C4786" s="6">
        <f t="shared" si="744"/>
        <v>0</v>
      </c>
      <c r="D4786" s="6" t="str">
        <f t="shared" si="745"/>
        <v/>
      </c>
      <c r="E4786" s="35" t="str">
        <f t="shared" si="742"/>
        <v/>
      </c>
      <c r="F4786" s="31"/>
      <c r="G4786" s="29"/>
      <c r="H4786" s="78" t="str">
        <f t="shared" si="746"/>
        <v/>
      </c>
      <c r="I4786" s="25"/>
      <c r="J4786" s="25"/>
      <c r="K4786" s="26"/>
      <c r="L4786" s="26"/>
      <c r="M4786" s="37"/>
      <c r="N4786" s="27"/>
      <c r="O4786" s="30"/>
      <c r="P4786" s="39" t="str">
        <f t="shared" si="747"/>
        <v/>
      </c>
      <c r="Q4786" s="40" t="str">
        <f>IF(OR(T4786=0,RIGHT(T4786,1)=$W$1),"",COUNTIF($T$3:T4786,T4786))</f>
        <v/>
      </c>
      <c r="S4786" s="6">
        <f t="shared" si="748"/>
        <v>0</v>
      </c>
      <c r="T4786" s="36">
        <f t="shared" si="749"/>
        <v>0</v>
      </c>
      <c r="V4786" s="6">
        <f t="shared" si="750"/>
        <v>0</v>
      </c>
      <c r="Y4786" s="8">
        <f t="shared" si="751"/>
        <v>46023</v>
      </c>
    </row>
    <row r="4787" spans="2:25" ht="18.75" x14ac:dyDescent="0.3">
      <c r="B4787" s="6">
        <f t="shared" si="743"/>
        <v>0</v>
      </c>
      <c r="C4787" s="6">
        <f t="shared" si="744"/>
        <v>0</v>
      </c>
      <c r="D4787" s="6" t="str">
        <f t="shared" si="745"/>
        <v/>
      </c>
      <c r="E4787" s="35" t="str">
        <f t="shared" si="742"/>
        <v/>
      </c>
      <c r="F4787" s="31"/>
      <c r="G4787" s="29"/>
      <c r="H4787" s="78" t="str">
        <f t="shared" si="746"/>
        <v/>
      </c>
      <c r="I4787" s="25"/>
      <c r="J4787" s="25"/>
      <c r="K4787" s="26"/>
      <c r="L4787" s="26"/>
      <c r="M4787" s="37"/>
      <c r="N4787" s="27"/>
      <c r="O4787" s="30"/>
      <c r="P4787" s="39" t="str">
        <f t="shared" si="747"/>
        <v/>
      </c>
      <c r="Q4787" s="40" t="str">
        <f>IF(OR(T4787=0,RIGHT(T4787,1)=$W$1),"",COUNTIF($T$3:T4787,T4787))</f>
        <v/>
      </c>
      <c r="S4787" s="6">
        <f t="shared" si="748"/>
        <v>0</v>
      </c>
      <c r="T4787" s="36">
        <f t="shared" si="749"/>
        <v>0</v>
      </c>
      <c r="V4787" s="6">
        <f t="shared" si="750"/>
        <v>0</v>
      </c>
      <c r="Y4787" s="8">
        <f t="shared" si="751"/>
        <v>46023</v>
      </c>
    </row>
    <row r="4788" spans="2:25" ht="18.75" x14ac:dyDescent="0.3">
      <c r="B4788" s="6">
        <f t="shared" si="743"/>
        <v>0</v>
      </c>
      <c r="C4788" s="6">
        <f t="shared" si="744"/>
        <v>0</v>
      </c>
      <c r="D4788" s="6" t="str">
        <f t="shared" si="745"/>
        <v/>
      </c>
      <c r="E4788" s="35" t="str">
        <f t="shared" si="742"/>
        <v/>
      </c>
      <c r="F4788" s="31"/>
      <c r="G4788" s="29"/>
      <c r="H4788" s="78" t="str">
        <f t="shared" si="746"/>
        <v/>
      </c>
      <c r="I4788" s="25"/>
      <c r="J4788" s="25"/>
      <c r="K4788" s="26"/>
      <c r="L4788" s="26"/>
      <c r="M4788" s="37"/>
      <c r="N4788" s="27"/>
      <c r="O4788" s="30"/>
      <c r="P4788" s="39" t="str">
        <f t="shared" si="747"/>
        <v/>
      </c>
      <c r="Q4788" s="40" t="str">
        <f>IF(OR(T4788=0,RIGHT(T4788,1)=$W$1),"",COUNTIF($T$3:T4788,T4788))</f>
        <v/>
      </c>
      <c r="S4788" s="6">
        <f t="shared" si="748"/>
        <v>0</v>
      </c>
      <c r="T4788" s="36">
        <f t="shared" si="749"/>
        <v>0</v>
      </c>
      <c r="V4788" s="6">
        <f t="shared" si="750"/>
        <v>0</v>
      </c>
      <c r="Y4788" s="8">
        <f t="shared" si="751"/>
        <v>46023</v>
      </c>
    </row>
    <row r="4789" spans="2:25" ht="18.75" x14ac:dyDescent="0.3">
      <c r="B4789" s="6">
        <f t="shared" si="743"/>
        <v>0</v>
      </c>
      <c r="C4789" s="6">
        <f t="shared" si="744"/>
        <v>0</v>
      </c>
      <c r="D4789" s="6" t="str">
        <f t="shared" si="745"/>
        <v/>
      </c>
      <c r="E4789" s="35" t="str">
        <f t="shared" si="742"/>
        <v/>
      </c>
      <c r="F4789" s="31"/>
      <c r="G4789" s="29"/>
      <c r="H4789" s="78" t="str">
        <f t="shared" si="746"/>
        <v/>
      </c>
      <c r="I4789" s="25"/>
      <c r="J4789" s="25"/>
      <c r="K4789" s="26"/>
      <c r="L4789" s="26"/>
      <c r="M4789" s="37"/>
      <c r="N4789" s="27"/>
      <c r="O4789" s="30"/>
      <c r="P4789" s="39" t="str">
        <f t="shared" si="747"/>
        <v/>
      </c>
      <c r="Q4789" s="40" t="str">
        <f>IF(OR(T4789=0,RIGHT(T4789,1)=$W$1),"",COUNTIF($T$3:T4789,T4789))</f>
        <v/>
      </c>
      <c r="S4789" s="6">
        <f t="shared" si="748"/>
        <v>0</v>
      </c>
      <c r="T4789" s="36">
        <f t="shared" si="749"/>
        <v>0</v>
      </c>
      <c r="V4789" s="6">
        <f t="shared" si="750"/>
        <v>0</v>
      </c>
      <c r="Y4789" s="8">
        <f t="shared" si="751"/>
        <v>46023</v>
      </c>
    </row>
    <row r="4790" spans="2:25" ht="18.75" x14ac:dyDescent="0.3">
      <c r="B4790" s="6">
        <f t="shared" si="743"/>
        <v>0</v>
      </c>
      <c r="C4790" s="6">
        <f t="shared" si="744"/>
        <v>0</v>
      </c>
      <c r="D4790" s="6" t="str">
        <f t="shared" si="745"/>
        <v/>
      </c>
      <c r="E4790" s="35" t="str">
        <f t="shared" si="742"/>
        <v/>
      </c>
      <c r="F4790" s="31"/>
      <c r="G4790" s="29"/>
      <c r="H4790" s="78" t="str">
        <f t="shared" si="746"/>
        <v/>
      </c>
      <c r="I4790" s="25"/>
      <c r="J4790" s="25"/>
      <c r="K4790" s="26"/>
      <c r="L4790" s="26"/>
      <c r="M4790" s="37"/>
      <c r="N4790" s="27"/>
      <c r="O4790" s="30"/>
      <c r="P4790" s="39" t="str">
        <f t="shared" si="747"/>
        <v/>
      </c>
      <c r="Q4790" s="40" t="str">
        <f>IF(OR(T4790=0,RIGHT(T4790,1)=$W$1),"",COUNTIF($T$3:T4790,T4790))</f>
        <v/>
      </c>
      <c r="S4790" s="6">
        <f t="shared" si="748"/>
        <v>0</v>
      </c>
      <c r="T4790" s="36">
        <f t="shared" si="749"/>
        <v>0</v>
      </c>
      <c r="V4790" s="6">
        <f t="shared" si="750"/>
        <v>0</v>
      </c>
      <c r="Y4790" s="8">
        <f t="shared" si="751"/>
        <v>46023</v>
      </c>
    </row>
    <row r="4791" spans="2:25" ht="18.75" x14ac:dyDescent="0.3">
      <c r="B4791" s="6">
        <f t="shared" si="743"/>
        <v>0</v>
      </c>
      <c r="C4791" s="6">
        <f t="shared" si="744"/>
        <v>0</v>
      </c>
      <c r="D4791" s="6" t="str">
        <f t="shared" si="745"/>
        <v/>
      </c>
      <c r="E4791" s="35" t="str">
        <f t="shared" si="742"/>
        <v/>
      </c>
      <c r="F4791" s="31"/>
      <c r="G4791" s="29"/>
      <c r="H4791" s="78" t="str">
        <f t="shared" si="746"/>
        <v/>
      </c>
      <c r="I4791" s="25"/>
      <c r="J4791" s="25"/>
      <c r="K4791" s="26"/>
      <c r="L4791" s="26"/>
      <c r="M4791" s="37"/>
      <c r="N4791" s="27"/>
      <c r="O4791" s="30"/>
      <c r="P4791" s="39" t="str">
        <f t="shared" si="747"/>
        <v/>
      </c>
      <c r="Q4791" s="40" t="str">
        <f>IF(OR(T4791=0,RIGHT(T4791,1)=$W$1),"",COUNTIF($T$3:T4791,T4791))</f>
        <v/>
      </c>
      <c r="S4791" s="6">
        <f t="shared" si="748"/>
        <v>0</v>
      </c>
      <c r="T4791" s="36">
        <f t="shared" si="749"/>
        <v>0</v>
      </c>
      <c r="V4791" s="6">
        <f t="shared" si="750"/>
        <v>0</v>
      </c>
      <c r="Y4791" s="8">
        <f t="shared" si="751"/>
        <v>46023</v>
      </c>
    </row>
    <row r="4792" spans="2:25" ht="18.75" x14ac:dyDescent="0.3">
      <c r="B4792" s="6">
        <f t="shared" si="743"/>
        <v>0</v>
      </c>
      <c r="C4792" s="6">
        <f t="shared" si="744"/>
        <v>0</v>
      </c>
      <c r="D4792" s="6" t="str">
        <f t="shared" si="745"/>
        <v/>
      </c>
      <c r="E4792" s="35" t="str">
        <f t="shared" si="742"/>
        <v/>
      </c>
      <c r="F4792" s="31"/>
      <c r="G4792" s="29"/>
      <c r="H4792" s="78" t="str">
        <f t="shared" si="746"/>
        <v/>
      </c>
      <c r="I4792" s="25"/>
      <c r="J4792" s="25"/>
      <c r="K4792" s="26"/>
      <c r="L4792" s="26"/>
      <c r="M4792" s="37"/>
      <c r="N4792" s="27"/>
      <c r="O4792" s="30"/>
      <c r="P4792" s="39" t="str">
        <f t="shared" si="747"/>
        <v/>
      </c>
      <c r="Q4792" s="40" t="str">
        <f>IF(OR(T4792=0,RIGHT(T4792,1)=$W$1),"",COUNTIF($T$3:T4792,T4792))</f>
        <v/>
      </c>
      <c r="S4792" s="6">
        <f t="shared" si="748"/>
        <v>0</v>
      </c>
      <c r="T4792" s="36">
        <f t="shared" si="749"/>
        <v>0</v>
      </c>
      <c r="V4792" s="6">
        <f t="shared" si="750"/>
        <v>0</v>
      </c>
      <c r="Y4792" s="8">
        <f t="shared" si="751"/>
        <v>46023</v>
      </c>
    </row>
    <row r="4793" spans="2:25" ht="18.75" x14ac:dyDescent="0.3">
      <c r="B4793" s="6">
        <f t="shared" si="743"/>
        <v>0</v>
      </c>
      <c r="C4793" s="6">
        <f t="shared" si="744"/>
        <v>0</v>
      </c>
      <c r="D4793" s="6" t="str">
        <f t="shared" si="745"/>
        <v/>
      </c>
      <c r="E4793" s="35" t="str">
        <f t="shared" si="742"/>
        <v/>
      </c>
      <c r="F4793" s="31"/>
      <c r="G4793" s="29"/>
      <c r="H4793" s="78" t="str">
        <f t="shared" si="746"/>
        <v/>
      </c>
      <c r="I4793" s="25"/>
      <c r="J4793" s="25"/>
      <c r="K4793" s="26"/>
      <c r="L4793" s="26"/>
      <c r="M4793" s="37"/>
      <c r="N4793" s="27"/>
      <c r="O4793" s="30"/>
      <c r="P4793" s="39" t="str">
        <f t="shared" si="747"/>
        <v/>
      </c>
      <c r="Q4793" s="40" t="str">
        <f>IF(OR(T4793=0,RIGHT(T4793,1)=$W$1),"",COUNTIF($T$3:T4793,T4793))</f>
        <v/>
      </c>
      <c r="S4793" s="6">
        <f t="shared" si="748"/>
        <v>0</v>
      </c>
      <c r="T4793" s="36">
        <f t="shared" si="749"/>
        <v>0</v>
      </c>
      <c r="V4793" s="6">
        <f t="shared" si="750"/>
        <v>0</v>
      </c>
      <c r="Y4793" s="8">
        <f t="shared" si="751"/>
        <v>46023</v>
      </c>
    </row>
    <row r="4794" spans="2:25" ht="18.75" x14ac:dyDescent="0.3">
      <c r="B4794" s="6">
        <f t="shared" si="743"/>
        <v>0</v>
      </c>
      <c r="C4794" s="6">
        <f t="shared" si="744"/>
        <v>0</v>
      </c>
      <c r="D4794" s="6" t="str">
        <f t="shared" si="745"/>
        <v/>
      </c>
      <c r="E4794" s="35" t="str">
        <f t="shared" si="742"/>
        <v/>
      </c>
      <c r="F4794" s="31"/>
      <c r="G4794" s="29"/>
      <c r="H4794" s="78" t="str">
        <f t="shared" si="746"/>
        <v/>
      </c>
      <c r="I4794" s="25"/>
      <c r="J4794" s="25"/>
      <c r="K4794" s="26"/>
      <c r="L4794" s="26"/>
      <c r="M4794" s="37"/>
      <c r="N4794" s="27"/>
      <c r="O4794" s="30"/>
      <c r="P4794" s="39" t="str">
        <f t="shared" si="747"/>
        <v/>
      </c>
      <c r="Q4794" s="40" t="str">
        <f>IF(OR(T4794=0,RIGHT(T4794,1)=$W$1),"",COUNTIF($T$3:T4794,T4794))</f>
        <v/>
      </c>
      <c r="S4794" s="6">
        <f t="shared" si="748"/>
        <v>0</v>
      </c>
      <c r="T4794" s="36">
        <f t="shared" si="749"/>
        <v>0</v>
      </c>
      <c r="V4794" s="6">
        <f t="shared" si="750"/>
        <v>0</v>
      </c>
      <c r="Y4794" s="8">
        <f t="shared" si="751"/>
        <v>46023</v>
      </c>
    </row>
    <row r="4795" spans="2:25" ht="18.75" x14ac:dyDescent="0.3">
      <c r="B4795" s="6">
        <f t="shared" si="743"/>
        <v>0</v>
      </c>
      <c r="C4795" s="6">
        <f t="shared" si="744"/>
        <v>0</v>
      </c>
      <c r="D4795" s="6" t="str">
        <f t="shared" si="745"/>
        <v/>
      </c>
      <c r="E4795" s="35" t="str">
        <f t="shared" si="742"/>
        <v/>
      </c>
      <c r="F4795" s="31"/>
      <c r="G4795" s="29"/>
      <c r="H4795" s="78" t="str">
        <f t="shared" si="746"/>
        <v/>
      </c>
      <c r="I4795" s="25"/>
      <c r="J4795" s="25"/>
      <c r="K4795" s="26"/>
      <c r="L4795" s="26"/>
      <c r="M4795" s="37"/>
      <c r="N4795" s="27"/>
      <c r="O4795" s="30"/>
      <c r="P4795" s="39" t="str">
        <f t="shared" si="747"/>
        <v/>
      </c>
      <c r="Q4795" s="40" t="str">
        <f>IF(OR(T4795=0,RIGHT(T4795,1)=$W$1),"",COUNTIF($T$3:T4795,T4795))</f>
        <v/>
      </c>
      <c r="S4795" s="6">
        <f t="shared" si="748"/>
        <v>0</v>
      </c>
      <c r="T4795" s="36">
        <f t="shared" si="749"/>
        <v>0</v>
      </c>
      <c r="V4795" s="6">
        <f t="shared" si="750"/>
        <v>0</v>
      </c>
      <c r="Y4795" s="8">
        <f t="shared" si="751"/>
        <v>46023</v>
      </c>
    </row>
    <row r="4796" spans="2:25" ht="18.75" x14ac:dyDescent="0.3">
      <c r="B4796" s="6">
        <f t="shared" si="743"/>
        <v>0</v>
      </c>
      <c r="C4796" s="6">
        <f t="shared" si="744"/>
        <v>0</v>
      </c>
      <c r="D4796" s="6" t="str">
        <f t="shared" si="745"/>
        <v/>
      </c>
      <c r="E4796" s="35" t="str">
        <f t="shared" si="742"/>
        <v/>
      </c>
      <c r="F4796" s="31"/>
      <c r="G4796" s="29"/>
      <c r="H4796" s="78" t="str">
        <f t="shared" si="746"/>
        <v/>
      </c>
      <c r="I4796" s="25"/>
      <c r="J4796" s="25"/>
      <c r="K4796" s="26"/>
      <c r="L4796" s="26"/>
      <c r="M4796" s="37"/>
      <c r="N4796" s="27"/>
      <c r="O4796" s="30"/>
      <c r="P4796" s="39" t="str">
        <f t="shared" si="747"/>
        <v/>
      </c>
      <c r="Q4796" s="40" t="str">
        <f>IF(OR(T4796=0,RIGHT(T4796,1)=$W$1),"",COUNTIF($T$3:T4796,T4796))</f>
        <v/>
      </c>
      <c r="S4796" s="6">
        <f t="shared" si="748"/>
        <v>0</v>
      </c>
      <c r="T4796" s="36">
        <f t="shared" si="749"/>
        <v>0</v>
      </c>
      <c r="V4796" s="6">
        <f t="shared" si="750"/>
        <v>0</v>
      </c>
      <c r="Y4796" s="8">
        <f t="shared" si="751"/>
        <v>46023</v>
      </c>
    </row>
    <row r="4797" spans="2:25" ht="18.75" x14ac:dyDescent="0.3">
      <c r="B4797" s="6">
        <f t="shared" si="743"/>
        <v>0</v>
      </c>
      <c r="C4797" s="6">
        <f t="shared" si="744"/>
        <v>0</v>
      </c>
      <c r="D4797" s="6" t="str">
        <f t="shared" si="745"/>
        <v/>
      </c>
      <c r="E4797" s="35" t="str">
        <f t="shared" si="742"/>
        <v/>
      </c>
      <c r="F4797" s="31"/>
      <c r="G4797" s="29"/>
      <c r="H4797" s="78" t="str">
        <f t="shared" si="746"/>
        <v/>
      </c>
      <c r="I4797" s="25"/>
      <c r="J4797" s="25"/>
      <c r="K4797" s="26"/>
      <c r="L4797" s="26"/>
      <c r="M4797" s="37"/>
      <c r="N4797" s="27"/>
      <c r="O4797" s="30"/>
      <c r="P4797" s="39" t="str">
        <f t="shared" si="747"/>
        <v/>
      </c>
      <c r="Q4797" s="40" t="str">
        <f>IF(OR(T4797=0,RIGHT(T4797,1)=$W$1),"",COUNTIF($T$3:T4797,T4797))</f>
        <v/>
      </c>
      <c r="S4797" s="6">
        <f t="shared" si="748"/>
        <v>0</v>
      </c>
      <c r="T4797" s="36">
        <f t="shared" si="749"/>
        <v>0</v>
      </c>
      <c r="V4797" s="6">
        <f t="shared" si="750"/>
        <v>0</v>
      </c>
      <c r="Y4797" s="8">
        <f t="shared" si="751"/>
        <v>46023</v>
      </c>
    </row>
    <row r="4798" spans="2:25" ht="18.75" x14ac:dyDescent="0.3">
      <c r="B4798" s="6">
        <f t="shared" si="743"/>
        <v>0</v>
      </c>
      <c r="C4798" s="6">
        <f t="shared" si="744"/>
        <v>0</v>
      </c>
      <c r="D4798" s="6" t="str">
        <f t="shared" si="745"/>
        <v/>
      </c>
      <c r="E4798" s="35" t="str">
        <f t="shared" si="742"/>
        <v/>
      </c>
      <c r="F4798" s="31"/>
      <c r="G4798" s="29"/>
      <c r="H4798" s="78" t="str">
        <f t="shared" si="746"/>
        <v/>
      </c>
      <c r="I4798" s="25"/>
      <c r="J4798" s="25"/>
      <c r="K4798" s="26"/>
      <c r="L4798" s="26"/>
      <c r="M4798" s="37"/>
      <c r="N4798" s="27"/>
      <c r="O4798" s="30"/>
      <c r="P4798" s="39" t="str">
        <f t="shared" si="747"/>
        <v/>
      </c>
      <c r="Q4798" s="40" t="str">
        <f>IF(OR(T4798=0,RIGHT(T4798,1)=$W$1),"",COUNTIF($T$3:T4798,T4798))</f>
        <v/>
      </c>
      <c r="S4798" s="6">
        <f t="shared" si="748"/>
        <v>0</v>
      </c>
      <c r="T4798" s="36">
        <f t="shared" si="749"/>
        <v>0</v>
      </c>
      <c r="V4798" s="6">
        <f t="shared" si="750"/>
        <v>0</v>
      </c>
      <c r="Y4798" s="8">
        <f t="shared" si="751"/>
        <v>46023</v>
      </c>
    </row>
    <row r="4799" spans="2:25" ht="18.75" x14ac:dyDescent="0.3">
      <c r="B4799" s="6">
        <f t="shared" si="743"/>
        <v>0</v>
      </c>
      <c r="C4799" s="6">
        <f t="shared" si="744"/>
        <v>0</v>
      </c>
      <c r="D4799" s="6" t="str">
        <f t="shared" si="745"/>
        <v/>
      </c>
      <c r="E4799" s="35" t="str">
        <f t="shared" si="742"/>
        <v/>
      </c>
      <c r="F4799" s="31"/>
      <c r="G4799" s="29"/>
      <c r="H4799" s="78" t="str">
        <f t="shared" si="746"/>
        <v/>
      </c>
      <c r="I4799" s="25"/>
      <c r="J4799" s="25"/>
      <c r="K4799" s="26"/>
      <c r="L4799" s="26"/>
      <c r="M4799" s="37"/>
      <c r="N4799" s="27"/>
      <c r="O4799" s="30"/>
      <c r="P4799" s="39" t="str">
        <f t="shared" si="747"/>
        <v/>
      </c>
      <c r="Q4799" s="40" t="str">
        <f>IF(OR(T4799=0,RIGHT(T4799,1)=$W$1),"",COUNTIF($T$3:T4799,T4799))</f>
        <v/>
      </c>
      <c r="S4799" s="6">
        <f t="shared" si="748"/>
        <v>0</v>
      </c>
      <c r="T4799" s="36">
        <f t="shared" si="749"/>
        <v>0</v>
      </c>
      <c r="V4799" s="6">
        <f t="shared" si="750"/>
        <v>0</v>
      </c>
      <c r="Y4799" s="8">
        <f t="shared" si="751"/>
        <v>46023</v>
      </c>
    </row>
    <row r="4800" spans="2:25" ht="18.75" x14ac:dyDescent="0.3">
      <c r="B4800" s="6">
        <f t="shared" si="743"/>
        <v>0</v>
      </c>
      <c r="C4800" s="6">
        <f t="shared" si="744"/>
        <v>0</v>
      </c>
      <c r="D4800" s="6" t="str">
        <f t="shared" si="745"/>
        <v/>
      </c>
      <c r="E4800" s="35" t="str">
        <f t="shared" si="742"/>
        <v/>
      </c>
      <c r="F4800" s="31"/>
      <c r="G4800" s="29"/>
      <c r="H4800" s="78" t="str">
        <f t="shared" si="746"/>
        <v/>
      </c>
      <c r="I4800" s="25"/>
      <c r="J4800" s="25"/>
      <c r="K4800" s="26"/>
      <c r="L4800" s="26"/>
      <c r="M4800" s="37"/>
      <c r="N4800" s="27"/>
      <c r="O4800" s="30"/>
      <c r="P4800" s="39" t="str">
        <f t="shared" si="747"/>
        <v/>
      </c>
      <c r="Q4800" s="40" t="str">
        <f>IF(OR(T4800=0,RIGHT(T4800,1)=$W$1),"",COUNTIF($T$3:T4800,T4800))</f>
        <v/>
      </c>
      <c r="S4800" s="6">
        <f t="shared" si="748"/>
        <v>0</v>
      </c>
      <c r="T4800" s="36">
        <f t="shared" si="749"/>
        <v>0</v>
      </c>
      <c r="V4800" s="6">
        <f t="shared" si="750"/>
        <v>0</v>
      </c>
      <c r="Y4800" s="8">
        <f t="shared" si="751"/>
        <v>46023</v>
      </c>
    </row>
    <row r="4801" spans="2:25" ht="18.75" x14ac:dyDescent="0.3">
      <c r="B4801" s="6">
        <f t="shared" si="743"/>
        <v>0</v>
      </c>
      <c r="C4801" s="6">
        <f t="shared" si="744"/>
        <v>0</v>
      </c>
      <c r="D4801" s="6" t="str">
        <f t="shared" si="745"/>
        <v/>
      </c>
      <c r="E4801" s="35" t="str">
        <f t="shared" si="742"/>
        <v/>
      </c>
      <c r="F4801" s="31"/>
      <c r="G4801" s="29"/>
      <c r="H4801" s="78" t="str">
        <f t="shared" si="746"/>
        <v/>
      </c>
      <c r="I4801" s="25"/>
      <c r="J4801" s="25"/>
      <c r="K4801" s="26"/>
      <c r="L4801" s="26"/>
      <c r="M4801" s="37"/>
      <c r="N4801" s="27"/>
      <c r="O4801" s="30"/>
      <c r="P4801" s="39" t="str">
        <f t="shared" si="747"/>
        <v/>
      </c>
      <c r="Q4801" s="40" t="str">
        <f>IF(OR(T4801=0,RIGHT(T4801,1)=$W$1),"",COUNTIF($T$3:T4801,T4801))</f>
        <v/>
      </c>
      <c r="S4801" s="6">
        <f t="shared" si="748"/>
        <v>0</v>
      </c>
      <c r="T4801" s="36">
        <f t="shared" si="749"/>
        <v>0</v>
      </c>
      <c r="V4801" s="6">
        <f t="shared" si="750"/>
        <v>0</v>
      </c>
      <c r="Y4801" s="8">
        <f t="shared" si="751"/>
        <v>46023</v>
      </c>
    </row>
    <row r="4802" spans="2:25" ht="18.75" x14ac:dyDescent="0.3">
      <c r="B4802" s="6">
        <f t="shared" si="743"/>
        <v>0</v>
      </c>
      <c r="C4802" s="6">
        <f t="shared" si="744"/>
        <v>0</v>
      </c>
      <c r="D4802" s="6" t="str">
        <f t="shared" si="745"/>
        <v/>
      </c>
      <c r="E4802" s="35" t="str">
        <f t="shared" si="742"/>
        <v/>
      </c>
      <c r="F4802" s="31"/>
      <c r="G4802" s="29"/>
      <c r="H4802" s="78" t="str">
        <f t="shared" si="746"/>
        <v/>
      </c>
      <c r="I4802" s="25"/>
      <c r="J4802" s="25"/>
      <c r="K4802" s="26"/>
      <c r="L4802" s="26"/>
      <c r="M4802" s="37"/>
      <c r="N4802" s="27"/>
      <c r="O4802" s="30"/>
      <c r="P4802" s="39" t="str">
        <f t="shared" si="747"/>
        <v/>
      </c>
      <c r="Q4802" s="40" t="str">
        <f>IF(OR(T4802=0,RIGHT(T4802,1)=$W$1),"",COUNTIF($T$3:T4802,T4802))</f>
        <v/>
      </c>
      <c r="S4802" s="6">
        <f t="shared" si="748"/>
        <v>0</v>
      </c>
      <c r="T4802" s="36">
        <f t="shared" si="749"/>
        <v>0</v>
      </c>
      <c r="V4802" s="6">
        <f t="shared" si="750"/>
        <v>0</v>
      </c>
      <c r="Y4802" s="8">
        <f t="shared" si="751"/>
        <v>46023</v>
      </c>
    </row>
    <row r="4803" spans="2:25" ht="18.75" x14ac:dyDescent="0.3">
      <c r="B4803" s="6">
        <f t="shared" si="743"/>
        <v>0</v>
      </c>
      <c r="C4803" s="6">
        <f t="shared" si="744"/>
        <v>0</v>
      </c>
      <c r="D4803" s="6" t="str">
        <f t="shared" si="745"/>
        <v/>
      </c>
      <c r="E4803" s="35" t="str">
        <f t="shared" ref="E4803:E4866" si="752">IF(D4803&lt;&gt;"",D4803&amp;" - "&amp;YEAR(F4803),"")</f>
        <v/>
      </c>
      <c r="F4803" s="31"/>
      <c r="G4803" s="29"/>
      <c r="H4803" s="78" t="str">
        <f t="shared" si="746"/>
        <v/>
      </c>
      <c r="I4803" s="25"/>
      <c r="J4803" s="25"/>
      <c r="K4803" s="26"/>
      <c r="L4803" s="26"/>
      <c r="M4803" s="37"/>
      <c r="N4803" s="27"/>
      <c r="O4803" s="30"/>
      <c r="P4803" s="39" t="str">
        <f t="shared" si="747"/>
        <v/>
      </c>
      <c r="Q4803" s="40" t="str">
        <f>IF(OR(T4803=0,RIGHT(T4803,1)=$W$1),"",COUNTIF($T$3:T4803,T4803))</f>
        <v/>
      </c>
      <c r="S4803" s="6">
        <f t="shared" si="748"/>
        <v>0</v>
      </c>
      <c r="T4803" s="36">
        <f t="shared" si="749"/>
        <v>0</v>
      </c>
      <c r="V4803" s="6">
        <f t="shared" si="750"/>
        <v>0</v>
      </c>
      <c r="Y4803" s="8">
        <f t="shared" si="751"/>
        <v>46023</v>
      </c>
    </row>
    <row r="4804" spans="2:25" ht="18.75" x14ac:dyDescent="0.3">
      <c r="B4804" s="6">
        <f t="shared" ref="B4804:B4867" si="753">IF($B$1=YEAR(F4804),B4803+1,B4803)</f>
        <v>0</v>
      </c>
      <c r="C4804" s="6">
        <f t="shared" ref="C4804:C4867" si="754">IF(AND($C$1=K4804,$Y$1=YEAR(F4804)),C4803+1,C4803)</f>
        <v>0</v>
      </c>
      <c r="D4804" s="6" t="str">
        <f t="shared" ref="D4804:D4867" si="755">IF(F4804&lt;&gt;0,IF(YEAR(F4804)&lt;&gt;YEAR(F4803),1,IF(M4804=$AI$1,D4803,D4803+1)),"")</f>
        <v/>
      </c>
      <c r="E4804" s="35" t="str">
        <f t="shared" si="752"/>
        <v/>
      </c>
      <c r="F4804" s="31"/>
      <c r="G4804" s="29"/>
      <c r="H4804" s="78" t="str">
        <f t="shared" ref="H4804:H4867" si="756">IF(G4804&lt;&gt;"",F4804,"")</f>
        <v/>
      </c>
      <c r="I4804" s="25"/>
      <c r="J4804" s="25"/>
      <c r="K4804" s="26"/>
      <c r="L4804" s="26"/>
      <c r="M4804" s="37"/>
      <c r="N4804" s="27"/>
      <c r="O4804" s="30"/>
      <c r="P4804" s="39" t="str">
        <f t="shared" ref="P4804:P4867" si="757">IF(OR(T4804=0,RIGHT(T4804,1)=$W$1),"",VLOOKUP(K4804,$AD$1:$AK$15,5,FALSE))</f>
        <v/>
      </c>
      <c r="Q4804" s="40" t="str">
        <f>IF(OR(T4804=0,RIGHT(T4804,1)=$W$1),"",COUNTIF($T$3:T4804,T4804))</f>
        <v/>
      </c>
      <c r="S4804" s="6">
        <f t="shared" ref="S4804:S4867" si="758">IF(AND($C$1=K4804,$Y$1=YEAR(F4804)),C4804,0)</f>
        <v>0</v>
      </c>
      <c r="T4804" s="36">
        <f t="shared" ref="T4804:T4867" si="759">IF(F4804=0,0,YEAR(F4804)&amp;VLOOKUP(K4804,$AD$1:$AE$15,2,FALSE))</f>
        <v>0</v>
      </c>
      <c r="V4804" s="6">
        <f t="shared" ref="V4804:V4867" si="760">IF(AND(YEAR(F4804)=$Y$1,K4804=$C$1,L4804&amp;$V$1&lt;&gt;$V$1),L4804,IF(AND(YEAR(F4804)=$Y$1,K4804=$C$1),1,0))</f>
        <v>0</v>
      </c>
      <c r="Y4804" s="8">
        <f t="shared" ref="Y4804:Y4867" si="761">IF(M4804&lt;&gt;$AI$1,$Y$2,F4803)</f>
        <v>46023</v>
      </c>
    </row>
    <row r="4805" spans="2:25" ht="18.75" x14ac:dyDescent="0.3">
      <c r="B4805" s="6">
        <f t="shared" si="753"/>
        <v>0</v>
      </c>
      <c r="C4805" s="6">
        <f t="shared" si="754"/>
        <v>0</v>
      </c>
      <c r="D4805" s="6" t="str">
        <f t="shared" si="755"/>
        <v/>
      </c>
      <c r="E4805" s="35" t="str">
        <f t="shared" si="752"/>
        <v/>
      </c>
      <c r="F4805" s="31"/>
      <c r="G4805" s="29"/>
      <c r="H4805" s="78" t="str">
        <f t="shared" si="756"/>
        <v/>
      </c>
      <c r="I4805" s="25"/>
      <c r="J4805" s="25"/>
      <c r="K4805" s="26"/>
      <c r="L4805" s="26"/>
      <c r="M4805" s="37"/>
      <c r="N4805" s="27"/>
      <c r="O4805" s="30"/>
      <c r="P4805" s="39" t="str">
        <f t="shared" si="757"/>
        <v/>
      </c>
      <c r="Q4805" s="40" t="str">
        <f>IF(OR(T4805=0,RIGHT(T4805,1)=$W$1),"",COUNTIF($T$3:T4805,T4805))</f>
        <v/>
      </c>
      <c r="S4805" s="6">
        <f t="shared" si="758"/>
        <v>0</v>
      </c>
      <c r="T4805" s="36">
        <f t="shared" si="759"/>
        <v>0</v>
      </c>
      <c r="V4805" s="6">
        <f t="shared" si="760"/>
        <v>0</v>
      </c>
      <c r="Y4805" s="8">
        <f t="shared" si="761"/>
        <v>46023</v>
      </c>
    </row>
    <row r="4806" spans="2:25" ht="18.75" x14ac:dyDescent="0.3">
      <c r="B4806" s="6">
        <f t="shared" si="753"/>
        <v>0</v>
      </c>
      <c r="C4806" s="6">
        <f t="shared" si="754"/>
        <v>0</v>
      </c>
      <c r="D4806" s="6" t="str">
        <f t="shared" si="755"/>
        <v/>
      </c>
      <c r="E4806" s="35" t="str">
        <f t="shared" si="752"/>
        <v/>
      </c>
      <c r="F4806" s="31"/>
      <c r="G4806" s="29"/>
      <c r="H4806" s="78" t="str">
        <f t="shared" si="756"/>
        <v/>
      </c>
      <c r="I4806" s="25"/>
      <c r="J4806" s="25"/>
      <c r="K4806" s="26"/>
      <c r="L4806" s="26"/>
      <c r="M4806" s="37"/>
      <c r="N4806" s="27"/>
      <c r="O4806" s="30"/>
      <c r="P4806" s="39" t="str">
        <f t="shared" si="757"/>
        <v/>
      </c>
      <c r="Q4806" s="40" t="str">
        <f>IF(OR(T4806=0,RIGHT(T4806,1)=$W$1),"",COUNTIF($T$3:T4806,T4806))</f>
        <v/>
      </c>
      <c r="S4806" s="6">
        <f t="shared" si="758"/>
        <v>0</v>
      </c>
      <c r="T4806" s="36">
        <f t="shared" si="759"/>
        <v>0</v>
      </c>
      <c r="V4806" s="6">
        <f t="shared" si="760"/>
        <v>0</v>
      </c>
      <c r="Y4806" s="8">
        <f t="shared" si="761"/>
        <v>46023</v>
      </c>
    </row>
    <row r="4807" spans="2:25" ht="18.75" x14ac:dyDescent="0.3">
      <c r="B4807" s="6">
        <f t="shared" si="753"/>
        <v>0</v>
      </c>
      <c r="C4807" s="6">
        <f t="shared" si="754"/>
        <v>0</v>
      </c>
      <c r="D4807" s="6" t="str">
        <f t="shared" si="755"/>
        <v/>
      </c>
      <c r="E4807" s="35" t="str">
        <f t="shared" si="752"/>
        <v/>
      </c>
      <c r="F4807" s="31"/>
      <c r="G4807" s="29"/>
      <c r="H4807" s="78" t="str">
        <f t="shared" si="756"/>
        <v/>
      </c>
      <c r="I4807" s="25"/>
      <c r="J4807" s="25"/>
      <c r="K4807" s="26"/>
      <c r="L4807" s="26"/>
      <c r="M4807" s="37"/>
      <c r="N4807" s="27"/>
      <c r="O4807" s="30"/>
      <c r="P4807" s="39" t="str">
        <f t="shared" si="757"/>
        <v/>
      </c>
      <c r="Q4807" s="40" t="str">
        <f>IF(OR(T4807=0,RIGHT(T4807,1)=$W$1),"",COUNTIF($T$3:T4807,T4807))</f>
        <v/>
      </c>
      <c r="S4807" s="6">
        <f t="shared" si="758"/>
        <v>0</v>
      </c>
      <c r="T4807" s="36">
        <f t="shared" si="759"/>
        <v>0</v>
      </c>
      <c r="V4807" s="6">
        <f t="shared" si="760"/>
        <v>0</v>
      </c>
      <c r="Y4807" s="8">
        <f t="shared" si="761"/>
        <v>46023</v>
      </c>
    </row>
    <row r="4808" spans="2:25" ht="18.75" x14ac:dyDescent="0.3">
      <c r="B4808" s="6">
        <f t="shared" si="753"/>
        <v>0</v>
      </c>
      <c r="C4808" s="6">
        <f t="shared" si="754"/>
        <v>0</v>
      </c>
      <c r="D4808" s="6" t="str">
        <f t="shared" si="755"/>
        <v/>
      </c>
      <c r="E4808" s="35" t="str">
        <f t="shared" si="752"/>
        <v/>
      </c>
      <c r="F4808" s="31"/>
      <c r="G4808" s="29"/>
      <c r="H4808" s="78" t="str">
        <f t="shared" si="756"/>
        <v/>
      </c>
      <c r="I4808" s="25"/>
      <c r="J4808" s="25"/>
      <c r="K4808" s="26"/>
      <c r="L4808" s="26"/>
      <c r="M4808" s="37"/>
      <c r="N4808" s="27"/>
      <c r="O4808" s="30"/>
      <c r="P4808" s="39" t="str">
        <f t="shared" si="757"/>
        <v/>
      </c>
      <c r="Q4808" s="40" t="str">
        <f>IF(OR(T4808=0,RIGHT(T4808,1)=$W$1),"",COUNTIF($T$3:T4808,T4808))</f>
        <v/>
      </c>
      <c r="S4808" s="6">
        <f t="shared" si="758"/>
        <v>0</v>
      </c>
      <c r="T4808" s="36">
        <f t="shared" si="759"/>
        <v>0</v>
      </c>
      <c r="V4808" s="6">
        <f t="shared" si="760"/>
        <v>0</v>
      </c>
      <c r="Y4808" s="8">
        <f t="shared" si="761"/>
        <v>46023</v>
      </c>
    </row>
    <row r="4809" spans="2:25" ht="18.75" x14ac:dyDescent="0.3">
      <c r="B4809" s="6">
        <f t="shared" si="753"/>
        <v>0</v>
      </c>
      <c r="C4809" s="6">
        <f t="shared" si="754"/>
        <v>0</v>
      </c>
      <c r="D4809" s="6" t="str">
        <f t="shared" si="755"/>
        <v/>
      </c>
      <c r="E4809" s="35" t="str">
        <f t="shared" si="752"/>
        <v/>
      </c>
      <c r="F4809" s="31"/>
      <c r="G4809" s="29"/>
      <c r="H4809" s="78" t="str">
        <f t="shared" si="756"/>
        <v/>
      </c>
      <c r="I4809" s="25"/>
      <c r="J4809" s="25"/>
      <c r="K4809" s="26"/>
      <c r="L4809" s="26"/>
      <c r="M4809" s="37"/>
      <c r="N4809" s="27"/>
      <c r="O4809" s="30"/>
      <c r="P4809" s="39" t="str">
        <f t="shared" si="757"/>
        <v/>
      </c>
      <c r="Q4809" s="40" t="str">
        <f>IF(OR(T4809=0,RIGHT(T4809,1)=$W$1),"",COUNTIF($T$3:T4809,T4809))</f>
        <v/>
      </c>
      <c r="S4809" s="6">
        <f t="shared" si="758"/>
        <v>0</v>
      </c>
      <c r="T4809" s="36">
        <f t="shared" si="759"/>
        <v>0</v>
      </c>
      <c r="V4809" s="6">
        <f t="shared" si="760"/>
        <v>0</v>
      </c>
      <c r="Y4809" s="8">
        <f t="shared" si="761"/>
        <v>46023</v>
      </c>
    </row>
    <row r="4810" spans="2:25" ht="18.75" x14ac:dyDescent="0.3">
      <c r="B4810" s="6">
        <f t="shared" si="753"/>
        <v>0</v>
      </c>
      <c r="C4810" s="6">
        <f t="shared" si="754"/>
        <v>0</v>
      </c>
      <c r="D4810" s="6" t="str">
        <f t="shared" si="755"/>
        <v/>
      </c>
      <c r="E4810" s="35" t="str">
        <f t="shared" si="752"/>
        <v/>
      </c>
      <c r="F4810" s="31"/>
      <c r="G4810" s="29"/>
      <c r="H4810" s="78" t="str">
        <f t="shared" si="756"/>
        <v/>
      </c>
      <c r="I4810" s="25"/>
      <c r="J4810" s="25"/>
      <c r="K4810" s="26"/>
      <c r="L4810" s="26"/>
      <c r="M4810" s="37"/>
      <c r="N4810" s="27"/>
      <c r="O4810" s="30"/>
      <c r="P4810" s="39" t="str">
        <f t="shared" si="757"/>
        <v/>
      </c>
      <c r="Q4810" s="40" t="str">
        <f>IF(OR(T4810=0,RIGHT(T4810,1)=$W$1),"",COUNTIF($T$3:T4810,T4810))</f>
        <v/>
      </c>
      <c r="S4810" s="6">
        <f t="shared" si="758"/>
        <v>0</v>
      </c>
      <c r="T4810" s="36">
        <f t="shared" si="759"/>
        <v>0</v>
      </c>
      <c r="V4810" s="6">
        <f t="shared" si="760"/>
        <v>0</v>
      </c>
      <c r="Y4810" s="8">
        <f t="shared" si="761"/>
        <v>46023</v>
      </c>
    </row>
    <row r="4811" spans="2:25" ht="18.75" x14ac:dyDescent="0.3">
      <c r="B4811" s="6">
        <f t="shared" si="753"/>
        <v>0</v>
      </c>
      <c r="C4811" s="6">
        <f t="shared" si="754"/>
        <v>0</v>
      </c>
      <c r="D4811" s="6" t="str">
        <f t="shared" si="755"/>
        <v/>
      </c>
      <c r="E4811" s="35" t="str">
        <f t="shared" si="752"/>
        <v/>
      </c>
      <c r="F4811" s="31"/>
      <c r="G4811" s="29"/>
      <c r="H4811" s="78" t="str">
        <f t="shared" si="756"/>
        <v/>
      </c>
      <c r="I4811" s="25"/>
      <c r="J4811" s="25"/>
      <c r="K4811" s="26"/>
      <c r="L4811" s="26"/>
      <c r="M4811" s="37"/>
      <c r="N4811" s="27"/>
      <c r="O4811" s="30"/>
      <c r="P4811" s="39" t="str">
        <f t="shared" si="757"/>
        <v/>
      </c>
      <c r="Q4811" s="40" t="str">
        <f>IF(OR(T4811=0,RIGHT(T4811,1)=$W$1),"",COUNTIF($T$3:T4811,T4811))</f>
        <v/>
      </c>
      <c r="S4811" s="6">
        <f t="shared" si="758"/>
        <v>0</v>
      </c>
      <c r="T4811" s="36">
        <f t="shared" si="759"/>
        <v>0</v>
      </c>
      <c r="V4811" s="6">
        <f t="shared" si="760"/>
        <v>0</v>
      </c>
      <c r="Y4811" s="8">
        <f t="shared" si="761"/>
        <v>46023</v>
      </c>
    </row>
    <row r="4812" spans="2:25" ht="18.75" x14ac:dyDescent="0.3">
      <c r="B4812" s="6">
        <f t="shared" si="753"/>
        <v>0</v>
      </c>
      <c r="C4812" s="6">
        <f t="shared" si="754"/>
        <v>0</v>
      </c>
      <c r="D4812" s="6" t="str">
        <f t="shared" si="755"/>
        <v/>
      </c>
      <c r="E4812" s="35" t="str">
        <f t="shared" si="752"/>
        <v/>
      </c>
      <c r="F4812" s="31"/>
      <c r="G4812" s="29"/>
      <c r="H4812" s="78" t="str">
        <f t="shared" si="756"/>
        <v/>
      </c>
      <c r="I4812" s="25"/>
      <c r="J4812" s="25"/>
      <c r="K4812" s="26"/>
      <c r="L4812" s="26"/>
      <c r="M4812" s="37"/>
      <c r="N4812" s="27"/>
      <c r="O4812" s="30"/>
      <c r="P4812" s="39" t="str">
        <f t="shared" si="757"/>
        <v/>
      </c>
      <c r="Q4812" s="40" t="str">
        <f>IF(OR(T4812=0,RIGHT(T4812,1)=$W$1),"",COUNTIF($T$3:T4812,T4812))</f>
        <v/>
      </c>
      <c r="S4812" s="6">
        <f t="shared" si="758"/>
        <v>0</v>
      </c>
      <c r="T4812" s="36">
        <f t="shared" si="759"/>
        <v>0</v>
      </c>
      <c r="V4812" s="6">
        <f t="shared" si="760"/>
        <v>0</v>
      </c>
      <c r="Y4812" s="8">
        <f t="shared" si="761"/>
        <v>46023</v>
      </c>
    </row>
    <row r="4813" spans="2:25" ht="18.75" x14ac:dyDescent="0.3">
      <c r="B4813" s="6">
        <f t="shared" si="753"/>
        <v>0</v>
      </c>
      <c r="C4813" s="6">
        <f t="shared" si="754"/>
        <v>0</v>
      </c>
      <c r="D4813" s="6" t="str">
        <f t="shared" si="755"/>
        <v/>
      </c>
      <c r="E4813" s="35" t="str">
        <f t="shared" si="752"/>
        <v/>
      </c>
      <c r="F4813" s="31"/>
      <c r="G4813" s="29"/>
      <c r="H4813" s="78" t="str">
        <f t="shared" si="756"/>
        <v/>
      </c>
      <c r="I4813" s="25"/>
      <c r="J4813" s="25"/>
      <c r="K4813" s="26"/>
      <c r="L4813" s="26"/>
      <c r="M4813" s="37"/>
      <c r="N4813" s="27"/>
      <c r="O4813" s="30"/>
      <c r="P4813" s="39" t="str">
        <f t="shared" si="757"/>
        <v/>
      </c>
      <c r="Q4813" s="40" t="str">
        <f>IF(OR(T4813=0,RIGHT(T4813,1)=$W$1),"",COUNTIF($T$3:T4813,T4813))</f>
        <v/>
      </c>
      <c r="S4813" s="6">
        <f t="shared" si="758"/>
        <v>0</v>
      </c>
      <c r="T4813" s="36">
        <f t="shared" si="759"/>
        <v>0</v>
      </c>
      <c r="V4813" s="6">
        <f t="shared" si="760"/>
        <v>0</v>
      </c>
      <c r="Y4813" s="8">
        <f t="shared" si="761"/>
        <v>46023</v>
      </c>
    </row>
    <row r="4814" spans="2:25" ht="18.75" x14ac:dyDescent="0.3">
      <c r="B4814" s="6">
        <f t="shared" si="753"/>
        <v>0</v>
      </c>
      <c r="C4814" s="6">
        <f t="shared" si="754"/>
        <v>0</v>
      </c>
      <c r="D4814" s="6" t="str">
        <f t="shared" si="755"/>
        <v/>
      </c>
      <c r="E4814" s="35" t="str">
        <f t="shared" si="752"/>
        <v/>
      </c>
      <c r="F4814" s="31"/>
      <c r="G4814" s="29"/>
      <c r="H4814" s="78" t="str">
        <f t="shared" si="756"/>
        <v/>
      </c>
      <c r="I4814" s="25"/>
      <c r="J4814" s="25"/>
      <c r="K4814" s="26"/>
      <c r="L4814" s="26"/>
      <c r="M4814" s="37"/>
      <c r="N4814" s="27"/>
      <c r="O4814" s="30"/>
      <c r="P4814" s="39" t="str">
        <f t="shared" si="757"/>
        <v/>
      </c>
      <c r="Q4814" s="40" t="str">
        <f>IF(OR(T4814=0,RIGHT(T4814,1)=$W$1),"",COUNTIF($T$3:T4814,T4814))</f>
        <v/>
      </c>
      <c r="S4814" s="6">
        <f t="shared" si="758"/>
        <v>0</v>
      </c>
      <c r="T4814" s="36">
        <f t="shared" si="759"/>
        <v>0</v>
      </c>
      <c r="V4814" s="6">
        <f t="shared" si="760"/>
        <v>0</v>
      </c>
      <c r="Y4814" s="8">
        <f t="shared" si="761"/>
        <v>46023</v>
      </c>
    </row>
    <row r="4815" spans="2:25" ht="18.75" x14ac:dyDescent="0.3">
      <c r="B4815" s="6">
        <f t="shared" si="753"/>
        <v>0</v>
      </c>
      <c r="C4815" s="6">
        <f t="shared" si="754"/>
        <v>0</v>
      </c>
      <c r="D4815" s="6" t="str">
        <f t="shared" si="755"/>
        <v/>
      </c>
      <c r="E4815" s="35" t="str">
        <f t="shared" si="752"/>
        <v/>
      </c>
      <c r="F4815" s="31"/>
      <c r="G4815" s="29"/>
      <c r="H4815" s="78" t="str">
        <f t="shared" si="756"/>
        <v/>
      </c>
      <c r="I4815" s="25"/>
      <c r="J4815" s="25"/>
      <c r="K4815" s="26"/>
      <c r="L4815" s="26"/>
      <c r="M4815" s="37"/>
      <c r="N4815" s="27"/>
      <c r="O4815" s="30"/>
      <c r="P4815" s="39" t="str">
        <f t="shared" si="757"/>
        <v/>
      </c>
      <c r="Q4815" s="40" t="str">
        <f>IF(OR(T4815=0,RIGHT(T4815,1)=$W$1),"",COUNTIF($T$3:T4815,T4815))</f>
        <v/>
      </c>
      <c r="S4815" s="6">
        <f t="shared" si="758"/>
        <v>0</v>
      </c>
      <c r="T4815" s="36">
        <f t="shared" si="759"/>
        <v>0</v>
      </c>
      <c r="V4815" s="6">
        <f t="shared" si="760"/>
        <v>0</v>
      </c>
      <c r="Y4815" s="8">
        <f t="shared" si="761"/>
        <v>46023</v>
      </c>
    </row>
    <row r="4816" spans="2:25" ht="18.75" x14ac:dyDescent="0.3">
      <c r="B4816" s="6">
        <f t="shared" si="753"/>
        <v>0</v>
      </c>
      <c r="C4816" s="6">
        <f t="shared" si="754"/>
        <v>0</v>
      </c>
      <c r="D4816" s="6" t="str">
        <f t="shared" si="755"/>
        <v/>
      </c>
      <c r="E4816" s="35" t="str">
        <f t="shared" si="752"/>
        <v/>
      </c>
      <c r="F4816" s="31"/>
      <c r="G4816" s="29"/>
      <c r="H4816" s="78" t="str">
        <f t="shared" si="756"/>
        <v/>
      </c>
      <c r="I4816" s="25"/>
      <c r="J4816" s="25"/>
      <c r="K4816" s="26"/>
      <c r="L4816" s="26"/>
      <c r="M4816" s="37"/>
      <c r="N4816" s="27"/>
      <c r="O4816" s="30"/>
      <c r="P4816" s="39" t="str">
        <f t="shared" si="757"/>
        <v/>
      </c>
      <c r="Q4816" s="40" t="str">
        <f>IF(OR(T4816=0,RIGHT(T4816,1)=$W$1),"",COUNTIF($T$3:T4816,T4816))</f>
        <v/>
      </c>
      <c r="S4816" s="6">
        <f t="shared" si="758"/>
        <v>0</v>
      </c>
      <c r="T4816" s="36">
        <f t="shared" si="759"/>
        <v>0</v>
      </c>
      <c r="V4816" s="6">
        <f t="shared" si="760"/>
        <v>0</v>
      </c>
      <c r="Y4816" s="8">
        <f t="shared" si="761"/>
        <v>46023</v>
      </c>
    </row>
    <row r="4817" spans="2:25" ht="18.75" x14ac:dyDescent="0.3">
      <c r="B4817" s="6">
        <f t="shared" si="753"/>
        <v>0</v>
      </c>
      <c r="C4817" s="6">
        <f t="shared" si="754"/>
        <v>0</v>
      </c>
      <c r="D4817" s="6" t="str">
        <f t="shared" si="755"/>
        <v/>
      </c>
      <c r="E4817" s="35" t="str">
        <f t="shared" si="752"/>
        <v/>
      </c>
      <c r="F4817" s="31"/>
      <c r="G4817" s="29"/>
      <c r="H4817" s="78" t="str">
        <f t="shared" si="756"/>
        <v/>
      </c>
      <c r="I4817" s="25"/>
      <c r="J4817" s="25"/>
      <c r="K4817" s="26"/>
      <c r="L4817" s="26"/>
      <c r="M4817" s="37"/>
      <c r="N4817" s="27"/>
      <c r="O4817" s="30"/>
      <c r="P4817" s="39" t="str">
        <f t="shared" si="757"/>
        <v/>
      </c>
      <c r="Q4817" s="40" t="str">
        <f>IF(OR(T4817=0,RIGHT(T4817,1)=$W$1),"",COUNTIF($T$3:T4817,T4817))</f>
        <v/>
      </c>
      <c r="S4817" s="6">
        <f t="shared" si="758"/>
        <v>0</v>
      </c>
      <c r="T4817" s="36">
        <f t="shared" si="759"/>
        <v>0</v>
      </c>
      <c r="V4817" s="6">
        <f t="shared" si="760"/>
        <v>0</v>
      </c>
      <c r="Y4817" s="8">
        <f t="shared" si="761"/>
        <v>46023</v>
      </c>
    </row>
    <row r="4818" spans="2:25" ht="18.75" x14ac:dyDescent="0.3">
      <c r="B4818" s="6">
        <f t="shared" si="753"/>
        <v>0</v>
      </c>
      <c r="C4818" s="6">
        <f t="shared" si="754"/>
        <v>0</v>
      </c>
      <c r="D4818" s="6" t="str">
        <f t="shared" si="755"/>
        <v/>
      </c>
      <c r="E4818" s="35" t="str">
        <f t="shared" si="752"/>
        <v/>
      </c>
      <c r="F4818" s="31"/>
      <c r="G4818" s="29"/>
      <c r="H4818" s="78" t="str">
        <f t="shared" si="756"/>
        <v/>
      </c>
      <c r="I4818" s="25"/>
      <c r="J4818" s="25"/>
      <c r="K4818" s="26"/>
      <c r="L4818" s="26"/>
      <c r="M4818" s="37"/>
      <c r="N4818" s="27"/>
      <c r="O4818" s="30"/>
      <c r="P4818" s="39" t="str">
        <f t="shared" si="757"/>
        <v/>
      </c>
      <c r="Q4818" s="40" t="str">
        <f>IF(OR(T4818=0,RIGHT(T4818,1)=$W$1),"",COUNTIF($T$3:T4818,T4818))</f>
        <v/>
      </c>
      <c r="S4818" s="6">
        <f t="shared" si="758"/>
        <v>0</v>
      </c>
      <c r="T4818" s="36">
        <f t="shared" si="759"/>
        <v>0</v>
      </c>
      <c r="V4818" s="6">
        <f t="shared" si="760"/>
        <v>0</v>
      </c>
      <c r="Y4818" s="8">
        <f t="shared" si="761"/>
        <v>46023</v>
      </c>
    </row>
    <row r="4819" spans="2:25" ht="18.75" x14ac:dyDescent="0.3">
      <c r="B4819" s="6">
        <f t="shared" si="753"/>
        <v>0</v>
      </c>
      <c r="C4819" s="6">
        <f t="shared" si="754"/>
        <v>0</v>
      </c>
      <c r="D4819" s="6" t="str">
        <f t="shared" si="755"/>
        <v/>
      </c>
      <c r="E4819" s="35" t="str">
        <f t="shared" si="752"/>
        <v/>
      </c>
      <c r="F4819" s="31"/>
      <c r="G4819" s="29"/>
      <c r="H4819" s="78" t="str">
        <f t="shared" si="756"/>
        <v/>
      </c>
      <c r="I4819" s="25"/>
      <c r="J4819" s="25"/>
      <c r="K4819" s="26"/>
      <c r="L4819" s="26"/>
      <c r="M4819" s="37"/>
      <c r="N4819" s="27"/>
      <c r="O4819" s="30"/>
      <c r="P4819" s="39" t="str">
        <f t="shared" si="757"/>
        <v/>
      </c>
      <c r="Q4819" s="40" t="str">
        <f>IF(OR(T4819=0,RIGHT(T4819,1)=$W$1),"",COUNTIF($T$3:T4819,T4819))</f>
        <v/>
      </c>
      <c r="S4819" s="6">
        <f t="shared" si="758"/>
        <v>0</v>
      </c>
      <c r="T4819" s="36">
        <f t="shared" si="759"/>
        <v>0</v>
      </c>
      <c r="V4819" s="6">
        <f t="shared" si="760"/>
        <v>0</v>
      </c>
      <c r="Y4819" s="8">
        <f t="shared" si="761"/>
        <v>46023</v>
      </c>
    </row>
    <row r="4820" spans="2:25" ht="18.75" x14ac:dyDescent="0.3">
      <c r="B4820" s="6">
        <f t="shared" si="753"/>
        <v>0</v>
      </c>
      <c r="C4820" s="6">
        <f t="shared" si="754"/>
        <v>0</v>
      </c>
      <c r="D4820" s="6" t="str">
        <f t="shared" si="755"/>
        <v/>
      </c>
      <c r="E4820" s="35" t="str">
        <f t="shared" si="752"/>
        <v/>
      </c>
      <c r="F4820" s="31"/>
      <c r="G4820" s="29"/>
      <c r="H4820" s="78" t="str">
        <f t="shared" si="756"/>
        <v/>
      </c>
      <c r="I4820" s="25"/>
      <c r="J4820" s="25"/>
      <c r="K4820" s="26"/>
      <c r="L4820" s="26"/>
      <c r="M4820" s="37"/>
      <c r="N4820" s="27"/>
      <c r="O4820" s="30"/>
      <c r="P4820" s="39" t="str">
        <f t="shared" si="757"/>
        <v/>
      </c>
      <c r="Q4820" s="40" t="str">
        <f>IF(OR(T4820=0,RIGHT(T4820,1)=$W$1),"",COUNTIF($T$3:T4820,T4820))</f>
        <v/>
      </c>
      <c r="S4820" s="6">
        <f t="shared" si="758"/>
        <v>0</v>
      </c>
      <c r="T4820" s="36">
        <f t="shared" si="759"/>
        <v>0</v>
      </c>
      <c r="V4820" s="6">
        <f t="shared" si="760"/>
        <v>0</v>
      </c>
      <c r="Y4820" s="8">
        <f t="shared" si="761"/>
        <v>46023</v>
      </c>
    </row>
    <row r="4821" spans="2:25" ht="18.75" x14ac:dyDescent="0.3">
      <c r="B4821" s="6">
        <f t="shared" si="753"/>
        <v>0</v>
      </c>
      <c r="C4821" s="6">
        <f t="shared" si="754"/>
        <v>0</v>
      </c>
      <c r="D4821" s="6" t="str">
        <f t="shared" si="755"/>
        <v/>
      </c>
      <c r="E4821" s="35" t="str">
        <f t="shared" si="752"/>
        <v/>
      </c>
      <c r="F4821" s="31"/>
      <c r="G4821" s="29"/>
      <c r="H4821" s="78" t="str">
        <f t="shared" si="756"/>
        <v/>
      </c>
      <c r="I4821" s="25"/>
      <c r="J4821" s="25"/>
      <c r="K4821" s="26"/>
      <c r="L4821" s="26"/>
      <c r="M4821" s="37"/>
      <c r="N4821" s="27"/>
      <c r="O4821" s="30"/>
      <c r="P4821" s="39" t="str">
        <f t="shared" si="757"/>
        <v/>
      </c>
      <c r="Q4821" s="40" t="str">
        <f>IF(OR(T4821=0,RIGHT(T4821,1)=$W$1),"",COUNTIF($T$3:T4821,T4821))</f>
        <v/>
      </c>
      <c r="S4821" s="6">
        <f t="shared" si="758"/>
        <v>0</v>
      </c>
      <c r="T4821" s="36">
        <f t="shared" si="759"/>
        <v>0</v>
      </c>
      <c r="V4821" s="6">
        <f t="shared" si="760"/>
        <v>0</v>
      </c>
      <c r="Y4821" s="8">
        <f t="shared" si="761"/>
        <v>46023</v>
      </c>
    </row>
    <row r="4822" spans="2:25" ht="18.75" x14ac:dyDescent="0.3">
      <c r="B4822" s="6">
        <f t="shared" si="753"/>
        <v>0</v>
      </c>
      <c r="C4822" s="6">
        <f t="shared" si="754"/>
        <v>0</v>
      </c>
      <c r="D4822" s="6" t="str">
        <f t="shared" si="755"/>
        <v/>
      </c>
      <c r="E4822" s="35" t="str">
        <f t="shared" si="752"/>
        <v/>
      </c>
      <c r="F4822" s="31"/>
      <c r="G4822" s="29"/>
      <c r="H4822" s="78" t="str">
        <f t="shared" si="756"/>
        <v/>
      </c>
      <c r="I4822" s="25"/>
      <c r="J4822" s="25"/>
      <c r="K4822" s="26"/>
      <c r="L4822" s="26"/>
      <c r="M4822" s="37"/>
      <c r="N4822" s="27"/>
      <c r="O4822" s="30"/>
      <c r="P4822" s="39" t="str">
        <f t="shared" si="757"/>
        <v/>
      </c>
      <c r="Q4822" s="40" t="str">
        <f>IF(OR(T4822=0,RIGHT(T4822,1)=$W$1),"",COUNTIF($T$3:T4822,T4822))</f>
        <v/>
      </c>
      <c r="S4822" s="6">
        <f t="shared" si="758"/>
        <v>0</v>
      </c>
      <c r="T4822" s="36">
        <f t="shared" si="759"/>
        <v>0</v>
      </c>
      <c r="V4822" s="6">
        <f t="shared" si="760"/>
        <v>0</v>
      </c>
      <c r="Y4822" s="8">
        <f t="shared" si="761"/>
        <v>46023</v>
      </c>
    </row>
    <row r="4823" spans="2:25" ht="18.75" x14ac:dyDescent="0.3">
      <c r="B4823" s="6">
        <f t="shared" si="753"/>
        <v>0</v>
      </c>
      <c r="C4823" s="6">
        <f t="shared" si="754"/>
        <v>0</v>
      </c>
      <c r="D4823" s="6" t="str">
        <f t="shared" si="755"/>
        <v/>
      </c>
      <c r="E4823" s="35" t="str">
        <f t="shared" si="752"/>
        <v/>
      </c>
      <c r="F4823" s="31"/>
      <c r="G4823" s="29"/>
      <c r="H4823" s="78" t="str">
        <f t="shared" si="756"/>
        <v/>
      </c>
      <c r="I4823" s="25"/>
      <c r="J4823" s="25"/>
      <c r="K4823" s="26"/>
      <c r="L4823" s="26"/>
      <c r="M4823" s="37"/>
      <c r="N4823" s="27"/>
      <c r="O4823" s="30"/>
      <c r="P4823" s="39" t="str">
        <f t="shared" si="757"/>
        <v/>
      </c>
      <c r="Q4823" s="40" t="str">
        <f>IF(OR(T4823=0,RIGHT(T4823,1)=$W$1),"",COUNTIF($T$3:T4823,T4823))</f>
        <v/>
      </c>
      <c r="S4823" s="6">
        <f t="shared" si="758"/>
        <v>0</v>
      </c>
      <c r="T4823" s="36">
        <f t="shared" si="759"/>
        <v>0</v>
      </c>
      <c r="V4823" s="6">
        <f t="shared" si="760"/>
        <v>0</v>
      </c>
      <c r="Y4823" s="8">
        <f t="shared" si="761"/>
        <v>46023</v>
      </c>
    </row>
    <row r="4824" spans="2:25" ht="18.75" x14ac:dyDescent="0.3">
      <c r="B4824" s="6">
        <f t="shared" si="753"/>
        <v>0</v>
      </c>
      <c r="C4824" s="6">
        <f t="shared" si="754"/>
        <v>0</v>
      </c>
      <c r="D4824" s="6" t="str">
        <f t="shared" si="755"/>
        <v/>
      </c>
      <c r="E4824" s="35" t="str">
        <f t="shared" si="752"/>
        <v/>
      </c>
      <c r="F4824" s="31"/>
      <c r="G4824" s="29"/>
      <c r="H4824" s="78" t="str">
        <f t="shared" si="756"/>
        <v/>
      </c>
      <c r="I4824" s="25"/>
      <c r="J4824" s="25"/>
      <c r="K4824" s="26"/>
      <c r="L4824" s="26"/>
      <c r="M4824" s="37"/>
      <c r="N4824" s="27"/>
      <c r="O4824" s="30"/>
      <c r="P4824" s="39" t="str">
        <f t="shared" si="757"/>
        <v/>
      </c>
      <c r="Q4824" s="40" t="str">
        <f>IF(OR(T4824=0,RIGHT(T4824,1)=$W$1),"",COUNTIF($T$3:T4824,T4824))</f>
        <v/>
      </c>
      <c r="S4824" s="6">
        <f t="shared" si="758"/>
        <v>0</v>
      </c>
      <c r="T4824" s="36">
        <f t="shared" si="759"/>
        <v>0</v>
      </c>
      <c r="V4824" s="6">
        <f t="shared" si="760"/>
        <v>0</v>
      </c>
      <c r="Y4824" s="8">
        <f t="shared" si="761"/>
        <v>46023</v>
      </c>
    </row>
    <row r="4825" spans="2:25" ht="18.75" x14ac:dyDescent="0.3">
      <c r="B4825" s="6">
        <f t="shared" si="753"/>
        <v>0</v>
      </c>
      <c r="C4825" s="6">
        <f t="shared" si="754"/>
        <v>0</v>
      </c>
      <c r="D4825" s="6" t="str">
        <f t="shared" si="755"/>
        <v/>
      </c>
      <c r="E4825" s="35" t="str">
        <f t="shared" si="752"/>
        <v/>
      </c>
      <c r="F4825" s="31"/>
      <c r="G4825" s="29"/>
      <c r="H4825" s="78" t="str">
        <f t="shared" si="756"/>
        <v/>
      </c>
      <c r="I4825" s="25"/>
      <c r="J4825" s="25"/>
      <c r="K4825" s="26"/>
      <c r="L4825" s="26"/>
      <c r="M4825" s="37"/>
      <c r="N4825" s="27"/>
      <c r="O4825" s="30"/>
      <c r="P4825" s="39" t="str">
        <f t="shared" si="757"/>
        <v/>
      </c>
      <c r="Q4825" s="40" t="str">
        <f>IF(OR(T4825=0,RIGHT(T4825,1)=$W$1),"",COUNTIF($T$3:T4825,T4825))</f>
        <v/>
      </c>
      <c r="S4825" s="6">
        <f t="shared" si="758"/>
        <v>0</v>
      </c>
      <c r="T4825" s="36">
        <f t="shared" si="759"/>
        <v>0</v>
      </c>
      <c r="V4825" s="6">
        <f t="shared" si="760"/>
        <v>0</v>
      </c>
      <c r="Y4825" s="8">
        <f t="shared" si="761"/>
        <v>46023</v>
      </c>
    </row>
    <row r="4826" spans="2:25" ht="18.75" x14ac:dyDescent="0.3">
      <c r="B4826" s="6">
        <f t="shared" si="753"/>
        <v>0</v>
      </c>
      <c r="C4826" s="6">
        <f t="shared" si="754"/>
        <v>0</v>
      </c>
      <c r="D4826" s="6" t="str">
        <f t="shared" si="755"/>
        <v/>
      </c>
      <c r="E4826" s="35" t="str">
        <f t="shared" si="752"/>
        <v/>
      </c>
      <c r="F4826" s="31"/>
      <c r="G4826" s="29"/>
      <c r="H4826" s="78" t="str">
        <f t="shared" si="756"/>
        <v/>
      </c>
      <c r="I4826" s="25"/>
      <c r="J4826" s="25"/>
      <c r="K4826" s="26"/>
      <c r="L4826" s="26"/>
      <c r="M4826" s="37"/>
      <c r="N4826" s="27"/>
      <c r="O4826" s="30"/>
      <c r="P4826" s="39" t="str">
        <f t="shared" si="757"/>
        <v/>
      </c>
      <c r="Q4826" s="40" t="str">
        <f>IF(OR(T4826=0,RIGHT(T4826,1)=$W$1),"",COUNTIF($T$3:T4826,T4826))</f>
        <v/>
      </c>
      <c r="S4826" s="6">
        <f t="shared" si="758"/>
        <v>0</v>
      </c>
      <c r="T4826" s="36">
        <f t="shared" si="759"/>
        <v>0</v>
      </c>
      <c r="V4826" s="6">
        <f t="shared" si="760"/>
        <v>0</v>
      </c>
      <c r="Y4826" s="8">
        <f t="shared" si="761"/>
        <v>46023</v>
      </c>
    </row>
    <row r="4827" spans="2:25" ht="18.75" x14ac:dyDescent="0.3">
      <c r="B4827" s="6">
        <f t="shared" si="753"/>
        <v>0</v>
      </c>
      <c r="C4827" s="6">
        <f t="shared" si="754"/>
        <v>0</v>
      </c>
      <c r="D4827" s="6" t="str">
        <f t="shared" si="755"/>
        <v/>
      </c>
      <c r="E4827" s="35" t="str">
        <f t="shared" si="752"/>
        <v/>
      </c>
      <c r="F4827" s="31"/>
      <c r="G4827" s="29"/>
      <c r="H4827" s="78" t="str">
        <f t="shared" si="756"/>
        <v/>
      </c>
      <c r="I4827" s="25"/>
      <c r="J4827" s="25"/>
      <c r="K4827" s="26"/>
      <c r="L4827" s="26"/>
      <c r="M4827" s="37"/>
      <c r="N4827" s="27"/>
      <c r="O4827" s="30"/>
      <c r="P4827" s="39" t="str">
        <f t="shared" si="757"/>
        <v/>
      </c>
      <c r="Q4827" s="40" t="str">
        <f>IF(OR(T4827=0,RIGHT(T4827,1)=$W$1),"",COUNTIF($T$3:T4827,T4827))</f>
        <v/>
      </c>
      <c r="S4827" s="6">
        <f t="shared" si="758"/>
        <v>0</v>
      </c>
      <c r="T4827" s="36">
        <f t="shared" si="759"/>
        <v>0</v>
      </c>
      <c r="V4827" s="6">
        <f t="shared" si="760"/>
        <v>0</v>
      </c>
      <c r="Y4827" s="8">
        <f t="shared" si="761"/>
        <v>46023</v>
      </c>
    </row>
    <row r="4828" spans="2:25" ht="18.75" x14ac:dyDescent="0.3">
      <c r="B4828" s="6">
        <f t="shared" si="753"/>
        <v>0</v>
      </c>
      <c r="C4828" s="6">
        <f t="shared" si="754"/>
        <v>0</v>
      </c>
      <c r="D4828" s="6" t="str">
        <f t="shared" si="755"/>
        <v/>
      </c>
      <c r="E4828" s="35" t="str">
        <f t="shared" si="752"/>
        <v/>
      </c>
      <c r="F4828" s="31"/>
      <c r="G4828" s="29"/>
      <c r="H4828" s="78" t="str">
        <f t="shared" si="756"/>
        <v/>
      </c>
      <c r="I4828" s="25"/>
      <c r="J4828" s="25"/>
      <c r="K4828" s="26"/>
      <c r="L4828" s="26"/>
      <c r="M4828" s="37"/>
      <c r="N4828" s="27"/>
      <c r="O4828" s="30"/>
      <c r="P4828" s="39" t="str">
        <f t="shared" si="757"/>
        <v/>
      </c>
      <c r="Q4828" s="40" t="str">
        <f>IF(OR(T4828=0,RIGHT(T4828,1)=$W$1),"",COUNTIF($T$3:T4828,T4828))</f>
        <v/>
      </c>
      <c r="S4828" s="6">
        <f t="shared" si="758"/>
        <v>0</v>
      </c>
      <c r="T4828" s="36">
        <f t="shared" si="759"/>
        <v>0</v>
      </c>
      <c r="V4828" s="6">
        <f t="shared" si="760"/>
        <v>0</v>
      </c>
      <c r="Y4828" s="8">
        <f t="shared" si="761"/>
        <v>46023</v>
      </c>
    </row>
    <row r="4829" spans="2:25" ht="18.75" x14ac:dyDescent="0.3">
      <c r="B4829" s="6">
        <f t="shared" si="753"/>
        <v>0</v>
      </c>
      <c r="C4829" s="6">
        <f t="shared" si="754"/>
        <v>0</v>
      </c>
      <c r="D4829" s="6" t="str">
        <f t="shared" si="755"/>
        <v/>
      </c>
      <c r="E4829" s="35" t="str">
        <f t="shared" si="752"/>
        <v/>
      </c>
      <c r="F4829" s="31"/>
      <c r="G4829" s="29"/>
      <c r="H4829" s="78" t="str">
        <f t="shared" si="756"/>
        <v/>
      </c>
      <c r="I4829" s="25"/>
      <c r="J4829" s="25"/>
      <c r="K4829" s="26"/>
      <c r="L4829" s="26"/>
      <c r="M4829" s="37"/>
      <c r="N4829" s="27"/>
      <c r="O4829" s="30"/>
      <c r="P4829" s="39" t="str">
        <f t="shared" si="757"/>
        <v/>
      </c>
      <c r="Q4829" s="40" t="str">
        <f>IF(OR(T4829=0,RIGHT(T4829,1)=$W$1),"",COUNTIF($T$3:T4829,T4829))</f>
        <v/>
      </c>
      <c r="S4829" s="6">
        <f t="shared" si="758"/>
        <v>0</v>
      </c>
      <c r="T4829" s="36">
        <f t="shared" si="759"/>
        <v>0</v>
      </c>
      <c r="V4829" s="6">
        <f t="shared" si="760"/>
        <v>0</v>
      </c>
      <c r="Y4829" s="8">
        <f t="shared" si="761"/>
        <v>46023</v>
      </c>
    </row>
    <row r="4830" spans="2:25" ht="18.75" x14ac:dyDescent="0.3">
      <c r="B4830" s="6">
        <f t="shared" si="753"/>
        <v>0</v>
      </c>
      <c r="C4830" s="6">
        <f t="shared" si="754"/>
        <v>0</v>
      </c>
      <c r="D4830" s="6" t="str">
        <f t="shared" si="755"/>
        <v/>
      </c>
      <c r="E4830" s="35" t="str">
        <f t="shared" si="752"/>
        <v/>
      </c>
      <c r="F4830" s="31"/>
      <c r="G4830" s="29"/>
      <c r="H4830" s="78" t="str">
        <f t="shared" si="756"/>
        <v/>
      </c>
      <c r="I4830" s="25"/>
      <c r="J4830" s="25"/>
      <c r="K4830" s="26"/>
      <c r="L4830" s="26"/>
      <c r="M4830" s="37"/>
      <c r="N4830" s="27"/>
      <c r="O4830" s="30"/>
      <c r="P4830" s="39" t="str">
        <f t="shared" si="757"/>
        <v/>
      </c>
      <c r="Q4830" s="40" t="str">
        <f>IF(OR(T4830=0,RIGHT(T4830,1)=$W$1),"",COUNTIF($T$3:T4830,T4830))</f>
        <v/>
      </c>
      <c r="S4830" s="6">
        <f t="shared" si="758"/>
        <v>0</v>
      </c>
      <c r="T4830" s="36">
        <f t="shared" si="759"/>
        <v>0</v>
      </c>
      <c r="V4830" s="6">
        <f t="shared" si="760"/>
        <v>0</v>
      </c>
      <c r="Y4830" s="8">
        <f t="shared" si="761"/>
        <v>46023</v>
      </c>
    </row>
    <row r="4831" spans="2:25" ht="18.75" x14ac:dyDescent="0.3">
      <c r="B4831" s="6">
        <f t="shared" si="753"/>
        <v>0</v>
      </c>
      <c r="C4831" s="6">
        <f t="shared" si="754"/>
        <v>0</v>
      </c>
      <c r="D4831" s="6" t="str">
        <f t="shared" si="755"/>
        <v/>
      </c>
      <c r="E4831" s="35" t="str">
        <f t="shared" si="752"/>
        <v/>
      </c>
      <c r="F4831" s="31"/>
      <c r="G4831" s="29"/>
      <c r="H4831" s="78" t="str">
        <f t="shared" si="756"/>
        <v/>
      </c>
      <c r="I4831" s="25"/>
      <c r="J4831" s="25"/>
      <c r="K4831" s="26"/>
      <c r="L4831" s="26"/>
      <c r="M4831" s="37"/>
      <c r="N4831" s="27"/>
      <c r="O4831" s="30"/>
      <c r="P4831" s="39" t="str">
        <f t="shared" si="757"/>
        <v/>
      </c>
      <c r="Q4831" s="40" t="str">
        <f>IF(OR(T4831=0,RIGHT(T4831,1)=$W$1),"",COUNTIF($T$3:T4831,T4831))</f>
        <v/>
      </c>
      <c r="S4831" s="6">
        <f t="shared" si="758"/>
        <v>0</v>
      </c>
      <c r="T4831" s="36">
        <f t="shared" si="759"/>
        <v>0</v>
      </c>
      <c r="V4831" s="6">
        <f t="shared" si="760"/>
        <v>0</v>
      </c>
      <c r="Y4831" s="8">
        <f t="shared" si="761"/>
        <v>46023</v>
      </c>
    </row>
    <row r="4832" spans="2:25" ht="18.75" x14ac:dyDescent="0.3">
      <c r="B4832" s="6">
        <f t="shared" si="753"/>
        <v>0</v>
      </c>
      <c r="C4832" s="6">
        <f t="shared" si="754"/>
        <v>0</v>
      </c>
      <c r="D4832" s="6" t="str">
        <f t="shared" si="755"/>
        <v/>
      </c>
      <c r="E4832" s="35" t="str">
        <f t="shared" si="752"/>
        <v/>
      </c>
      <c r="F4832" s="31"/>
      <c r="G4832" s="29"/>
      <c r="H4832" s="78" t="str">
        <f t="shared" si="756"/>
        <v/>
      </c>
      <c r="I4832" s="25"/>
      <c r="J4832" s="25"/>
      <c r="K4832" s="26"/>
      <c r="L4832" s="26"/>
      <c r="M4832" s="37"/>
      <c r="N4832" s="27"/>
      <c r="O4832" s="30"/>
      <c r="P4832" s="39" t="str">
        <f t="shared" si="757"/>
        <v/>
      </c>
      <c r="Q4832" s="40" t="str">
        <f>IF(OR(T4832=0,RIGHT(T4832,1)=$W$1),"",COUNTIF($T$3:T4832,T4832))</f>
        <v/>
      </c>
      <c r="S4832" s="6">
        <f t="shared" si="758"/>
        <v>0</v>
      </c>
      <c r="T4832" s="36">
        <f t="shared" si="759"/>
        <v>0</v>
      </c>
      <c r="V4832" s="6">
        <f t="shared" si="760"/>
        <v>0</v>
      </c>
      <c r="Y4832" s="8">
        <f t="shared" si="761"/>
        <v>46023</v>
      </c>
    </row>
    <row r="4833" spans="2:25" ht="18.75" x14ac:dyDescent="0.3">
      <c r="B4833" s="6">
        <f t="shared" si="753"/>
        <v>0</v>
      </c>
      <c r="C4833" s="6">
        <f t="shared" si="754"/>
        <v>0</v>
      </c>
      <c r="D4833" s="6" t="str">
        <f t="shared" si="755"/>
        <v/>
      </c>
      <c r="E4833" s="35" t="str">
        <f t="shared" si="752"/>
        <v/>
      </c>
      <c r="F4833" s="31"/>
      <c r="G4833" s="29"/>
      <c r="H4833" s="78" t="str">
        <f t="shared" si="756"/>
        <v/>
      </c>
      <c r="I4833" s="25"/>
      <c r="J4833" s="25"/>
      <c r="K4833" s="26"/>
      <c r="L4833" s="26"/>
      <c r="M4833" s="37"/>
      <c r="N4833" s="27"/>
      <c r="O4833" s="30"/>
      <c r="P4833" s="39" t="str">
        <f t="shared" si="757"/>
        <v/>
      </c>
      <c r="Q4833" s="40" t="str">
        <f>IF(OR(T4833=0,RIGHT(T4833,1)=$W$1),"",COUNTIF($T$3:T4833,T4833))</f>
        <v/>
      </c>
      <c r="S4833" s="6">
        <f t="shared" si="758"/>
        <v>0</v>
      </c>
      <c r="T4833" s="36">
        <f t="shared" si="759"/>
        <v>0</v>
      </c>
      <c r="V4833" s="6">
        <f t="shared" si="760"/>
        <v>0</v>
      </c>
      <c r="Y4833" s="8">
        <f t="shared" si="761"/>
        <v>46023</v>
      </c>
    </row>
    <row r="4834" spans="2:25" ht="18.75" x14ac:dyDescent="0.3">
      <c r="B4834" s="6">
        <f t="shared" si="753"/>
        <v>0</v>
      </c>
      <c r="C4834" s="6">
        <f t="shared" si="754"/>
        <v>0</v>
      </c>
      <c r="D4834" s="6" t="str">
        <f t="shared" si="755"/>
        <v/>
      </c>
      <c r="E4834" s="35" t="str">
        <f t="shared" si="752"/>
        <v/>
      </c>
      <c r="F4834" s="31"/>
      <c r="G4834" s="29"/>
      <c r="H4834" s="78" t="str">
        <f t="shared" si="756"/>
        <v/>
      </c>
      <c r="I4834" s="25"/>
      <c r="J4834" s="25"/>
      <c r="K4834" s="26"/>
      <c r="L4834" s="26"/>
      <c r="M4834" s="37"/>
      <c r="N4834" s="27"/>
      <c r="O4834" s="30"/>
      <c r="P4834" s="39" t="str">
        <f t="shared" si="757"/>
        <v/>
      </c>
      <c r="Q4834" s="40" t="str">
        <f>IF(OR(T4834=0,RIGHT(T4834,1)=$W$1),"",COUNTIF($T$3:T4834,T4834))</f>
        <v/>
      </c>
      <c r="S4834" s="6">
        <f t="shared" si="758"/>
        <v>0</v>
      </c>
      <c r="T4834" s="36">
        <f t="shared" si="759"/>
        <v>0</v>
      </c>
      <c r="V4834" s="6">
        <f t="shared" si="760"/>
        <v>0</v>
      </c>
      <c r="Y4834" s="8">
        <f t="shared" si="761"/>
        <v>46023</v>
      </c>
    </row>
    <row r="4835" spans="2:25" ht="18.75" x14ac:dyDescent="0.3">
      <c r="B4835" s="6">
        <f t="shared" si="753"/>
        <v>0</v>
      </c>
      <c r="C4835" s="6">
        <f t="shared" si="754"/>
        <v>0</v>
      </c>
      <c r="D4835" s="6" t="str">
        <f t="shared" si="755"/>
        <v/>
      </c>
      <c r="E4835" s="35" t="str">
        <f t="shared" si="752"/>
        <v/>
      </c>
      <c r="F4835" s="31"/>
      <c r="G4835" s="29"/>
      <c r="H4835" s="78" t="str">
        <f t="shared" si="756"/>
        <v/>
      </c>
      <c r="I4835" s="25"/>
      <c r="J4835" s="25"/>
      <c r="K4835" s="26"/>
      <c r="L4835" s="26"/>
      <c r="M4835" s="37"/>
      <c r="N4835" s="27"/>
      <c r="O4835" s="30"/>
      <c r="P4835" s="39" t="str">
        <f t="shared" si="757"/>
        <v/>
      </c>
      <c r="Q4835" s="40" t="str">
        <f>IF(OR(T4835=0,RIGHT(T4835,1)=$W$1),"",COUNTIF($T$3:T4835,T4835))</f>
        <v/>
      </c>
      <c r="S4835" s="6">
        <f t="shared" si="758"/>
        <v>0</v>
      </c>
      <c r="T4835" s="36">
        <f t="shared" si="759"/>
        <v>0</v>
      </c>
      <c r="V4835" s="6">
        <f t="shared" si="760"/>
        <v>0</v>
      </c>
      <c r="Y4835" s="8">
        <f t="shared" si="761"/>
        <v>46023</v>
      </c>
    </row>
    <row r="4836" spans="2:25" ht="18.75" x14ac:dyDescent="0.3">
      <c r="B4836" s="6">
        <f t="shared" si="753"/>
        <v>0</v>
      </c>
      <c r="C4836" s="6">
        <f t="shared" si="754"/>
        <v>0</v>
      </c>
      <c r="D4836" s="6" t="str">
        <f t="shared" si="755"/>
        <v/>
      </c>
      <c r="E4836" s="35" t="str">
        <f t="shared" si="752"/>
        <v/>
      </c>
      <c r="F4836" s="31"/>
      <c r="G4836" s="29"/>
      <c r="H4836" s="78" t="str">
        <f t="shared" si="756"/>
        <v/>
      </c>
      <c r="I4836" s="25"/>
      <c r="J4836" s="25"/>
      <c r="K4836" s="26"/>
      <c r="L4836" s="26"/>
      <c r="M4836" s="37"/>
      <c r="N4836" s="27"/>
      <c r="O4836" s="30"/>
      <c r="P4836" s="39" t="str">
        <f t="shared" si="757"/>
        <v/>
      </c>
      <c r="Q4836" s="40" t="str">
        <f>IF(OR(T4836=0,RIGHT(T4836,1)=$W$1),"",COUNTIF($T$3:T4836,T4836))</f>
        <v/>
      </c>
      <c r="S4836" s="6">
        <f t="shared" si="758"/>
        <v>0</v>
      </c>
      <c r="T4836" s="36">
        <f t="shared" si="759"/>
        <v>0</v>
      </c>
      <c r="V4836" s="6">
        <f t="shared" si="760"/>
        <v>0</v>
      </c>
      <c r="Y4836" s="8">
        <f t="shared" si="761"/>
        <v>46023</v>
      </c>
    </row>
    <row r="4837" spans="2:25" ht="18.75" x14ac:dyDescent="0.3">
      <c r="B4837" s="6">
        <f t="shared" si="753"/>
        <v>0</v>
      </c>
      <c r="C4837" s="6">
        <f t="shared" si="754"/>
        <v>0</v>
      </c>
      <c r="D4837" s="6" t="str">
        <f t="shared" si="755"/>
        <v/>
      </c>
      <c r="E4837" s="35" t="str">
        <f t="shared" si="752"/>
        <v/>
      </c>
      <c r="F4837" s="31"/>
      <c r="G4837" s="29"/>
      <c r="H4837" s="78" t="str">
        <f t="shared" si="756"/>
        <v/>
      </c>
      <c r="I4837" s="25"/>
      <c r="J4837" s="25"/>
      <c r="K4837" s="26"/>
      <c r="L4837" s="26"/>
      <c r="M4837" s="37"/>
      <c r="N4837" s="27"/>
      <c r="O4837" s="30"/>
      <c r="P4837" s="39" t="str">
        <f t="shared" si="757"/>
        <v/>
      </c>
      <c r="Q4837" s="40" t="str">
        <f>IF(OR(T4837=0,RIGHT(T4837,1)=$W$1),"",COUNTIF($T$3:T4837,T4837))</f>
        <v/>
      </c>
      <c r="S4837" s="6">
        <f t="shared" si="758"/>
        <v>0</v>
      </c>
      <c r="T4837" s="36">
        <f t="shared" si="759"/>
        <v>0</v>
      </c>
      <c r="V4837" s="6">
        <f t="shared" si="760"/>
        <v>0</v>
      </c>
      <c r="Y4837" s="8">
        <f t="shared" si="761"/>
        <v>46023</v>
      </c>
    </row>
    <row r="4838" spans="2:25" ht="18.75" x14ac:dyDescent="0.3">
      <c r="B4838" s="6">
        <f t="shared" si="753"/>
        <v>0</v>
      </c>
      <c r="C4838" s="6">
        <f t="shared" si="754"/>
        <v>0</v>
      </c>
      <c r="D4838" s="6" t="str">
        <f t="shared" si="755"/>
        <v/>
      </c>
      <c r="E4838" s="35" t="str">
        <f t="shared" si="752"/>
        <v/>
      </c>
      <c r="F4838" s="31"/>
      <c r="G4838" s="29"/>
      <c r="H4838" s="78" t="str">
        <f t="shared" si="756"/>
        <v/>
      </c>
      <c r="I4838" s="25"/>
      <c r="J4838" s="25"/>
      <c r="K4838" s="26"/>
      <c r="L4838" s="26"/>
      <c r="M4838" s="37"/>
      <c r="N4838" s="27"/>
      <c r="O4838" s="30"/>
      <c r="P4838" s="39" t="str">
        <f t="shared" si="757"/>
        <v/>
      </c>
      <c r="Q4838" s="40" t="str">
        <f>IF(OR(T4838=0,RIGHT(T4838,1)=$W$1),"",COUNTIF($T$3:T4838,T4838))</f>
        <v/>
      </c>
      <c r="S4838" s="6">
        <f t="shared" si="758"/>
        <v>0</v>
      </c>
      <c r="T4838" s="36">
        <f t="shared" si="759"/>
        <v>0</v>
      </c>
      <c r="V4838" s="6">
        <f t="shared" si="760"/>
        <v>0</v>
      </c>
      <c r="Y4838" s="8">
        <f t="shared" si="761"/>
        <v>46023</v>
      </c>
    </row>
    <row r="4839" spans="2:25" ht="18.75" x14ac:dyDescent="0.3">
      <c r="B4839" s="6">
        <f t="shared" si="753"/>
        <v>0</v>
      </c>
      <c r="C4839" s="6">
        <f t="shared" si="754"/>
        <v>0</v>
      </c>
      <c r="D4839" s="6" t="str">
        <f t="shared" si="755"/>
        <v/>
      </c>
      <c r="E4839" s="35" t="str">
        <f t="shared" si="752"/>
        <v/>
      </c>
      <c r="F4839" s="31"/>
      <c r="G4839" s="29"/>
      <c r="H4839" s="78" t="str">
        <f t="shared" si="756"/>
        <v/>
      </c>
      <c r="I4839" s="25"/>
      <c r="J4839" s="25"/>
      <c r="K4839" s="26"/>
      <c r="L4839" s="26"/>
      <c r="M4839" s="37"/>
      <c r="N4839" s="27"/>
      <c r="O4839" s="30"/>
      <c r="P4839" s="39" t="str">
        <f t="shared" si="757"/>
        <v/>
      </c>
      <c r="Q4839" s="40" t="str">
        <f>IF(OR(T4839=0,RIGHT(T4839,1)=$W$1),"",COUNTIF($T$3:T4839,T4839))</f>
        <v/>
      </c>
      <c r="S4839" s="6">
        <f t="shared" si="758"/>
        <v>0</v>
      </c>
      <c r="T4839" s="36">
        <f t="shared" si="759"/>
        <v>0</v>
      </c>
      <c r="V4839" s="6">
        <f t="shared" si="760"/>
        <v>0</v>
      </c>
      <c r="Y4839" s="8">
        <f t="shared" si="761"/>
        <v>46023</v>
      </c>
    </row>
    <row r="4840" spans="2:25" ht="18.75" x14ac:dyDescent="0.3">
      <c r="B4840" s="6">
        <f t="shared" si="753"/>
        <v>0</v>
      </c>
      <c r="C4840" s="6">
        <f t="shared" si="754"/>
        <v>0</v>
      </c>
      <c r="D4840" s="6" t="str">
        <f t="shared" si="755"/>
        <v/>
      </c>
      <c r="E4840" s="35" t="str">
        <f t="shared" si="752"/>
        <v/>
      </c>
      <c r="F4840" s="31"/>
      <c r="G4840" s="29"/>
      <c r="H4840" s="78" t="str">
        <f t="shared" si="756"/>
        <v/>
      </c>
      <c r="I4840" s="25"/>
      <c r="J4840" s="25"/>
      <c r="K4840" s="26"/>
      <c r="L4840" s="26"/>
      <c r="M4840" s="37"/>
      <c r="N4840" s="27"/>
      <c r="O4840" s="30"/>
      <c r="P4840" s="39" t="str">
        <f t="shared" si="757"/>
        <v/>
      </c>
      <c r="Q4840" s="40" t="str">
        <f>IF(OR(T4840=0,RIGHT(T4840,1)=$W$1),"",COUNTIF($T$3:T4840,T4840))</f>
        <v/>
      </c>
      <c r="S4840" s="6">
        <f t="shared" si="758"/>
        <v>0</v>
      </c>
      <c r="T4840" s="36">
        <f t="shared" si="759"/>
        <v>0</v>
      </c>
      <c r="V4840" s="6">
        <f t="shared" si="760"/>
        <v>0</v>
      </c>
      <c r="Y4840" s="8">
        <f t="shared" si="761"/>
        <v>46023</v>
      </c>
    </row>
    <row r="4841" spans="2:25" ht="18.75" x14ac:dyDescent="0.3">
      <c r="B4841" s="6">
        <f t="shared" si="753"/>
        <v>0</v>
      </c>
      <c r="C4841" s="6">
        <f t="shared" si="754"/>
        <v>0</v>
      </c>
      <c r="D4841" s="6" t="str">
        <f t="shared" si="755"/>
        <v/>
      </c>
      <c r="E4841" s="35" t="str">
        <f t="shared" si="752"/>
        <v/>
      </c>
      <c r="F4841" s="31"/>
      <c r="G4841" s="29"/>
      <c r="H4841" s="78" t="str">
        <f t="shared" si="756"/>
        <v/>
      </c>
      <c r="I4841" s="25"/>
      <c r="J4841" s="25"/>
      <c r="K4841" s="26"/>
      <c r="L4841" s="26"/>
      <c r="M4841" s="37"/>
      <c r="N4841" s="27"/>
      <c r="O4841" s="30"/>
      <c r="P4841" s="39" t="str">
        <f t="shared" si="757"/>
        <v/>
      </c>
      <c r="Q4841" s="40" t="str">
        <f>IF(OR(T4841=0,RIGHT(T4841,1)=$W$1),"",COUNTIF($T$3:T4841,T4841))</f>
        <v/>
      </c>
      <c r="S4841" s="6">
        <f t="shared" si="758"/>
        <v>0</v>
      </c>
      <c r="T4841" s="36">
        <f t="shared" si="759"/>
        <v>0</v>
      </c>
      <c r="V4841" s="6">
        <f t="shared" si="760"/>
        <v>0</v>
      </c>
      <c r="Y4841" s="8">
        <f t="shared" si="761"/>
        <v>46023</v>
      </c>
    </row>
    <row r="4842" spans="2:25" ht="18.75" x14ac:dyDescent="0.3">
      <c r="B4842" s="6">
        <f t="shared" si="753"/>
        <v>0</v>
      </c>
      <c r="C4842" s="6">
        <f t="shared" si="754"/>
        <v>0</v>
      </c>
      <c r="D4842" s="6" t="str">
        <f t="shared" si="755"/>
        <v/>
      </c>
      <c r="E4842" s="35" t="str">
        <f t="shared" si="752"/>
        <v/>
      </c>
      <c r="F4842" s="31"/>
      <c r="G4842" s="29"/>
      <c r="H4842" s="78" t="str">
        <f t="shared" si="756"/>
        <v/>
      </c>
      <c r="I4842" s="25"/>
      <c r="J4842" s="25"/>
      <c r="K4842" s="26"/>
      <c r="L4842" s="26"/>
      <c r="M4842" s="37"/>
      <c r="N4842" s="27"/>
      <c r="O4842" s="30"/>
      <c r="P4842" s="39" t="str">
        <f t="shared" si="757"/>
        <v/>
      </c>
      <c r="Q4842" s="40" t="str">
        <f>IF(OR(T4842=0,RIGHT(T4842,1)=$W$1),"",COUNTIF($T$3:T4842,T4842))</f>
        <v/>
      </c>
      <c r="S4842" s="6">
        <f t="shared" si="758"/>
        <v>0</v>
      </c>
      <c r="T4842" s="36">
        <f t="shared" si="759"/>
        <v>0</v>
      </c>
      <c r="V4842" s="6">
        <f t="shared" si="760"/>
        <v>0</v>
      </c>
      <c r="Y4842" s="8">
        <f t="shared" si="761"/>
        <v>46023</v>
      </c>
    </row>
    <row r="4843" spans="2:25" ht="18.75" x14ac:dyDescent="0.3">
      <c r="B4843" s="6">
        <f t="shared" si="753"/>
        <v>0</v>
      </c>
      <c r="C4843" s="6">
        <f t="shared" si="754"/>
        <v>0</v>
      </c>
      <c r="D4843" s="6" t="str">
        <f t="shared" si="755"/>
        <v/>
      </c>
      <c r="E4843" s="35" t="str">
        <f t="shared" si="752"/>
        <v/>
      </c>
      <c r="F4843" s="31"/>
      <c r="G4843" s="29"/>
      <c r="H4843" s="78" t="str">
        <f t="shared" si="756"/>
        <v/>
      </c>
      <c r="I4843" s="25"/>
      <c r="J4843" s="25"/>
      <c r="K4843" s="26"/>
      <c r="L4843" s="26"/>
      <c r="M4843" s="37"/>
      <c r="N4843" s="27"/>
      <c r="O4843" s="30"/>
      <c r="P4843" s="39" t="str">
        <f t="shared" si="757"/>
        <v/>
      </c>
      <c r="Q4843" s="40" t="str">
        <f>IF(OR(T4843=0,RIGHT(T4843,1)=$W$1),"",COUNTIF($T$3:T4843,T4843))</f>
        <v/>
      </c>
      <c r="S4843" s="6">
        <f t="shared" si="758"/>
        <v>0</v>
      </c>
      <c r="T4843" s="36">
        <f t="shared" si="759"/>
        <v>0</v>
      </c>
      <c r="V4843" s="6">
        <f t="shared" si="760"/>
        <v>0</v>
      </c>
      <c r="Y4843" s="8">
        <f t="shared" si="761"/>
        <v>46023</v>
      </c>
    </row>
    <row r="4844" spans="2:25" ht="18.75" x14ac:dyDescent="0.3">
      <c r="B4844" s="6">
        <f t="shared" si="753"/>
        <v>0</v>
      </c>
      <c r="C4844" s="6">
        <f t="shared" si="754"/>
        <v>0</v>
      </c>
      <c r="D4844" s="6" t="str">
        <f t="shared" si="755"/>
        <v/>
      </c>
      <c r="E4844" s="35" t="str">
        <f t="shared" si="752"/>
        <v/>
      </c>
      <c r="F4844" s="31"/>
      <c r="G4844" s="29"/>
      <c r="H4844" s="78" t="str">
        <f t="shared" si="756"/>
        <v/>
      </c>
      <c r="I4844" s="25"/>
      <c r="J4844" s="25"/>
      <c r="K4844" s="26"/>
      <c r="L4844" s="26"/>
      <c r="M4844" s="37"/>
      <c r="N4844" s="27"/>
      <c r="O4844" s="30"/>
      <c r="P4844" s="39" t="str">
        <f t="shared" si="757"/>
        <v/>
      </c>
      <c r="Q4844" s="40" t="str">
        <f>IF(OR(T4844=0,RIGHT(T4844,1)=$W$1),"",COUNTIF($T$3:T4844,T4844))</f>
        <v/>
      </c>
      <c r="S4844" s="6">
        <f t="shared" si="758"/>
        <v>0</v>
      </c>
      <c r="T4844" s="36">
        <f t="shared" si="759"/>
        <v>0</v>
      </c>
      <c r="V4844" s="6">
        <f t="shared" si="760"/>
        <v>0</v>
      </c>
      <c r="Y4844" s="8">
        <f t="shared" si="761"/>
        <v>46023</v>
      </c>
    </row>
    <row r="4845" spans="2:25" ht="18.75" x14ac:dyDescent="0.3">
      <c r="B4845" s="6">
        <f t="shared" si="753"/>
        <v>0</v>
      </c>
      <c r="C4845" s="6">
        <f t="shared" si="754"/>
        <v>0</v>
      </c>
      <c r="D4845" s="6" t="str">
        <f t="shared" si="755"/>
        <v/>
      </c>
      <c r="E4845" s="35" t="str">
        <f t="shared" si="752"/>
        <v/>
      </c>
      <c r="F4845" s="31"/>
      <c r="G4845" s="29"/>
      <c r="H4845" s="78" t="str">
        <f t="shared" si="756"/>
        <v/>
      </c>
      <c r="I4845" s="25"/>
      <c r="J4845" s="25"/>
      <c r="K4845" s="26"/>
      <c r="L4845" s="26"/>
      <c r="M4845" s="37"/>
      <c r="N4845" s="27"/>
      <c r="O4845" s="30"/>
      <c r="P4845" s="39" t="str">
        <f t="shared" si="757"/>
        <v/>
      </c>
      <c r="Q4845" s="40" t="str">
        <f>IF(OR(T4845=0,RIGHT(T4845,1)=$W$1),"",COUNTIF($T$3:T4845,T4845))</f>
        <v/>
      </c>
      <c r="S4845" s="6">
        <f t="shared" si="758"/>
        <v>0</v>
      </c>
      <c r="T4845" s="36">
        <f t="shared" si="759"/>
        <v>0</v>
      </c>
      <c r="V4845" s="6">
        <f t="shared" si="760"/>
        <v>0</v>
      </c>
      <c r="Y4845" s="8">
        <f t="shared" si="761"/>
        <v>46023</v>
      </c>
    </row>
    <row r="4846" spans="2:25" ht="18.75" x14ac:dyDescent="0.3">
      <c r="B4846" s="6">
        <f t="shared" si="753"/>
        <v>0</v>
      </c>
      <c r="C4846" s="6">
        <f t="shared" si="754"/>
        <v>0</v>
      </c>
      <c r="D4846" s="6" t="str">
        <f t="shared" si="755"/>
        <v/>
      </c>
      <c r="E4846" s="35" t="str">
        <f t="shared" si="752"/>
        <v/>
      </c>
      <c r="F4846" s="31"/>
      <c r="G4846" s="29"/>
      <c r="H4846" s="78" t="str">
        <f t="shared" si="756"/>
        <v/>
      </c>
      <c r="I4846" s="25"/>
      <c r="J4846" s="25"/>
      <c r="K4846" s="26"/>
      <c r="L4846" s="26"/>
      <c r="M4846" s="37"/>
      <c r="N4846" s="27"/>
      <c r="O4846" s="30"/>
      <c r="P4846" s="39" t="str">
        <f t="shared" si="757"/>
        <v/>
      </c>
      <c r="Q4846" s="40" t="str">
        <f>IF(OR(T4846=0,RIGHT(T4846,1)=$W$1),"",COUNTIF($T$3:T4846,T4846))</f>
        <v/>
      </c>
      <c r="S4846" s="6">
        <f t="shared" si="758"/>
        <v>0</v>
      </c>
      <c r="T4846" s="36">
        <f t="shared" si="759"/>
        <v>0</v>
      </c>
      <c r="V4846" s="6">
        <f t="shared" si="760"/>
        <v>0</v>
      </c>
      <c r="Y4846" s="8">
        <f t="shared" si="761"/>
        <v>46023</v>
      </c>
    </row>
    <row r="4847" spans="2:25" ht="18.75" x14ac:dyDescent="0.3">
      <c r="B4847" s="6">
        <f t="shared" si="753"/>
        <v>0</v>
      </c>
      <c r="C4847" s="6">
        <f t="shared" si="754"/>
        <v>0</v>
      </c>
      <c r="D4847" s="6" t="str">
        <f t="shared" si="755"/>
        <v/>
      </c>
      <c r="E4847" s="35" t="str">
        <f t="shared" si="752"/>
        <v/>
      </c>
      <c r="F4847" s="31"/>
      <c r="G4847" s="29"/>
      <c r="H4847" s="78" t="str">
        <f t="shared" si="756"/>
        <v/>
      </c>
      <c r="I4847" s="25"/>
      <c r="J4847" s="25"/>
      <c r="K4847" s="26"/>
      <c r="L4847" s="26"/>
      <c r="M4847" s="37"/>
      <c r="N4847" s="27"/>
      <c r="O4847" s="30"/>
      <c r="P4847" s="39" t="str">
        <f t="shared" si="757"/>
        <v/>
      </c>
      <c r="Q4847" s="40" t="str">
        <f>IF(OR(T4847=0,RIGHT(T4847,1)=$W$1),"",COUNTIF($T$3:T4847,T4847))</f>
        <v/>
      </c>
      <c r="S4847" s="6">
        <f t="shared" si="758"/>
        <v>0</v>
      </c>
      <c r="T4847" s="36">
        <f t="shared" si="759"/>
        <v>0</v>
      </c>
      <c r="V4847" s="6">
        <f t="shared" si="760"/>
        <v>0</v>
      </c>
      <c r="Y4847" s="8">
        <f t="shared" si="761"/>
        <v>46023</v>
      </c>
    </row>
    <row r="4848" spans="2:25" ht="18.75" x14ac:dyDescent="0.3">
      <c r="B4848" s="6">
        <f t="shared" si="753"/>
        <v>0</v>
      </c>
      <c r="C4848" s="6">
        <f t="shared" si="754"/>
        <v>0</v>
      </c>
      <c r="D4848" s="6" t="str">
        <f t="shared" si="755"/>
        <v/>
      </c>
      <c r="E4848" s="35" t="str">
        <f t="shared" si="752"/>
        <v/>
      </c>
      <c r="F4848" s="31"/>
      <c r="G4848" s="29"/>
      <c r="H4848" s="78" t="str">
        <f t="shared" si="756"/>
        <v/>
      </c>
      <c r="I4848" s="25"/>
      <c r="J4848" s="25"/>
      <c r="K4848" s="26"/>
      <c r="L4848" s="26"/>
      <c r="M4848" s="37"/>
      <c r="N4848" s="27"/>
      <c r="O4848" s="30"/>
      <c r="P4848" s="39" t="str">
        <f t="shared" si="757"/>
        <v/>
      </c>
      <c r="Q4848" s="40" t="str">
        <f>IF(OR(T4848=0,RIGHT(T4848,1)=$W$1),"",COUNTIF($T$3:T4848,T4848))</f>
        <v/>
      </c>
      <c r="S4848" s="6">
        <f t="shared" si="758"/>
        <v>0</v>
      </c>
      <c r="T4848" s="36">
        <f t="shared" si="759"/>
        <v>0</v>
      </c>
      <c r="V4848" s="6">
        <f t="shared" si="760"/>
        <v>0</v>
      </c>
      <c r="Y4848" s="8">
        <f t="shared" si="761"/>
        <v>46023</v>
      </c>
    </row>
    <row r="4849" spans="2:25" ht="18.75" x14ac:dyDescent="0.3">
      <c r="B4849" s="6">
        <f t="shared" si="753"/>
        <v>0</v>
      </c>
      <c r="C4849" s="6">
        <f t="shared" si="754"/>
        <v>0</v>
      </c>
      <c r="D4849" s="6" t="str">
        <f t="shared" si="755"/>
        <v/>
      </c>
      <c r="E4849" s="35" t="str">
        <f t="shared" si="752"/>
        <v/>
      </c>
      <c r="F4849" s="31"/>
      <c r="G4849" s="29"/>
      <c r="H4849" s="78" t="str">
        <f t="shared" si="756"/>
        <v/>
      </c>
      <c r="I4849" s="25"/>
      <c r="J4849" s="25"/>
      <c r="K4849" s="26"/>
      <c r="L4849" s="26"/>
      <c r="M4849" s="37"/>
      <c r="N4849" s="27"/>
      <c r="O4849" s="30"/>
      <c r="P4849" s="39" t="str">
        <f t="shared" si="757"/>
        <v/>
      </c>
      <c r="Q4849" s="40" t="str">
        <f>IF(OR(T4849=0,RIGHT(T4849,1)=$W$1),"",COUNTIF($T$3:T4849,T4849))</f>
        <v/>
      </c>
      <c r="S4849" s="6">
        <f t="shared" si="758"/>
        <v>0</v>
      </c>
      <c r="T4849" s="36">
        <f t="shared" si="759"/>
        <v>0</v>
      </c>
      <c r="V4849" s="6">
        <f t="shared" si="760"/>
        <v>0</v>
      </c>
      <c r="Y4849" s="8">
        <f t="shared" si="761"/>
        <v>46023</v>
      </c>
    </row>
    <row r="4850" spans="2:25" ht="18.75" x14ac:dyDescent="0.3">
      <c r="B4850" s="6">
        <f t="shared" si="753"/>
        <v>0</v>
      </c>
      <c r="C4850" s="6">
        <f t="shared" si="754"/>
        <v>0</v>
      </c>
      <c r="D4850" s="6" t="str">
        <f t="shared" si="755"/>
        <v/>
      </c>
      <c r="E4850" s="35" t="str">
        <f t="shared" si="752"/>
        <v/>
      </c>
      <c r="F4850" s="31"/>
      <c r="G4850" s="29"/>
      <c r="H4850" s="78" t="str">
        <f t="shared" si="756"/>
        <v/>
      </c>
      <c r="I4850" s="25"/>
      <c r="J4850" s="25"/>
      <c r="K4850" s="26"/>
      <c r="L4850" s="26"/>
      <c r="M4850" s="37"/>
      <c r="N4850" s="27"/>
      <c r="O4850" s="30"/>
      <c r="P4850" s="39" t="str">
        <f t="shared" si="757"/>
        <v/>
      </c>
      <c r="Q4850" s="40" t="str">
        <f>IF(OR(T4850=0,RIGHT(T4850,1)=$W$1),"",COUNTIF($T$3:T4850,T4850))</f>
        <v/>
      </c>
      <c r="S4850" s="6">
        <f t="shared" si="758"/>
        <v>0</v>
      </c>
      <c r="T4850" s="36">
        <f t="shared" si="759"/>
        <v>0</v>
      </c>
      <c r="V4850" s="6">
        <f t="shared" si="760"/>
        <v>0</v>
      </c>
      <c r="Y4850" s="8">
        <f t="shared" si="761"/>
        <v>46023</v>
      </c>
    </row>
    <row r="4851" spans="2:25" ht="18.75" x14ac:dyDescent="0.3">
      <c r="B4851" s="6">
        <f t="shared" si="753"/>
        <v>0</v>
      </c>
      <c r="C4851" s="6">
        <f t="shared" si="754"/>
        <v>0</v>
      </c>
      <c r="D4851" s="6" t="str">
        <f t="shared" si="755"/>
        <v/>
      </c>
      <c r="E4851" s="35" t="str">
        <f t="shared" si="752"/>
        <v/>
      </c>
      <c r="F4851" s="31"/>
      <c r="G4851" s="29"/>
      <c r="H4851" s="78" t="str">
        <f t="shared" si="756"/>
        <v/>
      </c>
      <c r="I4851" s="25"/>
      <c r="J4851" s="25"/>
      <c r="K4851" s="26"/>
      <c r="L4851" s="26"/>
      <c r="M4851" s="37"/>
      <c r="N4851" s="27"/>
      <c r="O4851" s="30"/>
      <c r="P4851" s="39" t="str">
        <f t="shared" si="757"/>
        <v/>
      </c>
      <c r="Q4851" s="40" t="str">
        <f>IF(OR(T4851=0,RIGHT(T4851,1)=$W$1),"",COUNTIF($T$3:T4851,T4851))</f>
        <v/>
      </c>
      <c r="S4851" s="6">
        <f t="shared" si="758"/>
        <v>0</v>
      </c>
      <c r="T4851" s="36">
        <f t="shared" si="759"/>
        <v>0</v>
      </c>
      <c r="V4851" s="6">
        <f t="shared" si="760"/>
        <v>0</v>
      </c>
      <c r="Y4851" s="8">
        <f t="shared" si="761"/>
        <v>46023</v>
      </c>
    </row>
    <row r="4852" spans="2:25" ht="18.75" x14ac:dyDescent="0.3">
      <c r="B4852" s="6">
        <f t="shared" si="753"/>
        <v>0</v>
      </c>
      <c r="C4852" s="6">
        <f t="shared" si="754"/>
        <v>0</v>
      </c>
      <c r="D4852" s="6" t="str">
        <f t="shared" si="755"/>
        <v/>
      </c>
      <c r="E4852" s="35" t="str">
        <f t="shared" si="752"/>
        <v/>
      </c>
      <c r="F4852" s="31"/>
      <c r="G4852" s="29"/>
      <c r="H4852" s="78" t="str">
        <f t="shared" si="756"/>
        <v/>
      </c>
      <c r="I4852" s="25"/>
      <c r="J4852" s="25"/>
      <c r="K4852" s="26"/>
      <c r="L4852" s="26"/>
      <c r="M4852" s="37"/>
      <c r="N4852" s="27"/>
      <c r="O4852" s="30"/>
      <c r="P4852" s="39" t="str">
        <f t="shared" si="757"/>
        <v/>
      </c>
      <c r="Q4852" s="40" t="str">
        <f>IF(OR(T4852=0,RIGHT(T4852,1)=$W$1),"",COUNTIF($T$3:T4852,T4852))</f>
        <v/>
      </c>
      <c r="S4852" s="6">
        <f t="shared" si="758"/>
        <v>0</v>
      </c>
      <c r="T4852" s="36">
        <f t="shared" si="759"/>
        <v>0</v>
      </c>
      <c r="V4852" s="6">
        <f t="shared" si="760"/>
        <v>0</v>
      </c>
      <c r="Y4852" s="8">
        <f t="shared" si="761"/>
        <v>46023</v>
      </c>
    </row>
    <row r="4853" spans="2:25" ht="18.75" x14ac:dyDescent="0.3">
      <c r="B4853" s="6">
        <f t="shared" si="753"/>
        <v>0</v>
      </c>
      <c r="C4853" s="6">
        <f t="shared" si="754"/>
        <v>0</v>
      </c>
      <c r="D4853" s="6" t="str">
        <f t="shared" si="755"/>
        <v/>
      </c>
      <c r="E4853" s="35" t="str">
        <f t="shared" si="752"/>
        <v/>
      </c>
      <c r="F4853" s="31"/>
      <c r="G4853" s="29"/>
      <c r="H4853" s="78" t="str">
        <f t="shared" si="756"/>
        <v/>
      </c>
      <c r="I4853" s="25"/>
      <c r="J4853" s="25"/>
      <c r="K4853" s="26"/>
      <c r="L4853" s="26"/>
      <c r="M4853" s="37"/>
      <c r="N4853" s="27"/>
      <c r="O4853" s="30"/>
      <c r="P4853" s="39" t="str">
        <f t="shared" si="757"/>
        <v/>
      </c>
      <c r="Q4853" s="40" t="str">
        <f>IF(OR(T4853=0,RIGHT(T4853,1)=$W$1),"",COUNTIF($T$3:T4853,T4853))</f>
        <v/>
      </c>
      <c r="S4853" s="6">
        <f t="shared" si="758"/>
        <v>0</v>
      </c>
      <c r="T4853" s="36">
        <f t="shared" si="759"/>
        <v>0</v>
      </c>
      <c r="V4853" s="6">
        <f t="shared" si="760"/>
        <v>0</v>
      </c>
      <c r="Y4853" s="8">
        <f t="shared" si="761"/>
        <v>46023</v>
      </c>
    </row>
    <row r="4854" spans="2:25" ht="18.75" x14ac:dyDescent="0.3">
      <c r="B4854" s="6">
        <f t="shared" si="753"/>
        <v>0</v>
      </c>
      <c r="C4854" s="6">
        <f t="shared" si="754"/>
        <v>0</v>
      </c>
      <c r="D4854" s="6" t="str">
        <f t="shared" si="755"/>
        <v/>
      </c>
      <c r="E4854" s="35" t="str">
        <f t="shared" si="752"/>
        <v/>
      </c>
      <c r="F4854" s="31"/>
      <c r="G4854" s="29"/>
      <c r="H4854" s="78" t="str">
        <f t="shared" si="756"/>
        <v/>
      </c>
      <c r="I4854" s="25"/>
      <c r="J4854" s="25"/>
      <c r="K4854" s="26"/>
      <c r="L4854" s="26"/>
      <c r="M4854" s="37"/>
      <c r="N4854" s="27"/>
      <c r="O4854" s="30"/>
      <c r="P4854" s="39" t="str">
        <f t="shared" si="757"/>
        <v/>
      </c>
      <c r="Q4854" s="40" t="str">
        <f>IF(OR(T4854=0,RIGHT(T4854,1)=$W$1),"",COUNTIF($T$3:T4854,T4854))</f>
        <v/>
      </c>
      <c r="S4854" s="6">
        <f t="shared" si="758"/>
        <v>0</v>
      </c>
      <c r="T4854" s="36">
        <f t="shared" si="759"/>
        <v>0</v>
      </c>
      <c r="V4854" s="6">
        <f t="shared" si="760"/>
        <v>0</v>
      </c>
      <c r="Y4854" s="8">
        <f t="shared" si="761"/>
        <v>46023</v>
      </c>
    </row>
    <row r="4855" spans="2:25" ht="18.75" x14ac:dyDescent="0.3">
      <c r="B4855" s="6">
        <f t="shared" si="753"/>
        <v>0</v>
      </c>
      <c r="C4855" s="6">
        <f t="shared" si="754"/>
        <v>0</v>
      </c>
      <c r="D4855" s="6" t="str">
        <f t="shared" si="755"/>
        <v/>
      </c>
      <c r="E4855" s="35" t="str">
        <f t="shared" si="752"/>
        <v/>
      </c>
      <c r="F4855" s="31"/>
      <c r="G4855" s="29"/>
      <c r="H4855" s="78" t="str">
        <f t="shared" si="756"/>
        <v/>
      </c>
      <c r="I4855" s="25"/>
      <c r="J4855" s="25"/>
      <c r="K4855" s="26"/>
      <c r="L4855" s="26"/>
      <c r="M4855" s="37"/>
      <c r="N4855" s="27"/>
      <c r="O4855" s="30"/>
      <c r="P4855" s="39" t="str">
        <f t="shared" si="757"/>
        <v/>
      </c>
      <c r="Q4855" s="40" t="str">
        <f>IF(OR(T4855=0,RIGHT(T4855,1)=$W$1),"",COUNTIF($T$3:T4855,T4855))</f>
        <v/>
      </c>
      <c r="S4855" s="6">
        <f t="shared" si="758"/>
        <v>0</v>
      </c>
      <c r="T4855" s="36">
        <f t="shared" si="759"/>
        <v>0</v>
      </c>
      <c r="V4855" s="6">
        <f t="shared" si="760"/>
        <v>0</v>
      </c>
      <c r="Y4855" s="8">
        <f t="shared" si="761"/>
        <v>46023</v>
      </c>
    </row>
    <row r="4856" spans="2:25" ht="18.75" x14ac:dyDescent="0.3">
      <c r="B4856" s="6">
        <f t="shared" si="753"/>
        <v>0</v>
      </c>
      <c r="C4856" s="6">
        <f t="shared" si="754"/>
        <v>0</v>
      </c>
      <c r="D4856" s="6" t="str">
        <f t="shared" si="755"/>
        <v/>
      </c>
      <c r="E4856" s="35" t="str">
        <f t="shared" si="752"/>
        <v/>
      </c>
      <c r="F4856" s="31"/>
      <c r="G4856" s="29"/>
      <c r="H4856" s="78" t="str">
        <f t="shared" si="756"/>
        <v/>
      </c>
      <c r="I4856" s="25"/>
      <c r="J4856" s="25"/>
      <c r="K4856" s="26"/>
      <c r="L4856" s="26"/>
      <c r="M4856" s="37"/>
      <c r="N4856" s="27"/>
      <c r="O4856" s="30"/>
      <c r="P4856" s="39" t="str">
        <f t="shared" si="757"/>
        <v/>
      </c>
      <c r="Q4856" s="40" t="str">
        <f>IF(OR(T4856=0,RIGHT(T4856,1)=$W$1),"",COUNTIF($T$3:T4856,T4856))</f>
        <v/>
      </c>
      <c r="S4856" s="6">
        <f t="shared" si="758"/>
        <v>0</v>
      </c>
      <c r="T4856" s="36">
        <f t="shared" si="759"/>
        <v>0</v>
      </c>
      <c r="V4856" s="6">
        <f t="shared" si="760"/>
        <v>0</v>
      </c>
      <c r="Y4856" s="8">
        <f t="shared" si="761"/>
        <v>46023</v>
      </c>
    </row>
    <row r="4857" spans="2:25" ht="18.75" x14ac:dyDescent="0.3">
      <c r="B4857" s="6">
        <f t="shared" si="753"/>
        <v>0</v>
      </c>
      <c r="C4857" s="6">
        <f t="shared" si="754"/>
        <v>0</v>
      </c>
      <c r="D4857" s="6" t="str">
        <f t="shared" si="755"/>
        <v/>
      </c>
      <c r="E4857" s="35" t="str">
        <f t="shared" si="752"/>
        <v/>
      </c>
      <c r="F4857" s="31"/>
      <c r="G4857" s="29"/>
      <c r="H4857" s="78" t="str">
        <f t="shared" si="756"/>
        <v/>
      </c>
      <c r="I4857" s="25"/>
      <c r="J4857" s="25"/>
      <c r="K4857" s="26"/>
      <c r="L4857" s="26"/>
      <c r="M4857" s="37"/>
      <c r="N4857" s="27"/>
      <c r="O4857" s="30"/>
      <c r="P4857" s="39" t="str">
        <f t="shared" si="757"/>
        <v/>
      </c>
      <c r="Q4857" s="40" t="str">
        <f>IF(OR(T4857=0,RIGHT(T4857,1)=$W$1),"",COUNTIF($T$3:T4857,T4857))</f>
        <v/>
      </c>
      <c r="S4857" s="6">
        <f t="shared" si="758"/>
        <v>0</v>
      </c>
      <c r="T4857" s="36">
        <f t="shared" si="759"/>
        <v>0</v>
      </c>
      <c r="V4857" s="6">
        <f t="shared" si="760"/>
        <v>0</v>
      </c>
      <c r="Y4857" s="8">
        <f t="shared" si="761"/>
        <v>46023</v>
      </c>
    </row>
    <row r="4858" spans="2:25" ht="18.75" x14ac:dyDescent="0.3">
      <c r="B4858" s="6">
        <f t="shared" si="753"/>
        <v>0</v>
      </c>
      <c r="C4858" s="6">
        <f t="shared" si="754"/>
        <v>0</v>
      </c>
      <c r="D4858" s="6" t="str">
        <f t="shared" si="755"/>
        <v/>
      </c>
      <c r="E4858" s="35" t="str">
        <f t="shared" si="752"/>
        <v/>
      </c>
      <c r="F4858" s="31"/>
      <c r="G4858" s="29"/>
      <c r="H4858" s="78" t="str">
        <f t="shared" si="756"/>
        <v/>
      </c>
      <c r="I4858" s="25"/>
      <c r="J4858" s="25"/>
      <c r="K4858" s="26"/>
      <c r="L4858" s="26"/>
      <c r="M4858" s="37"/>
      <c r="N4858" s="27"/>
      <c r="O4858" s="30"/>
      <c r="P4858" s="39" t="str">
        <f t="shared" si="757"/>
        <v/>
      </c>
      <c r="Q4858" s="40" t="str">
        <f>IF(OR(T4858=0,RIGHT(T4858,1)=$W$1),"",COUNTIF($T$3:T4858,T4858))</f>
        <v/>
      </c>
      <c r="S4858" s="6">
        <f t="shared" si="758"/>
        <v>0</v>
      </c>
      <c r="T4858" s="36">
        <f t="shared" si="759"/>
        <v>0</v>
      </c>
      <c r="V4858" s="6">
        <f t="shared" si="760"/>
        <v>0</v>
      </c>
      <c r="Y4858" s="8">
        <f t="shared" si="761"/>
        <v>46023</v>
      </c>
    </row>
    <row r="4859" spans="2:25" ht="18.75" x14ac:dyDescent="0.3">
      <c r="B4859" s="6">
        <f t="shared" si="753"/>
        <v>0</v>
      </c>
      <c r="C4859" s="6">
        <f t="shared" si="754"/>
        <v>0</v>
      </c>
      <c r="D4859" s="6" t="str">
        <f t="shared" si="755"/>
        <v/>
      </c>
      <c r="E4859" s="35" t="str">
        <f t="shared" si="752"/>
        <v/>
      </c>
      <c r="F4859" s="31"/>
      <c r="G4859" s="29"/>
      <c r="H4859" s="78" t="str">
        <f t="shared" si="756"/>
        <v/>
      </c>
      <c r="I4859" s="25"/>
      <c r="J4859" s="25"/>
      <c r="K4859" s="26"/>
      <c r="L4859" s="26"/>
      <c r="M4859" s="37"/>
      <c r="N4859" s="27"/>
      <c r="O4859" s="30"/>
      <c r="P4859" s="39" t="str">
        <f t="shared" si="757"/>
        <v/>
      </c>
      <c r="Q4859" s="40" t="str">
        <f>IF(OR(T4859=0,RIGHT(T4859,1)=$W$1),"",COUNTIF($T$3:T4859,T4859))</f>
        <v/>
      </c>
      <c r="S4859" s="6">
        <f t="shared" si="758"/>
        <v>0</v>
      </c>
      <c r="T4859" s="36">
        <f t="shared" si="759"/>
        <v>0</v>
      </c>
      <c r="V4859" s="6">
        <f t="shared" si="760"/>
        <v>0</v>
      </c>
      <c r="Y4859" s="8">
        <f t="shared" si="761"/>
        <v>46023</v>
      </c>
    </row>
    <row r="4860" spans="2:25" ht="18.75" x14ac:dyDescent="0.3">
      <c r="B4860" s="6">
        <f t="shared" si="753"/>
        <v>0</v>
      </c>
      <c r="C4860" s="6">
        <f t="shared" si="754"/>
        <v>0</v>
      </c>
      <c r="D4860" s="6" t="str">
        <f t="shared" si="755"/>
        <v/>
      </c>
      <c r="E4860" s="35" t="str">
        <f t="shared" si="752"/>
        <v/>
      </c>
      <c r="F4860" s="31"/>
      <c r="G4860" s="29"/>
      <c r="H4860" s="78" t="str">
        <f t="shared" si="756"/>
        <v/>
      </c>
      <c r="I4860" s="25"/>
      <c r="J4860" s="25"/>
      <c r="K4860" s="26"/>
      <c r="L4860" s="26"/>
      <c r="M4860" s="37"/>
      <c r="N4860" s="27"/>
      <c r="O4860" s="30"/>
      <c r="P4860" s="39" t="str">
        <f t="shared" si="757"/>
        <v/>
      </c>
      <c r="Q4860" s="40" t="str">
        <f>IF(OR(T4860=0,RIGHT(T4860,1)=$W$1),"",COUNTIF($T$3:T4860,T4860))</f>
        <v/>
      </c>
      <c r="S4860" s="6">
        <f t="shared" si="758"/>
        <v>0</v>
      </c>
      <c r="T4860" s="36">
        <f t="shared" si="759"/>
        <v>0</v>
      </c>
      <c r="V4860" s="6">
        <f t="shared" si="760"/>
        <v>0</v>
      </c>
      <c r="Y4860" s="8">
        <f t="shared" si="761"/>
        <v>46023</v>
      </c>
    </row>
    <row r="4861" spans="2:25" ht="18.75" x14ac:dyDescent="0.3">
      <c r="B4861" s="6">
        <f t="shared" si="753"/>
        <v>0</v>
      </c>
      <c r="C4861" s="6">
        <f t="shared" si="754"/>
        <v>0</v>
      </c>
      <c r="D4861" s="6" t="str">
        <f t="shared" si="755"/>
        <v/>
      </c>
      <c r="E4861" s="35" t="str">
        <f t="shared" si="752"/>
        <v/>
      </c>
      <c r="F4861" s="31"/>
      <c r="G4861" s="29"/>
      <c r="H4861" s="78" t="str">
        <f t="shared" si="756"/>
        <v/>
      </c>
      <c r="I4861" s="25"/>
      <c r="J4861" s="25"/>
      <c r="K4861" s="26"/>
      <c r="L4861" s="26"/>
      <c r="M4861" s="37"/>
      <c r="N4861" s="27"/>
      <c r="O4861" s="30"/>
      <c r="P4861" s="39" t="str">
        <f t="shared" si="757"/>
        <v/>
      </c>
      <c r="Q4861" s="40" t="str">
        <f>IF(OR(T4861=0,RIGHT(T4861,1)=$W$1),"",COUNTIF($T$3:T4861,T4861))</f>
        <v/>
      </c>
      <c r="S4861" s="6">
        <f t="shared" si="758"/>
        <v>0</v>
      </c>
      <c r="T4861" s="36">
        <f t="shared" si="759"/>
        <v>0</v>
      </c>
      <c r="V4861" s="6">
        <f t="shared" si="760"/>
        <v>0</v>
      </c>
      <c r="Y4861" s="8">
        <f t="shared" si="761"/>
        <v>46023</v>
      </c>
    </row>
    <row r="4862" spans="2:25" ht="18.75" x14ac:dyDescent="0.3">
      <c r="B4862" s="6">
        <f t="shared" si="753"/>
        <v>0</v>
      </c>
      <c r="C4862" s="6">
        <f t="shared" si="754"/>
        <v>0</v>
      </c>
      <c r="D4862" s="6" t="str">
        <f t="shared" si="755"/>
        <v/>
      </c>
      <c r="E4862" s="35" t="str">
        <f t="shared" si="752"/>
        <v/>
      </c>
      <c r="F4862" s="31"/>
      <c r="G4862" s="29"/>
      <c r="H4862" s="78" t="str">
        <f t="shared" si="756"/>
        <v/>
      </c>
      <c r="I4862" s="25"/>
      <c r="J4862" s="25"/>
      <c r="K4862" s="26"/>
      <c r="L4862" s="26"/>
      <c r="M4862" s="37"/>
      <c r="N4862" s="27"/>
      <c r="O4862" s="30"/>
      <c r="P4862" s="39" t="str">
        <f t="shared" si="757"/>
        <v/>
      </c>
      <c r="Q4862" s="40" t="str">
        <f>IF(OR(T4862=0,RIGHT(T4862,1)=$W$1),"",COUNTIF($T$3:T4862,T4862))</f>
        <v/>
      </c>
      <c r="S4862" s="6">
        <f t="shared" si="758"/>
        <v>0</v>
      </c>
      <c r="T4862" s="36">
        <f t="shared" si="759"/>
        <v>0</v>
      </c>
      <c r="V4862" s="6">
        <f t="shared" si="760"/>
        <v>0</v>
      </c>
      <c r="Y4862" s="8">
        <f t="shared" si="761"/>
        <v>46023</v>
      </c>
    </row>
    <row r="4863" spans="2:25" ht="18.75" x14ac:dyDescent="0.3">
      <c r="B4863" s="6">
        <f t="shared" si="753"/>
        <v>0</v>
      </c>
      <c r="C4863" s="6">
        <f t="shared" si="754"/>
        <v>0</v>
      </c>
      <c r="D4863" s="6" t="str">
        <f t="shared" si="755"/>
        <v/>
      </c>
      <c r="E4863" s="35" t="str">
        <f t="shared" si="752"/>
        <v/>
      </c>
      <c r="F4863" s="31"/>
      <c r="G4863" s="29"/>
      <c r="H4863" s="78" t="str">
        <f t="shared" si="756"/>
        <v/>
      </c>
      <c r="I4863" s="25"/>
      <c r="J4863" s="25"/>
      <c r="K4863" s="26"/>
      <c r="L4863" s="26"/>
      <c r="M4863" s="37"/>
      <c r="N4863" s="27"/>
      <c r="O4863" s="30"/>
      <c r="P4863" s="39" t="str">
        <f t="shared" si="757"/>
        <v/>
      </c>
      <c r="Q4863" s="40" t="str">
        <f>IF(OR(T4863=0,RIGHT(T4863,1)=$W$1),"",COUNTIF($T$3:T4863,T4863))</f>
        <v/>
      </c>
      <c r="S4863" s="6">
        <f t="shared" si="758"/>
        <v>0</v>
      </c>
      <c r="T4863" s="36">
        <f t="shared" si="759"/>
        <v>0</v>
      </c>
      <c r="V4863" s="6">
        <f t="shared" si="760"/>
        <v>0</v>
      </c>
      <c r="Y4863" s="8">
        <f t="shared" si="761"/>
        <v>46023</v>
      </c>
    </row>
    <row r="4864" spans="2:25" ht="18.75" x14ac:dyDescent="0.3">
      <c r="B4864" s="6">
        <f t="shared" si="753"/>
        <v>0</v>
      </c>
      <c r="C4864" s="6">
        <f t="shared" si="754"/>
        <v>0</v>
      </c>
      <c r="D4864" s="6" t="str">
        <f t="shared" si="755"/>
        <v/>
      </c>
      <c r="E4864" s="35" t="str">
        <f t="shared" si="752"/>
        <v/>
      </c>
      <c r="F4864" s="31"/>
      <c r="G4864" s="29"/>
      <c r="H4864" s="78" t="str">
        <f t="shared" si="756"/>
        <v/>
      </c>
      <c r="I4864" s="25"/>
      <c r="J4864" s="25"/>
      <c r="K4864" s="26"/>
      <c r="L4864" s="26"/>
      <c r="M4864" s="37"/>
      <c r="N4864" s="27"/>
      <c r="O4864" s="30"/>
      <c r="P4864" s="39" t="str">
        <f t="shared" si="757"/>
        <v/>
      </c>
      <c r="Q4864" s="40" t="str">
        <f>IF(OR(T4864=0,RIGHT(T4864,1)=$W$1),"",COUNTIF($T$3:T4864,T4864))</f>
        <v/>
      </c>
      <c r="S4864" s="6">
        <f t="shared" si="758"/>
        <v>0</v>
      </c>
      <c r="T4864" s="36">
        <f t="shared" si="759"/>
        <v>0</v>
      </c>
      <c r="V4864" s="6">
        <f t="shared" si="760"/>
        <v>0</v>
      </c>
      <c r="Y4864" s="8">
        <f t="shared" si="761"/>
        <v>46023</v>
      </c>
    </row>
    <row r="4865" spans="2:25" ht="18.75" x14ac:dyDescent="0.3">
      <c r="B4865" s="6">
        <f t="shared" si="753"/>
        <v>0</v>
      </c>
      <c r="C4865" s="6">
        <f t="shared" si="754"/>
        <v>0</v>
      </c>
      <c r="D4865" s="6" t="str">
        <f t="shared" si="755"/>
        <v/>
      </c>
      <c r="E4865" s="35" t="str">
        <f t="shared" si="752"/>
        <v/>
      </c>
      <c r="F4865" s="31"/>
      <c r="G4865" s="29"/>
      <c r="H4865" s="78" t="str">
        <f t="shared" si="756"/>
        <v/>
      </c>
      <c r="I4865" s="25"/>
      <c r="J4865" s="25"/>
      <c r="K4865" s="26"/>
      <c r="L4865" s="26"/>
      <c r="M4865" s="37"/>
      <c r="N4865" s="27"/>
      <c r="O4865" s="30"/>
      <c r="P4865" s="39" t="str">
        <f t="shared" si="757"/>
        <v/>
      </c>
      <c r="Q4865" s="40" t="str">
        <f>IF(OR(T4865=0,RIGHT(T4865,1)=$W$1),"",COUNTIF($T$3:T4865,T4865))</f>
        <v/>
      </c>
      <c r="S4865" s="6">
        <f t="shared" si="758"/>
        <v>0</v>
      </c>
      <c r="T4865" s="36">
        <f t="shared" si="759"/>
        <v>0</v>
      </c>
      <c r="V4865" s="6">
        <f t="shared" si="760"/>
        <v>0</v>
      </c>
      <c r="Y4865" s="8">
        <f t="shared" si="761"/>
        <v>46023</v>
      </c>
    </row>
    <row r="4866" spans="2:25" ht="18.75" x14ac:dyDescent="0.3">
      <c r="B4866" s="6">
        <f t="shared" si="753"/>
        <v>0</v>
      </c>
      <c r="C4866" s="6">
        <f t="shared" si="754"/>
        <v>0</v>
      </c>
      <c r="D4866" s="6" t="str">
        <f t="shared" si="755"/>
        <v/>
      </c>
      <c r="E4866" s="35" t="str">
        <f t="shared" si="752"/>
        <v/>
      </c>
      <c r="F4866" s="31"/>
      <c r="G4866" s="29"/>
      <c r="H4866" s="78" t="str">
        <f t="shared" si="756"/>
        <v/>
      </c>
      <c r="I4866" s="25"/>
      <c r="J4866" s="25"/>
      <c r="K4866" s="26"/>
      <c r="L4866" s="26"/>
      <c r="M4866" s="37"/>
      <c r="N4866" s="27"/>
      <c r="O4866" s="30"/>
      <c r="P4866" s="39" t="str">
        <f t="shared" si="757"/>
        <v/>
      </c>
      <c r="Q4866" s="40" t="str">
        <f>IF(OR(T4866=0,RIGHT(T4866,1)=$W$1),"",COUNTIF($T$3:T4866,T4866))</f>
        <v/>
      </c>
      <c r="S4866" s="6">
        <f t="shared" si="758"/>
        <v>0</v>
      </c>
      <c r="T4866" s="36">
        <f t="shared" si="759"/>
        <v>0</v>
      </c>
      <c r="V4866" s="6">
        <f t="shared" si="760"/>
        <v>0</v>
      </c>
      <c r="Y4866" s="8">
        <f t="shared" si="761"/>
        <v>46023</v>
      </c>
    </row>
    <row r="4867" spans="2:25" ht="18.75" x14ac:dyDescent="0.3">
      <c r="B4867" s="6">
        <f t="shared" si="753"/>
        <v>0</v>
      </c>
      <c r="C4867" s="6">
        <f t="shared" si="754"/>
        <v>0</v>
      </c>
      <c r="D4867" s="6" t="str">
        <f t="shared" si="755"/>
        <v/>
      </c>
      <c r="E4867" s="35" t="str">
        <f t="shared" ref="E4867:E4930" si="762">IF(D4867&lt;&gt;"",D4867&amp;" - "&amp;YEAR(F4867),"")</f>
        <v/>
      </c>
      <c r="F4867" s="31"/>
      <c r="G4867" s="29"/>
      <c r="H4867" s="78" t="str">
        <f t="shared" si="756"/>
        <v/>
      </c>
      <c r="I4867" s="25"/>
      <c r="J4867" s="25"/>
      <c r="K4867" s="26"/>
      <c r="L4867" s="26"/>
      <c r="M4867" s="37"/>
      <c r="N4867" s="27"/>
      <c r="O4867" s="30"/>
      <c r="P4867" s="39" t="str">
        <f t="shared" si="757"/>
        <v/>
      </c>
      <c r="Q4867" s="40" t="str">
        <f>IF(OR(T4867=0,RIGHT(T4867,1)=$W$1),"",COUNTIF($T$3:T4867,T4867))</f>
        <v/>
      </c>
      <c r="S4867" s="6">
        <f t="shared" si="758"/>
        <v>0</v>
      </c>
      <c r="T4867" s="36">
        <f t="shared" si="759"/>
        <v>0</v>
      </c>
      <c r="V4867" s="6">
        <f t="shared" si="760"/>
        <v>0</v>
      </c>
      <c r="Y4867" s="8">
        <f t="shared" si="761"/>
        <v>46023</v>
      </c>
    </row>
    <row r="4868" spans="2:25" ht="18.75" x14ac:dyDescent="0.3">
      <c r="B4868" s="6">
        <f t="shared" ref="B4868:B4931" si="763">IF($B$1=YEAR(F4868),B4867+1,B4867)</f>
        <v>0</v>
      </c>
      <c r="C4868" s="6">
        <f t="shared" ref="C4868:C4931" si="764">IF(AND($C$1=K4868,$Y$1=YEAR(F4868)),C4867+1,C4867)</f>
        <v>0</v>
      </c>
      <c r="D4868" s="6" t="str">
        <f t="shared" ref="D4868:D4931" si="765">IF(F4868&lt;&gt;0,IF(YEAR(F4868)&lt;&gt;YEAR(F4867),1,IF(M4868=$AI$1,D4867,D4867+1)),"")</f>
        <v/>
      </c>
      <c r="E4868" s="35" t="str">
        <f t="shared" si="762"/>
        <v/>
      </c>
      <c r="F4868" s="31"/>
      <c r="G4868" s="29"/>
      <c r="H4868" s="78" t="str">
        <f t="shared" ref="H4868:H4931" si="766">IF(G4868&lt;&gt;"",F4868,"")</f>
        <v/>
      </c>
      <c r="I4868" s="25"/>
      <c r="J4868" s="25"/>
      <c r="K4868" s="26"/>
      <c r="L4868" s="26"/>
      <c r="M4868" s="37"/>
      <c r="N4868" s="27"/>
      <c r="O4868" s="30"/>
      <c r="P4868" s="39" t="str">
        <f t="shared" ref="P4868:P4931" si="767">IF(OR(T4868=0,RIGHT(T4868,1)=$W$1),"",VLOOKUP(K4868,$AD$1:$AK$15,5,FALSE))</f>
        <v/>
      </c>
      <c r="Q4868" s="40" t="str">
        <f>IF(OR(T4868=0,RIGHT(T4868,1)=$W$1),"",COUNTIF($T$3:T4868,T4868))</f>
        <v/>
      </c>
      <c r="S4868" s="6">
        <f t="shared" ref="S4868:S4931" si="768">IF(AND($C$1=K4868,$Y$1=YEAR(F4868)),C4868,0)</f>
        <v>0</v>
      </c>
      <c r="T4868" s="36">
        <f t="shared" ref="T4868:T4931" si="769">IF(F4868=0,0,YEAR(F4868)&amp;VLOOKUP(K4868,$AD$1:$AE$15,2,FALSE))</f>
        <v>0</v>
      </c>
      <c r="V4868" s="6">
        <f t="shared" ref="V4868:V4931" si="770">IF(AND(YEAR(F4868)=$Y$1,K4868=$C$1,L4868&amp;$V$1&lt;&gt;$V$1),L4868,IF(AND(YEAR(F4868)=$Y$1,K4868=$C$1),1,0))</f>
        <v>0</v>
      </c>
      <c r="Y4868" s="8">
        <f t="shared" ref="Y4868:Y4931" si="771">IF(M4868&lt;&gt;$AI$1,$Y$2,F4867)</f>
        <v>46023</v>
      </c>
    </row>
    <row r="4869" spans="2:25" ht="18.75" x14ac:dyDescent="0.3">
      <c r="B4869" s="6">
        <f t="shared" si="763"/>
        <v>0</v>
      </c>
      <c r="C4869" s="6">
        <f t="shared" si="764"/>
        <v>0</v>
      </c>
      <c r="D4869" s="6" t="str">
        <f t="shared" si="765"/>
        <v/>
      </c>
      <c r="E4869" s="35" t="str">
        <f t="shared" si="762"/>
        <v/>
      </c>
      <c r="F4869" s="31"/>
      <c r="G4869" s="29"/>
      <c r="H4869" s="78" t="str">
        <f t="shared" si="766"/>
        <v/>
      </c>
      <c r="I4869" s="25"/>
      <c r="J4869" s="25"/>
      <c r="K4869" s="26"/>
      <c r="L4869" s="26"/>
      <c r="M4869" s="37"/>
      <c r="N4869" s="27"/>
      <c r="O4869" s="30"/>
      <c r="P4869" s="39" t="str">
        <f t="shared" si="767"/>
        <v/>
      </c>
      <c r="Q4869" s="40" t="str">
        <f>IF(OR(T4869=0,RIGHT(T4869,1)=$W$1),"",COUNTIF($T$3:T4869,T4869))</f>
        <v/>
      </c>
      <c r="S4869" s="6">
        <f t="shared" si="768"/>
        <v>0</v>
      </c>
      <c r="T4869" s="36">
        <f t="shared" si="769"/>
        <v>0</v>
      </c>
      <c r="V4869" s="6">
        <f t="shared" si="770"/>
        <v>0</v>
      </c>
      <c r="Y4869" s="8">
        <f t="shared" si="771"/>
        <v>46023</v>
      </c>
    </row>
    <row r="4870" spans="2:25" ht="18.75" x14ac:dyDescent="0.3">
      <c r="B4870" s="6">
        <f t="shared" si="763"/>
        <v>0</v>
      </c>
      <c r="C4870" s="6">
        <f t="shared" si="764"/>
        <v>0</v>
      </c>
      <c r="D4870" s="6" t="str">
        <f t="shared" si="765"/>
        <v/>
      </c>
      <c r="E4870" s="35" t="str">
        <f t="shared" si="762"/>
        <v/>
      </c>
      <c r="F4870" s="31"/>
      <c r="G4870" s="29"/>
      <c r="H4870" s="78" t="str">
        <f t="shared" si="766"/>
        <v/>
      </c>
      <c r="I4870" s="25"/>
      <c r="J4870" s="25"/>
      <c r="K4870" s="26"/>
      <c r="L4870" s="26"/>
      <c r="M4870" s="37"/>
      <c r="N4870" s="27"/>
      <c r="O4870" s="30"/>
      <c r="P4870" s="39" t="str">
        <f t="shared" si="767"/>
        <v/>
      </c>
      <c r="Q4870" s="40" t="str">
        <f>IF(OR(T4870=0,RIGHT(T4870,1)=$W$1),"",COUNTIF($T$3:T4870,T4870))</f>
        <v/>
      </c>
      <c r="S4870" s="6">
        <f t="shared" si="768"/>
        <v>0</v>
      </c>
      <c r="T4870" s="36">
        <f t="shared" si="769"/>
        <v>0</v>
      </c>
      <c r="V4870" s="6">
        <f t="shared" si="770"/>
        <v>0</v>
      </c>
      <c r="Y4870" s="8">
        <f t="shared" si="771"/>
        <v>46023</v>
      </c>
    </row>
    <row r="4871" spans="2:25" ht="18.75" x14ac:dyDescent="0.3">
      <c r="B4871" s="6">
        <f t="shared" si="763"/>
        <v>0</v>
      </c>
      <c r="C4871" s="6">
        <f t="shared" si="764"/>
        <v>0</v>
      </c>
      <c r="D4871" s="6" t="str">
        <f t="shared" si="765"/>
        <v/>
      </c>
      <c r="E4871" s="35" t="str">
        <f t="shared" si="762"/>
        <v/>
      </c>
      <c r="F4871" s="31"/>
      <c r="G4871" s="29"/>
      <c r="H4871" s="78" t="str">
        <f t="shared" si="766"/>
        <v/>
      </c>
      <c r="I4871" s="25"/>
      <c r="J4871" s="25"/>
      <c r="K4871" s="26"/>
      <c r="L4871" s="26"/>
      <c r="M4871" s="37"/>
      <c r="N4871" s="27"/>
      <c r="O4871" s="30"/>
      <c r="P4871" s="39" t="str">
        <f t="shared" si="767"/>
        <v/>
      </c>
      <c r="Q4871" s="40" t="str">
        <f>IF(OR(T4871=0,RIGHT(T4871,1)=$W$1),"",COUNTIF($T$3:T4871,T4871))</f>
        <v/>
      </c>
      <c r="S4871" s="6">
        <f t="shared" si="768"/>
        <v>0</v>
      </c>
      <c r="T4871" s="36">
        <f t="shared" si="769"/>
        <v>0</v>
      </c>
      <c r="V4871" s="6">
        <f t="shared" si="770"/>
        <v>0</v>
      </c>
      <c r="Y4871" s="8">
        <f t="shared" si="771"/>
        <v>46023</v>
      </c>
    </row>
    <row r="4872" spans="2:25" ht="18.75" x14ac:dyDescent="0.3">
      <c r="B4872" s="6">
        <f t="shared" si="763"/>
        <v>0</v>
      </c>
      <c r="C4872" s="6">
        <f t="shared" si="764"/>
        <v>0</v>
      </c>
      <c r="D4872" s="6" t="str">
        <f t="shared" si="765"/>
        <v/>
      </c>
      <c r="E4872" s="35" t="str">
        <f t="shared" si="762"/>
        <v/>
      </c>
      <c r="F4872" s="31"/>
      <c r="G4872" s="29"/>
      <c r="H4872" s="78" t="str">
        <f t="shared" si="766"/>
        <v/>
      </c>
      <c r="I4872" s="25"/>
      <c r="J4872" s="25"/>
      <c r="K4872" s="26"/>
      <c r="L4872" s="26"/>
      <c r="M4872" s="37"/>
      <c r="N4872" s="27"/>
      <c r="O4872" s="30"/>
      <c r="P4872" s="39" t="str">
        <f t="shared" si="767"/>
        <v/>
      </c>
      <c r="Q4872" s="40" t="str">
        <f>IF(OR(T4872=0,RIGHT(T4872,1)=$W$1),"",COUNTIF($T$3:T4872,T4872))</f>
        <v/>
      </c>
      <c r="S4872" s="6">
        <f t="shared" si="768"/>
        <v>0</v>
      </c>
      <c r="T4872" s="36">
        <f t="shared" si="769"/>
        <v>0</v>
      </c>
      <c r="V4872" s="6">
        <f t="shared" si="770"/>
        <v>0</v>
      </c>
      <c r="Y4872" s="8">
        <f t="shared" si="771"/>
        <v>46023</v>
      </c>
    </row>
    <row r="4873" spans="2:25" ht="18.75" x14ac:dyDescent="0.3">
      <c r="B4873" s="6">
        <f t="shared" si="763"/>
        <v>0</v>
      </c>
      <c r="C4873" s="6">
        <f t="shared" si="764"/>
        <v>0</v>
      </c>
      <c r="D4873" s="6" t="str">
        <f t="shared" si="765"/>
        <v/>
      </c>
      <c r="E4873" s="35" t="str">
        <f t="shared" si="762"/>
        <v/>
      </c>
      <c r="F4873" s="31"/>
      <c r="G4873" s="29"/>
      <c r="H4873" s="78" t="str">
        <f t="shared" si="766"/>
        <v/>
      </c>
      <c r="I4873" s="25"/>
      <c r="J4873" s="25"/>
      <c r="K4873" s="26"/>
      <c r="L4873" s="26"/>
      <c r="M4873" s="37"/>
      <c r="N4873" s="27"/>
      <c r="O4873" s="30"/>
      <c r="P4873" s="39" t="str">
        <f t="shared" si="767"/>
        <v/>
      </c>
      <c r="Q4873" s="40" t="str">
        <f>IF(OR(T4873=0,RIGHT(T4873,1)=$W$1),"",COUNTIF($T$3:T4873,T4873))</f>
        <v/>
      </c>
      <c r="S4873" s="6">
        <f t="shared" si="768"/>
        <v>0</v>
      </c>
      <c r="T4873" s="36">
        <f t="shared" si="769"/>
        <v>0</v>
      </c>
      <c r="V4873" s="6">
        <f t="shared" si="770"/>
        <v>0</v>
      </c>
      <c r="Y4873" s="8">
        <f t="shared" si="771"/>
        <v>46023</v>
      </c>
    </row>
    <row r="4874" spans="2:25" ht="18.75" x14ac:dyDescent="0.3">
      <c r="B4874" s="6">
        <f t="shared" si="763"/>
        <v>0</v>
      </c>
      <c r="C4874" s="6">
        <f t="shared" si="764"/>
        <v>0</v>
      </c>
      <c r="D4874" s="6" t="str">
        <f t="shared" si="765"/>
        <v/>
      </c>
      <c r="E4874" s="35" t="str">
        <f t="shared" si="762"/>
        <v/>
      </c>
      <c r="F4874" s="31"/>
      <c r="G4874" s="29"/>
      <c r="H4874" s="78" t="str">
        <f t="shared" si="766"/>
        <v/>
      </c>
      <c r="I4874" s="25"/>
      <c r="J4874" s="25"/>
      <c r="K4874" s="26"/>
      <c r="L4874" s="26"/>
      <c r="M4874" s="37"/>
      <c r="N4874" s="27"/>
      <c r="O4874" s="30"/>
      <c r="P4874" s="39" t="str">
        <f t="shared" si="767"/>
        <v/>
      </c>
      <c r="Q4874" s="40" t="str">
        <f>IF(OR(T4874=0,RIGHT(T4874,1)=$W$1),"",COUNTIF($T$3:T4874,T4874))</f>
        <v/>
      </c>
      <c r="S4874" s="6">
        <f t="shared" si="768"/>
        <v>0</v>
      </c>
      <c r="T4874" s="36">
        <f t="shared" si="769"/>
        <v>0</v>
      </c>
      <c r="V4874" s="6">
        <f t="shared" si="770"/>
        <v>0</v>
      </c>
      <c r="Y4874" s="8">
        <f t="shared" si="771"/>
        <v>46023</v>
      </c>
    </row>
    <row r="4875" spans="2:25" ht="18.75" x14ac:dyDescent="0.3">
      <c r="B4875" s="6">
        <f t="shared" si="763"/>
        <v>0</v>
      </c>
      <c r="C4875" s="6">
        <f t="shared" si="764"/>
        <v>0</v>
      </c>
      <c r="D4875" s="6" t="str">
        <f t="shared" si="765"/>
        <v/>
      </c>
      <c r="E4875" s="35" t="str">
        <f t="shared" si="762"/>
        <v/>
      </c>
      <c r="F4875" s="31"/>
      <c r="G4875" s="29"/>
      <c r="H4875" s="78" t="str">
        <f t="shared" si="766"/>
        <v/>
      </c>
      <c r="I4875" s="25"/>
      <c r="J4875" s="25"/>
      <c r="K4875" s="26"/>
      <c r="L4875" s="26"/>
      <c r="M4875" s="37"/>
      <c r="N4875" s="27"/>
      <c r="O4875" s="30"/>
      <c r="P4875" s="39" t="str">
        <f t="shared" si="767"/>
        <v/>
      </c>
      <c r="Q4875" s="40" t="str">
        <f>IF(OR(T4875=0,RIGHT(T4875,1)=$W$1),"",COUNTIF($T$3:T4875,T4875))</f>
        <v/>
      </c>
      <c r="S4875" s="6">
        <f t="shared" si="768"/>
        <v>0</v>
      </c>
      <c r="T4875" s="36">
        <f t="shared" si="769"/>
        <v>0</v>
      </c>
      <c r="V4875" s="6">
        <f t="shared" si="770"/>
        <v>0</v>
      </c>
      <c r="Y4875" s="8">
        <f t="shared" si="771"/>
        <v>46023</v>
      </c>
    </row>
    <row r="4876" spans="2:25" ht="18.75" x14ac:dyDescent="0.3">
      <c r="B4876" s="6">
        <f t="shared" si="763"/>
        <v>0</v>
      </c>
      <c r="C4876" s="6">
        <f t="shared" si="764"/>
        <v>0</v>
      </c>
      <c r="D4876" s="6" t="str">
        <f t="shared" si="765"/>
        <v/>
      </c>
      <c r="E4876" s="35" t="str">
        <f t="shared" si="762"/>
        <v/>
      </c>
      <c r="F4876" s="31"/>
      <c r="G4876" s="29"/>
      <c r="H4876" s="78" t="str">
        <f t="shared" si="766"/>
        <v/>
      </c>
      <c r="I4876" s="25"/>
      <c r="J4876" s="25"/>
      <c r="K4876" s="26"/>
      <c r="L4876" s="26"/>
      <c r="M4876" s="37"/>
      <c r="N4876" s="27"/>
      <c r="O4876" s="30"/>
      <c r="P4876" s="39" t="str">
        <f t="shared" si="767"/>
        <v/>
      </c>
      <c r="Q4876" s="40" t="str">
        <f>IF(OR(T4876=0,RIGHT(T4876,1)=$W$1),"",COUNTIF($T$3:T4876,T4876))</f>
        <v/>
      </c>
      <c r="S4876" s="6">
        <f t="shared" si="768"/>
        <v>0</v>
      </c>
      <c r="T4876" s="36">
        <f t="shared" si="769"/>
        <v>0</v>
      </c>
      <c r="V4876" s="6">
        <f t="shared" si="770"/>
        <v>0</v>
      </c>
      <c r="Y4876" s="8">
        <f t="shared" si="771"/>
        <v>46023</v>
      </c>
    </row>
    <row r="4877" spans="2:25" ht="18.75" x14ac:dyDescent="0.3">
      <c r="B4877" s="6">
        <f t="shared" si="763"/>
        <v>0</v>
      </c>
      <c r="C4877" s="6">
        <f t="shared" si="764"/>
        <v>0</v>
      </c>
      <c r="D4877" s="6" t="str">
        <f t="shared" si="765"/>
        <v/>
      </c>
      <c r="E4877" s="35" t="str">
        <f t="shared" si="762"/>
        <v/>
      </c>
      <c r="F4877" s="31"/>
      <c r="G4877" s="29"/>
      <c r="H4877" s="78" t="str">
        <f t="shared" si="766"/>
        <v/>
      </c>
      <c r="I4877" s="25"/>
      <c r="J4877" s="25"/>
      <c r="K4877" s="26"/>
      <c r="L4877" s="26"/>
      <c r="M4877" s="37"/>
      <c r="N4877" s="27"/>
      <c r="O4877" s="30"/>
      <c r="P4877" s="39" t="str">
        <f t="shared" si="767"/>
        <v/>
      </c>
      <c r="Q4877" s="40" t="str">
        <f>IF(OR(T4877=0,RIGHT(T4877,1)=$W$1),"",COUNTIF($T$3:T4877,T4877))</f>
        <v/>
      </c>
      <c r="S4877" s="6">
        <f t="shared" si="768"/>
        <v>0</v>
      </c>
      <c r="T4877" s="36">
        <f t="shared" si="769"/>
        <v>0</v>
      </c>
      <c r="V4877" s="6">
        <f t="shared" si="770"/>
        <v>0</v>
      </c>
      <c r="Y4877" s="8">
        <f t="shared" si="771"/>
        <v>46023</v>
      </c>
    </row>
    <row r="4878" spans="2:25" ht="18.75" x14ac:dyDescent="0.3">
      <c r="B4878" s="6">
        <f t="shared" si="763"/>
        <v>0</v>
      </c>
      <c r="C4878" s="6">
        <f t="shared" si="764"/>
        <v>0</v>
      </c>
      <c r="D4878" s="6" t="str">
        <f t="shared" si="765"/>
        <v/>
      </c>
      <c r="E4878" s="35" t="str">
        <f t="shared" si="762"/>
        <v/>
      </c>
      <c r="F4878" s="31"/>
      <c r="G4878" s="29"/>
      <c r="H4878" s="78" t="str">
        <f t="shared" si="766"/>
        <v/>
      </c>
      <c r="I4878" s="25"/>
      <c r="J4878" s="25"/>
      <c r="K4878" s="26"/>
      <c r="L4878" s="26"/>
      <c r="M4878" s="37"/>
      <c r="N4878" s="27"/>
      <c r="O4878" s="30"/>
      <c r="P4878" s="39" t="str">
        <f t="shared" si="767"/>
        <v/>
      </c>
      <c r="Q4878" s="40" t="str">
        <f>IF(OR(T4878=0,RIGHT(T4878,1)=$W$1),"",COUNTIF($T$3:T4878,T4878))</f>
        <v/>
      </c>
      <c r="S4878" s="6">
        <f t="shared" si="768"/>
        <v>0</v>
      </c>
      <c r="T4878" s="36">
        <f t="shared" si="769"/>
        <v>0</v>
      </c>
      <c r="V4878" s="6">
        <f t="shared" si="770"/>
        <v>0</v>
      </c>
      <c r="Y4878" s="8">
        <f t="shared" si="771"/>
        <v>46023</v>
      </c>
    </row>
    <row r="4879" spans="2:25" ht="18.75" x14ac:dyDescent="0.3">
      <c r="B4879" s="6">
        <f t="shared" si="763"/>
        <v>0</v>
      </c>
      <c r="C4879" s="6">
        <f t="shared" si="764"/>
        <v>0</v>
      </c>
      <c r="D4879" s="6" t="str">
        <f t="shared" si="765"/>
        <v/>
      </c>
      <c r="E4879" s="35" t="str">
        <f t="shared" si="762"/>
        <v/>
      </c>
      <c r="F4879" s="31"/>
      <c r="G4879" s="29"/>
      <c r="H4879" s="78" t="str">
        <f t="shared" si="766"/>
        <v/>
      </c>
      <c r="I4879" s="25"/>
      <c r="J4879" s="25"/>
      <c r="K4879" s="26"/>
      <c r="L4879" s="26"/>
      <c r="M4879" s="37"/>
      <c r="N4879" s="27"/>
      <c r="O4879" s="30"/>
      <c r="P4879" s="39" t="str">
        <f t="shared" si="767"/>
        <v/>
      </c>
      <c r="Q4879" s="40" t="str">
        <f>IF(OR(T4879=0,RIGHT(T4879,1)=$W$1),"",COUNTIF($T$3:T4879,T4879))</f>
        <v/>
      </c>
      <c r="S4879" s="6">
        <f t="shared" si="768"/>
        <v>0</v>
      </c>
      <c r="T4879" s="36">
        <f t="shared" si="769"/>
        <v>0</v>
      </c>
      <c r="V4879" s="6">
        <f t="shared" si="770"/>
        <v>0</v>
      </c>
      <c r="Y4879" s="8">
        <f t="shared" si="771"/>
        <v>46023</v>
      </c>
    </row>
    <row r="4880" spans="2:25" ht="18.75" x14ac:dyDescent="0.3">
      <c r="B4880" s="6">
        <f t="shared" si="763"/>
        <v>0</v>
      </c>
      <c r="C4880" s="6">
        <f t="shared" si="764"/>
        <v>0</v>
      </c>
      <c r="D4880" s="6" t="str">
        <f t="shared" si="765"/>
        <v/>
      </c>
      <c r="E4880" s="35" t="str">
        <f t="shared" si="762"/>
        <v/>
      </c>
      <c r="F4880" s="31"/>
      <c r="G4880" s="29"/>
      <c r="H4880" s="78" t="str">
        <f t="shared" si="766"/>
        <v/>
      </c>
      <c r="I4880" s="25"/>
      <c r="J4880" s="25"/>
      <c r="K4880" s="26"/>
      <c r="L4880" s="26"/>
      <c r="M4880" s="37"/>
      <c r="N4880" s="27"/>
      <c r="O4880" s="30"/>
      <c r="P4880" s="39" t="str">
        <f t="shared" si="767"/>
        <v/>
      </c>
      <c r="Q4880" s="40" t="str">
        <f>IF(OR(T4880=0,RIGHT(T4880,1)=$W$1),"",COUNTIF($T$3:T4880,T4880))</f>
        <v/>
      </c>
      <c r="S4880" s="6">
        <f t="shared" si="768"/>
        <v>0</v>
      </c>
      <c r="T4880" s="36">
        <f t="shared" si="769"/>
        <v>0</v>
      </c>
      <c r="V4880" s="6">
        <f t="shared" si="770"/>
        <v>0</v>
      </c>
      <c r="Y4880" s="8">
        <f t="shared" si="771"/>
        <v>46023</v>
      </c>
    </row>
    <row r="4881" spans="2:25" ht="18.75" x14ac:dyDescent="0.3">
      <c r="B4881" s="6">
        <f t="shared" si="763"/>
        <v>0</v>
      </c>
      <c r="C4881" s="6">
        <f t="shared" si="764"/>
        <v>0</v>
      </c>
      <c r="D4881" s="6" t="str">
        <f t="shared" si="765"/>
        <v/>
      </c>
      <c r="E4881" s="35" t="str">
        <f t="shared" si="762"/>
        <v/>
      </c>
      <c r="F4881" s="31"/>
      <c r="G4881" s="29"/>
      <c r="H4881" s="78" t="str">
        <f t="shared" si="766"/>
        <v/>
      </c>
      <c r="I4881" s="25"/>
      <c r="J4881" s="25"/>
      <c r="K4881" s="26"/>
      <c r="L4881" s="26"/>
      <c r="M4881" s="37"/>
      <c r="N4881" s="27"/>
      <c r="O4881" s="30"/>
      <c r="P4881" s="39" t="str">
        <f t="shared" si="767"/>
        <v/>
      </c>
      <c r="Q4881" s="40" t="str">
        <f>IF(OR(T4881=0,RIGHT(T4881,1)=$W$1),"",COUNTIF($T$3:T4881,T4881))</f>
        <v/>
      </c>
      <c r="S4881" s="6">
        <f t="shared" si="768"/>
        <v>0</v>
      </c>
      <c r="T4881" s="36">
        <f t="shared" si="769"/>
        <v>0</v>
      </c>
      <c r="V4881" s="6">
        <f t="shared" si="770"/>
        <v>0</v>
      </c>
      <c r="Y4881" s="8">
        <f t="shared" si="771"/>
        <v>46023</v>
      </c>
    </row>
    <row r="4882" spans="2:25" ht="18.75" x14ac:dyDescent="0.3">
      <c r="B4882" s="6">
        <f t="shared" si="763"/>
        <v>0</v>
      </c>
      <c r="C4882" s="6">
        <f t="shared" si="764"/>
        <v>0</v>
      </c>
      <c r="D4882" s="6" t="str">
        <f t="shared" si="765"/>
        <v/>
      </c>
      <c r="E4882" s="35" t="str">
        <f t="shared" si="762"/>
        <v/>
      </c>
      <c r="F4882" s="31"/>
      <c r="G4882" s="29"/>
      <c r="H4882" s="78" t="str">
        <f t="shared" si="766"/>
        <v/>
      </c>
      <c r="I4882" s="25"/>
      <c r="J4882" s="25"/>
      <c r="K4882" s="26"/>
      <c r="L4882" s="26"/>
      <c r="M4882" s="37"/>
      <c r="N4882" s="27"/>
      <c r="O4882" s="30"/>
      <c r="P4882" s="39" t="str">
        <f t="shared" si="767"/>
        <v/>
      </c>
      <c r="Q4882" s="40" t="str">
        <f>IF(OR(T4882=0,RIGHT(T4882,1)=$W$1),"",COUNTIF($T$3:T4882,T4882))</f>
        <v/>
      </c>
      <c r="S4882" s="6">
        <f t="shared" si="768"/>
        <v>0</v>
      </c>
      <c r="T4882" s="36">
        <f t="shared" si="769"/>
        <v>0</v>
      </c>
      <c r="V4882" s="6">
        <f t="shared" si="770"/>
        <v>0</v>
      </c>
      <c r="Y4882" s="8">
        <f t="shared" si="771"/>
        <v>46023</v>
      </c>
    </row>
    <row r="4883" spans="2:25" ht="18.75" x14ac:dyDescent="0.3">
      <c r="B4883" s="6">
        <f t="shared" si="763"/>
        <v>0</v>
      </c>
      <c r="C4883" s="6">
        <f t="shared" si="764"/>
        <v>0</v>
      </c>
      <c r="D4883" s="6" t="str">
        <f t="shared" si="765"/>
        <v/>
      </c>
      <c r="E4883" s="35" t="str">
        <f t="shared" si="762"/>
        <v/>
      </c>
      <c r="F4883" s="31"/>
      <c r="G4883" s="29"/>
      <c r="H4883" s="78" t="str">
        <f t="shared" si="766"/>
        <v/>
      </c>
      <c r="I4883" s="25"/>
      <c r="J4883" s="25"/>
      <c r="K4883" s="26"/>
      <c r="L4883" s="26"/>
      <c r="M4883" s="37"/>
      <c r="N4883" s="27"/>
      <c r="O4883" s="30"/>
      <c r="P4883" s="39" t="str">
        <f t="shared" si="767"/>
        <v/>
      </c>
      <c r="Q4883" s="40" t="str">
        <f>IF(OR(T4883=0,RIGHT(T4883,1)=$W$1),"",COUNTIF($T$3:T4883,T4883))</f>
        <v/>
      </c>
      <c r="S4883" s="6">
        <f t="shared" si="768"/>
        <v>0</v>
      </c>
      <c r="T4883" s="36">
        <f t="shared" si="769"/>
        <v>0</v>
      </c>
      <c r="V4883" s="6">
        <f t="shared" si="770"/>
        <v>0</v>
      </c>
      <c r="Y4883" s="8">
        <f t="shared" si="771"/>
        <v>46023</v>
      </c>
    </row>
    <row r="4884" spans="2:25" ht="18.75" x14ac:dyDescent="0.3">
      <c r="B4884" s="6">
        <f t="shared" si="763"/>
        <v>0</v>
      </c>
      <c r="C4884" s="6">
        <f t="shared" si="764"/>
        <v>0</v>
      </c>
      <c r="D4884" s="6" t="str">
        <f t="shared" si="765"/>
        <v/>
      </c>
      <c r="E4884" s="35" t="str">
        <f t="shared" si="762"/>
        <v/>
      </c>
      <c r="F4884" s="31"/>
      <c r="G4884" s="29"/>
      <c r="H4884" s="78" t="str">
        <f t="shared" si="766"/>
        <v/>
      </c>
      <c r="I4884" s="25"/>
      <c r="J4884" s="25"/>
      <c r="K4884" s="26"/>
      <c r="L4884" s="26"/>
      <c r="M4884" s="37"/>
      <c r="N4884" s="27"/>
      <c r="O4884" s="30"/>
      <c r="P4884" s="39" t="str">
        <f t="shared" si="767"/>
        <v/>
      </c>
      <c r="Q4884" s="40" t="str">
        <f>IF(OR(T4884=0,RIGHT(T4884,1)=$W$1),"",COUNTIF($T$3:T4884,T4884))</f>
        <v/>
      </c>
      <c r="S4884" s="6">
        <f t="shared" si="768"/>
        <v>0</v>
      </c>
      <c r="T4884" s="36">
        <f t="shared" si="769"/>
        <v>0</v>
      </c>
      <c r="V4884" s="6">
        <f t="shared" si="770"/>
        <v>0</v>
      </c>
      <c r="Y4884" s="8">
        <f t="shared" si="771"/>
        <v>46023</v>
      </c>
    </row>
    <row r="4885" spans="2:25" ht="18.75" x14ac:dyDescent="0.3">
      <c r="B4885" s="6">
        <f t="shared" si="763"/>
        <v>0</v>
      </c>
      <c r="C4885" s="6">
        <f t="shared" si="764"/>
        <v>0</v>
      </c>
      <c r="D4885" s="6" t="str">
        <f t="shared" si="765"/>
        <v/>
      </c>
      <c r="E4885" s="35" t="str">
        <f t="shared" si="762"/>
        <v/>
      </c>
      <c r="F4885" s="31"/>
      <c r="G4885" s="29"/>
      <c r="H4885" s="78" t="str">
        <f t="shared" si="766"/>
        <v/>
      </c>
      <c r="I4885" s="25"/>
      <c r="J4885" s="25"/>
      <c r="K4885" s="26"/>
      <c r="L4885" s="26"/>
      <c r="M4885" s="37"/>
      <c r="N4885" s="27"/>
      <c r="O4885" s="30"/>
      <c r="P4885" s="39" t="str">
        <f t="shared" si="767"/>
        <v/>
      </c>
      <c r="Q4885" s="40" t="str">
        <f>IF(OR(T4885=0,RIGHT(T4885,1)=$W$1),"",COUNTIF($T$3:T4885,T4885))</f>
        <v/>
      </c>
      <c r="S4885" s="6">
        <f t="shared" si="768"/>
        <v>0</v>
      </c>
      <c r="T4885" s="36">
        <f t="shared" si="769"/>
        <v>0</v>
      </c>
      <c r="V4885" s="6">
        <f t="shared" si="770"/>
        <v>0</v>
      </c>
      <c r="Y4885" s="8">
        <f t="shared" si="771"/>
        <v>46023</v>
      </c>
    </row>
    <row r="4886" spans="2:25" ht="18.75" x14ac:dyDescent="0.3">
      <c r="B4886" s="6">
        <f t="shared" si="763"/>
        <v>0</v>
      </c>
      <c r="C4886" s="6">
        <f t="shared" si="764"/>
        <v>0</v>
      </c>
      <c r="D4886" s="6" t="str">
        <f t="shared" si="765"/>
        <v/>
      </c>
      <c r="E4886" s="35" t="str">
        <f t="shared" si="762"/>
        <v/>
      </c>
      <c r="F4886" s="31"/>
      <c r="G4886" s="29"/>
      <c r="H4886" s="78" t="str">
        <f t="shared" si="766"/>
        <v/>
      </c>
      <c r="I4886" s="25"/>
      <c r="J4886" s="25"/>
      <c r="K4886" s="26"/>
      <c r="L4886" s="26"/>
      <c r="M4886" s="37"/>
      <c r="N4886" s="27"/>
      <c r="O4886" s="30"/>
      <c r="P4886" s="39" t="str">
        <f t="shared" si="767"/>
        <v/>
      </c>
      <c r="Q4886" s="40" t="str">
        <f>IF(OR(T4886=0,RIGHT(T4886,1)=$W$1),"",COUNTIF($T$3:T4886,T4886))</f>
        <v/>
      </c>
      <c r="S4886" s="6">
        <f t="shared" si="768"/>
        <v>0</v>
      </c>
      <c r="T4886" s="36">
        <f t="shared" si="769"/>
        <v>0</v>
      </c>
      <c r="V4886" s="6">
        <f t="shared" si="770"/>
        <v>0</v>
      </c>
      <c r="Y4886" s="8">
        <f t="shared" si="771"/>
        <v>46023</v>
      </c>
    </row>
    <row r="4887" spans="2:25" ht="18.75" x14ac:dyDescent="0.3">
      <c r="B4887" s="6">
        <f t="shared" si="763"/>
        <v>0</v>
      </c>
      <c r="C4887" s="6">
        <f t="shared" si="764"/>
        <v>0</v>
      </c>
      <c r="D4887" s="6" t="str">
        <f t="shared" si="765"/>
        <v/>
      </c>
      <c r="E4887" s="35" t="str">
        <f t="shared" si="762"/>
        <v/>
      </c>
      <c r="F4887" s="31"/>
      <c r="G4887" s="29"/>
      <c r="H4887" s="78" t="str">
        <f t="shared" si="766"/>
        <v/>
      </c>
      <c r="I4887" s="25"/>
      <c r="J4887" s="25"/>
      <c r="K4887" s="26"/>
      <c r="L4887" s="26"/>
      <c r="M4887" s="37"/>
      <c r="N4887" s="27"/>
      <c r="O4887" s="30"/>
      <c r="P4887" s="39" t="str">
        <f t="shared" si="767"/>
        <v/>
      </c>
      <c r="Q4887" s="40" t="str">
        <f>IF(OR(T4887=0,RIGHT(T4887,1)=$W$1),"",COUNTIF($T$3:T4887,T4887))</f>
        <v/>
      </c>
      <c r="S4887" s="6">
        <f t="shared" si="768"/>
        <v>0</v>
      </c>
      <c r="T4887" s="36">
        <f t="shared" si="769"/>
        <v>0</v>
      </c>
      <c r="V4887" s="6">
        <f t="shared" si="770"/>
        <v>0</v>
      </c>
      <c r="Y4887" s="8">
        <f t="shared" si="771"/>
        <v>46023</v>
      </c>
    </row>
    <row r="4888" spans="2:25" ht="18.75" x14ac:dyDescent="0.3">
      <c r="B4888" s="6">
        <f t="shared" si="763"/>
        <v>0</v>
      </c>
      <c r="C4888" s="6">
        <f t="shared" si="764"/>
        <v>0</v>
      </c>
      <c r="D4888" s="6" t="str">
        <f t="shared" si="765"/>
        <v/>
      </c>
      <c r="E4888" s="35" t="str">
        <f t="shared" si="762"/>
        <v/>
      </c>
      <c r="F4888" s="31"/>
      <c r="G4888" s="29"/>
      <c r="H4888" s="78" t="str">
        <f t="shared" si="766"/>
        <v/>
      </c>
      <c r="I4888" s="25"/>
      <c r="J4888" s="25"/>
      <c r="K4888" s="26"/>
      <c r="L4888" s="26"/>
      <c r="M4888" s="37"/>
      <c r="N4888" s="27"/>
      <c r="O4888" s="30"/>
      <c r="P4888" s="39" t="str">
        <f t="shared" si="767"/>
        <v/>
      </c>
      <c r="Q4888" s="40" t="str">
        <f>IF(OR(T4888=0,RIGHT(T4888,1)=$W$1),"",COUNTIF($T$3:T4888,T4888))</f>
        <v/>
      </c>
      <c r="S4888" s="6">
        <f t="shared" si="768"/>
        <v>0</v>
      </c>
      <c r="T4888" s="36">
        <f t="shared" si="769"/>
        <v>0</v>
      </c>
      <c r="V4888" s="6">
        <f t="shared" si="770"/>
        <v>0</v>
      </c>
      <c r="Y4888" s="8">
        <f t="shared" si="771"/>
        <v>46023</v>
      </c>
    </row>
    <row r="4889" spans="2:25" ht="18.75" x14ac:dyDescent="0.3">
      <c r="B4889" s="6">
        <f t="shared" si="763"/>
        <v>0</v>
      </c>
      <c r="C4889" s="6">
        <f t="shared" si="764"/>
        <v>0</v>
      </c>
      <c r="D4889" s="6" t="str">
        <f t="shared" si="765"/>
        <v/>
      </c>
      <c r="E4889" s="35" t="str">
        <f t="shared" si="762"/>
        <v/>
      </c>
      <c r="F4889" s="31"/>
      <c r="G4889" s="29"/>
      <c r="H4889" s="78" t="str">
        <f t="shared" si="766"/>
        <v/>
      </c>
      <c r="I4889" s="25"/>
      <c r="J4889" s="25"/>
      <c r="K4889" s="26"/>
      <c r="L4889" s="26"/>
      <c r="M4889" s="37"/>
      <c r="N4889" s="27"/>
      <c r="O4889" s="30"/>
      <c r="P4889" s="39" t="str">
        <f t="shared" si="767"/>
        <v/>
      </c>
      <c r="Q4889" s="40" t="str">
        <f>IF(OR(T4889=0,RIGHT(T4889,1)=$W$1),"",COUNTIF($T$3:T4889,T4889))</f>
        <v/>
      </c>
      <c r="S4889" s="6">
        <f t="shared" si="768"/>
        <v>0</v>
      </c>
      <c r="T4889" s="36">
        <f t="shared" si="769"/>
        <v>0</v>
      </c>
      <c r="V4889" s="6">
        <f t="shared" si="770"/>
        <v>0</v>
      </c>
      <c r="Y4889" s="8">
        <f t="shared" si="771"/>
        <v>46023</v>
      </c>
    </row>
    <row r="4890" spans="2:25" ht="18.75" x14ac:dyDescent="0.3">
      <c r="B4890" s="6">
        <f t="shared" si="763"/>
        <v>0</v>
      </c>
      <c r="C4890" s="6">
        <f t="shared" si="764"/>
        <v>0</v>
      </c>
      <c r="D4890" s="6" t="str">
        <f t="shared" si="765"/>
        <v/>
      </c>
      <c r="E4890" s="35" t="str">
        <f t="shared" si="762"/>
        <v/>
      </c>
      <c r="F4890" s="31"/>
      <c r="G4890" s="29"/>
      <c r="H4890" s="78" t="str">
        <f t="shared" si="766"/>
        <v/>
      </c>
      <c r="I4890" s="25"/>
      <c r="J4890" s="25"/>
      <c r="K4890" s="26"/>
      <c r="L4890" s="26"/>
      <c r="M4890" s="37"/>
      <c r="N4890" s="27"/>
      <c r="O4890" s="30"/>
      <c r="P4890" s="39" t="str">
        <f t="shared" si="767"/>
        <v/>
      </c>
      <c r="Q4890" s="40" t="str">
        <f>IF(OR(T4890=0,RIGHT(T4890,1)=$W$1),"",COUNTIF($T$3:T4890,T4890))</f>
        <v/>
      </c>
      <c r="S4890" s="6">
        <f t="shared" si="768"/>
        <v>0</v>
      </c>
      <c r="T4890" s="36">
        <f t="shared" si="769"/>
        <v>0</v>
      </c>
      <c r="V4890" s="6">
        <f t="shared" si="770"/>
        <v>0</v>
      </c>
      <c r="Y4890" s="8">
        <f t="shared" si="771"/>
        <v>46023</v>
      </c>
    </row>
    <row r="4891" spans="2:25" ht="18.75" x14ac:dyDescent="0.3">
      <c r="B4891" s="6">
        <f t="shared" si="763"/>
        <v>0</v>
      </c>
      <c r="C4891" s="6">
        <f t="shared" si="764"/>
        <v>0</v>
      </c>
      <c r="D4891" s="6" t="str">
        <f t="shared" si="765"/>
        <v/>
      </c>
      <c r="E4891" s="35" t="str">
        <f t="shared" si="762"/>
        <v/>
      </c>
      <c r="F4891" s="31"/>
      <c r="G4891" s="29"/>
      <c r="H4891" s="78" t="str">
        <f t="shared" si="766"/>
        <v/>
      </c>
      <c r="I4891" s="25"/>
      <c r="J4891" s="25"/>
      <c r="K4891" s="26"/>
      <c r="L4891" s="26"/>
      <c r="M4891" s="37"/>
      <c r="N4891" s="27"/>
      <c r="O4891" s="30"/>
      <c r="P4891" s="39" t="str">
        <f t="shared" si="767"/>
        <v/>
      </c>
      <c r="Q4891" s="40" t="str">
        <f>IF(OR(T4891=0,RIGHT(T4891,1)=$W$1),"",COUNTIF($T$3:T4891,T4891))</f>
        <v/>
      </c>
      <c r="S4891" s="6">
        <f t="shared" si="768"/>
        <v>0</v>
      </c>
      <c r="T4891" s="36">
        <f t="shared" si="769"/>
        <v>0</v>
      </c>
      <c r="V4891" s="6">
        <f t="shared" si="770"/>
        <v>0</v>
      </c>
      <c r="Y4891" s="8">
        <f t="shared" si="771"/>
        <v>46023</v>
      </c>
    </row>
    <row r="4892" spans="2:25" ht="18.75" x14ac:dyDescent="0.3">
      <c r="B4892" s="6">
        <f t="shared" si="763"/>
        <v>0</v>
      </c>
      <c r="C4892" s="6">
        <f t="shared" si="764"/>
        <v>0</v>
      </c>
      <c r="D4892" s="6" t="str">
        <f t="shared" si="765"/>
        <v/>
      </c>
      <c r="E4892" s="35" t="str">
        <f t="shared" si="762"/>
        <v/>
      </c>
      <c r="F4892" s="31"/>
      <c r="G4892" s="29"/>
      <c r="H4892" s="78" t="str">
        <f t="shared" si="766"/>
        <v/>
      </c>
      <c r="I4892" s="25"/>
      <c r="J4892" s="25"/>
      <c r="K4892" s="26"/>
      <c r="L4892" s="26"/>
      <c r="M4892" s="37"/>
      <c r="N4892" s="27"/>
      <c r="O4892" s="30"/>
      <c r="P4892" s="39" t="str">
        <f t="shared" si="767"/>
        <v/>
      </c>
      <c r="Q4892" s="40" t="str">
        <f>IF(OR(T4892=0,RIGHT(T4892,1)=$W$1),"",COUNTIF($T$3:T4892,T4892))</f>
        <v/>
      </c>
      <c r="S4892" s="6">
        <f t="shared" si="768"/>
        <v>0</v>
      </c>
      <c r="T4892" s="36">
        <f t="shared" si="769"/>
        <v>0</v>
      </c>
      <c r="V4892" s="6">
        <f t="shared" si="770"/>
        <v>0</v>
      </c>
      <c r="Y4892" s="8">
        <f t="shared" si="771"/>
        <v>46023</v>
      </c>
    </row>
    <row r="4893" spans="2:25" ht="18.75" x14ac:dyDescent="0.3">
      <c r="B4893" s="6">
        <f t="shared" si="763"/>
        <v>0</v>
      </c>
      <c r="C4893" s="6">
        <f t="shared" si="764"/>
        <v>0</v>
      </c>
      <c r="D4893" s="6" t="str">
        <f t="shared" si="765"/>
        <v/>
      </c>
      <c r="E4893" s="35" t="str">
        <f t="shared" si="762"/>
        <v/>
      </c>
      <c r="F4893" s="31"/>
      <c r="G4893" s="29"/>
      <c r="H4893" s="78" t="str">
        <f t="shared" si="766"/>
        <v/>
      </c>
      <c r="I4893" s="25"/>
      <c r="J4893" s="25"/>
      <c r="K4893" s="26"/>
      <c r="L4893" s="26"/>
      <c r="M4893" s="37"/>
      <c r="N4893" s="27"/>
      <c r="O4893" s="30"/>
      <c r="P4893" s="39" t="str">
        <f t="shared" si="767"/>
        <v/>
      </c>
      <c r="Q4893" s="40" t="str">
        <f>IF(OR(T4893=0,RIGHT(T4893,1)=$W$1),"",COUNTIF($T$3:T4893,T4893))</f>
        <v/>
      </c>
      <c r="S4893" s="6">
        <f t="shared" si="768"/>
        <v>0</v>
      </c>
      <c r="T4893" s="36">
        <f t="shared" si="769"/>
        <v>0</v>
      </c>
      <c r="V4893" s="6">
        <f t="shared" si="770"/>
        <v>0</v>
      </c>
      <c r="Y4893" s="8">
        <f t="shared" si="771"/>
        <v>46023</v>
      </c>
    </row>
    <row r="4894" spans="2:25" ht="18.75" x14ac:dyDescent="0.3">
      <c r="B4894" s="6">
        <f t="shared" si="763"/>
        <v>0</v>
      </c>
      <c r="C4894" s="6">
        <f t="shared" si="764"/>
        <v>0</v>
      </c>
      <c r="D4894" s="6" t="str">
        <f t="shared" si="765"/>
        <v/>
      </c>
      <c r="E4894" s="35" t="str">
        <f t="shared" si="762"/>
        <v/>
      </c>
      <c r="F4894" s="31"/>
      <c r="G4894" s="29"/>
      <c r="H4894" s="78" t="str">
        <f t="shared" si="766"/>
        <v/>
      </c>
      <c r="I4894" s="25"/>
      <c r="J4894" s="25"/>
      <c r="K4894" s="26"/>
      <c r="L4894" s="26"/>
      <c r="M4894" s="37"/>
      <c r="N4894" s="27"/>
      <c r="O4894" s="30"/>
      <c r="P4894" s="39" t="str">
        <f t="shared" si="767"/>
        <v/>
      </c>
      <c r="Q4894" s="40" t="str">
        <f>IF(OR(T4894=0,RIGHT(T4894,1)=$W$1),"",COUNTIF($T$3:T4894,T4894))</f>
        <v/>
      </c>
      <c r="S4894" s="6">
        <f t="shared" si="768"/>
        <v>0</v>
      </c>
      <c r="T4894" s="36">
        <f t="shared" si="769"/>
        <v>0</v>
      </c>
      <c r="V4894" s="6">
        <f t="shared" si="770"/>
        <v>0</v>
      </c>
      <c r="Y4894" s="8">
        <f t="shared" si="771"/>
        <v>46023</v>
      </c>
    </row>
    <row r="4895" spans="2:25" ht="18.75" x14ac:dyDescent="0.3">
      <c r="B4895" s="6">
        <f t="shared" si="763"/>
        <v>0</v>
      </c>
      <c r="C4895" s="6">
        <f t="shared" si="764"/>
        <v>0</v>
      </c>
      <c r="D4895" s="6" t="str">
        <f t="shared" si="765"/>
        <v/>
      </c>
      <c r="E4895" s="35" t="str">
        <f t="shared" si="762"/>
        <v/>
      </c>
      <c r="F4895" s="31"/>
      <c r="G4895" s="29"/>
      <c r="H4895" s="78" t="str">
        <f t="shared" si="766"/>
        <v/>
      </c>
      <c r="I4895" s="25"/>
      <c r="J4895" s="25"/>
      <c r="K4895" s="26"/>
      <c r="L4895" s="26"/>
      <c r="M4895" s="37"/>
      <c r="N4895" s="27"/>
      <c r="O4895" s="30"/>
      <c r="P4895" s="39" t="str">
        <f t="shared" si="767"/>
        <v/>
      </c>
      <c r="Q4895" s="40" t="str">
        <f>IF(OR(T4895=0,RIGHT(T4895,1)=$W$1),"",COUNTIF($T$3:T4895,T4895))</f>
        <v/>
      </c>
      <c r="S4895" s="6">
        <f t="shared" si="768"/>
        <v>0</v>
      </c>
      <c r="T4895" s="36">
        <f t="shared" si="769"/>
        <v>0</v>
      </c>
      <c r="V4895" s="6">
        <f t="shared" si="770"/>
        <v>0</v>
      </c>
      <c r="Y4895" s="8">
        <f t="shared" si="771"/>
        <v>46023</v>
      </c>
    </row>
    <row r="4896" spans="2:25" ht="18.75" x14ac:dyDescent="0.3">
      <c r="B4896" s="6">
        <f t="shared" si="763"/>
        <v>0</v>
      </c>
      <c r="C4896" s="6">
        <f t="shared" si="764"/>
        <v>0</v>
      </c>
      <c r="D4896" s="6" t="str">
        <f t="shared" si="765"/>
        <v/>
      </c>
      <c r="E4896" s="35" t="str">
        <f t="shared" si="762"/>
        <v/>
      </c>
      <c r="F4896" s="31"/>
      <c r="G4896" s="29"/>
      <c r="H4896" s="78" t="str">
        <f t="shared" si="766"/>
        <v/>
      </c>
      <c r="I4896" s="25"/>
      <c r="J4896" s="25"/>
      <c r="K4896" s="26"/>
      <c r="L4896" s="26"/>
      <c r="M4896" s="37"/>
      <c r="N4896" s="27"/>
      <c r="O4896" s="30"/>
      <c r="P4896" s="39" t="str">
        <f t="shared" si="767"/>
        <v/>
      </c>
      <c r="Q4896" s="40" t="str">
        <f>IF(OR(T4896=0,RIGHT(T4896,1)=$W$1),"",COUNTIF($T$3:T4896,T4896))</f>
        <v/>
      </c>
      <c r="S4896" s="6">
        <f t="shared" si="768"/>
        <v>0</v>
      </c>
      <c r="T4896" s="36">
        <f t="shared" si="769"/>
        <v>0</v>
      </c>
      <c r="V4896" s="6">
        <f t="shared" si="770"/>
        <v>0</v>
      </c>
      <c r="Y4896" s="8">
        <f t="shared" si="771"/>
        <v>46023</v>
      </c>
    </row>
    <row r="4897" spans="2:25" ht="18.75" x14ac:dyDescent="0.3">
      <c r="B4897" s="6">
        <f t="shared" si="763"/>
        <v>0</v>
      </c>
      <c r="C4897" s="6">
        <f t="shared" si="764"/>
        <v>0</v>
      </c>
      <c r="D4897" s="6" t="str">
        <f t="shared" si="765"/>
        <v/>
      </c>
      <c r="E4897" s="35" t="str">
        <f t="shared" si="762"/>
        <v/>
      </c>
      <c r="F4897" s="31"/>
      <c r="G4897" s="29"/>
      <c r="H4897" s="78" t="str">
        <f t="shared" si="766"/>
        <v/>
      </c>
      <c r="I4897" s="25"/>
      <c r="J4897" s="25"/>
      <c r="K4897" s="26"/>
      <c r="L4897" s="26"/>
      <c r="M4897" s="37"/>
      <c r="N4897" s="27"/>
      <c r="O4897" s="30"/>
      <c r="P4897" s="39" t="str">
        <f t="shared" si="767"/>
        <v/>
      </c>
      <c r="Q4897" s="40" t="str">
        <f>IF(OR(T4897=0,RIGHT(T4897,1)=$W$1),"",COUNTIF($T$3:T4897,T4897))</f>
        <v/>
      </c>
      <c r="S4897" s="6">
        <f t="shared" si="768"/>
        <v>0</v>
      </c>
      <c r="T4897" s="36">
        <f t="shared" si="769"/>
        <v>0</v>
      </c>
      <c r="V4897" s="6">
        <f t="shared" si="770"/>
        <v>0</v>
      </c>
      <c r="Y4897" s="8">
        <f t="shared" si="771"/>
        <v>46023</v>
      </c>
    </row>
    <row r="4898" spans="2:25" ht="18.75" x14ac:dyDescent="0.3">
      <c r="B4898" s="6">
        <f t="shared" si="763"/>
        <v>0</v>
      </c>
      <c r="C4898" s="6">
        <f t="shared" si="764"/>
        <v>0</v>
      </c>
      <c r="D4898" s="6" t="str">
        <f t="shared" si="765"/>
        <v/>
      </c>
      <c r="E4898" s="35" t="str">
        <f t="shared" si="762"/>
        <v/>
      </c>
      <c r="F4898" s="31"/>
      <c r="G4898" s="29"/>
      <c r="H4898" s="78" t="str">
        <f t="shared" si="766"/>
        <v/>
      </c>
      <c r="I4898" s="25"/>
      <c r="J4898" s="25"/>
      <c r="K4898" s="26"/>
      <c r="L4898" s="26"/>
      <c r="M4898" s="37"/>
      <c r="N4898" s="27"/>
      <c r="O4898" s="30"/>
      <c r="P4898" s="39" t="str">
        <f t="shared" si="767"/>
        <v/>
      </c>
      <c r="Q4898" s="40" t="str">
        <f>IF(OR(T4898=0,RIGHT(T4898,1)=$W$1),"",COUNTIF($T$3:T4898,T4898))</f>
        <v/>
      </c>
      <c r="S4898" s="6">
        <f t="shared" si="768"/>
        <v>0</v>
      </c>
      <c r="T4898" s="36">
        <f t="shared" si="769"/>
        <v>0</v>
      </c>
      <c r="V4898" s="6">
        <f t="shared" si="770"/>
        <v>0</v>
      </c>
      <c r="Y4898" s="8">
        <f t="shared" si="771"/>
        <v>46023</v>
      </c>
    </row>
    <row r="4899" spans="2:25" ht="18.75" x14ac:dyDescent="0.3">
      <c r="B4899" s="6">
        <f t="shared" si="763"/>
        <v>0</v>
      </c>
      <c r="C4899" s="6">
        <f t="shared" si="764"/>
        <v>0</v>
      </c>
      <c r="D4899" s="6" t="str">
        <f t="shared" si="765"/>
        <v/>
      </c>
      <c r="E4899" s="35" t="str">
        <f t="shared" si="762"/>
        <v/>
      </c>
      <c r="F4899" s="31"/>
      <c r="G4899" s="29"/>
      <c r="H4899" s="78" t="str">
        <f t="shared" si="766"/>
        <v/>
      </c>
      <c r="I4899" s="25"/>
      <c r="J4899" s="25"/>
      <c r="K4899" s="26"/>
      <c r="L4899" s="26"/>
      <c r="M4899" s="37"/>
      <c r="N4899" s="27"/>
      <c r="O4899" s="30"/>
      <c r="P4899" s="39" t="str">
        <f t="shared" si="767"/>
        <v/>
      </c>
      <c r="Q4899" s="40" t="str">
        <f>IF(OR(T4899=0,RIGHT(T4899,1)=$W$1),"",COUNTIF($T$3:T4899,T4899))</f>
        <v/>
      </c>
      <c r="S4899" s="6">
        <f t="shared" si="768"/>
        <v>0</v>
      </c>
      <c r="T4899" s="36">
        <f t="shared" si="769"/>
        <v>0</v>
      </c>
      <c r="V4899" s="6">
        <f t="shared" si="770"/>
        <v>0</v>
      </c>
      <c r="Y4899" s="8">
        <f t="shared" si="771"/>
        <v>46023</v>
      </c>
    </row>
    <row r="4900" spans="2:25" ht="18.75" x14ac:dyDescent="0.3">
      <c r="B4900" s="6">
        <f t="shared" si="763"/>
        <v>0</v>
      </c>
      <c r="C4900" s="6">
        <f t="shared" si="764"/>
        <v>0</v>
      </c>
      <c r="D4900" s="6" t="str">
        <f t="shared" si="765"/>
        <v/>
      </c>
      <c r="E4900" s="35" t="str">
        <f t="shared" si="762"/>
        <v/>
      </c>
      <c r="F4900" s="31"/>
      <c r="G4900" s="29"/>
      <c r="H4900" s="78" t="str">
        <f t="shared" si="766"/>
        <v/>
      </c>
      <c r="I4900" s="25"/>
      <c r="J4900" s="25"/>
      <c r="K4900" s="26"/>
      <c r="L4900" s="26"/>
      <c r="M4900" s="37"/>
      <c r="N4900" s="27"/>
      <c r="O4900" s="30"/>
      <c r="P4900" s="39" t="str">
        <f t="shared" si="767"/>
        <v/>
      </c>
      <c r="Q4900" s="40" t="str">
        <f>IF(OR(T4900=0,RIGHT(T4900,1)=$W$1),"",COUNTIF($T$3:T4900,T4900))</f>
        <v/>
      </c>
      <c r="S4900" s="6">
        <f t="shared" si="768"/>
        <v>0</v>
      </c>
      <c r="T4900" s="36">
        <f t="shared" si="769"/>
        <v>0</v>
      </c>
      <c r="V4900" s="6">
        <f t="shared" si="770"/>
        <v>0</v>
      </c>
      <c r="Y4900" s="8">
        <f t="shared" si="771"/>
        <v>46023</v>
      </c>
    </row>
    <row r="4901" spans="2:25" ht="18.75" x14ac:dyDescent="0.3">
      <c r="B4901" s="6">
        <f t="shared" si="763"/>
        <v>0</v>
      </c>
      <c r="C4901" s="6">
        <f t="shared" si="764"/>
        <v>0</v>
      </c>
      <c r="D4901" s="6" t="str">
        <f t="shared" si="765"/>
        <v/>
      </c>
      <c r="E4901" s="35" t="str">
        <f t="shared" si="762"/>
        <v/>
      </c>
      <c r="F4901" s="31"/>
      <c r="G4901" s="29"/>
      <c r="H4901" s="78" t="str">
        <f t="shared" si="766"/>
        <v/>
      </c>
      <c r="I4901" s="25"/>
      <c r="J4901" s="25"/>
      <c r="K4901" s="26"/>
      <c r="L4901" s="26"/>
      <c r="M4901" s="37"/>
      <c r="N4901" s="27"/>
      <c r="O4901" s="30"/>
      <c r="P4901" s="39" t="str">
        <f t="shared" si="767"/>
        <v/>
      </c>
      <c r="Q4901" s="40" t="str">
        <f>IF(OR(T4901=0,RIGHT(T4901,1)=$W$1),"",COUNTIF($T$3:T4901,T4901))</f>
        <v/>
      </c>
      <c r="S4901" s="6">
        <f t="shared" si="768"/>
        <v>0</v>
      </c>
      <c r="T4901" s="36">
        <f t="shared" si="769"/>
        <v>0</v>
      </c>
      <c r="V4901" s="6">
        <f t="shared" si="770"/>
        <v>0</v>
      </c>
      <c r="Y4901" s="8">
        <f t="shared" si="771"/>
        <v>46023</v>
      </c>
    </row>
    <row r="4902" spans="2:25" ht="18.75" x14ac:dyDescent="0.3">
      <c r="B4902" s="6">
        <f t="shared" si="763"/>
        <v>0</v>
      </c>
      <c r="C4902" s="6">
        <f t="shared" si="764"/>
        <v>0</v>
      </c>
      <c r="D4902" s="6" t="str">
        <f t="shared" si="765"/>
        <v/>
      </c>
      <c r="E4902" s="35" t="str">
        <f t="shared" si="762"/>
        <v/>
      </c>
      <c r="F4902" s="31"/>
      <c r="G4902" s="29"/>
      <c r="H4902" s="78" t="str">
        <f t="shared" si="766"/>
        <v/>
      </c>
      <c r="I4902" s="25"/>
      <c r="J4902" s="25"/>
      <c r="K4902" s="26"/>
      <c r="L4902" s="26"/>
      <c r="M4902" s="37"/>
      <c r="N4902" s="27"/>
      <c r="O4902" s="30"/>
      <c r="P4902" s="39" t="str">
        <f t="shared" si="767"/>
        <v/>
      </c>
      <c r="Q4902" s="40" t="str">
        <f>IF(OR(T4902=0,RIGHT(T4902,1)=$W$1),"",COUNTIF($T$3:T4902,T4902))</f>
        <v/>
      </c>
      <c r="S4902" s="6">
        <f t="shared" si="768"/>
        <v>0</v>
      </c>
      <c r="T4902" s="36">
        <f t="shared" si="769"/>
        <v>0</v>
      </c>
      <c r="V4902" s="6">
        <f t="shared" si="770"/>
        <v>0</v>
      </c>
      <c r="Y4902" s="8">
        <f t="shared" si="771"/>
        <v>46023</v>
      </c>
    </row>
    <row r="4903" spans="2:25" ht="18.75" x14ac:dyDescent="0.3">
      <c r="B4903" s="6">
        <f t="shared" si="763"/>
        <v>0</v>
      </c>
      <c r="C4903" s="6">
        <f t="shared" si="764"/>
        <v>0</v>
      </c>
      <c r="D4903" s="6" t="str">
        <f t="shared" si="765"/>
        <v/>
      </c>
      <c r="E4903" s="35" t="str">
        <f t="shared" si="762"/>
        <v/>
      </c>
      <c r="F4903" s="31"/>
      <c r="G4903" s="29"/>
      <c r="H4903" s="78" t="str">
        <f t="shared" si="766"/>
        <v/>
      </c>
      <c r="I4903" s="25"/>
      <c r="J4903" s="25"/>
      <c r="K4903" s="26"/>
      <c r="L4903" s="26"/>
      <c r="M4903" s="37"/>
      <c r="N4903" s="27"/>
      <c r="O4903" s="30"/>
      <c r="P4903" s="39" t="str">
        <f t="shared" si="767"/>
        <v/>
      </c>
      <c r="Q4903" s="40" t="str">
        <f>IF(OR(T4903=0,RIGHT(T4903,1)=$W$1),"",COUNTIF($T$3:T4903,T4903))</f>
        <v/>
      </c>
      <c r="S4903" s="6">
        <f t="shared" si="768"/>
        <v>0</v>
      </c>
      <c r="T4903" s="36">
        <f t="shared" si="769"/>
        <v>0</v>
      </c>
      <c r="V4903" s="6">
        <f t="shared" si="770"/>
        <v>0</v>
      </c>
      <c r="Y4903" s="8">
        <f t="shared" si="771"/>
        <v>46023</v>
      </c>
    </row>
    <row r="4904" spans="2:25" ht="18.75" x14ac:dyDescent="0.3">
      <c r="B4904" s="6">
        <f t="shared" si="763"/>
        <v>0</v>
      </c>
      <c r="C4904" s="6">
        <f t="shared" si="764"/>
        <v>0</v>
      </c>
      <c r="D4904" s="6" t="str">
        <f t="shared" si="765"/>
        <v/>
      </c>
      <c r="E4904" s="35" t="str">
        <f t="shared" si="762"/>
        <v/>
      </c>
      <c r="F4904" s="31"/>
      <c r="G4904" s="29"/>
      <c r="H4904" s="78" t="str">
        <f t="shared" si="766"/>
        <v/>
      </c>
      <c r="I4904" s="25"/>
      <c r="J4904" s="25"/>
      <c r="K4904" s="26"/>
      <c r="L4904" s="26"/>
      <c r="M4904" s="37"/>
      <c r="N4904" s="27"/>
      <c r="O4904" s="30"/>
      <c r="P4904" s="39" t="str">
        <f t="shared" si="767"/>
        <v/>
      </c>
      <c r="Q4904" s="40" t="str">
        <f>IF(OR(T4904=0,RIGHT(T4904,1)=$W$1),"",COUNTIF($T$3:T4904,T4904))</f>
        <v/>
      </c>
      <c r="S4904" s="6">
        <f t="shared" si="768"/>
        <v>0</v>
      </c>
      <c r="T4904" s="36">
        <f t="shared" si="769"/>
        <v>0</v>
      </c>
      <c r="V4904" s="6">
        <f t="shared" si="770"/>
        <v>0</v>
      </c>
      <c r="Y4904" s="8">
        <f t="shared" si="771"/>
        <v>46023</v>
      </c>
    </row>
    <row r="4905" spans="2:25" ht="18.75" x14ac:dyDescent="0.3">
      <c r="B4905" s="6">
        <f t="shared" si="763"/>
        <v>0</v>
      </c>
      <c r="C4905" s="6">
        <f t="shared" si="764"/>
        <v>0</v>
      </c>
      <c r="D4905" s="6" t="str">
        <f t="shared" si="765"/>
        <v/>
      </c>
      <c r="E4905" s="35" t="str">
        <f t="shared" si="762"/>
        <v/>
      </c>
      <c r="F4905" s="31"/>
      <c r="G4905" s="29"/>
      <c r="H4905" s="78" t="str">
        <f t="shared" si="766"/>
        <v/>
      </c>
      <c r="I4905" s="25"/>
      <c r="J4905" s="25"/>
      <c r="K4905" s="26"/>
      <c r="L4905" s="26"/>
      <c r="M4905" s="37"/>
      <c r="N4905" s="27"/>
      <c r="O4905" s="30"/>
      <c r="P4905" s="39" t="str">
        <f t="shared" si="767"/>
        <v/>
      </c>
      <c r="Q4905" s="40" t="str">
        <f>IF(OR(T4905=0,RIGHT(T4905,1)=$W$1),"",COUNTIF($T$3:T4905,T4905))</f>
        <v/>
      </c>
      <c r="S4905" s="6">
        <f t="shared" si="768"/>
        <v>0</v>
      </c>
      <c r="T4905" s="36">
        <f t="shared" si="769"/>
        <v>0</v>
      </c>
      <c r="V4905" s="6">
        <f t="shared" si="770"/>
        <v>0</v>
      </c>
      <c r="Y4905" s="8">
        <f t="shared" si="771"/>
        <v>46023</v>
      </c>
    </row>
    <row r="4906" spans="2:25" ht="18.75" x14ac:dyDescent="0.3">
      <c r="B4906" s="6">
        <f t="shared" si="763"/>
        <v>0</v>
      </c>
      <c r="C4906" s="6">
        <f t="shared" si="764"/>
        <v>0</v>
      </c>
      <c r="D4906" s="6" t="str">
        <f t="shared" si="765"/>
        <v/>
      </c>
      <c r="E4906" s="35" t="str">
        <f t="shared" si="762"/>
        <v/>
      </c>
      <c r="F4906" s="31"/>
      <c r="G4906" s="29"/>
      <c r="H4906" s="78" t="str">
        <f t="shared" si="766"/>
        <v/>
      </c>
      <c r="I4906" s="25"/>
      <c r="J4906" s="25"/>
      <c r="K4906" s="26"/>
      <c r="L4906" s="26"/>
      <c r="M4906" s="37"/>
      <c r="N4906" s="27"/>
      <c r="O4906" s="30"/>
      <c r="P4906" s="39" t="str">
        <f t="shared" si="767"/>
        <v/>
      </c>
      <c r="Q4906" s="40" t="str">
        <f>IF(OR(T4906=0,RIGHT(T4906,1)=$W$1),"",COUNTIF($T$3:T4906,T4906))</f>
        <v/>
      </c>
      <c r="S4906" s="6">
        <f t="shared" si="768"/>
        <v>0</v>
      </c>
      <c r="T4906" s="36">
        <f t="shared" si="769"/>
        <v>0</v>
      </c>
      <c r="V4906" s="6">
        <f t="shared" si="770"/>
        <v>0</v>
      </c>
      <c r="Y4906" s="8">
        <f t="shared" si="771"/>
        <v>46023</v>
      </c>
    </row>
    <row r="4907" spans="2:25" ht="18.75" x14ac:dyDescent="0.3">
      <c r="B4907" s="6">
        <f t="shared" si="763"/>
        <v>0</v>
      </c>
      <c r="C4907" s="6">
        <f t="shared" si="764"/>
        <v>0</v>
      </c>
      <c r="D4907" s="6" t="str">
        <f t="shared" si="765"/>
        <v/>
      </c>
      <c r="E4907" s="35" t="str">
        <f t="shared" si="762"/>
        <v/>
      </c>
      <c r="F4907" s="31"/>
      <c r="G4907" s="29"/>
      <c r="H4907" s="78" t="str">
        <f t="shared" si="766"/>
        <v/>
      </c>
      <c r="I4907" s="25"/>
      <c r="J4907" s="25"/>
      <c r="K4907" s="26"/>
      <c r="L4907" s="26"/>
      <c r="M4907" s="37"/>
      <c r="N4907" s="27"/>
      <c r="O4907" s="30"/>
      <c r="P4907" s="39" t="str">
        <f t="shared" si="767"/>
        <v/>
      </c>
      <c r="Q4907" s="40" t="str">
        <f>IF(OR(T4907=0,RIGHT(T4907,1)=$W$1),"",COUNTIF($T$3:T4907,T4907))</f>
        <v/>
      </c>
      <c r="S4907" s="6">
        <f t="shared" si="768"/>
        <v>0</v>
      </c>
      <c r="T4907" s="36">
        <f t="shared" si="769"/>
        <v>0</v>
      </c>
      <c r="V4907" s="6">
        <f t="shared" si="770"/>
        <v>0</v>
      </c>
      <c r="Y4907" s="8">
        <f t="shared" si="771"/>
        <v>46023</v>
      </c>
    </row>
    <row r="4908" spans="2:25" ht="18.75" x14ac:dyDescent="0.3">
      <c r="B4908" s="6">
        <f t="shared" si="763"/>
        <v>0</v>
      </c>
      <c r="C4908" s="6">
        <f t="shared" si="764"/>
        <v>0</v>
      </c>
      <c r="D4908" s="6" t="str">
        <f t="shared" si="765"/>
        <v/>
      </c>
      <c r="E4908" s="35" t="str">
        <f t="shared" si="762"/>
        <v/>
      </c>
      <c r="F4908" s="31"/>
      <c r="G4908" s="29"/>
      <c r="H4908" s="78" t="str">
        <f t="shared" si="766"/>
        <v/>
      </c>
      <c r="I4908" s="25"/>
      <c r="J4908" s="25"/>
      <c r="K4908" s="26"/>
      <c r="L4908" s="26"/>
      <c r="M4908" s="37"/>
      <c r="N4908" s="27"/>
      <c r="O4908" s="30"/>
      <c r="P4908" s="39" t="str">
        <f t="shared" si="767"/>
        <v/>
      </c>
      <c r="Q4908" s="40" t="str">
        <f>IF(OR(T4908=0,RIGHT(T4908,1)=$W$1),"",COUNTIF($T$3:T4908,T4908))</f>
        <v/>
      </c>
      <c r="S4908" s="6">
        <f t="shared" si="768"/>
        <v>0</v>
      </c>
      <c r="T4908" s="36">
        <f t="shared" si="769"/>
        <v>0</v>
      </c>
      <c r="V4908" s="6">
        <f t="shared" si="770"/>
        <v>0</v>
      </c>
      <c r="Y4908" s="8">
        <f t="shared" si="771"/>
        <v>46023</v>
      </c>
    </row>
    <row r="4909" spans="2:25" ht="18.75" x14ac:dyDescent="0.3">
      <c r="B4909" s="6">
        <f t="shared" si="763"/>
        <v>0</v>
      </c>
      <c r="C4909" s="6">
        <f t="shared" si="764"/>
        <v>0</v>
      </c>
      <c r="D4909" s="6" t="str">
        <f t="shared" si="765"/>
        <v/>
      </c>
      <c r="E4909" s="35" t="str">
        <f t="shared" si="762"/>
        <v/>
      </c>
      <c r="F4909" s="31"/>
      <c r="G4909" s="29"/>
      <c r="H4909" s="78" t="str">
        <f t="shared" si="766"/>
        <v/>
      </c>
      <c r="I4909" s="25"/>
      <c r="J4909" s="25"/>
      <c r="K4909" s="26"/>
      <c r="L4909" s="26"/>
      <c r="M4909" s="37"/>
      <c r="N4909" s="27"/>
      <c r="O4909" s="30"/>
      <c r="P4909" s="39" t="str">
        <f t="shared" si="767"/>
        <v/>
      </c>
      <c r="Q4909" s="40" t="str">
        <f>IF(OR(T4909=0,RIGHT(T4909,1)=$W$1),"",COUNTIF($T$3:T4909,T4909))</f>
        <v/>
      </c>
      <c r="S4909" s="6">
        <f t="shared" si="768"/>
        <v>0</v>
      </c>
      <c r="T4909" s="36">
        <f t="shared" si="769"/>
        <v>0</v>
      </c>
      <c r="V4909" s="6">
        <f t="shared" si="770"/>
        <v>0</v>
      </c>
      <c r="Y4909" s="8">
        <f t="shared" si="771"/>
        <v>46023</v>
      </c>
    </row>
    <row r="4910" spans="2:25" ht="18.75" x14ac:dyDescent="0.3">
      <c r="B4910" s="6">
        <f t="shared" si="763"/>
        <v>0</v>
      </c>
      <c r="C4910" s="6">
        <f t="shared" si="764"/>
        <v>0</v>
      </c>
      <c r="D4910" s="6" t="str">
        <f t="shared" si="765"/>
        <v/>
      </c>
      <c r="E4910" s="35" t="str">
        <f t="shared" si="762"/>
        <v/>
      </c>
      <c r="F4910" s="31"/>
      <c r="G4910" s="29"/>
      <c r="H4910" s="78" t="str">
        <f t="shared" si="766"/>
        <v/>
      </c>
      <c r="I4910" s="25"/>
      <c r="J4910" s="25"/>
      <c r="K4910" s="26"/>
      <c r="L4910" s="26"/>
      <c r="M4910" s="37"/>
      <c r="N4910" s="27"/>
      <c r="O4910" s="30"/>
      <c r="P4910" s="39" t="str">
        <f t="shared" si="767"/>
        <v/>
      </c>
      <c r="Q4910" s="40" t="str">
        <f>IF(OR(T4910=0,RIGHT(T4910,1)=$W$1),"",COUNTIF($T$3:T4910,T4910))</f>
        <v/>
      </c>
      <c r="S4910" s="6">
        <f t="shared" si="768"/>
        <v>0</v>
      </c>
      <c r="T4910" s="36">
        <f t="shared" si="769"/>
        <v>0</v>
      </c>
      <c r="V4910" s="6">
        <f t="shared" si="770"/>
        <v>0</v>
      </c>
      <c r="Y4910" s="8">
        <f t="shared" si="771"/>
        <v>46023</v>
      </c>
    </row>
    <row r="4911" spans="2:25" ht="18.75" x14ac:dyDescent="0.3">
      <c r="B4911" s="6">
        <f t="shared" si="763"/>
        <v>0</v>
      </c>
      <c r="C4911" s="6">
        <f t="shared" si="764"/>
        <v>0</v>
      </c>
      <c r="D4911" s="6" t="str">
        <f t="shared" si="765"/>
        <v/>
      </c>
      <c r="E4911" s="35" t="str">
        <f t="shared" si="762"/>
        <v/>
      </c>
      <c r="F4911" s="31"/>
      <c r="G4911" s="29"/>
      <c r="H4911" s="78" t="str">
        <f t="shared" si="766"/>
        <v/>
      </c>
      <c r="I4911" s="25"/>
      <c r="J4911" s="25"/>
      <c r="K4911" s="26"/>
      <c r="L4911" s="26"/>
      <c r="M4911" s="37"/>
      <c r="N4911" s="27"/>
      <c r="O4911" s="30"/>
      <c r="P4911" s="39" t="str">
        <f t="shared" si="767"/>
        <v/>
      </c>
      <c r="Q4911" s="40" t="str">
        <f>IF(OR(T4911=0,RIGHT(T4911,1)=$W$1),"",COUNTIF($T$3:T4911,T4911))</f>
        <v/>
      </c>
      <c r="S4911" s="6">
        <f t="shared" si="768"/>
        <v>0</v>
      </c>
      <c r="T4911" s="36">
        <f t="shared" si="769"/>
        <v>0</v>
      </c>
      <c r="V4911" s="6">
        <f t="shared" si="770"/>
        <v>0</v>
      </c>
      <c r="Y4911" s="8">
        <f t="shared" si="771"/>
        <v>46023</v>
      </c>
    </row>
    <row r="4912" spans="2:25" ht="18.75" x14ac:dyDescent="0.3">
      <c r="B4912" s="6">
        <f t="shared" si="763"/>
        <v>0</v>
      </c>
      <c r="C4912" s="6">
        <f t="shared" si="764"/>
        <v>0</v>
      </c>
      <c r="D4912" s="6" t="str">
        <f t="shared" si="765"/>
        <v/>
      </c>
      <c r="E4912" s="35" t="str">
        <f t="shared" si="762"/>
        <v/>
      </c>
      <c r="F4912" s="31"/>
      <c r="G4912" s="29"/>
      <c r="H4912" s="78" t="str">
        <f t="shared" si="766"/>
        <v/>
      </c>
      <c r="I4912" s="25"/>
      <c r="J4912" s="25"/>
      <c r="K4912" s="26"/>
      <c r="L4912" s="26"/>
      <c r="M4912" s="37"/>
      <c r="N4912" s="27"/>
      <c r="O4912" s="30"/>
      <c r="P4912" s="39" t="str">
        <f t="shared" si="767"/>
        <v/>
      </c>
      <c r="Q4912" s="40" t="str">
        <f>IF(OR(T4912=0,RIGHT(T4912,1)=$W$1),"",COUNTIF($T$3:T4912,T4912))</f>
        <v/>
      </c>
      <c r="S4912" s="6">
        <f t="shared" si="768"/>
        <v>0</v>
      </c>
      <c r="T4912" s="36">
        <f t="shared" si="769"/>
        <v>0</v>
      </c>
      <c r="V4912" s="6">
        <f t="shared" si="770"/>
        <v>0</v>
      </c>
      <c r="Y4912" s="8">
        <f t="shared" si="771"/>
        <v>46023</v>
      </c>
    </row>
    <row r="4913" spans="2:25" ht="18.75" x14ac:dyDescent="0.3">
      <c r="B4913" s="6">
        <f t="shared" si="763"/>
        <v>0</v>
      </c>
      <c r="C4913" s="6">
        <f t="shared" si="764"/>
        <v>0</v>
      </c>
      <c r="D4913" s="6" t="str">
        <f t="shared" si="765"/>
        <v/>
      </c>
      <c r="E4913" s="35" t="str">
        <f t="shared" si="762"/>
        <v/>
      </c>
      <c r="F4913" s="31"/>
      <c r="G4913" s="29"/>
      <c r="H4913" s="78" t="str">
        <f t="shared" si="766"/>
        <v/>
      </c>
      <c r="I4913" s="25"/>
      <c r="J4913" s="25"/>
      <c r="K4913" s="26"/>
      <c r="L4913" s="26"/>
      <c r="M4913" s="37"/>
      <c r="N4913" s="27"/>
      <c r="O4913" s="30"/>
      <c r="P4913" s="39" t="str">
        <f t="shared" si="767"/>
        <v/>
      </c>
      <c r="Q4913" s="40" t="str">
        <f>IF(OR(T4913=0,RIGHT(T4913,1)=$W$1),"",COUNTIF($T$3:T4913,T4913))</f>
        <v/>
      </c>
      <c r="S4913" s="6">
        <f t="shared" si="768"/>
        <v>0</v>
      </c>
      <c r="T4913" s="36">
        <f t="shared" si="769"/>
        <v>0</v>
      </c>
      <c r="V4913" s="6">
        <f t="shared" si="770"/>
        <v>0</v>
      </c>
      <c r="Y4913" s="8">
        <f t="shared" si="771"/>
        <v>46023</v>
      </c>
    </row>
    <row r="4914" spans="2:25" ht="18.75" x14ac:dyDescent="0.3">
      <c r="B4914" s="6">
        <f t="shared" si="763"/>
        <v>0</v>
      </c>
      <c r="C4914" s="6">
        <f t="shared" si="764"/>
        <v>0</v>
      </c>
      <c r="D4914" s="6" t="str">
        <f t="shared" si="765"/>
        <v/>
      </c>
      <c r="E4914" s="35" t="str">
        <f t="shared" si="762"/>
        <v/>
      </c>
      <c r="F4914" s="31"/>
      <c r="G4914" s="29"/>
      <c r="H4914" s="78" t="str">
        <f t="shared" si="766"/>
        <v/>
      </c>
      <c r="I4914" s="25"/>
      <c r="J4914" s="25"/>
      <c r="K4914" s="26"/>
      <c r="L4914" s="26"/>
      <c r="M4914" s="37"/>
      <c r="N4914" s="27"/>
      <c r="O4914" s="30"/>
      <c r="P4914" s="39" t="str">
        <f t="shared" si="767"/>
        <v/>
      </c>
      <c r="Q4914" s="40" t="str">
        <f>IF(OR(T4914=0,RIGHT(T4914,1)=$W$1),"",COUNTIF($T$3:T4914,T4914))</f>
        <v/>
      </c>
      <c r="S4914" s="6">
        <f t="shared" si="768"/>
        <v>0</v>
      </c>
      <c r="T4914" s="36">
        <f t="shared" si="769"/>
        <v>0</v>
      </c>
      <c r="V4914" s="6">
        <f t="shared" si="770"/>
        <v>0</v>
      </c>
      <c r="Y4914" s="8">
        <f t="shared" si="771"/>
        <v>46023</v>
      </c>
    </row>
    <row r="4915" spans="2:25" ht="18.75" x14ac:dyDescent="0.3">
      <c r="B4915" s="6">
        <f t="shared" si="763"/>
        <v>0</v>
      </c>
      <c r="C4915" s="6">
        <f t="shared" si="764"/>
        <v>0</v>
      </c>
      <c r="D4915" s="6" t="str">
        <f t="shared" si="765"/>
        <v/>
      </c>
      <c r="E4915" s="35" t="str">
        <f t="shared" si="762"/>
        <v/>
      </c>
      <c r="F4915" s="31"/>
      <c r="G4915" s="29"/>
      <c r="H4915" s="78" t="str">
        <f t="shared" si="766"/>
        <v/>
      </c>
      <c r="I4915" s="25"/>
      <c r="J4915" s="25"/>
      <c r="K4915" s="26"/>
      <c r="L4915" s="26"/>
      <c r="M4915" s="37"/>
      <c r="N4915" s="27"/>
      <c r="O4915" s="30"/>
      <c r="P4915" s="39" t="str">
        <f t="shared" si="767"/>
        <v/>
      </c>
      <c r="Q4915" s="40" t="str">
        <f>IF(OR(T4915=0,RIGHT(T4915,1)=$W$1),"",COUNTIF($T$3:T4915,T4915))</f>
        <v/>
      </c>
      <c r="S4915" s="6">
        <f t="shared" si="768"/>
        <v>0</v>
      </c>
      <c r="T4915" s="36">
        <f t="shared" si="769"/>
        <v>0</v>
      </c>
      <c r="V4915" s="6">
        <f t="shared" si="770"/>
        <v>0</v>
      </c>
      <c r="Y4915" s="8">
        <f t="shared" si="771"/>
        <v>46023</v>
      </c>
    </row>
    <row r="4916" spans="2:25" ht="18.75" x14ac:dyDescent="0.3">
      <c r="B4916" s="6">
        <f t="shared" si="763"/>
        <v>0</v>
      </c>
      <c r="C4916" s="6">
        <f t="shared" si="764"/>
        <v>0</v>
      </c>
      <c r="D4916" s="6" t="str">
        <f t="shared" si="765"/>
        <v/>
      </c>
      <c r="E4916" s="35" t="str">
        <f t="shared" si="762"/>
        <v/>
      </c>
      <c r="F4916" s="31"/>
      <c r="G4916" s="29"/>
      <c r="H4916" s="78" t="str">
        <f t="shared" si="766"/>
        <v/>
      </c>
      <c r="I4916" s="25"/>
      <c r="J4916" s="25"/>
      <c r="K4916" s="26"/>
      <c r="L4916" s="26"/>
      <c r="M4916" s="37"/>
      <c r="N4916" s="27"/>
      <c r="O4916" s="30"/>
      <c r="P4916" s="39" t="str">
        <f t="shared" si="767"/>
        <v/>
      </c>
      <c r="Q4916" s="40" t="str">
        <f>IF(OR(T4916=0,RIGHT(T4916,1)=$W$1),"",COUNTIF($T$3:T4916,T4916))</f>
        <v/>
      </c>
      <c r="S4916" s="6">
        <f t="shared" si="768"/>
        <v>0</v>
      </c>
      <c r="T4916" s="36">
        <f t="shared" si="769"/>
        <v>0</v>
      </c>
      <c r="V4916" s="6">
        <f t="shared" si="770"/>
        <v>0</v>
      </c>
      <c r="Y4916" s="8">
        <f t="shared" si="771"/>
        <v>46023</v>
      </c>
    </row>
    <row r="4917" spans="2:25" ht="18.75" x14ac:dyDescent="0.3">
      <c r="B4917" s="6">
        <f t="shared" si="763"/>
        <v>0</v>
      </c>
      <c r="C4917" s="6">
        <f t="shared" si="764"/>
        <v>0</v>
      </c>
      <c r="D4917" s="6" t="str">
        <f t="shared" si="765"/>
        <v/>
      </c>
      <c r="E4917" s="35" t="str">
        <f t="shared" si="762"/>
        <v/>
      </c>
      <c r="F4917" s="31"/>
      <c r="G4917" s="29"/>
      <c r="H4917" s="78" t="str">
        <f t="shared" si="766"/>
        <v/>
      </c>
      <c r="I4917" s="25"/>
      <c r="J4917" s="25"/>
      <c r="K4917" s="26"/>
      <c r="L4917" s="26"/>
      <c r="M4917" s="37"/>
      <c r="N4917" s="27"/>
      <c r="O4917" s="30"/>
      <c r="P4917" s="39" t="str">
        <f t="shared" si="767"/>
        <v/>
      </c>
      <c r="Q4917" s="40" t="str">
        <f>IF(OR(T4917=0,RIGHT(T4917,1)=$W$1),"",COUNTIF($T$3:T4917,T4917))</f>
        <v/>
      </c>
      <c r="S4917" s="6">
        <f t="shared" si="768"/>
        <v>0</v>
      </c>
      <c r="T4917" s="36">
        <f t="shared" si="769"/>
        <v>0</v>
      </c>
      <c r="V4917" s="6">
        <f t="shared" si="770"/>
        <v>0</v>
      </c>
      <c r="Y4917" s="8">
        <f t="shared" si="771"/>
        <v>46023</v>
      </c>
    </row>
    <row r="4918" spans="2:25" ht="18.75" x14ac:dyDescent="0.3">
      <c r="B4918" s="6">
        <f t="shared" si="763"/>
        <v>0</v>
      </c>
      <c r="C4918" s="6">
        <f t="shared" si="764"/>
        <v>0</v>
      </c>
      <c r="D4918" s="6" t="str">
        <f t="shared" si="765"/>
        <v/>
      </c>
      <c r="E4918" s="35" t="str">
        <f t="shared" si="762"/>
        <v/>
      </c>
      <c r="F4918" s="31"/>
      <c r="G4918" s="29"/>
      <c r="H4918" s="78" t="str">
        <f t="shared" si="766"/>
        <v/>
      </c>
      <c r="I4918" s="25"/>
      <c r="J4918" s="25"/>
      <c r="K4918" s="26"/>
      <c r="L4918" s="26"/>
      <c r="M4918" s="37"/>
      <c r="N4918" s="27"/>
      <c r="O4918" s="30"/>
      <c r="P4918" s="39" t="str">
        <f t="shared" si="767"/>
        <v/>
      </c>
      <c r="Q4918" s="40" t="str">
        <f>IF(OR(T4918=0,RIGHT(T4918,1)=$W$1),"",COUNTIF($T$3:T4918,T4918))</f>
        <v/>
      </c>
      <c r="S4918" s="6">
        <f t="shared" si="768"/>
        <v>0</v>
      </c>
      <c r="T4918" s="36">
        <f t="shared" si="769"/>
        <v>0</v>
      </c>
      <c r="V4918" s="6">
        <f t="shared" si="770"/>
        <v>0</v>
      </c>
      <c r="Y4918" s="8">
        <f t="shared" si="771"/>
        <v>46023</v>
      </c>
    </row>
    <row r="4919" spans="2:25" ht="18.75" x14ac:dyDescent="0.3">
      <c r="B4919" s="6">
        <f t="shared" si="763"/>
        <v>0</v>
      </c>
      <c r="C4919" s="6">
        <f t="shared" si="764"/>
        <v>0</v>
      </c>
      <c r="D4919" s="6" t="str">
        <f t="shared" si="765"/>
        <v/>
      </c>
      <c r="E4919" s="35" t="str">
        <f t="shared" si="762"/>
        <v/>
      </c>
      <c r="F4919" s="31"/>
      <c r="G4919" s="29"/>
      <c r="H4919" s="78" t="str">
        <f t="shared" si="766"/>
        <v/>
      </c>
      <c r="I4919" s="25"/>
      <c r="J4919" s="25"/>
      <c r="K4919" s="26"/>
      <c r="L4919" s="26"/>
      <c r="M4919" s="37"/>
      <c r="N4919" s="27"/>
      <c r="O4919" s="30"/>
      <c r="P4919" s="39" t="str">
        <f t="shared" si="767"/>
        <v/>
      </c>
      <c r="Q4919" s="40" t="str">
        <f>IF(OR(T4919=0,RIGHT(T4919,1)=$W$1),"",COUNTIF($T$3:T4919,T4919))</f>
        <v/>
      </c>
      <c r="S4919" s="6">
        <f t="shared" si="768"/>
        <v>0</v>
      </c>
      <c r="T4919" s="36">
        <f t="shared" si="769"/>
        <v>0</v>
      </c>
      <c r="V4919" s="6">
        <f t="shared" si="770"/>
        <v>0</v>
      </c>
      <c r="Y4919" s="8">
        <f t="shared" si="771"/>
        <v>46023</v>
      </c>
    </row>
    <row r="4920" spans="2:25" ht="18.75" x14ac:dyDescent="0.3">
      <c r="B4920" s="6">
        <f t="shared" si="763"/>
        <v>0</v>
      </c>
      <c r="C4920" s="6">
        <f t="shared" si="764"/>
        <v>0</v>
      </c>
      <c r="D4920" s="6" t="str">
        <f t="shared" si="765"/>
        <v/>
      </c>
      <c r="E4920" s="35" t="str">
        <f t="shared" si="762"/>
        <v/>
      </c>
      <c r="F4920" s="31"/>
      <c r="G4920" s="29"/>
      <c r="H4920" s="78" t="str">
        <f t="shared" si="766"/>
        <v/>
      </c>
      <c r="I4920" s="25"/>
      <c r="J4920" s="25"/>
      <c r="K4920" s="26"/>
      <c r="L4920" s="26"/>
      <c r="M4920" s="37"/>
      <c r="N4920" s="27"/>
      <c r="O4920" s="30"/>
      <c r="P4920" s="39" t="str">
        <f t="shared" si="767"/>
        <v/>
      </c>
      <c r="Q4920" s="40" t="str">
        <f>IF(OR(T4920=0,RIGHT(T4920,1)=$W$1),"",COUNTIF($T$3:T4920,T4920))</f>
        <v/>
      </c>
      <c r="S4920" s="6">
        <f t="shared" si="768"/>
        <v>0</v>
      </c>
      <c r="T4920" s="36">
        <f t="shared" si="769"/>
        <v>0</v>
      </c>
      <c r="V4920" s="6">
        <f t="shared" si="770"/>
        <v>0</v>
      </c>
      <c r="Y4920" s="8">
        <f t="shared" si="771"/>
        <v>46023</v>
      </c>
    </row>
    <row r="4921" spans="2:25" ht="18.75" x14ac:dyDescent="0.3">
      <c r="B4921" s="6">
        <f t="shared" si="763"/>
        <v>0</v>
      </c>
      <c r="C4921" s="6">
        <f t="shared" si="764"/>
        <v>0</v>
      </c>
      <c r="D4921" s="6" t="str">
        <f t="shared" si="765"/>
        <v/>
      </c>
      <c r="E4921" s="35" t="str">
        <f t="shared" si="762"/>
        <v/>
      </c>
      <c r="F4921" s="31"/>
      <c r="G4921" s="29"/>
      <c r="H4921" s="78" t="str">
        <f t="shared" si="766"/>
        <v/>
      </c>
      <c r="I4921" s="25"/>
      <c r="J4921" s="25"/>
      <c r="K4921" s="26"/>
      <c r="L4921" s="26"/>
      <c r="M4921" s="37"/>
      <c r="N4921" s="27"/>
      <c r="O4921" s="30"/>
      <c r="P4921" s="39" t="str">
        <f t="shared" si="767"/>
        <v/>
      </c>
      <c r="Q4921" s="40" t="str">
        <f>IF(OR(T4921=0,RIGHT(T4921,1)=$W$1),"",COUNTIF($T$3:T4921,T4921))</f>
        <v/>
      </c>
      <c r="S4921" s="6">
        <f t="shared" si="768"/>
        <v>0</v>
      </c>
      <c r="T4921" s="36">
        <f t="shared" si="769"/>
        <v>0</v>
      </c>
      <c r="V4921" s="6">
        <f t="shared" si="770"/>
        <v>0</v>
      </c>
      <c r="Y4921" s="8">
        <f t="shared" si="771"/>
        <v>46023</v>
      </c>
    </row>
    <row r="4922" spans="2:25" ht="18.75" x14ac:dyDescent="0.3">
      <c r="B4922" s="6">
        <f t="shared" si="763"/>
        <v>0</v>
      </c>
      <c r="C4922" s="6">
        <f t="shared" si="764"/>
        <v>0</v>
      </c>
      <c r="D4922" s="6" t="str">
        <f t="shared" si="765"/>
        <v/>
      </c>
      <c r="E4922" s="35" t="str">
        <f t="shared" si="762"/>
        <v/>
      </c>
      <c r="F4922" s="31"/>
      <c r="G4922" s="29"/>
      <c r="H4922" s="78" t="str">
        <f t="shared" si="766"/>
        <v/>
      </c>
      <c r="I4922" s="25"/>
      <c r="J4922" s="25"/>
      <c r="K4922" s="26"/>
      <c r="L4922" s="26"/>
      <c r="M4922" s="37"/>
      <c r="N4922" s="27"/>
      <c r="O4922" s="30"/>
      <c r="P4922" s="39" t="str">
        <f t="shared" si="767"/>
        <v/>
      </c>
      <c r="Q4922" s="40" t="str">
        <f>IF(OR(T4922=0,RIGHT(T4922,1)=$W$1),"",COUNTIF($T$3:T4922,T4922))</f>
        <v/>
      </c>
      <c r="S4922" s="6">
        <f t="shared" si="768"/>
        <v>0</v>
      </c>
      <c r="T4922" s="36">
        <f t="shared" si="769"/>
        <v>0</v>
      </c>
      <c r="V4922" s="6">
        <f t="shared" si="770"/>
        <v>0</v>
      </c>
      <c r="Y4922" s="8">
        <f t="shared" si="771"/>
        <v>46023</v>
      </c>
    </row>
    <row r="4923" spans="2:25" ht="18.75" x14ac:dyDescent="0.3">
      <c r="B4923" s="6">
        <f t="shared" si="763"/>
        <v>0</v>
      </c>
      <c r="C4923" s="6">
        <f t="shared" si="764"/>
        <v>0</v>
      </c>
      <c r="D4923" s="6" t="str">
        <f t="shared" si="765"/>
        <v/>
      </c>
      <c r="E4923" s="35" t="str">
        <f t="shared" si="762"/>
        <v/>
      </c>
      <c r="F4923" s="31"/>
      <c r="G4923" s="29"/>
      <c r="H4923" s="78" t="str">
        <f t="shared" si="766"/>
        <v/>
      </c>
      <c r="I4923" s="25"/>
      <c r="J4923" s="25"/>
      <c r="K4923" s="26"/>
      <c r="L4923" s="26"/>
      <c r="M4923" s="37"/>
      <c r="N4923" s="27"/>
      <c r="O4923" s="30"/>
      <c r="P4923" s="39" t="str">
        <f t="shared" si="767"/>
        <v/>
      </c>
      <c r="Q4923" s="40" t="str">
        <f>IF(OR(T4923=0,RIGHT(T4923,1)=$W$1),"",COUNTIF($T$3:T4923,T4923))</f>
        <v/>
      </c>
      <c r="S4923" s="6">
        <f t="shared" si="768"/>
        <v>0</v>
      </c>
      <c r="T4923" s="36">
        <f t="shared" si="769"/>
        <v>0</v>
      </c>
      <c r="V4923" s="6">
        <f t="shared" si="770"/>
        <v>0</v>
      </c>
      <c r="Y4923" s="8">
        <f t="shared" si="771"/>
        <v>46023</v>
      </c>
    </row>
    <row r="4924" spans="2:25" ht="18.75" x14ac:dyDescent="0.3">
      <c r="B4924" s="6">
        <f t="shared" si="763"/>
        <v>0</v>
      </c>
      <c r="C4924" s="6">
        <f t="shared" si="764"/>
        <v>0</v>
      </c>
      <c r="D4924" s="6" t="str">
        <f t="shared" si="765"/>
        <v/>
      </c>
      <c r="E4924" s="35" t="str">
        <f t="shared" si="762"/>
        <v/>
      </c>
      <c r="F4924" s="31"/>
      <c r="G4924" s="29"/>
      <c r="H4924" s="78" t="str">
        <f t="shared" si="766"/>
        <v/>
      </c>
      <c r="I4924" s="25"/>
      <c r="J4924" s="25"/>
      <c r="K4924" s="26"/>
      <c r="L4924" s="26"/>
      <c r="M4924" s="37"/>
      <c r="N4924" s="27"/>
      <c r="O4924" s="30"/>
      <c r="P4924" s="39" t="str">
        <f t="shared" si="767"/>
        <v/>
      </c>
      <c r="Q4924" s="40" t="str">
        <f>IF(OR(T4924=0,RIGHT(T4924,1)=$W$1),"",COUNTIF($T$3:T4924,T4924))</f>
        <v/>
      </c>
      <c r="S4924" s="6">
        <f t="shared" si="768"/>
        <v>0</v>
      </c>
      <c r="T4924" s="36">
        <f t="shared" si="769"/>
        <v>0</v>
      </c>
      <c r="V4924" s="6">
        <f t="shared" si="770"/>
        <v>0</v>
      </c>
      <c r="Y4924" s="8">
        <f t="shared" si="771"/>
        <v>46023</v>
      </c>
    </row>
    <row r="4925" spans="2:25" ht="18.75" x14ac:dyDescent="0.3">
      <c r="B4925" s="6">
        <f t="shared" si="763"/>
        <v>0</v>
      </c>
      <c r="C4925" s="6">
        <f t="shared" si="764"/>
        <v>0</v>
      </c>
      <c r="D4925" s="6" t="str">
        <f t="shared" si="765"/>
        <v/>
      </c>
      <c r="E4925" s="35" t="str">
        <f t="shared" si="762"/>
        <v/>
      </c>
      <c r="F4925" s="31"/>
      <c r="G4925" s="29"/>
      <c r="H4925" s="78" t="str">
        <f t="shared" si="766"/>
        <v/>
      </c>
      <c r="I4925" s="25"/>
      <c r="J4925" s="25"/>
      <c r="K4925" s="26"/>
      <c r="L4925" s="26"/>
      <c r="M4925" s="37"/>
      <c r="N4925" s="27"/>
      <c r="O4925" s="30"/>
      <c r="P4925" s="39" t="str">
        <f t="shared" si="767"/>
        <v/>
      </c>
      <c r="Q4925" s="40" t="str">
        <f>IF(OR(T4925=0,RIGHT(T4925,1)=$W$1),"",COUNTIF($T$3:T4925,T4925))</f>
        <v/>
      </c>
      <c r="S4925" s="6">
        <f t="shared" si="768"/>
        <v>0</v>
      </c>
      <c r="T4925" s="36">
        <f t="shared" si="769"/>
        <v>0</v>
      </c>
      <c r="V4925" s="6">
        <f t="shared" si="770"/>
        <v>0</v>
      </c>
      <c r="Y4925" s="8">
        <f t="shared" si="771"/>
        <v>46023</v>
      </c>
    </row>
    <row r="4926" spans="2:25" ht="18.75" x14ac:dyDescent="0.3">
      <c r="B4926" s="6">
        <f t="shared" si="763"/>
        <v>0</v>
      </c>
      <c r="C4926" s="6">
        <f t="shared" si="764"/>
        <v>0</v>
      </c>
      <c r="D4926" s="6" t="str">
        <f t="shared" si="765"/>
        <v/>
      </c>
      <c r="E4926" s="35" t="str">
        <f t="shared" si="762"/>
        <v/>
      </c>
      <c r="F4926" s="31"/>
      <c r="G4926" s="29"/>
      <c r="H4926" s="78" t="str">
        <f t="shared" si="766"/>
        <v/>
      </c>
      <c r="I4926" s="25"/>
      <c r="J4926" s="25"/>
      <c r="K4926" s="26"/>
      <c r="L4926" s="26"/>
      <c r="M4926" s="37"/>
      <c r="N4926" s="27"/>
      <c r="O4926" s="30"/>
      <c r="P4926" s="39" t="str">
        <f t="shared" si="767"/>
        <v/>
      </c>
      <c r="Q4926" s="40" t="str">
        <f>IF(OR(T4926=0,RIGHT(T4926,1)=$W$1),"",COUNTIF($T$3:T4926,T4926))</f>
        <v/>
      </c>
      <c r="S4926" s="6">
        <f t="shared" si="768"/>
        <v>0</v>
      </c>
      <c r="T4926" s="36">
        <f t="shared" si="769"/>
        <v>0</v>
      </c>
      <c r="V4926" s="6">
        <f t="shared" si="770"/>
        <v>0</v>
      </c>
      <c r="Y4926" s="8">
        <f t="shared" si="771"/>
        <v>46023</v>
      </c>
    </row>
    <row r="4927" spans="2:25" ht="18.75" x14ac:dyDescent="0.3">
      <c r="B4927" s="6">
        <f t="shared" si="763"/>
        <v>0</v>
      </c>
      <c r="C4927" s="6">
        <f t="shared" si="764"/>
        <v>0</v>
      </c>
      <c r="D4927" s="6" t="str">
        <f t="shared" si="765"/>
        <v/>
      </c>
      <c r="E4927" s="35" t="str">
        <f t="shared" si="762"/>
        <v/>
      </c>
      <c r="F4927" s="31"/>
      <c r="G4927" s="29"/>
      <c r="H4927" s="78" t="str">
        <f t="shared" si="766"/>
        <v/>
      </c>
      <c r="I4927" s="25"/>
      <c r="J4927" s="25"/>
      <c r="K4927" s="26"/>
      <c r="L4927" s="26"/>
      <c r="M4927" s="37"/>
      <c r="N4927" s="27"/>
      <c r="O4927" s="30"/>
      <c r="P4927" s="39" t="str">
        <f t="shared" si="767"/>
        <v/>
      </c>
      <c r="Q4927" s="40" t="str">
        <f>IF(OR(T4927=0,RIGHT(T4927,1)=$W$1),"",COUNTIF($T$3:T4927,T4927))</f>
        <v/>
      </c>
      <c r="S4927" s="6">
        <f t="shared" si="768"/>
        <v>0</v>
      </c>
      <c r="T4927" s="36">
        <f t="shared" si="769"/>
        <v>0</v>
      </c>
      <c r="V4927" s="6">
        <f t="shared" si="770"/>
        <v>0</v>
      </c>
      <c r="Y4927" s="8">
        <f t="shared" si="771"/>
        <v>46023</v>
      </c>
    </row>
    <row r="4928" spans="2:25" ht="18.75" x14ac:dyDescent="0.3">
      <c r="B4928" s="6">
        <f t="shared" si="763"/>
        <v>0</v>
      </c>
      <c r="C4928" s="6">
        <f t="shared" si="764"/>
        <v>0</v>
      </c>
      <c r="D4928" s="6" t="str">
        <f t="shared" si="765"/>
        <v/>
      </c>
      <c r="E4928" s="35" t="str">
        <f t="shared" si="762"/>
        <v/>
      </c>
      <c r="F4928" s="31"/>
      <c r="G4928" s="29"/>
      <c r="H4928" s="78" t="str">
        <f t="shared" si="766"/>
        <v/>
      </c>
      <c r="I4928" s="25"/>
      <c r="J4928" s="25"/>
      <c r="K4928" s="26"/>
      <c r="L4928" s="26"/>
      <c r="M4928" s="37"/>
      <c r="N4928" s="27"/>
      <c r="O4928" s="30"/>
      <c r="P4928" s="39" t="str">
        <f t="shared" si="767"/>
        <v/>
      </c>
      <c r="Q4928" s="40" t="str">
        <f>IF(OR(T4928=0,RIGHT(T4928,1)=$W$1),"",COUNTIF($T$3:T4928,T4928))</f>
        <v/>
      </c>
      <c r="S4928" s="6">
        <f t="shared" si="768"/>
        <v>0</v>
      </c>
      <c r="T4928" s="36">
        <f t="shared" si="769"/>
        <v>0</v>
      </c>
      <c r="V4928" s="6">
        <f t="shared" si="770"/>
        <v>0</v>
      </c>
      <c r="Y4928" s="8">
        <f t="shared" si="771"/>
        <v>46023</v>
      </c>
    </row>
    <row r="4929" spans="2:25" ht="18.75" x14ac:dyDescent="0.3">
      <c r="B4929" s="6">
        <f t="shared" si="763"/>
        <v>0</v>
      </c>
      <c r="C4929" s="6">
        <f t="shared" si="764"/>
        <v>0</v>
      </c>
      <c r="D4929" s="6" t="str">
        <f t="shared" si="765"/>
        <v/>
      </c>
      <c r="E4929" s="35" t="str">
        <f t="shared" si="762"/>
        <v/>
      </c>
      <c r="F4929" s="31"/>
      <c r="G4929" s="29"/>
      <c r="H4929" s="78" t="str">
        <f t="shared" si="766"/>
        <v/>
      </c>
      <c r="I4929" s="25"/>
      <c r="J4929" s="25"/>
      <c r="K4929" s="26"/>
      <c r="L4929" s="26"/>
      <c r="M4929" s="37"/>
      <c r="N4929" s="27"/>
      <c r="O4929" s="30"/>
      <c r="P4929" s="39" t="str">
        <f t="shared" si="767"/>
        <v/>
      </c>
      <c r="Q4929" s="40" t="str">
        <f>IF(OR(T4929=0,RIGHT(T4929,1)=$W$1),"",COUNTIF($T$3:T4929,T4929))</f>
        <v/>
      </c>
      <c r="S4929" s="6">
        <f t="shared" si="768"/>
        <v>0</v>
      </c>
      <c r="T4929" s="36">
        <f t="shared" si="769"/>
        <v>0</v>
      </c>
      <c r="V4929" s="6">
        <f t="shared" si="770"/>
        <v>0</v>
      </c>
      <c r="Y4929" s="8">
        <f t="shared" si="771"/>
        <v>46023</v>
      </c>
    </row>
    <row r="4930" spans="2:25" ht="18.75" x14ac:dyDescent="0.3">
      <c r="B4930" s="6">
        <f t="shared" si="763"/>
        <v>0</v>
      </c>
      <c r="C4930" s="6">
        <f t="shared" si="764"/>
        <v>0</v>
      </c>
      <c r="D4930" s="6" t="str">
        <f t="shared" si="765"/>
        <v/>
      </c>
      <c r="E4930" s="35" t="str">
        <f t="shared" si="762"/>
        <v/>
      </c>
      <c r="F4930" s="31"/>
      <c r="G4930" s="29"/>
      <c r="H4930" s="78" t="str">
        <f t="shared" si="766"/>
        <v/>
      </c>
      <c r="I4930" s="25"/>
      <c r="J4930" s="25"/>
      <c r="K4930" s="26"/>
      <c r="L4930" s="26"/>
      <c r="M4930" s="37"/>
      <c r="N4930" s="27"/>
      <c r="O4930" s="30"/>
      <c r="P4930" s="39" t="str">
        <f t="shared" si="767"/>
        <v/>
      </c>
      <c r="Q4930" s="40" t="str">
        <f>IF(OR(T4930=0,RIGHT(T4930,1)=$W$1),"",COUNTIF($T$3:T4930,T4930))</f>
        <v/>
      </c>
      <c r="S4930" s="6">
        <f t="shared" si="768"/>
        <v>0</v>
      </c>
      <c r="T4930" s="36">
        <f t="shared" si="769"/>
        <v>0</v>
      </c>
      <c r="V4930" s="6">
        <f t="shared" si="770"/>
        <v>0</v>
      </c>
      <c r="Y4930" s="8">
        <f t="shared" si="771"/>
        <v>46023</v>
      </c>
    </row>
    <row r="4931" spans="2:25" ht="18.75" x14ac:dyDescent="0.3">
      <c r="B4931" s="6">
        <f t="shared" si="763"/>
        <v>0</v>
      </c>
      <c r="C4931" s="6">
        <f t="shared" si="764"/>
        <v>0</v>
      </c>
      <c r="D4931" s="6" t="str">
        <f t="shared" si="765"/>
        <v/>
      </c>
      <c r="E4931" s="35" t="str">
        <f t="shared" ref="E4931:E4994" si="772">IF(D4931&lt;&gt;"",D4931&amp;" - "&amp;YEAR(F4931),"")</f>
        <v/>
      </c>
      <c r="F4931" s="31"/>
      <c r="G4931" s="29"/>
      <c r="H4931" s="78" t="str">
        <f t="shared" si="766"/>
        <v/>
      </c>
      <c r="I4931" s="25"/>
      <c r="J4931" s="25"/>
      <c r="K4931" s="26"/>
      <c r="L4931" s="26"/>
      <c r="M4931" s="37"/>
      <c r="N4931" s="27"/>
      <c r="O4931" s="30"/>
      <c r="P4931" s="39" t="str">
        <f t="shared" si="767"/>
        <v/>
      </c>
      <c r="Q4931" s="40" t="str">
        <f>IF(OR(T4931=0,RIGHT(T4931,1)=$W$1),"",COUNTIF($T$3:T4931,T4931))</f>
        <v/>
      </c>
      <c r="S4931" s="6">
        <f t="shared" si="768"/>
        <v>0</v>
      </c>
      <c r="T4931" s="36">
        <f t="shared" si="769"/>
        <v>0</v>
      </c>
      <c r="V4931" s="6">
        <f t="shared" si="770"/>
        <v>0</v>
      </c>
      <c r="Y4931" s="8">
        <f t="shared" si="771"/>
        <v>46023</v>
      </c>
    </row>
    <row r="4932" spans="2:25" ht="18.75" x14ac:dyDescent="0.3">
      <c r="B4932" s="6">
        <f t="shared" ref="B4932:B4995" si="773">IF($B$1=YEAR(F4932),B4931+1,B4931)</f>
        <v>0</v>
      </c>
      <c r="C4932" s="6">
        <f t="shared" ref="C4932:C4995" si="774">IF(AND($C$1=K4932,$Y$1=YEAR(F4932)),C4931+1,C4931)</f>
        <v>0</v>
      </c>
      <c r="D4932" s="6" t="str">
        <f t="shared" ref="D4932:D4995" si="775">IF(F4932&lt;&gt;0,IF(YEAR(F4932)&lt;&gt;YEAR(F4931),1,IF(M4932=$AI$1,D4931,D4931+1)),"")</f>
        <v/>
      </c>
      <c r="E4932" s="35" t="str">
        <f t="shared" si="772"/>
        <v/>
      </c>
      <c r="F4932" s="31"/>
      <c r="G4932" s="29"/>
      <c r="H4932" s="78" t="str">
        <f t="shared" ref="H4932:H4995" si="776">IF(G4932&lt;&gt;"",F4932,"")</f>
        <v/>
      </c>
      <c r="I4932" s="25"/>
      <c r="J4932" s="25"/>
      <c r="K4932" s="26"/>
      <c r="L4932" s="26"/>
      <c r="M4932" s="37"/>
      <c r="N4932" s="27"/>
      <c r="O4932" s="30"/>
      <c r="P4932" s="39" t="str">
        <f t="shared" ref="P4932:P4995" si="777">IF(OR(T4932=0,RIGHT(T4932,1)=$W$1),"",VLOOKUP(K4932,$AD$1:$AK$15,5,FALSE))</f>
        <v/>
      </c>
      <c r="Q4932" s="40" t="str">
        <f>IF(OR(T4932=0,RIGHT(T4932,1)=$W$1),"",COUNTIF($T$3:T4932,T4932))</f>
        <v/>
      </c>
      <c r="S4932" s="6">
        <f t="shared" ref="S4932:S4995" si="778">IF(AND($C$1=K4932,$Y$1=YEAR(F4932)),C4932,0)</f>
        <v>0</v>
      </c>
      <c r="T4932" s="36">
        <f t="shared" ref="T4932:T4995" si="779">IF(F4932=0,0,YEAR(F4932)&amp;VLOOKUP(K4932,$AD$1:$AE$15,2,FALSE))</f>
        <v>0</v>
      </c>
      <c r="V4932" s="6">
        <f t="shared" ref="V4932:V4995" si="780">IF(AND(YEAR(F4932)=$Y$1,K4932=$C$1,L4932&amp;$V$1&lt;&gt;$V$1),L4932,IF(AND(YEAR(F4932)=$Y$1,K4932=$C$1),1,0))</f>
        <v>0</v>
      </c>
      <c r="Y4932" s="8">
        <f t="shared" ref="Y4932:Y4995" si="781">IF(M4932&lt;&gt;$AI$1,$Y$2,F4931)</f>
        <v>46023</v>
      </c>
    </row>
    <row r="4933" spans="2:25" ht="18.75" x14ac:dyDescent="0.3">
      <c r="B4933" s="6">
        <f t="shared" si="773"/>
        <v>0</v>
      </c>
      <c r="C4933" s="6">
        <f t="shared" si="774"/>
        <v>0</v>
      </c>
      <c r="D4933" s="6" t="str">
        <f t="shared" si="775"/>
        <v/>
      </c>
      <c r="E4933" s="35" t="str">
        <f t="shared" si="772"/>
        <v/>
      </c>
      <c r="F4933" s="31"/>
      <c r="G4933" s="29"/>
      <c r="H4933" s="78" t="str">
        <f t="shared" si="776"/>
        <v/>
      </c>
      <c r="I4933" s="25"/>
      <c r="J4933" s="25"/>
      <c r="K4933" s="26"/>
      <c r="L4933" s="26"/>
      <c r="M4933" s="37"/>
      <c r="N4933" s="27"/>
      <c r="O4933" s="30"/>
      <c r="P4933" s="39" t="str">
        <f t="shared" si="777"/>
        <v/>
      </c>
      <c r="Q4933" s="40" t="str">
        <f>IF(OR(T4933=0,RIGHT(T4933,1)=$W$1),"",COUNTIF($T$3:T4933,T4933))</f>
        <v/>
      </c>
      <c r="S4933" s="6">
        <f t="shared" si="778"/>
        <v>0</v>
      </c>
      <c r="T4933" s="36">
        <f t="shared" si="779"/>
        <v>0</v>
      </c>
      <c r="V4933" s="6">
        <f t="shared" si="780"/>
        <v>0</v>
      </c>
      <c r="Y4933" s="8">
        <f t="shared" si="781"/>
        <v>46023</v>
      </c>
    </row>
    <row r="4934" spans="2:25" ht="18.75" x14ac:dyDescent="0.3">
      <c r="B4934" s="6">
        <f t="shared" si="773"/>
        <v>0</v>
      </c>
      <c r="C4934" s="6">
        <f t="shared" si="774"/>
        <v>0</v>
      </c>
      <c r="D4934" s="6" t="str">
        <f t="shared" si="775"/>
        <v/>
      </c>
      <c r="E4934" s="35" t="str">
        <f t="shared" si="772"/>
        <v/>
      </c>
      <c r="F4934" s="31"/>
      <c r="G4934" s="29"/>
      <c r="H4934" s="78" t="str">
        <f t="shared" si="776"/>
        <v/>
      </c>
      <c r="I4934" s="25"/>
      <c r="J4934" s="25"/>
      <c r="K4934" s="26"/>
      <c r="L4934" s="26"/>
      <c r="M4934" s="37"/>
      <c r="N4934" s="27"/>
      <c r="O4934" s="30"/>
      <c r="P4934" s="39" t="str">
        <f t="shared" si="777"/>
        <v/>
      </c>
      <c r="Q4934" s="40" t="str">
        <f>IF(OR(T4934=0,RIGHT(T4934,1)=$W$1),"",COUNTIF($T$3:T4934,T4934))</f>
        <v/>
      </c>
      <c r="S4934" s="6">
        <f t="shared" si="778"/>
        <v>0</v>
      </c>
      <c r="T4934" s="36">
        <f t="shared" si="779"/>
        <v>0</v>
      </c>
      <c r="V4934" s="6">
        <f t="shared" si="780"/>
        <v>0</v>
      </c>
      <c r="Y4934" s="8">
        <f t="shared" si="781"/>
        <v>46023</v>
      </c>
    </row>
    <row r="4935" spans="2:25" ht="18.75" x14ac:dyDescent="0.3">
      <c r="B4935" s="6">
        <f t="shared" si="773"/>
        <v>0</v>
      </c>
      <c r="C4935" s="6">
        <f t="shared" si="774"/>
        <v>0</v>
      </c>
      <c r="D4935" s="6" t="str">
        <f t="shared" si="775"/>
        <v/>
      </c>
      <c r="E4935" s="35" t="str">
        <f t="shared" si="772"/>
        <v/>
      </c>
      <c r="F4935" s="31"/>
      <c r="G4935" s="29"/>
      <c r="H4935" s="78" t="str">
        <f t="shared" si="776"/>
        <v/>
      </c>
      <c r="I4935" s="25"/>
      <c r="J4935" s="25"/>
      <c r="K4935" s="26"/>
      <c r="L4935" s="26"/>
      <c r="M4935" s="37"/>
      <c r="N4935" s="27"/>
      <c r="O4935" s="30"/>
      <c r="P4935" s="39" t="str">
        <f t="shared" si="777"/>
        <v/>
      </c>
      <c r="Q4935" s="40" t="str">
        <f>IF(OR(T4935=0,RIGHT(T4935,1)=$W$1),"",COUNTIF($T$3:T4935,T4935))</f>
        <v/>
      </c>
      <c r="S4935" s="6">
        <f t="shared" si="778"/>
        <v>0</v>
      </c>
      <c r="T4935" s="36">
        <f t="shared" si="779"/>
        <v>0</v>
      </c>
      <c r="V4935" s="6">
        <f t="shared" si="780"/>
        <v>0</v>
      </c>
      <c r="Y4935" s="8">
        <f t="shared" si="781"/>
        <v>46023</v>
      </c>
    </row>
    <row r="4936" spans="2:25" ht="18.75" x14ac:dyDescent="0.3">
      <c r="B4936" s="6">
        <f t="shared" si="773"/>
        <v>0</v>
      </c>
      <c r="C4936" s="6">
        <f t="shared" si="774"/>
        <v>0</v>
      </c>
      <c r="D4936" s="6" t="str">
        <f t="shared" si="775"/>
        <v/>
      </c>
      <c r="E4936" s="35" t="str">
        <f t="shared" si="772"/>
        <v/>
      </c>
      <c r="F4936" s="31"/>
      <c r="G4936" s="29"/>
      <c r="H4936" s="78" t="str">
        <f t="shared" si="776"/>
        <v/>
      </c>
      <c r="I4936" s="25"/>
      <c r="J4936" s="25"/>
      <c r="K4936" s="26"/>
      <c r="L4936" s="26"/>
      <c r="M4936" s="37"/>
      <c r="N4936" s="27"/>
      <c r="O4936" s="30"/>
      <c r="P4936" s="39" t="str">
        <f t="shared" si="777"/>
        <v/>
      </c>
      <c r="Q4936" s="40" t="str">
        <f>IF(OR(T4936=0,RIGHT(T4936,1)=$W$1),"",COUNTIF($T$3:T4936,T4936))</f>
        <v/>
      </c>
      <c r="S4936" s="6">
        <f t="shared" si="778"/>
        <v>0</v>
      </c>
      <c r="T4936" s="36">
        <f t="shared" si="779"/>
        <v>0</v>
      </c>
      <c r="V4936" s="6">
        <f t="shared" si="780"/>
        <v>0</v>
      </c>
      <c r="Y4936" s="8">
        <f t="shared" si="781"/>
        <v>46023</v>
      </c>
    </row>
    <row r="4937" spans="2:25" ht="18.75" x14ac:dyDescent="0.3">
      <c r="B4937" s="6">
        <f t="shared" si="773"/>
        <v>0</v>
      </c>
      <c r="C4937" s="6">
        <f t="shared" si="774"/>
        <v>0</v>
      </c>
      <c r="D4937" s="6" t="str">
        <f t="shared" si="775"/>
        <v/>
      </c>
      <c r="E4937" s="35" t="str">
        <f t="shared" si="772"/>
        <v/>
      </c>
      <c r="F4937" s="31"/>
      <c r="G4937" s="29"/>
      <c r="H4937" s="78" t="str">
        <f t="shared" si="776"/>
        <v/>
      </c>
      <c r="I4937" s="25"/>
      <c r="J4937" s="25"/>
      <c r="K4937" s="26"/>
      <c r="L4937" s="26"/>
      <c r="M4937" s="37"/>
      <c r="N4937" s="27"/>
      <c r="O4937" s="30"/>
      <c r="P4937" s="39" t="str">
        <f t="shared" si="777"/>
        <v/>
      </c>
      <c r="Q4937" s="40" t="str">
        <f>IF(OR(T4937=0,RIGHT(T4937,1)=$W$1),"",COUNTIF($T$3:T4937,T4937))</f>
        <v/>
      </c>
      <c r="S4937" s="6">
        <f t="shared" si="778"/>
        <v>0</v>
      </c>
      <c r="T4937" s="36">
        <f t="shared" si="779"/>
        <v>0</v>
      </c>
      <c r="V4937" s="6">
        <f t="shared" si="780"/>
        <v>0</v>
      </c>
      <c r="Y4937" s="8">
        <f t="shared" si="781"/>
        <v>46023</v>
      </c>
    </row>
    <row r="4938" spans="2:25" ht="18.75" x14ac:dyDescent="0.3">
      <c r="B4938" s="6">
        <f t="shared" si="773"/>
        <v>0</v>
      </c>
      <c r="C4938" s="6">
        <f t="shared" si="774"/>
        <v>0</v>
      </c>
      <c r="D4938" s="6" t="str">
        <f t="shared" si="775"/>
        <v/>
      </c>
      <c r="E4938" s="35" t="str">
        <f t="shared" si="772"/>
        <v/>
      </c>
      <c r="F4938" s="31"/>
      <c r="G4938" s="29"/>
      <c r="H4938" s="78" t="str">
        <f t="shared" si="776"/>
        <v/>
      </c>
      <c r="I4938" s="25"/>
      <c r="J4938" s="25"/>
      <c r="K4938" s="26"/>
      <c r="L4938" s="26"/>
      <c r="M4938" s="37"/>
      <c r="N4938" s="27"/>
      <c r="O4938" s="30"/>
      <c r="P4938" s="39" t="str">
        <f t="shared" si="777"/>
        <v/>
      </c>
      <c r="Q4938" s="40" t="str">
        <f>IF(OR(T4938=0,RIGHT(T4938,1)=$W$1),"",COUNTIF($T$3:T4938,T4938))</f>
        <v/>
      </c>
      <c r="S4938" s="6">
        <f t="shared" si="778"/>
        <v>0</v>
      </c>
      <c r="T4938" s="36">
        <f t="shared" si="779"/>
        <v>0</v>
      </c>
      <c r="V4938" s="6">
        <f t="shared" si="780"/>
        <v>0</v>
      </c>
      <c r="Y4938" s="8">
        <f t="shared" si="781"/>
        <v>46023</v>
      </c>
    </row>
    <row r="4939" spans="2:25" ht="18.75" x14ac:dyDescent="0.3">
      <c r="B4939" s="6">
        <f t="shared" si="773"/>
        <v>0</v>
      </c>
      <c r="C4939" s="6">
        <f t="shared" si="774"/>
        <v>0</v>
      </c>
      <c r="D4939" s="6" t="str">
        <f t="shared" si="775"/>
        <v/>
      </c>
      <c r="E4939" s="35" t="str">
        <f t="shared" si="772"/>
        <v/>
      </c>
      <c r="F4939" s="31"/>
      <c r="G4939" s="29"/>
      <c r="H4939" s="78" t="str">
        <f t="shared" si="776"/>
        <v/>
      </c>
      <c r="I4939" s="25"/>
      <c r="J4939" s="25"/>
      <c r="K4939" s="26"/>
      <c r="L4939" s="26"/>
      <c r="M4939" s="37"/>
      <c r="N4939" s="27"/>
      <c r="O4939" s="30"/>
      <c r="P4939" s="39" t="str">
        <f t="shared" si="777"/>
        <v/>
      </c>
      <c r="Q4939" s="40" t="str">
        <f>IF(OR(T4939=0,RIGHT(T4939,1)=$W$1),"",COUNTIF($T$3:T4939,T4939))</f>
        <v/>
      </c>
      <c r="S4939" s="6">
        <f t="shared" si="778"/>
        <v>0</v>
      </c>
      <c r="T4939" s="36">
        <f t="shared" si="779"/>
        <v>0</v>
      </c>
      <c r="V4939" s="6">
        <f t="shared" si="780"/>
        <v>0</v>
      </c>
      <c r="Y4939" s="8">
        <f t="shared" si="781"/>
        <v>46023</v>
      </c>
    </row>
    <row r="4940" spans="2:25" ht="18.75" x14ac:dyDescent="0.3">
      <c r="B4940" s="6">
        <f t="shared" si="773"/>
        <v>0</v>
      </c>
      <c r="C4940" s="6">
        <f t="shared" si="774"/>
        <v>0</v>
      </c>
      <c r="D4940" s="6" t="str">
        <f t="shared" si="775"/>
        <v/>
      </c>
      <c r="E4940" s="35" t="str">
        <f t="shared" si="772"/>
        <v/>
      </c>
      <c r="F4940" s="31"/>
      <c r="G4940" s="29"/>
      <c r="H4940" s="78" t="str">
        <f t="shared" si="776"/>
        <v/>
      </c>
      <c r="I4940" s="25"/>
      <c r="J4940" s="25"/>
      <c r="K4940" s="26"/>
      <c r="L4940" s="26"/>
      <c r="M4940" s="37"/>
      <c r="N4940" s="27"/>
      <c r="O4940" s="30"/>
      <c r="P4940" s="39" t="str">
        <f t="shared" si="777"/>
        <v/>
      </c>
      <c r="Q4940" s="40" t="str">
        <f>IF(OR(T4940=0,RIGHT(T4940,1)=$W$1),"",COUNTIF($T$3:T4940,T4940))</f>
        <v/>
      </c>
      <c r="S4940" s="6">
        <f t="shared" si="778"/>
        <v>0</v>
      </c>
      <c r="T4940" s="36">
        <f t="shared" si="779"/>
        <v>0</v>
      </c>
      <c r="V4940" s="6">
        <f t="shared" si="780"/>
        <v>0</v>
      </c>
      <c r="Y4940" s="8">
        <f t="shared" si="781"/>
        <v>46023</v>
      </c>
    </row>
    <row r="4941" spans="2:25" ht="18.75" x14ac:dyDescent="0.3">
      <c r="B4941" s="6">
        <f t="shared" si="773"/>
        <v>0</v>
      </c>
      <c r="C4941" s="6">
        <f t="shared" si="774"/>
        <v>0</v>
      </c>
      <c r="D4941" s="6" t="str">
        <f t="shared" si="775"/>
        <v/>
      </c>
      <c r="E4941" s="35" t="str">
        <f t="shared" si="772"/>
        <v/>
      </c>
      <c r="F4941" s="31"/>
      <c r="G4941" s="29"/>
      <c r="H4941" s="78" t="str">
        <f t="shared" si="776"/>
        <v/>
      </c>
      <c r="I4941" s="25"/>
      <c r="J4941" s="25"/>
      <c r="K4941" s="26"/>
      <c r="L4941" s="26"/>
      <c r="M4941" s="37"/>
      <c r="N4941" s="27"/>
      <c r="O4941" s="30"/>
      <c r="P4941" s="39" t="str">
        <f t="shared" si="777"/>
        <v/>
      </c>
      <c r="Q4941" s="40" t="str">
        <f>IF(OR(T4941=0,RIGHT(T4941,1)=$W$1),"",COUNTIF($T$3:T4941,T4941))</f>
        <v/>
      </c>
      <c r="S4941" s="6">
        <f t="shared" si="778"/>
        <v>0</v>
      </c>
      <c r="T4941" s="36">
        <f t="shared" si="779"/>
        <v>0</v>
      </c>
      <c r="V4941" s="6">
        <f t="shared" si="780"/>
        <v>0</v>
      </c>
      <c r="Y4941" s="8">
        <f t="shared" si="781"/>
        <v>46023</v>
      </c>
    </row>
    <row r="4942" spans="2:25" ht="18.75" x14ac:dyDescent="0.3">
      <c r="B4942" s="6">
        <f t="shared" si="773"/>
        <v>0</v>
      </c>
      <c r="C4942" s="6">
        <f t="shared" si="774"/>
        <v>0</v>
      </c>
      <c r="D4942" s="6" t="str">
        <f t="shared" si="775"/>
        <v/>
      </c>
      <c r="E4942" s="35" t="str">
        <f t="shared" si="772"/>
        <v/>
      </c>
      <c r="F4942" s="31"/>
      <c r="G4942" s="29"/>
      <c r="H4942" s="78" t="str">
        <f t="shared" si="776"/>
        <v/>
      </c>
      <c r="I4942" s="25"/>
      <c r="J4942" s="25"/>
      <c r="K4942" s="26"/>
      <c r="L4942" s="26"/>
      <c r="M4942" s="37"/>
      <c r="N4942" s="27"/>
      <c r="O4942" s="30"/>
      <c r="P4942" s="39" t="str">
        <f t="shared" si="777"/>
        <v/>
      </c>
      <c r="Q4942" s="40" t="str">
        <f>IF(OR(T4942=0,RIGHT(T4942,1)=$W$1),"",COUNTIF($T$3:T4942,T4942))</f>
        <v/>
      </c>
      <c r="S4942" s="6">
        <f t="shared" si="778"/>
        <v>0</v>
      </c>
      <c r="T4942" s="36">
        <f t="shared" si="779"/>
        <v>0</v>
      </c>
      <c r="V4942" s="6">
        <f t="shared" si="780"/>
        <v>0</v>
      </c>
      <c r="Y4942" s="8">
        <f t="shared" si="781"/>
        <v>46023</v>
      </c>
    </row>
    <row r="4943" spans="2:25" ht="18.75" x14ac:dyDescent="0.3">
      <c r="B4943" s="6">
        <f t="shared" si="773"/>
        <v>0</v>
      </c>
      <c r="C4943" s="6">
        <f t="shared" si="774"/>
        <v>0</v>
      </c>
      <c r="D4943" s="6" t="str">
        <f t="shared" si="775"/>
        <v/>
      </c>
      <c r="E4943" s="35" t="str">
        <f t="shared" si="772"/>
        <v/>
      </c>
      <c r="F4943" s="31"/>
      <c r="G4943" s="29"/>
      <c r="H4943" s="78" t="str">
        <f t="shared" si="776"/>
        <v/>
      </c>
      <c r="I4943" s="25"/>
      <c r="J4943" s="25"/>
      <c r="K4943" s="26"/>
      <c r="L4943" s="26"/>
      <c r="M4943" s="37"/>
      <c r="N4943" s="27"/>
      <c r="O4943" s="30"/>
      <c r="P4943" s="39" t="str">
        <f t="shared" si="777"/>
        <v/>
      </c>
      <c r="Q4943" s="40" t="str">
        <f>IF(OR(T4943=0,RIGHT(T4943,1)=$W$1),"",COUNTIF($T$3:T4943,T4943))</f>
        <v/>
      </c>
      <c r="S4943" s="6">
        <f t="shared" si="778"/>
        <v>0</v>
      </c>
      <c r="T4943" s="36">
        <f t="shared" si="779"/>
        <v>0</v>
      </c>
      <c r="V4943" s="6">
        <f t="shared" si="780"/>
        <v>0</v>
      </c>
      <c r="Y4943" s="8">
        <f t="shared" si="781"/>
        <v>46023</v>
      </c>
    </row>
    <row r="4944" spans="2:25" ht="18.75" x14ac:dyDescent="0.3">
      <c r="B4944" s="6">
        <f t="shared" si="773"/>
        <v>0</v>
      </c>
      <c r="C4944" s="6">
        <f t="shared" si="774"/>
        <v>0</v>
      </c>
      <c r="D4944" s="6" t="str">
        <f t="shared" si="775"/>
        <v/>
      </c>
      <c r="E4944" s="35" t="str">
        <f t="shared" si="772"/>
        <v/>
      </c>
      <c r="F4944" s="31"/>
      <c r="G4944" s="29"/>
      <c r="H4944" s="78" t="str">
        <f t="shared" si="776"/>
        <v/>
      </c>
      <c r="I4944" s="25"/>
      <c r="J4944" s="25"/>
      <c r="K4944" s="26"/>
      <c r="L4944" s="26"/>
      <c r="M4944" s="37"/>
      <c r="N4944" s="27"/>
      <c r="O4944" s="30"/>
      <c r="P4944" s="39" t="str">
        <f t="shared" si="777"/>
        <v/>
      </c>
      <c r="Q4944" s="40" t="str">
        <f>IF(OR(T4944=0,RIGHT(T4944,1)=$W$1),"",COUNTIF($T$3:T4944,T4944))</f>
        <v/>
      </c>
      <c r="S4944" s="6">
        <f t="shared" si="778"/>
        <v>0</v>
      </c>
      <c r="T4944" s="36">
        <f t="shared" si="779"/>
        <v>0</v>
      </c>
      <c r="V4944" s="6">
        <f t="shared" si="780"/>
        <v>0</v>
      </c>
      <c r="Y4944" s="8">
        <f t="shared" si="781"/>
        <v>46023</v>
      </c>
    </row>
    <row r="4945" spans="2:25" ht="18.75" x14ac:dyDescent="0.3">
      <c r="B4945" s="6">
        <f t="shared" si="773"/>
        <v>0</v>
      </c>
      <c r="C4945" s="6">
        <f t="shared" si="774"/>
        <v>0</v>
      </c>
      <c r="D4945" s="6" t="str">
        <f t="shared" si="775"/>
        <v/>
      </c>
      <c r="E4945" s="35" t="str">
        <f t="shared" si="772"/>
        <v/>
      </c>
      <c r="F4945" s="31"/>
      <c r="G4945" s="29"/>
      <c r="H4945" s="78" t="str">
        <f t="shared" si="776"/>
        <v/>
      </c>
      <c r="I4945" s="25"/>
      <c r="J4945" s="25"/>
      <c r="K4945" s="26"/>
      <c r="L4945" s="26"/>
      <c r="M4945" s="37"/>
      <c r="N4945" s="27"/>
      <c r="O4945" s="30"/>
      <c r="P4945" s="39" t="str">
        <f t="shared" si="777"/>
        <v/>
      </c>
      <c r="Q4945" s="40" t="str">
        <f>IF(OR(T4945=0,RIGHT(T4945,1)=$W$1),"",COUNTIF($T$3:T4945,T4945))</f>
        <v/>
      </c>
      <c r="S4945" s="6">
        <f t="shared" si="778"/>
        <v>0</v>
      </c>
      <c r="T4945" s="36">
        <f t="shared" si="779"/>
        <v>0</v>
      </c>
      <c r="V4945" s="6">
        <f t="shared" si="780"/>
        <v>0</v>
      </c>
      <c r="Y4945" s="8">
        <f t="shared" si="781"/>
        <v>46023</v>
      </c>
    </row>
    <row r="4946" spans="2:25" ht="18.75" x14ac:dyDescent="0.3">
      <c r="B4946" s="6">
        <f t="shared" si="773"/>
        <v>0</v>
      </c>
      <c r="C4946" s="6">
        <f t="shared" si="774"/>
        <v>0</v>
      </c>
      <c r="D4946" s="6" t="str">
        <f t="shared" si="775"/>
        <v/>
      </c>
      <c r="E4946" s="35" t="str">
        <f t="shared" si="772"/>
        <v/>
      </c>
      <c r="F4946" s="31"/>
      <c r="G4946" s="29"/>
      <c r="H4946" s="78" t="str">
        <f t="shared" si="776"/>
        <v/>
      </c>
      <c r="I4946" s="25"/>
      <c r="J4946" s="25"/>
      <c r="K4946" s="26"/>
      <c r="L4946" s="26"/>
      <c r="M4946" s="37"/>
      <c r="N4946" s="27"/>
      <c r="O4946" s="30"/>
      <c r="P4946" s="39" t="str">
        <f t="shared" si="777"/>
        <v/>
      </c>
      <c r="Q4946" s="40" t="str">
        <f>IF(OR(T4946=0,RIGHT(T4946,1)=$W$1),"",COUNTIF($T$3:T4946,T4946))</f>
        <v/>
      </c>
      <c r="S4946" s="6">
        <f t="shared" si="778"/>
        <v>0</v>
      </c>
      <c r="T4946" s="36">
        <f t="shared" si="779"/>
        <v>0</v>
      </c>
      <c r="V4946" s="6">
        <f t="shared" si="780"/>
        <v>0</v>
      </c>
      <c r="Y4946" s="8">
        <f t="shared" si="781"/>
        <v>46023</v>
      </c>
    </row>
    <row r="4947" spans="2:25" ht="18.75" x14ac:dyDescent="0.3">
      <c r="B4947" s="6">
        <f t="shared" si="773"/>
        <v>0</v>
      </c>
      <c r="C4947" s="6">
        <f t="shared" si="774"/>
        <v>0</v>
      </c>
      <c r="D4947" s="6" t="str">
        <f t="shared" si="775"/>
        <v/>
      </c>
      <c r="E4947" s="35" t="str">
        <f t="shared" si="772"/>
        <v/>
      </c>
      <c r="F4947" s="31"/>
      <c r="G4947" s="29"/>
      <c r="H4947" s="78" t="str">
        <f t="shared" si="776"/>
        <v/>
      </c>
      <c r="I4947" s="25"/>
      <c r="J4947" s="25"/>
      <c r="K4947" s="26"/>
      <c r="L4947" s="26"/>
      <c r="M4947" s="37"/>
      <c r="N4947" s="27"/>
      <c r="O4947" s="30"/>
      <c r="P4947" s="39" t="str">
        <f t="shared" si="777"/>
        <v/>
      </c>
      <c r="Q4947" s="40" t="str">
        <f>IF(OR(T4947=0,RIGHT(T4947,1)=$W$1),"",COUNTIF($T$3:T4947,T4947))</f>
        <v/>
      </c>
      <c r="S4947" s="6">
        <f t="shared" si="778"/>
        <v>0</v>
      </c>
      <c r="T4947" s="36">
        <f t="shared" si="779"/>
        <v>0</v>
      </c>
      <c r="V4947" s="6">
        <f t="shared" si="780"/>
        <v>0</v>
      </c>
      <c r="Y4947" s="8">
        <f t="shared" si="781"/>
        <v>46023</v>
      </c>
    </row>
    <row r="4948" spans="2:25" ht="18.75" x14ac:dyDescent="0.3">
      <c r="B4948" s="6">
        <f t="shared" si="773"/>
        <v>0</v>
      </c>
      <c r="C4948" s="6">
        <f t="shared" si="774"/>
        <v>0</v>
      </c>
      <c r="D4948" s="6" t="str">
        <f t="shared" si="775"/>
        <v/>
      </c>
      <c r="E4948" s="35" t="str">
        <f t="shared" si="772"/>
        <v/>
      </c>
      <c r="F4948" s="31"/>
      <c r="G4948" s="29"/>
      <c r="H4948" s="78" t="str">
        <f t="shared" si="776"/>
        <v/>
      </c>
      <c r="I4948" s="25"/>
      <c r="J4948" s="25"/>
      <c r="K4948" s="26"/>
      <c r="L4948" s="26"/>
      <c r="M4948" s="37"/>
      <c r="N4948" s="27"/>
      <c r="O4948" s="30"/>
      <c r="P4948" s="39" t="str">
        <f t="shared" si="777"/>
        <v/>
      </c>
      <c r="Q4948" s="40" t="str">
        <f>IF(OR(T4948=0,RIGHT(T4948,1)=$W$1),"",COUNTIF($T$3:T4948,T4948))</f>
        <v/>
      </c>
      <c r="S4948" s="6">
        <f t="shared" si="778"/>
        <v>0</v>
      </c>
      <c r="T4948" s="36">
        <f t="shared" si="779"/>
        <v>0</v>
      </c>
      <c r="V4948" s="6">
        <f t="shared" si="780"/>
        <v>0</v>
      </c>
      <c r="Y4948" s="8">
        <f t="shared" si="781"/>
        <v>46023</v>
      </c>
    </row>
    <row r="4949" spans="2:25" ht="18.75" x14ac:dyDescent="0.3">
      <c r="B4949" s="6">
        <f t="shared" si="773"/>
        <v>0</v>
      </c>
      <c r="C4949" s="6">
        <f t="shared" si="774"/>
        <v>0</v>
      </c>
      <c r="D4949" s="6" t="str">
        <f t="shared" si="775"/>
        <v/>
      </c>
      <c r="E4949" s="35" t="str">
        <f t="shared" si="772"/>
        <v/>
      </c>
      <c r="F4949" s="31"/>
      <c r="G4949" s="29"/>
      <c r="H4949" s="78" t="str">
        <f t="shared" si="776"/>
        <v/>
      </c>
      <c r="I4949" s="25"/>
      <c r="J4949" s="25"/>
      <c r="K4949" s="26"/>
      <c r="L4949" s="26"/>
      <c r="M4949" s="37"/>
      <c r="N4949" s="27"/>
      <c r="O4949" s="30"/>
      <c r="P4949" s="39" t="str">
        <f t="shared" si="777"/>
        <v/>
      </c>
      <c r="Q4949" s="40" t="str">
        <f>IF(OR(T4949=0,RIGHT(T4949,1)=$W$1),"",COUNTIF($T$3:T4949,T4949))</f>
        <v/>
      </c>
      <c r="S4949" s="6">
        <f t="shared" si="778"/>
        <v>0</v>
      </c>
      <c r="T4949" s="36">
        <f t="shared" si="779"/>
        <v>0</v>
      </c>
      <c r="V4949" s="6">
        <f t="shared" si="780"/>
        <v>0</v>
      </c>
      <c r="Y4949" s="8">
        <f t="shared" si="781"/>
        <v>46023</v>
      </c>
    </row>
    <row r="4950" spans="2:25" ht="18.75" x14ac:dyDescent="0.3">
      <c r="B4950" s="6">
        <f t="shared" si="773"/>
        <v>0</v>
      </c>
      <c r="C4950" s="6">
        <f t="shared" si="774"/>
        <v>0</v>
      </c>
      <c r="D4950" s="6" t="str">
        <f t="shared" si="775"/>
        <v/>
      </c>
      <c r="E4950" s="35" t="str">
        <f t="shared" si="772"/>
        <v/>
      </c>
      <c r="F4950" s="31"/>
      <c r="G4950" s="29"/>
      <c r="H4950" s="78" t="str">
        <f t="shared" si="776"/>
        <v/>
      </c>
      <c r="I4950" s="25"/>
      <c r="J4950" s="25"/>
      <c r="K4950" s="26"/>
      <c r="L4950" s="26"/>
      <c r="M4950" s="37"/>
      <c r="N4950" s="27"/>
      <c r="O4950" s="30"/>
      <c r="P4950" s="39" t="str">
        <f t="shared" si="777"/>
        <v/>
      </c>
      <c r="Q4950" s="40" t="str">
        <f>IF(OR(T4950=0,RIGHT(T4950,1)=$W$1),"",COUNTIF($T$3:T4950,T4950))</f>
        <v/>
      </c>
      <c r="S4950" s="6">
        <f t="shared" si="778"/>
        <v>0</v>
      </c>
      <c r="T4950" s="36">
        <f t="shared" si="779"/>
        <v>0</v>
      </c>
      <c r="V4950" s="6">
        <f t="shared" si="780"/>
        <v>0</v>
      </c>
      <c r="Y4950" s="8">
        <f t="shared" si="781"/>
        <v>46023</v>
      </c>
    </row>
    <row r="4951" spans="2:25" ht="18.75" x14ac:dyDescent="0.3">
      <c r="B4951" s="6">
        <f t="shared" si="773"/>
        <v>0</v>
      </c>
      <c r="C4951" s="6">
        <f t="shared" si="774"/>
        <v>0</v>
      </c>
      <c r="D4951" s="6" t="str">
        <f t="shared" si="775"/>
        <v/>
      </c>
      <c r="E4951" s="35" t="str">
        <f t="shared" si="772"/>
        <v/>
      </c>
      <c r="F4951" s="31"/>
      <c r="G4951" s="29"/>
      <c r="H4951" s="78" t="str">
        <f t="shared" si="776"/>
        <v/>
      </c>
      <c r="I4951" s="25"/>
      <c r="J4951" s="25"/>
      <c r="K4951" s="26"/>
      <c r="L4951" s="26"/>
      <c r="M4951" s="37"/>
      <c r="N4951" s="27"/>
      <c r="O4951" s="30"/>
      <c r="P4951" s="39" t="str">
        <f t="shared" si="777"/>
        <v/>
      </c>
      <c r="Q4951" s="40" t="str">
        <f>IF(OR(T4951=0,RIGHT(T4951,1)=$W$1),"",COUNTIF($T$3:T4951,T4951))</f>
        <v/>
      </c>
      <c r="S4951" s="6">
        <f t="shared" si="778"/>
        <v>0</v>
      </c>
      <c r="T4951" s="36">
        <f t="shared" si="779"/>
        <v>0</v>
      </c>
      <c r="V4951" s="6">
        <f t="shared" si="780"/>
        <v>0</v>
      </c>
      <c r="Y4951" s="8">
        <f t="shared" si="781"/>
        <v>46023</v>
      </c>
    </row>
    <row r="4952" spans="2:25" ht="18.75" x14ac:dyDescent="0.3">
      <c r="B4952" s="6">
        <f t="shared" si="773"/>
        <v>0</v>
      </c>
      <c r="C4952" s="6">
        <f t="shared" si="774"/>
        <v>0</v>
      </c>
      <c r="D4952" s="6" t="str">
        <f t="shared" si="775"/>
        <v/>
      </c>
      <c r="E4952" s="35" t="str">
        <f t="shared" si="772"/>
        <v/>
      </c>
      <c r="F4952" s="31"/>
      <c r="G4952" s="29"/>
      <c r="H4952" s="78" t="str">
        <f t="shared" si="776"/>
        <v/>
      </c>
      <c r="I4952" s="25"/>
      <c r="J4952" s="25"/>
      <c r="K4952" s="26"/>
      <c r="L4952" s="26"/>
      <c r="M4952" s="37"/>
      <c r="N4952" s="27"/>
      <c r="O4952" s="30"/>
      <c r="P4952" s="39" t="str">
        <f t="shared" si="777"/>
        <v/>
      </c>
      <c r="Q4952" s="40" t="str">
        <f>IF(OR(T4952=0,RIGHT(T4952,1)=$W$1),"",COUNTIF($T$3:T4952,T4952))</f>
        <v/>
      </c>
      <c r="S4952" s="6">
        <f t="shared" si="778"/>
        <v>0</v>
      </c>
      <c r="T4952" s="36">
        <f t="shared" si="779"/>
        <v>0</v>
      </c>
      <c r="V4952" s="6">
        <f t="shared" si="780"/>
        <v>0</v>
      </c>
      <c r="Y4952" s="8">
        <f t="shared" si="781"/>
        <v>46023</v>
      </c>
    </row>
    <row r="4953" spans="2:25" ht="18.75" x14ac:dyDescent="0.3">
      <c r="B4953" s="6">
        <f t="shared" si="773"/>
        <v>0</v>
      </c>
      <c r="C4953" s="6">
        <f t="shared" si="774"/>
        <v>0</v>
      </c>
      <c r="D4953" s="6" t="str">
        <f t="shared" si="775"/>
        <v/>
      </c>
      <c r="E4953" s="35" t="str">
        <f t="shared" si="772"/>
        <v/>
      </c>
      <c r="F4953" s="31"/>
      <c r="G4953" s="29"/>
      <c r="H4953" s="78" t="str">
        <f t="shared" si="776"/>
        <v/>
      </c>
      <c r="I4953" s="25"/>
      <c r="J4953" s="25"/>
      <c r="K4953" s="26"/>
      <c r="L4953" s="26"/>
      <c r="M4953" s="37"/>
      <c r="N4953" s="27"/>
      <c r="O4953" s="30"/>
      <c r="P4953" s="39" t="str">
        <f t="shared" si="777"/>
        <v/>
      </c>
      <c r="Q4953" s="40" t="str">
        <f>IF(OR(T4953=0,RIGHT(T4953,1)=$W$1),"",COUNTIF($T$3:T4953,T4953))</f>
        <v/>
      </c>
      <c r="S4953" s="6">
        <f t="shared" si="778"/>
        <v>0</v>
      </c>
      <c r="T4953" s="36">
        <f t="shared" si="779"/>
        <v>0</v>
      </c>
      <c r="V4953" s="6">
        <f t="shared" si="780"/>
        <v>0</v>
      </c>
      <c r="Y4953" s="8">
        <f t="shared" si="781"/>
        <v>46023</v>
      </c>
    </row>
    <row r="4954" spans="2:25" ht="18.75" x14ac:dyDescent="0.3">
      <c r="B4954" s="6">
        <f t="shared" si="773"/>
        <v>0</v>
      </c>
      <c r="C4954" s="6">
        <f t="shared" si="774"/>
        <v>0</v>
      </c>
      <c r="D4954" s="6" t="str">
        <f t="shared" si="775"/>
        <v/>
      </c>
      <c r="E4954" s="35" t="str">
        <f t="shared" si="772"/>
        <v/>
      </c>
      <c r="F4954" s="31"/>
      <c r="G4954" s="29"/>
      <c r="H4954" s="78" t="str">
        <f t="shared" si="776"/>
        <v/>
      </c>
      <c r="I4954" s="25"/>
      <c r="J4954" s="25"/>
      <c r="K4954" s="26"/>
      <c r="L4954" s="26"/>
      <c r="M4954" s="37"/>
      <c r="N4954" s="27"/>
      <c r="O4954" s="30"/>
      <c r="P4954" s="39" t="str">
        <f t="shared" si="777"/>
        <v/>
      </c>
      <c r="Q4954" s="40" t="str">
        <f>IF(OR(T4954=0,RIGHT(T4954,1)=$W$1),"",COUNTIF($T$3:T4954,T4954))</f>
        <v/>
      </c>
      <c r="S4954" s="6">
        <f t="shared" si="778"/>
        <v>0</v>
      </c>
      <c r="T4954" s="36">
        <f t="shared" si="779"/>
        <v>0</v>
      </c>
      <c r="V4954" s="6">
        <f t="shared" si="780"/>
        <v>0</v>
      </c>
      <c r="Y4954" s="8">
        <f t="shared" si="781"/>
        <v>46023</v>
      </c>
    </row>
    <row r="4955" spans="2:25" ht="18.75" x14ac:dyDescent="0.3">
      <c r="B4955" s="6">
        <f t="shared" si="773"/>
        <v>0</v>
      </c>
      <c r="C4955" s="6">
        <f t="shared" si="774"/>
        <v>0</v>
      </c>
      <c r="D4955" s="6" t="str">
        <f t="shared" si="775"/>
        <v/>
      </c>
      <c r="E4955" s="35" t="str">
        <f t="shared" si="772"/>
        <v/>
      </c>
      <c r="F4955" s="31"/>
      <c r="G4955" s="29"/>
      <c r="H4955" s="78" t="str">
        <f t="shared" si="776"/>
        <v/>
      </c>
      <c r="I4955" s="25"/>
      <c r="J4955" s="25"/>
      <c r="K4955" s="26"/>
      <c r="L4955" s="26"/>
      <c r="M4955" s="37"/>
      <c r="N4955" s="27"/>
      <c r="O4955" s="30"/>
      <c r="P4955" s="39" t="str">
        <f t="shared" si="777"/>
        <v/>
      </c>
      <c r="Q4955" s="40" t="str">
        <f>IF(OR(T4955=0,RIGHT(T4955,1)=$W$1),"",COUNTIF($T$3:T4955,T4955))</f>
        <v/>
      </c>
      <c r="S4955" s="6">
        <f t="shared" si="778"/>
        <v>0</v>
      </c>
      <c r="T4955" s="36">
        <f t="shared" si="779"/>
        <v>0</v>
      </c>
      <c r="V4955" s="6">
        <f t="shared" si="780"/>
        <v>0</v>
      </c>
      <c r="Y4955" s="8">
        <f t="shared" si="781"/>
        <v>46023</v>
      </c>
    </row>
    <row r="4956" spans="2:25" ht="18.75" x14ac:dyDescent="0.3">
      <c r="B4956" s="6">
        <f t="shared" si="773"/>
        <v>0</v>
      </c>
      <c r="C4956" s="6">
        <f t="shared" si="774"/>
        <v>0</v>
      </c>
      <c r="D4956" s="6" t="str">
        <f t="shared" si="775"/>
        <v/>
      </c>
      <c r="E4956" s="35" t="str">
        <f t="shared" si="772"/>
        <v/>
      </c>
      <c r="F4956" s="31"/>
      <c r="G4956" s="29"/>
      <c r="H4956" s="78" t="str">
        <f t="shared" si="776"/>
        <v/>
      </c>
      <c r="I4956" s="25"/>
      <c r="J4956" s="25"/>
      <c r="K4956" s="26"/>
      <c r="L4956" s="26"/>
      <c r="M4956" s="37"/>
      <c r="N4956" s="27"/>
      <c r="O4956" s="30"/>
      <c r="P4956" s="39" t="str">
        <f t="shared" si="777"/>
        <v/>
      </c>
      <c r="Q4956" s="40" t="str">
        <f>IF(OR(T4956=0,RIGHT(T4956,1)=$W$1),"",COUNTIF($T$3:T4956,T4956))</f>
        <v/>
      </c>
      <c r="S4956" s="6">
        <f t="shared" si="778"/>
        <v>0</v>
      </c>
      <c r="T4956" s="36">
        <f t="shared" si="779"/>
        <v>0</v>
      </c>
      <c r="V4956" s="6">
        <f t="shared" si="780"/>
        <v>0</v>
      </c>
      <c r="Y4956" s="8">
        <f t="shared" si="781"/>
        <v>46023</v>
      </c>
    </row>
    <row r="4957" spans="2:25" ht="18.75" x14ac:dyDescent="0.3">
      <c r="B4957" s="6">
        <f t="shared" si="773"/>
        <v>0</v>
      </c>
      <c r="C4957" s="6">
        <f t="shared" si="774"/>
        <v>0</v>
      </c>
      <c r="D4957" s="6" t="str">
        <f t="shared" si="775"/>
        <v/>
      </c>
      <c r="E4957" s="35" t="str">
        <f t="shared" si="772"/>
        <v/>
      </c>
      <c r="F4957" s="31"/>
      <c r="G4957" s="29"/>
      <c r="H4957" s="78" t="str">
        <f t="shared" si="776"/>
        <v/>
      </c>
      <c r="I4957" s="25"/>
      <c r="J4957" s="25"/>
      <c r="K4957" s="26"/>
      <c r="L4957" s="26"/>
      <c r="M4957" s="37"/>
      <c r="N4957" s="27"/>
      <c r="O4957" s="30"/>
      <c r="P4957" s="39" t="str">
        <f t="shared" si="777"/>
        <v/>
      </c>
      <c r="Q4957" s="40" t="str">
        <f>IF(OR(T4957=0,RIGHT(T4957,1)=$W$1),"",COUNTIF($T$3:T4957,T4957))</f>
        <v/>
      </c>
      <c r="S4957" s="6">
        <f t="shared" si="778"/>
        <v>0</v>
      </c>
      <c r="T4957" s="36">
        <f t="shared" si="779"/>
        <v>0</v>
      </c>
      <c r="V4957" s="6">
        <f t="shared" si="780"/>
        <v>0</v>
      </c>
      <c r="Y4957" s="8">
        <f t="shared" si="781"/>
        <v>46023</v>
      </c>
    </row>
    <row r="4958" spans="2:25" ht="18.75" x14ac:dyDescent="0.3">
      <c r="B4958" s="6">
        <f t="shared" si="773"/>
        <v>0</v>
      </c>
      <c r="C4958" s="6">
        <f t="shared" si="774"/>
        <v>0</v>
      </c>
      <c r="D4958" s="6" t="str">
        <f t="shared" si="775"/>
        <v/>
      </c>
      <c r="E4958" s="35" t="str">
        <f t="shared" si="772"/>
        <v/>
      </c>
      <c r="F4958" s="31"/>
      <c r="G4958" s="29"/>
      <c r="H4958" s="78" t="str">
        <f t="shared" si="776"/>
        <v/>
      </c>
      <c r="I4958" s="25"/>
      <c r="J4958" s="25"/>
      <c r="K4958" s="26"/>
      <c r="L4958" s="26"/>
      <c r="M4958" s="37"/>
      <c r="N4958" s="27"/>
      <c r="O4958" s="30"/>
      <c r="P4958" s="39" t="str">
        <f t="shared" si="777"/>
        <v/>
      </c>
      <c r="Q4958" s="40" t="str">
        <f>IF(OR(T4958=0,RIGHT(T4958,1)=$W$1),"",COUNTIF($T$3:T4958,T4958))</f>
        <v/>
      </c>
      <c r="S4958" s="6">
        <f t="shared" si="778"/>
        <v>0</v>
      </c>
      <c r="T4958" s="36">
        <f t="shared" si="779"/>
        <v>0</v>
      </c>
      <c r="V4958" s="6">
        <f t="shared" si="780"/>
        <v>0</v>
      </c>
      <c r="Y4958" s="8">
        <f t="shared" si="781"/>
        <v>46023</v>
      </c>
    </row>
    <row r="4959" spans="2:25" ht="18.75" x14ac:dyDescent="0.3">
      <c r="B4959" s="6">
        <f t="shared" si="773"/>
        <v>0</v>
      </c>
      <c r="C4959" s="6">
        <f t="shared" si="774"/>
        <v>0</v>
      </c>
      <c r="D4959" s="6" t="str">
        <f t="shared" si="775"/>
        <v/>
      </c>
      <c r="E4959" s="35" t="str">
        <f t="shared" si="772"/>
        <v/>
      </c>
      <c r="F4959" s="31"/>
      <c r="G4959" s="29"/>
      <c r="H4959" s="78" t="str">
        <f t="shared" si="776"/>
        <v/>
      </c>
      <c r="I4959" s="25"/>
      <c r="J4959" s="25"/>
      <c r="K4959" s="26"/>
      <c r="L4959" s="26"/>
      <c r="M4959" s="37"/>
      <c r="N4959" s="27"/>
      <c r="O4959" s="30"/>
      <c r="P4959" s="39" t="str">
        <f t="shared" si="777"/>
        <v/>
      </c>
      <c r="Q4959" s="40" t="str">
        <f>IF(OR(T4959=0,RIGHT(T4959,1)=$W$1),"",COUNTIF($T$3:T4959,T4959))</f>
        <v/>
      </c>
      <c r="S4959" s="6">
        <f t="shared" si="778"/>
        <v>0</v>
      </c>
      <c r="T4959" s="36">
        <f t="shared" si="779"/>
        <v>0</v>
      </c>
      <c r="V4959" s="6">
        <f t="shared" si="780"/>
        <v>0</v>
      </c>
      <c r="Y4959" s="8">
        <f t="shared" si="781"/>
        <v>46023</v>
      </c>
    </row>
    <row r="4960" spans="2:25" ht="18.75" x14ac:dyDescent="0.3">
      <c r="B4960" s="6">
        <f t="shared" si="773"/>
        <v>0</v>
      </c>
      <c r="C4960" s="6">
        <f t="shared" si="774"/>
        <v>0</v>
      </c>
      <c r="D4960" s="6" t="str">
        <f t="shared" si="775"/>
        <v/>
      </c>
      <c r="E4960" s="35" t="str">
        <f t="shared" si="772"/>
        <v/>
      </c>
      <c r="F4960" s="31"/>
      <c r="G4960" s="29"/>
      <c r="H4960" s="78" t="str">
        <f t="shared" si="776"/>
        <v/>
      </c>
      <c r="I4960" s="25"/>
      <c r="J4960" s="25"/>
      <c r="K4960" s="26"/>
      <c r="L4960" s="26"/>
      <c r="M4960" s="37"/>
      <c r="N4960" s="27"/>
      <c r="O4960" s="30"/>
      <c r="P4960" s="39" t="str">
        <f t="shared" si="777"/>
        <v/>
      </c>
      <c r="Q4960" s="40" t="str">
        <f>IF(OR(T4960=0,RIGHT(T4960,1)=$W$1),"",COUNTIF($T$3:T4960,T4960))</f>
        <v/>
      </c>
      <c r="S4960" s="6">
        <f t="shared" si="778"/>
        <v>0</v>
      </c>
      <c r="T4960" s="36">
        <f t="shared" si="779"/>
        <v>0</v>
      </c>
      <c r="V4960" s="6">
        <f t="shared" si="780"/>
        <v>0</v>
      </c>
      <c r="Y4960" s="8">
        <f t="shared" si="781"/>
        <v>46023</v>
      </c>
    </row>
    <row r="4961" spans="2:25" ht="18.75" x14ac:dyDescent="0.3">
      <c r="B4961" s="6">
        <f t="shared" si="773"/>
        <v>0</v>
      </c>
      <c r="C4961" s="6">
        <f t="shared" si="774"/>
        <v>0</v>
      </c>
      <c r="D4961" s="6" t="str">
        <f t="shared" si="775"/>
        <v/>
      </c>
      <c r="E4961" s="35" t="str">
        <f t="shared" si="772"/>
        <v/>
      </c>
      <c r="F4961" s="31"/>
      <c r="G4961" s="29"/>
      <c r="H4961" s="78" t="str">
        <f t="shared" si="776"/>
        <v/>
      </c>
      <c r="I4961" s="25"/>
      <c r="J4961" s="25"/>
      <c r="K4961" s="26"/>
      <c r="L4961" s="26"/>
      <c r="M4961" s="37"/>
      <c r="N4961" s="27"/>
      <c r="O4961" s="30"/>
      <c r="P4961" s="39" t="str">
        <f t="shared" si="777"/>
        <v/>
      </c>
      <c r="Q4961" s="40" t="str">
        <f>IF(OR(T4961=0,RIGHT(T4961,1)=$W$1),"",COUNTIF($T$3:T4961,T4961))</f>
        <v/>
      </c>
      <c r="S4961" s="6">
        <f t="shared" si="778"/>
        <v>0</v>
      </c>
      <c r="T4961" s="36">
        <f t="shared" si="779"/>
        <v>0</v>
      </c>
      <c r="V4961" s="6">
        <f t="shared" si="780"/>
        <v>0</v>
      </c>
      <c r="Y4961" s="8">
        <f t="shared" si="781"/>
        <v>46023</v>
      </c>
    </row>
    <row r="4962" spans="2:25" ht="18.75" x14ac:dyDescent="0.3">
      <c r="B4962" s="6">
        <f t="shared" si="773"/>
        <v>0</v>
      </c>
      <c r="C4962" s="6">
        <f t="shared" si="774"/>
        <v>0</v>
      </c>
      <c r="D4962" s="6" t="str">
        <f t="shared" si="775"/>
        <v/>
      </c>
      <c r="E4962" s="35" t="str">
        <f t="shared" si="772"/>
        <v/>
      </c>
      <c r="F4962" s="31"/>
      <c r="G4962" s="29"/>
      <c r="H4962" s="78" t="str">
        <f t="shared" si="776"/>
        <v/>
      </c>
      <c r="I4962" s="25"/>
      <c r="J4962" s="25"/>
      <c r="K4962" s="26"/>
      <c r="L4962" s="26"/>
      <c r="M4962" s="37"/>
      <c r="N4962" s="27"/>
      <c r="O4962" s="30"/>
      <c r="P4962" s="39" t="str">
        <f t="shared" si="777"/>
        <v/>
      </c>
      <c r="Q4962" s="40" t="str">
        <f>IF(OR(T4962=0,RIGHT(T4962,1)=$W$1),"",COUNTIF($T$3:T4962,T4962))</f>
        <v/>
      </c>
      <c r="S4962" s="6">
        <f t="shared" si="778"/>
        <v>0</v>
      </c>
      <c r="T4962" s="36">
        <f t="shared" si="779"/>
        <v>0</v>
      </c>
      <c r="V4962" s="6">
        <f t="shared" si="780"/>
        <v>0</v>
      </c>
      <c r="Y4962" s="8">
        <f t="shared" si="781"/>
        <v>46023</v>
      </c>
    </row>
    <row r="4963" spans="2:25" ht="18.75" x14ac:dyDescent="0.3">
      <c r="B4963" s="6">
        <f t="shared" si="773"/>
        <v>0</v>
      </c>
      <c r="C4963" s="6">
        <f t="shared" si="774"/>
        <v>0</v>
      </c>
      <c r="D4963" s="6" t="str">
        <f t="shared" si="775"/>
        <v/>
      </c>
      <c r="E4963" s="35" t="str">
        <f t="shared" si="772"/>
        <v/>
      </c>
      <c r="F4963" s="31"/>
      <c r="G4963" s="29"/>
      <c r="H4963" s="78" t="str">
        <f t="shared" si="776"/>
        <v/>
      </c>
      <c r="I4963" s="25"/>
      <c r="J4963" s="25"/>
      <c r="K4963" s="26"/>
      <c r="L4963" s="26"/>
      <c r="M4963" s="37"/>
      <c r="N4963" s="27"/>
      <c r="O4963" s="30"/>
      <c r="P4963" s="39" t="str">
        <f t="shared" si="777"/>
        <v/>
      </c>
      <c r="Q4963" s="40" t="str">
        <f>IF(OR(T4963=0,RIGHT(T4963,1)=$W$1),"",COUNTIF($T$3:T4963,T4963))</f>
        <v/>
      </c>
      <c r="S4963" s="6">
        <f t="shared" si="778"/>
        <v>0</v>
      </c>
      <c r="T4963" s="36">
        <f t="shared" si="779"/>
        <v>0</v>
      </c>
      <c r="V4963" s="6">
        <f t="shared" si="780"/>
        <v>0</v>
      </c>
      <c r="Y4963" s="8">
        <f t="shared" si="781"/>
        <v>46023</v>
      </c>
    </row>
    <row r="4964" spans="2:25" ht="18.75" x14ac:dyDescent="0.3">
      <c r="B4964" s="6">
        <f t="shared" si="773"/>
        <v>0</v>
      </c>
      <c r="C4964" s="6">
        <f t="shared" si="774"/>
        <v>0</v>
      </c>
      <c r="D4964" s="6" t="str">
        <f t="shared" si="775"/>
        <v/>
      </c>
      <c r="E4964" s="35" t="str">
        <f t="shared" si="772"/>
        <v/>
      </c>
      <c r="F4964" s="31"/>
      <c r="G4964" s="29"/>
      <c r="H4964" s="78" t="str">
        <f t="shared" si="776"/>
        <v/>
      </c>
      <c r="I4964" s="25"/>
      <c r="J4964" s="25"/>
      <c r="K4964" s="26"/>
      <c r="L4964" s="26"/>
      <c r="M4964" s="37"/>
      <c r="N4964" s="27"/>
      <c r="O4964" s="30"/>
      <c r="P4964" s="39" t="str">
        <f t="shared" si="777"/>
        <v/>
      </c>
      <c r="Q4964" s="40" t="str">
        <f>IF(OR(T4964=0,RIGHT(T4964,1)=$W$1),"",COUNTIF($T$3:T4964,T4964))</f>
        <v/>
      </c>
      <c r="S4964" s="6">
        <f t="shared" si="778"/>
        <v>0</v>
      </c>
      <c r="T4964" s="36">
        <f t="shared" si="779"/>
        <v>0</v>
      </c>
      <c r="V4964" s="6">
        <f t="shared" si="780"/>
        <v>0</v>
      </c>
      <c r="Y4964" s="8">
        <f t="shared" si="781"/>
        <v>46023</v>
      </c>
    </row>
    <row r="4965" spans="2:25" ht="18.75" x14ac:dyDescent="0.3">
      <c r="B4965" s="6">
        <f t="shared" si="773"/>
        <v>0</v>
      </c>
      <c r="C4965" s="6">
        <f t="shared" si="774"/>
        <v>0</v>
      </c>
      <c r="D4965" s="6" t="str">
        <f t="shared" si="775"/>
        <v/>
      </c>
      <c r="E4965" s="35" t="str">
        <f t="shared" si="772"/>
        <v/>
      </c>
      <c r="F4965" s="31"/>
      <c r="G4965" s="29"/>
      <c r="H4965" s="78" t="str">
        <f t="shared" si="776"/>
        <v/>
      </c>
      <c r="I4965" s="25"/>
      <c r="J4965" s="25"/>
      <c r="K4965" s="26"/>
      <c r="L4965" s="26"/>
      <c r="M4965" s="37"/>
      <c r="N4965" s="27"/>
      <c r="O4965" s="30"/>
      <c r="P4965" s="39" t="str">
        <f t="shared" si="777"/>
        <v/>
      </c>
      <c r="Q4965" s="40" t="str">
        <f>IF(OR(T4965=0,RIGHT(T4965,1)=$W$1),"",COUNTIF($T$3:T4965,T4965))</f>
        <v/>
      </c>
      <c r="S4965" s="6">
        <f t="shared" si="778"/>
        <v>0</v>
      </c>
      <c r="T4965" s="36">
        <f t="shared" si="779"/>
        <v>0</v>
      </c>
      <c r="V4965" s="6">
        <f t="shared" si="780"/>
        <v>0</v>
      </c>
      <c r="Y4965" s="8">
        <f t="shared" si="781"/>
        <v>46023</v>
      </c>
    </row>
    <row r="4966" spans="2:25" ht="18.75" x14ac:dyDescent="0.3">
      <c r="B4966" s="6">
        <f t="shared" si="773"/>
        <v>0</v>
      </c>
      <c r="C4966" s="6">
        <f t="shared" si="774"/>
        <v>0</v>
      </c>
      <c r="D4966" s="6" t="str">
        <f t="shared" si="775"/>
        <v/>
      </c>
      <c r="E4966" s="35" t="str">
        <f t="shared" si="772"/>
        <v/>
      </c>
      <c r="F4966" s="31"/>
      <c r="G4966" s="29"/>
      <c r="H4966" s="78" t="str">
        <f t="shared" si="776"/>
        <v/>
      </c>
      <c r="I4966" s="25"/>
      <c r="J4966" s="25"/>
      <c r="K4966" s="26"/>
      <c r="L4966" s="26"/>
      <c r="M4966" s="37"/>
      <c r="N4966" s="27"/>
      <c r="O4966" s="30"/>
      <c r="P4966" s="39" t="str">
        <f t="shared" si="777"/>
        <v/>
      </c>
      <c r="Q4966" s="40" t="str">
        <f>IF(OR(T4966=0,RIGHT(T4966,1)=$W$1),"",COUNTIF($T$3:T4966,T4966))</f>
        <v/>
      </c>
      <c r="S4966" s="6">
        <f t="shared" si="778"/>
        <v>0</v>
      </c>
      <c r="T4966" s="36">
        <f t="shared" si="779"/>
        <v>0</v>
      </c>
      <c r="V4966" s="6">
        <f t="shared" si="780"/>
        <v>0</v>
      </c>
      <c r="Y4966" s="8">
        <f t="shared" si="781"/>
        <v>46023</v>
      </c>
    </row>
    <row r="4967" spans="2:25" ht="18.75" x14ac:dyDescent="0.3">
      <c r="B4967" s="6">
        <f t="shared" si="773"/>
        <v>0</v>
      </c>
      <c r="C4967" s="6">
        <f t="shared" si="774"/>
        <v>0</v>
      </c>
      <c r="D4967" s="6" t="str">
        <f t="shared" si="775"/>
        <v/>
      </c>
      <c r="E4967" s="35" t="str">
        <f t="shared" si="772"/>
        <v/>
      </c>
      <c r="F4967" s="31"/>
      <c r="G4967" s="29"/>
      <c r="H4967" s="78" t="str">
        <f t="shared" si="776"/>
        <v/>
      </c>
      <c r="I4967" s="25"/>
      <c r="J4967" s="25"/>
      <c r="K4967" s="26"/>
      <c r="L4967" s="26"/>
      <c r="M4967" s="37"/>
      <c r="N4967" s="27"/>
      <c r="O4967" s="30"/>
      <c r="P4967" s="39" t="str">
        <f t="shared" si="777"/>
        <v/>
      </c>
      <c r="Q4967" s="40" t="str">
        <f>IF(OR(T4967=0,RIGHT(T4967,1)=$W$1),"",COUNTIF($T$3:T4967,T4967))</f>
        <v/>
      </c>
      <c r="S4967" s="6">
        <f t="shared" si="778"/>
        <v>0</v>
      </c>
      <c r="T4967" s="36">
        <f t="shared" si="779"/>
        <v>0</v>
      </c>
      <c r="V4967" s="6">
        <f t="shared" si="780"/>
        <v>0</v>
      </c>
      <c r="Y4967" s="8">
        <f t="shared" si="781"/>
        <v>46023</v>
      </c>
    </row>
    <row r="4968" spans="2:25" ht="18.75" x14ac:dyDescent="0.3">
      <c r="B4968" s="6">
        <f t="shared" si="773"/>
        <v>0</v>
      </c>
      <c r="C4968" s="6">
        <f t="shared" si="774"/>
        <v>0</v>
      </c>
      <c r="D4968" s="6" t="str">
        <f t="shared" si="775"/>
        <v/>
      </c>
      <c r="E4968" s="35" t="str">
        <f t="shared" si="772"/>
        <v/>
      </c>
      <c r="F4968" s="31"/>
      <c r="G4968" s="29"/>
      <c r="H4968" s="78" t="str">
        <f t="shared" si="776"/>
        <v/>
      </c>
      <c r="I4968" s="25"/>
      <c r="J4968" s="25"/>
      <c r="K4968" s="26"/>
      <c r="L4968" s="26"/>
      <c r="M4968" s="37"/>
      <c r="N4968" s="27"/>
      <c r="O4968" s="30"/>
      <c r="P4968" s="39" t="str">
        <f t="shared" si="777"/>
        <v/>
      </c>
      <c r="Q4968" s="40" t="str">
        <f>IF(OR(T4968=0,RIGHT(T4968,1)=$W$1),"",COUNTIF($T$3:T4968,T4968))</f>
        <v/>
      </c>
      <c r="S4968" s="6">
        <f t="shared" si="778"/>
        <v>0</v>
      </c>
      <c r="T4968" s="36">
        <f t="shared" si="779"/>
        <v>0</v>
      </c>
      <c r="V4968" s="6">
        <f t="shared" si="780"/>
        <v>0</v>
      </c>
      <c r="Y4968" s="8">
        <f t="shared" si="781"/>
        <v>46023</v>
      </c>
    </row>
    <row r="4969" spans="2:25" ht="18.75" x14ac:dyDescent="0.3">
      <c r="B4969" s="6">
        <f t="shared" si="773"/>
        <v>0</v>
      </c>
      <c r="C4969" s="6">
        <f t="shared" si="774"/>
        <v>0</v>
      </c>
      <c r="D4969" s="6" t="str">
        <f t="shared" si="775"/>
        <v/>
      </c>
      <c r="E4969" s="35" t="str">
        <f t="shared" si="772"/>
        <v/>
      </c>
      <c r="F4969" s="31"/>
      <c r="G4969" s="29"/>
      <c r="H4969" s="78" t="str">
        <f t="shared" si="776"/>
        <v/>
      </c>
      <c r="I4969" s="25"/>
      <c r="J4969" s="25"/>
      <c r="K4969" s="26"/>
      <c r="L4969" s="26"/>
      <c r="M4969" s="37"/>
      <c r="N4969" s="27"/>
      <c r="O4969" s="30"/>
      <c r="P4969" s="39" t="str">
        <f t="shared" si="777"/>
        <v/>
      </c>
      <c r="Q4969" s="40" t="str">
        <f>IF(OR(T4969=0,RIGHT(T4969,1)=$W$1),"",COUNTIF($T$3:T4969,T4969))</f>
        <v/>
      </c>
      <c r="S4969" s="6">
        <f t="shared" si="778"/>
        <v>0</v>
      </c>
      <c r="T4969" s="36">
        <f t="shared" si="779"/>
        <v>0</v>
      </c>
      <c r="V4969" s="6">
        <f t="shared" si="780"/>
        <v>0</v>
      </c>
      <c r="Y4969" s="8">
        <f t="shared" si="781"/>
        <v>46023</v>
      </c>
    </row>
    <row r="4970" spans="2:25" ht="18.75" x14ac:dyDescent="0.3">
      <c r="B4970" s="6">
        <f t="shared" si="773"/>
        <v>0</v>
      </c>
      <c r="C4970" s="6">
        <f t="shared" si="774"/>
        <v>0</v>
      </c>
      <c r="D4970" s="6" t="str">
        <f t="shared" si="775"/>
        <v/>
      </c>
      <c r="E4970" s="35" t="str">
        <f t="shared" si="772"/>
        <v/>
      </c>
      <c r="F4970" s="31"/>
      <c r="G4970" s="29"/>
      <c r="H4970" s="78" t="str">
        <f t="shared" si="776"/>
        <v/>
      </c>
      <c r="I4970" s="25"/>
      <c r="J4970" s="25"/>
      <c r="K4970" s="26"/>
      <c r="L4970" s="26"/>
      <c r="M4970" s="37"/>
      <c r="N4970" s="27"/>
      <c r="O4970" s="30"/>
      <c r="P4970" s="39" t="str">
        <f t="shared" si="777"/>
        <v/>
      </c>
      <c r="Q4970" s="40" t="str">
        <f>IF(OR(T4970=0,RIGHT(T4970,1)=$W$1),"",COUNTIF($T$3:T4970,T4970))</f>
        <v/>
      </c>
      <c r="S4970" s="6">
        <f t="shared" si="778"/>
        <v>0</v>
      </c>
      <c r="T4970" s="36">
        <f t="shared" si="779"/>
        <v>0</v>
      </c>
      <c r="V4970" s="6">
        <f t="shared" si="780"/>
        <v>0</v>
      </c>
      <c r="Y4970" s="8">
        <f t="shared" si="781"/>
        <v>46023</v>
      </c>
    </row>
    <row r="4971" spans="2:25" ht="18.75" x14ac:dyDescent="0.3">
      <c r="B4971" s="6">
        <f t="shared" si="773"/>
        <v>0</v>
      </c>
      <c r="C4971" s="6">
        <f t="shared" si="774"/>
        <v>0</v>
      </c>
      <c r="D4971" s="6" t="str">
        <f t="shared" si="775"/>
        <v/>
      </c>
      <c r="E4971" s="35" t="str">
        <f t="shared" si="772"/>
        <v/>
      </c>
      <c r="F4971" s="31"/>
      <c r="G4971" s="29"/>
      <c r="H4971" s="78" t="str">
        <f t="shared" si="776"/>
        <v/>
      </c>
      <c r="I4971" s="25"/>
      <c r="J4971" s="25"/>
      <c r="K4971" s="26"/>
      <c r="L4971" s="26"/>
      <c r="M4971" s="37"/>
      <c r="N4971" s="27"/>
      <c r="O4971" s="30"/>
      <c r="P4971" s="39" t="str">
        <f t="shared" si="777"/>
        <v/>
      </c>
      <c r="Q4971" s="40" t="str">
        <f>IF(OR(T4971=0,RIGHT(T4971,1)=$W$1),"",COUNTIF($T$3:T4971,T4971))</f>
        <v/>
      </c>
      <c r="S4971" s="6">
        <f t="shared" si="778"/>
        <v>0</v>
      </c>
      <c r="T4971" s="36">
        <f t="shared" si="779"/>
        <v>0</v>
      </c>
      <c r="V4971" s="6">
        <f t="shared" si="780"/>
        <v>0</v>
      </c>
      <c r="Y4971" s="8">
        <f t="shared" si="781"/>
        <v>46023</v>
      </c>
    </row>
    <row r="4972" spans="2:25" ht="18.75" x14ac:dyDescent="0.3">
      <c r="B4972" s="6">
        <f t="shared" si="773"/>
        <v>0</v>
      </c>
      <c r="C4972" s="6">
        <f t="shared" si="774"/>
        <v>0</v>
      </c>
      <c r="D4972" s="6" t="str">
        <f t="shared" si="775"/>
        <v/>
      </c>
      <c r="E4972" s="35" t="str">
        <f t="shared" si="772"/>
        <v/>
      </c>
      <c r="F4972" s="31"/>
      <c r="G4972" s="29"/>
      <c r="H4972" s="78" t="str">
        <f t="shared" si="776"/>
        <v/>
      </c>
      <c r="I4972" s="25"/>
      <c r="J4972" s="25"/>
      <c r="K4972" s="26"/>
      <c r="L4972" s="26"/>
      <c r="M4972" s="37"/>
      <c r="N4972" s="27"/>
      <c r="O4972" s="30"/>
      <c r="P4972" s="39" t="str">
        <f t="shared" si="777"/>
        <v/>
      </c>
      <c r="Q4972" s="40" t="str">
        <f>IF(OR(T4972=0,RIGHT(T4972,1)=$W$1),"",COUNTIF($T$3:T4972,T4972))</f>
        <v/>
      </c>
      <c r="S4972" s="6">
        <f t="shared" si="778"/>
        <v>0</v>
      </c>
      <c r="T4972" s="36">
        <f t="shared" si="779"/>
        <v>0</v>
      </c>
      <c r="V4972" s="6">
        <f t="shared" si="780"/>
        <v>0</v>
      </c>
      <c r="Y4972" s="8">
        <f t="shared" si="781"/>
        <v>46023</v>
      </c>
    </row>
    <row r="4973" spans="2:25" ht="18.75" x14ac:dyDescent="0.3">
      <c r="B4973" s="6">
        <f t="shared" si="773"/>
        <v>0</v>
      </c>
      <c r="C4973" s="6">
        <f t="shared" si="774"/>
        <v>0</v>
      </c>
      <c r="D4973" s="6" t="str">
        <f t="shared" si="775"/>
        <v/>
      </c>
      <c r="E4973" s="35" t="str">
        <f t="shared" si="772"/>
        <v/>
      </c>
      <c r="F4973" s="31"/>
      <c r="G4973" s="29"/>
      <c r="H4973" s="78" t="str">
        <f t="shared" si="776"/>
        <v/>
      </c>
      <c r="I4973" s="25"/>
      <c r="J4973" s="25"/>
      <c r="K4973" s="26"/>
      <c r="L4973" s="26"/>
      <c r="M4973" s="37"/>
      <c r="N4973" s="27"/>
      <c r="O4973" s="30"/>
      <c r="P4973" s="39" t="str">
        <f t="shared" si="777"/>
        <v/>
      </c>
      <c r="Q4973" s="40" t="str">
        <f>IF(OR(T4973=0,RIGHT(T4973,1)=$W$1),"",COUNTIF($T$3:T4973,T4973))</f>
        <v/>
      </c>
      <c r="S4973" s="6">
        <f t="shared" si="778"/>
        <v>0</v>
      </c>
      <c r="T4973" s="36">
        <f t="shared" si="779"/>
        <v>0</v>
      </c>
      <c r="V4973" s="6">
        <f t="shared" si="780"/>
        <v>0</v>
      </c>
      <c r="Y4973" s="8">
        <f t="shared" si="781"/>
        <v>46023</v>
      </c>
    </row>
    <row r="4974" spans="2:25" ht="18.75" x14ac:dyDescent="0.3">
      <c r="B4974" s="6">
        <f t="shared" si="773"/>
        <v>0</v>
      </c>
      <c r="C4974" s="6">
        <f t="shared" si="774"/>
        <v>0</v>
      </c>
      <c r="D4974" s="6" t="str">
        <f t="shared" si="775"/>
        <v/>
      </c>
      <c r="E4974" s="35" t="str">
        <f t="shared" si="772"/>
        <v/>
      </c>
      <c r="F4974" s="31"/>
      <c r="G4974" s="29"/>
      <c r="H4974" s="78" t="str">
        <f t="shared" si="776"/>
        <v/>
      </c>
      <c r="I4974" s="25"/>
      <c r="J4974" s="25"/>
      <c r="K4974" s="26"/>
      <c r="L4974" s="26"/>
      <c r="M4974" s="37"/>
      <c r="N4974" s="27"/>
      <c r="O4974" s="30"/>
      <c r="P4974" s="39" t="str">
        <f t="shared" si="777"/>
        <v/>
      </c>
      <c r="Q4974" s="40" t="str">
        <f>IF(OR(T4974=0,RIGHT(T4974,1)=$W$1),"",COUNTIF($T$3:T4974,T4974))</f>
        <v/>
      </c>
      <c r="S4974" s="6">
        <f t="shared" si="778"/>
        <v>0</v>
      </c>
      <c r="T4974" s="36">
        <f t="shared" si="779"/>
        <v>0</v>
      </c>
      <c r="V4974" s="6">
        <f t="shared" si="780"/>
        <v>0</v>
      </c>
      <c r="Y4974" s="8">
        <f t="shared" si="781"/>
        <v>46023</v>
      </c>
    </row>
    <row r="4975" spans="2:25" ht="18.75" x14ac:dyDescent="0.3">
      <c r="B4975" s="6">
        <f t="shared" si="773"/>
        <v>0</v>
      </c>
      <c r="C4975" s="6">
        <f t="shared" si="774"/>
        <v>0</v>
      </c>
      <c r="D4975" s="6" t="str">
        <f t="shared" si="775"/>
        <v/>
      </c>
      <c r="E4975" s="35" t="str">
        <f t="shared" si="772"/>
        <v/>
      </c>
      <c r="F4975" s="31"/>
      <c r="G4975" s="29"/>
      <c r="H4975" s="78" t="str">
        <f t="shared" si="776"/>
        <v/>
      </c>
      <c r="I4975" s="25"/>
      <c r="J4975" s="25"/>
      <c r="K4975" s="26"/>
      <c r="L4975" s="26"/>
      <c r="M4975" s="37"/>
      <c r="N4975" s="27"/>
      <c r="O4975" s="30"/>
      <c r="P4975" s="39" t="str">
        <f t="shared" si="777"/>
        <v/>
      </c>
      <c r="Q4975" s="40" t="str">
        <f>IF(OR(T4975=0,RIGHT(T4975,1)=$W$1),"",COUNTIF($T$3:T4975,T4975))</f>
        <v/>
      </c>
      <c r="S4975" s="6">
        <f t="shared" si="778"/>
        <v>0</v>
      </c>
      <c r="T4975" s="36">
        <f t="shared" si="779"/>
        <v>0</v>
      </c>
      <c r="V4975" s="6">
        <f t="shared" si="780"/>
        <v>0</v>
      </c>
      <c r="Y4975" s="8">
        <f t="shared" si="781"/>
        <v>46023</v>
      </c>
    </row>
    <row r="4976" spans="2:25" ht="18.75" x14ac:dyDescent="0.3">
      <c r="B4976" s="6">
        <f t="shared" si="773"/>
        <v>0</v>
      </c>
      <c r="C4976" s="6">
        <f t="shared" si="774"/>
        <v>0</v>
      </c>
      <c r="D4976" s="6" t="str">
        <f t="shared" si="775"/>
        <v/>
      </c>
      <c r="E4976" s="35" t="str">
        <f t="shared" si="772"/>
        <v/>
      </c>
      <c r="F4976" s="31"/>
      <c r="G4976" s="29"/>
      <c r="H4976" s="78" t="str">
        <f t="shared" si="776"/>
        <v/>
      </c>
      <c r="I4976" s="25"/>
      <c r="J4976" s="25"/>
      <c r="K4976" s="26"/>
      <c r="L4976" s="26"/>
      <c r="M4976" s="37"/>
      <c r="N4976" s="27"/>
      <c r="O4976" s="30"/>
      <c r="P4976" s="39" t="str">
        <f t="shared" si="777"/>
        <v/>
      </c>
      <c r="Q4976" s="40" t="str">
        <f>IF(OR(T4976=0,RIGHT(T4976,1)=$W$1),"",COUNTIF($T$3:T4976,T4976))</f>
        <v/>
      </c>
      <c r="S4976" s="6">
        <f t="shared" si="778"/>
        <v>0</v>
      </c>
      <c r="T4976" s="36">
        <f t="shared" si="779"/>
        <v>0</v>
      </c>
      <c r="V4976" s="6">
        <f t="shared" si="780"/>
        <v>0</v>
      </c>
      <c r="Y4976" s="8">
        <f t="shared" si="781"/>
        <v>46023</v>
      </c>
    </row>
    <row r="4977" spans="2:25" ht="18.75" x14ac:dyDescent="0.3">
      <c r="B4977" s="6">
        <f t="shared" si="773"/>
        <v>0</v>
      </c>
      <c r="C4977" s="6">
        <f t="shared" si="774"/>
        <v>0</v>
      </c>
      <c r="D4977" s="6" t="str">
        <f t="shared" si="775"/>
        <v/>
      </c>
      <c r="E4977" s="35" t="str">
        <f t="shared" si="772"/>
        <v/>
      </c>
      <c r="F4977" s="31"/>
      <c r="G4977" s="29"/>
      <c r="H4977" s="78" t="str">
        <f t="shared" si="776"/>
        <v/>
      </c>
      <c r="I4977" s="25"/>
      <c r="J4977" s="25"/>
      <c r="K4977" s="26"/>
      <c r="L4977" s="26"/>
      <c r="M4977" s="37"/>
      <c r="N4977" s="27"/>
      <c r="O4977" s="30"/>
      <c r="P4977" s="39" t="str">
        <f t="shared" si="777"/>
        <v/>
      </c>
      <c r="Q4977" s="40" t="str">
        <f>IF(OR(T4977=0,RIGHT(T4977,1)=$W$1),"",COUNTIF($T$3:T4977,T4977))</f>
        <v/>
      </c>
      <c r="S4977" s="6">
        <f t="shared" si="778"/>
        <v>0</v>
      </c>
      <c r="T4977" s="36">
        <f t="shared" si="779"/>
        <v>0</v>
      </c>
      <c r="V4977" s="6">
        <f t="shared" si="780"/>
        <v>0</v>
      </c>
      <c r="Y4977" s="8">
        <f t="shared" si="781"/>
        <v>46023</v>
      </c>
    </row>
    <row r="4978" spans="2:25" ht="18.75" x14ac:dyDescent="0.3">
      <c r="B4978" s="6">
        <f t="shared" si="773"/>
        <v>0</v>
      </c>
      <c r="C4978" s="6">
        <f t="shared" si="774"/>
        <v>0</v>
      </c>
      <c r="D4978" s="6" t="str">
        <f t="shared" si="775"/>
        <v/>
      </c>
      <c r="E4978" s="35" t="str">
        <f t="shared" si="772"/>
        <v/>
      </c>
      <c r="F4978" s="31"/>
      <c r="G4978" s="29"/>
      <c r="H4978" s="78" t="str">
        <f t="shared" si="776"/>
        <v/>
      </c>
      <c r="I4978" s="25"/>
      <c r="J4978" s="25"/>
      <c r="K4978" s="26"/>
      <c r="L4978" s="26"/>
      <c r="M4978" s="37"/>
      <c r="N4978" s="27"/>
      <c r="O4978" s="30"/>
      <c r="P4978" s="39" t="str">
        <f t="shared" si="777"/>
        <v/>
      </c>
      <c r="Q4978" s="40" t="str">
        <f>IF(OR(T4978=0,RIGHT(T4978,1)=$W$1),"",COUNTIF($T$3:T4978,T4978))</f>
        <v/>
      </c>
      <c r="S4978" s="6">
        <f t="shared" si="778"/>
        <v>0</v>
      </c>
      <c r="T4978" s="36">
        <f t="shared" si="779"/>
        <v>0</v>
      </c>
      <c r="V4978" s="6">
        <f t="shared" si="780"/>
        <v>0</v>
      </c>
      <c r="Y4978" s="8">
        <f t="shared" si="781"/>
        <v>46023</v>
      </c>
    </row>
    <row r="4979" spans="2:25" ht="18.75" x14ac:dyDescent="0.3">
      <c r="B4979" s="6">
        <f t="shared" si="773"/>
        <v>0</v>
      </c>
      <c r="C4979" s="6">
        <f t="shared" si="774"/>
        <v>0</v>
      </c>
      <c r="D4979" s="6" t="str">
        <f t="shared" si="775"/>
        <v/>
      </c>
      <c r="E4979" s="35" t="str">
        <f t="shared" si="772"/>
        <v/>
      </c>
      <c r="F4979" s="31"/>
      <c r="G4979" s="29"/>
      <c r="H4979" s="78" t="str">
        <f t="shared" si="776"/>
        <v/>
      </c>
      <c r="I4979" s="25"/>
      <c r="J4979" s="25"/>
      <c r="K4979" s="26"/>
      <c r="L4979" s="26"/>
      <c r="M4979" s="37"/>
      <c r="N4979" s="27"/>
      <c r="O4979" s="30"/>
      <c r="P4979" s="39" t="str">
        <f t="shared" si="777"/>
        <v/>
      </c>
      <c r="Q4979" s="40" t="str">
        <f>IF(OR(T4979=0,RIGHT(T4979,1)=$W$1),"",COUNTIF($T$3:T4979,T4979))</f>
        <v/>
      </c>
      <c r="S4979" s="6">
        <f t="shared" si="778"/>
        <v>0</v>
      </c>
      <c r="T4979" s="36">
        <f t="shared" si="779"/>
        <v>0</v>
      </c>
      <c r="V4979" s="6">
        <f t="shared" si="780"/>
        <v>0</v>
      </c>
      <c r="Y4979" s="8">
        <f t="shared" si="781"/>
        <v>46023</v>
      </c>
    </row>
    <row r="4980" spans="2:25" ht="18.75" x14ac:dyDescent="0.3">
      <c r="B4980" s="6">
        <f t="shared" si="773"/>
        <v>0</v>
      </c>
      <c r="C4980" s="6">
        <f t="shared" si="774"/>
        <v>0</v>
      </c>
      <c r="D4980" s="6" t="str">
        <f t="shared" si="775"/>
        <v/>
      </c>
      <c r="E4980" s="35" t="str">
        <f t="shared" si="772"/>
        <v/>
      </c>
      <c r="F4980" s="31"/>
      <c r="G4980" s="29"/>
      <c r="H4980" s="78" t="str">
        <f t="shared" si="776"/>
        <v/>
      </c>
      <c r="I4980" s="25"/>
      <c r="J4980" s="25"/>
      <c r="K4980" s="26"/>
      <c r="L4980" s="26"/>
      <c r="M4980" s="37"/>
      <c r="N4980" s="27"/>
      <c r="O4980" s="30"/>
      <c r="P4980" s="39" t="str">
        <f t="shared" si="777"/>
        <v/>
      </c>
      <c r="Q4980" s="40" t="str">
        <f>IF(OR(T4980=0,RIGHT(T4980,1)=$W$1),"",COUNTIF($T$3:T4980,T4980))</f>
        <v/>
      </c>
      <c r="S4980" s="6">
        <f t="shared" si="778"/>
        <v>0</v>
      </c>
      <c r="T4980" s="36">
        <f t="shared" si="779"/>
        <v>0</v>
      </c>
      <c r="V4980" s="6">
        <f t="shared" si="780"/>
        <v>0</v>
      </c>
      <c r="Y4980" s="8">
        <f t="shared" si="781"/>
        <v>46023</v>
      </c>
    </row>
    <row r="4981" spans="2:25" ht="18.75" x14ac:dyDescent="0.3">
      <c r="B4981" s="6">
        <f t="shared" si="773"/>
        <v>0</v>
      </c>
      <c r="C4981" s="6">
        <f t="shared" si="774"/>
        <v>0</v>
      </c>
      <c r="D4981" s="6" t="str">
        <f t="shared" si="775"/>
        <v/>
      </c>
      <c r="E4981" s="35" t="str">
        <f t="shared" si="772"/>
        <v/>
      </c>
      <c r="F4981" s="31"/>
      <c r="G4981" s="29"/>
      <c r="H4981" s="78" t="str">
        <f t="shared" si="776"/>
        <v/>
      </c>
      <c r="I4981" s="25"/>
      <c r="J4981" s="25"/>
      <c r="K4981" s="26"/>
      <c r="L4981" s="26"/>
      <c r="M4981" s="37"/>
      <c r="N4981" s="27"/>
      <c r="O4981" s="30"/>
      <c r="P4981" s="39" t="str">
        <f t="shared" si="777"/>
        <v/>
      </c>
      <c r="Q4981" s="40" t="str">
        <f>IF(OR(T4981=0,RIGHT(T4981,1)=$W$1),"",COUNTIF($T$3:T4981,T4981))</f>
        <v/>
      </c>
      <c r="S4981" s="6">
        <f t="shared" si="778"/>
        <v>0</v>
      </c>
      <c r="T4981" s="36">
        <f t="shared" si="779"/>
        <v>0</v>
      </c>
      <c r="V4981" s="6">
        <f t="shared" si="780"/>
        <v>0</v>
      </c>
      <c r="Y4981" s="8">
        <f t="shared" si="781"/>
        <v>46023</v>
      </c>
    </row>
    <row r="4982" spans="2:25" ht="18.75" x14ac:dyDescent="0.3">
      <c r="B4982" s="6">
        <f t="shared" si="773"/>
        <v>0</v>
      </c>
      <c r="C4982" s="6">
        <f t="shared" si="774"/>
        <v>0</v>
      </c>
      <c r="D4982" s="6" t="str">
        <f t="shared" si="775"/>
        <v/>
      </c>
      <c r="E4982" s="35" t="str">
        <f t="shared" si="772"/>
        <v/>
      </c>
      <c r="F4982" s="31"/>
      <c r="G4982" s="29"/>
      <c r="H4982" s="78" t="str">
        <f t="shared" si="776"/>
        <v/>
      </c>
      <c r="I4982" s="25"/>
      <c r="J4982" s="25"/>
      <c r="K4982" s="26"/>
      <c r="L4982" s="26"/>
      <c r="M4982" s="37"/>
      <c r="N4982" s="27"/>
      <c r="O4982" s="30"/>
      <c r="P4982" s="39" t="str">
        <f t="shared" si="777"/>
        <v/>
      </c>
      <c r="Q4982" s="40" t="str">
        <f>IF(OR(T4982=0,RIGHT(T4982,1)=$W$1),"",COUNTIF($T$3:T4982,T4982))</f>
        <v/>
      </c>
      <c r="S4982" s="6">
        <f t="shared" si="778"/>
        <v>0</v>
      </c>
      <c r="T4982" s="36">
        <f t="shared" si="779"/>
        <v>0</v>
      </c>
      <c r="V4982" s="6">
        <f t="shared" si="780"/>
        <v>0</v>
      </c>
      <c r="Y4982" s="8">
        <f t="shared" si="781"/>
        <v>46023</v>
      </c>
    </row>
    <row r="4983" spans="2:25" ht="18.75" x14ac:dyDescent="0.3">
      <c r="B4983" s="6">
        <f t="shared" si="773"/>
        <v>0</v>
      </c>
      <c r="C4983" s="6">
        <f t="shared" si="774"/>
        <v>0</v>
      </c>
      <c r="D4983" s="6" t="str">
        <f t="shared" si="775"/>
        <v/>
      </c>
      <c r="E4983" s="35" t="str">
        <f t="shared" si="772"/>
        <v/>
      </c>
      <c r="F4983" s="31"/>
      <c r="G4983" s="29"/>
      <c r="H4983" s="78" t="str">
        <f t="shared" si="776"/>
        <v/>
      </c>
      <c r="I4983" s="25"/>
      <c r="J4983" s="25"/>
      <c r="K4983" s="26"/>
      <c r="L4983" s="26"/>
      <c r="M4983" s="37"/>
      <c r="N4983" s="27"/>
      <c r="O4983" s="30"/>
      <c r="P4983" s="39" t="str">
        <f t="shared" si="777"/>
        <v/>
      </c>
      <c r="Q4983" s="40" t="str">
        <f>IF(OR(T4983=0,RIGHT(T4983,1)=$W$1),"",COUNTIF($T$3:T4983,T4983))</f>
        <v/>
      </c>
      <c r="S4983" s="6">
        <f t="shared" si="778"/>
        <v>0</v>
      </c>
      <c r="T4983" s="36">
        <f t="shared" si="779"/>
        <v>0</v>
      </c>
      <c r="V4983" s="6">
        <f t="shared" si="780"/>
        <v>0</v>
      </c>
      <c r="Y4983" s="8">
        <f t="shared" si="781"/>
        <v>46023</v>
      </c>
    </row>
    <row r="4984" spans="2:25" ht="18.75" x14ac:dyDescent="0.3">
      <c r="B4984" s="6">
        <f t="shared" si="773"/>
        <v>0</v>
      </c>
      <c r="C4984" s="6">
        <f t="shared" si="774"/>
        <v>0</v>
      </c>
      <c r="D4984" s="6" t="str">
        <f t="shared" si="775"/>
        <v/>
      </c>
      <c r="E4984" s="35" t="str">
        <f t="shared" si="772"/>
        <v/>
      </c>
      <c r="F4984" s="31"/>
      <c r="G4984" s="29"/>
      <c r="H4984" s="78" t="str">
        <f t="shared" si="776"/>
        <v/>
      </c>
      <c r="I4984" s="25"/>
      <c r="J4984" s="25"/>
      <c r="K4984" s="26"/>
      <c r="L4984" s="26"/>
      <c r="M4984" s="37"/>
      <c r="N4984" s="27"/>
      <c r="O4984" s="30"/>
      <c r="P4984" s="39" t="str">
        <f t="shared" si="777"/>
        <v/>
      </c>
      <c r="Q4984" s="40" t="str">
        <f>IF(OR(T4984=0,RIGHT(T4984,1)=$W$1),"",COUNTIF($T$3:T4984,T4984))</f>
        <v/>
      </c>
      <c r="S4984" s="6">
        <f t="shared" si="778"/>
        <v>0</v>
      </c>
      <c r="T4984" s="36">
        <f t="shared" si="779"/>
        <v>0</v>
      </c>
      <c r="V4984" s="6">
        <f t="shared" si="780"/>
        <v>0</v>
      </c>
      <c r="Y4984" s="8">
        <f t="shared" si="781"/>
        <v>46023</v>
      </c>
    </row>
    <row r="4985" spans="2:25" ht="18.75" x14ac:dyDescent="0.3">
      <c r="B4985" s="6">
        <f t="shared" si="773"/>
        <v>0</v>
      </c>
      <c r="C4985" s="6">
        <f t="shared" si="774"/>
        <v>0</v>
      </c>
      <c r="D4985" s="6" t="str">
        <f t="shared" si="775"/>
        <v/>
      </c>
      <c r="E4985" s="35" t="str">
        <f t="shared" si="772"/>
        <v/>
      </c>
      <c r="F4985" s="31"/>
      <c r="G4985" s="29"/>
      <c r="H4985" s="78" t="str">
        <f t="shared" si="776"/>
        <v/>
      </c>
      <c r="I4985" s="25"/>
      <c r="J4985" s="25"/>
      <c r="K4985" s="26"/>
      <c r="L4985" s="26"/>
      <c r="M4985" s="37"/>
      <c r="N4985" s="27"/>
      <c r="O4985" s="30"/>
      <c r="P4985" s="39" t="str">
        <f t="shared" si="777"/>
        <v/>
      </c>
      <c r="Q4985" s="40" t="str">
        <f>IF(OR(T4985=0,RIGHT(T4985,1)=$W$1),"",COUNTIF($T$3:T4985,T4985))</f>
        <v/>
      </c>
      <c r="S4985" s="6">
        <f t="shared" si="778"/>
        <v>0</v>
      </c>
      <c r="T4985" s="36">
        <f t="shared" si="779"/>
        <v>0</v>
      </c>
      <c r="V4985" s="6">
        <f t="shared" si="780"/>
        <v>0</v>
      </c>
      <c r="Y4985" s="8">
        <f t="shared" si="781"/>
        <v>46023</v>
      </c>
    </row>
    <row r="4986" spans="2:25" ht="18.75" x14ac:dyDescent="0.3">
      <c r="B4986" s="6">
        <f t="shared" si="773"/>
        <v>0</v>
      </c>
      <c r="C4986" s="6">
        <f t="shared" si="774"/>
        <v>0</v>
      </c>
      <c r="D4986" s="6" t="str">
        <f t="shared" si="775"/>
        <v/>
      </c>
      <c r="E4986" s="35" t="str">
        <f t="shared" si="772"/>
        <v/>
      </c>
      <c r="F4986" s="31"/>
      <c r="G4986" s="29"/>
      <c r="H4986" s="78" t="str">
        <f t="shared" si="776"/>
        <v/>
      </c>
      <c r="I4986" s="25"/>
      <c r="J4986" s="25"/>
      <c r="K4986" s="26"/>
      <c r="L4986" s="26"/>
      <c r="M4986" s="37"/>
      <c r="N4986" s="27"/>
      <c r="O4986" s="30"/>
      <c r="P4986" s="39" t="str">
        <f t="shared" si="777"/>
        <v/>
      </c>
      <c r="Q4986" s="40" t="str">
        <f>IF(OR(T4986=0,RIGHT(T4986,1)=$W$1),"",COUNTIF($T$3:T4986,T4986))</f>
        <v/>
      </c>
      <c r="S4986" s="6">
        <f t="shared" si="778"/>
        <v>0</v>
      </c>
      <c r="T4986" s="36">
        <f t="shared" si="779"/>
        <v>0</v>
      </c>
      <c r="V4986" s="6">
        <f t="shared" si="780"/>
        <v>0</v>
      </c>
      <c r="Y4986" s="8">
        <f t="shared" si="781"/>
        <v>46023</v>
      </c>
    </row>
    <row r="4987" spans="2:25" ht="18.75" x14ac:dyDescent="0.3">
      <c r="B4987" s="6">
        <f t="shared" si="773"/>
        <v>0</v>
      </c>
      <c r="C4987" s="6">
        <f t="shared" si="774"/>
        <v>0</v>
      </c>
      <c r="D4987" s="6" t="str">
        <f t="shared" si="775"/>
        <v/>
      </c>
      <c r="E4987" s="35" t="str">
        <f t="shared" si="772"/>
        <v/>
      </c>
      <c r="F4987" s="31"/>
      <c r="G4987" s="29"/>
      <c r="H4987" s="78" t="str">
        <f t="shared" si="776"/>
        <v/>
      </c>
      <c r="I4987" s="25"/>
      <c r="J4987" s="25"/>
      <c r="K4987" s="26"/>
      <c r="L4987" s="26"/>
      <c r="M4987" s="37"/>
      <c r="N4987" s="27"/>
      <c r="O4987" s="30"/>
      <c r="P4987" s="39" t="str">
        <f t="shared" si="777"/>
        <v/>
      </c>
      <c r="Q4987" s="40" t="str">
        <f>IF(OR(T4987=0,RIGHT(T4987,1)=$W$1),"",COUNTIF($T$3:T4987,T4987))</f>
        <v/>
      </c>
      <c r="S4987" s="6">
        <f t="shared" si="778"/>
        <v>0</v>
      </c>
      <c r="T4987" s="36">
        <f t="shared" si="779"/>
        <v>0</v>
      </c>
      <c r="V4987" s="6">
        <f t="shared" si="780"/>
        <v>0</v>
      </c>
      <c r="Y4987" s="8">
        <f t="shared" si="781"/>
        <v>46023</v>
      </c>
    </row>
    <row r="4988" spans="2:25" ht="18.75" x14ac:dyDescent="0.3">
      <c r="B4988" s="6">
        <f t="shared" si="773"/>
        <v>0</v>
      </c>
      <c r="C4988" s="6">
        <f t="shared" si="774"/>
        <v>0</v>
      </c>
      <c r="D4988" s="6" t="str">
        <f t="shared" si="775"/>
        <v/>
      </c>
      <c r="E4988" s="35" t="str">
        <f t="shared" si="772"/>
        <v/>
      </c>
      <c r="F4988" s="31"/>
      <c r="G4988" s="29"/>
      <c r="H4988" s="78" t="str">
        <f t="shared" si="776"/>
        <v/>
      </c>
      <c r="I4988" s="25"/>
      <c r="J4988" s="25"/>
      <c r="K4988" s="26"/>
      <c r="L4988" s="26"/>
      <c r="M4988" s="37"/>
      <c r="N4988" s="27"/>
      <c r="O4988" s="30"/>
      <c r="P4988" s="39" t="str">
        <f t="shared" si="777"/>
        <v/>
      </c>
      <c r="Q4988" s="40" t="str">
        <f>IF(OR(T4988=0,RIGHT(T4988,1)=$W$1),"",COUNTIF($T$3:T4988,T4988))</f>
        <v/>
      </c>
      <c r="S4988" s="6">
        <f t="shared" si="778"/>
        <v>0</v>
      </c>
      <c r="T4988" s="36">
        <f t="shared" si="779"/>
        <v>0</v>
      </c>
      <c r="V4988" s="6">
        <f t="shared" si="780"/>
        <v>0</v>
      </c>
      <c r="Y4988" s="8">
        <f t="shared" si="781"/>
        <v>46023</v>
      </c>
    </row>
    <row r="4989" spans="2:25" ht="18.75" x14ac:dyDescent="0.3">
      <c r="B4989" s="6">
        <f t="shared" si="773"/>
        <v>0</v>
      </c>
      <c r="C4989" s="6">
        <f t="shared" si="774"/>
        <v>0</v>
      </c>
      <c r="D4989" s="6" t="str">
        <f t="shared" si="775"/>
        <v/>
      </c>
      <c r="E4989" s="35" t="str">
        <f t="shared" si="772"/>
        <v/>
      </c>
      <c r="F4989" s="31"/>
      <c r="G4989" s="29"/>
      <c r="H4989" s="78" t="str">
        <f t="shared" si="776"/>
        <v/>
      </c>
      <c r="I4989" s="25"/>
      <c r="J4989" s="25"/>
      <c r="K4989" s="26"/>
      <c r="L4989" s="26"/>
      <c r="M4989" s="37"/>
      <c r="N4989" s="27"/>
      <c r="O4989" s="30"/>
      <c r="P4989" s="39" t="str">
        <f t="shared" si="777"/>
        <v/>
      </c>
      <c r="Q4989" s="40" t="str">
        <f>IF(OR(T4989=0,RIGHT(T4989,1)=$W$1),"",COUNTIF($T$3:T4989,T4989))</f>
        <v/>
      </c>
      <c r="S4989" s="6">
        <f t="shared" si="778"/>
        <v>0</v>
      </c>
      <c r="T4989" s="36">
        <f t="shared" si="779"/>
        <v>0</v>
      </c>
      <c r="V4989" s="6">
        <f t="shared" si="780"/>
        <v>0</v>
      </c>
      <c r="Y4989" s="8">
        <f t="shared" si="781"/>
        <v>46023</v>
      </c>
    </row>
    <row r="4990" spans="2:25" ht="18.75" x14ac:dyDescent="0.3">
      <c r="B4990" s="6">
        <f t="shared" si="773"/>
        <v>0</v>
      </c>
      <c r="C4990" s="6">
        <f t="shared" si="774"/>
        <v>0</v>
      </c>
      <c r="D4990" s="6" t="str">
        <f t="shared" si="775"/>
        <v/>
      </c>
      <c r="E4990" s="35" t="str">
        <f t="shared" si="772"/>
        <v/>
      </c>
      <c r="F4990" s="31"/>
      <c r="G4990" s="29"/>
      <c r="H4990" s="78" t="str">
        <f t="shared" si="776"/>
        <v/>
      </c>
      <c r="I4990" s="25"/>
      <c r="J4990" s="25"/>
      <c r="K4990" s="26"/>
      <c r="L4990" s="26"/>
      <c r="M4990" s="37"/>
      <c r="N4990" s="27"/>
      <c r="O4990" s="30"/>
      <c r="P4990" s="39" t="str">
        <f t="shared" si="777"/>
        <v/>
      </c>
      <c r="Q4990" s="40" t="str">
        <f>IF(OR(T4990=0,RIGHT(T4990,1)=$W$1),"",COUNTIF($T$3:T4990,T4990))</f>
        <v/>
      </c>
      <c r="S4990" s="6">
        <f t="shared" si="778"/>
        <v>0</v>
      </c>
      <c r="T4990" s="36">
        <f t="shared" si="779"/>
        <v>0</v>
      </c>
      <c r="V4990" s="6">
        <f t="shared" si="780"/>
        <v>0</v>
      </c>
      <c r="Y4990" s="8">
        <f t="shared" si="781"/>
        <v>46023</v>
      </c>
    </row>
    <row r="4991" spans="2:25" ht="18.75" x14ac:dyDescent="0.3">
      <c r="B4991" s="6">
        <f t="shared" si="773"/>
        <v>0</v>
      </c>
      <c r="C4991" s="6">
        <f t="shared" si="774"/>
        <v>0</v>
      </c>
      <c r="D4991" s="6" t="str">
        <f t="shared" si="775"/>
        <v/>
      </c>
      <c r="E4991" s="35" t="str">
        <f t="shared" si="772"/>
        <v/>
      </c>
      <c r="F4991" s="31"/>
      <c r="G4991" s="29"/>
      <c r="H4991" s="78" t="str">
        <f t="shared" si="776"/>
        <v/>
      </c>
      <c r="I4991" s="25"/>
      <c r="J4991" s="25"/>
      <c r="K4991" s="26"/>
      <c r="L4991" s="26"/>
      <c r="M4991" s="37"/>
      <c r="N4991" s="27"/>
      <c r="O4991" s="30"/>
      <c r="P4991" s="39" t="str">
        <f t="shared" si="777"/>
        <v/>
      </c>
      <c r="Q4991" s="40" t="str">
        <f>IF(OR(T4991=0,RIGHT(T4991,1)=$W$1),"",COUNTIF($T$3:T4991,T4991))</f>
        <v/>
      </c>
      <c r="S4991" s="6">
        <f t="shared" si="778"/>
        <v>0</v>
      </c>
      <c r="T4991" s="36">
        <f t="shared" si="779"/>
        <v>0</v>
      </c>
      <c r="V4991" s="6">
        <f t="shared" si="780"/>
        <v>0</v>
      </c>
      <c r="Y4991" s="8">
        <f t="shared" si="781"/>
        <v>46023</v>
      </c>
    </row>
    <row r="4992" spans="2:25" ht="18.75" x14ac:dyDescent="0.3">
      <c r="B4992" s="6">
        <f t="shared" si="773"/>
        <v>0</v>
      </c>
      <c r="C4992" s="6">
        <f t="shared" si="774"/>
        <v>0</v>
      </c>
      <c r="D4992" s="6" t="str">
        <f t="shared" si="775"/>
        <v/>
      </c>
      <c r="E4992" s="35" t="str">
        <f t="shared" si="772"/>
        <v/>
      </c>
      <c r="F4992" s="31"/>
      <c r="G4992" s="29"/>
      <c r="H4992" s="78" t="str">
        <f t="shared" si="776"/>
        <v/>
      </c>
      <c r="I4992" s="25"/>
      <c r="J4992" s="25"/>
      <c r="K4992" s="26"/>
      <c r="L4992" s="26"/>
      <c r="M4992" s="37"/>
      <c r="N4992" s="27"/>
      <c r="O4992" s="30"/>
      <c r="P4992" s="39" t="str">
        <f t="shared" si="777"/>
        <v/>
      </c>
      <c r="Q4992" s="40" t="str">
        <f>IF(OR(T4992=0,RIGHT(T4992,1)=$W$1),"",COUNTIF($T$3:T4992,T4992))</f>
        <v/>
      </c>
      <c r="S4992" s="6">
        <f t="shared" si="778"/>
        <v>0</v>
      </c>
      <c r="T4992" s="36">
        <f t="shared" si="779"/>
        <v>0</v>
      </c>
      <c r="V4992" s="6">
        <f t="shared" si="780"/>
        <v>0</v>
      </c>
      <c r="Y4992" s="8">
        <f t="shared" si="781"/>
        <v>46023</v>
      </c>
    </row>
    <row r="4993" spans="2:25" ht="18.75" x14ac:dyDescent="0.3">
      <c r="B4993" s="6">
        <f t="shared" si="773"/>
        <v>0</v>
      </c>
      <c r="C4993" s="6">
        <f t="shared" si="774"/>
        <v>0</v>
      </c>
      <c r="D4993" s="6" t="str">
        <f t="shared" si="775"/>
        <v/>
      </c>
      <c r="E4993" s="35" t="str">
        <f t="shared" si="772"/>
        <v/>
      </c>
      <c r="F4993" s="31"/>
      <c r="G4993" s="29"/>
      <c r="H4993" s="78" t="str">
        <f t="shared" si="776"/>
        <v/>
      </c>
      <c r="I4993" s="25"/>
      <c r="J4993" s="25"/>
      <c r="K4993" s="26"/>
      <c r="L4993" s="26"/>
      <c r="M4993" s="37"/>
      <c r="N4993" s="27"/>
      <c r="O4993" s="30"/>
      <c r="P4993" s="39" t="str">
        <f t="shared" si="777"/>
        <v/>
      </c>
      <c r="Q4993" s="40" t="str">
        <f>IF(OR(T4993=0,RIGHT(T4993,1)=$W$1),"",COUNTIF($T$3:T4993,T4993))</f>
        <v/>
      </c>
      <c r="S4993" s="6">
        <f t="shared" si="778"/>
        <v>0</v>
      </c>
      <c r="T4993" s="36">
        <f t="shared" si="779"/>
        <v>0</v>
      </c>
      <c r="V4993" s="6">
        <f t="shared" si="780"/>
        <v>0</v>
      </c>
      <c r="Y4993" s="8">
        <f t="shared" si="781"/>
        <v>46023</v>
      </c>
    </row>
    <row r="4994" spans="2:25" ht="18.75" x14ac:dyDescent="0.3">
      <c r="B4994" s="6">
        <f t="shared" si="773"/>
        <v>0</v>
      </c>
      <c r="C4994" s="6">
        <f t="shared" si="774"/>
        <v>0</v>
      </c>
      <c r="D4994" s="6" t="str">
        <f t="shared" si="775"/>
        <v/>
      </c>
      <c r="E4994" s="35" t="str">
        <f t="shared" si="772"/>
        <v/>
      </c>
      <c r="F4994" s="31"/>
      <c r="G4994" s="29"/>
      <c r="H4994" s="78" t="str">
        <f t="shared" si="776"/>
        <v/>
      </c>
      <c r="I4994" s="25"/>
      <c r="J4994" s="25"/>
      <c r="K4994" s="26"/>
      <c r="L4994" s="26"/>
      <c r="M4994" s="37"/>
      <c r="N4994" s="27"/>
      <c r="O4994" s="30"/>
      <c r="P4994" s="39" t="str">
        <f t="shared" si="777"/>
        <v/>
      </c>
      <c r="Q4994" s="40" t="str">
        <f>IF(OR(T4994=0,RIGHT(T4994,1)=$W$1),"",COUNTIF($T$3:T4994,T4994))</f>
        <v/>
      </c>
      <c r="S4994" s="6">
        <f t="shared" si="778"/>
        <v>0</v>
      </c>
      <c r="T4994" s="36">
        <f t="shared" si="779"/>
        <v>0</v>
      </c>
      <c r="V4994" s="6">
        <f t="shared" si="780"/>
        <v>0</v>
      </c>
      <c r="Y4994" s="8">
        <f t="shared" si="781"/>
        <v>46023</v>
      </c>
    </row>
    <row r="4995" spans="2:25" ht="18.75" x14ac:dyDescent="0.3">
      <c r="B4995" s="6">
        <f t="shared" si="773"/>
        <v>0</v>
      </c>
      <c r="C4995" s="6">
        <f t="shared" si="774"/>
        <v>0</v>
      </c>
      <c r="D4995" s="6" t="str">
        <f t="shared" si="775"/>
        <v/>
      </c>
      <c r="E4995" s="35" t="str">
        <f t="shared" ref="E4995:E5000" si="782">IF(D4995&lt;&gt;"",D4995&amp;" - "&amp;YEAR(F4995),"")</f>
        <v/>
      </c>
      <c r="F4995" s="31"/>
      <c r="G4995" s="29"/>
      <c r="H4995" s="78" t="str">
        <f t="shared" si="776"/>
        <v/>
      </c>
      <c r="I4995" s="25"/>
      <c r="J4995" s="25"/>
      <c r="K4995" s="26"/>
      <c r="L4995" s="26"/>
      <c r="M4995" s="37"/>
      <c r="N4995" s="27"/>
      <c r="O4995" s="30"/>
      <c r="P4995" s="39" t="str">
        <f t="shared" si="777"/>
        <v/>
      </c>
      <c r="Q4995" s="40" t="str">
        <f>IF(OR(T4995=0,RIGHT(T4995,1)=$W$1),"",COUNTIF($T$3:T4995,T4995))</f>
        <v/>
      </c>
      <c r="S4995" s="6">
        <f t="shared" si="778"/>
        <v>0</v>
      </c>
      <c r="T4995" s="36">
        <f t="shared" si="779"/>
        <v>0</v>
      </c>
      <c r="V4995" s="6">
        <f t="shared" si="780"/>
        <v>0</v>
      </c>
      <c r="Y4995" s="8">
        <f t="shared" si="781"/>
        <v>46023</v>
      </c>
    </row>
    <row r="4996" spans="2:25" ht="18.75" x14ac:dyDescent="0.3">
      <c r="B4996" s="6">
        <f t="shared" ref="B4996:B5000" si="783">IF($B$1=YEAR(F4996),B4995+1,B4995)</f>
        <v>0</v>
      </c>
      <c r="C4996" s="6">
        <f t="shared" ref="C4996:C5000" si="784">IF(AND($C$1=K4996,$Y$1=YEAR(F4996)),C4995+1,C4995)</f>
        <v>0</v>
      </c>
      <c r="D4996" s="6" t="str">
        <f t="shared" ref="D4996:D5000" si="785">IF(F4996&lt;&gt;0,IF(YEAR(F4996)&lt;&gt;YEAR(F4995),1,IF(M4996=$AI$1,D4995,D4995+1)),"")</f>
        <v/>
      </c>
      <c r="E4996" s="35" t="str">
        <f t="shared" si="782"/>
        <v/>
      </c>
      <c r="F4996" s="31"/>
      <c r="G4996" s="29"/>
      <c r="H4996" s="78" t="str">
        <f t="shared" ref="H4996:H5000" si="786">IF(G4996&lt;&gt;"",F4996,"")</f>
        <v/>
      </c>
      <c r="I4996" s="25"/>
      <c r="J4996" s="25"/>
      <c r="K4996" s="26"/>
      <c r="L4996" s="26"/>
      <c r="M4996" s="37"/>
      <c r="N4996" s="27"/>
      <c r="O4996" s="30"/>
      <c r="P4996" s="39" t="str">
        <f t="shared" ref="P4996:P5000" si="787">IF(OR(T4996=0,RIGHT(T4996,1)=$W$1),"",VLOOKUP(K4996,$AD$1:$AK$15,5,FALSE))</f>
        <v/>
      </c>
      <c r="Q4996" s="40" t="str">
        <f>IF(OR(T4996=0,RIGHT(T4996,1)=$W$1),"",COUNTIF($T$3:T4996,T4996))</f>
        <v/>
      </c>
      <c r="S4996" s="6">
        <f t="shared" ref="S4996:S5000" si="788">IF(AND($C$1=K4996,$Y$1=YEAR(F4996)),C4996,0)</f>
        <v>0</v>
      </c>
      <c r="T4996" s="36">
        <f t="shared" ref="T4996:T5000" si="789">IF(F4996=0,0,YEAR(F4996)&amp;VLOOKUP(K4996,$AD$1:$AE$15,2,FALSE))</f>
        <v>0</v>
      </c>
      <c r="V4996" s="6">
        <f t="shared" ref="V4996:V5000" si="790">IF(AND(YEAR(F4996)=$Y$1,K4996=$C$1,L4996&amp;$V$1&lt;&gt;$V$1),L4996,IF(AND(YEAR(F4996)=$Y$1,K4996=$C$1),1,0))</f>
        <v>0</v>
      </c>
      <c r="Y4996" s="8">
        <f t="shared" ref="Y4996:Y5000" si="791">IF(M4996&lt;&gt;$AI$1,$Y$2,F4995)</f>
        <v>46023</v>
      </c>
    </row>
    <row r="4997" spans="2:25" ht="18.75" x14ac:dyDescent="0.3">
      <c r="B4997" s="6">
        <f t="shared" si="783"/>
        <v>0</v>
      </c>
      <c r="C4997" s="6">
        <f t="shared" si="784"/>
        <v>0</v>
      </c>
      <c r="D4997" s="6" t="str">
        <f t="shared" si="785"/>
        <v/>
      </c>
      <c r="E4997" s="35" t="str">
        <f t="shared" si="782"/>
        <v/>
      </c>
      <c r="F4997" s="31"/>
      <c r="G4997" s="29"/>
      <c r="H4997" s="78" t="str">
        <f t="shared" si="786"/>
        <v/>
      </c>
      <c r="I4997" s="25"/>
      <c r="J4997" s="25"/>
      <c r="K4997" s="26"/>
      <c r="L4997" s="26"/>
      <c r="M4997" s="37"/>
      <c r="N4997" s="27"/>
      <c r="O4997" s="30"/>
      <c r="P4997" s="39" t="str">
        <f t="shared" si="787"/>
        <v/>
      </c>
      <c r="Q4997" s="40" t="str">
        <f>IF(OR(T4997=0,RIGHT(T4997,1)=$W$1),"",COUNTIF($T$3:T4997,T4997))</f>
        <v/>
      </c>
      <c r="S4997" s="6">
        <f t="shared" si="788"/>
        <v>0</v>
      </c>
      <c r="T4997" s="36">
        <f t="shared" si="789"/>
        <v>0</v>
      </c>
      <c r="V4997" s="6">
        <f t="shared" si="790"/>
        <v>0</v>
      </c>
      <c r="Y4997" s="8">
        <f t="shared" si="791"/>
        <v>46023</v>
      </c>
    </row>
    <row r="4998" spans="2:25" ht="18.75" x14ac:dyDescent="0.3">
      <c r="B4998" s="6">
        <f t="shared" si="783"/>
        <v>0</v>
      </c>
      <c r="C4998" s="6">
        <f t="shared" si="784"/>
        <v>0</v>
      </c>
      <c r="D4998" s="6" t="str">
        <f t="shared" si="785"/>
        <v/>
      </c>
      <c r="E4998" s="35" t="str">
        <f t="shared" si="782"/>
        <v/>
      </c>
      <c r="F4998" s="31"/>
      <c r="G4998" s="29"/>
      <c r="H4998" s="78" t="str">
        <f t="shared" si="786"/>
        <v/>
      </c>
      <c r="I4998" s="25"/>
      <c r="J4998" s="25"/>
      <c r="K4998" s="26"/>
      <c r="L4998" s="26"/>
      <c r="M4998" s="37"/>
      <c r="N4998" s="27"/>
      <c r="O4998" s="30"/>
      <c r="P4998" s="39" t="str">
        <f t="shared" si="787"/>
        <v/>
      </c>
      <c r="Q4998" s="40" t="str">
        <f>IF(OR(T4998=0,RIGHT(T4998,1)=$W$1),"",COUNTIF($T$3:T4998,T4998))</f>
        <v/>
      </c>
      <c r="S4998" s="6">
        <f t="shared" si="788"/>
        <v>0</v>
      </c>
      <c r="T4998" s="36">
        <f t="shared" si="789"/>
        <v>0</v>
      </c>
      <c r="V4998" s="6">
        <f t="shared" si="790"/>
        <v>0</v>
      </c>
      <c r="Y4998" s="8">
        <f t="shared" si="791"/>
        <v>46023</v>
      </c>
    </row>
    <row r="4999" spans="2:25" ht="18.75" x14ac:dyDescent="0.3">
      <c r="B4999" s="6">
        <f t="shared" si="783"/>
        <v>0</v>
      </c>
      <c r="C4999" s="6">
        <f t="shared" si="784"/>
        <v>0</v>
      </c>
      <c r="D4999" s="6" t="str">
        <f t="shared" si="785"/>
        <v/>
      </c>
      <c r="E4999" s="35" t="str">
        <f t="shared" si="782"/>
        <v/>
      </c>
      <c r="F4999" s="31"/>
      <c r="G4999" s="29"/>
      <c r="H4999" s="78" t="str">
        <f t="shared" si="786"/>
        <v/>
      </c>
      <c r="I4999" s="25"/>
      <c r="J4999" s="25"/>
      <c r="K4999" s="26"/>
      <c r="L4999" s="26"/>
      <c r="M4999" s="37"/>
      <c r="N4999" s="27"/>
      <c r="O4999" s="30"/>
      <c r="P4999" s="39" t="str">
        <f t="shared" si="787"/>
        <v/>
      </c>
      <c r="Q4999" s="40" t="str">
        <f>IF(OR(T4999=0,RIGHT(T4999,1)=$W$1),"",COUNTIF($T$3:T4999,T4999))</f>
        <v/>
      </c>
      <c r="S4999" s="6">
        <f t="shared" si="788"/>
        <v>0</v>
      </c>
      <c r="T4999" s="36">
        <f t="shared" si="789"/>
        <v>0</v>
      </c>
      <c r="V4999" s="6">
        <f t="shared" si="790"/>
        <v>0</v>
      </c>
      <c r="Y4999" s="8">
        <f t="shared" si="791"/>
        <v>46023</v>
      </c>
    </row>
    <row r="5000" spans="2:25" ht="18.75" x14ac:dyDescent="0.3">
      <c r="B5000" s="6">
        <f t="shared" si="783"/>
        <v>0</v>
      </c>
      <c r="C5000" s="6">
        <f t="shared" si="784"/>
        <v>0</v>
      </c>
      <c r="D5000" s="6" t="str">
        <f t="shared" si="785"/>
        <v/>
      </c>
      <c r="E5000" s="35" t="str">
        <f t="shared" si="782"/>
        <v/>
      </c>
      <c r="F5000" s="31"/>
      <c r="G5000" s="29"/>
      <c r="H5000" s="78" t="str">
        <f t="shared" si="786"/>
        <v/>
      </c>
      <c r="I5000" s="25"/>
      <c r="J5000" s="25"/>
      <c r="K5000" s="26"/>
      <c r="L5000" s="26"/>
      <c r="M5000" s="37"/>
      <c r="N5000" s="27"/>
      <c r="O5000" s="30"/>
      <c r="P5000" s="39" t="str">
        <f t="shared" si="787"/>
        <v/>
      </c>
      <c r="Q5000" s="40" t="str">
        <f>IF(OR(T5000=0,RIGHT(T5000,1)=$W$1),"",COUNTIF($T$3:T5000,T5000))</f>
        <v/>
      </c>
      <c r="S5000" s="6">
        <f t="shared" si="788"/>
        <v>0</v>
      </c>
      <c r="T5000" s="36">
        <f t="shared" si="789"/>
        <v>0</v>
      </c>
      <c r="V5000" s="6">
        <f t="shared" si="790"/>
        <v>0</v>
      </c>
      <c r="Y5000" s="8">
        <f t="shared" si="791"/>
        <v>46023</v>
      </c>
    </row>
  </sheetData>
  <sheetProtection algorithmName="SHA-512" hashValue="ybzU3k6AHsDSeGPaszsz0OzpvJq2eXtX9BZwBsI5c7W/6DHOlc1OHFFtzjCddIlAbkfCcrpbaOxH/f4vlOOsWg==" saltValue="62qN6lthNcftBhSaEsNFwQ==" spinCount="100000" sheet="1" insertHyperlinks="0" autoFilter="0"/>
  <autoFilter ref="E2:O5000" xr:uid="{00000000-0009-0000-0000-000000000000}"/>
  <mergeCells count="1">
    <mergeCell ref="F1:M1"/>
  </mergeCells>
  <phoneticPr fontId="19" type="noConversion"/>
  <conditionalFormatting sqref="E3:E5000">
    <cfRule type="expression" dxfId="12" priority="3" stopIfTrue="1">
      <formula>$E3=""</formula>
    </cfRule>
  </conditionalFormatting>
  <conditionalFormatting sqref="E3:P5000">
    <cfRule type="expression" dxfId="11" priority="7" stopIfTrue="1">
      <formula>IF($D3&lt;$D2,TRUE,FALSE)</formula>
    </cfRule>
  </conditionalFormatting>
  <conditionalFormatting sqref="F3:F5000">
    <cfRule type="expression" priority="2" stopIfTrue="1">
      <formula>IF($E3="",TRUE,FALSE)</formula>
    </cfRule>
  </conditionalFormatting>
  <conditionalFormatting sqref="F3:O5000">
    <cfRule type="expression" dxfId="10" priority="9" stopIfTrue="1">
      <formula>IF($M3&lt;&gt;"",TRUE,FALSE)</formula>
    </cfRule>
    <cfRule type="expression" dxfId="9" priority="11" stopIfTrue="1">
      <formula>IF($H3&amp;$G3&lt;&gt;"",TRUE,FALSE)</formula>
    </cfRule>
  </conditionalFormatting>
  <conditionalFormatting sqref="Q3:Q5000">
    <cfRule type="expression" dxfId="8" priority="1" stopIfTrue="1">
      <formula>IF($D3&lt;$D2,TRUE,FALSE)</formula>
    </cfRule>
  </conditionalFormatting>
  <dataValidations count="6">
    <dataValidation type="list" allowBlank="1" showInputMessage="1" showErrorMessage="1" errorTitle="Hiba! Használd a lenyílót." error="Az iratgyűjtők nevei elérhetőek a lenyílóban. " sqref="K3:K5000" xr:uid="{00000000-0002-0000-0000-000000000000}">
      <formula1>Nevek</formula1>
    </dataValidation>
    <dataValidation type="list" allowBlank="1" showInputMessage="1" showErrorMessage="1" errorTitle="Hiba!" error="Ebbe oszlopba csak &quot;Válasz&quot; megjegyzést lehet beírni. Ha ezt a megjegyzést beírtuk, akkor ez a sor nem kap külön iktatószámot, hanem az előző sorral azonos iktatószáma lesz." sqref="M3:M5000" xr:uid="{00000000-0002-0000-0000-000001000000}">
      <formula1>$AI$1</formula1>
    </dataValidation>
    <dataValidation type="date" operator="greaterThanOrEqual" allowBlank="1" showInputMessage="1" showErrorMessage="1" errorTitle="Hiba!" error="Ebbe az oszlopba csak dátumot lehet beírni, növekvő sorrendben. (korábbi dátumot csak akkor lehet beírni, ha a válasz oszlopba ve van írva &quot;válasz&quot;)" sqref="F3:F5000" xr:uid="{00000000-0002-0000-0000-000002000000}">
      <formula1>$Y3</formula1>
    </dataValidation>
    <dataValidation type="whole" operator="greaterThanOrEqual" allowBlank="1" showInputMessage="1" showErrorMessage="1" errorTitle="Hiba!" error="Ebbe az oszlopba csak 0 (nullánál) nagyobb egész számot lehet írni." sqref="L3:L5000" xr:uid="{00000000-0002-0000-0000-000003000000}">
      <formula1>0</formula1>
    </dataValidation>
    <dataValidation operator="greaterThanOrEqual" allowBlank="1" showInputMessage="1" showErrorMessage="1" errorTitle="Hiba!" error="Ebbe az oszlopba csak dátumot lehet beírni, növekvő sorrendben. (korábbi dátumot csak akkor lehet beírni, ha a válasz oszlopba ve van írva &quot;válasz&quot;)" sqref="G3:G5000" xr:uid="{00000000-0002-0000-0000-000004000000}"/>
    <dataValidation type="date" operator="greaterThan" allowBlank="1" showInputMessage="1" showErrorMessage="1" errorTitle="Hiba!" error="Ebbe az oszlopba csak dátumot lehet beírni." sqref="H3:H5000" xr:uid="{00000000-0002-0000-0000-000005000000}">
      <formula1>1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1"/>
  <sheetViews>
    <sheetView showGridLines="0" workbookViewId="0">
      <pane ySplit="10" topLeftCell="A11" activePane="bottomLeft" state="frozen"/>
      <selection pane="bottomLeft" activeCell="G2" sqref="G2"/>
    </sheetView>
  </sheetViews>
  <sheetFormatPr defaultColWidth="0" defaultRowHeight="15" x14ac:dyDescent="0.25"/>
  <cols>
    <col min="1" max="2" width="4.28515625" style="1" bestFit="1" customWidth="1"/>
    <col min="3" max="3" width="9.7109375" style="1" bestFit="1" customWidth="1"/>
    <col min="4" max="4" width="23.7109375" style="1" customWidth="1"/>
    <col min="5" max="5" width="42.7109375" style="1" customWidth="1"/>
    <col min="6" max="6" width="6.85546875" style="1" customWidth="1"/>
    <col min="7" max="7" width="30.7109375" style="1" customWidth="1"/>
    <col min="8" max="8" width="9" style="1" hidden="1" customWidth="1"/>
    <col min="9" max="9" width="18.28515625" style="1" hidden="1" customWidth="1"/>
    <col min="10" max="13" width="9" style="1" hidden="1" customWidth="1"/>
    <col min="14" max="16384" width="8.85546875" style="1" hidden="1"/>
  </cols>
  <sheetData>
    <row r="1" spans="1:13" ht="18.75" x14ac:dyDescent="0.3">
      <c r="A1" s="93" t="s">
        <v>26</v>
      </c>
      <c r="B1" s="94"/>
      <c r="C1" s="95"/>
      <c r="D1" s="86" t="s">
        <v>19</v>
      </c>
      <c r="E1" s="87"/>
      <c r="F1" s="87"/>
      <c r="G1" s="82">
        <v>2025</v>
      </c>
      <c r="I1" s="1">
        <f>IF(OR(G1=0,G1=""),YEAR(I7),G1)</f>
        <v>2025</v>
      </c>
      <c r="K1" s="1">
        <f>L1+10</f>
        <v>10</v>
      </c>
      <c r="L1" s="1">
        <f>MAX(Iktato!C3:C10000)</f>
        <v>0</v>
      </c>
    </row>
    <row r="2" spans="1:13" ht="18.75" x14ac:dyDescent="0.3">
      <c r="A2" s="96"/>
      <c r="B2" s="97"/>
      <c r="C2" s="98"/>
      <c r="D2" s="86" t="s">
        <v>20</v>
      </c>
      <c r="E2" s="87"/>
      <c r="F2" s="87"/>
      <c r="G2" s="83" t="s">
        <v>47</v>
      </c>
      <c r="I2" s="1" t="str">
        <f>IF(OR(G2=0,G2="",ISERROR(VLOOKUP(G2,Iktato!$AD$1:$AF$13,3,FALSE))=TRUE),Iktato!AD1,G2)</f>
        <v>Levelezés</v>
      </c>
      <c r="L2" s="1">
        <f>ROUNDUP(L1/300,0)</f>
        <v>0</v>
      </c>
      <c r="M2" s="1" t="s">
        <v>22</v>
      </c>
    </row>
    <row r="3" spans="1:13" ht="31.5" x14ac:dyDescent="0.25">
      <c r="A3" s="96"/>
      <c r="B3" s="97"/>
      <c r="C3" s="98"/>
      <c r="D3" s="91" t="str">
        <f>IF(L2&gt;1,M2&amp;L2&amp;M3&amp;I3&amp;M4,"")</f>
        <v/>
      </c>
      <c r="E3" s="92"/>
      <c r="F3" s="92"/>
      <c r="G3" s="81"/>
      <c r="H3" s="5" t="s">
        <v>24</v>
      </c>
      <c r="I3" s="1">
        <f>IF(OR(G3=0,G3="",G3&gt;L2),1,G3)</f>
        <v>1</v>
      </c>
      <c r="L3" s="1">
        <f>ROUNDDOWN(L1/40,0)</f>
        <v>0</v>
      </c>
      <c r="M3" s="1" t="s">
        <v>23</v>
      </c>
    </row>
    <row r="4" spans="1:13" x14ac:dyDescent="0.25">
      <c r="A4" s="96"/>
      <c r="B4" s="97"/>
      <c r="C4" s="98"/>
      <c r="M4" s="1" t="s">
        <v>21</v>
      </c>
    </row>
    <row r="5" spans="1:13" x14ac:dyDescent="0.25">
      <c r="A5" s="99"/>
      <c r="B5" s="100"/>
      <c r="C5" s="101"/>
    </row>
    <row r="6" spans="1:13" ht="15.75" x14ac:dyDescent="0.25">
      <c r="A6" s="88" t="str">
        <f>IF(Iktato!F1=Iktato!R2,Iktato!R1,Iktato!F1)</f>
        <v>AZ EGYHÁZKÖZSÉG NEVÉT AZ "Iktató" MUNKALAPON LEHET KITÖLTENI</v>
      </c>
      <c r="B6" s="88"/>
      <c r="C6" s="88"/>
      <c r="D6" s="88"/>
      <c r="E6" s="88"/>
      <c r="F6" s="88"/>
    </row>
    <row r="7" spans="1:13" x14ac:dyDescent="0.25">
      <c r="A7" s="89" t="str">
        <f>IF(ISERROR(VLOOKUP(I2,Iktato!$AD$1:$AF$13,3,FALSE))=FALSE,VLOOKUP(I2,Iktato!$AD$1:$AF$13,3,FALSE),"")</f>
        <v>Levelezés (egyházkerületi, egyházmegyei, egyházközségi, világi
hatóságokkal, magánszemélyekkel)</v>
      </c>
      <c r="B7" s="89"/>
      <c r="C7" s="89"/>
      <c r="D7" s="89"/>
      <c r="E7" s="89"/>
      <c r="F7" s="89"/>
      <c r="I7" s="2">
        <f ca="1">TODAY()</f>
        <v>46026</v>
      </c>
    </row>
    <row r="8" spans="1:13" x14ac:dyDescent="0.25">
      <c r="A8" s="90" t="str">
        <f>I8&amp;I1&amp;J8</f>
        <v>1 - 2025. számú iratgyűjtő</v>
      </c>
      <c r="B8" s="90"/>
      <c r="C8" s="90"/>
      <c r="D8" s="90"/>
      <c r="E8" s="90"/>
      <c r="F8" s="90"/>
      <c r="I8" s="1" t="str">
        <f>VLOOKUP(I2,Iktato!$AD$1:$AG$14,4,FALSE)</f>
        <v xml:space="preserve">1 - </v>
      </c>
      <c r="J8" s="1" t="s">
        <v>18</v>
      </c>
    </row>
    <row r="9" spans="1:13" x14ac:dyDescent="0.25">
      <c r="K9" s="1" t="str">
        <f>"&lt;="&amp;H10</f>
        <v>&lt;=0</v>
      </c>
      <c r="L9" s="1">
        <f>SUMIF(Iktato!$S$3:$S$10000,K9,Iktato!$V$3:$V$10000)</f>
        <v>0</v>
      </c>
    </row>
    <row r="10" spans="1:13" ht="25.5" x14ac:dyDescent="0.25">
      <c r="A10" s="21" t="s">
        <v>11</v>
      </c>
      <c r="B10" s="21" t="s">
        <v>12</v>
      </c>
      <c r="C10" s="22" t="s">
        <v>13</v>
      </c>
      <c r="D10" s="21" t="s">
        <v>14</v>
      </c>
      <c r="E10" s="21" t="s">
        <v>15</v>
      </c>
      <c r="F10" s="23" t="s">
        <v>16</v>
      </c>
      <c r="H10" s="1">
        <f>ROUND(SUM(I3,-1)*300,0)</f>
        <v>0</v>
      </c>
      <c r="K10" s="1">
        <f>L9</f>
        <v>0</v>
      </c>
    </row>
    <row r="11" spans="1:13" x14ac:dyDescent="0.25">
      <c r="A11" s="15" t="str">
        <f>IF(H11&lt;=$L$1,H11,"")</f>
        <v/>
      </c>
      <c r="B11" s="15" t="str">
        <f>IF(H11&lt;=$L$1,VLOOKUP(H11,Iktato!$C$3:$O$10000,2,FALSE),"")</f>
        <v/>
      </c>
      <c r="C11" s="16" t="str">
        <f>IF(H11&lt;=$L$1,VLOOKUP(H11,Iktato!$C$3:$O$10000,4,FALSE),"")</f>
        <v/>
      </c>
      <c r="D11" s="3" t="str">
        <f>TRIM(IF(H11&lt;=$L$1,VLOOKUP(H11,Iktato!$C$3:$O$10000,7,FALSE),""))</f>
        <v/>
      </c>
      <c r="E11" s="3" t="str">
        <f>TRIM(IF(H11&lt;=$L$1,VLOOKUP(H11,Iktato!$C$3:$O$10000,8,FALSE),""))</f>
        <v/>
      </c>
      <c r="F11" s="4" t="str">
        <f>IF(H11&lt;=$L$1,J11,"")</f>
        <v/>
      </c>
      <c r="H11" s="1">
        <f>H10+1</f>
        <v>1</v>
      </c>
      <c r="J11" s="1">
        <f>IF(L11&lt;&gt;0,IF(K11&lt;&gt;K10+1,K10+1&amp;"-"&amp;K11,K11),J10)</f>
        <v>0</v>
      </c>
      <c r="K11" s="1">
        <f>SUM($L$9,$L$11:L11)</f>
        <v>0</v>
      </c>
      <c r="L11" s="1">
        <f>SUMIF(Iktato!$S$3:$S$10000,H11,Iktato!$V$3:$V$10000)</f>
        <v>0</v>
      </c>
    </row>
    <row r="12" spans="1:13" x14ac:dyDescent="0.25">
      <c r="A12" s="15" t="str">
        <f t="shared" ref="A12:A16" si="0">IF(H12&lt;=$L$1,H12,"")</f>
        <v/>
      </c>
      <c r="B12" s="15" t="str">
        <f>IF(H12&lt;=$L$1,VLOOKUP(H12,Iktato!$C$3:$O$10000,2,FALSE),"")</f>
        <v/>
      </c>
      <c r="C12" s="16" t="str">
        <f>IF(H12&lt;=$L$1,VLOOKUP(H12,Iktato!$C$3:$O$10000,4,FALSE),"")</f>
        <v/>
      </c>
      <c r="D12" s="3" t="str">
        <f>TRIM(IF(H12&lt;=$L$1,VLOOKUP(H12,Iktato!$C$3:$O$10000,7,FALSE),""))</f>
        <v/>
      </c>
      <c r="E12" s="3" t="str">
        <f>TRIM(IF(H12&lt;=$L$1,VLOOKUP(H12,Iktato!$C$3:$O$10000,8,FALSE),""))</f>
        <v/>
      </c>
      <c r="F12" s="4" t="str">
        <f t="shared" ref="F12:F16" si="1">IF(H12&lt;=$L$1,J12,"")</f>
        <v/>
      </c>
      <c r="H12" s="1">
        <f t="shared" ref="H12:H75" si="2">H11+1</f>
        <v>2</v>
      </c>
      <c r="J12" s="1">
        <f t="shared" ref="J12:J49" si="3">IF(L12&lt;&gt;0,IF(K12&lt;&gt;K11+1,K11+1&amp;"-"&amp;K12,K12),J11)</f>
        <v>0</v>
      </c>
      <c r="K12" s="1">
        <f>SUM($L$9,$L$11:L12)</f>
        <v>0</v>
      </c>
      <c r="L12" s="1">
        <f>SUMIF(Iktato!$S$3:$S$10000,H12,Iktato!$V$3:$V$10000)</f>
        <v>0</v>
      </c>
    </row>
    <row r="13" spans="1:13" x14ac:dyDescent="0.25">
      <c r="A13" s="15" t="str">
        <f t="shared" ref="A13" si="4">IF(H13&lt;=$L$1,H13,"")</f>
        <v/>
      </c>
      <c r="B13" s="15" t="str">
        <f>IF(H13&lt;=$L$1,VLOOKUP(H13,Iktato!$C$3:$O$10000,2,FALSE),"")</f>
        <v/>
      </c>
      <c r="C13" s="16" t="str">
        <f>IF(H13&lt;=$L$1,VLOOKUP(H13,Iktato!$C$3:$O$10000,4,FALSE),"")</f>
        <v/>
      </c>
      <c r="D13" s="3" t="str">
        <f>TRIM(IF(H13&lt;=$L$1,VLOOKUP(H13,Iktato!$C$3:$O$10000,7,FALSE),""))</f>
        <v/>
      </c>
      <c r="E13" s="3" t="str">
        <f>TRIM(IF(H13&lt;=$L$1,VLOOKUP(H13,Iktato!$C$3:$O$10000,8,FALSE),""))</f>
        <v/>
      </c>
      <c r="F13" s="4" t="str">
        <f t="shared" si="1"/>
        <v/>
      </c>
      <c r="H13" s="1">
        <f t="shared" si="2"/>
        <v>3</v>
      </c>
      <c r="J13" s="1">
        <f t="shared" si="3"/>
        <v>0</v>
      </c>
      <c r="K13" s="1">
        <f>SUM($L$9,$L$11:L13)</f>
        <v>0</v>
      </c>
      <c r="L13" s="1">
        <f>SUMIF(Iktato!$S$3:$S$10000,H13,Iktato!$V$3:$V$10000)</f>
        <v>0</v>
      </c>
    </row>
    <row r="14" spans="1:13" x14ac:dyDescent="0.25">
      <c r="A14" s="15" t="str">
        <f t="shared" si="0"/>
        <v/>
      </c>
      <c r="B14" s="15" t="str">
        <f>IF(H14&lt;=$L$1,VLOOKUP(H14,Iktato!$C$3:$O$10000,2,FALSE),"")</f>
        <v/>
      </c>
      <c r="C14" s="16" t="str">
        <f>IF(H14&lt;=$L$1,VLOOKUP(H14,Iktato!$C$3:$O$10000,4,FALSE),"")</f>
        <v/>
      </c>
      <c r="D14" s="3" t="str">
        <f>TRIM(IF(H14&lt;=$L$1,VLOOKUP(H14,Iktato!$C$3:$O$10000,7,FALSE),""))</f>
        <v/>
      </c>
      <c r="E14" s="3" t="str">
        <f>TRIM(IF(H14&lt;=$L$1,VLOOKUP(H14,Iktato!$C$3:$O$10000,8,FALSE),""))</f>
        <v/>
      </c>
      <c r="F14" s="4" t="str">
        <f t="shared" si="1"/>
        <v/>
      </c>
      <c r="H14" s="1">
        <f t="shared" si="2"/>
        <v>4</v>
      </c>
      <c r="J14" s="1">
        <f t="shared" si="3"/>
        <v>0</v>
      </c>
      <c r="K14" s="1">
        <f>SUM($L$9,$L$11:L14)</f>
        <v>0</v>
      </c>
      <c r="L14" s="1">
        <f>SUMIF(Iktato!$S$3:$S$10000,H14,Iktato!$V$3:$V$10000)</f>
        <v>0</v>
      </c>
    </row>
    <row r="15" spans="1:13" x14ac:dyDescent="0.25">
      <c r="A15" s="15" t="str">
        <f t="shared" si="0"/>
        <v/>
      </c>
      <c r="B15" s="15" t="str">
        <f>IF(H15&lt;=$L$1,VLOOKUP(H15,Iktato!$C$3:$O$10000,2,FALSE),"")</f>
        <v/>
      </c>
      <c r="C15" s="16" t="str">
        <f>IF(H15&lt;=$L$1,VLOOKUP(H15,Iktato!$C$3:$O$10000,4,FALSE),"")</f>
        <v/>
      </c>
      <c r="D15" s="3" t="str">
        <f>TRIM(IF(H15&lt;=$L$1,VLOOKUP(H15,Iktato!$C$3:$O$10000,7,FALSE),""))</f>
        <v/>
      </c>
      <c r="E15" s="3" t="str">
        <f>TRIM(IF(H15&lt;=$L$1,VLOOKUP(H15,Iktato!$C$3:$O$10000,8,FALSE),""))</f>
        <v/>
      </c>
      <c r="F15" s="4" t="str">
        <f t="shared" si="1"/>
        <v/>
      </c>
      <c r="H15" s="1">
        <f t="shared" si="2"/>
        <v>5</v>
      </c>
      <c r="J15" s="1">
        <f t="shared" si="3"/>
        <v>0</v>
      </c>
      <c r="K15" s="1">
        <f>SUM($L$9,$L$11:L15)</f>
        <v>0</v>
      </c>
      <c r="L15" s="1">
        <f>SUMIF(Iktato!$S$3:$S$10000,H15,Iktato!$V$3:$V$10000)</f>
        <v>0</v>
      </c>
    </row>
    <row r="16" spans="1:13" x14ac:dyDescent="0.25">
      <c r="A16" s="15" t="str">
        <f t="shared" si="0"/>
        <v/>
      </c>
      <c r="B16" s="15" t="str">
        <f>IF(H16&lt;=$L$1,VLOOKUP(H16,Iktato!$C$3:$O$10000,2,FALSE),"")</f>
        <v/>
      </c>
      <c r="C16" s="16" t="str">
        <f>IF(H16&lt;=$L$1,VLOOKUP(H16,Iktato!$C$3:$O$10000,4,FALSE),"")</f>
        <v/>
      </c>
      <c r="D16" s="3" t="str">
        <f>TRIM(IF(H16&lt;=$L$1,VLOOKUP(H16,Iktato!$C$3:$O$10000,7,FALSE),""))</f>
        <v/>
      </c>
      <c r="E16" s="3" t="str">
        <f>TRIM(IF(H16&lt;=$L$1,VLOOKUP(H16,Iktato!$C$3:$O$10000,8,FALSE),""))</f>
        <v/>
      </c>
      <c r="F16" s="4" t="str">
        <f t="shared" si="1"/>
        <v/>
      </c>
      <c r="H16" s="1">
        <f t="shared" si="2"/>
        <v>6</v>
      </c>
      <c r="J16" s="1">
        <f t="shared" si="3"/>
        <v>0</v>
      </c>
      <c r="K16" s="1">
        <f>SUM($L$9,$L$11:L16)</f>
        <v>0</v>
      </c>
      <c r="L16" s="1">
        <f>SUMIF(Iktato!$S$3:$S$10000,H16,Iktato!$V$3:$V$10000)</f>
        <v>0</v>
      </c>
    </row>
    <row r="17" spans="1:12" x14ac:dyDescent="0.25">
      <c r="A17" s="15" t="str">
        <f t="shared" ref="A17:A49" si="5">IF(H17&lt;=$L$1,H17,"")</f>
        <v/>
      </c>
      <c r="B17" s="15" t="str">
        <f>IF(H17&lt;=$L$1,VLOOKUP(H17,Iktato!$C$3:$O$10000,2,FALSE),"")</f>
        <v/>
      </c>
      <c r="C17" s="16" t="str">
        <f>IF(H17&lt;=$L$1,VLOOKUP(H17,Iktato!$C$3:$O$10000,4,FALSE),"")</f>
        <v/>
      </c>
      <c r="D17" s="3" t="str">
        <f>TRIM(IF(H17&lt;=$L$1,VLOOKUP(H17,Iktato!$C$3:$O$10000,7,FALSE),""))</f>
        <v/>
      </c>
      <c r="E17" s="3" t="str">
        <f>TRIM(IF(H17&lt;=$L$1,VLOOKUP(H17,Iktato!$C$3:$O$10000,8,FALSE),""))</f>
        <v/>
      </c>
      <c r="F17" s="4" t="str">
        <f t="shared" ref="F17:F49" si="6">IF(H17&lt;=$L$1,J17,"")</f>
        <v/>
      </c>
      <c r="H17" s="1">
        <f t="shared" si="2"/>
        <v>7</v>
      </c>
      <c r="J17" s="1">
        <f t="shared" si="3"/>
        <v>0</v>
      </c>
      <c r="K17" s="1">
        <f>SUM($L$9,$L$11:L17)</f>
        <v>0</v>
      </c>
      <c r="L17" s="1">
        <f>SUMIF(Iktato!$S$3:$S$10000,H17,Iktato!$V$3:$V$10000)</f>
        <v>0</v>
      </c>
    </row>
    <row r="18" spans="1:12" x14ac:dyDescent="0.25">
      <c r="A18" s="15" t="str">
        <f t="shared" si="5"/>
        <v/>
      </c>
      <c r="B18" s="15" t="str">
        <f>IF(H18&lt;=$L$1,VLOOKUP(H18,Iktato!$C$3:$O$10000,2,FALSE),"")</f>
        <v/>
      </c>
      <c r="C18" s="16" t="str">
        <f>IF(H18&lt;=$L$1,VLOOKUP(H18,Iktato!$C$3:$O$10000,4,FALSE),"")</f>
        <v/>
      </c>
      <c r="D18" s="3" t="str">
        <f>TRIM(IF(H18&lt;=$L$1,VLOOKUP(H18,Iktato!$C$3:$O$10000,7,FALSE),""))</f>
        <v/>
      </c>
      <c r="E18" s="3" t="str">
        <f>TRIM(IF(H18&lt;=$L$1,VLOOKUP(H18,Iktato!$C$3:$O$10000,8,FALSE),""))</f>
        <v/>
      </c>
      <c r="F18" s="4" t="str">
        <f t="shared" si="6"/>
        <v/>
      </c>
      <c r="H18" s="1">
        <f t="shared" si="2"/>
        <v>8</v>
      </c>
      <c r="J18" s="1">
        <f t="shared" si="3"/>
        <v>0</v>
      </c>
      <c r="K18" s="1">
        <f>SUM($L$9,$L$11:L18)</f>
        <v>0</v>
      </c>
      <c r="L18" s="1">
        <f>SUMIF(Iktato!$S$3:$S$10000,H18,Iktato!$V$3:$V$10000)</f>
        <v>0</v>
      </c>
    </row>
    <row r="19" spans="1:12" x14ac:dyDescent="0.25">
      <c r="A19" s="15" t="str">
        <f t="shared" si="5"/>
        <v/>
      </c>
      <c r="B19" s="15" t="str">
        <f>IF(H19&lt;=$L$1,VLOOKUP(H19,Iktato!$C$3:$O$10000,2,FALSE),"")</f>
        <v/>
      </c>
      <c r="C19" s="16" t="str">
        <f>IF(H19&lt;=$L$1,VLOOKUP(H19,Iktato!$C$3:$O$10000,4,FALSE),"")</f>
        <v/>
      </c>
      <c r="D19" s="3" t="str">
        <f>TRIM(IF(H19&lt;=$L$1,VLOOKUP(H19,Iktato!$C$3:$O$10000,7,FALSE),""))</f>
        <v/>
      </c>
      <c r="E19" s="3" t="str">
        <f>TRIM(IF(H19&lt;=$L$1,VLOOKUP(H19,Iktato!$C$3:$O$10000,8,FALSE),""))</f>
        <v/>
      </c>
      <c r="F19" s="4" t="str">
        <f t="shared" si="6"/>
        <v/>
      </c>
      <c r="H19" s="1">
        <f t="shared" si="2"/>
        <v>9</v>
      </c>
      <c r="J19" s="1">
        <f t="shared" si="3"/>
        <v>0</v>
      </c>
      <c r="K19" s="1">
        <f>SUM($L$9,$L$11:L19)</f>
        <v>0</v>
      </c>
      <c r="L19" s="1">
        <f>SUMIF(Iktato!$S$3:$S$10000,H19,Iktato!$V$3:$V$10000)</f>
        <v>0</v>
      </c>
    </row>
    <row r="20" spans="1:12" x14ac:dyDescent="0.25">
      <c r="A20" s="15" t="str">
        <f t="shared" si="5"/>
        <v/>
      </c>
      <c r="B20" s="15" t="str">
        <f>IF(H20&lt;=$L$1,VLOOKUP(H20,Iktato!$C$3:$O$10000,2,FALSE),"")</f>
        <v/>
      </c>
      <c r="C20" s="16" t="str">
        <f>IF(H20&lt;=$L$1,VLOOKUP(H20,Iktato!$C$3:$O$10000,4,FALSE),"")</f>
        <v/>
      </c>
      <c r="D20" s="3" t="str">
        <f>TRIM(IF(H20&lt;=$L$1,VLOOKUP(H20,Iktato!$C$3:$O$10000,7,FALSE),""))</f>
        <v/>
      </c>
      <c r="E20" s="3" t="str">
        <f>TRIM(IF(H20&lt;=$L$1,VLOOKUP(H20,Iktato!$C$3:$O$10000,8,FALSE),""))</f>
        <v/>
      </c>
      <c r="F20" s="4" t="str">
        <f t="shared" si="6"/>
        <v/>
      </c>
      <c r="H20" s="1">
        <f t="shared" si="2"/>
        <v>10</v>
      </c>
      <c r="J20" s="1">
        <f t="shared" si="3"/>
        <v>0</v>
      </c>
      <c r="K20" s="1">
        <f>SUM($L$9,$L$11:L20)</f>
        <v>0</v>
      </c>
      <c r="L20" s="1">
        <f>SUMIF(Iktato!$S$3:$S$10000,H20,Iktato!$V$3:$V$10000)</f>
        <v>0</v>
      </c>
    </row>
    <row r="21" spans="1:12" x14ac:dyDescent="0.25">
      <c r="A21" s="15" t="str">
        <f t="shared" si="5"/>
        <v/>
      </c>
      <c r="B21" s="15" t="str">
        <f>IF(H21&lt;=$L$1,VLOOKUP(H21,Iktato!$C$3:$O$10000,2,FALSE),"")</f>
        <v/>
      </c>
      <c r="C21" s="16" t="str">
        <f>IF(H21&lt;=$L$1,VLOOKUP(H21,Iktato!$C$3:$O$10000,4,FALSE),"")</f>
        <v/>
      </c>
      <c r="D21" s="3" t="str">
        <f>TRIM(IF(H21&lt;=$L$1,VLOOKUP(H21,Iktato!$C$3:$O$10000,7,FALSE),""))</f>
        <v/>
      </c>
      <c r="E21" s="3" t="str">
        <f>TRIM(IF(H21&lt;=$L$1,VLOOKUP(H21,Iktato!$C$3:$O$10000,8,FALSE),""))</f>
        <v/>
      </c>
      <c r="F21" s="4" t="str">
        <f t="shared" si="6"/>
        <v/>
      </c>
      <c r="H21" s="1">
        <f t="shared" si="2"/>
        <v>11</v>
      </c>
      <c r="J21" s="1">
        <f t="shared" si="3"/>
        <v>0</v>
      </c>
      <c r="K21" s="1">
        <f>SUM($L$9,$L$11:L21)</f>
        <v>0</v>
      </c>
      <c r="L21" s="1">
        <f>SUMIF(Iktato!$S$3:$S$10000,H21,Iktato!$V$3:$V$10000)</f>
        <v>0</v>
      </c>
    </row>
    <row r="22" spans="1:12" x14ac:dyDescent="0.25">
      <c r="A22" s="15" t="str">
        <f t="shared" si="5"/>
        <v/>
      </c>
      <c r="B22" s="15" t="str">
        <f>IF(H22&lt;=$L$1,VLOOKUP(H22,Iktato!$C$3:$O$10000,2,FALSE),"")</f>
        <v/>
      </c>
      <c r="C22" s="16" t="str">
        <f>IF(H22&lt;=$L$1,VLOOKUP(H22,Iktato!$C$3:$O$10000,4,FALSE),"")</f>
        <v/>
      </c>
      <c r="D22" s="3" t="str">
        <f>TRIM(IF(H22&lt;=$L$1,VLOOKUP(H22,Iktato!$C$3:$O$10000,7,FALSE),""))</f>
        <v/>
      </c>
      <c r="E22" s="3" t="str">
        <f>TRIM(IF(H22&lt;=$L$1,VLOOKUP(H22,Iktato!$C$3:$O$10000,8,FALSE),""))</f>
        <v/>
      </c>
      <c r="F22" s="4" t="str">
        <f t="shared" si="6"/>
        <v/>
      </c>
      <c r="H22" s="1">
        <f t="shared" si="2"/>
        <v>12</v>
      </c>
      <c r="J22" s="1">
        <f t="shared" si="3"/>
        <v>0</v>
      </c>
      <c r="K22" s="1">
        <f>SUM($L$9,$L$11:L22)</f>
        <v>0</v>
      </c>
      <c r="L22" s="1">
        <f>SUMIF(Iktato!$S$3:$S$10000,H22,Iktato!$V$3:$V$10000)</f>
        <v>0</v>
      </c>
    </row>
    <row r="23" spans="1:12" x14ac:dyDescent="0.25">
      <c r="A23" s="15" t="str">
        <f t="shared" si="5"/>
        <v/>
      </c>
      <c r="B23" s="15" t="str">
        <f>IF(H23&lt;=$L$1,VLOOKUP(H23,Iktato!$C$3:$O$10000,2,FALSE),"")</f>
        <v/>
      </c>
      <c r="C23" s="16" t="str">
        <f>IF(H23&lt;=$L$1,VLOOKUP(H23,Iktato!$C$3:$O$10000,4,FALSE),"")</f>
        <v/>
      </c>
      <c r="D23" s="3" t="str">
        <f>TRIM(IF(H23&lt;=$L$1,VLOOKUP(H23,Iktato!$C$3:$O$10000,7,FALSE),""))</f>
        <v/>
      </c>
      <c r="E23" s="3" t="str">
        <f>TRIM(IF(H23&lt;=$L$1,VLOOKUP(H23,Iktato!$C$3:$O$10000,8,FALSE),""))</f>
        <v/>
      </c>
      <c r="F23" s="4" t="str">
        <f t="shared" si="6"/>
        <v/>
      </c>
      <c r="H23" s="1">
        <f t="shared" si="2"/>
        <v>13</v>
      </c>
      <c r="J23" s="1">
        <f t="shared" si="3"/>
        <v>0</v>
      </c>
      <c r="K23" s="1">
        <f>SUM($L$9,$L$11:L23)</f>
        <v>0</v>
      </c>
      <c r="L23" s="1">
        <f>SUMIF(Iktato!$S$3:$S$10000,H23,Iktato!$V$3:$V$10000)</f>
        <v>0</v>
      </c>
    </row>
    <row r="24" spans="1:12" x14ac:dyDescent="0.25">
      <c r="A24" s="15" t="str">
        <f t="shared" si="5"/>
        <v/>
      </c>
      <c r="B24" s="15" t="str">
        <f>IF(H24&lt;=$L$1,VLOOKUP(H24,Iktato!$C$3:$O$10000,2,FALSE),"")</f>
        <v/>
      </c>
      <c r="C24" s="16" t="str">
        <f>IF(H24&lt;=$L$1,VLOOKUP(H24,Iktato!$C$3:$O$10000,4,FALSE),"")</f>
        <v/>
      </c>
      <c r="D24" s="3" t="str">
        <f>TRIM(IF(H24&lt;=$L$1,VLOOKUP(H24,Iktato!$C$3:$O$10000,7,FALSE),""))</f>
        <v/>
      </c>
      <c r="E24" s="3" t="str">
        <f>TRIM(IF(H24&lt;=$L$1,VLOOKUP(H24,Iktato!$C$3:$O$10000,8,FALSE),""))</f>
        <v/>
      </c>
      <c r="F24" s="4" t="str">
        <f t="shared" si="6"/>
        <v/>
      </c>
      <c r="H24" s="1">
        <f t="shared" si="2"/>
        <v>14</v>
      </c>
      <c r="J24" s="1">
        <f t="shared" si="3"/>
        <v>0</v>
      </c>
      <c r="K24" s="1">
        <f>SUM($L$9,$L$11:L24)</f>
        <v>0</v>
      </c>
      <c r="L24" s="1">
        <f>SUMIF(Iktato!$S$3:$S$10000,H24,Iktato!$V$3:$V$10000)</f>
        <v>0</v>
      </c>
    </row>
    <row r="25" spans="1:12" x14ac:dyDescent="0.25">
      <c r="A25" s="15" t="str">
        <f t="shared" si="5"/>
        <v/>
      </c>
      <c r="B25" s="15" t="str">
        <f>IF(H25&lt;=$L$1,VLOOKUP(H25,Iktato!$C$3:$O$10000,2,FALSE),"")</f>
        <v/>
      </c>
      <c r="C25" s="16" t="str">
        <f>IF(H25&lt;=$L$1,VLOOKUP(H25,Iktato!$C$3:$O$10000,4,FALSE),"")</f>
        <v/>
      </c>
      <c r="D25" s="3" t="str">
        <f>TRIM(IF(H25&lt;=$L$1,VLOOKUP(H25,Iktato!$C$3:$O$10000,7,FALSE),""))</f>
        <v/>
      </c>
      <c r="E25" s="3" t="str">
        <f>TRIM(IF(H25&lt;=$L$1,VLOOKUP(H25,Iktato!$C$3:$O$10000,8,FALSE),""))</f>
        <v/>
      </c>
      <c r="F25" s="4" t="str">
        <f t="shared" si="6"/>
        <v/>
      </c>
      <c r="H25" s="1">
        <f t="shared" si="2"/>
        <v>15</v>
      </c>
      <c r="J25" s="1">
        <f t="shared" si="3"/>
        <v>0</v>
      </c>
      <c r="K25" s="1">
        <f>SUM($L$9,$L$11:L25)</f>
        <v>0</v>
      </c>
      <c r="L25" s="1">
        <f>SUMIF(Iktato!$S$3:$S$10000,H25,Iktato!$V$3:$V$10000)</f>
        <v>0</v>
      </c>
    </row>
    <row r="26" spans="1:12" x14ac:dyDescent="0.25">
      <c r="A26" s="15" t="str">
        <f t="shared" si="5"/>
        <v/>
      </c>
      <c r="B26" s="15" t="str">
        <f>IF(H26&lt;=$L$1,VLOOKUP(H26,Iktato!$C$3:$O$10000,2,FALSE),"")</f>
        <v/>
      </c>
      <c r="C26" s="16" t="str">
        <f>IF(H26&lt;=$L$1,VLOOKUP(H26,Iktato!$C$3:$O$10000,4,FALSE),"")</f>
        <v/>
      </c>
      <c r="D26" s="3" t="str">
        <f>TRIM(IF(H26&lt;=$L$1,VLOOKUP(H26,Iktato!$C$3:$O$10000,7,FALSE),""))</f>
        <v/>
      </c>
      <c r="E26" s="3" t="str">
        <f>TRIM(IF(H26&lt;=$L$1,VLOOKUP(H26,Iktato!$C$3:$O$10000,8,FALSE),""))</f>
        <v/>
      </c>
      <c r="F26" s="4" t="str">
        <f t="shared" si="6"/>
        <v/>
      </c>
      <c r="H26" s="1">
        <f t="shared" si="2"/>
        <v>16</v>
      </c>
      <c r="J26" s="1">
        <f t="shared" si="3"/>
        <v>0</v>
      </c>
      <c r="K26" s="1">
        <f>SUM($L$9,$L$11:L26)</f>
        <v>0</v>
      </c>
      <c r="L26" s="1">
        <f>SUMIF(Iktato!$S$3:$S$10000,H26,Iktato!$V$3:$V$10000)</f>
        <v>0</v>
      </c>
    </row>
    <row r="27" spans="1:12" x14ac:dyDescent="0.25">
      <c r="A27" s="15" t="str">
        <f t="shared" si="5"/>
        <v/>
      </c>
      <c r="B27" s="15" t="str">
        <f>IF(H27&lt;=$L$1,VLOOKUP(H27,Iktato!$C$3:$O$10000,2,FALSE),"")</f>
        <v/>
      </c>
      <c r="C27" s="16" t="str">
        <f>IF(H27&lt;=$L$1,VLOOKUP(H27,Iktato!$C$3:$O$10000,4,FALSE),"")</f>
        <v/>
      </c>
      <c r="D27" s="3" t="str">
        <f>TRIM(IF(H27&lt;=$L$1,VLOOKUP(H27,Iktato!$C$3:$O$10000,7,FALSE),""))</f>
        <v/>
      </c>
      <c r="E27" s="3" t="str">
        <f>TRIM(IF(H27&lt;=$L$1,VLOOKUP(H27,Iktato!$C$3:$O$10000,8,FALSE),""))</f>
        <v/>
      </c>
      <c r="F27" s="4" t="str">
        <f t="shared" si="6"/>
        <v/>
      </c>
      <c r="H27" s="1">
        <f t="shared" si="2"/>
        <v>17</v>
      </c>
      <c r="J27" s="1">
        <f t="shared" si="3"/>
        <v>0</v>
      </c>
      <c r="K27" s="1">
        <f>SUM($L$9,$L$11:L27)</f>
        <v>0</v>
      </c>
      <c r="L27" s="1">
        <f>SUMIF(Iktato!$S$3:$S$10000,H27,Iktato!$V$3:$V$10000)</f>
        <v>0</v>
      </c>
    </row>
    <row r="28" spans="1:12" x14ac:dyDescent="0.25">
      <c r="A28" s="15" t="str">
        <f t="shared" si="5"/>
        <v/>
      </c>
      <c r="B28" s="15" t="str">
        <f>IF(H28&lt;=$L$1,VLOOKUP(H28,Iktato!$C$3:$O$10000,2,FALSE),"")</f>
        <v/>
      </c>
      <c r="C28" s="16" t="str">
        <f>IF(H28&lt;=$L$1,VLOOKUP(H28,Iktato!$C$3:$O$10000,4,FALSE),"")</f>
        <v/>
      </c>
      <c r="D28" s="3" t="str">
        <f>TRIM(IF(H28&lt;=$L$1,VLOOKUP(H28,Iktato!$C$3:$O$10000,7,FALSE),""))</f>
        <v/>
      </c>
      <c r="E28" s="3" t="str">
        <f>TRIM(IF(H28&lt;=$L$1,VLOOKUP(H28,Iktato!$C$3:$O$10000,8,FALSE),""))</f>
        <v/>
      </c>
      <c r="F28" s="4" t="str">
        <f t="shared" si="6"/>
        <v/>
      </c>
      <c r="H28" s="1">
        <f t="shared" si="2"/>
        <v>18</v>
      </c>
      <c r="J28" s="1">
        <f t="shared" si="3"/>
        <v>0</v>
      </c>
      <c r="K28" s="1">
        <f>SUM($L$9,$L$11:L28)</f>
        <v>0</v>
      </c>
      <c r="L28" s="1">
        <f>SUMIF(Iktato!$S$3:$S$10000,H28,Iktato!$V$3:$V$10000)</f>
        <v>0</v>
      </c>
    </row>
    <row r="29" spans="1:12" x14ac:dyDescent="0.25">
      <c r="A29" s="15" t="str">
        <f t="shared" si="5"/>
        <v/>
      </c>
      <c r="B29" s="15" t="str">
        <f>IF(H29&lt;=$L$1,VLOOKUP(H29,Iktato!$C$3:$O$10000,2,FALSE),"")</f>
        <v/>
      </c>
      <c r="C29" s="16" t="str">
        <f>IF(H29&lt;=$L$1,VLOOKUP(H29,Iktato!$C$3:$O$10000,4,FALSE),"")</f>
        <v/>
      </c>
      <c r="D29" s="3" t="str">
        <f>TRIM(IF(H29&lt;=$L$1,VLOOKUP(H29,Iktato!$C$3:$O$10000,7,FALSE),""))</f>
        <v/>
      </c>
      <c r="E29" s="3" t="str">
        <f>TRIM(IF(H29&lt;=$L$1,VLOOKUP(H29,Iktato!$C$3:$O$10000,8,FALSE),""))</f>
        <v/>
      </c>
      <c r="F29" s="4" t="str">
        <f t="shared" si="6"/>
        <v/>
      </c>
      <c r="H29" s="1">
        <f t="shared" si="2"/>
        <v>19</v>
      </c>
      <c r="J29" s="1">
        <f t="shared" si="3"/>
        <v>0</v>
      </c>
      <c r="K29" s="1">
        <f>SUM($L$9,$L$11:L29)</f>
        <v>0</v>
      </c>
      <c r="L29" s="1">
        <f>SUMIF(Iktato!$S$3:$S$10000,H29,Iktato!$V$3:$V$10000)</f>
        <v>0</v>
      </c>
    </row>
    <row r="30" spans="1:12" x14ac:dyDescent="0.25">
      <c r="A30" s="15" t="str">
        <f t="shared" si="5"/>
        <v/>
      </c>
      <c r="B30" s="15" t="str">
        <f>IF(H30&lt;=$L$1,VLOOKUP(H30,Iktato!$C$3:$O$10000,2,FALSE),"")</f>
        <v/>
      </c>
      <c r="C30" s="16" t="str">
        <f>IF(H30&lt;=$L$1,VLOOKUP(H30,Iktato!$C$3:$O$10000,4,FALSE),"")</f>
        <v/>
      </c>
      <c r="D30" s="3" t="str">
        <f>TRIM(IF(H30&lt;=$L$1,VLOOKUP(H30,Iktato!$C$3:$O$10000,7,FALSE),""))</f>
        <v/>
      </c>
      <c r="E30" s="3" t="str">
        <f>TRIM(IF(H30&lt;=$L$1,VLOOKUP(H30,Iktato!$C$3:$O$10000,8,FALSE),""))</f>
        <v/>
      </c>
      <c r="F30" s="4" t="str">
        <f t="shared" si="6"/>
        <v/>
      </c>
      <c r="H30" s="1">
        <f t="shared" si="2"/>
        <v>20</v>
      </c>
      <c r="J30" s="1">
        <f t="shared" si="3"/>
        <v>0</v>
      </c>
      <c r="K30" s="1">
        <f>SUM($L$9,$L$11:L30)</f>
        <v>0</v>
      </c>
      <c r="L30" s="1">
        <f>SUMIF(Iktato!$S$3:$S$10000,H30,Iktato!$V$3:$V$10000)</f>
        <v>0</v>
      </c>
    </row>
    <row r="31" spans="1:12" x14ac:dyDescent="0.25">
      <c r="A31" s="15" t="str">
        <f t="shared" si="5"/>
        <v/>
      </c>
      <c r="B31" s="15" t="str">
        <f>IF(H31&lt;=$L$1,VLOOKUP(H31,Iktato!$C$3:$O$10000,2,FALSE),"")</f>
        <v/>
      </c>
      <c r="C31" s="16" t="str">
        <f>IF(H31&lt;=$L$1,VLOOKUP(H31,Iktato!$C$3:$O$10000,4,FALSE),"")</f>
        <v/>
      </c>
      <c r="D31" s="3" t="str">
        <f>TRIM(IF(H31&lt;=$L$1,VLOOKUP(H31,Iktato!$C$3:$O$10000,7,FALSE),""))</f>
        <v/>
      </c>
      <c r="E31" s="3" t="str">
        <f>TRIM(IF(H31&lt;=$L$1,VLOOKUP(H31,Iktato!$C$3:$O$10000,8,FALSE),""))</f>
        <v/>
      </c>
      <c r="F31" s="4" t="str">
        <f t="shared" si="6"/>
        <v/>
      </c>
      <c r="H31" s="1">
        <f t="shared" si="2"/>
        <v>21</v>
      </c>
      <c r="J31" s="1">
        <f t="shared" si="3"/>
        <v>0</v>
      </c>
      <c r="K31" s="1">
        <f>SUM($L$9,$L$11:L31)</f>
        <v>0</v>
      </c>
      <c r="L31" s="1">
        <f>SUMIF(Iktato!$S$3:$S$10000,H31,Iktato!$V$3:$V$10000)</f>
        <v>0</v>
      </c>
    </row>
    <row r="32" spans="1:12" x14ac:dyDescent="0.25">
      <c r="A32" s="15" t="str">
        <f t="shared" si="5"/>
        <v/>
      </c>
      <c r="B32" s="15" t="str">
        <f>IF(H32&lt;=$L$1,VLOOKUP(H32,Iktato!$C$3:$O$10000,2,FALSE),"")</f>
        <v/>
      </c>
      <c r="C32" s="16" t="str">
        <f>IF(H32&lt;=$L$1,VLOOKUP(H32,Iktato!$C$3:$O$10000,4,FALSE),"")</f>
        <v/>
      </c>
      <c r="D32" s="3" t="str">
        <f>TRIM(IF(H32&lt;=$L$1,VLOOKUP(H32,Iktato!$C$3:$O$10000,7,FALSE),""))</f>
        <v/>
      </c>
      <c r="E32" s="3" t="str">
        <f>TRIM(IF(H32&lt;=$L$1,VLOOKUP(H32,Iktato!$C$3:$O$10000,8,FALSE),""))</f>
        <v/>
      </c>
      <c r="F32" s="4" t="str">
        <f t="shared" si="6"/>
        <v/>
      </c>
      <c r="H32" s="1">
        <f t="shared" si="2"/>
        <v>22</v>
      </c>
      <c r="J32" s="1">
        <f t="shared" si="3"/>
        <v>0</v>
      </c>
      <c r="K32" s="1">
        <f>SUM($L$9,$L$11:L32)</f>
        <v>0</v>
      </c>
      <c r="L32" s="1">
        <f>SUMIF(Iktato!$S$3:$S$10000,H32,Iktato!$V$3:$V$10000)</f>
        <v>0</v>
      </c>
    </row>
    <row r="33" spans="1:12" x14ac:dyDescent="0.25">
      <c r="A33" s="15" t="str">
        <f t="shared" si="5"/>
        <v/>
      </c>
      <c r="B33" s="15" t="str">
        <f>IF(H33&lt;=$L$1,VLOOKUP(H33,Iktato!$C$3:$O$10000,2,FALSE),"")</f>
        <v/>
      </c>
      <c r="C33" s="16" t="str">
        <f>IF(H33&lt;=$L$1,VLOOKUP(H33,Iktato!$C$3:$O$10000,4,FALSE),"")</f>
        <v/>
      </c>
      <c r="D33" s="3" t="str">
        <f>TRIM(IF(H33&lt;=$L$1,VLOOKUP(H33,Iktato!$C$3:$O$10000,7,FALSE),""))</f>
        <v/>
      </c>
      <c r="E33" s="3" t="str">
        <f>TRIM(IF(H33&lt;=$L$1,VLOOKUP(H33,Iktato!$C$3:$O$10000,8,FALSE),""))</f>
        <v/>
      </c>
      <c r="F33" s="4" t="str">
        <f t="shared" si="6"/>
        <v/>
      </c>
      <c r="H33" s="1">
        <f t="shared" si="2"/>
        <v>23</v>
      </c>
      <c r="J33" s="1">
        <f t="shared" si="3"/>
        <v>0</v>
      </c>
      <c r="K33" s="1">
        <f>SUM($L$9,$L$11:L33)</f>
        <v>0</v>
      </c>
      <c r="L33" s="1">
        <f>SUMIF(Iktato!$S$3:$S$10000,H33,Iktato!$V$3:$V$10000)</f>
        <v>0</v>
      </c>
    </row>
    <row r="34" spans="1:12" x14ac:dyDescent="0.25">
      <c r="A34" s="15" t="str">
        <f t="shared" si="5"/>
        <v/>
      </c>
      <c r="B34" s="15" t="str">
        <f>IF(H34&lt;=$L$1,VLOOKUP(H34,Iktato!$C$3:$O$10000,2,FALSE),"")</f>
        <v/>
      </c>
      <c r="C34" s="16" t="str">
        <f>IF(H34&lt;=$L$1,VLOOKUP(H34,Iktato!$C$3:$O$10000,4,FALSE),"")</f>
        <v/>
      </c>
      <c r="D34" s="3" t="str">
        <f>TRIM(IF(H34&lt;=$L$1,VLOOKUP(H34,Iktato!$C$3:$O$10000,7,FALSE),""))</f>
        <v/>
      </c>
      <c r="E34" s="3" t="str">
        <f>TRIM(IF(H34&lt;=$L$1,VLOOKUP(H34,Iktato!$C$3:$O$10000,8,FALSE),""))</f>
        <v/>
      </c>
      <c r="F34" s="4" t="str">
        <f t="shared" si="6"/>
        <v/>
      </c>
      <c r="H34" s="1">
        <f t="shared" si="2"/>
        <v>24</v>
      </c>
      <c r="J34" s="1">
        <f t="shared" si="3"/>
        <v>0</v>
      </c>
      <c r="K34" s="1">
        <f>SUM($L$9,$L$11:L34)</f>
        <v>0</v>
      </c>
      <c r="L34" s="1">
        <f>SUMIF(Iktato!$S$3:$S$10000,H34,Iktato!$V$3:$V$10000)</f>
        <v>0</v>
      </c>
    </row>
    <row r="35" spans="1:12" x14ac:dyDescent="0.25">
      <c r="A35" s="15" t="str">
        <f t="shared" si="5"/>
        <v/>
      </c>
      <c r="B35" s="15" t="str">
        <f>IF(H35&lt;=$L$1,VLOOKUP(H35,Iktato!$C$3:$O$10000,2,FALSE),"")</f>
        <v/>
      </c>
      <c r="C35" s="16" t="str">
        <f>IF(H35&lt;=$L$1,VLOOKUP(H35,Iktato!$C$3:$O$10000,4,FALSE),"")</f>
        <v/>
      </c>
      <c r="D35" s="3" t="str">
        <f>TRIM(IF(H35&lt;=$L$1,VLOOKUP(H35,Iktato!$C$3:$O$10000,7,FALSE),""))</f>
        <v/>
      </c>
      <c r="E35" s="3" t="str">
        <f>TRIM(IF(H35&lt;=$L$1,VLOOKUP(H35,Iktato!$C$3:$O$10000,8,FALSE),""))</f>
        <v/>
      </c>
      <c r="F35" s="4" t="str">
        <f t="shared" si="6"/>
        <v/>
      </c>
      <c r="H35" s="1">
        <f t="shared" si="2"/>
        <v>25</v>
      </c>
      <c r="J35" s="1">
        <f t="shared" si="3"/>
        <v>0</v>
      </c>
      <c r="K35" s="1">
        <f>SUM($L$9,$L$11:L35)</f>
        <v>0</v>
      </c>
      <c r="L35" s="1">
        <f>SUMIF(Iktato!$S$3:$S$10000,H35,Iktato!$V$3:$V$10000)</f>
        <v>0</v>
      </c>
    </row>
    <row r="36" spans="1:12" x14ac:dyDescent="0.25">
      <c r="A36" s="15" t="str">
        <f t="shared" si="5"/>
        <v/>
      </c>
      <c r="B36" s="15" t="str">
        <f>IF(H36&lt;=$L$1,VLOOKUP(H36,Iktato!$C$3:$O$10000,2,FALSE),"")</f>
        <v/>
      </c>
      <c r="C36" s="16" t="str">
        <f>IF(H36&lt;=$L$1,VLOOKUP(H36,Iktato!$C$3:$O$10000,4,FALSE),"")</f>
        <v/>
      </c>
      <c r="D36" s="3" t="str">
        <f>TRIM(IF(H36&lt;=$L$1,VLOOKUP(H36,Iktato!$C$3:$O$10000,7,FALSE),""))</f>
        <v/>
      </c>
      <c r="E36" s="3" t="str">
        <f>TRIM(IF(H36&lt;=$L$1,VLOOKUP(H36,Iktato!$C$3:$O$10000,8,FALSE),""))</f>
        <v/>
      </c>
      <c r="F36" s="4" t="str">
        <f t="shared" si="6"/>
        <v/>
      </c>
      <c r="H36" s="1">
        <f t="shared" si="2"/>
        <v>26</v>
      </c>
      <c r="J36" s="1">
        <f t="shared" si="3"/>
        <v>0</v>
      </c>
      <c r="K36" s="1">
        <f>SUM($L$9,$L$11:L36)</f>
        <v>0</v>
      </c>
      <c r="L36" s="1">
        <f>SUMIF(Iktato!$S$3:$S$10000,H36,Iktato!$V$3:$V$10000)</f>
        <v>0</v>
      </c>
    </row>
    <row r="37" spans="1:12" x14ac:dyDescent="0.25">
      <c r="A37" s="15" t="str">
        <f t="shared" si="5"/>
        <v/>
      </c>
      <c r="B37" s="15" t="str">
        <f>IF(H37&lt;=$L$1,VLOOKUP(H37,Iktato!$C$3:$O$10000,2,FALSE),"")</f>
        <v/>
      </c>
      <c r="C37" s="16" t="str">
        <f>IF(H37&lt;=$L$1,VLOOKUP(H37,Iktato!$C$3:$O$10000,4,FALSE),"")</f>
        <v/>
      </c>
      <c r="D37" s="3" t="str">
        <f>TRIM(IF(H37&lt;=$L$1,VLOOKUP(H37,Iktato!$C$3:$O$10000,7,FALSE),""))</f>
        <v/>
      </c>
      <c r="E37" s="3" t="str">
        <f>TRIM(IF(H37&lt;=$L$1,VLOOKUP(H37,Iktato!$C$3:$O$10000,8,FALSE),""))</f>
        <v/>
      </c>
      <c r="F37" s="4" t="str">
        <f t="shared" si="6"/>
        <v/>
      </c>
      <c r="H37" s="1">
        <f t="shared" si="2"/>
        <v>27</v>
      </c>
      <c r="J37" s="1">
        <f t="shared" si="3"/>
        <v>0</v>
      </c>
      <c r="K37" s="1">
        <f>SUM($L$9,$L$11:L37)</f>
        <v>0</v>
      </c>
      <c r="L37" s="1">
        <f>SUMIF(Iktato!$S$3:$S$10000,H37,Iktato!$V$3:$V$10000)</f>
        <v>0</v>
      </c>
    </row>
    <row r="38" spans="1:12" x14ac:dyDescent="0.25">
      <c r="A38" s="15" t="str">
        <f t="shared" si="5"/>
        <v/>
      </c>
      <c r="B38" s="15" t="str">
        <f>IF(H38&lt;=$L$1,VLOOKUP(H38,Iktato!$C$3:$O$10000,2,FALSE),"")</f>
        <v/>
      </c>
      <c r="C38" s="16" t="str">
        <f>IF(H38&lt;=$L$1,VLOOKUP(H38,Iktato!$C$3:$O$10000,4,FALSE),"")</f>
        <v/>
      </c>
      <c r="D38" s="3" t="str">
        <f>TRIM(IF(H38&lt;=$L$1,VLOOKUP(H38,Iktato!$C$3:$O$10000,7,FALSE),""))</f>
        <v/>
      </c>
      <c r="E38" s="3" t="str">
        <f>TRIM(IF(H38&lt;=$L$1,VLOOKUP(H38,Iktato!$C$3:$O$10000,8,FALSE),""))</f>
        <v/>
      </c>
      <c r="F38" s="4" t="str">
        <f t="shared" si="6"/>
        <v/>
      </c>
      <c r="H38" s="1">
        <f t="shared" si="2"/>
        <v>28</v>
      </c>
      <c r="J38" s="1">
        <f t="shared" si="3"/>
        <v>0</v>
      </c>
      <c r="K38" s="1">
        <f>SUM($L$9,$L$11:L38)</f>
        <v>0</v>
      </c>
      <c r="L38" s="1">
        <f>SUMIF(Iktato!$S$3:$S$10000,H38,Iktato!$V$3:$V$10000)</f>
        <v>0</v>
      </c>
    </row>
    <row r="39" spans="1:12" x14ac:dyDescent="0.25">
      <c r="A39" s="15" t="str">
        <f t="shared" si="5"/>
        <v/>
      </c>
      <c r="B39" s="15" t="str">
        <f>IF(H39&lt;=$L$1,VLOOKUP(H39,Iktato!$C$3:$O$10000,2,FALSE),"")</f>
        <v/>
      </c>
      <c r="C39" s="16" t="str">
        <f>IF(H39&lt;=$L$1,VLOOKUP(H39,Iktato!$C$3:$O$10000,4,FALSE),"")</f>
        <v/>
      </c>
      <c r="D39" s="3" t="str">
        <f>TRIM(IF(H39&lt;=$L$1,VLOOKUP(H39,Iktato!$C$3:$O$10000,7,FALSE),""))</f>
        <v/>
      </c>
      <c r="E39" s="3" t="str">
        <f>TRIM(IF(H39&lt;=$L$1,VLOOKUP(H39,Iktato!$C$3:$O$10000,8,FALSE),""))</f>
        <v/>
      </c>
      <c r="F39" s="4" t="str">
        <f t="shared" si="6"/>
        <v/>
      </c>
      <c r="H39" s="1">
        <f t="shared" si="2"/>
        <v>29</v>
      </c>
      <c r="J39" s="1">
        <f t="shared" si="3"/>
        <v>0</v>
      </c>
      <c r="K39" s="1">
        <f>SUM($L$9,$L$11:L39)</f>
        <v>0</v>
      </c>
      <c r="L39" s="1">
        <f>SUMIF(Iktato!$S$3:$S$10000,H39,Iktato!$V$3:$V$10000)</f>
        <v>0</v>
      </c>
    </row>
    <row r="40" spans="1:12" x14ac:dyDescent="0.25">
      <c r="A40" s="15" t="str">
        <f t="shared" si="5"/>
        <v/>
      </c>
      <c r="B40" s="15" t="str">
        <f>IF(H40&lt;=$L$1,VLOOKUP(H40,Iktato!$C$3:$O$10000,2,FALSE),"")</f>
        <v/>
      </c>
      <c r="C40" s="16" t="str">
        <f>IF(H40&lt;=$L$1,VLOOKUP(H40,Iktato!$C$3:$O$10000,4,FALSE),"")</f>
        <v/>
      </c>
      <c r="D40" s="3" t="str">
        <f>TRIM(IF(H40&lt;=$L$1,VLOOKUP(H40,Iktato!$C$3:$O$10000,7,FALSE),""))</f>
        <v/>
      </c>
      <c r="E40" s="3" t="str">
        <f>TRIM(IF(H40&lt;=$L$1,VLOOKUP(H40,Iktato!$C$3:$O$10000,8,FALSE),""))</f>
        <v/>
      </c>
      <c r="F40" s="4" t="str">
        <f t="shared" si="6"/>
        <v/>
      </c>
      <c r="H40" s="1">
        <f t="shared" si="2"/>
        <v>30</v>
      </c>
      <c r="J40" s="1">
        <f t="shared" si="3"/>
        <v>0</v>
      </c>
      <c r="K40" s="1">
        <f>SUM($L$9,$L$11:L40)</f>
        <v>0</v>
      </c>
      <c r="L40" s="1">
        <f>SUMIF(Iktato!$S$3:$S$10000,H40,Iktato!$V$3:$V$10000)</f>
        <v>0</v>
      </c>
    </row>
    <row r="41" spans="1:12" x14ac:dyDescent="0.25">
      <c r="A41" s="15" t="str">
        <f t="shared" si="5"/>
        <v/>
      </c>
      <c r="B41" s="15" t="str">
        <f>IF(H41&lt;=$L$1,VLOOKUP(H41,Iktato!$C$3:$O$10000,2,FALSE),"")</f>
        <v/>
      </c>
      <c r="C41" s="16" t="str">
        <f>IF(H41&lt;=$L$1,VLOOKUP(H41,Iktato!$C$3:$O$10000,4,FALSE),"")</f>
        <v/>
      </c>
      <c r="D41" s="3" t="str">
        <f>TRIM(IF(H41&lt;=$L$1,VLOOKUP(H41,Iktato!$C$3:$O$10000,7,FALSE),""))</f>
        <v/>
      </c>
      <c r="E41" s="3" t="str">
        <f>TRIM(IF(H41&lt;=$L$1,VLOOKUP(H41,Iktato!$C$3:$O$10000,8,FALSE),""))</f>
        <v/>
      </c>
      <c r="F41" s="4" t="str">
        <f t="shared" si="6"/>
        <v/>
      </c>
      <c r="H41" s="1">
        <f t="shared" si="2"/>
        <v>31</v>
      </c>
      <c r="J41" s="1">
        <f t="shared" si="3"/>
        <v>0</v>
      </c>
      <c r="K41" s="1">
        <f>SUM($L$9,$L$11:L41)</f>
        <v>0</v>
      </c>
      <c r="L41" s="1">
        <f>SUMIF(Iktato!$S$3:$S$10000,H41,Iktato!$V$3:$V$10000)</f>
        <v>0</v>
      </c>
    </row>
    <row r="42" spans="1:12" x14ac:dyDescent="0.25">
      <c r="A42" s="15" t="str">
        <f t="shared" si="5"/>
        <v/>
      </c>
      <c r="B42" s="15" t="str">
        <f>IF(H42&lt;=$L$1,VLOOKUP(H42,Iktato!$C$3:$O$10000,2,FALSE),"")</f>
        <v/>
      </c>
      <c r="C42" s="16" t="str">
        <f>IF(H42&lt;=$L$1,VLOOKUP(H42,Iktato!$C$3:$O$10000,4,FALSE),"")</f>
        <v/>
      </c>
      <c r="D42" s="3" t="str">
        <f>TRIM(IF(H42&lt;=$L$1,VLOOKUP(H42,Iktato!$C$3:$O$10000,7,FALSE),""))</f>
        <v/>
      </c>
      <c r="E42" s="3" t="str">
        <f>TRIM(IF(H42&lt;=$L$1,VLOOKUP(H42,Iktato!$C$3:$O$10000,8,FALSE),""))</f>
        <v/>
      </c>
      <c r="F42" s="4" t="str">
        <f t="shared" si="6"/>
        <v/>
      </c>
      <c r="H42" s="1">
        <f t="shared" si="2"/>
        <v>32</v>
      </c>
      <c r="J42" s="1">
        <f t="shared" si="3"/>
        <v>0</v>
      </c>
      <c r="K42" s="1">
        <f>SUM($L$9,$L$11:L42)</f>
        <v>0</v>
      </c>
      <c r="L42" s="1">
        <f>SUMIF(Iktato!$S$3:$S$10000,H42,Iktato!$V$3:$V$10000)</f>
        <v>0</v>
      </c>
    </row>
    <row r="43" spans="1:12" x14ac:dyDescent="0.25">
      <c r="A43" s="15" t="str">
        <f t="shared" si="5"/>
        <v/>
      </c>
      <c r="B43" s="15" t="str">
        <f>IF(H43&lt;=$L$1,VLOOKUP(H43,Iktato!$C$3:$O$10000,2,FALSE),"")</f>
        <v/>
      </c>
      <c r="C43" s="16" t="str">
        <f>IF(H43&lt;=$L$1,VLOOKUP(H43,Iktato!$C$3:$O$10000,4,FALSE),"")</f>
        <v/>
      </c>
      <c r="D43" s="3" t="str">
        <f>TRIM(IF(H43&lt;=$L$1,VLOOKUP(H43,Iktato!$C$3:$O$10000,7,FALSE),""))</f>
        <v/>
      </c>
      <c r="E43" s="3" t="str">
        <f>TRIM(IF(H43&lt;=$L$1,VLOOKUP(H43,Iktato!$C$3:$O$10000,8,FALSE),""))</f>
        <v/>
      </c>
      <c r="F43" s="4" t="str">
        <f t="shared" si="6"/>
        <v/>
      </c>
      <c r="H43" s="1">
        <f t="shared" si="2"/>
        <v>33</v>
      </c>
      <c r="J43" s="1">
        <f t="shared" si="3"/>
        <v>0</v>
      </c>
      <c r="K43" s="1">
        <f>SUM($L$9,$L$11:L43)</f>
        <v>0</v>
      </c>
      <c r="L43" s="1">
        <f>SUMIF(Iktato!$S$3:$S$10000,H43,Iktato!$V$3:$V$10000)</f>
        <v>0</v>
      </c>
    </row>
    <row r="44" spans="1:12" x14ac:dyDescent="0.25">
      <c r="A44" s="15" t="str">
        <f t="shared" si="5"/>
        <v/>
      </c>
      <c r="B44" s="15" t="str">
        <f>IF(H44&lt;=$L$1,VLOOKUP(H44,Iktato!$C$3:$O$10000,2,FALSE),"")</f>
        <v/>
      </c>
      <c r="C44" s="16" t="str">
        <f>IF(H44&lt;=$L$1,VLOOKUP(H44,Iktato!$C$3:$O$10000,4,FALSE),"")</f>
        <v/>
      </c>
      <c r="D44" s="3" t="str">
        <f>TRIM(IF(H44&lt;=$L$1,VLOOKUP(H44,Iktato!$C$3:$O$10000,7,FALSE),""))</f>
        <v/>
      </c>
      <c r="E44" s="3" t="str">
        <f>TRIM(IF(H44&lt;=$L$1,VLOOKUP(H44,Iktato!$C$3:$O$10000,8,FALSE),""))</f>
        <v/>
      </c>
      <c r="F44" s="4" t="str">
        <f t="shared" si="6"/>
        <v/>
      </c>
      <c r="H44" s="1">
        <f t="shared" si="2"/>
        <v>34</v>
      </c>
      <c r="J44" s="1">
        <f t="shared" si="3"/>
        <v>0</v>
      </c>
      <c r="K44" s="1">
        <f>SUM($L$9,$L$11:L44)</f>
        <v>0</v>
      </c>
      <c r="L44" s="1">
        <f>SUMIF(Iktato!$S$3:$S$10000,H44,Iktato!$V$3:$V$10000)</f>
        <v>0</v>
      </c>
    </row>
    <row r="45" spans="1:12" x14ac:dyDescent="0.25">
      <c r="A45" s="15" t="str">
        <f t="shared" si="5"/>
        <v/>
      </c>
      <c r="B45" s="15" t="str">
        <f>IF(H45&lt;=$L$1,VLOOKUP(H45,Iktato!$C$3:$O$10000,2,FALSE),"")</f>
        <v/>
      </c>
      <c r="C45" s="16" t="str">
        <f>IF(H45&lt;=$L$1,VLOOKUP(H45,Iktato!$C$3:$O$10000,4,FALSE),"")</f>
        <v/>
      </c>
      <c r="D45" s="3" t="str">
        <f>TRIM(IF(H45&lt;=$L$1,VLOOKUP(H45,Iktato!$C$3:$O$10000,7,FALSE),""))</f>
        <v/>
      </c>
      <c r="E45" s="3" t="str">
        <f>TRIM(IF(H45&lt;=$L$1,VLOOKUP(H45,Iktato!$C$3:$O$10000,8,FALSE),""))</f>
        <v/>
      </c>
      <c r="F45" s="4" t="str">
        <f t="shared" si="6"/>
        <v/>
      </c>
      <c r="H45" s="1">
        <f t="shared" si="2"/>
        <v>35</v>
      </c>
      <c r="J45" s="1">
        <f t="shared" si="3"/>
        <v>0</v>
      </c>
      <c r="K45" s="1">
        <f>SUM($L$9,$L$11:L45)</f>
        <v>0</v>
      </c>
      <c r="L45" s="1">
        <f>SUMIF(Iktato!$S$3:$S$10000,H45,Iktato!$V$3:$V$10000)</f>
        <v>0</v>
      </c>
    </row>
    <row r="46" spans="1:12" x14ac:dyDescent="0.25">
      <c r="A46" s="15" t="str">
        <f t="shared" si="5"/>
        <v/>
      </c>
      <c r="B46" s="15" t="str">
        <f>IF(H46&lt;=$L$1,VLOOKUP(H46,Iktato!$C$3:$O$10000,2,FALSE),"")</f>
        <v/>
      </c>
      <c r="C46" s="16" t="str">
        <f>IF(H46&lt;=$L$1,VLOOKUP(H46,Iktato!$C$3:$O$10000,4,FALSE),"")</f>
        <v/>
      </c>
      <c r="D46" s="3" t="str">
        <f>TRIM(IF(H46&lt;=$L$1,VLOOKUP(H46,Iktato!$C$3:$O$10000,7,FALSE),""))</f>
        <v/>
      </c>
      <c r="E46" s="3" t="str">
        <f>TRIM(IF(H46&lt;=$L$1,VLOOKUP(H46,Iktato!$C$3:$O$10000,8,FALSE),""))</f>
        <v/>
      </c>
      <c r="F46" s="4" t="str">
        <f t="shared" si="6"/>
        <v/>
      </c>
      <c r="H46" s="1">
        <f t="shared" si="2"/>
        <v>36</v>
      </c>
      <c r="J46" s="1">
        <f t="shared" si="3"/>
        <v>0</v>
      </c>
      <c r="K46" s="1">
        <f>SUM($L$9,$L$11:L46)</f>
        <v>0</v>
      </c>
      <c r="L46" s="1">
        <f>SUMIF(Iktato!$S$3:$S$10000,H46,Iktato!$V$3:$V$10000)</f>
        <v>0</v>
      </c>
    </row>
    <row r="47" spans="1:12" x14ac:dyDescent="0.25">
      <c r="A47" s="15" t="str">
        <f t="shared" si="5"/>
        <v/>
      </c>
      <c r="B47" s="15" t="str">
        <f>IF(H47&lt;=$L$1,VLOOKUP(H47,Iktato!$C$3:$O$10000,2,FALSE),"")</f>
        <v/>
      </c>
      <c r="C47" s="16" t="str">
        <f>IF(H47&lt;=$L$1,VLOOKUP(H47,Iktato!$C$3:$O$10000,4,FALSE),"")</f>
        <v/>
      </c>
      <c r="D47" s="3" t="str">
        <f>TRIM(IF(H47&lt;=$L$1,VLOOKUP(H47,Iktato!$C$3:$O$10000,7,FALSE),""))</f>
        <v/>
      </c>
      <c r="E47" s="3" t="str">
        <f>TRIM(IF(H47&lt;=$L$1,VLOOKUP(H47,Iktato!$C$3:$O$10000,8,FALSE),""))</f>
        <v/>
      </c>
      <c r="F47" s="4" t="str">
        <f t="shared" si="6"/>
        <v/>
      </c>
      <c r="H47" s="1">
        <f t="shared" si="2"/>
        <v>37</v>
      </c>
      <c r="J47" s="1">
        <f t="shared" si="3"/>
        <v>0</v>
      </c>
      <c r="K47" s="1">
        <f>SUM($L$9,$L$11:L47)</f>
        <v>0</v>
      </c>
      <c r="L47" s="1">
        <f>SUMIF(Iktato!$S$3:$S$10000,H47,Iktato!$V$3:$V$10000)</f>
        <v>0</v>
      </c>
    </row>
    <row r="48" spans="1:12" x14ac:dyDescent="0.25">
      <c r="A48" s="15" t="str">
        <f t="shared" si="5"/>
        <v/>
      </c>
      <c r="B48" s="15" t="str">
        <f>IF(H48&lt;=$L$1,VLOOKUP(H48,Iktato!$C$3:$O$10000,2,FALSE),"")</f>
        <v/>
      </c>
      <c r="C48" s="16" t="str">
        <f>IF(H48&lt;=$L$1,VLOOKUP(H48,Iktato!$C$3:$O$10000,4,FALSE),"")</f>
        <v/>
      </c>
      <c r="D48" s="3" t="str">
        <f>TRIM(IF(H48&lt;=$L$1,VLOOKUP(H48,Iktato!$C$3:$O$10000,7,FALSE),""))</f>
        <v/>
      </c>
      <c r="E48" s="3" t="str">
        <f>TRIM(IF(H48&lt;=$L$1,VLOOKUP(H48,Iktato!$C$3:$O$10000,8,FALSE),""))</f>
        <v/>
      </c>
      <c r="F48" s="4" t="str">
        <f t="shared" si="6"/>
        <v/>
      </c>
      <c r="H48" s="1">
        <f t="shared" si="2"/>
        <v>38</v>
      </c>
      <c r="J48" s="1">
        <f t="shared" si="3"/>
        <v>0</v>
      </c>
      <c r="K48" s="1">
        <f>SUM($L$9,$L$11:L48)</f>
        <v>0</v>
      </c>
      <c r="L48" s="1">
        <f>SUMIF(Iktato!$S$3:$S$10000,H48,Iktato!$V$3:$V$10000)</f>
        <v>0</v>
      </c>
    </row>
    <row r="49" spans="1:12" x14ac:dyDescent="0.25">
      <c r="A49" s="15" t="str">
        <f t="shared" si="5"/>
        <v/>
      </c>
      <c r="B49" s="15" t="str">
        <f>IF(H49&lt;=$L$1,VLOOKUP(H49,Iktato!$C$3:$O$10000,2,FALSE),"")</f>
        <v/>
      </c>
      <c r="C49" s="16" t="str">
        <f>IF(H49&lt;=$L$1,VLOOKUP(H49,Iktato!$C$3:$O$10000,4,FALSE),"")</f>
        <v/>
      </c>
      <c r="D49" s="3" t="str">
        <f>TRIM(IF(H49&lt;=$L$1,VLOOKUP(H49,Iktato!$C$3:$O$10000,7,FALSE),""))</f>
        <v/>
      </c>
      <c r="E49" s="3" t="str">
        <f>TRIM(IF(H49&lt;=$L$1,VLOOKUP(H49,Iktato!$C$3:$O$10000,8,FALSE),""))</f>
        <v/>
      </c>
      <c r="F49" s="4" t="str">
        <f t="shared" si="6"/>
        <v/>
      </c>
      <c r="H49" s="1">
        <f t="shared" si="2"/>
        <v>39</v>
      </c>
      <c r="J49" s="1">
        <f t="shared" si="3"/>
        <v>0</v>
      </c>
      <c r="K49" s="1">
        <f>SUM($L$9,$L$11:L49)</f>
        <v>0</v>
      </c>
      <c r="L49" s="1">
        <f>SUMIF(Iktato!$S$3:$S$10000,H49,Iktato!$V$3:$V$10000)</f>
        <v>0</v>
      </c>
    </row>
    <row r="50" spans="1:12" x14ac:dyDescent="0.25">
      <c r="A50" s="15" t="str">
        <f t="shared" ref="A50:A113" si="7">IF(H50&lt;=$L$1,H50,"")</f>
        <v/>
      </c>
      <c r="B50" s="15" t="str">
        <f>IF(H50&lt;=$L$1,VLOOKUP(H50,Iktato!$C$3:$O$10000,2,FALSE),"")</f>
        <v/>
      </c>
      <c r="C50" s="16" t="str">
        <f>IF(H50&lt;=$L$1,VLOOKUP(H50,Iktato!$C$3:$O$10000,4,FALSE),"")</f>
        <v/>
      </c>
      <c r="D50" s="3" t="str">
        <f>TRIM(IF(H50&lt;=$L$1,VLOOKUP(H50,Iktato!$C$3:$O$10000,7,FALSE),""))</f>
        <v/>
      </c>
      <c r="E50" s="3" t="str">
        <f>TRIM(IF(H50&lt;=$L$1,VLOOKUP(H50,Iktato!$C$3:$O$10000,8,FALSE),""))</f>
        <v/>
      </c>
      <c r="F50" s="4" t="str">
        <f t="shared" ref="F50:F113" si="8">IF(H50&lt;=$L$1,J50,"")</f>
        <v/>
      </c>
      <c r="H50" s="1">
        <f t="shared" si="2"/>
        <v>40</v>
      </c>
      <c r="J50" s="1">
        <f t="shared" ref="J50:J113" si="9">IF(L50&lt;&gt;0,IF(K50&lt;&gt;K49+1,K49+1&amp;"-"&amp;K50,K50),J49)</f>
        <v>0</v>
      </c>
      <c r="K50" s="1">
        <f>SUM($L$9,$L$11:L50)</f>
        <v>0</v>
      </c>
      <c r="L50" s="1">
        <f>SUMIF(Iktato!$S$3:$S$10000,H50,Iktato!$V$3:$V$10000)</f>
        <v>0</v>
      </c>
    </row>
    <row r="51" spans="1:12" x14ac:dyDescent="0.25">
      <c r="A51" s="15" t="str">
        <f t="shared" si="7"/>
        <v/>
      </c>
      <c r="B51" s="15" t="str">
        <f>IF(H51&lt;=$L$1,VLOOKUP(H51,Iktato!$C$3:$O$10000,2,FALSE),"")</f>
        <v/>
      </c>
      <c r="C51" s="16" t="str">
        <f>IF(H51&lt;=$L$1,VLOOKUP(H51,Iktato!$C$3:$O$10000,4,FALSE),"")</f>
        <v/>
      </c>
      <c r="D51" s="3" t="str">
        <f>TRIM(IF(H51&lt;=$L$1,VLOOKUP(H51,Iktato!$C$3:$O$10000,7,FALSE),""))</f>
        <v/>
      </c>
      <c r="E51" s="3" t="str">
        <f>TRIM(IF(H51&lt;=$L$1,VLOOKUP(H51,Iktato!$C$3:$O$10000,8,FALSE),""))</f>
        <v/>
      </c>
      <c r="F51" s="4" t="str">
        <f t="shared" si="8"/>
        <v/>
      </c>
      <c r="H51" s="1">
        <f t="shared" si="2"/>
        <v>41</v>
      </c>
      <c r="J51" s="1">
        <f t="shared" si="9"/>
        <v>0</v>
      </c>
      <c r="K51" s="1">
        <f>SUM($L$9,$L$11:L51)</f>
        <v>0</v>
      </c>
      <c r="L51" s="1">
        <f>SUMIF(Iktato!$S$3:$S$10000,H51,Iktato!$V$3:$V$10000)</f>
        <v>0</v>
      </c>
    </row>
    <row r="52" spans="1:12" x14ac:dyDescent="0.25">
      <c r="A52" s="15" t="str">
        <f t="shared" si="7"/>
        <v/>
      </c>
      <c r="B52" s="15" t="str">
        <f>IF(H52&lt;=$L$1,VLOOKUP(H52,Iktato!$C$3:$O$10000,2,FALSE),"")</f>
        <v/>
      </c>
      <c r="C52" s="16" t="str">
        <f>IF(H52&lt;=$L$1,VLOOKUP(H52,Iktato!$C$3:$O$10000,4,FALSE),"")</f>
        <v/>
      </c>
      <c r="D52" s="3" t="str">
        <f>TRIM(IF(H52&lt;=$L$1,VLOOKUP(H52,Iktato!$C$3:$O$10000,7,FALSE),""))</f>
        <v/>
      </c>
      <c r="E52" s="3" t="str">
        <f>TRIM(IF(H52&lt;=$L$1,VLOOKUP(H52,Iktato!$C$3:$O$10000,8,FALSE),""))</f>
        <v/>
      </c>
      <c r="F52" s="4" t="str">
        <f t="shared" si="8"/>
        <v/>
      </c>
      <c r="H52" s="1">
        <f t="shared" si="2"/>
        <v>42</v>
      </c>
      <c r="J52" s="1">
        <f t="shared" si="9"/>
        <v>0</v>
      </c>
      <c r="K52" s="1">
        <f>SUM($L$9,$L$11:L52)</f>
        <v>0</v>
      </c>
      <c r="L52" s="1">
        <f>SUMIF(Iktato!$S$3:$S$10000,H52,Iktato!$V$3:$V$10000)</f>
        <v>0</v>
      </c>
    </row>
    <row r="53" spans="1:12" x14ac:dyDescent="0.25">
      <c r="A53" s="15" t="str">
        <f t="shared" si="7"/>
        <v/>
      </c>
      <c r="B53" s="15" t="str">
        <f>IF(H53&lt;=$L$1,VLOOKUP(H53,Iktato!$C$3:$O$10000,2,FALSE),"")</f>
        <v/>
      </c>
      <c r="C53" s="16" t="str">
        <f>IF(H53&lt;=$L$1,VLOOKUP(H53,Iktato!$C$3:$O$10000,4,FALSE),"")</f>
        <v/>
      </c>
      <c r="D53" s="3" t="str">
        <f>TRIM(IF(H53&lt;=$L$1,VLOOKUP(H53,Iktato!$C$3:$O$10000,7,FALSE),""))</f>
        <v/>
      </c>
      <c r="E53" s="3" t="str">
        <f>TRIM(IF(H53&lt;=$L$1,VLOOKUP(H53,Iktato!$C$3:$O$10000,8,FALSE),""))</f>
        <v/>
      </c>
      <c r="F53" s="4" t="str">
        <f t="shared" si="8"/>
        <v/>
      </c>
      <c r="H53" s="1">
        <f t="shared" si="2"/>
        <v>43</v>
      </c>
      <c r="J53" s="1">
        <f t="shared" si="9"/>
        <v>0</v>
      </c>
      <c r="K53" s="1">
        <f>SUM($L$9,$L$11:L53)</f>
        <v>0</v>
      </c>
      <c r="L53" s="1">
        <f>SUMIF(Iktato!$S$3:$S$10000,H53,Iktato!$V$3:$V$10000)</f>
        <v>0</v>
      </c>
    </row>
    <row r="54" spans="1:12" x14ac:dyDescent="0.25">
      <c r="A54" s="15" t="str">
        <f t="shared" si="7"/>
        <v/>
      </c>
      <c r="B54" s="15" t="str">
        <f>IF(H54&lt;=$L$1,VLOOKUP(H54,Iktato!$C$3:$O$10000,2,FALSE),"")</f>
        <v/>
      </c>
      <c r="C54" s="16" t="str">
        <f>IF(H54&lt;=$L$1,VLOOKUP(H54,Iktato!$C$3:$O$10000,4,FALSE),"")</f>
        <v/>
      </c>
      <c r="D54" s="3" t="str">
        <f>TRIM(IF(H54&lt;=$L$1,VLOOKUP(H54,Iktato!$C$3:$O$10000,7,FALSE),""))</f>
        <v/>
      </c>
      <c r="E54" s="3" t="str">
        <f>TRIM(IF(H54&lt;=$L$1,VLOOKUP(H54,Iktato!$C$3:$O$10000,8,FALSE),""))</f>
        <v/>
      </c>
      <c r="F54" s="4" t="str">
        <f t="shared" si="8"/>
        <v/>
      </c>
      <c r="H54" s="1">
        <f t="shared" si="2"/>
        <v>44</v>
      </c>
      <c r="J54" s="1">
        <f t="shared" si="9"/>
        <v>0</v>
      </c>
      <c r="K54" s="1">
        <f>SUM($L$9,$L$11:L54)</f>
        <v>0</v>
      </c>
      <c r="L54" s="1">
        <f>SUMIF(Iktato!$S$3:$S$10000,H54,Iktato!$V$3:$V$10000)</f>
        <v>0</v>
      </c>
    </row>
    <row r="55" spans="1:12" x14ac:dyDescent="0.25">
      <c r="A55" s="15" t="str">
        <f t="shared" si="7"/>
        <v/>
      </c>
      <c r="B55" s="15" t="str">
        <f>IF(H55&lt;=$L$1,VLOOKUP(H55,Iktato!$C$3:$O$10000,2,FALSE),"")</f>
        <v/>
      </c>
      <c r="C55" s="16" t="str">
        <f>IF(H55&lt;=$L$1,VLOOKUP(H55,Iktato!$C$3:$O$10000,4,FALSE),"")</f>
        <v/>
      </c>
      <c r="D55" s="3" t="str">
        <f>TRIM(IF(H55&lt;=$L$1,VLOOKUP(H55,Iktato!$C$3:$O$10000,7,FALSE),""))</f>
        <v/>
      </c>
      <c r="E55" s="3" t="str">
        <f>TRIM(IF(H55&lt;=$L$1,VLOOKUP(H55,Iktato!$C$3:$O$10000,8,FALSE),""))</f>
        <v/>
      </c>
      <c r="F55" s="4" t="str">
        <f t="shared" si="8"/>
        <v/>
      </c>
      <c r="H55" s="1">
        <f t="shared" si="2"/>
        <v>45</v>
      </c>
      <c r="J55" s="1">
        <f t="shared" si="9"/>
        <v>0</v>
      </c>
      <c r="K55" s="1">
        <f>SUM($L$9,$L$11:L55)</f>
        <v>0</v>
      </c>
      <c r="L55" s="1">
        <f>SUMIF(Iktato!$S$3:$S$10000,H55,Iktato!$V$3:$V$10000)</f>
        <v>0</v>
      </c>
    </row>
    <row r="56" spans="1:12" x14ac:dyDescent="0.25">
      <c r="A56" s="15" t="str">
        <f t="shared" si="7"/>
        <v/>
      </c>
      <c r="B56" s="15" t="str">
        <f>IF(H56&lt;=$L$1,VLOOKUP(H56,Iktato!$C$3:$O$10000,2,FALSE),"")</f>
        <v/>
      </c>
      <c r="C56" s="16" t="str">
        <f>IF(H56&lt;=$L$1,VLOOKUP(H56,Iktato!$C$3:$O$10000,4,FALSE),"")</f>
        <v/>
      </c>
      <c r="D56" s="3" t="str">
        <f>TRIM(IF(H56&lt;=$L$1,VLOOKUP(H56,Iktato!$C$3:$O$10000,7,FALSE),""))</f>
        <v/>
      </c>
      <c r="E56" s="3" t="str">
        <f>TRIM(IF(H56&lt;=$L$1,VLOOKUP(H56,Iktato!$C$3:$O$10000,8,FALSE),""))</f>
        <v/>
      </c>
      <c r="F56" s="4" t="str">
        <f t="shared" si="8"/>
        <v/>
      </c>
      <c r="H56" s="1">
        <f t="shared" si="2"/>
        <v>46</v>
      </c>
      <c r="J56" s="1">
        <f t="shared" si="9"/>
        <v>0</v>
      </c>
      <c r="K56" s="1">
        <f>SUM($L$9,$L$11:L56)</f>
        <v>0</v>
      </c>
      <c r="L56" s="1">
        <f>SUMIF(Iktato!$S$3:$S$10000,H56,Iktato!$V$3:$V$10000)</f>
        <v>0</v>
      </c>
    </row>
    <row r="57" spans="1:12" x14ac:dyDescent="0.25">
      <c r="A57" s="15" t="str">
        <f t="shared" si="7"/>
        <v/>
      </c>
      <c r="B57" s="15" t="str">
        <f>IF(H57&lt;=$L$1,VLOOKUP(H57,Iktato!$C$3:$O$10000,2,FALSE),"")</f>
        <v/>
      </c>
      <c r="C57" s="16" t="str">
        <f>IF(H57&lt;=$L$1,VLOOKUP(H57,Iktato!$C$3:$O$10000,4,FALSE),"")</f>
        <v/>
      </c>
      <c r="D57" s="3" t="str">
        <f>TRIM(IF(H57&lt;=$L$1,VLOOKUP(H57,Iktato!$C$3:$O$10000,7,FALSE),""))</f>
        <v/>
      </c>
      <c r="E57" s="3" t="str">
        <f>TRIM(IF(H57&lt;=$L$1,VLOOKUP(H57,Iktato!$C$3:$O$10000,8,FALSE),""))</f>
        <v/>
      </c>
      <c r="F57" s="4" t="str">
        <f t="shared" si="8"/>
        <v/>
      </c>
      <c r="H57" s="1">
        <f t="shared" si="2"/>
        <v>47</v>
      </c>
      <c r="J57" s="1">
        <f t="shared" si="9"/>
        <v>0</v>
      </c>
      <c r="K57" s="1">
        <f>SUM($L$9,$L$11:L57)</f>
        <v>0</v>
      </c>
      <c r="L57" s="1">
        <f>SUMIF(Iktato!$S$3:$S$10000,H57,Iktato!$V$3:$V$10000)</f>
        <v>0</v>
      </c>
    </row>
    <row r="58" spans="1:12" x14ac:dyDescent="0.25">
      <c r="A58" s="15" t="str">
        <f t="shared" si="7"/>
        <v/>
      </c>
      <c r="B58" s="15" t="str">
        <f>IF(H58&lt;=$L$1,VLOOKUP(H58,Iktato!$C$3:$O$10000,2,FALSE),"")</f>
        <v/>
      </c>
      <c r="C58" s="16" t="str">
        <f>IF(H58&lt;=$L$1,VLOOKUP(H58,Iktato!$C$3:$O$10000,4,FALSE),"")</f>
        <v/>
      </c>
      <c r="D58" s="3" t="str">
        <f>TRIM(IF(H58&lt;=$L$1,VLOOKUP(H58,Iktato!$C$3:$O$10000,7,FALSE),""))</f>
        <v/>
      </c>
      <c r="E58" s="3" t="str">
        <f>TRIM(IF(H58&lt;=$L$1,VLOOKUP(H58,Iktato!$C$3:$O$10000,8,FALSE),""))</f>
        <v/>
      </c>
      <c r="F58" s="4" t="str">
        <f t="shared" si="8"/>
        <v/>
      </c>
      <c r="H58" s="1">
        <f t="shared" si="2"/>
        <v>48</v>
      </c>
      <c r="J58" s="1">
        <f t="shared" si="9"/>
        <v>0</v>
      </c>
      <c r="K58" s="1">
        <f>SUM($L$9,$L$11:L58)</f>
        <v>0</v>
      </c>
      <c r="L58" s="1">
        <f>SUMIF(Iktato!$S$3:$S$10000,H58,Iktato!$V$3:$V$10000)</f>
        <v>0</v>
      </c>
    </row>
    <row r="59" spans="1:12" x14ac:dyDescent="0.25">
      <c r="A59" s="15" t="str">
        <f t="shared" si="7"/>
        <v/>
      </c>
      <c r="B59" s="15" t="str">
        <f>IF(H59&lt;=$L$1,VLOOKUP(H59,Iktato!$C$3:$O$10000,2,FALSE),"")</f>
        <v/>
      </c>
      <c r="C59" s="16" t="str">
        <f>IF(H59&lt;=$L$1,VLOOKUP(H59,Iktato!$C$3:$O$10000,4,FALSE),"")</f>
        <v/>
      </c>
      <c r="D59" s="3" t="str">
        <f>TRIM(IF(H59&lt;=$L$1,VLOOKUP(H59,Iktato!$C$3:$O$10000,7,FALSE),""))</f>
        <v/>
      </c>
      <c r="E59" s="3" t="str">
        <f>TRIM(IF(H59&lt;=$L$1,VLOOKUP(H59,Iktato!$C$3:$O$10000,8,FALSE),""))</f>
        <v/>
      </c>
      <c r="F59" s="4" t="str">
        <f t="shared" si="8"/>
        <v/>
      </c>
      <c r="H59" s="1">
        <f t="shared" si="2"/>
        <v>49</v>
      </c>
      <c r="J59" s="1">
        <f t="shared" si="9"/>
        <v>0</v>
      </c>
      <c r="K59" s="1">
        <f>SUM($L$9,$L$11:L59)</f>
        <v>0</v>
      </c>
      <c r="L59" s="1">
        <f>SUMIF(Iktato!$S$3:$S$10000,H59,Iktato!$V$3:$V$10000)</f>
        <v>0</v>
      </c>
    </row>
    <row r="60" spans="1:12" x14ac:dyDescent="0.25">
      <c r="A60" s="15" t="str">
        <f t="shared" si="7"/>
        <v/>
      </c>
      <c r="B60" s="15" t="str">
        <f>IF(H60&lt;=$L$1,VLOOKUP(H60,Iktato!$C$3:$O$10000,2,FALSE),"")</f>
        <v/>
      </c>
      <c r="C60" s="16" t="str">
        <f>IF(H60&lt;=$L$1,VLOOKUP(H60,Iktato!$C$3:$O$10000,4,FALSE),"")</f>
        <v/>
      </c>
      <c r="D60" s="3" t="str">
        <f>TRIM(IF(H60&lt;=$L$1,VLOOKUP(H60,Iktato!$C$3:$O$10000,7,FALSE),""))</f>
        <v/>
      </c>
      <c r="E60" s="3" t="str">
        <f>TRIM(IF(H60&lt;=$L$1,VLOOKUP(H60,Iktato!$C$3:$O$10000,8,FALSE),""))</f>
        <v/>
      </c>
      <c r="F60" s="4" t="str">
        <f t="shared" si="8"/>
        <v/>
      </c>
      <c r="H60" s="1">
        <f t="shared" si="2"/>
        <v>50</v>
      </c>
      <c r="J60" s="1">
        <f t="shared" si="9"/>
        <v>0</v>
      </c>
      <c r="K60" s="1">
        <f>SUM($L$9,$L$11:L60)</f>
        <v>0</v>
      </c>
      <c r="L60" s="1">
        <f>SUMIF(Iktato!$S$3:$S$10000,H60,Iktato!$V$3:$V$10000)</f>
        <v>0</v>
      </c>
    </row>
    <row r="61" spans="1:12" x14ac:dyDescent="0.25">
      <c r="A61" s="15" t="str">
        <f t="shared" si="7"/>
        <v/>
      </c>
      <c r="B61" s="15" t="str">
        <f>IF(H61&lt;=$L$1,VLOOKUP(H61,Iktato!$C$3:$O$10000,2,FALSE),"")</f>
        <v/>
      </c>
      <c r="C61" s="16" t="str">
        <f>IF(H61&lt;=$L$1,VLOOKUP(H61,Iktato!$C$3:$O$10000,4,FALSE),"")</f>
        <v/>
      </c>
      <c r="D61" s="3" t="str">
        <f>TRIM(IF(H61&lt;=$L$1,VLOOKUP(H61,Iktato!$C$3:$O$10000,7,FALSE),""))</f>
        <v/>
      </c>
      <c r="E61" s="3" t="str">
        <f>TRIM(IF(H61&lt;=$L$1,VLOOKUP(H61,Iktato!$C$3:$O$10000,8,FALSE),""))</f>
        <v/>
      </c>
      <c r="F61" s="4" t="str">
        <f t="shared" si="8"/>
        <v/>
      </c>
      <c r="H61" s="1">
        <f t="shared" si="2"/>
        <v>51</v>
      </c>
      <c r="J61" s="1">
        <f t="shared" si="9"/>
        <v>0</v>
      </c>
      <c r="K61" s="1">
        <f>SUM($L$9,$L$11:L61)</f>
        <v>0</v>
      </c>
      <c r="L61" s="1">
        <f>SUMIF(Iktato!$S$3:$S$10000,H61,Iktato!$V$3:$V$10000)</f>
        <v>0</v>
      </c>
    </row>
    <row r="62" spans="1:12" x14ac:dyDescent="0.25">
      <c r="A62" s="15" t="str">
        <f t="shared" si="7"/>
        <v/>
      </c>
      <c r="B62" s="15" t="str">
        <f>IF(H62&lt;=$L$1,VLOOKUP(H62,Iktato!$C$3:$O$10000,2,FALSE),"")</f>
        <v/>
      </c>
      <c r="C62" s="16" t="str">
        <f>IF(H62&lt;=$L$1,VLOOKUP(H62,Iktato!$C$3:$O$10000,4,FALSE),"")</f>
        <v/>
      </c>
      <c r="D62" s="3" t="str">
        <f>TRIM(IF(H62&lt;=$L$1,VLOOKUP(H62,Iktato!$C$3:$O$10000,7,FALSE),""))</f>
        <v/>
      </c>
      <c r="E62" s="3" t="str">
        <f>TRIM(IF(H62&lt;=$L$1,VLOOKUP(H62,Iktato!$C$3:$O$10000,8,FALSE),""))</f>
        <v/>
      </c>
      <c r="F62" s="4" t="str">
        <f t="shared" si="8"/>
        <v/>
      </c>
      <c r="H62" s="1">
        <f t="shared" si="2"/>
        <v>52</v>
      </c>
      <c r="J62" s="1">
        <f t="shared" si="9"/>
        <v>0</v>
      </c>
      <c r="K62" s="1">
        <f>SUM($L$9,$L$11:L62)</f>
        <v>0</v>
      </c>
      <c r="L62" s="1">
        <f>SUMIF(Iktato!$S$3:$S$10000,H62,Iktato!$V$3:$V$10000)</f>
        <v>0</v>
      </c>
    </row>
    <row r="63" spans="1:12" x14ac:dyDescent="0.25">
      <c r="A63" s="15" t="str">
        <f t="shared" si="7"/>
        <v/>
      </c>
      <c r="B63" s="15" t="str">
        <f>IF(H63&lt;=$L$1,VLOOKUP(H63,Iktato!$C$3:$O$10000,2,FALSE),"")</f>
        <v/>
      </c>
      <c r="C63" s="16" t="str">
        <f>IF(H63&lt;=$L$1,VLOOKUP(H63,Iktato!$C$3:$O$10000,4,FALSE),"")</f>
        <v/>
      </c>
      <c r="D63" s="3" t="str">
        <f>TRIM(IF(H63&lt;=$L$1,VLOOKUP(H63,Iktato!$C$3:$O$10000,7,FALSE),""))</f>
        <v/>
      </c>
      <c r="E63" s="3" t="str">
        <f>TRIM(IF(H63&lt;=$L$1,VLOOKUP(H63,Iktato!$C$3:$O$10000,8,FALSE),""))</f>
        <v/>
      </c>
      <c r="F63" s="4" t="str">
        <f t="shared" si="8"/>
        <v/>
      </c>
      <c r="H63" s="1">
        <f t="shared" si="2"/>
        <v>53</v>
      </c>
      <c r="J63" s="1">
        <f t="shared" si="9"/>
        <v>0</v>
      </c>
      <c r="K63" s="1">
        <f>SUM($L$9,$L$11:L63)</f>
        <v>0</v>
      </c>
      <c r="L63" s="1">
        <f>SUMIF(Iktato!$S$3:$S$10000,H63,Iktato!$V$3:$V$10000)</f>
        <v>0</v>
      </c>
    </row>
    <row r="64" spans="1:12" x14ac:dyDescent="0.25">
      <c r="A64" s="15" t="str">
        <f t="shared" si="7"/>
        <v/>
      </c>
      <c r="B64" s="15" t="str">
        <f>IF(H64&lt;=$L$1,VLOOKUP(H64,Iktato!$C$3:$O$10000,2,FALSE),"")</f>
        <v/>
      </c>
      <c r="C64" s="16" t="str">
        <f>IF(H64&lt;=$L$1,VLOOKUP(H64,Iktato!$C$3:$O$10000,4,FALSE),"")</f>
        <v/>
      </c>
      <c r="D64" s="3" t="str">
        <f>TRIM(IF(H64&lt;=$L$1,VLOOKUP(H64,Iktato!$C$3:$O$10000,7,FALSE),""))</f>
        <v/>
      </c>
      <c r="E64" s="3" t="str">
        <f>TRIM(IF(H64&lt;=$L$1,VLOOKUP(H64,Iktato!$C$3:$O$10000,8,FALSE),""))</f>
        <v/>
      </c>
      <c r="F64" s="4" t="str">
        <f t="shared" si="8"/>
        <v/>
      </c>
      <c r="H64" s="1">
        <f t="shared" si="2"/>
        <v>54</v>
      </c>
      <c r="J64" s="1">
        <f t="shared" si="9"/>
        <v>0</v>
      </c>
      <c r="K64" s="1">
        <f>SUM($L$9,$L$11:L64)</f>
        <v>0</v>
      </c>
      <c r="L64" s="1">
        <f>SUMIF(Iktato!$S$3:$S$10000,H64,Iktato!$V$3:$V$10000)</f>
        <v>0</v>
      </c>
    </row>
    <row r="65" spans="1:12" x14ac:dyDescent="0.25">
      <c r="A65" s="15" t="str">
        <f t="shared" si="7"/>
        <v/>
      </c>
      <c r="B65" s="15" t="str">
        <f>IF(H65&lt;=$L$1,VLOOKUP(H65,Iktato!$C$3:$O$10000,2,FALSE),"")</f>
        <v/>
      </c>
      <c r="C65" s="16" t="str">
        <f>IF(H65&lt;=$L$1,VLOOKUP(H65,Iktato!$C$3:$O$10000,4,FALSE),"")</f>
        <v/>
      </c>
      <c r="D65" s="3" t="str">
        <f>TRIM(IF(H65&lt;=$L$1,VLOOKUP(H65,Iktato!$C$3:$O$10000,7,FALSE),""))</f>
        <v/>
      </c>
      <c r="E65" s="3" t="str">
        <f>TRIM(IF(H65&lt;=$L$1,VLOOKUP(H65,Iktato!$C$3:$O$10000,8,FALSE),""))</f>
        <v/>
      </c>
      <c r="F65" s="4" t="str">
        <f t="shared" si="8"/>
        <v/>
      </c>
      <c r="H65" s="1">
        <f t="shared" si="2"/>
        <v>55</v>
      </c>
      <c r="J65" s="1">
        <f t="shared" si="9"/>
        <v>0</v>
      </c>
      <c r="K65" s="1">
        <f>SUM($L$9,$L$11:L65)</f>
        <v>0</v>
      </c>
      <c r="L65" s="1">
        <f>SUMIF(Iktato!$S$3:$S$10000,H65,Iktato!$V$3:$V$10000)</f>
        <v>0</v>
      </c>
    </row>
    <row r="66" spans="1:12" x14ac:dyDescent="0.25">
      <c r="A66" s="15" t="str">
        <f t="shared" si="7"/>
        <v/>
      </c>
      <c r="B66" s="15" t="str">
        <f>IF(H66&lt;=$L$1,VLOOKUP(H66,Iktato!$C$3:$O$10000,2,FALSE),"")</f>
        <v/>
      </c>
      <c r="C66" s="16" t="str">
        <f>IF(H66&lt;=$L$1,VLOOKUP(H66,Iktato!$C$3:$O$10000,4,FALSE),"")</f>
        <v/>
      </c>
      <c r="D66" s="3" t="str">
        <f>TRIM(IF(H66&lt;=$L$1,VLOOKUP(H66,Iktato!$C$3:$O$10000,7,FALSE),""))</f>
        <v/>
      </c>
      <c r="E66" s="3" t="str">
        <f>TRIM(IF(H66&lt;=$L$1,VLOOKUP(H66,Iktato!$C$3:$O$10000,8,FALSE),""))</f>
        <v/>
      </c>
      <c r="F66" s="4" t="str">
        <f t="shared" si="8"/>
        <v/>
      </c>
      <c r="H66" s="1">
        <f t="shared" si="2"/>
        <v>56</v>
      </c>
      <c r="J66" s="1">
        <f t="shared" si="9"/>
        <v>0</v>
      </c>
      <c r="K66" s="1">
        <f>SUM($L$9,$L$11:L66)</f>
        <v>0</v>
      </c>
      <c r="L66" s="1">
        <f>SUMIF(Iktato!$S$3:$S$10000,H66,Iktato!$V$3:$V$10000)</f>
        <v>0</v>
      </c>
    </row>
    <row r="67" spans="1:12" x14ac:dyDescent="0.25">
      <c r="A67" s="15" t="str">
        <f t="shared" si="7"/>
        <v/>
      </c>
      <c r="B67" s="15" t="str">
        <f>IF(H67&lt;=$L$1,VLOOKUP(H67,Iktato!$C$3:$O$10000,2,FALSE),"")</f>
        <v/>
      </c>
      <c r="C67" s="16" t="str">
        <f>IF(H67&lt;=$L$1,VLOOKUP(H67,Iktato!$C$3:$O$10000,4,FALSE),"")</f>
        <v/>
      </c>
      <c r="D67" s="3" t="str">
        <f>TRIM(IF(H67&lt;=$L$1,VLOOKUP(H67,Iktato!$C$3:$O$10000,7,FALSE),""))</f>
        <v/>
      </c>
      <c r="E67" s="3" t="str">
        <f>TRIM(IF(H67&lt;=$L$1,VLOOKUP(H67,Iktato!$C$3:$O$10000,8,FALSE),""))</f>
        <v/>
      </c>
      <c r="F67" s="4" t="str">
        <f t="shared" si="8"/>
        <v/>
      </c>
      <c r="H67" s="1">
        <f t="shared" si="2"/>
        <v>57</v>
      </c>
      <c r="J67" s="1">
        <f t="shared" si="9"/>
        <v>0</v>
      </c>
      <c r="K67" s="1">
        <f>SUM($L$9,$L$11:L67)</f>
        <v>0</v>
      </c>
      <c r="L67" s="1">
        <f>SUMIF(Iktato!$S$3:$S$10000,H67,Iktato!$V$3:$V$10000)</f>
        <v>0</v>
      </c>
    </row>
    <row r="68" spans="1:12" x14ac:dyDescent="0.25">
      <c r="A68" s="15" t="str">
        <f t="shared" si="7"/>
        <v/>
      </c>
      <c r="B68" s="15" t="str">
        <f>IF(H68&lt;=$L$1,VLOOKUP(H68,Iktato!$C$3:$O$10000,2,FALSE),"")</f>
        <v/>
      </c>
      <c r="C68" s="16" t="str">
        <f>IF(H68&lt;=$L$1,VLOOKUP(H68,Iktato!$C$3:$O$10000,4,FALSE),"")</f>
        <v/>
      </c>
      <c r="D68" s="3" t="str">
        <f>TRIM(IF(H68&lt;=$L$1,VLOOKUP(H68,Iktato!$C$3:$O$10000,7,FALSE),""))</f>
        <v/>
      </c>
      <c r="E68" s="3" t="str">
        <f>TRIM(IF(H68&lt;=$L$1,VLOOKUP(H68,Iktato!$C$3:$O$10000,8,FALSE),""))</f>
        <v/>
      </c>
      <c r="F68" s="4" t="str">
        <f t="shared" si="8"/>
        <v/>
      </c>
      <c r="H68" s="1">
        <f t="shared" si="2"/>
        <v>58</v>
      </c>
      <c r="J68" s="1">
        <f t="shared" si="9"/>
        <v>0</v>
      </c>
      <c r="K68" s="1">
        <f>SUM($L$9,$L$11:L68)</f>
        <v>0</v>
      </c>
      <c r="L68" s="1">
        <f>SUMIF(Iktato!$S$3:$S$10000,H68,Iktato!$V$3:$V$10000)</f>
        <v>0</v>
      </c>
    </row>
    <row r="69" spans="1:12" x14ac:dyDescent="0.25">
      <c r="A69" s="15" t="str">
        <f t="shared" si="7"/>
        <v/>
      </c>
      <c r="B69" s="15" t="str">
        <f>IF(H69&lt;=$L$1,VLOOKUP(H69,Iktato!$C$3:$O$10000,2,FALSE),"")</f>
        <v/>
      </c>
      <c r="C69" s="16" t="str">
        <f>IF(H69&lt;=$L$1,VLOOKUP(H69,Iktato!$C$3:$O$10000,4,FALSE),"")</f>
        <v/>
      </c>
      <c r="D69" s="3" t="str">
        <f>TRIM(IF(H69&lt;=$L$1,VLOOKUP(H69,Iktato!$C$3:$O$10000,7,FALSE),""))</f>
        <v/>
      </c>
      <c r="E69" s="3" t="str">
        <f>TRIM(IF(H69&lt;=$L$1,VLOOKUP(H69,Iktato!$C$3:$O$10000,8,FALSE),""))</f>
        <v/>
      </c>
      <c r="F69" s="4" t="str">
        <f t="shared" si="8"/>
        <v/>
      </c>
      <c r="H69" s="1">
        <f t="shared" si="2"/>
        <v>59</v>
      </c>
      <c r="J69" s="1">
        <f t="shared" si="9"/>
        <v>0</v>
      </c>
      <c r="K69" s="1">
        <f>SUM($L$9,$L$11:L69)</f>
        <v>0</v>
      </c>
      <c r="L69" s="1">
        <f>SUMIF(Iktato!$S$3:$S$10000,H69,Iktato!$V$3:$V$10000)</f>
        <v>0</v>
      </c>
    </row>
    <row r="70" spans="1:12" x14ac:dyDescent="0.25">
      <c r="A70" s="15" t="str">
        <f t="shared" si="7"/>
        <v/>
      </c>
      <c r="B70" s="15" t="str">
        <f>IF(H70&lt;=$L$1,VLOOKUP(H70,Iktato!$C$3:$O$10000,2,FALSE),"")</f>
        <v/>
      </c>
      <c r="C70" s="16" t="str">
        <f>IF(H70&lt;=$L$1,VLOOKUP(H70,Iktato!$C$3:$O$10000,4,FALSE),"")</f>
        <v/>
      </c>
      <c r="D70" s="3" t="str">
        <f>TRIM(IF(H70&lt;=$L$1,VLOOKUP(H70,Iktato!$C$3:$O$10000,7,FALSE),""))</f>
        <v/>
      </c>
      <c r="E70" s="3" t="str">
        <f>TRIM(IF(H70&lt;=$L$1,VLOOKUP(H70,Iktato!$C$3:$O$10000,8,FALSE),""))</f>
        <v/>
      </c>
      <c r="F70" s="4" t="str">
        <f t="shared" si="8"/>
        <v/>
      </c>
      <c r="H70" s="1">
        <f t="shared" si="2"/>
        <v>60</v>
      </c>
      <c r="J70" s="1">
        <f t="shared" si="9"/>
        <v>0</v>
      </c>
      <c r="K70" s="1">
        <f>SUM($L$9,$L$11:L70)</f>
        <v>0</v>
      </c>
      <c r="L70" s="1">
        <f>SUMIF(Iktato!$S$3:$S$10000,H70,Iktato!$V$3:$V$10000)</f>
        <v>0</v>
      </c>
    </row>
    <row r="71" spans="1:12" x14ac:dyDescent="0.25">
      <c r="A71" s="15" t="str">
        <f t="shared" si="7"/>
        <v/>
      </c>
      <c r="B71" s="15" t="str">
        <f>IF(H71&lt;=$L$1,VLOOKUP(H71,Iktato!$C$3:$O$10000,2,FALSE),"")</f>
        <v/>
      </c>
      <c r="C71" s="16" t="str">
        <f>IF(H71&lt;=$L$1,VLOOKUP(H71,Iktato!$C$3:$O$10000,4,FALSE),"")</f>
        <v/>
      </c>
      <c r="D71" s="3" t="str">
        <f>TRIM(IF(H71&lt;=$L$1,VLOOKUP(H71,Iktato!$C$3:$O$10000,7,FALSE),""))</f>
        <v/>
      </c>
      <c r="E71" s="3" t="str">
        <f>TRIM(IF(H71&lt;=$L$1,VLOOKUP(H71,Iktato!$C$3:$O$10000,8,FALSE),""))</f>
        <v/>
      </c>
      <c r="F71" s="4" t="str">
        <f t="shared" si="8"/>
        <v/>
      </c>
      <c r="H71" s="1">
        <f t="shared" si="2"/>
        <v>61</v>
      </c>
      <c r="J71" s="1">
        <f t="shared" si="9"/>
        <v>0</v>
      </c>
      <c r="K71" s="1">
        <f>SUM($L$9,$L$11:L71)</f>
        <v>0</v>
      </c>
      <c r="L71" s="1">
        <f>SUMIF(Iktato!$S$3:$S$10000,H71,Iktato!$V$3:$V$10000)</f>
        <v>0</v>
      </c>
    </row>
    <row r="72" spans="1:12" x14ac:dyDescent="0.25">
      <c r="A72" s="15" t="str">
        <f t="shared" si="7"/>
        <v/>
      </c>
      <c r="B72" s="15" t="str">
        <f>IF(H72&lt;=$L$1,VLOOKUP(H72,Iktato!$C$3:$O$10000,2,FALSE),"")</f>
        <v/>
      </c>
      <c r="C72" s="16" t="str">
        <f>IF(H72&lt;=$L$1,VLOOKUP(H72,Iktato!$C$3:$O$10000,4,FALSE),"")</f>
        <v/>
      </c>
      <c r="D72" s="3" t="str">
        <f>TRIM(IF(H72&lt;=$L$1,VLOOKUP(H72,Iktato!$C$3:$O$10000,7,FALSE),""))</f>
        <v/>
      </c>
      <c r="E72" s="3" t="str">
        <f>TRIM(IF(H72&lt;=$L$1,VLOOKUP(H72,Iktato!$C$3:$O$10000,8,FALSE),""))</f>
        <v/>
      </c>
      <c r="F72" s="4" t="str">
        <f t="shared" si="8"/>
        <v/>
      </c>
      <c r="H72" s="1">
        <f t="shared" si="2"/>
        <v>62</v>
      </c>
      <c r="J72" s="1">
        <f t="shared" si="9"/>
        <v>0</v>
      </c>
      <c r="K72" s="1">
        <f>SUM($L$9,$L$11:L72)</f>
        <v>0</v>
      </c>
      <c r="L72" s="1">
        <f>SUMIF(Iktato!$S$3:$S$10000,H72,Iktato!$V$3:$V$10000)</f>
        <v>0</v>
      </c>
    </row>
    <row r="73" spans="1:12" x14ac:dyDescent="0.25">
      <c r="A73" s="15" t="str">
        <f t="shared" si="7"/>
        <v/>
      </c>
      <c r="B73" s="15" t="str">
        <f>IF(H73&lt;=$L$1,VLOOKUP(H73,Iktato!$C$3:$O$10000,2,FALSE),"")</f>
        <v/>
      </c>
      <c r="C73" s="16" t="str">
        <f>IF(H73&lt;=$L$1,VLOOKUP(H73,Iktato!$C$3:$O$10000,4,FALSE),"")</f>
        <v/>
      </c>
      <c r="D73" s="3" t="str">
        <f>TRIM(IF(H73&lt;=$L$1,VLOOKUP(H73,Iktato!$C$3:$O$10000,7,FALSE),""))</f>
        <v/>
      </c>
      <c r="E73" s="3" t="str">
        <f>TRIM(IF(H73&lt;=$L$1,VLOOKUP(H73,Iktato!$C$3:$O$10000,8,FALSE),""))</f>
        <v/>
      </c>
      <c r="F73" s="4" t="str">
        <f t="shared" si="8"/>
        <v/>
      </c>
      <c r="H73" s="1">
        <f t="shared" si="2"/>
        <v>63</v>
      </c>
      <c r="J73" s="1">
        <f t="shared" si="9"/>
        <v>0</v>
      </c>
      <c r="K73" s="1">
        <f>SUM($L$9,$L$11:L73)</f>
        <v>0</v>
      </c>
      <c r="L73" s="1">
        <f>SUMIF(Iktato!$S$3:$S$10000,H73,Iktato!$V$3:$V$10000)</f>
        <v>0</v>
      </c>
    </row>
    <row r="74" spans="1:12" x14ac:dyDescent="0.25">
      <c r="A74" s="15" t="str">
        <f t="shared" si="7"/>
        <v/>
      </c>
      <c r="B74" s="15" t="str">
        <f>IF(H74&lt;=$L$1,VLOOKUP(H74,Iktato!$C$3:$O$10000,2,FALSE),"")</f>
        <v/>
      </c>
      <c r="C74" s="16" t="str">
        <f>IF(H74&lt;=$L$1,VLOOKUP(H74,Iktato!$C$3:$O$10000,4,FALSE),"")</f>
        <v/>
      </c>
      <c r="D74" s="3" t="str">
        <f>TRIM(IF(H74&lt;=$L$1,VLOOKUP(H74,Iktato!$C$3:$O$10000,7,FALSE),""))</f>
        <v/>
      </c>
      <c r="E74" s="3" t="str">
        <f>TRIM(IF(H74&lt;=$L$1,VLOOKUP(H74,Iktato!$C$3:$O$10000,8,FALSE),""))</f>
        <v/>
      </c>
      <c r="F74" s="4" t="str">
        <f t="shared" si="8"/>
        <v/>
      </c>
      <c r="H74" s="1">
        <f t="shared" si="2"/>
        <v>64</v>
      </c>
      <c r="J74" s="1">
        <f t="shared" si="9"/>
        <v>0</v>
      </c>
      <c r="K74" s="1">
        <f>SUM($L$9,$L$11:L74)</f>
        <v>0</v>
      </c>
      <c r="L74" s="1">
        <f>SUMIF(Iktato!$S$3:$S$10000,H74,Iktato!$V$3:$V$10000)</f>
        <v>0</v>
      </c>
    </row>
    <row r="75" spans="1:12" x14ac:dyDescent="0.25">
      <c r="A75" s="15" t="str">
        <f t="shared" si="7"/>
        <v/>
      </c>
      <c r="B75" s="15" t="str">
        <f>IF(H75&lt;=$L$1,VLOOKUP(H75,Iktato!$C$3:$O$10000,2,FALSE),"")</f>
        <v/>
      </c>
      <c r="C75" s="16" t="str">
        <f>IF(H75&lt;=$L$1,VLOOKUP(H75,Iktato!$C$3:$O$10000,4,FALSE),"")</f>
        <v/>
      </c>
      <c r="D75" s="3" t="str">
        <f>TRIM(IF(H75&lt;=$L$1,VLOOKUP(H75,Iktato!$C$3:$O$10000,7,FALSE),""))</f>
        <v/>
      </c>
      <c r="E75" s="3" t="str">
        <f>TRIM(IF(H75&lt;=$L$1,VLOOKUP(H75,Iktato!$C$3:$O$10000,8,FALSE),""))</f>
        <v/>
      </c>
      <c r="F75" s="4" t="str">
        <f t="shared" si="8"/>
        <v/>
      </c>
      <c r="H75" s="1">
        <f t="shared" si="2"/>
        <v>65</v>
      </c>
      <c r="J75" s="1">
        <f t="shared" si="9"/>
        <v>0</v>
      </c>
      <c r="K75" s="1">
        <f>SUM($L$9,$L$11:L75)</f>
        <v>0</v>
      </c>
      <c r="L75" s="1">
        <f>SUMIF(Iktato!$S$3:$S$10000,H75,Iktato!$V$3:$V$10000)</f>
        <v>0</v>
      </c>
    </row>
    <row r="76" spans="1:12" x14ac:dyDescent="0.25">
      <c r="A76" s="15" t="str">
        <f t="shared" si="7"/>
        <v/>
      </c>
      <c r="B76" s="15" t="str">
        <f>IF(H76&lt;=$L$1,VLOOKUP(H76,Iktato!$C$3:$O$10000,2,FALSE),"")</f>
        <v/>
      </c>
      <c r="C76" s="16" t="str">
        <f>IF(H76&lt;=$L$1,VLOOKUP(H76,Iktato!$C$3:$O$10000,4,FALSE),"")</f>
        <v/>
      </c>
      <c r="D76" s="3" t="str">
        <f>TRIM(IF(H76&lt;=$L$1,VLOOKUP(H76,Iktato!$C$3:$O$10000,7,FALSE),""))</f>
        <v/>
      </c>
      <c r="E76" s="3" t="str">
        <f>TRIM(IF(H76&lt;=$L$1,VLOOKUP(H76,Iktato!$C$3:$O$10000,8,FALSE),""))</f>
        <v/>
      </c>
      <c r="F76" s="4" t="str">
        <f t="shared" si="8"/>
        <v/>
      </c>
      <c r="H76" s="1">
        <f t="shared" ref="H76:H139" si="10">H75+1</f>
        <v>66</v>
      </c>
      <c r="J76" s="1">
        <f t="shared" si="9"/>
        <v>0</v>
      </c>
      <c r="K76" s="1">
        <f>SUM($L$9,$L$11:L76)</f>
        <v>0</v>
      </c>
      <c r="L76" s="1">
        <f>SUMIF(Iktato!$S$3:$S$10000,H76,Iktato!$V$3:$V$10000)</f>
        <v>0</v>
      </c>
    </row>
    <row r="77" spans="1:12" x14ac:dyDescent="0.25">
      <c r="A77" s="15" t="str">
        <f t="shared" si="7"/>
        <v/>
      </c>
      <c r="B77" s="15" t="str">
        <f>IF(H77&lt;=$L$1,VLOOKUP(H77,Iktato!$C$3:$O$10000,2,FALSE),"")</f>
        <v/>
      </c>
      <c r="C77" s="16" t="str">
        <f>IF(H77&lt;=$L$1,VLOOKUP(H77,Iktato!$C$3:$O$10000,4,FALSE),"")</f>
        <v/>
      </c>
      <c r="D77" s="3" t="str">
        <f>TRIM(IF(H77&lt;=$L$1,VLOOKUP(H77,Iktato!$C$3:$O$10000,7,FALSE),""))</f>
        <v/>
      </c>
      <c r="E77" s="3" t="str">
        <f>TRIM(IF(H77&lt;=$L$1,VLOOKUP(H77,Iktato!$C$3:$O$10000,8,FALSE),""))</f>
        <v/>
      </c>
      <c r="F77" s="4" t="str">
        <f t="shared" si="8"/>
        <v/>
      </c>
      <c r="H77" s="1">
        <f t="shared" si="10"/>
        <v>67</v>
      </c>
      <c r="J77" s="1">
        <f t="shared" si="9"/>
        <v>0</v>
      </c>
      <c r="K77" s="1">
        <f>SUM($L$9,$L$11:L77)</f>
        <v>0</v>
      </c>
      <c r="L77" s="1">
        <f>SUMIF(Iktato!$S$3:$S$10000,H77,Iktato!$V$3:$V$10000)</f>
        <v>0</v>
      </c>
    </row>
    <row r="78" spans="1:12" x14ac:dyDescent="0.25">
      <c r="A78" s="15" t="str">
        <f t="shared" si="7"/>
        <v/>
      </c>
      <c r="B78" s="15" t="str">
        <f>IF(H78&lt;=$L$1,VLOOKUP(H78,Iktato!$C$3:$O$10000,2,FALSE),"")</f>
        <v/>
      </c>
      <c r="C78" s="16" t="str">
        <f>IF(H78&lt;=$L$1,VLOOKUP(H78,Iktato!$C$3:$O$10000,4,FALSE),"")</f>
        <v/>
      </c>
      <c r="D78" s="3" t="str">
        <f>TRIM(IF(H78&lt;=$L$1,VLOOKUP(H78,Iktato!$C$3:$O$10000,7,FALSE),""))</f>
        <v/>
      </c>
      <c r="E78" s="3" t="str">
        <f>TRIM(IF(H78&lt;=$L$1,VLOOKUP(H78,Iktato!$C$3:$O$10000,8,FALSE),""))</f>
        <v/>
      </c>
      <c r="F78" s="4" t="str">
        <f t="shared" si="8"/>
        <v/>
      </c>
      <c r="H78" s="1">
        <f t="shared" si="10"/>
        <v>68</v>
      </c>
      <c r="J78" s="1">
        <f t="shared" si="9"/>
        <v>0</v>
      </c>
      <c r="K78" s="1">
        <f>SUM($L$9,$L$11:L78)</f>
        <v>0</v>
      </c>
      <c r="L78" s="1">
        <f>SUMIF(Iktato!$S$3:$S$10000,H78,Iktato!$V$3:$V$10000)</f>
        <v>0</v>
      </c>
    </row>
    <row r="79" spans="1:12" x14ac:dyDescent="0.25">
      <c r="A79" s="15" t="str">
        <f t="shared" si="7"/>
        <v/>
      </c>
      <c r="B79" s="15" t="str">
        <f>IF(H79&lt;=$L$1,VLOOKUP(H79,Iktato!$C$3:$O$10000,2,FALSE),"")</f>
        <v/>
      </c>
      <c r="C79" s="16" t="str">
        <f>IF(H79&lt;=$L$1,VLOOKUP(H79,Iktato!$C$3:$O$10000,4,FALSE),"")</f>
        <v/>
      </c>
      <c r="D79" s="3" t="str">
        <f>TRIM(IF(H79&lt;=$L$1,VLOOKUP(H79,Iktato!$C$3:$O$10000,7,FALSE),""))</f>
        <v/>
      </c>
      <c r="E79" s="3" t="str">
        <f>TRIM(IF(H79&lt;=$L$1,VLOOKUP(H79,Iktato!$C$3:$O$10000,8,FALSE),""))</f>
        <v/>
      </c>
      <c r="F79" s="4" t="str">
        <f t="shared" si="8"/>
        <v/>
      </c>
      <c r="H79" s="1">
        <f t="shared" si="10"/>
        <v>69</v>
      </c>
      <c r="J79" s="1">
        <f t="shared" si="9"/>
        <v>0</v>
      </c>
      <c r="K79" s="1">
        <f>SUM($L$9,$L$11:L79)</f>
        <v>0</v>
      </c>
      <c r="L79" s="1">
        <f>SUMIF(Iktato!$S$3:$S$10000,H79,Iktato!$V$3:$V$10000)</f>
        <v>0</v>
      </c>
    </row>
    <row r="80" spans="1:12" x14ac:dyDescent="0.25">
      <c r="A80" s="15" t="str">
        <f t="shared" si="7"/>
        <v/>
      </c>
      <c r="B80" s="15" t="str">
        <f>IF(H80&lt;=$L$1,VLOOKUP(H80,Iktato!$C$3:$O$10000,2,FALSE),"")</f>
        <v/>
      </c>
      <c r="C80" s="16" t="str">
        <f>IF(H80&lt;=$L$1,VLOOKUP(H80,Iktato!$C$3:$O$10000,4,FALSE),"")</f>
        <v/>
      </c>
      <c r="D80" s="3" t="str">
        <f>TRIM(IF(H80&lt;=$L$1,VLOOKUP(H80,Iktato!$C$3:$O$10000,7,FALSE),""))</f>
        <v/>
      </c>
      <c r="E80" s="3" t="str">
        <f>TRIM(IF(H80&lt;=$L$1,VLOOKUP(H80,Iktato!$C$3:$O$10000,8,FALSE),""))</f>
        <v/>
      </c>
      <c r="F80" s="4" t="str">
        <f t="shared" si="8"/>
        <v/>
      </c>
      <c r="H80" s="1">
        <f t="shared" si="10"/>
        <v>70</v>
      </c>
      <c r="J80" s="1">
        <f t="shared" si="9"/>
        <v>0</v>
      </c>
      <c r="K80" s="1">
        <f>SUM($L$9,$L$11:L80)</f>
        <v>0</v>
      </c>
      <c r="L80" s="1">
        <f>SUMIF(Iktato!$S$3:$S$10000,H80,Iktato!$V$3:$V$10000)</f>
        <v>0</v>
      </c>
    </row>
    <row r="81" spans="1:12" x14ac:dyDescent="0.25">
      <c r="A81" s="15" t="str">
        <f t="shared" si="7"/>
        <v/>
      </c>
      <c r="B81" s="15" t="str">
        <f>IF(H81&lt;=$L$1,VLOOKUP(H81,Iktato!$C$3:$O$10000,2,FALSE),"")</f>
        <v/>
      </c>
      <c r="C81" s="16" t="str">
        <f>IF(H81&lt;=$L$1,VLOOKUP(H81,Iktato!$C$3:$O$10000,4,FALSE),"")</f>
        <v/>
      </c>
      <c r="D81" s="3" t="str">
        <f>TRIM(IF(H81&lt;=$L$1,VLOOKUP(H81,Iktato!$C$3:$O$10000,7,FALSE),""))</f>
        <v/>
      </c>
      <c r="E81" s="3" t="str">
        <f>TRIM(IF(H81&lt;=$L$1,VLOOKUP(H81,Iktato!$C$3:$O$10000,8,FALSE),""))</f>
        <v/>
      </c>
      <c r="F81" s="4" t="str">
        <f t="shared" si="8"/>
        <v/>
      </c>
      <c r="H81" s="1">
        <f t="shared" si="10"/>
        <v>71</v>
      </c>
      <c r="J81" s="1">
        <f t="shared" si="9"/>
        <v>0</v>
      </c>
      <c r="K81" s="1">
        <f>SUM($L$9,$L$11:L81)</f>
        <v>0</v>
      </c>
      <c r="L81" s="1">
        <f>SUMIF(Iktato!$S$3:$S$10000,H81,Iktato!$V$3:$V$10000)</f>
        <v>0</v>
      </c>
    </row>
    <row r="82" spans="1:12" x14ac:dyDescent="0.25">
      <c r="A82" s="15" t="str">
        <f t="shared" si="7"/>
        <v/>
      </c>
      <c r="B82" s="15" t="str">
        <f>IF(H82&lt;=$L$1,VLOOKUP(H82,Iktato!$C$3:$O$10000,2,FALSE),"")</f>
        <v/>
      </c>
      <c r="C82" s="16" t="str">
        <f>IF(H82&lt;=$L$1,VLOOKUP(H82,Iktato!$C$3:$O$10000,4,FALSE),"")</f>
        <v/>
      </c>
      <c r="D82" s="3" t="str">
        <f>TRIM(IF(H82&lt;=$L$1,VLOOKUP(H82,Iktato!$C$3:$O$10000,7,FALSE),""))</f>
        <v/>
      </c>
      <c r="E82" s="3" t="str">
        <f>TRIM(IF(H82&lt;=$L$1,VLOOKUP(H82,Iktato!$C$3:$O$10000,8,FALSE),""))</f>
        <v/>
      </c>
      <c r="F82" s="4" t="str">
        <f t="shared" si="8"/>
        <v/>
      </c>
      <c r="H82" s="1">
        <f t="shared" si="10"/>
        <v>72</v>
      </c>
      <c r="J82" s="1">
        <f t="shared" si="9"/>
        <v>0</v>
      </c>
      <c r="K82" s="1">
        <f>SUM($L$9,$L$11:L82)</f>
        <v>0</v>
      </c>
      <c r="L82" s="1">
        <f>SUMIF(Iktato!$S$3:$S$10000,H82,Iktato!$V$3:$V$10000)</f>
        <v>0</v>
      </c>
    </row>
    <row r="83" spans="1:12" x14ac:dyDescent="0.25">
      <c r="A83" s="15" t="str">
        <f t="shared" si="7"/>
        <v/>
      </c>
      <c r="B83" s="15" t="str">
        <f>IF(H83&lt;=$L$1,VLOOKUP(H83,Iktato!$C$3:$O$10000,2,FALSE),"")</f>
        <v/>
      </c>
      <c r="C83" s="16" t="str">
        <f>IF(H83&lt;=$L$1,VLOOKUP(H83,Iktato!$C$3:$O$10000,4,FALSE),"")</f>
        <v/>
      </c>
      <c r="D83" s="3" t="str">
        <f>TRIM(IF(H83&lt;=$L$1,VLOOKUP(H83,Iktato!$C$3:$O$10000,7,FALSE),""))</f>
        <v/>
      </c>
      <c r="E83" s="3" t="str">
        <f>TRIM(IF(H83&lt;=$L$1,VLOOKUP(H83,Iktato!$C$3:$O$10000,8,FALSE),""))</f>
        <v/>
      </c>
      <c r="F83" s="4" t="str">
        <f t="shared" si="8"/>
        <v/>
      </c>
      <c r="H83" s="1">
        <f t="shared" si="10"/>
        <v>73</v>
      </c>
      <c r="J83" s="1">
        <f t="shared" si="9"/>
        <v>0</v>
      </c>
      <c r="K83" s="1">
        <f>SUM($L$9,$L$11:L83)</f>
        <v>0</v>
      </c>
      <c r="L83" s="1">
        <f>SUMIF(Iktato!$S$3:$S$10000,H83,Iktato!$V$3:$V$10000)</f>
        <v>0</v>
      </c>
    </row>
    <row r="84" spans="1:12" x14ac:dyDescent="0.25">
      <c r="A84" s="15" t="str">
        <f t="shared" si="7"/>
        <v/>
      </c>
      <c r="B84" s="15" t="str">
        <f>IF(H84&lt;=$L$1,VLOOKUP(H84,Iktato!$C$3:$O$10000,2,FALSE),"")</f>
        <v/>
      </c>
      <c r="C84" s="16" t="str">
        <f>IF(H84&lt;=$L$1,VLOOKUP(H84,Iktato!$C$3:$O$10000,4,FALSE),"")</f>
        <v/>
      </c>
      <c r="D84" s="3" t="str">
        <f>TRIM(IF(H84&lt;=$L$1,VLOOKUP(H84,Iktato!$C$3:$O$10000,7,FALSE),""))</f>
        <v/>
      </c>
      <c r="E84" s="3" t="str">
        <f>TRIM(IF(H84&lt;=$L$1,VLOOKUP(H84,Iktato!$C$3:$O$10000,8,FALSE),""))</f>
        <v/>
      </c>
      <c r="F84" s="4" t="str">
        <f t="shared" si="8"/>
        <v/>
      </c>
      <c r="H84" s="1">
        <f t="shared" si="10"/>
        <v>74</v>
      </c>
      <c r="J84" s="1">
        <f t="shared" si="9"/>
        <v>0</v>
      </c>
      <c r="K84" s="1">
        <f>SUM($L$9,$L$11:L84)</f>
        <v>0</v>
      </c>
      <c r="L84" s="1">
        <f>SUMIF(Iktato!$S$3:$S$10000,H84,Iktato!$V$3:$V$10000)</f>
        <v>0</v>
      </c>
    </row>
    <row r="85" spans="1:12" x14ac:dyDescent="0.25">
      <c r="A85" s="15" t="str">
        <f t="shared" si="7"/>
        <v/>
      </c>
      <c r="B85" s="15" t="str">
        <f>IF(H85&lt;=$L$1,VLOOKUP(H85,Iktato!$C$3:$O$10000,2,FALSE),"")</f>
        <v/>
      </c>
      <c r="C85" s="16" t="str">
        <f>IF(H85&lt;=$L$1,VLOOKUP(H85,Iktato!$C$3:$O$10000,4,FALSE),"")</f>
        <v/>
      </c>
      <c r="D85" s="3" t="str">
        <f>TRIM(IF(H85&lt;=$L$1,VLOOKUP(H85,Iktato!$C$3:$O$10000,7,FALSE),""))</f>
        <v/>
      </c>
      <c r="E85" s="3" t="str">
        <f>TRIM(IF(H85&lt;=$L$1,VLOOKUP(H85,Iktato!$C$3:$O$10000,8,FALSE),""))</f>
        <v/>
      </c>
      <c r="F85" s="4" t="str">
        <f t="shared" si="8"/>
        <v/>
      </c>
      <c r="H85" s="1">
        <f t="shared" si="10"/>
        <v>75</v>
      </c>
      <c r="J85" s="1">
        <f t="shared" si="9"/>
        <v>0</v>
      </c>
      <c r="K85" s="1">
        <f>SUM($L$9,$L$11:L85)</f>
        <v>0</v>
      </c>
      <c r="L85" s="1">
        <f>SUMIF(Iktato!$S$3:$S$10000,H85,Iktato!$V$3:$V$10000)</f>
        <v>0</v>
      </c>
    </row>
    <row r="86" spans="1:12" x14ac:dyDescent="0.25">
      <c r="A86" s="15" t="str">
        <f t="shared" si="7"/>
        <v/>
      </c>
      <c r="B86" s="15" t="str">
        <f>IF(H86&lt;=$L$1,VLOOKUP(H86,Iktato!$C$3:$O$10000,2,FALSE),"")</f>
        <v/>
      </c>
      <c r="C86" s="16" t="str">
        <f>IF(H86&lt;=$L$1,VLOOKUP(H86,Iktato!$C$3:$O$10000,4,FALSE),"")</f>
        <v/>
      </c>
      <c r="D86" s="3" t="str">
        <f>TRIM(IF(H86&lt;=$L$1,VLOOKUP(H86,Iktato!$C$3:$O$10000,7,FALSE),""))</f>
        <v/>
      </c>
      <c r="E86" s="3" t="str">
        <f>TRIM(IF(H86&lt;=$L$1,VLOOKUP(H86,Iktato!$C$3:$O$10000,8,FALSE),""))</f>
        <v/>
      </c>
      <c r="F86" s="4" t="str">
        <f t="shared" si="8"/>
        <v/>
      </c>
      <c r="H86" s="1">
        <f t="shared" si="10"/>
        <v>76</v>
      </c>
      <c r="J86" s="1">
        <f t="shared" si="9"/>
        <v>0</v>
      </c>
      <c r="K86" s="1">
        <f>SUM($L$9,$L$11:L86)</f>
        <v>0</v>
      </c>
      <c r="L86" s="1">
        <f>SUMIF(Iktato!$S$3:$S$10000,H86,Iktato!$V$3:$V$10000)</f>
        <v>0</v>
      </c>
    </row>
    <row r="87" spans="1:12" x14ac:dyDescent="0.25">
      <c r="A87" s="15" t="str">
        <f t="shared" si="7"/>
        <v/>
      </c>
      <c r="B87" s="15" t="str">
        <f>IF(H87&lt;=$L$1,VLOOKUP(H87,Iktato!$C$3:$O$10000,2,FALSE),"")</f>
        <v/>
      </c>
      <c r="C87" s="16" t="str">
        <f>IF(H87&lt;=$L$1,VLOOKUP(H87,Iktato!$C$3:$O$10000,4,FALSE),"")</f>
        <v/>
      </c>
      <c r="D87" s="3" t="str">
        <f>TRIM(IF(H87&lt;=$L$1,VLOOKUP(H87,Iktato!$C$3:$O$10000,7,FALSE),""))</f>
        <v/>
      </c>
      <c r="E87" s="3" t="str">
        <f>TRIM(IF(H87&lt;=$L$1,VLOOKUP(H87,Iktato!$C$3:$O$10000,8,FALSE),""))</f>
        <v/>
      </c>
      <c r="F87" s="4" t="str">
        <f t="shared" si="8"/>
        <v/>
      </c>
      <c r="H87" s="1">
        <f t="shared" si="10"/>
        <v>77</v>
      </c>
      <c r="J87" s="1">
        <f t="shared" si="9"/>
        <v>0</v>
      </c>
      <c r="K87" s="1">
        <f>SUM($L$9,$L$11:L87)</f>
        <v>0</v>
      </c>
      <c r="L87" s="1">
        <f>SUMIF(Iktato!$S$3:$S$10000,H87,Iktato!$V$3:$V$10000)</f>
        <v>0</v>
      </c>
    </row>
    <row r="88" spans="1:12" x14ac:dyDescent="0.25">
      <c r="A88" s="15" t="str">
        <f t="shared" si="7"/>
        <v/>
      </c>
      <c r="B88" s="15" t="str">
        <f>IF(H88&lt;=$L$1,VLOOKUP(H88,Iktato!$C$3:$O$10000,2,FALSE),"")</f>
        <v/>
      </c>
      <c r="C88" s="16" t="str">
        <f>IF(H88&lt;=$L$1,VLOOKUP(H88,Iktato!$C$3:$O$10000,4,FALSE),"")</f>
        <v/>
      </c>
      <c r="D88" s="3" t="str">
        <f>TRIM(IF(H88&lt;=$L$1,VLOOKUP(H88,Iktato!$C$3:$O$10000,7,FALSE),""))</f>
        <v/>
      </c>
      <c r="E88" s="3" t="str">
        <f>TRIM(IF(H88&lt;=$L$1,VLOOKUP(H88,Iktato!$C$3:$O$10000,8,FALSE),""))</f>
        <v/>
      </c>
      <c r="F88" s="4" t="str">
        <f t="shared" si="8"/>
        <v/>
      </c>
      <c r="H88" s="1">
        <f t="shared" si="10"/>
        <v>78</v>
      </c>
      <c r="J88" s="1">
        <f t="shared" si="9"/>
        <v>0</v>
      </c>
      <c r="K88" s="1">
        <f>SUM($L$9,$L$11:L88)</f>
        <v>0</v>
      </c>
      <c r="L88" s="1">
        <f>SUMIF(Iktato!$S$3:$S$10000,H88,Iktato!$V$3:$V$10000)</f>
        <v>0</v>
      </c>
    </row>
    <row r="89" spans="1:12" x14ac:dyDescent="0.25">
      <c r="A89" s="15" t="str">
        <f t="shared" si="7"/>
        <v/>
      </c>
      <c r="B89" s="15" t="str">
        <f>IF(H89&lt;=$L$1,VLOOKUP(H89,Iktato!$C$3:$O$10000,2,FALSE),"")</f>
        <v/>
      </c>
      <c r="C89" s="16" t="str">
        <f>IF(H89&lt;=$L$1,VLOOKUP(H89,Iktato!$C$3:$O$10000,4,FALSE),"")</f>
        <v/>
      </c>
      <c r="D89" s="3" t="str">
        <f>TRIM(IF(H89&lt;=$L$1,VLOOKUP(H89,Iktato!$C$3:$O$10000,7,FALSE),""))</f>
        <v/>
      </c>
      <c r="E89" s="3" t="str">
        <f>TRIM(IF(H89&lt;=$L$1,VLOOKUP(H89,Iktato!$C$3:$O$10000,8,FALSE),""))</f>
        <v/>
      </c>
      <c r="F89" s="4" t="str">
        <f t="shared" si="8"/>
        <v/>
      </c>
      <c r="H89" s="1">
        <f t="shared" si="10"/>
        <v>79</v>
      </c>
      <c r="J89" s="1">
        <f t="shared" si="9"/>
        <v>0</v>
      </c>
      <c r="K89" s="1">
        <f>SUM($L$9,$L$11:L89)</f>
        <v>0</v>
      </c>
      <c r="L89" s="1">
        <f>SUMIF(Iktato!$S$3:$S$10000,H89,Iktato!$V$3:$V$10000)</f>
        <v>0</v>
      </c>
    </row>
    <row r="90" spans="1:12" x14ac:dyDescent="0.25">
      <c r="A90" s="15" t="str">
        <f t="shared" si="7"/>
        <v/>
      </c>
      <c r="B90" s="15" t="str">
        <f>IF(H90&lt;=$L$1,VLOOKUP(H90,Iktato!$C$3:$O$10000,2,FALSE),"")</f>
        <v/>
      </c>
      <c r="C90" s="16" t="str">
        <f>IF(H90&lt;=$L$1,VLOOKUP(H90,Iktato!$C$3:$O$10000,4,FALSE),"")</f>
        <v/>
      </c>
      <c r="D90" s="3" t="str">
        <f>TRIM(IF(H90&lt;=$L$1,VLOOKUP(H90,Iktato!$C$3:$O$10000,7,FALSE),""))</f>
        <v/>
      </c>
      <c r="E90" s="3" t="str">
        <f>TRIM(IF(H90&lt;=$L$1,VLOOKUP(H90,Iktato!$C$3:$O$10000,8,FALSE),""))</f>
        <v/>
      </c>
      <c r="F90" s="4" t="str">
        <f t="shared" si="8"/>
        <v/>
      </c>
      <c r="H90" s="1">
        <f t="shared" si="10"/>
        <v>80</v>
      </c>
      <c r="J90" s="1">
        <f t="shared" si="9"/>
        <v>0</v>
      </c>
      <c r="K90" s="1">
        <f>SUM($L$9,$L$11:L90)</f>
        <v>0</v>
      </c>
      <c r="L90" s="1">
        <f>SUMIF(Iktato!$S$3:$S$10000,H90,Iktato!$V$3:$V$10000)</f>
        <v>0</v>
      </c>
    </row>
    <row r="91" spans="1:12" x14ac:dyDescent="0.25">
      <c r="A91" s="15" t="str">
        <f t="shared" si="7"/>
        <v/>
      </c>
      <c r="B91" s="15" t="str">
        <f>IF(H91&lt;=$L$1,VLOOKUP(H91,Iktato!$C$3:$O$10000,2,FALSE),"")</f>
        <v/>
      </c>
      <c r="C91" s="16" t="str">
        <f>IF(H91&lt;=$L$1,VLOOKUP(H91,Iktato!$C$3:$O$10000,4,FALSE),"")</f>
        <v/>
      </c>
      <c r="D91" s="3" t="str">
        <f>TRIM(IF(H91&lt;=$L$1,VLOOKUP(H91,Iktato!$C$3:$O$10000,7,FALSE),""))</f>
        <v/>
      </c>
      <c r="E91" s="3" t="str">
        <f>TRIM(IF(H91&lt;=$L$1,VLOOKUP(H91,Iktato!$C$3:$O$10000,8,FALSE),""))</f>
        <v/>
      </c>
      <c r="F91" s="4" t="str">
        <f t="shared" si="8"/>
        <v/>
      </c>
      <c r="H91" s="1">
        <f t="shared" si="10"/>
        <v>81</v>
      </c>
      <c r="J91" s="1">
        <f t="shared" si="9"/>
        <v>0</v>
      </c>
      <c r="K91" s="1">
        <f>SUM($L$9,$L$11:L91)</f>
        <v>0</v>
      </c>
      <c r="L91" s="1">
        <f>SUMIF(Iktato!$S$3:$S$10000,H91,Iktato!$V$3:$V$10000)</f>
        <v>0</v>
      </c>
    </row>
    <row r="92" spans="1:12" x14ac:dyDescent="0.25">
      <c r="A92" s="15" t="str">
        <f t="shared" si="7"/>
        <v/>
      </c>
      <c r="B92" s="15" t="str">
        <f>IF(H92&lt;=$L$1,VLOOKUP(H92,Iktato!$C$3:$O$10000,2,FALSE),"")</f>
        <v/>
      </c>
      <c r="C92" s="16" t="str">
        <f>IF(H92&lt;=$L$1,VLOOKUP(H92,Iktato!$C$3:$O$10000,4,FALSE),"")</f>
        <v/>
      </c>
      <c r="D92" s="3" t="str">
        <f>TRIM(IF(H92&lt;=$L$1,VLOOKUP(H92,Iktato!$C$3:$O$10000,7,FALSE),""))</f>
        <v/>
      </c>
      <c r="E92" s="3" t="str">
        <f>TRIM(IF(H92&lt;=$L$1,VLOOKUP(H92,Iktato!$C$3:$O$10000,8,FALSE),""))</f>
        <v/>
      </c>
      <c r="F92" s="4" t="str">
        <f t="shared" si="8"/>
        <v/>
      </c>
      <c r="H92" s="1">
        <f t="shared" si="10"/>
        <v>82</v>
      </c>
      <c r="J92" s="1">
        <f t="shared" si="9"/>
        <v>0</v>
      </c>
      <c r="K92" s="1">
        <f>SUM($L$9,$L$11:L92)</f>
        <v>0</v>
      </c>
      <c r="L92" s="1">
        <f>SUMIF(Iktato!$S$3:$S$10000,H92,Iktato!$V$3:$V$10000)</f>
        <v>0</v>
      </c>
    </row>
    <row r="93" spans="1:12" x14ac:dyDescent="0.25">
      <c r="A93" s="15" t="str">
        <f t="shared" si="7"/>
        <v/>
      </c>
      <c r="B93" s="15" t="str">
        <f>IF(H93&lt;=$L$1,VLOOKUP(H93,Iktato!$C$3:$O$10000,2,FALSE),"")</f>
        <v/>
      </c>
      <c r="C93" s="16" t="str">
        <f>IF(H93&lt;=$L$1,VLOOKUP(H93,Iktato!$C$3:$O$10000,4,FALSE),"")</f>
        <v/>
      </c>
      <c r="D93" s="3" t="str">
        <f>TRIM(IF(H93&lt;=$L$1,VLOOKUP(H93,Iktato!$C$3:$O$10000,7,FALSE),""))</f>
        <v/>
      </c>
      <c r="E93" s="3" t="str">
        <f>TRIM(IF(H93&lt;=$L$1,VLOOKUP(H93,Iktato!$C$3:$O$10000,8,FALSE),""))</f>
        <v/>
      </c>
      <c r="F93" s="4" t="str">
        <f t="shared" si="8"/>
        <v/>
      </c>
      <c r="H93" s="1">
        <f t="shared" si="10"/>
        <v>83</v>
      </c>
      <c r="J93" s="1">
        <f t="shared" si="9"/>
        <v>0</v>
      </c>
      <c r="K93" s="1">
        <f>SUM($L$9,$L$11:L93)</f>
        <v>0</v>
      </c>
      <c r="L93" s="1">
        <f>SUMIF(Iktato!$S$3:$S$10000,H93,Iktato!$V$3:$V$10000)</f>
        <v>0</v>
      </c>
    </row>
    <row r="94" spans="1:12" x14ac:dyDescent="0.25">
      <c r="A94" s="15" t="str">
        <f t="shared" si="7"/>
        <v/>
      </c>
      <c r="B94" s="15" t="str">
        <f>IF(H94&lt;=$L$1,VLOOKUP(H94,Iktato!$C$3:$O$10000,2,FALSE),"")</f>
        <v/>
      </c>
      <c r="C94" s="16" t="str">
        <f>IF(H94&lt;=$L$1,VLOOKUP(H94,Iktato!$C$3:$O$10000,4,FALSE),"")</f>
        <v/>
      </c>
      <c r="D94" s="3" t="str">
        <f>TRIM(IF(H94&lt;=$L$1,VLOOKUP(H94,Iktato!$C$3:$O$10000,7,FALSE),""))</f>
        <v/>
      </c>
      <c r="E94" s="3" t="str">
        <f>TRIM(IF(H94&lt;=$L$1,VLOOKUP(H94,Iktato!$C$3:$O$10000,8,FALSE),""))</f>
        <v/>
      </c>
      <c r="F94" s="4" t="str">
        <f t="shared" si="8"/>
        <v/>
      </c>
      <c r="H94" s="1">
        <f t="shared" si="10"/>
        <v>84</v>
      </c>
      <c r="J94" s="1">
        <f t="shared" si="9"/>
        <v>0</v>
      </c>
      <c r="K94" s="1">
        <f>SUM($L$9,$L$11:L94)</f>
        <v>0</v>
      </c>
      <c r="L94" s="1">
        <f>SUMIF(Iktato!$S$3:$S$10000,H94,Iktato!$V$3:$V$10000)</f>
        <v>0</v>
      </c>
    </row>
    <row r="95" spans="1:12" x14ac:dyDescent="0.25">
      <c r="A95" s="15" t="str">
        <f t="shared" si="7"/>
        <v/>
      </c>
      <c r="B95" s="15" t="str">
        <f>IF(H95&lt;=$L$1,VLOOKUP(H95,Iktato!$C$3:$O$10000,2,FALSE),"")</f>
        <v/>
      </c>
      <c r="C95" s="16" t="str">
        <f>IF(H95&lt;=$L$1,VLOOKUP(H95,Iktato!$C$3:$O$10000,4,FALSE),"")</f>
        <v/>
      </c>
      <c r="D95" s="3" t="str">
        <f>TRIM(IF(H95&lt;=$L$1,VLOOKUP(H95,Iktato!$C$3:$O$10000,7,FALSE),""))</f>
        <v/>
      </c>
      <c r="E95" s="3" t="str">
        <f>TRIM(IF(H95&lt;=$L$1,VLOOKUP(H95,Iktato!$C$3:$O$10000,8,FALSE),""))</f>
        <v/>
      </c>
      <c r="F95" s="4" t="str">
        <f t="shared" si="8"/>
        <v/>
      </c>
      <c r="H95" s="1">
        <f t="shared" si="10"/>
        <v>85</v>
      </c>
      <c r="J95" s="1">
        <f t="shared" si="9"/>
        <v>0</v>
      </c>
      <c r="K95" s="1">
        <f>SUM($L$9,$L$11:L95)</f>
        <v>0</v>
      </c>
      <c r="L95" s="1">
        <f>SUMIF(Iktato!$S$3:$S$10000,H95,Iktato!$V$3:$V$10000)</f>
        <v>0</v>
      </c>
    </row>
    <row r="96" spans="1:12" x14ac:dyDescent="0.25">
      <c r="A96" s="15" t="str">
        <f t="shared" si="7"/>
        <v/>
      </c>
      <c r="B96" s="15" t="str">
        <f>IF(H96&lt;=$L$1,VLOOKUP(H96,Iktato!$C$3:$O$10000,2,FALSE),"")</f>
        <v/>
      </c>
      <c r="C96" s="16" t="str">
        <f>IF(H96&lt;=$L$1,VLOOKUP(H96,Iktato!$C$3:$O$10000,4,FALSE),"")</f>
        <v/>
      </c>
      <c r="D96" s="3" t="str">
        <f>TRIM(IF(H96&lt;=$L$1,VLOOKUP(H96,Iktato!$C$3:$O$10000,7,FALSE),""))</f>
        <v/>
      </c>
      <c r="E96" s="3" t="str">
        <f>TRIM(IF(H96&lt;=$L$1,VLOOKUP(H96,Iktato!$C$3:$O$10000,8,FALSE),""))</f>
        <v/>
      </c>
      <c r="F96" s="4" t="str">
        <f t="shared" si="8"/>
        <v/>
      </c>
      <c r="H96" s="1">
        <f t="shared" si="10"/>
        <v>86</v>
      </c>
      <c r="J96" s="1">
        <f t="shared" si="9"/>
        <v>0</v>
      </c>
      <c r="K96" s="1">
        <f>SUM($L$9,$L$11:L96)</f>
        <v>0</v>
      </c>
      <c r="L96" s="1">
        <f>SUMIF(Iktato!$S$3:$S$10000,H96,Iktato!$V$3:$V$10000)</f>
        <v>0</v>
      </c>
    </row>
    <row r="97" spans="1:12" x14ac:dyDescent="0.25">
      <c r="A97" s="15" t="str">
        <f t="shared" si="7"/>
        <v/>
      </c>
      <c r="B97" s="15" t="str">
        <f>IF(H97&lt;=$L$1,VLOOKUP(H97,Iktato!$C$3:$O$10000,2,FALSE),"")</f>
        <v/>
      </c>
      <c r="C97" s="16" t="str">
        <f>IF(H97&lt;=$L$1,VLOOKUP(H97,Iktato!$C$3:$O$10000,4,FALSE),"")</f>
        <v/>
      </c>
      <c r="D97" s="3" t="str">
        <f>TRIM(IF(H97&lt;=$L$1,VLOOKUP(H97,Iktato!$C$3:$O$10000,7,FALSE),""))</f>
        <v/>
      </c>
      <c r="E97" s="3" t="str">
        <f>TRIM(IF(H97&lt;=$L$1,VLOOKUP(H97,Iktato!$C$3:$O$10000,8,FALSE),""))</f>
        <v/>
      </c>
      <c r="F97" s="4" t="str">
        <f t="shared" si="8"/>
        <v/>
      </c>
      <c r="H97" s="1">
        <f t="shared" si="10"/>
        <v>87</v>
      </c>
      <c r="J97" s="1">
        <f t="shared" si="9"/>
        <v>0</v>
      </c>
      <c r="K97" s="1">
        <f>SUM($L$9,$L$11:L97)</f>
        <v>0</v>
      </c>
      <c r="L97" s="1">
        <f>SUMIF(Iktato!$S$3:$S$10000,H97,Iktato!$V$3:$V$10000)</f>
        <v>0</v>
      </c>
    </row>
    <row r="98" spans="1:12" x14ac:dyDescent="0.25">
      <c r="A98" s="15" t="str">
        <f t="shared" si="7"/>
        <v/>
      </c>
      <c r="B98" s="15" t="str">
        <f>IF(H98&lt;=$L$1,VLOOKUP(H98,Iktato!$C$3:$O$10000,2,FALSE),"")</f>
        <v/>
      </c>
      <c r="C98" s="16" t="str">
        <f>IF(H98&lt;=$L$1,VLOOKUP(H98,Iktato!$C$3:$O$10000,4,FALSE),"")</f>
        <v/>
      </c>
      <c r="D98" s="3" t="str">
        <f>TRIM(IF(H98&lt;=$L$1,VLOOKUP(H98,Iktato!$C$3:$O$10000,7,FALSE),""))</f>
        <v/>
      </c>
      <c r="E98" s="3" t="str">
        <f>TRIM(IF(H98&lt;=$L$1,VLOOKUP(H98,Iktato!$C$3:$O$10000,8,FALSE),""))</f>
        <v/>
      </c>
      <c r="F98" s="4" t="str">
        <f t="shared" si="8"/>
        <v/>
      </c>
      <c r="H98" s="1">
        <f t="shared" si="10"/>
        <v>88</v>
      </c>
      <c r="J98" s="1">
        <f t="shared" si="9"/>
        <v>0</v>
      </c>
      <c r="K98" s="1">
        <f>SUM($L$9,$L$11:L98)</f>
        <v>0</v>
      </c>
      <c r="L98" s="1">
        <f>SUMIF(Iktato!$S$3:$S$10000,H98,Iktato!$V$3:$V$10000)</f>
        <v>0</v>
      </c>
    </row>
    <row r="99" spans="1:12" x14ac:dyDescent="0.25">
      <c r="A99" s="15" t="str">
        <f t="shared" si="7"/>
        <v/>
      </c>
      <c r="B99" s="15" t="str">
        <f>IF(H99&lt;=$L$1,VLOOKUP(H99,Iktato!$C$3:$O$10000,2,FALSE),"")</f>
        <v/>
      </c>
      <c r="C99" s="16" t="str">
        <f>IF(H99&lt;=$L$1,VLOOKUP(H99,Iktato!$C$3:$O$10000,4,FALSE),"")</f>
        <v/>
      </c>
      <c r="D99" s="3" t="str">
        <f>TRIM(IF(H99&lt;=$L$1,VLOOKUP(H99,Iktato!$C$3:$O$10000,7,FALSE),""))</f>
        <v/>
      </c>
      <c r="E99" s="3" t="str">
        <f>TRIM(IF(H99&lt;=$L$1,VLOOKUP(H99,Iktato!$C$3:$O$10000,8,FALSE),""))</f>
        <v/>
      </c>
      <c r="F99" s="4" t="str">
        <f t="shared" si="8"/>
        <v/>
      </c>
      <c r="H99" s="1">
        <f t="shared" si="10"/>
        <v>89</v>
      </c>
      <c r="J99" s="1">
        <f t="shared" si="9"/>
        <v>0</v>
      </c>
      <c r="K99" s="1">
        <f>SUM($L$9,$L$11:L99)</f>
        <v>0</v>
      </c>
      <c r="L99" s="1">
        <f>SUMIF(Iktato!$S$3:$S$10000,H99,Iktato!$V$3:$V$10000)</f>
        <v>0</v>
      </c>
    </row>
    <row r="100" spans="1:12" x14ac:dyDescent="0.25">
      <c r="A100" s="15" t="str">
        <f t="shared" si="7"/>
        <v/>
      </c>
      <c r="B100" s="15" t="str">
        <f>IF(H100&lt;=$L$1,VLOOKUP(H100,Iktato!$C$3:$O$10000,2,FALSE),"")</f>
        <v/>
      </c>
      <c r="C100" s="16" t="str">
        <f>IF(H100&lt;=$L$1,VLOOKUP(H100,Iktato!$C$3:$O$10000,4,FALSE),"")</f>
        <v/>
      </c>
      <c r="D100" s="3" t="str">
        <f>TRIM(IF(H100&lt;=$L$1,VLOOKUP(H100,Iktato!$C$3:$O$10000,7,FALSE),""))</f>
        <v/>
      </c>
      <c r="E100" s="3" t="str">
        <f>TRIM(IF(H100&lt;=$L$1,VLOOKUP(H100,Iktato!$C$3:$O$10000,8,FALSE),""))</f>
        <v/>
      </c>
      <c r="F100" s="4" t="str">
        <f t="shared" si="8"/>
        <v/>
      </c>
      <c r="H100" s="1">
        <f t="shared" si="10"/>
        <v>90</v>
      </c>
      <c r="J100" s="1">
        <f t="shared" si="9"/>
        <v>0</v>
      </c>
      <c r="K100" s="1">
        <f>SUM($L$9,$L$11:L100)</f>
        <v>0</v>
      </c>
      <c r="L100" s="1">
        <f>SUMIF(Iktato!$S$3:$S$10000,H100,Iktato!$V$3:$V$10000)</f>
        <v>0</v>
      </c>
    </row>
    <row r="101" spans="1:12" x14ac:dyDescent="0.25">
      <c r="A101" s="15" t="str">
        <f t="shared" si="7"/>
        <v/>
      </c>
      <c r="B101" s="15" t="str">
        <f>IF(H101&lt;=$L$1,VLOOKUP(H101,Iktato!$C$3:$O$10000,2,FALSE),"")</f>
        <v/>
      </c>
      <c r="C101" s="16" t="str">
        <f>IF(H101&lt;=$L$1,VLOOKUP(H101,Iktato!$C$3:$O$10000,4,FALSE),"")</f>
        <v/>
      </c>
      <c r="D101" s="3" t="str">
        <f>TRIM(IF(H101&lt;=$L$1,VLOOKUP(H101,Iktato!$C$3:$O$10000,7,FALSE),""))</f>
        <v/>
      </c>
      <c r="E101" s="3" t="str">
        <f>TRIM(IF(H101&lt;=$L$1,VLOOKUP(H101,Iktato!$C$3:$O$10000,8,FALSE),""))</f>
        <v/>
      </c>
      <c r="F101" s="4" t="str">
        <f t="shared" si="8"/>
        <v/>
      </c>
      <c r="H101" s="1">
        <f t="shared" si="10"/>
        <v>91</v>
      </c>
      <c r="J101" s="1">
        <f t="shared" si="9"/>
        <v>0</v>
      </c>
      <c r="K101" s="1">
        <f>SUM($L$9,$L$11:L101)</f>
        <v>0</v>
      </c>
      <c r="L101" s="1">
        <f>SUMIF(Iktato!$S$3:$S$10000,H101,Iktato!$V$3:$V$10000)</f>
        <v>0</v>
      </c>
    </row>
    <row r="102" spans="1:12" x14ac:dyDescent="0.25">
      <c r="A102" s="15" t="str">
        <f t="shared" si="7"/>
        <v/>
      </c>
      <c r="B102" s="15" t="str">
        <f>IF(H102&lt;=$L$1,VLOOKUP(H102,Iktato!$C$3:$O$10000,2,FALSE),"")</f>
        <v/>
      </c>
      <c r="C102" s="16" t="str">
        <f>IF(H102&lt;=$L$1,VLOOKUP(H102,Iktato!$C$3:$O$10000,4,FALSE),"")</f>
        <v/>
      </c>
      <c r="D102" s="3" t="str">
        <f>TRIM(IF(H102&lt;=$L$1,VLOOKUP(H102,Iktato!$C$3:$O$10000,7,FALSE),""))</f>
        <v/>
      </c>
      <c r="E102" s="3" t="str">
        <f>TRIM(IF(H102&lt;=$L$1,VLOOKUP(H102,Iktato!$C$3:$O$10000,8,FALSE),""))</f>
        <v/>
      </c>
      <c r="F102" s="4" t="str">
        <f t="shared" si="8"/>
        <v/>
      </c>
      <c r="H102" s="1">
        <f t="shared" si="10"/>
        <v>92</v>
      </c>
      <c r="J102" s="1">
        <f t="shared" si="9"/>
        <v>0</v>
      </c>
      <c r="K102" s="1">
        <f>SUM($L$9,$L$11:L102)</f>
        <v>0</v>
      </c>
      <c r="L102" s="1">
        <f>SUMIF(Iktato!$S$3:$S$10000,H102,Iktato!$V$3:$V$10000)</f>
        <v>0</v>
      </c>
    </row>
    <row r="103" spans="1:12" x14ac:dyDescent="0.25">
      <c r="A103" s="15" t="str">
        <f t="shared" si="7"/>
        <v/>
      </c>
      <c r="B103" s="15" t="str">
        <f>IF(H103&lt;=$L$1,VLOOKUP(H103,Iktato!$C$3:$O$10000,2,FALSE),"")</f>
        <v/>
      </c>
      <c r="C103" s="16" t="str">
        <f>IF(H103&lt;=$L$1,VLOOKUP(H103,Iktato!$C$3:$O$10000,4,FALSE),"")</f>
        <v/>
      </c>
      <c r="D103" s="3" t="str">
        <f>TRIM(IF(H103&lt;=$L$1,VLOOKUP(H103,Iktato!$C$3:$O$10000,7,FALSE),""))</f>
        <v/>
      </c>
      <c r="E103" s="3" t="str">
        <f>TRIM(IF(H103&lt;=$L$1,VLOOKUP(H103,Iktato!$C$3:$O$10000,8,FALSE),""))</f>
        <v/>
      </c>
      <c r="F103" s="4" t="str">
        <f t="shared" si="8"/>
        <v/>
      </c>
      <c r="H103" s="1">
        <f t="shared" si="10"/>
        <v>93</v>
      </c>
      <c r="J103" s="1">
        <f t="shared" si="9"/>
        <v>0</v>
      </c>
      <c r="K103" s="1">
        <f>SUM($L$9,$L$11:L103)</f>
        <v>0</v>
      </c>
      <c r="L103" s="1">
        <f>SUMIF(Iktato!$S$3:$S$10000,H103,Iktato!$V$3:$V$10000)</f>
        <v>0</v>
      </c>
    </row>
    <row r="104" spans="1:12" x14ac:dyDescent="0.25">
      <c r="A104" s="15" t="str">
        <f t="shared" si="7"/>
        <v/>
      </c>
      <c r="B104" s="15" t="str">
        <f>IF(H104&lt;=$L$1,VLOOKUP(H104,Iktato!$C$3:$O$10000,2,FALSE),"")</f>
        <v/>
      </c>
      <c r="C104" s="16" t="str">
        <f>IF(H104&lt;=$L$1,VLOOKUP(H104,Iktato!$C$3:$O$10000,4,FALSE),"")</f>
        <v/>
      </c>
      <c r="D104" s="3" t="str">
        <f>TRIM(IF(H104&lt;=$L$1,VLOOKUP(H104,Iktato!$C$3:$O$10000,7,FALSE),""))</f>
        <v/>
      </c>
      <c r="E104" s="3" t="str">
        <f>TRIM(IF(H104&lt;=$L$1,VLOOKUP(H104,Iktato!$C$3:$O$10000,8,FALSE),""))</f>
        <v/>
      </c>
      <c r="F104" s="4" t="str">
        <f t="shared" si="8"/>
        <v/>
      </c>
      <c r="H104" s="1">
        <f t="shared" si="10"/>
        <v>94</v>
      </c>
      <c r="J104" s="1">
        <f t="shared" si="9"/>
        <v>0</v>
      </c>
      <c r="K104" s="1">
        <f>SUM($L$9,$L$11:L104)</f>
        <v>0</v>
      </c>
      <c r="L104" s="1">
        <f>SUMIF(Iktato!$S$3:$S$10000,H104,Iktato!$V$3:$V$10000)</f>
        <v>0</v>
      </c>
    </row>
    <row r="105" spans="1:12" x14ac:dyDescent="0.25">
      <c r="A105" s="15" t="str">
        <f t="shared" si="7"/>
        <v/>
      </c>
      <c r="B105" s="15" t="str">
        <f>IF(H105&lt;=$L$1,VLOOKUP(H105,Iktato!$C$3:$O$10000,2,FALSE),"")</f>
        <v/>
      </c>
      <c r="C105" s="16" t="str">
        <f>IF(H105&lt;=$L$1,VLOOKUP(H105,Iktato!$C$3:$O$10000,4,FALSE),"")</f>
        <v/>
      </c>
      <c r="D105" s="3" t="str">
        <f>TRIM(IF(H105&lt;=$L$1,VLOOKUP(H105,Iktato!$C$3:$O$10000,7,FALSE),""))</f>
        <v/>
      </c>
      <c r="E105" s="3" t="str">
        <f>TRIM(IF(H105&lt;=$L$1,VLOOKUP(H105,Iktato!$C$3:$O$10000,8,FALSE),""))</f>
        <v/>
      </c>
      <c r="F105" s="4" t="str">
        <f t="shared" si="8"/>
        <v/>
      </c>
      <c r="H105" s="1">
        <f t="shared" si="10"/>
        <v>95</v>
      </c>
      <c r="J105" s="1">
        <f t="shared" si="9"/>
        <v>0</v>
      </c>
      <c r="K105" s="1">
        <f>SUM($L$9,$L$11:L105)</f>
        <v>0</v>
      </c>
      <c r="L105" s="1">
        <f>SUMIF(Iktato!$S$3:$S$10000,H105,Iktato!$V$3:$V$10000)</f>
        <v>0</v>
      </c>
    </row>
    <row r="106" spans="1:12" x14ac:dyDescent="0.25">
      <c r="A106" s="15" t="str">
        <f t="shared" si="7"/>
        <v/>
      </c>
      <c r="B106" s="15" t="str">
        <f>IF(H106&lt;=$L$1,VLOOKUP(H106,Iktato!$C$3:$O$10000,2,FALSE),"")</f>
        <v/>
      </c>
      <c r="C106" s="16" t="str">
        <f>IF(H106&lt;=$L$1,VLOOKUP(H106,Iktato!$C$3:$O$10000,4,FALSE),"")</f>
        <v/>
      </c>
      <c r="D106" s="3" t="str">
        <f>TRIM(IF(H106&lt;=$L$1,VLOOKUP(H106,Iktato!$C$3:$O$10000,7,FALSE),""))</f>
        <v/>
      </c>
      <c r="E106" s="3" t="str">
        <f>TRIM(IF(H106&lt;=$L$1,VLOOKUP(H106,Iktato!$C$3:$O$10000,8,FALSE),""))</f>
        <v/>
      </c>
      <c r="F106" s="4" t="str">
        <f t="shared" si="8"/>
        <v/>
      </c>
      <c r="H106" s="1">
        <f t="shared" si="10"/>
        <v>96</v>
      </c>
      <c r="J106" s="1">
        <f t="shared" si="9"/>
        <v>0</v>
      </c>
      <c r="K106" s="1">
        <f>SUM($L$9,$L$11:L106)</f>
        <v>0</v>
      </c>
      <c r="L106" s="1">
        <f>SUMIF(Iktato!$S$3:$S$10000,H106,Iktato!$V$3:$V$10000)</f>
        <v>0</v>
      </c>
    </row>
    <row r="107" spans="1:12" x14ac:dyDescent="0.25">
      <c r="A107" s="15" t="str">
        <f t="shared" si="7"/>
        <v/>
      </c>
      <c r="B107" s="15" t="str">
        <f>IF(H107&lt;=$L$1,VLOOKUP(H107,Iktato!$C$3:$O$10000,2,FALSE),"")</f>
        <v/>
      </c>
      <c r="C107" s="16" t="str">
        <f>IF(H107&lt;=$L$1,VLOOKUP(H107,Iktato!$C$3:$O$10000,4,FALSE),"")</f>
        <v/>
      </c>
      <c r="D107" s="3" t="str">
        <f>TRIM(IF(H107&lt;=$L$1,VLOOKUP(H107,Iktato!$C$3:$O$10000,7,FALSE),""))</f>
        <v/>
      </c>
      <c r="E107" s="3" t="str">
        <f>TRIM(IF(H107&lt;=$L$1,VLOOKUP(H107,Iktato!$C$3:$O$10000,8,FALSE),""))</f>
        <v/>
      </c>
      <c r="F107" s="4" t="str">
        <f t="shared" si="8"/>
        <v/>
      </c>
      <c r="H107" s="1">
        <f t="shared" si="10"/>
        <v>97</v>
      </c>
      <c r="J107" s="1">
        <f t="shared" si="9"/>
        <v>0</v>
      </c>
      <c r="K107" s="1">
        <f>SUM($L$9,$L$11:L107)</f>
        <v>0</v>
      </c>
      <c r="L107" s="1">
        <f>SUMIF(Iktato!$S$3:$S$10000,H107,Iktato!$V$3:$V$10000)</f>
        <v>0</v>
      </c>
    </row>
    <row r="108" spans="1:12" x14ac:dyDescent="0.25">
      <c r="A108" s="15" t="str">
        <f t="shared" si="7"/>
        <v/>
      </c>
      <c r="B108" s="15" t="str">
        <f>IF(H108&lt;=$L$1,VLOOKUP(H108,Iktato!$C$3:$O$10000,2,FALSE),"")</f>
        <v/>
      </c>
      <c r="C108" s="16" t="str">
        <f>IF(H108&lt;=$L$1,VLOOKUP(H108,Iktato!$C$3:$O$10000,4,FALSE),"")</f>
        <v/>
      </c>
      <c r="D108" s="3" t="str">
        <f>TRIM(IF(H108&lt;=$L$1,VLOOKUP(H108,Iktato!$C$3:$O$10000,7,FALSE),""))</f>
        <v/>
      </c>
      <c r="E108" s="3" t="str">
        <f>TRIM(IF(H108&lt;=$L$1,VLOOKUP(H108,Iktato!$C$3:$O$10000,8,FALSE),""))</f>
        <v/>
      </c>
      <c r="F108" s="4" t="str">
        <f t="shared" si="8"/>
        <v/>
      </c>
      <c r="H108" s="1">
        <f t="shared" si="10"/>
        <v>98</v>
      </c>
      <c r="J108" s="1">
        <f t="shared" si="9"/>
        <v>0</v>
      </c>
      <c r="K108" s="1">
        <f>SUM($L$9,$L$11:L108)</f>
        <v>0</v>
      </c>
      <c r="L108" s="1">
        <f>SUMIF(Iktato!$S$3:$S$10000,H108,Iktato!$V$3:$V$10000)</f>
        <v>0</v>
      </c>
    </row>
    <row r="109" spans="1:12" x14ac:dyDescent="0.25">
      <c r="A109" s="15" t="str">
        <f t="shared" si="7"/>
        <v/>
      </c>
      <c r="B109" s="15" t="str">
        <f>IF(H109&lt;=$L$1,VLOOKUP(H109,Iktato!$C$3:$O$10000,2,FALSE),"")</f>
        <v/>
      </c>
      <c r="C109" s="16" t="str">
        <f>IF(H109&lt;=$L$1,VLOOKUP(H109,Iktato!$C$3:$O$10000,4,FALSE),"")</f>
        <v/>
      </c>
      <c r="D109" s="3" t="str">
        <f>TRIM(IF(H109&lt;=$L$1,VLOOKUP(H109,Iktato!$C$3:$O$10000,7,FALSE),""))</f>
        <v/>
      </c>
      <c r="E109" s="3" t="str">
        <f>TRIM(IF(H109&lt;=$L$1,VLOOKUP(H109,Iktato!$C$3:$O$10000,8,FALSE),""))</f>
        <v/>
      </c>
      <c r="F109" s="4" t="str">
        <f t="shared" si="8"/>
        <v/>
      </c>
      <c r="H109" s="1">
        <f t="shared" si="10"/>
        <v>99</v>
      </c>
      <c r="J109" s="1">
        <f t="shared" si="9"/>
        <v>0</v>
      </c>
      <c r="K109" s="1">
        <f>SUM($L$9,$L$11:L109)</f>
        <v>0</v>
      </c>
      <c r="L109" s="1">
        <f>SUMIF(Iktato!$S$3:$S$10000,H109,Iktato!$V$3:$V$10000)</f>
        <v>0</v>
      </c>
    </row>
    <row r="110" spans="1:12" x14ac:dyDescent="0.25">
      <c r="A110" s="15" t="str">
        <f t="shared" si="7"/>
        <v/>
      </c>
      <c r="B110" s="15" t="str">
        <f>IF(H110&lt;=$L$1,VLOOKUP(H110,Iktato!$C$3:$O$10000,2,FALSE),"")</f>
        <v/>
      </c>
      <c r="C110" s="16" t="str">
        <f>IF(H110&lt;=$L$1,VLOOKUP(H110,Iktato!$C$3:$O$10000,4,FALSE),"")</f>
        <v/>
      </c>
      <c r="D110" s="3" t="str">
        <f>TRIM(IF(H110&lt;=$L$1,VLOOKUP(H110,Iktato!$C$3:$O$10000,7,FALSE),""))</f>
        <v/>
      </c>
      <c r="E110" s="3" t="str">
        <f>TRIM(IF(H110&lt;=$L$1,VLOOKUP(H110,Iktato!$C$3:$O$10000,8,FALSE),""))</f>
        <v/>
      </c>
      <c r="F110" s="4" t="str">
        <f t="shared" si="8"/>
        <v/>
      </c>
      <c r="H110" s="1">
        <f t="shared" si="10"/>
        <v>100</v>
      </c>
      <c r="J110" s="1">
        <f t="shared" si="9"/>
        <v>0</v>
      </c>
      <c r="K110" s="1">
        <f>SUM($L$9,$L$11:L110)</f>
        <v>0</v>
      </c>
      <c r="L110" s="1">
        <f>SUMIF(Iktato!$S$3:$S$10000,H110,Iktato!$V$3:$V$10000)</f>
        <v>0</v>
      </c>
    </row>
    <row r="111" spans="1:12" x14ac:dyDescent="0.25">
      <c r="A111" s="15" t="str">
        <f t="shared" si="7"/>
        <v/>
      </c>
      <c r="B111" s="15" t="str">
        <f>IF(H111&lt;=$L$1,VLOOKUP(H111,Iktato!$C$3:$O$10000,2,FALSE),"")</f>
        <v/>
      </c>
      <c r="C111" s="16" t="str">
        <f>IF(H111&lt;=$L$1,VLOOKUP(H111,Iktato!$C$3:$O$10000,4,FALSE),"")</f>
        <v/>
      </c>
      <c r="D111" s="3" t="str">
        <f>TRIM(IF(H111&lt;=$L$1,VLOOKUP(H111,Iktato!$C$3:$O$10000,7,FALSE),""))</f>
        <v/>
      </c>
      <c r="E111" s="3" t="str">
        <f>TRIM(IF(H111&lt;=$L$1,VLOOKUP(H111,Iktato!$C$3:$O$10000,8,FALSE),""))</f>
        <v/>
      </c>
      <c r="F111" s="4" t="str">
        <f t="shared" si="8"/>
        <v/>
      </c>
      <c r="H111" s="1">
        <f t="shared" si="10"/>
        <v>101</v>
      </c>
      <c r="J111" s="1">
        <f t="shared" si="9"/>
        <v>0</v>
      </c>
      <c r="K111" s="1">
        <f>SUM($L$9,$L$11:L111)</f>
        <v>0</v>
      </c>
      <c r="L111" s="1">
        <f>SUMIF(Iktato!$S$3:$S$10000,H111,Iktato!$V$3:$V$10000)</f>
        <v>0</v>
      </c>
    </row>
    <row r="112" spans="1:12" x14ac:dyDescent="0.25">
      <c r="A112" s="15" t="str">
        <f t="shared" si="7"/>
        <v/>
      </c>
      <c r="B112" s="15" t="str">
        <f>IF(H112&lt;=$L$1,VLOOKUP(H112,Iktato!$C$3:$O$10000,2,FALSE),"")</f>
        <v/>
      </c>
      <c r="C112" s="16" t="str">
        <f>IF(H112&lt;=$L$1,VLOOKUP(H112,Iktato!$C$3:$O$10000,4,FALSE),"")</f>
        <v/>
      </c>
      <c r="D112" s="3" t="str">
        <f>TRIM(IF(H112&lt;=$L$1,VLOOKUP(H112,Iktato!$C$3:$O$10000,7,FALSE),""))</f>
        <v/>
      </c>
      <c r="E112" s="3" t="str">
        <f>TRIM(IF(H112&lt;=$L$1,VLOOKUP(H112,Iktato!$C$3:$O$10000,8,FALSE),""))</f>
        <v/>
      </c>
      <c r="F112" s="4" t="str">
        <f t="shared" si="8"/>
        <v/>
      </c>
      <c r="H112" s="1">
        <f t="shared" si="10"/>
        <v>102</v>
      </c>
      <c r="J112" s="1">
        <f t="shared" si="9"/>
        <v>0</v>
      </c>
      <c r="K112" s="1">
        <f>SUM($L$9,$L$11:L112)</f>
        <v>0</v>
      </c>
      <c r="L112" s="1">
        <f>SUMIF(Iktato!$S$3:$S$10000,H112,Iktato!$V$3:$V$10000)</f>
        <v>0</v>
      </c>
    </row>
    <row r="113" spans="1:12" x14ac:dyDescent="0.25">
      <c r="A113" s="15" t="str">
        <f t="shared" si="7"/>
        <v/>
      </c>
      <c r="B113" s="15" t="str">
        <f>IF(H113&lt;=$L$1,VLOOKUP(H113,Iktato!$C$3:$O$10000,2,FALSE),"")</f>
        <v/>
      </c>
      <c r="C113" s="16" t="str">
        <f>IF(H113&lt;=$L$1,VLOOKUP(H113,Iktato!$C$3:$O$10000,4,FALSE),"")</f>
        <v/>
      </c>
      <c r="D113" s="3" t="str">
        <f>TRIM(IF(H113&lt;=$L$1,VLOOKUP(H113,Iktato!$C$3:$O$10000,7,FALSE),""))</f>
        <v/>
      </c>
      <c r="E113" s="3" t="str">
        <f>TRIM(IF(H113&lt;=$L$1,VLOOKUP(H113,Iktato!$C$3:$O$10000,8,FALSE),""))</f>
        <v/>
      </c>
      <c r="F113" s="4" t="str">
        <f t="shared" si="8"/>
        <v/>
      </c>
      <c r="H113" s="1">
        <f t="shared" si="10"/>
        <v>103</v>
      </c>
      <c r="J113" s="1">
        <f t="shared" si="9"/>
        <v>0</v>
      </c>
      <c r="K113" s="1">
        <f>SUM($L$9,$L$11:L113)</f>
        <v>0</v>
      </c>
      <c r="L113" s="1">
        <f>SUMIF(Iktato!$S$3:$S$10000,H113,Iktato!$V$3:$V$10000)</f>
        <v>0</v>
      </c>
    </row>
    <row r="114" spans="1:12" x14ac:dyDescent="0.25">
      <c r="A114" s="15" t="str">
        <f t="shared" ref="A114:A177" si="11">IF(H114&lt;=$L$1,H114,"")</f>
        <v/>
      </c>
      <c r="B114" s="15" t="str">
        <f>IF(H114&lt;=$L$1,VLOOKUP(H114,Iktato!$C$3:$O$10000,2,FALSE),"")</f>
        <v/>
      </c>
      <c r="C114" s="16" t="str">
        <f>IF(H114&lt;=$L$1,VLOOKUP(H114,Iktato!$C$3:$O$10000,4,FALSE),"")</f>
        <v/>
      </c>
      <c r="D114" s="3" t="str">
        <f>TRIM(IF(H114&lt;=$L$1,VLOOKUP(H114,Iktato!$C$3:$O$10000,7,FALSE),""))</f>
        <v/>
      </c>
      <c r="E114" s="3" t="str">
        <f>TRIM(IF(H114&lt;=$L$1,VLOOKUP(H114,Iktato!$C$3:$O$10000,8,FALSE),""))</f>
        <v/>
      </c>
      <c r="F114" s="4" t="str">
        <f t="shared" ref="F114:F177" si="12">IF(H114&lt;=$L$1,J114,"")</f>
        <v/>
      </c>
      <c r="H114" s="1">
        <f t="shared" si="10"/>
        <v>104</v>
      </c>
      <c r="J114" s="1">
        <f t="shared" ref="J114:J177" si="13">IF(L114&lt;&gt;0,IF(K114&lt;&gt;K113+1,K113+1&amp;"-"&amp;K114,K114),J113)</f>
        <v>0</v>
      </c>
      <c r="K114" s="1">
        <f>SUM($L$9,$L$11:L114)</f>
        <v>0</v>
      </c>
      <c r="L114" s="1">
        <f>SUMIF(Iktato!$S$3:$S$10000,H114,Iktato!$V$3:$V$10000)</f>
        <v>0</v>
      </c>
    </row>
    <row r="115" spans="1:12" x14ac:dyDescent="0.25">
      <c r="A115" s="15" t="str">
        <f t="shared" si="11"/>
        <v/>
      </c>
      <c r="B115" s="15" t="str">
        <f>IF(H115&lt;=$L$1,VLOOKUP(H115,Iktato!$C$3:$O$10000,2,FALSE),"")</f>
        <v/>
      </c>
      <c r="C115" s="16" t="str">
        <f>IF(H115&lt;=$L$1,VLOOKUP(H115,Iktato!$C$3:$O$10000,4,FALSE),"")</f>
        <v/>
      </c>
      <c r="D115" s="3" t="str">
        <f>TRIM(IF(H115&lt;=$L$1,VLOOKUP(H115,Iktato!$C$3:$O$10000,7,FALSE),""))</f>
        <v/>
      </c>
      <c r="E115" s="3" t="str">
        <f>TRIM(IF(H115&lt;=$L$1,VLOOKUP(H115,Iktato!$C$3:$O$10000,8,FALSE),""))</f>
        <v/>
      </c>
      <c r="F115" s="4" t="str">
        <f t="shared" si="12"/>
        <v/>
      </c>
      <c r="H115" s="1">
        <f t="shared" si="10"/>
        <v>105</v>
      </c>
      <c r="J115" s="1">
        <f t="shared" si="13"/>
        <v>0</v>
      </c>
      <c r="K115" s="1">
        <f>SUM($L$9,$L$11:L115)</f>
        <v>0</v>
      </c>
      <c r="L115" s="1">
        <f>SUMIF(Iktato!$S$3:$S$10000,H115,Iktato!$V$3:$V$10000)</f>
        <v>0</v>
      </c>
    </row>
    <row r="116" spans="1:12" x14ac:dyDescent="0.25">
      <c r="A116" s="15" t="str">
        <f t="shared" si="11"/>
        <v/>
      </c>
      <c r="B116" s="15" t="str">
        <f>IF(H116&lt;=$L$1,VLOOKUP(H116,Iktato!$C$3:$O$10000,2,FALSE),"")</f>
        <v/>
      </c>
      <c r="C116" s="16" t="str">
        <f>IF(H116&lt;=$L$1,VLOOKUP(H116,Iktato!$C$3:$O$10000,4,FALSE),"")</f>
        <v/>
      </c>
      <c r="D116" s="3" t="str">
        <f>TRIM(IF(H116&lt;=$L$1,VLOOKUP(H116,Iktato!$C$3:$O$10000,7,FALSE),""))</f>
        <v/>
      </c>
      <c r="E116" s="3" t="str">
        <f>TRIM(IF(H116&lt;=$L$1,VLOOKUP(H116,Iktato!$C$3:$O$10000,8,FALSE),""))</f>
        <v/>
      </c>
      <c r="F116" s="4" t="str">
        <f t="shared" si="12"/>
        <v/>
      </c>
      <c r="H116" s="1">
        <f t="shared" si="10"/>
        <v>106</v>
      </c>
      <c r="J116" s="1">
        <f t="shared" si="13"/>
        <v>0</v>
      </c>
      <c r="K116" s="1">
        <f>SUM($L$9,$L$11:L116)</f>
        <v>0</v>
      </c>
      <c r="L116" s="1">
        <f>SUMIF(Iktato!$S$3:$S$10000,H116,Iktato!$V$3:$V$10000)</f>
        <v>0</v>
      </c>
    </row>
    <row r="117" spans="1:12" x14ac:dyDescent="0.25">
      <c r="A117" s="15" t="str">
        <f t="shared" si="11"/>
        <v/>
      </c>
      <c r="B117" s="15" t="str">
        <f>IF(H117&lt;=$L$1,VLOOKUP(H117,Iktato!$C$3:$O$10000,2,FALSE),"")</f>
        <v/>
      </c>
      <c r="C117" s="16" t="str">
        <f>IF(H117&lt;=$L$1,VLOOKUP(H117,Iktato!$C$3:$O$10000,4,FALSE),"")</f>
        <v/>
      </c>
      <c r="D117" s="3" t="str">
        <f>TRIM(IF(H117&lt;=$L$1,VLOOKUP(H117,Iktato!$C$3:$O$10000,7,FALSE),""))</f>
        <v/>
      </c>
      <c r="E117" s="3" t="str">
        <f>TRIM(IF(H117&lt;=$L$1,VLOOKUP(H117,Iktato!$C$3:$O$10000,8,FALSE),""))</f>
        <v/>
      </c>
      <c r="F117" s="4" t="str">
        <f t="shared" si="12"/>
        <v/>
      </c>
      <c r="H117" s="1">
        <f t="shared" si="10"/>
        <v>107</v>
      </c>
      <c r="J117" s="1">
        <f t="shared" si="13"/>
        <v>0</v>
      </c>
      <c r="K117" s="1">
        <f>SUM($L$9,$L$11:L117)</f>
        <v>0</v>
      </c>
      <c r="L117" s="1">
        <f>SUMIF(Iktato!$S$3:$S$10000,H117,Iktato!$V$3:$V$10000)</f>
        <v>0</v>
      </c>
    </row>
    <row r="118" spans="1:12" x14ac:dyDescent="0.25">
      <c r="A118" s="15" t="str">
        <f t="shared" si="11"/>
        <v/>
      </c>
      <c r="B118" s="15" t="str">
        <f>IF(H118&lt;=$L$1,VLOOKUP(H118,Iktato!$C$3:$O$10000,2,FALSE),"")</f>
        <v/>
      </c>
      <c r="C118" s="16" t="str">
        <f>IF(H118&lt;=$L$1,VLOOKUP(H118,Iktato!$C$3:$O$10000,4,FALSE),"")</f>
        <v/>
      </c>
      <c r="D118" s="3" t="str">
        <f>TRIM(IF(H118&lt;=$L$1,VLOOKUP(H118,Iktato!$C$3:$O$10000,7,FALSE),""))</f>
        <v/>
      </c>
      <c r="E118" s="3" t="str">
        <f>TRIM(IF(H118&lt;=$L$1,VLOOKUP(H118,Iktato!$C$3:$O$10000,8,FALSE),""))</f>
        <v/>
      </c>
      <c r="F118" s="4" t="str">
        <f t="shared" si="12"/>
        <v/>
      </c>
      <c r="H118" s="1">
        <f t="shared" si="10"/>
        <v>108</v>
      </c>
      <c r="J118" s="1">
        <f t="shared" si="13"/>
        <v>0</v>
      </c>
      <c r="K118" s="1">
        <f>SUM($L$9,$L$11:L118)</f>
        <v>0</v>
      </c>
      <c r="L118" s="1">
        <f>SUMIF(Iktato!$S$3:$S$10000,H118,Iktato!$V$3:$V$10000)</f>
        <v>0</v>
      </c>
    </row>
    <row r="119" spans="1:12" x14ac:dyDescent="0.25">
      <c r="A119" s="15" t="str">
        <f t="shared" si="11"/>
        <v/>
      </c>
      <c r="B119" s="15" t="str">
        <f>IF(H119&lt;=$L$1,VLOOKUP(H119,Iktato!$C$3:$O$10000,2,FALSE),"")</f>
        <v/>
      </c>
      <c r="C119" s="16" t="str">
        <f>IF(H119&lt;=$L$1,VLOOKUP(H119,Iktato!$C$3:$O$10000,4,FALSE),"")</f>
        <v/>
      </c>
      <c r="D119" s="3" t="str">
        <f>TRIM(IF(H119&lt;=$L$1,VLOOKUP(H119,Iktato!$C$3:$O$10000,7,FALSE),""))</f>
        <v/>
      </c>
      <c r="E119" s="3" t="str">
        <f>TRIM(IF(H119&lt;=$L$1,VLOOKUP(H119,Iktato!$C$3:$O$10000,8,FALSE),""))</f>
        <v/>
      </c>
      <c r="F119" s="4" t="str">
        <f t="shared" si="12"/>
        <v/>
      </c>
      <c r="H119" s="1">
        <f t="shared" si="10"/>
        <v>109</v>
      </c>
      <c r="J119" s="1">
        <f t="shared" si="13"/>
        <v>0</v>
      </c>
      <c r="K119" s="1">
        <f>SUM($L$9,$L$11:L119)</f>
        <v>0</v>
      </c>
      <c r="L119" s="1">
        <f>SUMIF(Iktato!$S$3:$S$10000,H119,Iktato!$V$3:$V$10000)</f>
        <v>0</v>
      </c>
    </row>
    <row r="120" spans="1:12" x14ac:dyDescent="0.25">
      <c r="A120" s="15" t="str">
        <f t="shared" si="11"/>
        <v/>
      </c>
      <c r="B120" s="15" t="str">
        <f>IF(H120&lt;=$L$1,VLOOKUP(H120,Iktato!$C$3:$O$10000,2,FALSE),"")</f>
        <v/>
      </c>
      <c r="C120" s="16" t="str">
        <f>IF(H120&lt;=$L$1,VLOOKUP(H120,Iktato!$C$3:$O$10000,4,FALSE),"")</f>
        <v/>
      </c>
      <c r="D120" s="3" t="str">
        <f>TRIM(IF(H120&lt;=$L$1,VLOOKUP(H120,Iktato!$C$3:$O$10000,7,FALSE),""))</f>
        <v/>
      </c>
      <c r="E120" s="3" t="str">
        <f>TRIM(IF(H120&lt;=$L$1,VLOOKUP(H120,Iktato!$C$3:$O$10000,8,FALSE),""))</f>
        <v/>
      </c>
      <c r="F120" s="4" t="str">
        <f t="shared" si="12"/>
        <v/>
      </c>
      <c r="H120" s="1">
        <f t="shared" si="10"/>
        <v>110</v>
      </c>
      <c r="J120" s="1">
        <f t="shared" si="13"/>
        <v>0</v>
      </c>
      <c r="K120" s="1">
        <f>SUM($L$9,$L$11:L120)</f>
        <v>0</v>
      </c>
      <c r="L120" s="1">
        <f>SUMIF(Iktato!$S$3:$S$10000,H120,Iktato!$V$3:$V$10000)</f>
        <v>0</v>
      </c>
    </row>
    <row r="121" spans="1:12" x14ac:dyDescent="0.25">
      <c r="A121" s="15" t="str">
        <f t="shared" si="11"/>
        <v/>
      </c>
      <c r="B121" s="15" t="str">
        <f>IF(H121&lt;=$L$1,VLOOKUP(H121,Iktato!$C$3:$O$10000,2,FALSE),"")</f>
        <v/>
      </c>
      <c r="C121" s="16" t="str">
        <f>IF(H121&lt;=$L$1,VLOOKUP(H121,Iktato!$C$3:$O$10000,4,FALSE),"")</f>
        <v/>
      </c>
      <c r="D121" s="3" t="str">
        <f>TRIM(IF(H121&lt;=$L$1,VLOOKUP(H121,Iktato!$C$3:$O$10000,7,FALSE),""))</f>
        <v/>
      </c>
      <c r="E121" s="3" t="str">
        <f>TRIM(IF(H121&lt;=$L$1,VLOOKUP(H121,Iktato!$C$3:$O$10000,8,FALSE),""))</f>
        <v/>
      </c>
      <c r="F121" s="4" t="str">
        <f t="shared" si="12"/>
        <v/>
      </c>
      <c r="H121" s="1">
        <f t="shared" si="10"/>
        <v>111</v>
      </c>
      <c r="J121" s="1">
        <f t="shared" si="13"/>
        <v>0</v>
      </c>
      <c r="K121" s="1">
        <f>SUM($L$9,$L$11:L121)</f>
        <v>0</v>
      </c>
      <c r="L121" s="1">
        <f>SUMIF(Iktato!$S$3:$S$10000,H121,Iktato!$V$3:$V$10000)</f>
        <v>0</v>
      </c>
    </row>
    <row r="122" spans="1:12" x14ac:dyDescent="0.25">
      <c r="A122" s="15" t="str">
        <f t="shared" si="11"/>
        <v/>
      </c>
      <c r="B122" s="15" t="str">
        <f>IF(H122&lt;=$L$1,VLOOKUP(H122,Iktato!$C$3:$O$10000,2,FALSE),"")</f>
        <v/>
      </c>
      <c r="C122" s="16" t="str">
        <f>IF(H122&lt;=$L$1,VLOOKUP(H122,Iktato!$C$3:$O$10000,4,FALSE),"")</f>
        <v/>
      </c>
      <c r="D122" s="3" t="str">
        <f>TRIM(IF(H122&lt;=$L$1,VLOOKUP(H122,Iktato!$C$3:$O$10000,7,FALSE),""))</f>
        <v/>
      </c>
      <c r="E122" s="3" t="str">
        <f>TRIM(IF(H122&lt;=$L$1,VLOOKUP(H122,Iktato!$C$3:$O$10000,8,FALSE),""))</f>
        <v/>
      </c>
      <c r="F122" s="4" t="str">
        <f t="shared" si="12"/>
        <v/>
      </c>
      <c r="H122" s="1">
        <f t="shared" si="10"/>
        <v>112</v>
      </c>
      <c r="J122" s="1">
        <f t="shared" si="13"/>
        <v>0</v>
      </c>
      <c r="K122" s="1">
        <f>SUM($L$9,$L$11:L122)</f>
        <v>0</v>
      </c>
      <c r="L122" s="1">
        <f>SUMIF(Iktato!$S$3:$S$10000,H122,Iktato!$V$3:$V$10000)</f>
        <v>0</v>
      </c>
    </row>
    <row r="123" spans="1:12" x14ac:dyDescent="0.25">
      <c r="A123" s="15" t="str">
        <f t="shared" si="11"/>
        <v/>
      </c>
      <c r="B123" s="15" t="str">
        <f>IF(H123&lt;=$L$1,VLOOKUP(H123,Iktato!$C$3:$O$10000,2,FALSE),"")</f>
        <v/>
      </c>
      <c r="C123" s="16" t="str">
        <f>IF(H123&lt;=$L$1,VLOOKUP(H123,Iktato!$C$3:$O$10000,4,FALSE),"")</f>
        <v/>
      </c>
      <c r="D123" s="3" t="str">
        <f>TRIM(IF(H123&lt;=$L$1,VLOOKUP(H123,Iktato!$C$3:$O$10000,7,FALSE),""))</f>
        <v/>
      </c>
      <c r="E123" s="3" t="str">
        <f>TRIM(IF(H123&lt;=$L$1,VLOOKUP(H123,Iktato!$C$3:$O$10000,8,FALSE),""))</f>
        <v/>
      </c>
      <c r="F123" s="4" t="str">
        <f t="shared" si="12"/>
        <v/>
      </c>
      <c r="H123" s="1">
        <f t="shared" si="10"/>
        <v>113</v>
      </c>
      <c r="J123" s="1">
        <f t="shared" si="13"/>
        <v>0</v>
      </c>
      <c r="K123" s="1">
        <f>SUM($L$9,$L$11:L123)</f>
        <v>0</v>
      </c>
      <c r="L123" s="1">
        <f>SUMIF(Iktato!$S$3:$S$10000,H123,Iktato!$V$3:$V$10000)</f>
        <v>0</v>
      </c>
    </row>
    <row r="124" spans="1:12" x14ac:dyDescent="0.25">
      <c r="A124" s="15" t="str">
        <f t="shared" si="11"/>
        <v/>
      </c>
      <c r="B124" s="15" t="str">
        <f>IF(H124&lt;=$L$1,VLOOKUP(H124,Iktato!$C$3:$O$10000,2,FALSE),"")</f>
        <v/>
      </c>
      <c r="C124" s="16" t="str">
        <f>IF(H124&lt;=$L$1,VLOOKUP(H124,Iktato!$C$3:$O$10000,4,FALSE),"")</f>
        <v/>
      </c>
      <c r="D124" s="3" t="str">
        <f>TRIM(IF(H124&lt;=$L$1,VLOOKUP(H124,Iktato!$C$3:$O$10000,7,FALSE),""))</f>
        <v/>
      </c>
      <c r="E124" s="3" t="str">
        <f>TRIM(IF(H124&lt;=$L$1,VLOOKUP(H124,Iktato!$C$3:$O$10000,8,FALSE),""))</f>
        <v/>
      </c>
      <c r="F124" s="4" t="str">
        <f t="shared" si="12"/>
        <v/>
      </c>
      <c r="H124" s="1">
        <f t="shared" si="10"/>
        <v>114</v>
      </c>
      <c r="J124" s="1">
        <f t="shared" si="13"/>
        <v>0</v>
      </c>
      <c r="K124" s="1">
        <f>SUM($L$9,$L$11:L124)</f>
        <v>0</v>
      </c>
      <c r="L124" s="1">
        <f>SUMIF(Iktato!$S$3:$S$10000,H124,Iktato!$V$3:$V$10000)</f>
        <v>0</v>
      </c>
    </row>
    <row r="125" spans="1:12" x14ac:dyDescent="0.25">
      <c r="A125" s="15" t="str">
        <f t="shared" si="11"/>
        <v/>
      </c>
      <c r="B125" s="15" t="str">
        <f>IF(H125&lt;=$L$1,VLOOKUP(H125,Iktato!$C$3:$O$10000,2,FALSE),"")</f>
        <v/>
      </c>
      <c r="C125" s="16" t="str">
        <f>IF(H125&lt;=$L$1,VLOOKUP(H125,Iktato!$C$3:$O$10000,4,FALSE),"")</f>
        <v/>
      </c>
      <c r="D125" s="3" t="str">
        <f>TRIM(IF(H125&lt;=$L$1,VLOOKUP(H125,Iktato!$C$3:$O$10000,7,FALSE),""))</f>
        <v/>
      </c>
      <c r="E125" s="3" t="str">
        <f>TRIM(IF(H125&lt;=$L$1,VLOOKUP(H125,Iktato!$C$3:$O$10000,8,FALSE),""))</f>
        <v/>
      </c>
      <c r="F125" s="4" t="str">
        <f t="shared" si="12"/>
        <v/>
      </c>
      <c r="H125" s="1">
        <f t="shared" si="10"/>
        <v>115</v>
      </c>
      <c r="J125" s="1">
        <f t="shared" si="13"/>
        <v>0</v>
      </c>
      <c r="K125" s="1">
        <f>SUM($L$9,$L$11:L125)</f>
        <v>0</v>
      </c>
      <c r="L125" s="1">
        <f>SUMIF(Iktato!$S$3:$S$10000,H125,Iktato!$V$3:$V$10000)</f>
        <v>0</v>
      </c>
    </row>
    <row r="126" spans="1:12" x14ac:dyDescent="0.25">
      <c r="A126" s="15" t="str">
        <f t="shared" si="11"/>
        <v/>
      </c>
      <c r="B126" s="15" t="str">
        <f>IF(H126&lt;=$L$1,VLOOKUP(H126,Iktato!$C$3:$O$10000,2,FALSE),"")</f>
        <v/>
      </c>
      <c r="C126" s="16" t="str">
        <f>IF(H126&lt;=$L$1,VLOOKUP(H126,Iktato!$C$3:$O$10000,4,FALSE),"")</f>
        <v/>
      </c>
      <c r="D126" s="3" t="str">
        <f>TRIM(IF(H126&lt;=$L$1,VLOOKUP(H126,Iktato!$C$3:$O$10000,7,FALSE),""))</f>
        <v/>
      </c>
      <c r="E126" s="3" t="str">
        <f>TRIM(IF(H126&lt;=$L$1,VLOOKUP(H126,Iktato!$C$3:$O$10000,8,FALSE),""))</f>
        <v/>
      </c>
      <c r="F126" s="4" t="str">
        <f t="shared" si="12"/>
        <v/>
      </c>
      <c r="H126" s="1">
        <f t="shared" si="10"/>
        <v>116</v>
      </c>
      <c r="J126" s="1">
        <f t="shared" si="13"/>
        <v>0</v>
      </c>
      <c r="K126" s="1">
        <f>SUM($L$9,$L$11:L126)</f>
        <v>0</v>
      </c>
      <c r="L126" s="1">
        <f>SUMIF(Iktato!$S$3:$S$10000,H126,Iktato!$V$3:$V$10000)</f>
        <v>0</v>
      </c>
    </row>
    <row r="127" spans="1:12" x14ac:dyDescent="0.25">
      <c r="A127" s="15" t="str">
        <f t="shared" si="11"/>
        <v/>
      </c>
      <c r="B127" s="15" t="str">
        <f>IF(H127&lt;=$L$1,VLOOKUP(H127,Iktato!$C$3:$O$10000,2,FALSE),"")</f>
        <v/>
      </c>
      <c r="C127" s="16" t="str">
        <f>IF(H127&lt;=$L$1,VLOOKUP(H127,Iktato!$C$3:$O$10000,4,FALSE),"")</f>
        <v/>
      </c>
      <c r="D127" s="3" t="str">
        <f>TRIM(IF(H127&lt;=$L$1,VLOOKUP(H127,Iktato!$C$3:$O$10000,7,FALSE),""))</f>
        <v/>
      </c>
      <c r="E127" s="3" t="str">
        <f>TRIM(IF(H127&lt;=$L$1,VLOOKUP(H127,Iktato!$C$3:$O$10000,8,FALSE),""))</f>
        <v/>
      </c>
      <c r="F127" s="4" t="str">
        <f t="shared" si="12"/>
        <v/>
      </c>
      <c r="H127" s="1">
        <f t="shared" si="10"/>
        <v>117</v>
      </c>
      <c r="J127" s="1">
        <f t="shared" si="13"/>
        <v>0</v>
      </c>
      <c r="K127" s="1">
        <f>SUM($L$9,$L$11:L127)</f>
        <v>0</v>
      </c>
      <c r="L127" s="1">
        <f>SUMIF(Iktato!$S$3:$S$10000,H127,Iktato!$V$3:$V$10000)</f>
        <v>0</v>
      </c>
    </row>
    <row r="128" spans="1:12" x14ac:dyDescent="0.25">
      <c r="A128" s="15" t="str">
        <f t="shared" si="11"/>
        <v/>
      </c>
      <c r="B128" s="15" t="str">
        <f>IF(H128&lt;=$L$1,VLOOKUP(H128,Iktato!$C$3:$O$10000,2,FALSE),"")</f>
        <v/>
      </c>
      <c r="C128" s="16" t="str">
        <f>IF(H128&lt;=$L$1,VLOOKUP(H128,Iktato!$C$3:$O$10000,4,FALSE),"")</f>
        <v/>
      </c>
      <c r="D128" s="3" t="str">
        <f>TRIM(IF(H128&lt;=$L$1,VLOOKUP(H128,Iktato!$C$3:$O$10000,7,FALSE),""))</f>
        <v/>
      </c>
      <c r="E128" s="3" t="str">
        <f>TRIM(IF(H128&lt;=$L$1,VLOOKUP(H128,Iktato!$C$3:$O$10000,8,FALSE),""))</f>
        <v/>
      </c>
      <c r="F128" s="4" t="str">
        <f t="shared" si="12"/>
        <v/>
      </c>
      <c r="H128" s="1">
        <f t="shared" si="10"/>
        <v>118</v>
      </c>
      <c r="J128" s="1">
        <f t="shared" si="13"/>
        <v>0</v>
      </c>
      <c r="K128" s="1">
        <f>SUM($L$9,$L$11:L128)</f>
        <v>0</v>
      </c>
      <c r="L128" s="1">
        <f>SUMIF(Iktato!$S$3:$S$10000,H128,Iktato!$V$3:$V$10000)</f>
        <v>0</v>
      </c>
    </row>
    <row r="129" spans="1:12" x14ac:dyDescent="0.25">
      <c r="A129" s="15" t="str">
        <f t="shared" si="11"/>
        <v/>
      </c>
      <c r="B129" s="15" t="str">
        <f>IF(H129&lt;=$L$1,VLOOKUP(H129,Iktato!$C$3:$O$10000,2,FALSE),"")</f>
        <v/>
      </c>
      <c r="C129" s="16" t="str">
        <f>IF(H129&lt;=$L$1,VLOOKUP(H129,Iktato!$C$3:$O$10000,4,FALSE),"")</f>
        <v/>
      </c>
      <c r="D129" s="3" t="str">
        <f>TRIM(IF(H129&lt;=$L$1,VLOOKUP(H129,Iktato!$C$3:$O$10000,7,FALSE),""))</f>
        <v/>
      </c>
      <c r="E129" s="3" t="str">
        <f>TRIM(IF(H129&lt;=$L$1,VLOOKUP(H129,Iktato!$C$3:$O$10000,8,FALSE),""))</f>
        <v/>
      </c>
      <c r="F129" s="4" t="str">
        <f t="shared" si="12"/>
        <v/>
      </c>
      <c r="H129" s="1">
        <f t="shared" si="10"/>
        <v>119</v>
      </c>
      <c r="J129" s="1">
        <f t="shared" si="13"/>
        <v>0</v>
      </c>
      <c r="K129" s="1">
        <f>SUM($L$9,$L$11:L129)</f>
        <v>0</v>
      </c>
      <c r="L129" s="1">
        <f>SUMIF(Iktato!$S$3:$S$10000,H129,Iktato!$V$3:$V$10000)</f>
        <v>0</v>
      </c>
    </row>
    <row r="130" spans="1:12" x14ac:dyDescent="0.25">
      <c r="A130" s="15" t="str">
        <f t="shared" si="11"/>
        <v/>
      </c>
      <c r="B130" s="15" t="str">
        <f>IF(H130&lt;=$L$1,VLOOKUP(H130,Iktato!$C$3:$O$10000,2,FALSE),"")</f>
        <v/>
      </c>
      <c r="C130" s="16" t="str">
        <f>IF(H130&lt;=$L$1,VLOOKUP(H130,Iktato!$C$3:$O$10000,4,FALSE),"")</f>
        <v/>
      </c>
      <c r="D130" s="3" t="str">
        <f>TRIM(IF(H130&lt;=$L$1,VLOOKUP(H130,Iktato!$C$3:$O$10000,7,FALSE),""))</f>
        <v/>
      </c>
      <c r="E130" s="3" t="str">
        <f>TRIM(IF(H130&lt;=$L$1,VLOOKUP(H130,Iktato!$C$3:$O$10000,8,FALSE),""))</f>
        <v/>
      </c>
      <c r="F130" s="4" t="str">
        <f t="shared" si="12"/>
        <v/>
      </c>
      <c r="H130" s="1">
        <f t="shared" si="10"/>
        <v>120</v>
      </c>
      <c r="J130" s="1">
        <f t="shared" si="13"/>
        <v>0</v>
      </c>
      <c r="K130" s="1">
        <f>SUM($L$9,$L$11:L130)</f>
        <v>0</v>
      </c>
      <c r="L130" s="1">
        <f>SUMIF(Iktato!$S$3:$S$10000,H130,Iktato!$V$3:$V$10000)</f>
        <v>0</v>
      </c>
    </row>
    <row r="131" spans="1:12" x14ac:dyDescent="0.25">
      <c r="A131" s="15" t="str">
        <f t="shared" si="11"/>
        <v/>
      </c>
      <c r="B131" s="15" t="str">
        <f>IF(H131&lt;=$L$1,VLOOKUP(H131,Iktato!$C$3:$O$10000,2,FALSE),"")</f>
        <v/>
      </c>
      <c r="C131" s="16" t="str">
        <f>IF(H131&lt;=$L$1,VLOOKUP(H131,Iktato!$C$3:$O$10000,4,FALSE),"")</f>
        <v/>
      </c>
      <c r="D131" s="3" t="str">
        <f>TRIM(IF(H131&lt;=$L$1,VLOOKUP(H131,Iktato!$C$3:$O$10000,7,FALSE),""))</f>
        <v/>
      </c>
      <c r="E131" s="3" t="str">
        <f>TRIM(IF(H131&lt;=$L$1,VLOOKUP(H131,Iktato!$C$3:$O$10000,8,FALSE),""))</f>
        <v/>
      </c>
      <c r="F131" s="4" t="str">
        <f t="shared" si="12"/>
        <v/>
      </c>
      <c r="H131" s="1">
        <f t="shared" si="10"/>
        <v>121</v>
      </c>
      <c r="J131" s="1">
        <f t="shared" si="13"/>
        <v>0</v>
      </c>
      <c r="K131" s="1">
        <f>SUM($L$9,$L$11:L131)</f>
        <v>0</v>
      </c>
      <c r="L131" s="1">
        <f>SUMIF(Iktato!$S$3:$S$10000,H131,Iktato!$V$3:$V$10000)</f>
        <v>0</v>
      </c>
    </row>
    <row r="132" spans="1:12" x14ac:dyDescent="0.25">
      <c r="A132" s="15" t="str">
        <f t="shared" si="11"/>
        <v/>
      </c>
      <c r="B132" s="15" t="str">
        <f>IF(H132&lt;=$L$1,VLOOKUP(H132,Iktato!$C$3:$O$10000,2,FALSE),"")</f>
        <v/>
      </c>
      <c r="C132" s="16" t="str">
        <f>IF(H132&lt;=$L$1,VLOOKUP(H132,Iktato!$C$3:$O$10000,4,FALSE),"")</f>
        <v/>
      </c>
      <c r="D132" s="3" t="str">
        <f>TRIM(IF(H132&lt;=$L$1,VLOOKUP(H132,Iktato!$C$3:$O$10000,7,FALSE),""))</f>
        <v/>
      </c>
      <c r="E132" s="3" t="str">
        <f>TRIM(IF(H132&lt;=$L$1,VLOOKUP(H132,Iktato!$C$3:$O$10000,8,FALSE),""))</f>
        <v/>
      </c>
      <c r="F132" s="4" t="str">
        <f t="shared" si="12"/>
        <v/>
      </c>
      <c r="H132" s="1">
        <f t="shared" si="10"/>
        <v>122</v>
      </c>
      <c r="J132" s="1">
        <f t="shared" si="13"/>
        <v>0</v>
      </c>
      <c r="K132" s="1">
        <f>SUM($L$9,$L$11:L132)</f>
        <v>0</v>
      </c>
      <c r="L132" s="1">
        <f>SUMIF(Iktato!$S$3:$S$10000,H132,Iktato!$V$3:$V$10000)</f>
        <v>0</v>
      </c>
    </row>
    <row r="133" spans="1:12" x14ac:dyDescent="0.25">
      <c r="A133" s="15" t="str">
        <f t="shared" si="11"/>
        <v/>
      </c>
      <c r="B133" s="15" t="str">
        <f>IF(H133&lt;=$L$1,VLOOKUP(H133,Iktato!$C$3:$O$10000,2,FALSE),"")</f>
        <v/>
      </c>
      <c r="C133" s="16" t="str">
        <f>IF(H133&lt;=$L$1,VLOOKUP(H133,Iktato!$C$3:$O$10000,4,FALSE),"")</f>
        <v/>
      </c>
      <c r="D133" s="3" t="str">
        <f>TRIM(IF(H133&lt;=$L$1,VLOOKUP(H133,Iktato!$C$3:$O$10000,7,FALSE),""))</f>
        <v/>
      </c>
      <c r="E133" s="3" t="str">
        <f>TRIM(IF(H133&lt;=$L$1,VLOOKUP(H133,Iktato!$C$3:$O$10000,8,FALSE),""))</f>
        <v/>
      </c>
      <c r="F133" s="4" t="str">
        <f t="shared" si="12"/>
        <v/>
      </c>
      <c r="H133" s="1">
        <f t="shared" si="10"/>
        <v>123</v>
      </c>
      <c r="J133" s="1">
        <f t="shared" si="13"/>
        <v>0</v>
      </c>
      <c r="K133" s="1">
        <f>SUM($L$9,$L$11:L133)</f>
        <v>0</v>
      </c>
      <c r="L133" s="1">
        <f>SUMIF(Iktato!$S$3:$S$10000,H133,Iktato!$V$3:$V$10000)</f>
        <v>0</v>
      </c>
    </row>
    <row r="134" spans="1:12" x14ac:dyDescent="0.25">
      <c r="A134" s="15" t="str">
        <f t="shared" si="11"/>
        <v/>
      </c>
      <c r="B134" s="15" t="str">
        <f>IF(H134&lt;=$L$1,VLOOKUP(H134,Iktato!$C$3:$O$10000,2,FALSE),"")</f>
        <v/>
      </c>
      <c r="C134" s="16" t="str">
        <f>IF(H134&lt;=$L$1,VLOOKUP(H134,Iktato!$C$3:$O$10000,4,FALSE),"")</f>
        <v/>
      </c>
      <c r="D134" s="3" t="str">
        <f>TRIM(IF(H134&lt;=$L$1,VLOOKUP(H134,Iktato!$C$3:$O$10000,7,FALSE),""))</f>
        <v/>
      </c>
      <c r="E134" s="3" t="str">
        <f>TRIM(IF(H134&lt;=$L$1,VLOOKUP(H134,Iktato!$C$3:$O$10000,8,FALSE),""))</f>
        <v/>
      </c>
      <c r="F134" s="4" t="str">
        <f t="shared" si="12"/>
        <v/>
      </c>
      <c r="H134" s="1">
        <f t="shared" si="10"/>
        <v>124</v>
      </c>
      <c r="J134" s="1">
        <f t="shared" si="13"/>
        <v>0</v>
      </c>
      <c r="K134" s="1">
        <f>SUM($L$9,$L$11:L134)</f>
        <v>0</v>
      </c>
      <c r="L134" s="1">
        <f>SUMIF(Iktato!$S$3:$S$10000,H134,Iktato!$V$3:$V$10000)</f>
        <v>0</v>
      </c>
    </row>
    <row r="135" spans="1:12" x14ac:dyDescent="0.25">
      <c r="A135" s="15" t="str">
        <f t="shared" si="11"/>
        <v/>
      </c>
      <c r="B135" s="15" t="str">
        <f>IF(H135&lt;=$L$1,VLOOKUP(H135,Iktato!$C$3:$O$10000,2,FALSE),"")</f>
        <v/>
      </c>
      <c r="C135" s="16" t="str">
        <f>IF(H135&lt;=$L$1,VLOOKUP(H135,Iktato!$C$3:$O$10000,4,FALSE),"")</f>
        <v/>
      </c>
      <c r="D135" s="3" t="str">
        <f>TRIM(IF(H135&lt;=$L$1,VLOOKUP(H135,Iktato!$C$3:$O$10000,7,FALSE),""))</f>
        <v/>
      </c>
      <c r="E135" s="3" t="str">
        <f>TRIM(IF(H135&lt;=$L$1,VLOOKUP(H135,Iktato!$C$3:$O$10000,8,FALSE),""))</f>
        <v/>
      </c>
      <c r="F135" s="4" t="str">
        <f t="shared" si="12"/>
        <v/>
      </c>
      <c r="H135" s="1">
        <f t="shared" si="10"/>
        <v>125</v>
      </c>
      <c r="J135" s="1">
        <f t="shared" si="13"/>
        <v>0</v>
      </c>
      <c r="K135" s="1">
        <f>SUM($L$9,$L$11:L135)</f>
        <v>0</v>
      </c>
      <c r="L135" s="1">
        <f>SUMIF(Iktato!$S$3:$S$10000,H135,Iktato!$V$3:$V$10000)</f>
        <v>0</v>
      </c>
    </row>
    <row r="136" spans="1:12" x14ac:dyDescent="0.25">
      <c r="A136" s="15" t="str">
        <f t="shared" si="11"/>
        <v/>
      </c>
      <c r="B136" s="15" t="str">
        <f>IF(H136&lt;=$L$1,VLOOKUP(H136,Iktato!$C$3:$O$10000,2,FALSE),"")</f>
        <v/>
      </c>
      <c r="C136" s="16" t="str">
        <f>IF(H136&lt;=$L$1,VLOOKUP(H136,Iktato!$C$3:$O$10000,4,FALSE),"")</f>
        <v/>
      </c>
      <c r="D136" s="3" t="str">
        <f>TRIM(IF(H136&lt;=$L$1,VLOOKUP(H136,Iktato!$C$3:$O$10000,7,FALSE),""))</f>
        <v/>
      </c>
      <c r="E136" s="3" t="str">
        <f>TRIM(IF(H136&lt;=$L$1,VLOOKUP(H136,Iktato!$C$3:$O$10000,8,FALSE),""))</f>
        <v/>
      </c>
      <c r="F136" s="4" t="str">
        <f t="shared" si="12"/>
        <v/>
      </c>
      <c r="H136" s="1">
        <f t="shared" si="10"/>
        <v>126</v>
      </c>
      <c r="J136" s="1">
        <f t="shared" si="13"/>
        <v>0</v>
      </c>
      <c r="K136" s="1">
        <f>SUM($L$9,$L$11:L136)</f>
        <v>0</v>
      </c>
      <c r="L136" s="1">
        <f>SUMIF(Iktato!$S$3:$S$10000,H136,Iktato!$V$3:$V$10000)</f>
        <v>0</v>
      </c>
    </row>
    <row r="137" spans="1:12" x14ac:dyDescent="0.25">
      <c r="A137" s="15" t="str">
        <f t="shared" si="11"/>
        <v/>
      </c>
      <c r="B137" s="15" t="str">
        <f>IF(H137&lt;=$L$1,VLOOKUP(H137,Iktato!$C$3:$O$10000,2,FALSE),"")</f>
        <v/>
      </c>
      <c r="C137" s="16" t="str">
        <f>IF(H137&lt;=$L$1,VLOOKUP(H137,Iktato!$C$3:$O$10000,4,FALSE),"")</f>
        <v/>
      </c>
      <c r="D137" s="3" t="str">
        <f>TRIM(IF(H137&lt;=$L$1,VLOOKUP(H137,Iktato!$C$3:$O$10000,7,FALSE),""))</f>
        <v/>
      </c>
      <c r="E137" s="3" t="str">
        <f>TRIM(IF(H137&lt;=$L$1,VLOOKUP(H137,Iktato!$C$3:$O$10000,8,FALSE),""))</f>
        <v/>
      </c>
      <c r="F137" s="4" t="str">
        <f t="shared" si="12"/>
        <v/>
      </c>
      <c r="H137" s="1">
        <f t="shared" si="10"/>
        <v>127</v>
      </c>
      <c r="J137" s="1">
        <f t="shared" si="13"/>
        <v>0</v>
      </c>
      <c r="K137" s="1">
        <f>SUM($L$9,$L$11:L137)</f>
        <v>0</v>
      </c>
      <c r="L137" s="1">
        <f>SUMIF(Iktato!$S$3:$S$10000,H137,Iktato!$V$3:$V$10000)</f>
        <v>0</v>
      </c>
    </row>
    <row r="138" spans="1:12" x14ac:dyDescent="0.25">
      <c r="A138" s="15" t="str">
        <f t="shared" si="11"/>
        <v/>
      </c>
      <c r="B138" s="15" t="str">
        <f>IF(H138&lt;=$L$1,VLOOKUP(H138,Iktato!$C$3:$O$10000,2,FALSE),"")</f>
        <v/>
      </c>
      <c r="C138" s="16" t="str">
        <f>IF(H138&lt;=$L$1,VLOOKUP(H138,Iktato!$C$3:$O$10000,4,FALSE),"")</f>
        <v/>
      </c>
      <c r="D138" s="3" t="str">
        <f>TRIM(IF(H138&lt;=$L$1,VLOOKUP(H138,Iktato!$C$3:$O$10000,7,FALSE),""))</f>
        <v/>
      </c>
      <c r="E138" s="3" t="str">
        <f>TRIM(IF(H138&lt;=$L$1,VLOOKUP(H138,Iktato!$C$3:$O$10000,8,FALSE),""))</f>
        <v/>
      </c>
      <c r="F138" s="4" t="str">
        <f t="shared" si="12"/>
        <v/>
      </c>
      <c r="H138" s="1">
        <f t="shared" si="10"/>
        <v>128</v>
      </c>
      <c r="J138" s="1">
        <f t="shared" si="13"/>
        <v>0</v>
      </c>
      <c r="K138" s="1">
        <f>SUM($L$9,$L$11:L138)</f>
        <v>0</v>
      </c>
      <c r="L138" s="1">
        <f>SUMIF(Iktato!$S$3:$S$10000,H138,Iktato!$V$3:$V$10000)</f>
        <v>0</v>
      </c>
    </row>
    <row r="139" spans="1:12" x14ac:dyDescent="0.25">
      <c r="A139" s="15" t="str">
        <f t="shared" si="11"/>
        <v/>
      </c>
      <c r="B139" s="15" t="str">
        <f>IF(H139&lt;=$L$1,VLOOKUP(H139,Iktato!$C$3:$O$10000,2,FALSE),"")</f>
        <v/>
      </c>
      <c r="C139" s="16" t="str">
        <f>IF(H139&lt;=$L$1,VLOOKUP(H139,Iktato!$C$3:$O$10000,4,FALSE),"")</f>
        <v/>
      </c>
      <c r="D139" s="3" t="str">
        <f>TRIM(IF(H139&lt;=$L$1,VLOOKUP(H139,Iktato!$C$3:$O$10000,7,FALSE),""))</f>
        <v/>
      </c>
      <c r="E139" s="3" t="str">
        <f>TRIM(IF(H139&lt;=$L$1,VLOOKUP(H139,Iktato!$C$3:$O$10000,8,FALSE),""))</f>
        <v/>
      </c>
      <c r="F139" s="4" t="str">
        <f t="shared" si="12"/>
        <v/>
      </c>
      <c r="H139" s="1">
        <f t="shared" si="10"/>
        <v>129</v>
      </c>
      <c r="J139" s="1">
        <f t="shared" si="13"/>
        <v>0</v>
      </c>
      <c r="K139" s="1">
        <f>SUM($L$9,$L$11:L139)</f>
        <v>0</v>
      </c>
      <c r="L139" s="1">
        <f>SUMIF(Iktato!$S$3:$S$10000,H139,Iktato!$V$3:$V$10000)</f>
        <v>0</v>
      </c>
    </row>
    <row r="140" spans="1:12" x14ac:dyDescent="0.25">
      <c r="A140" s="15" t="str">
        <f t="shared" si="11"/>
        <v/>
      </c>
      <c r="B140" s="15" t="str">
        <f>IF(H140&lt;=$L$1,VLOOKUP(H140,Iktato!$C$3:$O$10000,2,FALSE),"")</f>
        <v/>
      </c>
      <c r="C140" s="16" t="str">
        <f>IF(H140&lt;=$L$1,VLOOKUP(H140,Iktato!$C$3:$O$10000,4,FALSE),"")</f>
        <v/>
      </c>
      <c r="D140" s="3" t="str">
        <f>TRIM(IF(H140&lt;=$L$1,VLOOKUP(H140,Iktato!$C$3:$O$10000,7,FALSE),""))</f>
        <v/>
      </c>
      <c r="E140" s="3" t="str">
        <f>TRIM(IF(H140&lt;=$L$1,VLOOKUP(H140,Iktato!$C$3:$O$10000,8,FALSE),""))</f>
        <v/>
      </c>
      <c r="F140" s="4" t="str">
        <f t="shared" si="12"/>
        <v/>
      </c>
      <c r="H140" s="1">
        <f t="shared" ref="H140:H203" si="14">H139+1</f>
        <v>130</v>
      </c>
      <c r="J140" s="1">
        <f t="shared" si="13"/>
        <v>0</v>
      </c>
      <c r="K140" s="1">
        <f>SUM($L$9,$L$11:L140)</f>
        <v>0</v>
      </c>
      <c r="L140" s="1">
        <f>SUMIF(Iktato!$S$3:$S$10000,H140,Iktato!$V$3:$V$10000)</f>
        <v>0</v>
      </c>
    </row>
    <row r="141" spans="1:12" x14ac:dyDescent="0.25">
      <c r="A141" s="15" t="str">
        <f t="shared" si="11"/>
        <v/>
      </c>
      <c r="B141" s="15" t="str">
        <f>IF(H141&lt;=$L$1,VLOOKUP(H141,Iktato!$C$3:$O$10000,2,FALSE),"")</f>
        <v/>
      </c>
      <c r="C141" s="16" t="str">
        <f>IF(H141&lt;=$L$1,VLOOKUP(H141,Iktato!$C$3:$O$10000,4,FALSE),"")</f>
        <v/>
      </c>
      <c r="D141" s="3" t="str">
        <f>TRIM(IF(H141&lt;=$L$1,VLOOKUP(H141,Iktato!$C$3:$O$10000,7,FALSE),""))</f>
        <v/>
      </c>
      <c r="E141" s="3" t="str">
        <f>TRIM(IF(H141&lt;=$L$1,VLOOKUP(H141,Iktato!$C$3:$O$10000,8,FALSE),""))</f>
        <v/>
      </c>
      <c r="F141" s="4" t="str">
        <f t="shared" si="12"/>
        <v/>
      </c>
      <c r="H141" s="1">
        <f t="shared" si="14"/>
        <v>131</v>
      </c>
      <c r="J141" s="1">
        <f t="shared" si="13"/>
        <v>0</v>
      </c>
      <c r="K141" s="1">
        <f>SUM($L$9,$L$11:L141)</f>
        <v>0</v>
      </c>
      <c r="L141" s="1">
        <f>SUMIF(Iktato!$S$3:$S$10000,H141,Iktato!$V$3:$V$10000)</f>
        <v>0</v>
      </c>
    </row>
    <row r="142" spans="1:12" x14ac:dyDescent="0.25">
      <c r="A142" s="15" t="str">
        <f t="shared" si="11"/>
        <v/>
      </c>
      <c r="B142" s="15" t="str">
        <f>IF(H142&lt;=$L$1,VLOOKUP(H142,Iktato!$C$3:$O$10000,2,FALSE),"")</f>
        <v/>
      </c>
      <c r="C142" s="16" t="str">
        <f>IF(H142&lt;=$L$1,VLOOKUP(H142,Iktato!$C$3:$O$10000,4,FALSE),"")</f>
        <v/>
      </c>
      <c r="D142" s="3" t="str">
        <f>TRIM(IF(H142&lt;=$L$1,VLOOKUP(H142,Iktato!$C$3:$O$10000,7,FALSE),""))</f>
        <v/>
      </c>
      <c r="E142" s="3" t="str">
        <f>TRIM(IF(H142&lt;=$L$1,VLOOKUP(H142,Iktato!$C$3:$O$10000,8,FALSE),""))</f>
        <v/>
      </c>
      <c r="F142" s="4" t="str">
        <f t="shared" si="12"/>
        <v/>
      </c>
      <c r="H142" s="1">
        <f t="shared" si="14"/>
        <v>132</v>
      </c>
      <c r="J142" s="1">
        <f t="shared" si="13"/>
        <v>0</v>
      </c>
      <c r="K142" s="1">
        <f>SUM($L$9,$L$11:L142)</f>
        <v>0</v>
      </c>
      <c r="L142" s="1">
        <f>SUMIF(Iktato!$S$3:$S$10000,H142,Iktato!$V$3:$V$10000)</f>
        <v>0</v>
      </c>
    </row>
    <row r="143" spans="1:12" x14ac:dyDescent="0.25">
      <c r="A143" s="15" t="str">
        <f t="shared" si="11"/>
        <v/>
      </c>
      <c r="B143" s="15" t="str">
        <f>IF(H143&lt;=$L$1,VLOOKUP(H143,Iktato!$C$3:$O$10000,2,FALSE),"")</f>
        <v/>
      </c>
      <c r="C143" s="16" t="str">
        <f>IF(H143&lt;=$L$1,VLOOKUP(H143,Iktato!$C$3:$O$10000,4,FALSE),"")</f>
        <v/>
      </c>
      <c r="D143" s="3" t="str">
        <f>TRIM(IF(H143&lt;=$L$1,VLOOKUP(H143,Iktato!$C$3:$O$10000,7,FALSE),""))</f>
        <v/>
      </c>
      <c r="E143" s="3" t="str">
        <f>TRIM(IF(H143&lt;=$L$1,VLOOKUP(H143,Iktato!$C$3:$O$10000,8,FALSE),""))</f>
        <v/>
      </c>
      <c r="F143" s="4" t="str">
        <f t="shared" si="12"/>
        <v/>
      </c>
      <c r="H143" s="1">
        <f t="shared" si="14"/>
        <v>133</v>
      </c>
      <c r="J143" s="1">
        <f t="shared" si="13"/>
        <v>0</v>
      </c>
      <c r="K143" s="1">
        <f>SUM($L$9,$L$11:L143)</f>
        <v>0</v>
      </c>
      <c r="L143" s="1">
        <f>SUMIF(Iktato!$S$3:$S$10000,H143,Iktato!$V$3:$V$10000)</f>
        <v>0</v>
      </c>
    </row>
    <row r="144" spans="1:12" x14ac:dyDescent="0.25">
      <c r="A144" s="15" t="str">
        <f t="shared" si="11"/>
        <v/>
      </c>
      <c r="B144" s="15" t="str">
        <f>IF(H144&lt;=$L$1,VLOOKUP(H144,Iktato!$C$3:$O$10000,2,FALSE),"")</f>
        <v/>
      </c>
      <c r="C144" s="16" t="str">
        <f>IF(H144&lt;=$L$1,VLOOKUP(H144,Iktato!$C$3:$O$10000,4,FALSE),"")</f>
        <v/>
      </c>
      <c r="D144" s="3" t="str">
        <f>TRIM(IF(H144&lt;=$L$1,VLOOKUP(H144,Iktato!$C$3:$O$10000,7,FALSE),""))</f>
        <v/>
      </c>
      <c r="E144" s="3" t="str">
        <f>TRIM(IF(H144&lt;=$L$1,VLOOKUP(H144,Iktato!$C$3:$O$10000,8,FALSE),""))</f>
        <v/>
      </c>
      <c r="F144" s="4" t="str">
        <f t="shared" si="12"/>
        <v/>
      </c>
      <c r="H144" s="1">
        <f t="shared" si="14"/>
        <v>134</v>
      </c>
      <c r="J144" s="1">
        <f t="shared" si="13"/>
        <v>0</v>
      </c>
      <c r="K144" s="1">
        <f>SUM($L$9,$L$11:L144)</f>
        <v>0</v>
      </c>
      <c r="L144" s="1">
        <f>SUMIF(Iktato!$S$3:$S$10000,H144,Iktato!$V$3:$V$10000)</f>
        <v>0</v>
      </c>
    </row>
    <row r="145" spans="1:12" x14ac:dyDescent="0.25">
      <c r="A145" s="15" t="str">
        <f t="shared" si="11"/>
        <v/>
      </c>
      <c r="B145" s="15" t="str">
        <f>IF(H145&lt;=$L$1,VLOOKUP(H145,Iktato!$C$3:$O$10000,2,FALSE),"")</f>
        <v/>
      </c>
      <c r="C145" s="16" t="str">
        <f>IF(H145&lt;=$L$1,VLOOKUP(H145,Iktato!$C$3:$O$10000,4,FALSE),"")</f>
        <v/>
      </c>
      <c r="D145" s="3" t="str">
        <f>TRIM(IF(H145&lt;=$L$1,VLOOKUP(H145,Iktato!$C$3:$O$10000,7,FALSE),""))</f>
        <v/>
      </c>
      <c r="E145" s="3" t="str">
        <f>TRIM(IF(H145&lt;=$L$1,VLOOKUP(H145,Iktato!$C$3:$O$10000,8,FALSE),""))</f>
        <v/>
      </c>
      <c r="F145" s="4" t="str">
        <f t="shared" si="12"/>
        <v/>
      </c>
      <c r="H145" s="1">
        <f t="shared" si="14"/>
        <v>135</v>
      </c>
      <c r="J145" s="1">
        <f t="shared" si="13"/>
        <v>0</v>
      </c>
      <c r="K145" s="1">
        <f>SUM($L$9,$L$11:L145)</f>
        <v>0</v>
      </c>
      <c r="L145" s="1">
        <f>SUMIF(Iktato!$S$3:$S$10000,H145,Iktato!$V$3:$V$10000)</f>
        <v>0</v>
      </c>
    </row>
    <row r="146" spans="1:12" x14ac:dyDescent="0.25">
      <c r="A146" s="15" t="str">
        <f t="shared" si="11"/>
        <v/>
      </c>
      <c r="B146" s="15" t="str">
        <f>IF(H146&lt;=$L$1,VLOOKUP(H146,Iktato!$C$3:$O$10000,2,FALSE),"")</f>
        <v/>
      </c>
      <c r="C146" s="16" t="str">
        <f>IF(H146&lt;=$L$1,VLOOKUP(H146,Iktato!$C$3:$O$10000,4,FALSE),"")</f>
        <v/>
      </c>
      <c r="D146" s="3" t="str">
        <f>TRIM(IF(H146&lt;=$L$1,VLOOKUP(H146,Iktato!$C$3:$O$10000,7,FALSE),""))</f>
        <v/>
      </c>
      <c r="E146" s="3" t="str">
        <f>TRIM(IF(H146&lt;=$L$1,VLOOKUP(H146,Iktato!$C$3:$O$10000,8,FALSE),""))</f>
        <v/>
      </c>
      <c r="F146" s="4" t="str">
        <f t="shared" si="12"/>
        <v/>
      </c>
      <c r="H146" s="1">
        <f t="shared" si="14"/>
        <v>136</v>
      </c>
      <c r="J146" s="1">
        <f t="shared" si="13"/>
        <v>0</v>
      </c>
      <c r="K146" s="1">
        <f>SUM($L$9,$L$11:L146)</f>
        <v>0</v>
      </c>
      <c r="L146" s="1">
        <f>SUMIF(Iktato!$S$3:$S$10000,H146,Iktato!$V$3:$V$10000)</f>
        <v>0</v>
      </c>
    </row>
    <row r="147" spans="1:12" x14ac:dyDescent="0.25">
      <c r="A147" s="15" t="str">
        <f t="shared" si="11"/>
        <v/>
      </c>
      <c r="B147" s="15" t="str">
        <f>IF(H147&lt;=$L$1,VLOOKUP(H147,Iktato!$C$3:$O$10000,2,FALSE),"")</f>
        <v/>
      </c>
      <c r="C147" s="16" t="str">
        <f>IF(H147&lt;=$L$1,VLOOKUP(H147,Iktato!$C$3:$O$10000,4,FALSE),"")</f>
        <v/>
      </c>
      <c r="D147" s="3" t="str">
        <f>TRIM(IF(H147&lt;=$L$1,VLOOKUP(H147,Iktato!$C$3:$O$10000,7,FALSE),""))</f>
        <v/>
      </c>
      <c r="E147" s="3" t="str">
        <f>TRIM(IF(H147&lt;=$L$1,VLOOKUP(H147,Iktato!$C$3:$O$10000,8,FALSE),""))</f>
        <v/>
      </c>
      <c r="F147" s="4" t="str">
        <f t="shared" si="12"/>
        <v/>
      </c>
      <c r="H147" s="1">
        <f t="shared" si="14"/>
        <v>137</v>
      </c>
      <c r="J147" s="1">
        <f t="shared" si="13"/>
        <v>0</v>
      </c>
      <c r="K147" s="1">
        <f>SUM($L$9,$L$11:L147)</f>
        <v>0</v>
      </c>
      <c r="L147" s="1">
        <f>SUMIF(Iktato!$S$3:$S$10000,H147,Iktato!$V$3:$V$10000)</f>
        <v>0</v>
      </c>
    </row>
    <row r="148" spans="1:12" x14ac:dyDescent="0.25">
      <c r="A148" s="15" t="str">
        <f t="shared" si="11"/>
        <v/>
      </c>
      <c r="B148" s="15" t="str">
        <f>IF(H148&lt;=$L$1,VLOOKUP(H148,Iktato!$C$3:$O$10000,2,FALSE),"")</f>
        <v/>
      </c>
      <c r="C148" s="16" t="str">
        <f>IF(H148&lt;=$L$1,VLOOKUP(H148,Iktato!$C$3:$O$10000,4,FALSE),"")</f>
        <v/>
      </c>
      <c r="D148" s="3" t="str">
        <f>TRIM(IF(H148&lt;=$L$1,VLOOKUP(H148,Iktato!$C$3:$O$10000,7,FALSE),""))</f>
        <v/>
      </c>
      <c r="E148" s="3" t="str">
        <f>TRIM(IF(H148&lt;=$L$1,VLOOKUP(H148,Iktato!$C$3:$O$10000,8,FALSE),""))</f>
        <v/>
      </c>
      <c r="F148" s="4" t="str">
        <f t="shared" si="12"/>
        <v/>
      </c>
      <c r="H148" s="1">
        <f t="shared" si="14"/>
        <v>138</v>
      </c>
      <c r="J148" s="1">
        <f t="shared" si="13"/>
        <v>0</v>
      </c>
      <c r="K148" s="1">
        <f>SUM($L$9,$L$11:L148)</f>
        <v>0</v>
      </c>
      <c r="L148" s="1">
        <f>SUMIF(Iktato!$S$3:$S$10000,H148,Iktato!$V$3:$V$10000)</f>
        <v>0</v>
      </c>
    </row>
    <row r="149" spans="1:12" x14ac:dyDescent="0.25">
      <c r="A149" s="15" t="str">
        <f t="shared" si="11"/>
        <v/>
      </c>
      <c r="B149" s="15" t="str">
        <f>IF(H149&lt;=$L$1,VLOOKUP(H149,Iktato!$C$3:$O$10000,2,FALSE),"")</f>
        <v/>
      </c>
      <c r="C149" s="16" t="str">
        <f>IF(H149&lt;=$L$1,VLOOKUP(H149,Iktato!$C$3:$O$10000,4,FALSE),"")</f>
        <v/>
      </c>
      <c r="D149" s="3" t="str">
        <f>TRIM(IF(H149&lt;=$L$1,VLOOKUP(H149,Iktato!$C$3:$O$10000,7,FALSE),""))</f>
        <v/>
      </c>
      <c r="E149" s="3" t="str">
        <f>TRIM(IF(H149&lt;=$L$1,VLOOKUP(H149,Iktato!$C$3:$O$10000,8,FALSE),""))</f>
        <v/>
      </c>
      <c r="F149" s="4" t="str">
        <f t="shared" si="12"/>
        <v/>
      </c>
      <c r="H149" s="1">
        <f t="shared" si="14"/>
        <v>139</v>
      </c>
      <c r="J149" s="1">
        <f t="shared" si="13"/>
        <v>0</v>
      </c>
      <c r="K149" s="1">
        <f>SUM($L$9,$L$11:L149)</f>
        <v>0</v>
      </c>
      <c r="L149" s="1">
        <f>SUMIF(Iktato!$S$3:$S$10000,H149,Iktato!$V$3:$V$10000)</f>
        <v>0</v>
      </c>
    </row>
    <row r="150" spans="1:12" x14ac:dyDescent="0.25">
      <c r="A150" s="15" t="str">
        <f t="shared" si="11"/>
        <v/>
      </c>
      <c r="B150" s="15" t="str">
        <f>IF(H150&lt;=$L$1,VLOOKUP(H150,Iktato!$C$3:$O$10000,2,FALSE),"")</f>
        <v/>
      </c>
      <c r="C150" s="16" t="str">
        <f>IF(H150&lt;=$L$1,VLOOKUP(H150,Iktato!$C$3:$O$10000,4,FALSE),"")</f>
        <v/>
      </c>
      <c r="D150" s="3" t="str">
        <f>TRIM(IF(H150&lt;=$L$1,VLOOKUP(H150,Iktato!$C$3:$O$10000,7,FALSE),""))</f>
        <v/>
      </c>
      <c r="E150" s="3" t="str">
        <f>TRIM(IF(H150&lt;=$L$1,VLOOKUP(H150,Iktato!$C$3:$O$10000,8,FALSE),""))</f>
        <v/>
      </c>
      <c r="F150" s="4" t="str">
        <f t="shared" si="12"/>
        <v/>
      </c>
      <c r="H150" s="1">
        <f t="shared" si="14"/>
        <v>140</v>
      </c>
      <c r="J150" s="1">
        <f t="shared" si="13"/>
        <v>0</v>
      </c>
      <c r="K150" s="1">
        <f>SUM($L$9,$L$11:L150)</f>
        <v>0</v>
      </c>
      <c r="L150" s="1">
        <f>SUMIF(Iktato!$S$3:$S$10000,H150,Iktato!$V$3:$V$10000)</f>
        <v>0</v>
      </c>
    </row>
    <row r="151" spans="1:12" x14ac:dyDescent="0.25">
      <c r="A151" s="15" t="str">
        <f t="shared" si="11"/>
        <v/>
      </c>
      <c r="B151" s="15" t="str">
        <f>IF(H151&lt;=$L$1,VLOOKUP(H151,Iktato!$C$3:$O$10000,2,FALSE),"")</f>
        <v/>
      </c>
      <c r="C151" s="16" t="str">
        <f>IF(H151&lt;=$L$1,VLOOKUP(H151,Iktato!$C$3:$O$10000,4,FALSE),"")</f>
        <v/>
      </c>
      <c r="D151" s="3" t="str">
        <f>TRIM(IF(H151&lt;=$L$1,VLOOKUP(H151,Iktato!$C$3:$O$10000,7,FALSE),""))</f>
        <v/>
      </c>
      <c r="E151" s="3" t="str">
        <f>TRIM(IF(H151&lt;=$L$1,VLOOKUP(H151,Iktato!$C$3:$O$10000,8,FALSE),""))</f>
        <v/>
      </c>
      <c r="F151" s="4" t="str">
        <f t="shared" si="12"/>
        <v/>
      </c>
      <c r="H151" s="1">
        <f t="shared" si="14"/>
        <v>141</v>
      </c>
      <c r="J151" s="1">
        <f t="shared" si="13"/>
        <v>0</v>
      </c>
      <c r="K151" s="1">
        <f>SUM($L$9,$L$11:L151)</f>
        <v>0</v>
      </c>
      <c r="L151" s="1">
        <f>SUMIF(Iktato!$S$3:$S$10000,H151,Iktato!$V$3:$V$10000)</f>
        <v>0</v>
      </c>
    </row>
    <row r="152" spans="1:12" x14ac:dyDescent="0.25">
      <c r="A152" s="15" t="str">
        <f t="shared" si="11"/>
        <v/>
      </c>
      <c r="B152" s="15" t="str">
        <f>IF(H152&lt;=$L$1,VLOOKUP(H152,Iktato!$C$3:$O$10000,2,FALSE),"")</f>
        <v/>
      </c>
      <c r="C152" s="16" t="str">
        <f>IF(H152&lt;=$L$1,VLOOKUP(H152,Iktato!$C$3:$O$10000,4,FALSE),"")</f>
        <v/>
      </c>
      <c r="D152" s="3" t="str">
        <f>TRIM(IF(H152&lt;=$L$1,VLOOKUP(H152,Iktato!$C$3:$O$10000,7,FALSE),""))</f>
        <v/>
      </c>
      <c r="E152" s="3" t="str">
        <f>TRIM(IF(H152&lt;=$L$1,VLOOKUP(H152,Iktato!$C$3:$O$10000,8,FALSE),""))</f>
        <v/>
      </c>
      <c r="F152" s="4" t="str">
        <f t="shared" si="12"/>
        <v/>
      </c>
      <c r="H152" s="1">
        <f t="shared" si="14"/>
        <v>142</v>
      </c>
      <c r="J152" s="1">
        <f t="shared" si="13"/>
        <v>0</v>
      </c>
      <c r="K152" s="1">
        <f>SUM($L$9,$L$11:L152)</f>
        <v>0</v>
      </c>
      <c r="L152" s="1">
        <f>SUMIF(Iktato!$S$3:$S$10000,H152,Iktato!$V$3:$V$10000)</f>
        <v>0</v>
      </c>
    </row>
    <row r="153" spans="1:12" x14ac:dyDescent="0.25">
      <c r="A153" s="15" t="str">
        <f t="shared" si="11"/>
        <v/>
      </c>
      <c r="B153" s="15" t="str">
        <f>IF(H153&lt;=$L$1,VLOOKUP(H153,Iktato!$C$3:$O$10000,2,FALSE),"")</f>
        <v/>
      </c>
      <c r="C153" s="16" t="str">
        <f>IF(H153&lt;=$L$1,VLOOKUP(H153,Iktato!$C$3:$O$10000,4,FALSE),"")</f>
        <v/>
      </c>
      <c r="D153" s="3" t="str">
        <f>TRIM(IF(H153&lt;=$L$1,VLOOKUP(H153,Iktato!$C$3:$O$10000,7,FALSE),""))</f>
        <v/>
      </c>
      <c r="E153" s="3" t="str">
        <f>TRIM(IF(H153&lt;=$L$1,VLOOKUP(H153,Iktato!$C$3:$O$10000,8,FALSE),""))</f>
        <v/>
      </c>
      <c r="F153" s="4" t="str">
        <f t="shared" si="12"/>
        <v/>
      </c>
      <c r="H153" s="1">
        <f t="shared" si="14"/>
        <v>143</v>
      </c>
      <c r="J153" s="1">
        <f t="shared" si="13"/>
        <v>0</v>
      </c>
      <c r="K153" s="1">
        <f>SUM($L$9,$L$11:L153)</f>
        <v>0</v>
      </c>
      <c r="L153" s="1">
        <f>SUMIF(Iktato!$S$3:$S$10000,H153,Iktato!$V$3:$V$10000)</f>
        <v>0</v>
      </c>
    </row>
    <row r="154" spans="1:12" x14ac:dyDescent="0.25">
      <c r="A154" s="15" t="str">
        <f t="shared" si="11"/>
        <v/>
      </c>
      <c r="B154" s="15" t="str">
        <f>IF(H154&lt;=$L$1,VLOOKUP(H154,Iktato!$C$3:$O$10000,2,FALSE),"")</f>
        <v/>
      </c>
      <c r="C154" s="16" t="str">
        <f>IF(H154&lt;=$L$1,VLOOKUP(H154,Iktato!$C$3:$O$10000,4,FALSE),"")</f>
        <v/>
      </c>
      <c r="D154" s="3" t="str">
        <f>TRIM(IF(H154&lt;=$L$1,VLOOKUP(H154,Iktato!$C$3:$O$10000,7,FALSE),""))</f>
        <v/>
      </c>
      <c r="E154" s="3" t="str">
        <f>TRIM(IF(H154&lt;=$L$1,VLOOKUP(H154,Iktato!$C$3:$O$10000,8,FALSE),""))</f>
        <v/>
      </c>
      <c r="F154" s="4" t="str">
        <f t="shared" si="12"/>
        <v/>
      </c>
      <c r="H154" s="1">
        <f t="shared" si="14"/>
        <v>144</v>
      </c>
      <c r="J154" s="1">
        <f t="shared" si="13"/>
        <v>0</v>
      </c>
      <c r="K154" s="1">
        <f>SUM($L$9,$L$11:L154)</f>
        <v>0</v>
      </c>
      <c r="L154" s="1">
        <f>SUMIF(Iktato!$S$3:$S$10000,H154,Iktato!$V$3:$V$10000)</f>
        <v>0</v>
      </c>
    </row>
    <row r="155" spans="1:12" x14ac:dyDescent="0.25">
      <c r="A155" s="15" t="str">
        <f t="shared" si="11"/>
        <v/>
      </c>
      <c r="B155" s="15" t="str">
        <f>IF(H155&lt;=$L$1,VLOOKUP(H155,Iktato!$C$3:$O$10000,2,FALSE),"")</f>
        <v/>
      </c>
      <c r="C155" s="16" t="str">
        <f>IF(H155&lt;=$L$1,VLOOKUP(H155,Iktato!$C$3:$O$10000,4,FALSE),"")</f>
        <v/>
      </c>
      <c r="D155" s="3" t="str">
        <f>TRIM(IF(H155&lt;=$L$1,VLOOKUP(H155,Iktato!$C$3:$O$10000,7,FALSE),""))</f>
        <v/>
      </c>
      <c r="E155" s="3" t="str">
        <f>TRIM(IF(H155&lt;=$L$1,VLOOKUP(H155,Iktato!$C$3:$O$10000,8,FALSE),""))</f>
        <v/>
      </c>
      <c r="F155" s="4" t="str">
        <f t="shared" si="12"/>
        <v/>
      </c>
      <c r="H155" s="1">
        <f t="shared" si="14"/>
        <v>145</v>
      </c>
      <c r="J155" s="1">
        <f t="shared" si="13"/>
        <v>0</v>
      </c>
      <c r="K155" s="1">
        <f>SUM($L$9,$L$11:L155)</f>
        <v>0</v>
      </c>
      <c r="L155" s="1">
        <f>SUMIF(Iktato!$S$3:$S$10000,H155,Iktato!$V$3:$V$10000)</f>
        <v>0</v>
      </c>
    </row>
    <row r="156" spans="1:12" x14ac:dyDescent="0.25">
      <c r="A156" s="15" t="str">
        <f t="shared" si="11"/>
        <v/>
      </c>
      <c r="B156" s="15" t="str">
        <f>IF(H156&lt;=$L$1,VLOOKUP(H156,Iktato!$C$3:$O$10000,2,FALSE),"")</f>
        <v/>
      </c>
      <c r="C156" s="16" t="str">
        <f>IF(H156&lt;=$L$1,VLOOKUP(H156,Iktato!$C$3:$O$10000,4,FALSE),"")</f>
        <v/>
      </c>
      <c r="D156" s="3" t="str">
        <f>TRIM(IF(H156&lt;=$L$1,VLOOKUP(H156,Iktato!$C$3:$O$10000,7,FALSE),""))</f>
        <v/>
      </c>
      <c r="E156" s="3" t="str">
        <f>TRIM(IF(H156&lt;=$L$1,VLOOKUP(H156,Iktato!$C$3:$O$10000,8,FALSE),""))</f>
        <v/>
      </c>
      <c r="F156" s="4" t="str">
        <f t="shared" si="12"/>
        <v/>
      </c>
      <c r="H156" s="1">
        <f t="shared" si="14"/>
        <v>146</v>
      </c>
      <c r="J156" s="1">
        <f t="shared" si="13"/>
        <v>0</v>
      </c>
      <c r="K156" s="1">
        <f>SUM($L$9,$L$11:L156)</f>
        <v>0</v>
      </c>
      <c r="L156" s="1">
        <f>SUMIF(Iktato!$S$3:$S$10000,H156,Iktato!$V$3:$V$10000)</f>
        <v>0</v>
      </c>
    </row>
    <row r="157" spans="1:12" x14ac:dyDescent="0.25">
      <c r="A157" s="15" t="str">
        <f t="shared" si="11"/>
        <v/>
      </c>
      <c r="B157" s="15" t="str">
        <f>IF(H157&lt;=$L$1,VLOOKUP(H157,Iktato!$C$3:$O$10000,2,FALSE),"")</f>
        <v/>
      </c>
      <c r="C157" s="16" t="str">
        <f>IF(H157&lt;=$L$1,VLOOKUP(H157,Iktato!$C$3:$O$10000,4,FALSE),"")</f>
        <v/>
      </c>
      <c r="D157" s="3" t="str">
        <f>TRIM(IF(H157&lt;=$L$1,VLOOKUP(H157,Iktato!$C$3:$O$10000,7,FALSE),""))</f>
        <v/>
      </c>
      <c r="E157" s="3" t="str">
        <f>TRIM(IF(H157&lt;=$L$1,VLOOKUP(H157,Iktato!$C$3:$O$10000,8,FALSE),""))</f>
        <v/>
      </c>
      <c r="F157" s="4" t="str">
        <f t="shared" si="12"/>
        <v/>
      </c>
      <c r="H157" s="1">
        <f t="shared" si="14"/>
        <v>147</v>
      </c>
      <c r="J157" s="1">
        <f t="shared" si="13"/>
        <v>0</v>
      </c>
      <c r="K157" s="1">
        <f>SUM($L$9,$L$11:L157)</f>
        <v>0</v>
      </c>
      <c r="L157" s="1">
        <f>SUMIF(Iktato!$S$3:$S$10000,H157,Iktato!$V$3:$V$10000)</f>
        <v>0</v>
      </c>
    </row>
    <row r="158" spans="1:12" x14ac:dyDescent="0.25">
      <c r="A158" s="15" t="str">
        <f t="shared" si="11"/>
        <v/>
      </c>
      <c r="B158" s="15" t="str">
        <f>IF(H158&lt;=$L$1,VLOOKUP(H158,Iktato!$C$3:$O$10000,2,FALSE),"")</f>
        <v/>
      </c>
      <c r="C158" s="16" t="str">
        <f>IF(H158&lt;=$L$1,VLOOKUP(H158,Iktato!$C$3:$O$10000,4,FALSE),"")</f>
        <v/>
      </c>
      <c r="D158" s="3" t="str">
        <f>TRIM(IF(H158&lt;=$L$1,VLOOKUP(H158,Iktato!$C$3:$O$10000,7,FALSE),""))</f>
        <v/>
      </c>
      <c r="E158" s="3" t="str">
        <f>TRIM(IF(H158&lt;=$L$1,VLOOKUP(H158,Iktato!$C$3:$O$10000,8,FALSE),""))</f>
        <v/>
      </c>
      <c r="F158" s="4" t="str">
        <f t="shared" si="12"/>
        <v/>
      </c>
      <c r="H158" s="1">
        <f t="shared" si="14"/>
        <v>148</v>
      </c>
      <c r="J158" s="1">
        <f t="shared" si="13"/>
        <v>0</v>
      </c>
      <c r="K158" s="1">
        <f>SUM($L$9,$L$11:L158)</f>
        <v>0</v>
      </c>
      <c r="L158" s="1">
        <f>SUMIF(Iktato!$S$3:$S$10000,H158,Iktato!$V$3:$V$10000)</f>
        <v>0</v>
      </c>
    </row>
    <row r="159" spans="1:12" x14ac:dyDescent="0.25">
      <c r="A159" s="15" t="str">
        <f t="shared" si="11"/>
        <v/>
      </c>
      <c r="B159" s="15" t="str">
        <f>IF(H159&lt;=$L$1,VLOOKUP(H159,Iktato!$C$3:$O$10000,2,FALSE),"")</f>
        <v/>
      </c>
      <c r="C159" s="16" t="str">
        <f>IF(H159&lt;=$L$1,VLOOKUP(H159,Iktato!$C$3:$O$10000,4,FALSE),"")</f>
        <v/>
      </c>
      <c r="D159" s="3" t="str">
        <f>TRIM(IF(H159&lt;=$L$1,VLOOKUP(H159,Iktato!$C$3:$O$10000,7,FALSE),""))</f>
        <v/>
      </c>
      <c r="E159" s="3" t="str">
        <f>TRIM(IF(H159&lt;=$L$1,VLOOKUP(H159,Iktato!$C$3:$O$10000,8,FALSE),""))</f>
        <v/>
      </c>
      <c r="F159" s="4" t="str">
        <f t="shared" si="12"/>
        <v/>
      </c>
      <c r="H159" s="1">
        <f t="shared" si="14"/>
        <v>149</v>
      </c>
      <c r="J159" s="1">
        <f t="shared" si="13"/>
        <v>0</v>
      </c>
      <c r="K159" s="1">
        <f>SUM($L$9,$L$11:L159)</f>
        <v>0</v>
      </c>
      <c r="L159" s="1">
        <f>SUMIF(Iktato!$S$3:$S$10000,H159,Iktato!$V$3:$V$10000)</f>
        <v>0</v>
      </c>
    </row>
    <row r="160" spans="1:12" x14ac:dyDescent="0.25">
      <c r="A160" s="15" t="str">
        <f t="shared" si="11"/>
        <v/>
      </c>
      <c r="B160" s="15" t="str">
        <f>IF(H160&lt;=$L$1,VLOOKUP(H160,Iktato!$C$3:$O$10000,2,FALSE),"")</f>
        <v/>
      </c>
      <c r="C160" s="16" t="str">
        <f>IF(H160&lt;=$L$1,VLOOKUP(H160,Iktato!$C$3:$O$10000,4,FALSE),"")</f>
        <v/>
      </c>
      <c r="D160" s="3" t="str">
        <f>TRIM(IF(H160&lt;=$L$1,VLOOKUP(H160,Iktato!$C$3:$O$10000,7,FALSE),""))</f>
        <v/>
      </c>
      <c r="E160" s="3" t="str">
        <f>TRIM(IF(H160&lt;=$L$1,VLOOKUP(H160,Iktato!$C$3:$O$10000,8,FALSE),""))</f>
        <v/>
      </c>
      <c r="F160" s="4" t="str">
        <f t="shared" si="12"/>
        <v/>
      </c>
      <c r="H160" s="1">
        <f t="shared" si="14"/>
        <v>150</v>
      </c>
      <c r="J160" s="1">
        <f t="shared" si="13"/>
        <v>0</v>
      </c>
      <c r="K160" s="1">
        <f>SUM($L$9,$L$11:L160)</f>
        <v>0</v>
      </c>
      <c r="L160" s="1">
        <f>SUMIF(Iktato!$S$3:$S$10000,H160,Iktato!$V$3:$V$10000)</f>
        <v>0</v>
      </c>
    </row>
    <row r="161" spans="1:12" x14ac:dyDescent="0.25">
      <c r="A161" s="15" t="str">
        <f t="shared" si="11"/>
        <v/>
      </c>
      <c r="B161" s="15" t="str">
        <f>IF(H161&lt;=$L$1,VLOOKUP(H161,Iktato!$C$3:$O$10000,2,FALSE),"")</f>
        <v/>
      </c>
      <c r="C161" s="16" t="str">
        <f>IF(H161&lt;=$L$1,VLOOKUP(H161,Iktato!$C$3:$O$10000,4,FALSE),"")</f>
        <v/>
      </c>
      <c r="D161" s="3" t="str">
        <f>TRIM(IF(H161&lt;=$L$1,VLOOKUP(H161,Iktato!$C$3:$O$10000,7,FALSE),""))</f>
        <v/>
      </c>
      <c r="E161" s="3" t="str">
        <f>TRIM(IF(H161&lt;=$L$1,VLOOKUP(H161,Iktato!$C$3:$O$10000,8,FALSE),""))</f>
        <v/>
      </c>
      <c r="F161" s="4" t="str">
        <f t="shared" si="12"/>
        <v/>
      </c>
      <c r="H161" s="1">
        <f t="shared" si="14"/>
        <v>151</v>
      </c>
      <c r="J161" s="1">
        <f t="shared" si="13"/>
        <v>0</v>
      </c>
      <c r="K161" s="1">
        <f>SUM($L$9,$L$11:L161)</f>
        <v>0</v>
      </c>
      <c r="L161" s="1">
        <f>SUMIF(Iktato!$S$3:$S$10000,H161,Iktato!$V$3:$V$10000)</f>
        <v>0</v>
      </c>
    </row>
    <row r="162" spans="1:12" x14ac:dyDescent="0.25">
      <c r="A162" s="15" t="str">
        <f t="shared" si="11"/>
        <v/>
      </c>
      <c r="B162" s="15" t="str">
        <f>IF(H162&lt;=$L$1,VLOOKUP(H162,Iktato!$C$3:$O$10000,2,FALSE),"")</f>
        <v/>
      </c>
      <c r="C162" s="16" t="str">
        <f>IF(H162&lt;=$L$1,VLOOKUP(H162,Iktato!$C$3:$O$10000,4,FALSE),"")</f>
        <v/>
      </c>
      <c r="D162" s="3" t="str">
        <f>TRIM(IF(H162&lt;=$L$1,VLOOKUP(H162,Iktato!$C$3:$O$10000,7,FALSE),""))</f>
        <v/>
      </c>
      <c r="E162" s="3" t="str">
        <f>TRIM(IF(H162&lt;=$L$1,VLOOKUP(H162,Iktato!$C$3:$O$10000,8,FALSE),""))</f>
        <v/>
      </c>
      <c r="F162" s="4" t="str">
        <f t="shared" si="12"/>
        <v/>
      </c>
      <c r="H162" s="1">
        <f t="shared" si="14"/>
        <v>152</v>
      </c>
      <c r="J162" s="1">
        <f t="shared" si="13"/>
        <v>0</v>
      </c>
      <c r="K162" s="1">
        <f>SUM($L$9,$L$11:L162)</f>
        <v>0</v>
      </c>
      <c r="L162" s="1">
        <f>SUMIF(Iktato!$S$3:$S$10000,H162,Iktato!$V$3:$V$10000)</f>
        <v>0</v>
      </c>
    </row>
    <row r="163" spans="1:12" x14ac:dyDescent="0.25">
      <c r="A163" s="15" t="str">
        <f t="shared" si="11"/>
        <v/>
      </c>
      <c r="B163" s="15" t="str">
        <f>IF(H163&lt;=$L$1,VLOOKUP(H163,Iktato!$C$3:$O$10000,2,FALSE),"")</f>
        <v/>
      </c>
      <c r="C163" s="16" t="str">
        <f>IF(H163&lt;=$L$1,VLOOKUP(H163,Iktato!$C$3:$O$10000,4,FALSE),"")</f>
        <v/>
      </c>
      <c r="D163" s="3" t="str">
        <f>TRIM(IF(H163&lt;=$L$1,VLOOKUP(H163,Iktato!$C$3:$O$10000,7,FALSE),""))</f>
        <v/>
      </c>
      <c r="E163" s="3" t="str">
        <f>TRIM(IF(H163&lt;=$L$1,VLOOKUP(H163,Iktato!$C$3:$O$10000,8,FALSE),""))</f>
        <v/>
      </c>
      <c r="F163" s="4" t="str">
        <f t="shared" si="12"/>
        <v/>
      </c>
      <c r="H163" s="1">
        <f t="shared" si="14"/>
        <v>153</v>
      </c>
      <c r="J163" s="1">
        <f t="shared" si="13"/>
        <v>0</v>
      </c>
      <c r="K163" s="1">
        <f>SUM($L$9,$L$11:L163)</f>
        <v>0</v>
      </c>
      <c r="L163" s="1">
        <f>SUMIF(Iktato!$S$3:$S$10000,H163,Iktato!$V$3:$V$10000)</f>
        <v>0</v>
      </c>
    </row>
    <row r="164" spans="1:12" x14ac:dyDescent="0.25">
      <c r="A164" s="15" t="str">
        <f t="shared" si="11"/>
        <v/>
      </c>
      <c r="B164" s="15" t="str">
        <f>IF(H164&lt;=$L$1,VLOOKUP(H164,Iktato!$C$3:$O$10000,2,FALSE),"")</f>
        <v/>
      </c>
      <c r="C164" s="16" t="str">
        <f>IF(H164&lt;=$L$1,VLOOKUP(H164,Iktato!$C$3:$O$10000,4,FALSE),"")</f>
        <v/>
      </c>
      <c r="D164" s="3" t="str">
        <f>TRIM(IF(H164&lt;=$L$1,VLOOKUP(H164,Iktato!$C$3:$O$10000,7,FALSE),""))</f>
        <v/>
      </c>
      <c r="E164" s="3" t="str">
        <f>TRIM(IF(H164&lt;=$L$1,VLOOKUP(H164,Iktato!$C$3:$O$10000,8,FALSE),""))</f>
        <v/>
      </c>
      <c r="F164" s="4" t="str">
        <f t="shared" si="12"/>
        <v/>
      </c>
      <c r="H164" s="1">
        <f t="shared" si="14"/>
        <v>154</v>
      </c>
      <c r="J164" s="1">
        <f t="shared" si="13"/>
        <v>0</v>
      </c>
      <c r="K164" s="1">
        <f>SUM($L$9,$L$11:L164)</f>
        <v>0</v>
      </c>
      <c r="L164" s="1">
        <f>SUMIF(Iktato!$S$3:$S$10000,H164,Iktato!$V$3:$V$10000)</f>
        <v>0</v>
      </c>
    </row>
    <row r="165" spans="1:12" x14ac:dyDescent="0.25">
      <c r="A165" s="15" t="str">
        <f t="shared" si="11"/>
        <v/>
      </c>
      <c r="B165" s="15" t="str">
        <f>IF(H165&lt;=$L$1,VLOOKUP(H165,Iktato!$C$3:$O$10000,2,FALSE),"")</f>
        <v/>
      </c>
      <c r="C165" s="16" t="str">
        <f>IF(H165&lt;=$L$1,VLOOKUP(H165,Iktato!$C$3:$O$10000,4,FALSE),"")</f>
        <v/>
      </c>
      <c r="D165" s="3" t="str">
        <f>TRIM(IF(H165&lt;=$L$1,VLOOKUP(H165,Iktato!$C$3:$O$10000,7,FALSE),""))</f>
        <v/>
      </c>
      <c r="E165" s="3" t="str">
        <f>TRIM(IF(H165&lt;=$L$1,VLOOKUP(H165,Iktato!$C$3:$O$10000,8,FALSE),""))</f>
        <v/>
      </c>
      <c r="F165" s="4" t="str">
        <f t="shared" si="12"/>
        <v/>
      </c>
      <c r="H165" s="1">
        <f t="shared" si="14"/>
        <v>155</v>
      </c>
      <c r="J165" s="1">
        <f t="shared" si="13"/>
        <v>0</v>
      </c>
      <c r="K165" s="1">
        <f>SUM($L$9,$L$11:L165)</f>
        <v>0</v>
      </c>
      <c r="L165" s="1">
        <f>SUMIF(Iktato!$S$3:$S$10000,H165,Iktato!$V$3:$V$10000)</f>
        <v>0</v>
      </c>
    </row>
    <row r="166" spans="1:12" x14ac:dyDescent="0.25">
      <c r="A166" s="15" t="str">
        <f t="shared" si="11"/>
        <v/>
      </c>
      <c r="B166" s="15" t="str">
        <f>IF(H166&lt;=$L$1,VLOOKUP(H166,Iktato!$C$3:$O$10000,2,FALSE),"")</f>
        <v/>
      </c>
      <c r="C166" s="16" t="str">
        <f>IF(H166&lt;=$L$1,VLOOKUP(H166,Iktato!$C$3:$O$10000,4,FALSE),"")</f>
        <v/>
      </c>
      <c r="D166" s="3" t="str">
        <f>TRIM(IF(H166&lt;=$L$1,VLOOKUP(H166,Iktato!$C$3:$O$10000,7,FALSE),""))</f>
        <v/>
      </c>
      <c r="E166" s="3" t="str">
        <f>TRIM(IF(H166&lt;=$L$1,VLOOKUP(H166,Iktato!$C$3:$O$10000,8,FALSE),""))</f>
        <v/>
      </c>
      <c r="F166" s="4" t="str">
        <f t="shared" si="12"/>
        <v/>
      </c>
      <c r="H166" s="1">
        <f t="shared" si="14"/>
        <v>156</v>
      </c>
      <c r="J166" s="1">
        <f t="shared" si="13"/>
        <v>0</v>
      </c>
      <c r="K166" s="1">
        <f>SUM($L$9,$L$11:L166)</f>
        <v>0</v>
      </c>
      <c r="L166" s="1">
        <f>SUMIF(Iktato!$S$3:$S$10000,H166,Iktato!$V$3:$V$10000)</f>
        <v>0</v>
      </c>
    </row>
    <row r="167" spans="1:12" x14ac:dyDescent="0.25">
      <c r="A167" s="15" t="str">
        <f t="shared" si="11"/>
        <v/>
      </c>
      <c r="B167" s="15" t="str">
        <f>IF(H167&lt;=$L$1,VLOOKUP(H167,Iktato!$C$3:$O$10000,2,FALSE),"")</f>
        <v/>
      </c>
      <c r="C167" s="16" t="str">
        <f>IF(H167&lt;=$L$1,VLOOKUP(H167,Iktato!$C$3:$O$10000,4,FALSE),"")</f>
        <v/>
      </c>
      <c r="D167" s="3" t="str">
        <f>TRIM(IF(H167&lt;=$L$1,VLOOKUP(H167,Iktato!$C$3:$O$10000,7,FALSE),""))</f>
        <v/>
      </c>
      <c r="E167" s="3" t="str">
        <f>TRIM(IF(H167&lt;=$L$1,VLOOKUP(H167,Iktato!$C$3:$O$10000,8,FALSE),""))</f>
        <v/>
      </c>
      <c r="F167" s="4" t="str">
        <f t="shared" si="12"/>
        <v/>
      </c>
      <c r="H167" s="1">
        <f t="shared" si="14"/>
        <v>157</v>
      </c>
      <c r="J167" s="1">
        <f t="shared" si="13"/>
        <v>0</v>
      </c>
      <c r="K167" s="1">
        <f>SUM($L$9,$L$11:L167)</f>
        <v>0</v>
      </c>
      <c r="L167" s="1">
        <f>SUMIF(Iktato!$S$3:$S$10000,H167,Iktato!$V$3:$V$10000)</f>
        <v>0</v>
      </c>
    </row>
    <row r="168" spans="1:12" x14ac:dyDescent="0.25">
      <c r="A168" s="15" t="str">
        <f t="shared" si="11"/>
        <v/>
      </c>
      <c r="B168" s="15" t="str">
        <f>IF(H168&lt;=$L$1,VLOOKUP(H168,Iktato!$C$3:$O$10000,2,FALSE),"")</f>
        <v/>
      </c>
      <c r="C168" s="16" t="str">
        <f>IF(H168&lt;=$L$1,VLOOKUP(H168,Iktato!$C$3:$O$10000,4,FALSE),"")</f>
        <v/>
      </c>
      <c r="D168" s="3" t="str">
        <f>TRIM(IF(H168&lt;=$L$1,VLOOKUP(H168,Iktato!$C$3:$O$10000,7,FALSE),""))</f>
        <v/>
      </c>
      <c r="E168" s="3" t="str">
        <f>TRIM(IF(H168&lt;=$L$1,VLOOKUP(H168,Iktato!$C$3:$O$10000,8,FALSE),""))</f>
        <v/>
      </c>
      <c r="F168" s="4" t="str">
        <f t="shared" si="12"/>
        <v/>
      </c>
      <c r="H168" s="1">
        <f t="shared" si="14"/>
        <v>158</v>
      </c>
      <c r="J168" s="1">
        <f t="shared" si="13"/>
        <v>0</v>
      </c>
      <c r="K168" s="1">
        <f>SUM($L$9,$L$11:L168)</f>
        <v>0</v>
      </c>
      <c r="L168" s="1">
        <f>SUMIF(Iktato!$S$3:$S$10000,H168,Iktato!$V$3:$V$10000)</f>
        <v>0</v>
      </c>
    </row>
    <row r="169" spans="1:12" x14ac:dyDescent="0.25">
      <c r="A169" s="15" t="str">
        <f t="shared" si="11"/>
        <v/>
      </c>
      <c r="B169" s="15" t="str">
        <f>IF(H169&lt;=$L$1,VLOOKUP(H169,Iktato!$C$3:$O$10000,2,FALSE),"")</f>
        <v/>
      </c>
      <c r="C169" s="16" t="str">
        <f>IF(H169&lt;=$L$1,VLOOKUP(H169,Iktato!$C$3:$O$10000,4,FALSE),"")</f>
        <v/>
      </c>
      <c r="D169" s="3" t="str">
        <f>TRIM(IF(H169&lt;=$L$1,VLOOKUP(H169,Iktato!$C$3:$O$10000,7,FALSE),""))</f>
        <v/>
      </c>
      <c r="E169" s="3" t="str">
        <f>TRIM(IF(H169&lt;=$L$1,VLOOKUP(H169,Iktato!$C$3:$O$10000,8,FALSE),""))</f>
        <v/>
      </c>
      <c r="F169" s="4" t="str">
        <f t="shared" si="12"/>
        <v/>
      </c>
      <c r="H169" s="1">
        <f t="shared" si="14"/>
        <v>159</v>
      </c>
      <c r="J169" s="1">
        <f t="shared" si="13"/>
        <v>0</v>
      </c>
      <c r="K169" s="1">
        <f>SUM($L$9,$L$11:L169)</f>
        <v>0</v>
      </c>
      <c r="L169" s="1">
        <f>SUMIF(Iktato!$S$3:$S$10000,H169,Iktato!$V$3:$V$10000)</f>
        <v>0</v>
      </c>
    </row>
    <row r="170" spans="1:12" x14ac:dyDescent="0.25">
      <c r="A170" s="15" t="str">
        <f t="shared" si="11"/>
        <v/>
      </c>
      <c r="B170" s="15" t="str">
        <f>IF(H170&lt;=$L$1,VLOOKUP(H170,Iktato!$C$3:$O$10000,2,FALSE),"")</f>
        <v/>
      </c>
      <c r="C170" s="16" t="str">
        <f>IF(H170&lt;=$L$1,VLOOKUP(H170,Iktato!$C$3:$O$10000,4,FALSE),"")</f>
        <v/>
      </c>
      <c r="D170" s="3" t="str">
        <f>TRIM(IF(H170&lt;=$L$1,VLOOKUP(H170,Iktato!$C$3:$O$10000,7,FALSE),""))</f>
        <v/>
      </c>
      <c r="E170" s="3" t="str">
        <f>TRIM(IF(H170&lt;=$L$1,VLOOKUP(H170,Iktato!$C$3:$O$10000,8,FALSE),""))</f>
        <v/>
      </c>
      <c r="F170" s="4" t="str">
        <f t="shared" si="12"/>
        <v/>
      </c>
      <c r="H170" s="1">
        <f t="shared" si="14"/>
        <v>160</v>
      </c>
      <c r="J170" s="1">
        <f t="shared" si="13"/>
        <v>0</v>
      </c>
      <c r="K170" s="1">
        <f>SUM($L$9,$L$11:L170)</f>
        <v>0</v>
      </c>
      <c r="L170" s="1">
        <f>SUMIF(Iktato!$S$3:$S$10000,H170,Iktato!$V$3:$V$10000)</f>
        <v>0</v>
      </c>
    </row>
    <row r="171" spans="1:12" x14ac:dyDescent="0.25">
      <c r="A171" s="15" t="str">
        <f t="shared" si="11"/>
        <v/>
      </c>
      <c r="B171" s="15" t="str">
        <f>IF(H171&lt;=$L$1,VLOOKUP(H171,Iktato!$C$3:$O$10000,2,FALSE),"")</f>
        <v/>
      </c>
      <c r="C171" s="16" t="str">
        <f>IF(H171&lt;=$L$1,VLOOKUP(H171,Iktato!$C$3:$O$10000,4,FALSE),"")</f>
        <v/>
      </c>
      <c r="D171" s="3" t="str">
        <f>TRIM(IF(H171&lt;=$L$1,VLOOKUP(H171,Iktato!$C$3:$O$10000,7,FALSE),""))</f>
        <v/>
      </c>
      <c r="E171" s="3" t="str">
        <f>TRIM(IF(H171&lt;=$L$1,VLOOKUP(H171,Iktato!$C$3:$O$10000,8,FALSE),""))</f>
        <v/>
      </c>
      <c r="F171" s="4" t="str">
        <f t="shared" si="12"/>
        <v/>
      </c>
      <c r="H171" s="1">
        <f t="shared" si="14"/>
        <v>161</v>
      </c>
      <c r="J171" s="1">
        <f t="shared" si="13"/>
        <v>0</v>
      </c>
      <c r="K171" s="1">
        <f>SUM($L$9,$L$11:L171)</f>
        <v>0</v>
      </c>
      <c r="L171" s="1">
        <f>SUMIF(Iktato!$S$3:$S$10000,H171,Iktato!$V$3:$V$10000)</f>
        <v>0</v>
      </c>
    </row>
    <row r="172" spans="1:12" x14ac:dyDescent="0.25">
      <c r="A172" s="15" t="str">
        <f t="shared" si="11"/>
        <v/>
      </c>
      <c r="B172" s="15" t="str">
        <f>IF(H172&lt;=$L$1,VLOOKUP(H172,Iktato!$C$3:$O$10000,2,FALSE),"")</f>
        <v/>
      </c>
      <c r="C172" s="16" t="str">
        <f>IF(H172&lt;=$L$1,VLOOKUP(H172,Iktato!$C$3:$O$10000,4,FALSE),"")</f>
        <v/>
      </c>
      <c r="D172" s="3" t="str">
        <f>TRIM(IF(H172&lt;=$L$1,VLOOKUP(H172,Iktato!$C$3:$O$10000,7,FALSE),""))</f>
        <v/>
      </c>
      <c r="E172" s="3" t="str">
        <f>TRIM(IF(H172&lt;=$L$1,VLOOKUP(H172,Iktato!$C$3:$O$10000,8,FALSE),""))</f>
        <v/>
      </c>
      <c r="F172" s="4" t="str">
        <f t="shared" si="12"/>
        <v/>
      </c>
      <c r="H172" s="1">
        <f t="shared" si="14"/>
        <v>162</v>
      </c>
      <c r="J172" s="1">
        <f t="shared" si="13"/>
        <v>0</v>
      </c>
      <c r="K172" s="1">
        <f>SUM($L$9,$L$11:L172)</f>
        <v>0</v>
      </c>
      <c r="L172" s="1">
        <f>SUMIF(Iktato!$S$3:$S$10000,H172,Iktato!$V$3:$V$10000)</f>
        <v>0</v>
      </c>
    </row>
    <row r="173" spans="1:12" x14ac:dyDescent="0.25">
      <c r="A173" s="15" t="str">
        <f t="shared" si="11"/>
        <v/>
      </c>
      <c r="B173" s="15" t="str">
        <f>IF(H173&lt;=$L$1,VLOOKUP(H173,Iktato!$C$3:$O$10000,2,FALSE),"")</f>
        <v/>
      </c>
      <c r="C173" s="16" t="str">
        <f>IF(H173&lt;=$L$1,VLOOKUP(H173,Iktato!$C$3:$O$10000,4,FALSE),"")</f>
        <v/>
      </c>
      <c r="D173" s="3" t="str">
        <f>TRIM(IF(H173&lt;=$L$1,VLOOKUP(H173,Iktato!$C$3:$O$10000,7,FALSE),""))</f>
        <v/>
      </c>
      <c r="E173" s="3" t="str">
        <f>TRIM(IF(H173&lt;=$L$1,VLOOKUP(H173,Iktato!$C$3:$O$10000,8,FALSE),""))</f>
        <v/>
      </c>
      <c r="F173" s="4" t="str">
        <f t="shared" si="12"/>
        <v/>
      </c>
      <c r="H173" s="1">
        <f t="shared" si="14"/>
        <v>163</v>
      </c>
      <c r="J173" s="1">
        <f t="shared" si="13"/>
        <v>0</v>
      </c>
      <c r="K173" s="1">
        <f>SUM($L$9,$L$11:L173)</f>
        <v>0</v>
      </c>
      <c r="L173" s="1">
        <f>SUMIF(Iktato!$S$3:$S$10000,H173,Iktato!$V$3:$V$10000)</f>
        <v>0</v>
      </c>
    </row>
    <row r="174" spans="1:12" x14ac:dyDescent="0.25">
      <c r="A174" s="15" t="str">
        <f t="shared" si="11"/>
        <v/>
      </c>
      <c r="B174" s="15" t="str">
        <f>IF(H174&lt;=$L$1,VLOOKUP(H174,Iktato!$C$3:$O$10000,2,FALSE),"")</f>
        <v/>
      </c>
      <c r="C174" s="16" t="str">
        <f>IF(H174&lt;=$L$1,VLOOKUP(H174,Iktato!$C$3:$O$10000,4,FALSE),"")</f>
        <v/>
      </c>
      <c r="D174" s="3" t="str">
        <f>TRIM(IF(H174&lt;=$L$1,VLOOKUP(H174,Iktato!$C$3:$O$10000,7,FALSE),""))</f>
        <v/>
      </c>
      <c r="E174" s="3" t="str">
        <f>TRIM(IF(H174&lt;=$L$1,VLOOKUP(H174,Iktato!$C$3:$O$10000,8,FALSE),""))</f>
        <v/>
      </c>
      <c r="F174" s="4" t="str">
        <f t="shared" si="12"/>
        <v/>
      </c>
      <c r="H174" s="1">
        <f t="shared" si="14"/>
        <v>164</v>
      </c>
      <c r="J174" s="1">
        <f t="shared" si="13"/>
        <v>0</v>
      </c>
      <c r="K174" s="1">
        <f>SUM($L$9,$L$11:L174)</f>
        <v>0</v>
      </c>
      <c r="L174" s="1">
        <f>SUMIF(Iktato!$S$3:$S$10000,H174,Iktato!$V$3:$V$10000)</f>
        <v>0</v>
      </c>
    </row>
    <row r="175" spans="1:12" x14ac:dyDescent="0.25">
      <c r="A175" s="15" t="str">
        <f t="shared" si="11"/>
        <v/>
      </c>
      <c r="B175" s="15" t="str">
        <f>IF(H175&lt;=$L$1,VLOOKUP(H175,Iktato!$C$3:$O$10000,2,FALSE),"")</f>
        <v/>
      </c>
      <c r="C175" s="16" t="str">
        <f>IF(H175&lt;=$L$1,VLOOKUP(H175,Iktato!$C$3:$O$10000,4,FALSE),"")</f>
        <v/>
      </c>
      <c r="D175" s="3" t="str">
        <f>TRIM(IF(H175&lt;=$L$1,VLOOKUP(H175,Iktato!$C$3:$O$10000,7,FALSE),""))</f>
        <v/>
      </c>
      <c r="E175" s="3" t="str">
        <f>TRIM(IF(H175&lt;=$L$1,VLOOKUP(H175,Iktato!$C$3:$O$10000,8,FALSE),""))</f>
        <v/>
      </c>
      <c r="F175" s="4" t="str">
        <f t="shared" si="12"/>
        <v/>
      </c>
      <c r="H175" s="1">
        <f t="shared" si="14"/>
        <v>165</v>
      </c>
      <c r="J175" s="1">
        <f t="shared" si="13"/>
        <v>0</v>
      </c>
      <c r="K175" s="1">
        <f>SUM($L$9,$L$11:L175)</f>
        <v>0</v>
      </c>
      <c r="L175" s="1">
        <f>SUMIF(Iktato!$S$3:$S$10000,H175,Iktato!$V$3:$V$10000)</f>
        <v>0</v>
      </c>
    </row>
    <row r="176" spans="1:12" x14ac:dyDescent="0.25">
      <c r="A176" s="15" t="str">
        <f t="shared" si="11"/>
        <v/>
      </c>
      <c r="B176" s="15" t="str">
        <f>IF(H176&lt;=$L$1,VLOOKUP(H176,Iktato!$C$3:$O$10000,2,FALSE),"")</f>
        <v/>
      </c>
      <c r="C176" s="16" t="str">
        <f>IF(H176&lt;=$L$1,VLOOKUP(H176,Iktato!$C$3:$O$10000,4,FALSE),"")</f>
        <v/>
      </c>
      <c r="D176" s="3" t="str">
        <f>TRIM(IF(H176&lt;=$L$1,VLOOKUP(H176,Iktato!$C$3:$O$10000,7,FALSE),""))</f>
        <v/>
      </c>
      <c r="E176" s="3" t="str">
        <f>TRIM(IF(H176&lt;=$L$1,VLOOKUP(H176,Iktato!$C$3:$O$10000,8,FALSE),""))</f>
        <v/>
      </c>
      <c r="F176" s="4" t="str">
        <f t="shared" si="12"/>
        <v/>
      </c>
      <c r="H176" s="1">
        <f t="shared" si="14"/>
        <v>166</v>
      </c>
      <c r="J176" s="1">
        <f t="shared" si="13"/>
        <v>0</v>
      </c>
      <c r="K176" s="1">
        <f>SUM($L$9,$L$11:L176)</f>
        <v>0</v>
      </c>
      <c r="L176" s="1">
        <f>SUMIF(Iktato!$S$3:$S$10000,H176,Iktato!$V$3:$V$10000)</f>
        <v>0</v>
      </c>
    </row>
    <row r="177" spans="1:12" x14ac:dyDescent="0.25">
      <c r="A177" s="15" t="str">
        <f t="shared" si="11"/>
        <v/>
      </c>
      <c r="B177" s="15" t="str">
        <f>IF(H177&lt;=$L$1,VLOOKUP(H177,Iktato!$C$3:$O$10000,2,FALSE),"")</f>
        <v/>
      </c>
      <c r="C177" s="16" t="str">
        <f>IF(H177&lt;=$L$1,VLOOKUP(H177,Iktato!$C$3:$O$10000,4,FALSE),"")</f>
        <v/>
      </c>
      <c r="D177" s="3" t="str">
        <f>TRIM(IF(H177&lt;=$L$1,VLOOKUP(H177,Iktato!$C$3:$O$10000,7,FALSE),""))</f>
        <v/>
      </c>
      <c r="E177" s="3" t="str">
        <f>TRIM(IF(H177&lt;=$L$1,VLOOKUP(H177,Iktato!$C$3:$O$10000,8,FALSE),""))</f>
        <v/>
      </c>
      <c r="F177" s="4" t="str">
        <f t="shared" si="12"/>
        <v/>
      </c>
      <c r="H177" s="1">
        <f t="shared" si="14"/>
        <v>167</v>
      </c>
      <c r="J177" s="1">
        <f t="shared" si="13"/>
        <v>0</v>
      </c>
      <c r="K177" s="1">
        <f>SUM($L$9,$L$11:L177)</f>
        <v>0</v>
      </c>
      <c r="L177" s="1">
        <f>SUMIF(Iktato!$S$3:$S$10000,H177,Iktato!$V$3:$V$10000)</f>
        <v>0</v>
      </c>
    </row>
    <row r="178" spans="1:12" x14ac:dyDescent="0.25">
      <c r="A178" s="15" t="str">
        <f t="shared" ref="A178:A211" si="15">IF(H178&lt;=$L$1,H178,"")</f>
        <v/>
      </c>
      <c r="B178" s="15" t="str">
        <f>IF(H178&lt;=$L$1,VLOOKUP(H178,Iktato!$C$3:$O$10000,2,FALSE),"")</f>
        <v/>
      </c>
      <c r="C178" s="16" t="str">
        <f>IF(H178&lt;=$L$1,VLOOKUP(H178,Iktato!$C$3:$O$10000,4,FALSE),"")</f>
        <v/>
      </c>
      <c r="D178" s="3" t="str">
        <f>TRIM(IF(H178&lt;=$L$1,VLOOKUP(H178,Iktato!$C$3:$O$10000,7,FALSE),""))</f>
        <v/>
      </c>
      <c r="E178" s="3" t="str">
        <f>TRIM(IF(H178&lt;=$L$1,VLOOKUP(H178,Iktato!$C$3:$O$10000,8,FALSE),""))</f>
        <v/>
      </c>
      <c r="F178" s="4" t="str">
        <f t="shared" ref="F178:F211" si="16">IF(H178&lt;=$L$1,J178,"")</f>
        <v/>
      </c>
      <c r="H178" s="1">
        <f t="shared" si="14"/>
        <v>168</v>
      </c>
      <c r="J178" s="1">
        <f t="shared" ref="J178:J211" si="17">IF(L178&lt;&gt;0,IF(K178&lt;&gt;K177+1,K177+1&amp;"-"&amp;K178,K178),J177)</f>
        <v>0</v>
      </c>
      <c r="K178" s="1">
        <f>SUM($L$9,$L$11:L178)</f>
        <v>0</v>
      </c>
      <c r="L178" s="1">
        <f>SUMIF(Iktato!$S$3:$S$10000,H178,Iktato!$V$3:$V$10000)</f>
        <v>0</v>
      </c>
    </row>
    <row r="179" spans="1:12" x14ac:dyDescent="0.25">
      <c r="A179" s="15" t="str">
        <f t="shared" si="15"/>
        <v/>
      </c>
      <c r="B179" s="15" t="str">
        <f>IF(H179&lt;=$L$1,VLOOKUP(H179,Iktato!$C$3:$O$10000,2,FALSE),"")</f>
        <v/>
      </c>
      <c r="C179" s="16" t="str">
        <f>IF(H179&lt;=$L$1,VLOOKUP(H179,Iktato!$C$3:$O$10000,4,FALSE),"")</f>
        <v/>
      </c>
      <c r="D179" s="3" t="str">
        <f>TRIM(IF(H179&lt;=$L$1,VLOOKUP(H179,Iktato!$C$3:$O$10000,7,FALSE),""))</f>
        <v/>
      </c>
      <c r="E179" s="3" t="str">
        <f>TRIM(IF(H179&lt;=$L$1,VLOOKUP(H179,Iktato!$C$3:$O$10000,8,FALSE),""))</f>
        <v/>
      </c>
      <c r="F179" s="4" t="str">
        <f t="shared" si="16"/>
        <v/>
      </c>
      <c r="H179" s="1">
        <f t="shared" si="14"/>
        <v>169</v>
      </c>
      <c r="J179" s="1">
        <f t="shared" si="17"/>
        <v>0</v>
      </c>
      <c r="K179" s="1">
        <f>SUM($L$9,$L$11:L179)</f>
        <v>0</v>
      </c>
      <c r="L179" s="1">
        <f>SUMIF(Iktato!$S$3:$S$10000,H179,Iktato!$V$3:$V$10000)</f>
        <v>0</v>
      </c>
    </row>
    <row r="180" spans="1:12" x14ac:dyDescent="0.25">
      <c r="A180" s="15" t="str">
        <f t="shared" si="15"/>
        <v/>
      </c>
      <c r="B180" s="15" t="str">
        <f>IF(H180&lt;=$L$1,VLOOKUP(H180,Iktato!$C$3:$O$10000,2,FALSE),"")</f>
        <v/>
      </c>
      <c r="C180" s="16" t="str">
        <f>IF(H180&lt;=$L$1,VLOOKUP(H180,Iktato!$C$3:$O$10000,4,FALSE),"")</f>
        <v/>
      </c>
      <c r="D180" s="3" t="str">
        <f>TRIM(IF(H180&lt;=$L$1,VLOOKUP(H180,Iktato!$C$3:$O$10000,7,FALSE),""))</f>
        <v/>
      </c>
      <c r="E180" s="3" t="str">
        <f>TRIM(IF(H180&lt;=$L$1,VLOOKUP(H180,Iktato!$C$3:$O$10000,8,FALSE),""))</f>
        <v/>
      </c>
      <c r="F180" s="4" t="str">
        <f t="shared" si="16"/>
        <v/>
      </c>
      <c r="H180" s="1">
        <f t="shared" si="14"/>
        <v>170</v>
      </c>
      <c r="J180" s="1">
        <f t="shared" si="17"/>
        <v>0</v>
      </c>
      <c r="K180" s="1">
        <f>SUM($L$9,$L$11:L180)</f>
        <v>0</v>
      </c>
      <c r="L180" s="1">
        <f>SUMIF(Iktato!$S$3:$S$10000,H180,Iktato!$V$3:$V$10000)</f>
        <v>0</v>
      </c>
    </row>
    <row r="181" spans="1:12" x14ac:dyDescent="0.25">
      <c r="A181" s="15" t="str">
        <f t="shared" si="15"/>
        <v/>
      </c>
      <c r="B181" s="15" t="str">
        <f>IF(H181&lt;=$L$1,VLOOKUP(H181,Iktato!$C$3:$O$10000,2,FALSE),"")</f>
        <v/>
      </c>
      <c r="C181" s="16" t="str">
        <f>IF(H181&lt;=$L$1,VLOOKUP(H181,Iktato!$C$3:$O$10000,4,FALSE),"")</f>
        <v/>
      </c>
      <c r="D181" s="3" t="str">
        <f>TRIM(IF(H181&lt;=$L$1,VLOOKUP(H181,Iktato!$C$3:$O$10000,7,FALSE),""))</f>
        <v/>
      </c>
      <c r="E181" s="3" t="str">
        <f>TRIM(IF(H181&lt;=$L$1,VLOOKUP(H181,Iktato!$C$3:$O$10000,8,FALSE),""))</f>
        <v/>
      </c>
      <c r="F181" s="4" t="str">
        <f t="shared" si="16"/>
        <v/>
      </c>
      <c r="H181" s="1">
        <f t="shared" si="14"/>
        <v>171</v>
      </c>
      <c r="J181" s="1">
        <f t="shared" si="17"/>
        <v>0</v>
      </c>
      <c r="K181" s="1">
        <f>SUM($L$9,$L$11:L181)</f>
        <v>0</v>
      </c>
      <c r="L181" s="1">
        <f>SUMIF(Iktato!$S$3:$S$10000,H181,Iktato!$V$3:$V$10000)</f>
        <v>0</v>
      </c>
    </row>
    <row r="182" spans="1:12" x14ac:dyDescent="0.25">
      <c r="A182" s="15" t="str">
        <f t="shared" si="15"/>
        <v/>
      </c>
      <c r="B182" s="15" t="str">
        <f>IF(H182&lt;=$L$1,VLOOKUP(H182,Iktato!$C$3:$O$10000,2,FALSE),"")</f>
        <v/>
      </c>
      <c r="C182" s="16" t="str">
        <f>IF(H182&lt;=$L$1,VLOOKUP(H182,Iktato!$C$3:$O$10000,4,FALSE),"")</f>
        <v/>
      </c>
      <c r="D182" s="3" t="str">
        <f>TRIM(IF(H182&lt;=$L$1,VLOOKUP(H182,Iktato!$C$3:$O$10000,7,FALSE),""))</f>
        <v/>
      </c>
      <c r="E182" s="3" t="str">
        <f>TRIM(IF(H182&lt;=$L$1,VLOOKUP(H182,Iktato!$C$3:$O$10000,8,FALSE),""))</f>
        <v/>
      </c>
      <c r="F182" s="4" t="str">
        <f t="shared" si="16"/>
        <v/>
      </c>
      <c r="H182" s="1">
        <f t="shared" si="14"/>
        <v>172</v>
      </c>
      <c r="J182" s="1">
        <f t="shared" si="17"/>
        <v>0</v>
      </c>
      <c r="K182" s="1">
        <f>SUM($L$9,$L$11:L182)</f>
        <v>0</v>
      </c>
      <c r="L182" s="1">
        <f>SUMIF(Iktato!$S$3:$S$10000,H182,Iktato!$V$3:$V$10000)</f>
        <v>0</v>
      </c>
    </row>
    <row r="183" spans="1:12" x14ac:dyDescent="0.25">
      <c r="A183" s="15" t="str">
        <f t="shared" si="15"/>
        <v/>
      </c>
      <c r="B183" s="15" t="str">
        <f>IF(H183&lt;=$L$1,VLOOKUP(H183,Iktato!$C$3:$O$10000,2,FALSE),"")</f>
        <v/>
      </c>
      <c r="C183" s="16" t="str">
        <f>IF(H183&lt;=$L$1,VLOOKUP(H183,Iktato!$C$3:$O$10000,4,FALSE),"")</f>
        <v/>
      </c>
      <c r="D183" s="3" t="str">
        <f>TRIM(IF(H183&lt;=$L$1,VLOOKUP(H183,Iktato!$C$3:$O$10000,7,FALSE),""))</f>
        <v/>
      </c>
      <c r="E183" s="3" t="str">
        <f>TRIM(IF(H183&lt;=$L$1,VLOOKUP(H183,Iktato!$C$3:$O$10000,8,FALSE),""))</f>
        <v/>
      </c>
      <c r="F183" s="4" t="str">
        <f t="shared" si="16"/>
        <v/>
      </c>
      <c r="H183" s="1">
        <f t="shared" si="14"/>
        <v>173</v>
      </c>
      <c r="J183" s="1">
        <f t="shared" si="17"/>
        <v>0</v>
      </c>
      <c r="K183" s="1">
        <f>SUM($L$9,$L$11:L183)</f>
        <v>0</v>
      </c>
      <c r="L183" s="1">
        <f>SUMIF(Iktato!$S$3:$S$10000,H183,Iktato!$V$3:$V$10000)</f>
        <v>0</v>
      </c>
    </row>
    <row r="184" spans="1:12" x14ac:dyDescent="0.25">
      <c r="A184" s="15" t="str">
        <f t="shared" si="15"/>
        <v/>
      </c>
      <c r="B184" s="15" t="str">
        <f>IF(H184&lt;=$L$1,VLOOKUP(H184,Iktato!$C$3:$O$10000,2,FALSE),"")</f>
        <v/>
      </c>
      <c r="C184" s="16" t="str">
        <f>IF(H184&lt;=$L$1,VLOOKUP(H184,Iktato!$C$3:$O$10000,4,FALSE),"")</f>
        <v/>
      </c>
      <c r="D184" s="3" t="str">
        <f>TRIM(IF(H184&lt;=$L$1,VLOOKUP(H184,Iktato!$C$3:$O$10000,7,FALSE),""))</f>
        <v/>
      </c>
      <c r="E184" s="3" t="str">
        <f>TRIM(IF(H184&lt;=$L$1,VLOOKUP(H184,Iktato!$C$3:$O$10000,8,FALSE),""))</f>
        <v/>
      </c>
      <c r="F184" s="4" t="str">
        <f t="shared" si="16"/>
        <v/>
      </c>
      <c r="H184" s="1">
        <f t="shared" si="14"/>
        <v>174</v>
      </c>
      <c r="J184" s="1">
        <f t="shared" si="17"/>
        <v>0</v>
      </c>
      <c r="K184" s="1">
        <f>SUM($L$9,$L$11:L184)</f>
        <v>0</v>
      </c>
      <c r="L184" s="1">
        <f>SUMIF(Iktato!$S$3:$S$10000,H184,Iktato!$V$3:$V$10000)</f>
        <v>0</v>
      </c>
    </row>
    <row r="185" spans="1:12" x14ac:dyDescent="0.25">
      <c r="A185" s="15" t="str">
        <f t="shared" si="15"/>
        <v/>
      </c>
      <c r="B185" s="15" t="str">
        <f>IF(H185&lt;=$L$1,VLOOKUP(H185,Iktato!$C$3:$O$10000,2,FALSE),"")</f>
        <v/>
      </c>
      <c r="C185" s="16" t="str">
        <f>IF(H185&lt;=$L$1,VLOOKUP(H185,Iktato!$C$3:$O$10000,4,FALSE),"")</f>
        <v/>
      </c>
      <c r="D185" s="3" t="str">
        <f>TRIM(IF(H185&lt;=$L$1,VLOOKUP(H185,Iktato!$C$3:$O$10000,7,FALSE),""))</f>
        <v/>
      </c>
      <c r="E185" s="3" t="str">
        <f>TRIM(IF(H185&lt;=$L$1,VLOOKUP(H185,Iktato!$C$3:$O$10000,8,FALSE),""))</f>
        <v/>
      </c>
      <c r="F185" s="4" t="str">
        <f t="shared" si="16"/>
        <v/>
      </c>
      <c r="H185" s="1">
        <f t="shared" si="14"/>
        <v>175</v>
      </c>
      <c r="J185" s="1">
        <f t="shared" si="17"/>
        <v>0</v>
      </c>
      <c r="K185" s="1">
        <f>SUM($L$9,$L$11:L185)</f>
        <v>0</v>
      </c>
      <c r="L185" s="1">
        <f>SUMIF(Iktato!$S$3:$S$10000,H185,Iktato!$V$3:$V$10000)</f>
        <v>0</v>
      </c>
    </row>
    <row r="186" spans="1:12" x14ac:dyDescent="0.25">
      <c r="A186" s="15" t="str">
        <f t="shared" si="15"/>
        <v/>
      </c>
      <c r="B186" s="15" t="str">
        <f>IF(H186&lt;=$L$1,VLOOKUP(H186,Iktato!$C$3:$O$10000,2,FALSE),"")</f>
        <v/>
      </c>
      <c r="C186" s="16" t="str">
        <f>IF(H186&lt;=$L$1,VLOOKUP(H186,Iktato!$C$3:$O$10000,4,FALSE),"")</f>
        <v/>
      </c>
      <c r="D186" s="3" t="str">
        <f>TRIM(IF(H186&lt;=$L$1,VLOOKUP(H186,Iktato!$C$3:$O$10000,7,FALSE),""))</f>
        <v/>
      </c>
      <c r="E186" s="3" t="str">
        <f>TRIM(IF(H186&lt;=$L$1,VLOOKUP(H186,Iktato!$C$3:$O$10000,8,FALSE),""))</f>
        <v/>
      </c>
      <c r="F186" s="4" t="str">
        <f t="shared" si="16"/>
        <v/>
      </c>
      <c r="H186" s="1">
        <f t="shared" si="14"/>
        <v>176</v>
      </c>
      <c r="J186" s="1">
        <f t="shared" si="17"/>
        <v>0</v>
      </c>
      <c r="K186" s="1">
        <f>SUM($L$9,$L$11:L186)</f>
        <v>0</v>
      </c>
      <c r="L186" s="1">
        <f>SUMIF(Iktato!$S$3:$S$10000,H186,Iktato!$V$3:$V$10000)</f>
        <v>0</v>
      </c>
    </row>
    <row r="187" spans="1:12" x14ac:dyDescent="0.25">
      <c r="A187" s="15" t="str">
        <f t="shared" si="15"/>
        <v/>
      </c>
      <c r="B187" s="15" t="str">
        <f>IF(H187&lt;=$L$1,VLOOKUP(H187,Iktato!$C$3:$O$10000,2,FALSE),"")</f>
        <v/>
      </c>
      <c r="C187" s="16" t="str">
        <f>IF(H187&lt;=$L$1,VLOOKUP(H187,Iktato!$C$3:$O$10000,4,FALSE),"")</f>
        <v/>
      </c>
      <c r="D187" s="3" t="str">
        <f>TRIM(IF(H187&lt;=$L$1,VLOOKUP(H187,Iktato!$C$3:$O$10000,7,FALSE),""))</f>
        <v/>
      </c>
      <c r="E187" s="3" t="str">
        <f>TRIM(IF(H187&lt;=$L$1,VLOOKUP(H187,Iktato!$C$3:$O$10000,8,FALSE),""))</f>
        <v/>
      </c>
      <c r="F187" s="4" t="str">
        <f t="shared" si="16"/>
        <v/>
      </c>
      <c r="H187" s="1">
        <f t="shared" si="14"/>
        <v>177</v>
      </c>
      <c r="J187" s="1">
        <f t="shared" si="17"/>
        <v>0</v>
      </c>
      <c r="K187" s="1">
        <f>SUM($L$9,$L$11:L187)</f>
        <v>0</v>
      </c>
      <c r="L187" s="1">
        <f>SUMIF(Iktato!$S$3:$S$10000,H187,Iktato!$V$3:$V$10000)</f>
        <v>0</v>
      </c>
    </row>
    <row r="188" spans="1:12" x14ac:dyDescent="0.25">
      <c r="A188" s="15" t="str">
        <f t="shared" si="15"/>
        <v/>
      </c>
      <c r="B188" s="15" t="str">
        <f>IF(H188&lt;=$L$1,VLOOKUP(H188,Iktato!$C$3:$O$10000,2,FALSE),"")</f>
        <v/>
      </c>
      <c r="C188" s="16" t="str">
        <f>IF(H188&lt;=$L$1,VLOOKUP(H188,Iktato!$C$3:$O$10000,4,FALSE),"")</f>
        <v/>
      </c>
      <c r="D188" s="3" t="str">
        <f>TRIM(IF(H188&lt;=$L$1,VLOOKUP(H188,Iktato!$C$3:$O$10000,7,FALSE),""))</f>
        <v/>
      </c>
      <c r="E188" s="3" t="str">
        <f>TRIM(IF(H188&lt;=$L$1,VLOOKUP(H188,Iktato!$C$3:$O$10000,8,FALSE),""))</f>
        <v/>
      </c>
      <c r="F188" s="4" t="str">
        <f t="shared" si="16"/>
        <v/>
      </c>
      <c r="H188" s="1">
        <f t="shared" si="14"/>
        <v>178</v>
      </c>
      <c r="J188" s="1">
        <f t="shared" si="17"/>
        <v>0</v>
      </c>
      <c r="K188" s="1">
        <f>SUM($L$9,$L$11:L188)</f>
        <v>0</v>
      </c>
      <c r="L188" s="1">
        <f>SUMIF(Iktato!$S$3:$S$10000,H188,Iktato!$V$3:$V$10000)</f>
        <v>0</v>
      </c>
    </row>
    <row r="189" spans="1:12" x14ac:dyDescent="0.25">
      <c r="A189" s="15" t="str">
        <f t="shared" si="15"/>
        <v/>
      </c>
      <c r="B189" s="15" t="str">
        <f>IF(H189&lt;=$L$1,VLOOKUP(H189,Iktato!$C$3:$O$10000,2,FALSE),"")</f>
        <v/>
      </c>
      <c r="C189" s="16" t="str">
        <f>IF(H189&lt;=$L$1,VLOOKUP(H189,Iktato!$C$3:$O$10000,4,FALSE),"")</f>
        <v/>
      </c>
      <c r="D189" s="3" t="str">
        <f>TRIM(IF(H189&lt;=$L$1,VLOOKUP(H189,Iktato!$C$3:$O$10000,7,FALSE),""))</f>
        <v/>
      </c>
      <c r="E189" s="3" t="str">
        <f>TRIM(IF(H189&lt;=$L$1,VLOOKUP(H189,Iktato!$C$3:$O$10000,8,FALSE),""))</f>
        <v/>
      </c>
      <c r="F189" s="4" t="str">
        <f t="shared" si="16"/>
        <v/>
      </c>
      <c r="H189" s="1">
        <f t="shared" si="14"/>
        <v>179</v>
      </c>
      <c r="J189" s="1">
        <f t="shared" si="17"/>
        <v>0</v>
      </c>
      <c r="K189" s="1">
        <f>SUM($L$9,$L$11:L189)</f>
        <v>0</v>
      </c>
      <c r="L189" s="1">
        <f>SUMIF(Iktato!$S$3:$S$10000,H189,Iktato!$V$3:$V$10000)</f>
        <v>0</v>
      </c>
    </row>
    <row r="190" spans="1:12" x14ac:dyDescent="0.25">
      <c r="A190" s="15" t="str">
        <f t="shared" si="15"/>
        <v/>
      </c>
      <c r="B190" s="15" t="str">
        <f>IF(H190&lt;=$L$1,VLOOKUP(H190,Iktato!$C$3:$O$10000,2,FALSE),"")</f>
        <v/>
      </c>
      <c r="C190" s="16" t="str">
        <f>IF(H190&lt;=$L$1,VLOOKUP(H190,Iktato!$C$3:$O$10000,4,FALSE),"")</f>
        <v/>
      </c>
      <c r="D190" s="3" t="str">
        <f>TRIM(IF(H190&lt;=$L$1,VLOOKUP(H190,Iktato!$C$3:$O$10000,7,FALSE),""))</f>
        <v/>
      </c>
      <c r="E190" s="3" t="str">
        <f>TRIM(IF(H190&lt;=$L$1,VLOOKUP(H190,Iktato!$C$3:$O$10000,8,FALSE),""))</f>
        <v/>
      </c>
      <c r="F190" s="4" t="str">
        <f t="shared" si="16"/>
        <v/>
      </c>
      <c r="H190" s="1">
        <f t="shared" si="14"/>
        <v>180</v>
      </c>
      <c r="J190" s="1">
        <f t="shared" si="17"/>
        <v>0</v>
      </c>
      <c r="K190" s="1">
        <f>SUM($L$9,$L$11:L190)</f>
        <v>0</v>
      </c>
      <c r="L190" s="1">
        <f>SUMIF(Iktato!$S$3:$S$10000,H190,Iktato!$V$3:$V$10000)</f>
        <v>0</v>
      </c>
    </row>
    <row r="191" spans="1:12" x14ac:dyDescent="0.25">
      <c r="A191" s="15" t="str">
        <f t="shared" si="15"/>
        <v/>
      </c>
      <c r="B191" s="15" t="str">
        <f>IF(H191&lt;=$L$1,VLOOKUP(H191,Iktato!$C$3:$O$10000,2,FALSE),"")</f>
        <v/>
      </c>
      <c r="C191" s="16" t="str">
        <f>IF(H191&lt;=$L$1,VLOOKUP(H191,Iktato!$C$3:$O$10000,4,FALSE),"")</f>
        <v/>
      </c>
      <c r="D191" s="3" t="str">
        <f>TRIM(IF(H191&lt;=$L$1,VLOOKUP(H191,Iktato!$C$3:$O$10000,7,FALSE),""))</f>
        <v/>
      </c>
      <c r="E191" s="3" t="str">
        <f>TRIM(IF(H191&lt;=$L$1,VLOOKUP(H191,Iktato!$C$3:$O$10000,8,FALSE),""))</f>
        <v/>
      </c>
      <c r="F191" s="4" t="str">
        <f t="shared" si="16"/>
        <v/>
      </c>
      <c r="H191" s="1">
        <f t="shared" si="14"/>
        <v>181</v>
      </c>
      <c r="J191" s="1">
        <f t="shared" si="17"/>
        <v>0</v>
      </c>
      <c r="K191" s="1">
        <f>SUM($L$9,$L$11:L191)</f>
        <v>0</v>
      </c>
      <c r="L191" s="1">
        <f>SUMIF(Iktato!$S$3:$S$10000,H191,Iktato!$V$3:$V$10000)</f>
        <v>0</v>
      </c>
    </row>
    <row r="192" spans="1:12" x14ac:dyDescent="0.25">
      <c r="A192" s="15" t="str">
        <f t="shared" si="15"/>
        <v/>
      </c>
      <c r="B192" s="15" t="str">
        <f>IF(H192&lt;=$L$1,VLOOKUP(H192,Iktato!$C$3:$O$10000,2,FALSE),"")</f>
        <v/>
      </c>
      <c r="C192" s="16" t="str">
        <f>IF(H192&lt;=$L$1,VLOOKUP(H192,Iktato!$C$3:$O$10000,4,FALSE),"")</f>
        <v/>
      </c>
      <c r="D192" s="3" t="str">
        <f>TRIM(IF(H192&lt;=$L$1,VLOOKUP(H192,Iktato!$C$3:$O$10000,7,FALSE),""))</f>
        <v/>
      </c>
      <c r="E192" s="3" t="str">
        <f>TRIM(IF(H192&lt;=$L$1,VLOOKUP(H192,Iktato!$C$3:$O$10000,8,FALSE),""))</f>
        <v/>
      </c>
      <c r="F192" s="4" t="str">
        <f t="shared" si="16"/>
        <v/>
      </c>
      <c r="H192" s="1">
        <f t="shared" si="14"/>
        <v>182</v>
      </c>
      <c r="J192" s="1">
        <f t="shared" si="17"/>
        <v>0</v>
      </c>
      <c r="K192" s="1">
        <f>SUM($L$9,$L$11:L192)</f>
        <v>0</v>
      </c>
      <c r="L192" s="1">
        <f>SUMIF(Iktato!$S$3:$S$10000,H192,Iktato!$V$3:$V$10000)</f>
        <v>0</v>
      </c>
    </row>
    <row r="193" spans="1:12" x14ac:dyDescent="0.25">
      <c r="A193" s="15" t="str">
        <f t="shared" si="15"/>
        <v/>
      </c>
      <c r="B193" s="15" t="str">
        <f>IF(H193&lt;=$L$1,VLOOKUP(H193,Iktato!$C$3:$O$10000,2,FALSE),"")</f>
        <v/>
      </c>
      <c r="C193" s="16" t="str">
        <f>IF(H193&lt;=$L$1,VLOOKUP(H193,Iktato!$C$3:$O$10000,4,FALSE),"")</f>
        <v/>
      </c>
      <c r="D193" s="3" t="str">
        <f>TRIM(IF(H193&lt;=$L$1,VLOOKUP(H193,Iktato!$C$3:$O$10000,7,FALSE),""))</f>
        <v/>
      </c>
      <c r="E193" s="3" t="str">
        <f>TRIM(IF(H193&lt;=$L$1,VLOOKUP(H193,Iktato!$C$3:$O$10000,8,FALSE),""))</f>
        <v/>
      </c>
      <c r="F193" s="4" t="str">
        <f t="shared" si="16"/>
        <v/>
      </c>
      <c r="H193" s="1">
        <f t="shared" si="14"/>
        <v>183</v>
      </c>
      <c r="J193" s="1">
        <f t="shared" si="17"/>
        <v>0</v>
      </c>
      <c r="K193" s="1">
        <f>SUM($L$9,$L$11:L193)</f>
        <v>0</v>
      </c>
      <c r="L193" s="1">
        <f>SUMIF(Iktato!$S$3:$S$10000,H193,Iktato!$V$3:$V$10000)</f>
        <v>0</v>
      </c>
    </row>
    <row r="194" spans="1:12" x14ac:dyDescent="0.25">
      <c r="A194" s="15" t="str">
        <f t="shared" si="15"/>
        <v/>
      </c>
      <c r="B194" s="15" t="str">
        <f>IF(H194&lt;=$L$1,VLOOKUP(H194,Iktato!$C$3:$O$10000,2,FALSE),"")</f>
        <v/>
      </c>
      <c r="C194" s="16" t="str">
        <f>IF(H194&lt;=$L$1,VLOOKUP(H194,Iktato!$C$3:$O$10000,4,FALSE),"")</f>
        <v/>
      </c>
      <c r="D194" s="3" t="str">
        <f>TRIM(IF(H194&lt;=$L$1,VLOOKUP(H194,Iktato!$C$3:$O$10000,7,FALSE),""))</f>
        <v/>
      </c>
      <c r="E194" s="3" t="str">
        <f>TRIM(IF(H194&lt;=$L$1,VLOOKUP(H194,Iktato!$C$3:$O$10000,8,FALSE),""))</f>
        <v/>
      </c>
      <c r="F194" s="4" t="str">
        <f t="shared" si="16"/>
        <v/>
      </c>
      <c r="H194" s="1">
        <f t="shared" si="14"/>
        <v>184</v>
      </c>
      <c r="J194" s="1">
        <f t="shared" si="17"/>
        <v>0</v>
      </c>
      <c r="K194" s="1">
        <f>SUM($L$9,$L$11:L194)</f>
        <v>0</v>
      </c>
      <c r="L194" s="1">
        <f>SUMIF(Iktato!$S$3:$S$10000,H194,Iktato!$V$3:$V$10000)</f>
        <v>0</v>
      </c>
    </row>
    <row r="195" spans="1:12" x14ac:dyDescent="0.25">
      <c r="A195" s="15" t="str">
        <f t="shared" si="15"/>
        <v/>
      </c>
      <c r="B195" s="15" t="str">
        <f>IF(H195&lt;=$L$1,VLOOKUP(H195,Iktato!$C$3:$O$10000,2,FALSE),"")</f>
        <v/>
      </c>
      <c r="C195" s="16" t="str">
        <f>IF(H195&lt;=$L$1,VLOOKUP(H195,Iktato!$C$3:$O$10000,4,FALSE),"")</f>
        <v/>
      </c>
      <c r="D195" s="3" t="str">
        <f>TRIM(IF(H195&lt;=$L$1,VLOOKUP(H195,Iktato!$C$3:$O$10000,7,FALSE),""))</f>
        <v/>
      </c>
      <c r="E195" s="3" t="str">
        <f>TRIM(IF(H195&lt;=$L$1,VLOOKUP(H195,Iktato!$C$3:$O$10000,8,FALSE),""))</f>
        <v/>
      </c>
      <c r="F195" s="4" t="str">
        <f t="shared" si="16"/>
        <v/>
      </c>
      <c r="H195" s="1">
        <f t="shared" si="14"/>
        <v>185</v>
      </c>
      <c r="J195" s="1">
        <f t="shared" si="17"/>
        <v>0</v>
      </c>
      <c r="K195" s="1">
        <f>SUM($L$9,$L$11:L195)</f>
        <v>0</v>
      </c>
      <c r="L195" s="1">
        <f>SUMIF(Iktato!$S$3:$S$10000,H195,Iktato!$V$3:$V$10000)</f>
        <v>0</v>
      </c>
    </row>
    <row r="196" spans="1:12" x14ac:dyDescent="0.25">
      <c r="A196" s="15" t="str">
        <f t="shared" si="15"/>
        <v/>
      </c>
      <c r="B196" s="15" t="str">
        <f>IF(H196&lt;=$L$1,VLOOKUP(H196,Iktato!$C$3:$O$10000,2,FALSE),"")</f>
        <v/>
      </c>
      <c r="C196" s="16" t="str">
        <f>IF(H196&lt;=$L$1,VLOOKUP(H196,Iktato!$C$3:$O$10000,4,FALSE),"")</f>
        <v/>
      </c>
      <c r="D196" s="3" t="str">
        <f>TRIM(IF(H196&lt;=$L$1,VLOOKUP(H196,Iktato!$C$3:$O$10000,7,FALSE),""))</f>
        <v/>
      </c>
      <c r="E196" s="3" t="str">
        <f>TRIM(IF(H196&lt;=$L$1,VLOOKUP(H196,Iktato!$C$3:$O$10000,8,FALSE),""))</f>
        <v/>
      </c>
      <c r="F196" s="4" t="str">
        <f t="shared" si="16"/>
        <v/>
      </c>
      <c r="H196" s="1">
        <f t="shared" si="14"/>
        <v>186</v>
      </c>
      <c r="J196" s="1">
        <f t="shared" si="17"/>
        <v>0</v>
      </c>
      <c r="K196" s="1">
        <f>SUM($L$9,$L$11:L196)</f>
        <v>0</v>
      </c>
      <c r="L196" s="1">
        <f>SUMIF(Iktato!$S$3:$S$10000,H196,Iktato!$V$3:$V$10000)</f>
        <v>0</v>
      </c>
    </row>
    <row r="197" spans="1:12" x14ac:dyDescent="0.25">
      <c r="A197" s="15" t="str">
        <f t="shared" si="15"/>
        <v/>
      </c>
      <c r="B197" s="15" t="str">
        <f>IF(H197&lt;=$L$1,VLOOKUP(H197,Iktato!$C$3:$O$10000,2,FALSE),"")</f>
        <v/>
      </c>
      <c r="C197" s="16" t="str">
        <f>IF(H197&lt;=$L$1,VLOOKUP(H197,Iktato!$C$3:$O$10000,4,FALSE),"")</f>
        <v/>
      </c>
      <c r="D197" s="3" t="str">
        <f>TRIM(IF(H197&lt;=$L$1,VLOOKUP(H197,Iktato!$C$3:$O$10000,7,FALSE),""))</f>
        <v/>
      </c>
      <c r="E197" s="3" t="str">
        <f>TRIM(IF(H197&lt;=$L$1,VLOOKUP(H197,Iktato!$C$3:$O$10000,8,FALSE),""))</f>
        <v/>
      </c>
      <c r="F197" s="4" t="str">
        <f t="shared" si="16"/>
        <v/>
      </c>
      <c r="H197" s="1">
        <f t="shared" si="14"/>
        <v>187</v>
      </c>
      <c r="J197" s="1">
        <f t="shared" si="17"/>
        <v>0</v>
      </c>
      <c r="K197" s="1">
        <f>SUM($L$9,$L$11:L197)</f>
        <v>0</v>
      </c>
      <c r="L197" s="1">
        <f>SUMIF(Iktato!$S$3:$S$10000,H197,Iktato!$V$3:$V$10000)</f>
        <v>0</v>
      </c>
    </row>
    <row r="198" spans="1:12" x14ac:dyDescent="0.25">
      <c r="A198" s="15" t="str">
        <f t="shared" si="15"/>
        <v/>
      </c>
      <c r="B198" s="15" t="str">
        <f>IF(H198&lt;=$L$1,VLOOKUP(H198,Iktato!$C$3:$O$10000,2,FALSE),"")</f>
        <v/>
      </c>
      <c r="C198" s="16" t="str">
        <f>IF(H198&lt;=$L$1,VLOOKUP(H198,Iktato!$C$3:$O$10000,4,FALSE),"")</f>
        <v/>
      </c>
      <c r="D198" s="3" t="str">
        <f>TRIM(IF(H198&lt;=$L$1,VLOOKUP(H198,Iktato!$C$3:$O$10000,7,FALSE),""))</f>
        <v/>
      </c>
      <c r="E198" s="3" t="str">
        <f>TRIM(IF(H198&lt;=$L$1,VLOOKUP(H198,Iktato!$C$3:$O$10000,8,FALSE),""))</f>
        <v/>
      </c>
      <c r="F198" s="4" t="str">
        <f t="shared" si="16"/>
        <v/>
      </c>
      <c r="H198" s="1">
        <f t="shared" si="14"/>
        <v>188</v>
      </c>
      <c r="J198" s="1">
        <f t="shared" si="17"/>
        <v>0</v>
      </c>
      <c r="K198" s="1">
        <f>SUM($L$9,$L$11:L198)</f>
        <v>0</v>
      </c>
      <c r="L198" s="1">
        <f>SUMIF(Iktato!$S$3:$S$10000,H198,Iktato!$V$3:$V$10000)</f>
        <v>0</v>
      </c>
    </row>
    <row r="199" spans="1:12" x14ac:dyDescent="0.25">
      <c r="A199" s="15" t="str">
        <f t="shared" si="15"/>
        <v/>
      </c>
      <c r="B199" s="15" t="str">
        <f>IF(H199&lt;=$L$1,VLOOKUP(H199,Iktato!$C$3:$O$10000,2,FALSE),"")</f>
        <v/>
      </c>
      <c r="C199" s="16" t="str">
        <f>IF(H199&lt;=$L$1,VLOOKUP(H199,Iktato!$C$3:$O$10000,4,FALSE),"")</f>
        <v/>
      </c>
      <c r="D199" s="3" t="str">
        <f>TRIM(IF(H199&lt;=$L$1,VLOOKUP(H199,Iktato!$C$3:$O$10000,7,FALSE),""))</f>
        <v/>
      </c>
      <c r="E199" s="3" t="str">
        <f>TRIM(IF(H199&lt;=$L$1,VLOOKUP(H199,Iktato!$C$3:$O$10000,8,FALSE),""))</f>
        <v/>
      </c>
      <c r="F199" s="4" t="str">
        <f t="shared" si="16"/>
        <v/>
      </c>
      <c r="H199" s="1">
        <f t="shared" si="14"/>
        <v>189</v>
      </c>
      <c r="J199" s="1">
        <f t="shared" si="17"/>
        <v>0</v>
      </c>
      <c r="K199" s="1">
        <f>SUM($L$9,$L$11:L199)</f>
        <v>0</v>
      </c>
      <c r="L199" s="1">
        <f>SUMIF(Iktato!$S$3:$S$10000,H199,Iktato!$V$3:$V$10000)</f>
        <v>0</v>
      </c>
    </row>
    <row r="200" spans="1:12" x14ac:dyDescent="0.25">
      <c r="A200" s="15" t="str">
        <f t="shared" si="15"/>
        <v/>
      </c>
      <c r="B200" s="15" t="str">
        <f>IF(H200&lt;=$L$1,VLOOKUP(H200,Iktato!$C$3:$O$10000,2,FALSE),"")</f>
        <v/>
      </c>
      <c r="C200" s="16" t="str">
        <f>IF(H200&lt;=$L$1,VLOOKUP(H200,Iktato!$C$3:$O$10000,4,FALSE),"")</f>
        <v/>
      </c>
      <c r="D200" s="3" t="str">
        <f>TRIM(IF(H200&lt;=$L$1,VLOOKUP(H200,Iktato!$C$3:$O$10000,7,FALSE),""))</f>
        <v/>
      </c>
      <c r="E200" s="3" t="str">
        <f>TRIM(IF(H200&lt;=$L$1,VLOOKUP(H200,Iktato!$C$3:$O$10000,8,FALSE),""))</f>
        <v/>
      </c>
      <c r="F200" s="4" t="str">
        <f t="shared" si="16"/>
        <v/>
      </c>
      <c r="H200" s="1">
        <f t="shared" si="14"/>
        <v>190</v>
      </c>
      <c r="J200" s="1">
        <f t="shared" si="17"/>
        <v>0</v>
      </c>
      <c r="K200" s="1">
        <f>SUM($L$9,$L$11:L200)</f>
        <v>0</v>
      </c>
      <c r="L200" s="1">
        <f>SUMIF(Iktato!$S$3:$S$10000,H200,Iktato!$V$3:$V$10000)</f>
        <v>0</v>
      </c>
    </row>
    <row r="201" spans="1:12" x14ac:dyDescent="0.25">
      <c r="A201" s="15" t="str">
        <f t="shared" si="15"/>
        <v/>
      </c>
      <c r="B201" s="15" t="str">
        <f>IF(H201&lt;=$L$1,VLOOKUP(H201,Iktato!$C$3:$O$10000,2,FALSE),"")</f>
        <v/>
      </c>
      <c r="C201" s="16" t="str">
        <f>IF(H201&lt;=$L$1,VLOOKUP(H201,Iktato!$C$3:$O$10000,4,FALSE),"")</f>
        <v/>
      </c>
      <c r="D201" s="3" t="str">
        <f>TRIM(IF(H201&lt;=$L$1,VLOOKUP(H201,Iktato!$C$3:$O$10000,7,FALSE),""))</f>
        <v/>
      </c>
      <c r="E201" s="3" t="str">
        <f>TRIM(IF(H201&lt;=$L$1,VLOOKUP(H201,Iktato!$C$3:$O$10000,8,FALSE),""))</f>
        <v/>
      </c>
      <c r="F201" s="4" t="str">
        <f t="shared" si="16"/>
        <v/>
      </c>
      <c r="H201" s="1">
        <f t="shared" si="14"/>
        <v>191</v>
      </c>
      <c r="J201" s="1">
        <f t="shared" si="17"/>
        <v>0</v>
      </c>
      <c r="K201" s="1">
        <f>SUM($L$9,$L$11:L201)</f>
        <v>0</v>
      </c>
      <c r="L201" s="1">
        <f>SUMIF(Iktato!$S$3:$S$10000,H201,Iktato!$V$3:$V$10000)</f>
        <v>0</v>
      </c>
    </row>
    <row r="202" spans="1:12" x14ac:dyDescent="0.25">
      <c r="A202" s="15" t="str">
        <f t="shared" si="15"/>
        <v/>
      </c>
      <c r="B202" s="15" t="str">
        <f>IF(H202&lt;=$L$1,VLOOKUP(H202,Iktato!$C$3:$O$10000,2,FALSE),"")</f>
        <v/>
      </c>
      <c r="C202" s="16" t="str">
        <f>IF(H202&lt;=$L$1,VLOOKUP(H202,Iktato!$C$3:$O$10000,4,FALSE),"")</f>
        <v/>
      </c>
      <c r="D202" s="3" t="str">
        <f>TRIM(IF(H202&lt;=$L$1,VLOOKUP(H202,Iktato!$C$3:$O$10000,7,FALSE),""))</f>
        <v/>
      </c>
      <c r="E202" s="3" t="str">
        <f>TRIM(IF(H202&lt;=$L$1,VLOOKUP(H202,Iktato!$C$3:$O$10000,8,FALSE),""))</f>
        <v/>
      </c>
      <c r="F202" s="4" t="str">
        <f t="shared" si="16"/>
        <v/>
      </c>
      <c r="H202" s="1">
        <f t="shared" si="14"/>
        <v>192</v>
      </c>
      <c r="J202" s="1">
        <f t="shared" si="17"/>
        <v>0</v>
      </c>
      <c r="K202" s="1">
        <f>SUM($L$9,$L$11:L202)</f>
        <v>0</v>
      </c>
      <c r="L202" s="1">
        <f>SUMIF(Iktato!$S$3:$S$10000,H202,Iktato!$V$3:$V$10000)</f>
        <v>0</v>
      </c>
    </row>
    <row r="203" spans="1:12" x14ac:dyDescent="0.25">
      <c r="A203" s="15" t="str">
        <f t="shared" si="15"/>
        <v/>
      </c>
      <c r="B203" s="15" t="str">
        <f>IF(H203&lt;=$L$1,VLOOKUP(H203,Iktato!$C$3:$O$10000,2,FALSE),"")</f>
        <v/>
      </c>
      <c r="C203" s="16" t="str">
        <f>IF(H203&lt;=$L$1,VLOOKUP(H203,Iktato!$C$3:$O$10000,4,FALSE),"")</f>
        <v/>
      </c>
      <c r="D203" s="3" t="str">
        <f>TRIM(IF(H203&lt;=$L$1,VLOOKUP(H203,Iktato!$C$3:$O$10000,7,FALSE),""))</f>
        <v/>
      </c>
      <c r="E203" s="3" t="str">
        <f>TRIM(IF(H203&lt;=$L$1,VLOOKUP(H203,Iktato!$C$3:$O$10000,8,FALSE),""))</f>
        <v/>
      </c>
      <c r="F203" s="4" t="str">
        <f t="shared" si="16"/>
        <v/>
      </c>
      <c r="H203" s="1">
        <f t="shared" si="14"/>
        <v>193</v>
      </c>
      <c r="J203" s="1">
        <f t="shared" si="17"/>
        <v>0</v>
      </c>
      <c r="K203" s="1">
        <f>SUM($L$9,$L$11:L203)</f>
        <v>0</v>
      </c>
      <c r="L203" s="1">
        <f>SUMIF(Iktato!$S$3:$S$10000,H203,Iktato!$V$3:$V$10000)</f>
        <v>0</v>
      </c>
    </row>
    <row r="204" spans="1:12" x14ac:dyDescent="0.25">
      <c r="A204" s="15" t="str">
        <f t="shared" si="15"/>
        <v/>
      </c>
      <c r="B204" s="15" t="str">
        <f>IF(H204&lt;=$L$1,VLOOKUP(H204,Iktato!$C$3:$O$10000,2,FALSE),"")</f>
        <v/>
      </c>
      <c r="C204" s="16" t="str">
        <f>IF(H204&lt;=$L$1,VLOOKUP(H204,Iktato!$C$3:$O$10000,4,FALSE),"")</f>
        <v/>
      </c>
      <c r="D204" s="3" t="str">
        <f>TRIM(IF(H204&lt;=$L$1,VLOOKUP(H204,Iktato!$C$3:$O$10000,7,FALSE),""))</f>
        <v/>
      </c>
      <c r="E204" s="3" t="str">
        <f>TRIM(IF(H204&lt;=$L$1,VLOOKUP(H204,Iktato!$C$3:$O$10000,8,FALSE),""))</f>
        <v/>
      </c>
      <c r="F204" s="4" t="str">
        <f t="shared" si="16"/>
        <v/>
      </c>
      <c r="H204" s="1">
        <f t="shared" ref="H204:H267" si="18">H203+1</f>
        <v>194</v>
      </c>
      <c r="J204" s="1">
        <f t="shared" si="17"/>
        <v>0</v>
      </c>
      <c r="K204" s="1">
        <f>SUM($L$9,$L$11:L204)</f>
        <v>0</v>
      </c>
      <c r="L204" s="1">
        <f>SUMIF(Iktato!$S$3:$S$10000,H204,Iktato!$V$3:$V$10000)</f>
        <v>0</v>
      </c>
    </row>
    <row r="205" spans="1:12" x14ac:dyDescent="0.25">
      <c r="A205" s="15" t="str">
        <f t="shared" si="15"/>
        <v/>
      </c>
      <c r="B205" s="15" t="str">
        <f>IF(H205&lt;=$L$1,VLOOKUP(H205,Iktato!$C$3:$O$10000,2,FALSE),"")</f>
        <v/>
      </c>
      <c r="C205" s="16" t="str">
        <f>IF(H205&lt;=$L$1,VLOOKUP(H205,Iktato!$C$3:$O$10000,4,FALSE),"")</f>
        <v/>
      </c>
      <c r="D205" s="3" t="str">
        <f>TRIM(IF(H205&lt;=$L$1,VLOOKUP(H205,Iktato!$C$3:$O$10000,7,FALSE),""))</f>
        <v/>
      </c>
      <c r="E205" s="3" t="str">
        <f>TRIM(IF(H205&lt;=$L$1,VLOOKUP(H205,Iktato!$C$3:$O$10000,8,FALSE),""))</f>
        <v/>
      </c>
      <c r="F205" s="4" t="str">
        <f t="shared" si="16"/>
        <v/>
      </c>
      <c r="H205" s="1">
        <f t="shared" si="18"/>
        <v>195</v>
      </c>
      <c r="J205" s="1">
        <f t="shared" si="17"/>
        <v>0</v>
      </c>
      <c r="K205" s="1">
        <f>SUM($L$9,$L$11:L205)</f>
        <v>0</v>
      </c>
      <c r="L205" s="1">
        <f>SUMIF(Iktato!$S$3:$S$10000,H205,Iktato!$V$3:$V$10000)</f>
        <v>0</v>
      </c>
    </row>
    <row r="206" spans="1:12" x14ac:dyDescent="0.25">
      <c r="A206" s="15" t="str">
        <f t="shared" si="15"/>
        <v/>
      </c>
      <c r="B206" s="15" t="str">
        <f>IF(H206&lt;=$L$1,VLOOKUP(H206,Iktato!$C$3:$O$10000,2,FALSE),"")</f>
        <v/>
      </c>
      <c r="C206" s="16" t="str">
        <f>IF(H206&lt;=$L$1,VLOOKUP(H206,Iktato!$C$3:$O$10000,4,FALSE),"")</f>
        <v/>
      </c>
      <c r="D206" s="3" t="str">
        <f>TRIM(IF(H206&lt;=$L$1,VLOOKUP(H206,Iktato!$C$3:$O$10000,7,FALSE),""))</f>
        <v/>
      </c>
      <c r="E206" s="3" t="str">
        <f>TRIM(IF(H206&lt;=$L$1,VLOOKUP(H206,Iktato!$C$3:$O$10000,8,FALSE),""))</f>
        <v/>
      </c>
      <c r="F206" s="4" t="str">
        <f t="shared" si="16"/>
        <v/>
      </c>
      <c r="H206" s="1">
        <f t="shared" si="18"/>
        <v>196</v>
      </c>
      <c r="J206" s="1">
        <f t="shared" si="17"/>
        <v>0</v>
      </c>
      <c r="K206" s="1">
        <f>SUM($L$9,$L$11:L206)</f>
        <v>0</v>
      </c>
      <c r="L206" s="1">
        <f>SUMIF(Iktato!$S$3:$S$10000,H206,Iktato!$V$3:$V$10000)</f>
        <v>0</v>
      </c>
    </row>
    <row r="207" spans="1:12" x14ac:dyDescent="0.25">
      <c r="A207" s="15" t="str">
        <f t="shared" si="15"/>
        <v/>
      </c>
      <c r="B207" s="15" t="str">
        <f>IF(H207&lt;=$L$1,VLOOKUP(H207,Iktato!$C$3:$O$10000,2,FALSE),"")</f>
        <v/>
      </c>
      <c r="C207" s="16" t="str">
        <f>IF(H207&lt;=$L$1,VLOOKUP(H207,Iktato!$C$3:$O$10000,4,FALSE),"")</f>
        <v/>
      </c>
      <c r="D207" s="3" t="str">
        <f>TRIM(IF(H207&lt;=$L$1,VLOOKUP(H207,Iktato!$C$3:$O$10000,7,FALSE),""))</f>
        <v/>
      </c>
      <c r="E207" s="3" t="str">
        <f>TRIM(IF(H207&lt;=$L$1,VLOOKUP(H207,Iktato!$C$3:$O$10000,8,FALSE),""))</f>
        <v/>
      </c>
      <c r="F207" s="4" t="str">
        <f t="shared" si="16"/>
        <v/>
      </c>
      <c r="H207" s="1">
        <f t="shared" si="18"/>
        <v>197</v>
      </c>
      <c r="J207" s="1">
        <f t="shared" si="17"/>
        <v>0</v>
      </c>
      <c r="K207" s="1">
        <f>SUM($L$9,$L$11:L207)</f>
        <v>0</v>
      </c>
      <c r="L207" s="1">
        <f>SUMIF(Iktato!$S$3:$S$10000,H207,Iktato!$V$3:$V$10000)</f>
        <v>0</v>
      </c>
    </row>
    <row r="208" spans="1:12" x14ac:dyDescent="0.25">
      <c r="A208" s="15" t="str">
        <f t="shared" si="15"/>
        <v/>
      </c>
      <c r="B208" s="15" t="str">
        <f>IF(H208&lt;=$L$1,VLOOKUP(H208,Iktato!$C$3:$O$10000,2,FALSE),"")</f>
        <v/>
      </c>
      <c r="C208" s="16" t="str">
        <f>IF(H208&lt;=$L$1,VLOOKUP(H208,Iktato!$C$3:$O$10000,4,FALSE),"")</f>
        <v/>
      </c>
      <c r="D208" s="3" t="str">
        <f>TRIM(IF(H208&lt;=$L$1,VLOOKUP(H208,Iktato!$C$3:$O$10000,7,FALSE),""))</f>
        <v/>
      </c>
      <c r="E208" s="3" t="str">
        <f>TRIM(IF(H208&lt;=$L$1,VLOOKUP(H208,Iktato!$C$3:$O$10000,8,FALSE),""))</f>
        <v/>
      </c>
      <c r="F208" s="4" t="str">
        <f t="shared" si="16"/>
        <v/>
      </c>
      <c r="H208" s="1">
        <f t="shared" si="18"/>
        <v>198</v>
      </c>
      <c r="J208" s="1">
        <f t="shared" si="17"/>
        <v>0</v>
      </c>
      <c r="K208" s="1">
        <f>SUM($L$9,$L$11:L208)</f>
        <v>0</v>
      </c>
      <c r="L208" s="1">
        <f>SUMIF(Iktato!$S$3:$S$10000,H208,Iktato!$V$3:$V$10000)</f>
        <v>0</v>
      </c>
    </row>
    <row r="209" spans="1:12" x14ac:dyDescent="0.25">
      <c r="A209" s="15" t="str">
        <f t="shared" si="15"/>
        <v/>
      </c>
      <c r="B209" s="15" t="str">
        <f>IF(H209&lt;=$L$1,VLOOKUP(H209,Iktato!$C$3:$O$10000,2,FALSE),"")</f>
        <v/>
      </c>
      <c r="C209" s="16" t="str">
        <f>IF(H209&lt;=$L$1,VLOOKUP(H209,Iktato!$C$3:$O$10000,4,FALSE),"")</f>
        <v/>
      </c>
      <c r="D209" s="3" t="str">
        <f>TRIM(IF(H209&lt;=$L$1,VLOOKUP(H209,Iktato!$C$3:$O$10000,7,FALSE),""))</f>
        <v/>
      </c>
      <c r="E209" s="3" t="str">
        <f>TRIM(IF(H209&lt;=$L$1,VLOOKUP(H209,Iktato!$C$3:$O$10000,8,FALSE),""))</f>
        <v/>
      </c>
      <c r="F209" s="4" t="str">
        <f t="shared" si="16"/>
        <v/>
      </c>
      <c r="H209" s="1">
        <f t="shared" si="18"/>
        <v>199</v>
      </c>
      <c r="J209" s="1">
        <f t="shared" si="17"/>
        <v>0</v>
      </c>
      <c r="K209" s="1">
        <f>SUM($L$9,$L$11:L209)</f>
        <v>0</v>
      </c>
      <c r="L209" s="1">
        <f>SUMIF(Iktato!$S$3:$S$10000,H209,Iktato!$V$3:$V$10000)</f>
        <v>0</v>
      </c>
    </row>
    <row r="210" spans="1:12" x14ac:dyDescent="0.25">
      <c r="A210" s="15" t="str">
        <f t="shared" si="15"/>
        <v/>
      </c>
      <c r="B210" s="15" t="str">
        <f>IF(H210&lt;=$L$1,VLOOKUP(H210,Iktato!$C$3:$O$10000,2,FALSE),"")</f>
        <v/>
      </c>
      <c r="C210" s="16" t="str">
        <f>IF(H210&lt;=$L$1,VLOOKUP(H210,Iktato!$C$3:$O$10000,4,FALSE),"")</f>
        <v/>
      </c>
      <c r="D210" s="3" t="str">
        <f>TRIM(IF(H210&lt;=$L$1,VLOOKUP(H210,Iktato!$C$3:$O$10000,7,FALSE),""))</f>
        <v/>
      </c>
      <c r="E210" s="3" t="str">
        <f>TRIM(IF(H210&lt;=$L$1,VLOOKUP(H210,Iktato!$C$3:$O$10000,8,FALSE),""))</f>
        <v/>
      </c>
      <c r="F210" s="4" t="str">
        <f t="shared" si="16"/>
        <v/>
      </c>
      <c r="H210" s="1">
        <f t="shared" si="18"/>
        <v>200</v>
      </c>
      <c r="J210" s="1">
        <f t="shared" si="17"/>
        <v>0</v>
      </c>
      <c r="K210" s="1">
        <f>SUM($L$9,$L$11:L210)</f>
        <v>0</v>
      </c>
      <c r="L210" s="1">
        <f>SUMIF(Iktato!$S$3:$S$10000,H210,Iktato!$V$3:$V$10000)</f>
        <v>0</v>
      </c>
    </row>
    <row r="211" spans="1:12" x14ac:dyDescent="0.25">
      <c r="A211" s="15" t="str">
        <f t="shared" si="15"/>
        <v/>
      </c>
      <c r="B211" s="15" t="str">
        <f>IF(H211&lt;=$L$1,VLOOKUP(H211,Iktato!$C$3:$O$10000,2,FALSE),"")</f>
        <v/>
      </c>
      <c r="C211" s="16" t="str">
        <f>IF(H211&lt;=$L$1,VLOOKUP(H211,Iktato!$C$3:$O$10000,4,FALSE),"")</f>
        <v/>
      </c>
      <c r="D211" s="3" t="str">
        <f>TRIM(IF(H211&lt;=$L$1,VLOOKUP(H211,Iktato!$C$3:$O$10000,7,FALSE),""))</f>
        <v/>
      </c>
      <c r="E211" s="3" t="str">
        <f>TRIM(IF(H211&lt;=$L$1,VLOOKUP(H211,Iktato!$C$3:$O$10000,8,FALSE),""))</f>
        <v/>
      </c>
      <c r="F211" s="4" t="str">
        <f t="shared" si="16"/>
        <v/>
      </c>
      <c r="H211" s="1">
        <f t="shared" si="18"/>
        <v>201</v>
      </c>
      <c r="J211" s="1">
        <f t="shared" si="17"/>
        <v>0</v>
      </c>
      <c r="K211" s="1">
        <f>SUM($L$9,$L$11:L211)</f>
        <v>0</v>
      </c>
      <c r="L211" s="1">
        <f>SUMIF(Iktato!$S$3:$S$10000,H211,Iktato!$V$3:$V$10000)</f>
        <v>0</v>
      </c>
    </row>
    <row r="212" spans="1:12" x14ac:dyDescent="0.25">
      <c r="A212" s="15" t="str">
        <f t="shared" ref="A212:A275" si="19">IF(H212&lt;=$L$1,H212,"")</f>
        <v/>
      </c>
      <c r="B212" s="15" t="str">
        <f>IF(H212&lt;=$L$1,VLOOKUP(H212,Iktato!$C$3:$O$10000,2,FALSE),"")</f>
        <v/>
      </c>
      <c r="C212" s="16" t="str">
        <f>IF(H212&lt;=$L$1,VLOOKUP(H212,Iktato!$C$3:$O$10000,4,FALSE),"")</f>
        <v/>
      </c>
      <c r="D212" s="3" t="str">
        <f>TRIM(IF(H212&lt;=$L$1,VLOOKUP(H212,Iktato!$C$3:$O$10000,7,FALSE),""))</f>
        <v/>
      </c>
      <c r="E212" s="3" t="str">
        <f>TRIM(IF(H212&lt;=$L$1,VLOOKUP(H212,Iktato!$C$3:$O$10000,8,FALSE),""))</f>
        <v/>
      </c>
      <c r="F212" s="4" t="str">
        <f t="shared" ref="F212:F275" si="20">IF(H212&lt;=$L$1,J212,"")</f>
        <v/>
      </c>
      <c r="H212" s="1">
        <f t="shared" si="18"/>
        <v>202</v>
      </c>
      <c r="J212" s="1">
        <f t="shared" ref="J212:J275" si="21">IF(L212&lt;&gt;0,IF(K212&lt;&gt;K211+1,K211+1&amp;"-"&amp;K212,K212),J211)</f>
        <v>0</v>
      </c>
      <c r="K212" s="1">
        <f>SUM($L$9,$L$11:L212)</f>
        <v>0</v>
      </c>
      <c r="L212" s="1">
        <f>SUMIF(Iktato!$S$3:$S$10000,H212,Iktato!$V$3:$V$10000)</f>
        <v>0</v>
      </c>
    </row>
    <row r="213" spans="1:12" x14ac:dyDescent="0.25">
      <c r="A213" s="15" t="str">
        <f t="shared" si="19"/>
        <v/>
      </c>
      <c r="B213" s="15" t="str">
        <f>IF(H213&lt;=$L$1,VLOOKUP(H213,Iktato!$C$3:$O$10000,2,FALSE),"")</f>
        <v/>
      </c>
      <c r="C213" s="16" t="str">
        <f>IF(H213&lt;=$L$1,VLOOKUP(H213,Iktato!$C$3:$O$10000,4,FALSE),"")</f>
        <v/>
      </c>
      <c r="D213" s="3" t="str">
        <f>TRIM(IF(H213&lt;=$L$1,VLOOKUP(H213,Iktato!$C$3:$O$10000,7,FALSE),""))</f>
        <v/>
      </c>
      <c r="E213" s="3" t="str">
        <f>TRIM(IF(H213&lt;=$L$1,VLOOKUP(H213,Iktato!$C$3:$O$10000,8,FALSE),""))</f>
        <v/>
      </c>
      <c r="F213" s="4" t="str">
        <f t="shared" si="20"/>
        <v/>
      </c>
      <c r="H213" s="1">
        <f t="shared" si="18"/>
        <v>203</v>
      </c>
      <c r="J213" s="1">
        <f t="shared" si="21"/>
        <v>0</v>
      </c>
      <c r="K213" s="1">
        <f>SUM($L$9,$L$11:L213)</f>
        <v>0</v>
      </c>
      <c r="L213" s="1">
        <f>SUMIF(Iktato!$S$3:$S$10000,H213,Iktato!$V$3:$V$10000)</f>
        <v>0</v>
      </c>
    </row>
    <row r="214" spans="1:12" x14ac:dyDescent="0.25">
      <c r="A214" s="15" t="str">
        <f t="shared" si="19"/>
        <v/>
      </c>
      <c r="B214" s="15" t="str">
        <f>IF(H214&lt;=$L$1,VLOOKUP(H214,Iktato!$C$3:$O$10000,2,FALSE),"")</f>
        <v/>
      </c>
      <c r="C214" s="16" t="str">
        <f>IF(H214&lt;=$L$1,VLOOKUP(H214,Iktato!$C$3:$O$10000,4,FALSE),"")</f>
        <v/>
      </c>
      <c r="D214" s="3" t="str">
        <f>TRIM(IF(H214&lt;=$L$1,VLOOKUP(H214,Iktato!$C$3:$O$10000,7,FALSE),""))</f>
        <v/>
      </c>
      <c r="E214" s="3" t="str">
        <f>TRIM(IF(H214&lt;=$L$1,VLOOKUP(H214,Iktato!$C$3:$O$10000,8,FALSE),""))</f>
        <v/>
      </c>
      <c r="F214" s="4" t="str">
        <f t="shared" si="20"/>
        <v/>
      </c>
      <c r="H214" s="1">
        <f t="shared" si="18"/>
        <v>204</v>
      </c>
      <c r="J214" s="1">
        <f t="shared" si="21"/>
        <v>0</v>
      </c>
      <c r="K214" s="1">
        <f>SUM($L$9,$L$11:L214)</f>
        <v>0</v>
      </c>
      <c r="L214" s="1">
        <f>SUMIF(Iktato!$S$3:$S$10000,H214,Iktato!$V$3:$V$10000)</f>
        <v>0</v>
      </c>
    </row>
    <row r="215" spans="1:12" x14ac:dyDescent="0.25">
      <c r="A215" s="15" t="str">
        <f t="shared" si="19"/>
        <v/>
      </c>
      <c r="B215" s="15" t="str">
        <f>IF(H215&lt;=$L$1,VLOOKUP(H215,Iktato!$C$3:$O$10000,2,FALSE),"")</f>
        <v/>
      </c>
      <c r="C215" s="16" t="str">
        <f>IF(H215&lt;=$L$1,VLOOKUP(H215,Iktato!$C$3:$O$10000,4,FALSE),"")</f>
        <v/>
      </c>
      <c r="D215" s="3" t="str">
        <f>TRIM(IF(H215&lt;=$L$1,VLOOKUP(H215,Iktato!$C$3:$O$10000,7,FALSE),""))</f>
        <v/>
      </c>
      <c r="E215" s="3" t="str">
        <f>TRIM(IF(H215&lt;=$L$1,VLOOKUP(H215,Iktato!$C$3:$O$10000,8,FALSE),""))</f>
        <v/>
      </c>
      <c r="F215" s="4" t="str">
        <f t="shared" si="20"/>
        <v/>
      </c>
      <c r="H215" s="1">
        <f t="shared" si="18"/>
        <v>205</v>
      </c>
      <c r="J215" s="1">
        <f t="shared" si="21"/>
        <v>0</v>
      </c>
      <c r="K215" s="1">
        <f>SUM($L$9,$L$11:L215)</f>
        <v>0</v>
      </c>
      <c r="L215" s="1">
        <f>SUMIF(Iktato!$S$3:$S$10000,H215,Iktato!$V$3:$V$10000)</f>
        <v>0</v>
      </c>
    </row>
    <row r="216" spans="1:12" x14ac:dyDescent="0.25">
      <c r="A216" s="15" t="str">
        <f t="shared" si="19"/>
        <v/>
      </c>
      <c r="B216" s="15" t="str">
        <f>IF(H216&lt;=$L$1,VLOOKUP(H216,Iktato!$C$3:$O$10000,2,FALSE),"")</f>
        <v/>
      </c>
      <c r="C216" s="16" t="str">
        <f>IF(H216&lt;=$L$1,VLOOKUP(H216,Iktato!$C$3:$O$10000,4,FALSE),"")</f>
        <v/>
      </c>
      <c r="D216" s="3" t="str">
        <f>TRIM(IF(H216&lt;=$L$1,VLOOKUP(H216,Iktato!$C$3:$O$10000,7,FALSE),""))</f>
        <v/>
      </c>
      <c r="E216" s="3" t="str">
        <f>TRIM(IF(H216&lt;=$L$1,VLOOKUP(H216,Iktato!$C$3:$O$10000,8,FALSE),""))</f>
        <v/>
      </c>
      <c r="F216" s="4" t="str">
        <f t="shared" si="20"/>
        <v/>
      </c>
      <c r="H216" s="1">
        <f t="shared" si="18"/>
        <v>206</v>
      </c>
      <c r="J216" s="1">
        <f t="shared" si="21"/>
        <v>0</v>
      </c>
      <c r="K216" s="1">
        <f>SUM($L$9,$L$11:L216)</f>
        <v>0</v>
      </c>
      <c r="L216" s="1">
        <f>SUMIF(Iktato!$S$3:$S$10000,H216,Iktato!$V$3:$V$10000)</f>
        <v>0</v>
      </c>
    </row>
    <row r="217" spans="1:12" x14ac:dyDescent="0.25">
      <c r="A217" s="15" t="str">
        <f t="shared" si="19"/>
        <v/>
      </c>
      <c r="B217" s="15" t="str">
        <f>IF(H217&lt;=$L$1,VLOOKUP(H217,Iktato!$C$3:$O$10000,2,FALSE),"")</f>
        <v/>
      </c>
      <c r="C217" s="16" t="str">
        <f>IF(H217&lt;=$L$1,VLOOKUP(H217,Iktato!$C$3:$O$10000,4,FALSE),"")</f>
        <v/>
      </c>
      <c r="D217" s="3" t="str">
        <f>TRIM(IF(H217&lt;=$L$1,VLOOKUP(H217,Iktato!$C$3:$O$10000,7,FALSE),""))</f>
        <v/>
      </c>
      <c r="E217" s="3" t="str">
        <f>TRIM(IF(H217&lt;=$L$1,VLOOKUP(H217,Iktato!$C$3:$O$10000,8,FALSE),""))</f>
        <v/>
      </c>
      <c r="F217" s="4" t="str">
        <f t="shared" si="20"/>
        <v/>
      </c>
      <c r="H217" s="1">
        <f t="shared" si="18"/>
        <v>207</v>
      </c>
      <c r="J217" s="1">
        <f t="shared" si="21"/>
        <v>0</v>
      </c>
      <c r="K217" s="1">
        <f>SUM($L$9,$L$11:L217)</f>
        <v>0</v>
      </c>
      <c r="L217" s="1">
        <f>SUMIF(Iktato!$S$3:$S$10000,H217,Iktato!$V$3:$V$10000)</f>
        <v>0</v>
      </c>
    </row>
    <row r="218" spans="1:12" x14ac:dyDescent="0.25">
      <c r="A218" s="15" t="str">
        <f t="shared" si="19"/>
        <v/>
      </c>
      <c r="B218" s="15" t="str">
        <f>IF(H218&lt;=$L$1,VLOOKUP(H218,Iktato!$C$3:$O$10000,2,FALSE),"")</f>
        <v/>
      </c>
      <c r="C218" s="16" t="str">
        <f>IF(H218&lt;=$L$1,VLOOKUP(H218,Iktato!$C$3:$O$10000,4,FALSE),"")</f>
        <v/>
      </c>
      <c r="D218" s="3" t="str">
        <f>TRIM(IF(H218&lt;=$L$1,VLOOKUP(H218,Iktato!$C$3:$O$10000,7,FALSE),""))</f>
        <v/>
      </c>
      <c r="E218" s="3" t="str">
        <f>TRIM(IF(H218&lt;=$L$1,VLOOKUP(H218,Iktato!$C$3:$O$10000,8,FALSE),""))</f>
        <v/>
      </c>
      <c r="F218" s="4" t="str">
        <f t="shared" si="20"/>
        <v/>
      </c>
      <c r="H218" s="1">
        <f t="shared" si="18"/>
        <v>208</v>
      </c>
      <c r="J218" s="1">
        <f t="shared" si="21"/>
        <v>0</v>
      </c>
      <c r="K218" s="1">
        <f>SUM($L$9,$L$11:L218)</f>
        <v>0</v>
      </c>
      <c r="L218" s="1">
        <f>SUMIF(Iktato!$S$3:$S$10000,H218,Iktato!$V$3:$V$10000)</f>
        <v>0</v>
      </c>
    </row>
    <row r="219" spans="1:12" x14ac:dyDescent="0.25">
      <c r="A219" s="15" t="str">
        <f t="shared" si="19"/>
        <v/>
      </c>
      <c r="B219" s="15" t="str">
        <f>IF(H219&lt;=$L$1,VLOOKUP(H219,Iktato!$C$3:$O$10000,2,FALSE),"")</f>
        <v/>
      </c>
      <c r="C219" s="16" t="str">
        <f>IF(H219&lt;=$L$1,VLOOKUP(H219,Iktato!$C$3:$O$10000,4,FALSE),"")</f>
        <v/>
      </c>
      <c r="D219" s="3" t="str">
        <f>TRIM(IF(H219&lt;=$L$1,VLOOKUP(H219,Iktato!$C$3:$O$10000,7,FALSE),""))</f>
        <v/>
      </c>
      <c r="E219" s="3" t="str">
        <f>TRIM(IF(H219&lt;=$L$1,VLOOKUP(H219,Iktato!$C$3:$O$10000,8,FALSE),""))</f>
        <v/>
      </c>
      <c r="F219" s="4" t="str">
        <f t="shared" si="20"/>
        <v/>
      </c>
      <c r="H219" s="1">
        <f t="shared" si="18"/>
        <v>209</v>
      </c>
      <c r="J219" s="1">
        <f t="shared" si="21"/>
        <v>0</v>
      </c>
      <c r="K219" s="1">
        <f>SUM($L$9,$L$11:L219)</f>
        <v>0</v>
      </c>
      <c r="L219" s="1">
        <f>SUMIF(Iktato!$S$3:$S$10000,H219,Iktato!$V$3:$V$10000)</f>
        <v>0</v>
      </c>
    </row>
    <row r="220" spans="1:12" x14ac:dyDescent="0.25">
      <c r="A220" s="15" t="str">
        <f t="shared" si="19"/>
        <v/>
      </c>
      <c r="B220" s="15" t="str">
        <f>IF(H220&lt;=$L$1,VLOOKUP(H220,Iktato!$C$3:$O$10000,2,FALSE),"")</f>
        <v/>
      </c>
      <c r="C220" s="16" t="str">
        <f>IF(H220&lt;=$L$1,VLOOKUP(H220,Iktato!$C$3:$O$10000,4,FALSE),"")</f>
        <v/>
      </c>
      <c r="D220" s="3" t="str">
        <f>TRIM(IF(H220&lt;=$L$1,VLOOKUP(H220,Iktato!$C$3:$O$10000,7,FALSE),""))</f>
        <v/>
      </c>
      <c r="E220" s="3" t="str">
        <f>TRIM(IF(H220&lt;=$L$1,VLOOKUP(H220,Iktato!$C$3:$O$10000,8,FALSE),""))</f>
        <v/>
      </c>
      <c r="F220" s="4" t="str">
        <f t="shared" si="20"/>
        <v/>
      </c>
      <c r="H220" s="1">
        <f t="shared" si="18"/>
        <v>210</v>
      </c>
      <c r="J220" s="1">
        <f t="shared" si="21"/>
        <v>0</v>
      </c>
      <c r="K220" s="1">
        <f>SUM($L$9,$L$11:L220)</f>
        <v>0</v>
      </c>
      <c r="L220" s="1">
        <f>SUMIF(Iktato!$S$3:$S$10000,H220,Iktato!$V$3:$V$10000)</f>
        <v>0</v>
      </c>
    </row>
    <row r="221" spans="1:12" x14ac:dyDescent="0.25">
      <c r="A221" s="15" t="str">
        <f t="shared" si="19"/>
        <v/>
      </c>
      <c r="B221" s="15" t="str">
        <f>IF(H221&lt;=$L$1,VLOOKUP(H221,Iktato!$C$3:$O$10000,2,FALSE),"")</f>
        <v/>
      </c>
      <c r="C221" s="16" t="str">
        <f>IF(H221&lt;=$L$1,VLOOKUP(H221,Iktato!$C$3:$O$10000,4,FALSE),"")</f>
        <v/>
      </c>
      <c r="D221" s="3" t="str">
        <f>TRIM(IF(H221&lt;=$L$1,VLOOKUP(H221,Iktato!$C$3:$O$10000,7,FALSE),""))</f>
        <v/>
      </c>
      <c r="E221" s="3" t="str">
        <f>TRIM(IF(H221&lt;=$L$1,VLOOKUP(H221,Iktato!$C$3:$O$10000,8,FALSE),""))</f>
        <v/>
      </c>
      <c r="F221" s="4" t="str">
        <f t="shared" si="20"/>
        <v/>
      </c>
      <c r="H221" s="1">
        <f t="shared" si="18"/>
        <v>211</v>
      </c>
      <c r="J221" s="1">
        <f t="shared" si="21"/>
        <v>0</v>
      </c>
      <c r="K221" s="1">
        <f>SUM($L$9,$L$11:L221)</f>
        <v>0</v>
      </c>
      <c r="L221" s="1">
        <f>SUMIF(Iktato!$S$3:$S$10000,H221,Iktato!$V$3:$V$10000)</f>
        <v>0</v>
      </c>
    </row>
    <row r="222" spans="1:12" x14ac:dyDescent="0.25">
      <c r="A222" s="15" t="str">
        <f t="shared" si="19"/>
        <v/>
      </c>
      <c r="B222" s="15" t="str">
        <f>IF(H222&lt;=$L$1,VLOOKUP(H222,Iktato!$C$3:$O$10000,2,FALSE),"")</f>
        <v/>
      </c>
      <c r="C222" s="16" t="str">
        <f>IF(H222&lt;=$L$1,VLOOKUP(H222,Iktato!$C$3:$O$10000,4,FALSE),"")</f>
        <v/>
      </c>
      <c r="D222" s="3" t="str">
        <f>TRIM(IF(H222&lt;=$L$1,VLOOKUP(H222,Iktato!$C$3:$O$10000,7,FALSE),""))</f>
        <v/>
      </c>
      <c r="E222" s="3" t="str">
        <f>TRIM(IF(H222&lt;=$L$1,VLOOKUP(H222,Iktato!$C$3:$O$10000,8,FALSE),""))</f>
        <v/>
      </c>
      <c r="F222" s="4" t="str">
        <f t="shared" si="20"/>
        <v/>
      </c>
      <c r="H222" s="1">
        <f t="shared" si="18"/>
        <v>212</v>
      </c>
      <c r="J222" s="1">
        <f t="shared" si="21"/>
        <v>0</v>
      </c>
      <c r="K222" s="1">
        <f>SUM($L$9,$L$11:L222)</f>
        <v>0</v>
      </c>
      <c r="L222" s="1">
        <f>SUMIF(Iktato!$S$3:$S$10000,H222,Iktato!$V$3:$V$10000)</f>
        <v>0</v>
      </c>
    </row>
    <row r="223" spans="1:12" x14ac:dyDescent="0.25">
      <c r="A223" s="15" t="str">
        <f t="shared" si="19"/>
        <v/>
      </c>
      <c r="B223" s="15" t="str">
        <f>IF(H223&lt;=$L$1,VLOOKUP(H223,Iktato!$C$3:$O$10000,2,FALSE),"")</f>
        <v/>
      </c>
      <c r="C223" s="16" t="str">
        <f>IF(H223&lt;=$L$1,VLOOKUP(H223,Iktato!$C$3:$O$10000,4,FALSE),"")</f>
        <v/>
      </c>
      <c r="D223" s="3" t="str">
        <f>TRIM(IF(H223&lt;=$L$1,VLOOKUP(H223,Iktato!$C$3:$O$10000,7,FALSE),""))</f>
        <v/>
      </c>
      <c r="E223" s="3" t="str">
        <f>TRIM(IF(H223&lt;=$L$1,VLOOKUP(H223,Iktato!$C$3:$O$10000,8,FALSE),""))</f>
        <v/>
      </c>
      <c r="F223" s="4" t="str">
        <f t="shared" si="20"/>
        <v/>
      </c>
      <c r="H223" s="1">
        <f t="shared" si="18"/>
        <v>213</v>
      </c>
      <c r="J223" s="1">
        <f t="shared" si="21"/>
        <v>0</v>
      </c>
      <c r="K223" s="1">
        <f>SUM($L$9,$L$11:L223)</f>
        <v>0</v>
      </c>
      <c r="L223" s="1">
        <f>SUMIF(Iktato!$S$3:$S$10000,H223,Iktato!$V$3:$V$10000)</f>
        <v>0</v>
      </c>
    </row>
    <row r="224" spans="1:12" x14ac:dyDescent="0.25">
      <c r="A224" s="15" t="str">
        <f t="shared" si="19"/>
        <v/>
      </c>
      <c r="B224" s="15" t="str">
        <f>IF(H224&lt;=$L$1,VLOOKUP(H224,Iktato!$C$3:$O$10000,2,FALSE),"")</f>
        <v/>
      </c>
      <c r="C224" s="16" t="str">
        <f>IF(H224&lt;=$L$1,VLOOKUP(H224,Iktato!$C$3:$O$10000,4,FALSE),"")</f>
        <v/>
      </c>
      <c r="D224" s="3" t="str">
        <f>TRIM(IF(H224&lt;=$L$1,VLOOKUP(H224,Iktato!$C$3:$O$10000,7,FALSE),""))</f>
        <v/>
      </c>
      <c r="E224" s="3" t="str">
        <f>TRIM(IF(H224&lt;=$L$1,VLOOKUP(H224,Iktato!$C$3:$O$10000,8,FALSE),""))</f>
        <v/>
      </c>
      <c r="F224" s="4" t="str">
        <f t="shared" si="20"/>
        <v/>
      </c>
      <c r="H224" s="1">
        <f t="shared" si="18"/>
        <v>214</v>
      </c>
      <c r="J224" s="1">
        <f t="shared" si="21"/>
        <v>0</v>
      </c>
      <c r="K224" s="1">
        <f>SUM($L$9,$L$11:L224)</f>
        <v>0</v>
      </c>
      <c r="L224" s="1">
        <f>SUMIF(Iktato!$S$3:$S$10000,H224,Iktato!$V$3:$V$10000)</f>
        <v>0</v>
      </c>
    </row>
    <row r="225" spans="1:12" x14ac:dyDescent="0.25">
      <c r="A225" s="15" t="str">
        <f t="shared" si="19"/>
        <v/>
      </c>
      <c r="B225" s="15" t="str">
        <f>IF(H225&lt;=$L$1,VLOOKUP(H225,Iktato!$C$3:$O$10000,2,FALSE),"")</f>
        <v/>
      </c>
      <c r="C225" s="16" t="str">
        <f>IF(H225&lt;=$L$1,VLOOKUP(H225,Iktato!$C$3:$O$10000,4,FALSE),"")</f>
        <v/>
      </c>
      <c r="D225" s="3" t="str">
        <f>TRIM(IF(H225&lt;=$L$1,VLOOKUP(H225,Iktato!$C$3:$O$10000,7,FALSE),""))</f>
        <v/>
      </c>
      <c r="E225" s="3" t="str">
        <f>TRIM(IF(H225&lt;=$L$1,VLOOKUP(H225,Iktato!$C$3:$O$10000,8,FALSE),""))</f>
        <v/>
      </c>
      <c r="F225" s="4" t="str">
        <f t="shared" si="20"/>
        <v/>
      </c>
      <c r="H225" s="1">
        <f t="shared" si="18"/>
        <v>215</v>
      </c>
      <c r="J225" s="1">
        <f t="shared" si="21"/>
        <v>0</v>
      </c>
      <c r="K225" s="1">
        <f>SUM($L$9,$L$11:L225)</f>
        <v>0</v>
      </c>
      <c r="L225" s="1">
        <f>SUMIF(Iktato!$S$3:$S$10000,H225,Iktato!$V$3:$V$10000)</f>
        <v>0</v>
      </c>
    </row>
    <row r="226" spans="1:12" x14ac:dyDescent="0.25">
      <c r="A226" s="15" t="str">
        <f t="shared" si="19"/>
        <v/>
      </c>
      <c r="B226" s="15" t="str">
        <f>IF(H226&lt;=$L$1,VLOOKUP(H226,Iktato!$C$3:$O$10000,2,FALSE),"")</f>
        <v/>
      </c>
      <c r="C226" s="16" t="str">
        <f>IF(H226&lt;=$L$1,VLOOKUP(H226,Iktato!$C$3:$O$10000,4,FALSE),"")</f>
        <v/>
      </c>
      <c r="D226" s="3" t="str">
        <f>TRIM(IF(H226&lt;=$L$1,VLOOKUP(H226,Iktato!$C$3:$O$10000,7,FALSE),""))</f>
        <v/>
      </c>
      <c r="E226" s="3" t="str">
        <f>TRIM(IF(H226&lt;=$L$1,VLOOKUP(H226,Iktato!$C$3:$O$10000,8,FALSE),""))</f>
        <v/>
      </c>
      <c r="F226" s="4" t="str">
        <f t="shared" si="20"/>
        <v/>
      </c>
      <c r="H226" s="1">
        <f t="shared" si="18"/>
        <v>216</v>
      </c>
      <c r="J226" s="1">
        <f t="shared" si="21"/>
        <v>0</v>
      </c>
      <c r="K226" s="1">
        <f>SUM($L$9,$L$11:L226)</f>
        <v>0</v>
      </c>
      <c r="L226" s="1">
        <f>SUMIF(Iktato!$S$3:$S$10000,H226,Iktato!$V$3:$V$10000)</f>
        <v>0</v>
      </c>
    </row>
    <row r="227" spans="1:12" x14ac:dyDescent="0.25">
      <c r="A227" s="15" t="str">
        <f t="shared" si="19"/>
        <v/>
      </c>
      <c r="B227" s="15" t="str">
        <f>IF(H227&lt;=$L$1,VLOOKUP(H227,Iktato!$C$3:$O$10000,2,FALSE),"")</f>
        <v/>
      </c>
      <c r="C227" s="16" t="str">
        <f>IF(H227&lt;=$L$1,VLOOKUP(H227,Iktato!$C$3:$O$10000,4,FALSE),"")</f>
        <v/>
      </c>
      <c r="D227" s="3" t="str">
        <f>TRIM(IF(H227&lt;=$L$1,VLOOKUP(H227,Iktato!$C$3:$O$10000,7,FALSE),""))</f>
        <v/>
      </c>
      <c r="E227" s="3" t="str">
        <f>TRIM(IF(H227&lt;=$L$1,VLOOKUP(H227,Iktato!$C$3:$O$10000,8,FALSE),""))</f>
        <v/>
      </c>
      <c r="F227" s="4" t="str">
        <f t="shared" si="20"/>
        <v/>
      </c>
      <c r="H227" s="1">
        <f t="shared" si="18"/>
        <v>217</v>
      </c>
      <c r="J227" s="1">
        <f t="shared" si="21"/>
        <v>0</v>
      </c>
      <c r="K227" s="1">
        <f>SUM($L$9,$L$11:L227)</f>
        <v>0</v>
      </c>
      <c r="L227" s="1">
        <f>SUMIF(Iktato!$S$3:$S$10000,H227,Iktato!$V$3:$V$10000)</f>
        <v>0</v>
      </c>
    </row>
    <row r="228" spans="1:12" x14ac:dyDescent="0.25">
      <c r="A228" s="15" t="str">
        <f t="shared" si="19"/>
        <v/>
      </c>
      <c r="B228" s="15" t="str">
        <f>IF(H228&lt;=$L$1,VLOOKUP(H228,Iktato!$C$3:$O$10000,2,FALSE),"")</f>
        <v/>
      </c>
      <c r="C228" s="16" t="str">
        <f>IF(H228&lt;=$L$1,VLOOKUP(H228,Iktato!$C$3:$O$10000,4,FALSE),"")</f>
        <v/>
      </c>
      <c r="D228" s="3" t="str">
        <f>TRIM(IF(H228&lt;=$L$1,VLOOKUP(H228,Iktato!$C$3:$O$10000,7,FALSE),""))</f>
        <v/>
      </c>
      <c r="E228" s="3" t="str">
        <f>TRIM(IF(H228&lt;=$L$1,VLOOKUP(H228,Iktato!$C$3:$O$10000,8,FALSE),""))</f>
        <v/>
      </c>
      <c r="F228" s="4" t="str">
        <f t="shared" si="20"/>
        <v/>
      </c>
      <c r="H228" s="1">
        <f t="shared" si="18"/>
        <v>218</v>
      </c>
      <c r="J228" s="1">
        <f t="shared" si="21"/>
        <v>0</v>
      </c>
      <c r="K228" s="1">
        <f>SUM($L$9,$L$11:L228)</f>
        <v>0</v>
      </c>
      <c r="L228" s="1">
        <f>SUMIF(Iktato!$S$3:$S$10000,H228,Iktato!$V$3:$V$10000)</f>
        <v>0</v>
      </c>
    </row>
    <row r="229" spans="1:12" x14ac:dyDescent="0.25">
      <c r="A229" s="15" t="str">
        <f t="shared" si="19"/>
        <v/>
      </c>
      <c r="B229" s="15" t="str">
        <f>IF(H229&lt;=$L$1,VLOOKUP(H229,Iktato!$C$3:$O$10000,2,FALSE),"")</f>
        <v/>
      </c>
      <c r="C229" s="16" t="str">
        <f>IF(H229&lt;=$L$1,VLOOKUP(H229,Iktato!$C$3:$O$10000,4,FALSE),"")</f>
        <v/>
      </c>
      <c r="D229" s="3" t="str">
        <f>TRIM(IF(H229&lt;=$L$1,VLOOKUP(H229,Iktato!$C$3:$O$10000,7,FALSE),""))</f>
        <v/>
      </c>
      <c r="E229" s="3" t="str">
        <f>TRIM(IF(H229&lt;=$L$1,VLOOKUP(H229,Iktato!$C$3:$O$10000,8,FALSE),""))</f>
        <v/>
      </c>
      <c r="F229" s="4" t="str">
        <f t="shared" si="20"/>
        <v/>
      </c>
      <c r="H229" s="1">
        <f t="shared" si="18"/>
        <v>219</v>
      </c>
      <c r="J229" s="1">
        <f t="shared" si="21"/>
        <v>0</v>
      </c>
      <c r="K229" s="1">
        <f>SUM($L$9,$L$11:L229)</f>
        <v>0</v>
      </c>
      <c r="L229" s="1">
        <f>SUMIF(Iktato!$S$3:$S$10000,H229,Iktato!$V$3:$V$10000)</f>
        <v>0</v>
      </c>
    </row>
    <row r="230" spans="1:12" x14ac:dyDescent="0.25">
      <c r="A230" s="15" t="str">
        <f t="shared" si="19"/>
        <v/>
      </c>
      <c r="B230" s="15" t="str">
        <f>IF(H230&lt;=$L$1,VLOOKUP(H230,Iktato!$C$3:$O$10000,2,FALSE),"")</f>
        <v/>
      </c>
      <c r="C230" s="16" t="str">
        <f>IF(H230&lt;=$L$1,VLOOKUP(H230,Iktato!$C$3:$O$10000,4,FALSE),"")</f>
        <v/>
      </c>
      <c r="D230" s="3" t="str">
        <f>TRIM(IF(H230&lt;=$L$1,VLOOKUP(H230,Iktato!$C$3:$O$10000,7,FALSE),""))</f>
        <v/>
      </c>
      <c r="E230" s="3" t="str">
        <f>TRIM(IF(H230&lt;=$L$1,VLOOKUP(H230,Iktato!$C$3:$O$10000,8,FALSE),""))</f>
        <v/>
      </c>
      <c r="F230" s="4" t="str">
        <f t="shared" si="20"/>
        <v/>
      </c>
      <c r="H230" s="1">
        <f t="shared" si="18"/>
        <v>220</v>
      </c>
      <c r="J230" s="1">
        <f t="shared" si="21"/>
        <v>0</v>
      </c>
      <c r="K230" s="1">
        <f>SUM($L$9,$L$11:L230)</f>
        <v>0</v>
      </c>
      <c r="L230" s="1">
        <f>SUMIF(Iktato!$S$3:$S$10000,H230,Iktato!$V$3:$V$10000)</f>
        <v>0</v>
      </c>
    </row>
    <row r="231" spans="1:12" x14ac:dyDescent="0.25">
      <c r="A231" s="15" t="str">
        <f t="shared" si="19"/>
        <v/>
      </c>
      <c r="B231" s="15" t="str">
        <f>IF(H231&lt;=$L$1,VLOOKUP(H231,Iktato!$C$3:$O$10000,2,FALSE),"")</f>
        <v/>
      </c>
      <c r="C231" s="16" t="str">
        <f>IF(H231&lt;=$L$1,VLOOKUP(H231,Iktato!$C$3:$O$10000,4,FALSE),"")</f>
        <v/>
      </c>
      <c r="D231" s="3" t="str">
        <f>TRIM(IF(H231&lt;=$L$1,VLOOKUP(H231,Iktato!$C$3:$O$10000,7,FALSE),""))</f>
        <v/>
      </c>
      <c r="E231" s="3" t="str">
        <f>TRIM(IF(H231&lt;=$L$1,VLOOKUP(H231,Iktato!$C$3:$O$10000,8,FALSE),""))</f>
        <v/>
      </c>
      <c r="F231" s="4" t="str">
        <f t="shared" si="20"/>
        <v/>
      </c>
      <c r="H231" s="1">
        <f t="shared" si="18"/>
        <v>221</v>
      </c>
      <c r="J231" s="1">
        <f t="shared" si="21"/>
        <v>0</v>
      </c>
      <c r="K231" s="1">
        <f>SUM($L$9,$L$11:L231)</f>
        <v>0</v>
      </c>
      <c r="L231" s="1">
        <f>SUMIF(Iktato!$S$3:$S$10000,H231,Iktato!$V$3:$V$10000)</f>
        <v>0</v>
      </c>
    </row>
    <row r="232" spans="1:12" x14ac:dyDescent="0.25">
      <c r="A232" s="15" t="str">
        <f t="shared" si="19"/>
        <v/>
      </c>
      <c r="B232" s="15" t="str">
        <f>IF(H232&lt;=$L$1,VLOOKUP(H232,Iktato!$C$3:$O$10000,2,FALSE),"")</f>
        <v/>
      </c>
      <c r="C232" s="16" t="str">
        <f>IF(H232&lt;=$L$1,VLOOKUP(H232,Iktato!$C$3:$O$10000,4,FALSE),"")</f>
        <v/>
      </c>
      <c r="D232" s="3" t="str">
        <f>TRIM(IF(H232&lt;=$L$1,VLOOKUP(H232,Iktato!$C$3:$O$10000,7,FALSE),""))</f>
        <v/>
      </c>
      <c r="E232" s="3" t="str">
        <f>TRIM(IF(H232&lt;=$L$1,VLOOKUP(H232,Iktato!$C$3:$O$10000,8,FALSE),""))</f>
        <v/>
      </c>
      <c r="F232" s="4" t="str">
        <f t="shared" si="20"/>
        <v/>
      </c>
      <c r="H232" s="1">
        <f t="shared" si="18"/>
        <v>222</v>
      </c>
      <c r="J232" s="1">
        <f t="shared" si="21"/>
        <v>0</v>
      </c>
      <c r="K232" s="1">
        <f>SUM($L$9,$L$11:L232)</f>
        <v>0</v>
      </c>
      <c r="L232" s="1">
        <f>SUMIF(Iktato!$S$3:$S$10000,H232,Iktato!$V$3:$V$10000)</f>
        <v>0</v>
      </c>
    </row>
    <row r="233" spans="1:12" x14ac:dyDescent="0.25">
      <c r="A233" s="15" t="str">
        <f t="shared" si="19"/>
        <v/>
      </c>
      <c r="B233" s="15" t="str">
        <f>IF(H233&lt;=$L$1,VLOOKUP(H233,Iktato!$C$3:$O$10000,2,FALSE),"")</f>
        <v/>
      </c>
      <c r="C233" s="16" t="str">
        <f>IF(H233&lt;=$L$1,VLOOKUP(H233,Iktato!$C$3:$O$10000,4,FALSE),"")</f>
        <v/>
      </c>
      <c r="D233" s="3" t="str">
        <f>TRIM(IF(H233&lt;=$L$1,VLOOKUP(H233,Iktato!$C$3:$O$10000,7,FALSE),""))</f>
        <v/>
      </c>
      <c r="E233" s="3" t="str">
        <f>TRIM(IF(H233&lt;=$L$1,VLOOKUP(H233,Iktato!$C$3:$O$10000,8,FALSE),""))</f>
        <v/>
      </c>
      <c r="F233" s="4" t="str">
        <f t="shared" si="20"/>
        <v/>
      </c>
      <c r="H233" s="1">
        <f t="shared" si="18"/>
        <v>223</v>
      </c>
      <c r="J233" s="1">
        <f t="shared" si="21"/>
        <v>0</v>
      </c>
      <c r="K233" s="1">
        <f>SUM($L$9,$L$11:L233)</f>
        <v>0</v>
      </c>
      <c r="L233" s="1">
        <f>SUMIF(Iktato!$S$3:$S$10000,H233,Iktato!$V$3:$V$10000)</f>
        <v>0</v>
      </c>
    </row>
    <row r="234" spans="1:12" x14ac:dyDescent="0.25">
      <c r="A234" s="15" t="str">
        <f t="shared" si="19"/>
        <v/>
      </c>
      <c r="B234" s="15" t="str">
        <f>IF(H234&lt;=$L$1,VLOOKUP(H234,Iktato!$C$3:$O$10000,2,FALSE),"")</f>
        <v/>
      </c>
      <c r="C234" s="16" t="str">
        <f>IF(H234&lt;=$L$1,VLOOKUP(H234,Iktato!$C$3:$O$10000,4,FALSE),"")</f>
        <v/>
      </c>
      <c r="D234" s="3" t="str">
        <f>TRIM(IF(H234&lt;=$L$1,VLOOKUP(H234,Iktato!$C$3:$O$10000,7,FALSE),""))</f>
        <v/>
      </c>
      <c r="E234" s="3" t="str">
        <f>TRIM(IF(H234&lt;=$L$1,VLOOKUP(H234,Iktato!$C$3:$O$10000,8,FALSE),""))</f>
        <v/>
      </c>
      <c r="F234" s="4" t="str">
        <f t="shared" si="20"/>
        <v/>
      </c>
      <c r="H234" s="1">
        <f t="shared" si="18"/>
        <v>224</v>
      </c>
      <c r="J234" s="1">
        <f t="shared" si="21"/>
        <v>0</v>
      </c>
      <c r="K234" s="1">
        <f>SUM($L$9,$L$11:L234)</f>
        <v>0</v>
      </c>
      <c r="L234" s="1">
        <f>SUMIF(Iktato!$S$3:$S$10000,H234,Iktato!$V$3:$V$10000)</f>
        <v>0</v>
      </c>
    </row>
    <row r="235" spans="1:12" x14ac:dyDescent="0.25">
      <c r="A235" s="15" t="str">
        <f t="shared" si="19"/>
        <v/>
      </c>
      <c r="B235" s="15" t="str">
        <f>IF(H235&lt;=$L$1,VLOOKUP(H235,Iktato!$C$3:$O$10000,2,FALSE),"")</f>
        <v/>
      </c>
      <c r="C235" s="16" t="str">
        <f>IF(H235&lt;=$L$1,VLOOKUP(H235,Iktato!$C$3:$O$10000,4,FALSE),"")</f>
        <v/>
      </c>
      <c r="D235" s="3" t="str">
        <f>TRIM(IF(H235&lt;=$L$1,VLOOKUP(H235,Iktato!$C$3:$O$10000,7,FALSE),""))</f>
        <v/>
      </c>
      <c r="E235" s="3" t="str">
        <f>TRIM(IF(H235&lt;=$L$1,VLOOKUP(H235,Iktato!$C$3:$O$10000,8,FALSE),""))</f>
        <v/>
      </c>
      <c r="F235" s="4" t="str">
        <f t="shared" si="20"/>
        <v/>
      </c>
      <c r="H235" s="1">
        <f t="shared" si="18"/>
        <v>225</v>
      </c>
      <c r="J235" s="1">
        <f t="shared" si="21"/>
        <v>0</v>
      </c>
      <c r="K235" s="1">
        <f>SUM($L$9,$L$11:L235)</f>
        <v>0</v>
      </c>
      <c r="L235" s="1">
        <f>SUMIF(Iktato!$S$3:$S$10000,H235,Iktato!$V$3:$V$10000)</f>
        <v>0</v>
      </c>
    </row>
    <row r="236" spans="1:12" x14ac:dyDescent="0.25">
      <c r="A236" s="15" t="str">
        <f t="shared" si="19"/>
        <v/>
      </c>
      <c r="B236" s="15" t="str">
        <f>IF(H236&lt;=$L$1,VLOOKUP(H236,Iktato!$C$3:$O$10000,2,FALSE),"")</f>
        <v/>
      </c>
      <c r="C236" s="16" t="str">
        <f>IF(H236&lt;=$L$1,VLOOKUP(H236,Iktato!$C$3:$O$10000,4,FALSE),"")</f>
        <v/>
      </c>
      <c r="D236" s="3" t="str">
        <f>TRIM(IF(H236&lt;=$L$1,VLOOKUP(H236,Iktato!$C$3:$O$10000,7,FALSE),""))</f>
        <v/>
      </c>
      <c r="E236" s="3" t="str">
        <f>TRIM(IF(H236&lt;=$L$1,VLOOKUP(H236,Iktato!$C$3:$O$10000,8,FALSE),""))</f>
        <v/>
      </c>
      <c r="F236" s="4" t="str">
        <f t="shared" si="20"/>
        <v/>
      </c>
      <c r="H236" s="1">
        <f t="shared" si="18"/>
        <v>226</v>
      </c>
      <c r="J236" s="1">
        <f t="shared" si="21"/>
        <v>0</v>
      </c>
      <c r="K236" s="1">
        <f>SUM($L$9,$L$11:L236)</f>
        <v>0</v>
      </c>
      <c r="L236" s="1">
        <f>SUMIF(Iktato!$S$3:$S$10000,H236,Iktato!$V$3:$V$10000)</f>
        <v>0</v>
      </c>
    </row>
    <row r="237" spans="1:12" x14ac:dyDescent="0.25">
      <c r="A237" s="15" t="str">
        <f t="shared" si="19"/>
        <v/>
      </c>
      <c r="B237" s="15" t="str">
        <f>IF(H237&lt;=$L$1,VLOOKUP(H237,Iktato!$C$3:$O$10000,2,FALSE),"")</f>
        <v/>
      </c>
      <c r="C237" s="16" t="str">
        <f>IF(H237&lt;=$L$1,VLOOKUP(H237,Iktato!$C$3:$O$10000,4,FALSE),"")</f>
        <v/>
      </c>
      <c r="D237" s="3" t="str">
        <f>TRIM(IF(H237&lt;=$L$1,VLOOKUP(H237,Iktato!$C$3:$O$10000,7,FALSE),""))</f>
        <v/>
      </c>
      <c r="E237" s="3" t="str">
        <f>TRIM(IF(H237&lt;=$L$1,VLOOKUP(H237,Iktato!$C$3:$O$10000,8,FALSE),""))</f>
        <v/>
      </c>
      <c r="F237" s="4" t="str">
        <f t="shared" si="20"/>
        <v/>
      </c>
      <c r="H237" s="1">
        <f t="shared" si="18"/>
        <v>227</v>
      </c>
      <c r="J237" s="1">
        <f t="shared" si="21"/>
        <v>0</v>
      </c>
      <c r="K237" s="1">
        <f>SUM($L$9,$L$11:L237)</f>
        <v>0</v>
      </c>
      <c r="L237" s="1">
        <f>SUMIF(Iktato!$S$3:$S$10000,H237,Iktato!$V$3:$V$10000)</f>
        <v>0</v>
      </c>
    </row>
    <row r="238" spans="1:12" x14ac:dyDescent="0.25">
      <c r="A238" s="15" t="str">
        <f t="shared" si="19"/>
        <v/>
      </c>
      <c r="B238" s="15" t="str">
        <f>IF(H238&lt;=$L$1,VLOOKUP(H238,Iktato!$C$3:$O$10000,2,FALSE),"")</f>
        <v/>
      </c>
      <c r="C238" s="16" t="str">
        <f>IF(H238&lt;=$L$1,VLOOKUP(H238,Iktato!$C$3:$O$10000,4,FALSE),"")</f>
        <v/>
      </c>
      <c r="D238" s="3" t="str">
        <f>TRIM(IF(H238&lt;=$L$1,VLOOKUP(H238,Iktato!$C$3:$O$10000,7,FALSE),""))</f>
        <v/>
      </c>
      <c r="E238" s="3" t="str">
        <f>TRIM(IF(H238&lt;=$L$1,VLOOKUP(H238,Iktato!$C$3:$O$10000,8,FALSE),""))</f>
        <v/>
      </c>
      <c r="F238" s="4" t="str">
        <f t="shared" si="20"/>
        <v/>
      </c>
      <c r="H238" s="1">
        <f t="shared" si="18"/>
        <v>228</v>
      </c>
      <c r="J238" s="1">
        <f t="shared" si="21"/>
        <v>0</v>
      </c>
      <c r="K238" s="1">
        <f>SUM($L$9,$L$11:L238)</f>
        <v>0</v>
      </c>
      <c r="L238" s="1">
        <f>SUMIF(Iktato!$S$3:$S$10000,H238,Iktato!$V$3:$V$10000)</f>
        <v>0</v>
      </c>
    </row>
    <row r="239" spans="1:12" x14ac:dyDescent="0.25">
      <c r="A239" s="15" t="str">
        <f t="shared" si="19"/>
        <v/>
      </c>
      <c r="B239" s="15" t="str">
        <f>IF(H239&lt;=$L$1,VLOOKUP(H239,Iktato!$C$3:$O$10000,2,FALSE),"")</f>
        <v/>
      </c>
      <c r="C239" s="16" t="str">
        <f>IF(H239&lt;=$L$1,VLOOKUP(H239,Iktato!$C$3:$O$10000,4,FALSE),"")</f>
        <v/>
      </c>
      <c r="D239" s="3" t="str">
        <f>TRIM(IF(H239&lt;=$L$1,VLOOKUP(H239,Iktato!$C$3:$O$10000,7,FALSE),""))</f>
        <v/>
      </c>
      <c r="E239" s="3" t="str">
        <f>TRIM(IF(H239&lt;=$L$1,VLOOKUP(H239,Iktato!$C$3:$O$10000,8,FALSE),""))</f>
        <v/>
      </c>
      <c r="F239" s="4" t="str">
        <f t="shared" si="20"/>
        <v/>
      </c>
      <c r="H239" s="1">
        <f t="shared" si="18"/>
        <v>229</v>
      </c>
      <c r="J239" s="1">
        <f t="shared" si="21"/>
        <v>0</v>
      </c>
      <c r="K239" s="1">
        <f>SUM($L$9,$L$11:L239)</f>
        <v>0</v>
      </c>
      <c r="L239" s="1">
        <f>SUMIF(Iktato!$S$3:$S$10000,H239,Iktato!$V$3:$V$10000)</f>
        <v>0</v>
      </c>
    </row>
    <row r="240" spans="1:12" x14ac:dyDescent="0.25">
      <c r="A240" s="15" t="str">
        <f t="shared" si="19"/>
        <v/>
      </c>
      <c r="B240" s="15" t="str">
        <f>IF(H240&lt;=$L$1,VLOOKUP(H240,Iktato!$C$3:$O$10000,2,FALSE),"")</f>
        <v/>
      </c>
      <c r="C240" s="16" t="str">
        <f>IF(H240&lt;=$L$1,VLOOKUP(H240,Iktato!$C$3:$O$10000,4,FALSE),"")</f>
        <v/>
      </c>
      <c r="D240" s="3" t="str">
        <f>TRIM(IF(H240&lt;=$L$1,VLOOKUP(H240,Iktato!$C$3:$O$10000,7,FALSE),""))</f>
        <v/>
      </c>
      <c r="E240" s="3" t="str">
        <f>TRIM(IF(H240&lt;=$L$1,VLOOKUP(H240,Iktato!$C$3:$O$10000,8,FALSE),""))</f>
        <v/>
      </c>
      <c r="F240" s="4" t="str">
        <f t="shared" si="20"/>
        <v/>
      </c>
      <c r="H240" s="1">
        <f t="shared" si="18"/>
        <v>230</v>
      </c>
      <c r="J240" s="1">
        <f t="shared" si="21"/>
        <v>0</v>
      </c>
      <c r="K240" s="1">
        <f>SUM($L$9,$L$11:L240)</f>
        <v>0</v>
      </c>
      <c r="L240" s="1">
        <f>SUMIF(Iktato!$S$3:$S$10000,H240,Iktato!$V$3:$V$10000)</f>
        <v>0</v>
      </c>
    </row>
    <row r="241" spans="1:12" x14ac:dyDescent="0.25">
      <c r="A241" s="15" t="str">
        <f t="shared" si="19"/>
        <v/>
      </c>
      <c r="B241" s="15" t="str">
        <f>IF(H241&lt;=$L$1,VLOOKUP(H241,Iktato!$C$3:$O$10000,2,FALSE),"")</f>
        <v/>
      </c>
      <c r="C241" s="16" t="str">
        <f>IF(H241&lt;=$L$1,VLOOKUP(H241,Iktato!$C$3:$O$10000,4,FALSE),"")</f>
        <v/>
      </c>
      <c r="D241" s="3" t="str">
        <f>TRIM(IF(H241&lt;=$L$1,VLOOKUP(H241,Iktato!$C$3:$O$10000,7,FALSE),""))</f>
        <v/>
      </c>
      <c r="E241" s="3" t="str">
        <f>TRIM(IF(H241&lt;=$L$1,VLOOKUP(H241,Iktato!$C$3:$O$10000,8,FALSE),""))</f>
        <v/>
      </c>
      <c r="F241" s="4" t="str">
        <f t="shared" si="20"/>
        <v/>
      </c>
      <c r="H241" s="1">
        <f t="shared" si="18"/>
        <v>231</v>
      </c>
      <c r="J241" s="1">
        <f t="shared" si="21"/>
        <v>0</v>
      </c>
      <c r="K241" s="1">
        <f>SUM($L$9,$L$11:L241)</f>
        <v>0</v>
      </c>
      <c r="L241" s="1">
        <f>SUMIF(Iktato!$S$3:$S$10000,H241,Iktato!$V$3:$V$10000)</f>
        <v>0</v>
      </c>
    </row>
    <row r="242" spans="1:12" x14ac:dyDescent="0.25">
      <c r="A242" s="15" t="str">
        <f t="shared" si="19"/>
        <v/>
      </c>
      <c r="B242" s="15" t="str">
        <f>IF(H242&lt;=$L$1,VLOOKUP(H242,Iktato!$C$3:$O$10000,2,FALSE),"")</f>
        <v/>
      </c>
      <c r="C242" s="16" t="str">
        <f>IF(H242&lt;=$L$1,VLOOKUP(H242,Iktato!$C$3:$O$10000,4,FALSE),"")</f>
        <v/>
      </c>
      <c r="D242" s="3" t="str">
        <f>TRIM(IF(H242&lt;=$L$1,VLOOKUP(H242,Iktato!$C$3:$O$10000,7,FALSE),""))</f>
        <v/>
      </c>
      <c r="E242" s="3" t="str">
        <f>TRIM(IF(H242&lt;=$L$1,VLOOKUP(H242,Iktato!$C$3:$O$10000,8,FALSE),""))</f>
        <v/>
      </c>
      <c r="F242" s="4" t="str">
        <f t="shared" si="20"/>
        <v/>
      </c>
      <c r="H242" s="1">
        <f t="shared" si="18"/>
        <v>232</v>
      </c>
      <c r="J242" s="1">
        <f t="shared" si="21"/>
        <v>0</v>
      </c>
      <c r="K242" s="1">
        <f>SUM($L$9,$L$11:L242)</f>
        <v>0</v>
      </c>
      <c r="L242" s="1">
        <f>SUMIF(Iktato!$S$3:$S$10000,H242,Iktato!$V$3:$V$10000)</f>
        <v>0</v>
      </c>
    </row>
    <row r="243" spans="1:12" x14ac:dyDescent="0.25">
      <c r="A243" s="15" t="str">
        <f t="shared" si="19"/>
        <v/>
      </c>
      <c r="B243" s="15" t="str">
        <f>IF(H243&lt;=$L$1,VLOOKUP(H243,Iktato!$C$3:$O$10000,2,FALSE),"")</f>
        <v/>
      </c>
      <c r="C243" s="16" t="str">
        <f>IF(H243&lt;=$L$1,VLOOKUP(H243,Iktato!$C$3:$O$10000,4,FALSE),"")</f>
        <v/>
      </c>
      <c r="D243" s="3" t="str">
        <f>TRIM(IF(H243&lt;=$L$1,VLOOKUP(H243,Iktato!$C$3:$O$10000,7,FALSE),""))</f>
        <v/>
      </c>
      <c r="E243" s="3" t="str">
        <f>TRIM(IF(H243&lt;=$L$1,VLOOKUP(H243,Iktato!$C$3:$O$10000,8,FALSE),""))</f>
        <v/>
      </c>
      <c r="F243" s="4" t="str">
        <f t="shared" si="20"/>
        <v/>
      </c>
      <c r="H243" s="1">
        <f t="shared" si="18"/>
        <v>233</v>
      </c>
      <c r="J243" s="1">
        <f t="shared" si="21"/>
        <v>0</v>
      </c>
      <c r="K243" s="1">
        <f>SUM($L$9,$L$11:L243)</f>
        <v>0</v>
      </c>
      <c r="L243" s="1">
        <f>SUMIF(Iktato!$S$3:$S$10000,H243,Iktato!$V$3:$V$10000)</f>
        <v>0</v>
      </c>
    </row>
    <row r="244" spans="1:12" x14ac:dyDescent="0.25">
      <c r="A244" s="15" t="str">
        <f t="shared" si="19"/>
        <v/>
      </c>
      <c r="B244" s="15" t="str">
        <f>IF(H244&lt;=$L$1,VLOOKUP(H244,Iktato!$C$3:$O$10000,2,FALSE),"")</f>
        <v/>
      </c>
      <c r="C244" s="16" t="str">
        <f>IF(H244&lt;=$L$1,VLOOKUP(H244,Iktato!$C$3:$O$10000,4,FALSE),"")</f>
        <v/>
      </c>
      <c r="D244" s="3" t="str">
        <f>TRIM(IF(H244&lt;=$L$1,VLOOKUP(H244,Iktato!$C$3:$O$10000,7,FALSE),""))</f>
        <v/>
      </c>
      <c r="E244" s="3" t="str">
        <f>TRIM(IF(H244&lt;=$L$1,VLOOKUP(H244,Iktato!$C$3:$O$10000,8,FALSE),""))</f>
        <v/>
      </c>
      <c r="F244" s="4" t="str">
        <f t="shared" si="20"/>
        <v/>
      </c>
      <c r="H244" s="1">
        <f t="shared" si="18"/>
        <v>234</v>
      </c>
      <c r="J244" s="1">
        <f t="shared" si="21"/>
        <v>0</v>
      </c>
      <c r="K244" s="1">
        <f>SUM($L$9,$L$11:L244)</f>
        <v>0</v>
      </c>
      <c r="L244" s="1">
        <f>SUMIF(Iktato!$S$3:$S$10000,H244,Iktato!$V$3:$V$10000)</f>
        <v>0</v>
      </c>
    </row>
    <row r="245" spans="1:12" x14ac:dyDescent="0.25">
      <c r="A245" s="15" t="str">
        <f t="shared" si="19"/>
        <v/>
      </c>
      <c r="B245" s="15" t="str">
        <f>IF(H245&lt;=$L$1,VLOOKUP(H245,Iktato!$C$3:$O$10000,2,FALSE),"")</f>
        <v/>
      </c>
      <c r="C245" s="16" t="str">
        <f>IF(H245&lt;=$L$1,VLOOKUP(H245,Iktato!$C$3:$O$10000,4,FALSE),"")</f>
        <v/>
      </c>
      <c r="D245" s="3" t="str">
        <f>TRIM(IF(H245&lt;=$L$1,VLOOKUP(H245,Iktato!$C$3:$O$10000,7,FALSE),""))</f>
        <v/>
      </c>
      <c r="E245" s="3" t="str">
        <f>TRIM(IF(H245&lt;=$L$1,VLOOKUP(H245,Iktato!$C$3:$O$10000,8,FALSE),""))</f>
        <v/>
      </c>
      <c r="F245" s="4" t="str">
        <f t="shared" si="20"/>
        <v/>
      </c>
      <c r="H245" s="1">
        <f t="shared" si="18"/>
        <v>235</v>
      </c>
      <c r="J245" s="1">
        <f t="shared" si="21"/>
        <v>0</v>
      </c>
      <c r="K245" s="1">
        <f>SUM($L$9,$L$11:L245)</f>
        <v>0</v>
      </c>
      <c r="L245" s="1">
        <f>SUMIF(Iktato!$S$3:$S$10000,H245,Iktato!$V$3:$V$10000)</f>
        <v>0</v>
      </c>
    </row>
    <row r="246" spans="1:12" x14ac:dyDescent="0.25">
      <c r="A246" s="15" t="str">
        <f t="shared" si="19"/>
        <v/>
      </c>
      <c r="B246" s="15" t="str">
        <f>IF(H246&lt;=$L$1,VLOOKUP(H246,Iktato!$C$3:$O$10000,2,FALSE),"")</f>
        <v/>
      </c>
      <c r="C246" s="16" t="str">
        <f>IF(H246&lt;=$L$1,VLOOKUP(H246,Iktato!$C$3:$O$10000,4,FALSE),"")</f>
        <v/>
      </c>
      <c r="D246" s="3" t="str">
        <f>TRIM(IF(H246&lt;=$L$1,VLOOKUP(H246,Iktato!$C$3:$O$10000,7,FALSE),""))</f>
        <v/>
      </c>
      <c r="E246" s="3" t="str">
        <f>TRIM(IF(H246&lt;=$L$1,VLOOKUP(H246,Iktato!$C$3:$O$10000,8,FALSE),""))</f>
        <v/>
      </c>
      <c r="F246" s="4" t="str">
        <f t="shared" si="20"/>
        <v/>
      </c>
      <c r="H246" s="1">
        <f t="shared" si="18"/>
        <v>236</v>
      </c>
      <c r="J246" s="1">
        <f t="shared" si="21"/>
        <v>0</v>
      </c>
      <c r="K246" s="1">
        <f>SUM($L$9,$L$11:L246)</f>
        <v>0</v>
      </c>
      <c r="L246" s="1">
        <f>SUMIF(Iktato!$S$3:$S$10000,H246,Iktato!$V$3:$V$10000)</f>
        <v>0</v>
      </c>
    </row>
    <row r="247" spans="1:12" x14ac:dyDescent="0.25">
      <c r="A247" s="15" t="str">
        <f t="shared" si="19"/>
        <v/>
      </c>
      <c r="B247" s="15" t="str">
        <f>IF(H247&lt;=$L$1,VLOOKUP(H247,Iktato!$C$3:$O$10000,2,FALSE),"")</f>
        <v/>
      </c>
      <c r="C247" s="16" t="str">
        <f>IF(H247&lt;=$L$1,VLOOKUP(H247,Iktato!$C$3:$O$10000,4,FALSE),"")</f>
        <v/>
      </c>
      <c r="D247" s="3" t="str">
        <f>TRIM(IF(H247&lt;=$L$1,VLOOKUP(H247,Iktato!$C$3:$O$10000,7,FALSE),""))</f>
        <v/>
      </c>
      <c r="E247" s="3" t="str">
        <f>TRIM(IF(H247&lt;=$L$1,VLOOKUP(H247,Iktato!$C$3:$O$10000,8,FALSE),""))</f>
        <v/>
      </c>
      <c r="F247" s="4" t="str">
        <f t="shared" si="20"/>
        <v/>
      </c>
      <c r="H247" s="1">
        <f t="shared" si="18"/>
        <v>237</v>
      </c>
      <c r="J247" s="1">
        <f t="shared" si="21"/>
        <v>0</v>
      </c>
      <c r="K247" s="1">
        <f>SUM($L$9,$L$11:L247)</f>
        <v>0</v>
      </c>
      <c r="L247" s="1">
        <f>SUMIF(Iktato!$S$3:$S$10000,H247,Iktato!$V$3:$V$10000)</f>
        <v>0</v>
      </c>
    </row>
    <row r="248" spans="1:12" x14ac:dyDescent="0.25">
      <c r="A248" s="15" t="str">
        <f t="shared" si="19"/>
        <v/>
      </c>
      <c r="B248" s="15" t="str">
        <f>IF(H248&lt;=$L$1,VLOOKUP(H248,Iktato!$C$3:$O$10000,2,FALSE),"")</f>
        <v/>
      </c>
      <c r="C248" s="16" t="str">
        <f>IF(H248&lt;=$L$1,VLOOKUP(H248,Iktato!$C$3:$O$10000,4,FALSE),"")</f>
        <v/>
      </c>
      <c r="D248" s="3" t="str">
        <f>TRIM(IF(H248&lt;=$L$1,VLOOKUP(H248,Iktato!$C$3:$O$10000,7,FALSE),""))</f>
        <v/>
      </c>
      <c r="E248" s="3" t="str">
        <f>TRIM(IF(H248&lt;=$L$1,VLOOKUP(H248,Iktato!$C$3:$O$10000,8,FALSE),""))</f>
        <v/>
      </c>
      <c r="F248" s="4" t="str">
        <f t="shared" si="20"/>
        <v/>
      </c>
      <c r="H248" s="1">
        <f t="shared" si="18"/>
        <v>238</v>
      </c>
      <c r="J248" s="1">
        <f t="shared" si="21"/>
        <v>0</v>
      </c>
      <c r="K248" s="1">
        <f>SUM($L$9,$L$11:L248)</f>
        <v>0</v>
      </c>
      <c r="L248" s="1">
        <f>SUMIF(Iktato!$S$3:$S$10000,H248,Iktato!$V$3:$V$10000)</f>
        <v>0</v>
      </c>
    </row>
    <row r="249" spans="1:12" x14ac:dyDescent="0.25">
      <c r="A249" s="15" t="str">
        <f t="shared" si="19"/>
        <v/>
      </c>
      <c r="B249" s="15" t="str">
        <f>IF(H249&lt;=$L$1,VLOOKUP(H249,Iktato!$C$3:$O$10000,2,FALSE),"")</f>
        <v/>
      </c>
      <c r="C249" s="16" t="str">
        <f>IF(H249&lt;=$L$1,VLOOKUP(H249,Iktato!$C$3:$O$10000,4,FALSE),"")</f>
        <v/>
      </c>
      <c r="D249" s="3" t="str">
        <f>TRIM(IF(H249&lt;=$L$1,VLOOKUP(H249,Iktato!$C$3:$O$10000,7,FALSE),""))</f>
        <v/>
      </c>
      <c r="E249" s="3" t="str">
        <f>TRIM(IF(H249&lt;=$L$1,VLOOKUP(H249,Iktato!$C$3:$O$10000,8,FALSE),""))</f>
        <v/>
      </c>
      <c r="F249" s="4" t="str">
        <f t="shared" si="20"/>
        <v/>
      </c>
      <c r="H249" s="1">
        <f t="shared" si="18"/>
        <v>239</v>
      </c>
      <c r="J249" s="1">
        <f t="shared" si="21"/>
        <v>0</v>
      </c>
      <c r="K249" s="1">
        <f>SUM($L$9,$L$11:L249)</f>
        <v>0</v>
      </c>
      <c r="L249" s="1">
        <f>SUMIF(Iktato!$S$3:$S$10000,H249,Iktato!$V$3:$V$10000)</f>
        <v>0</v>
      </c>
    </row>
    <row r="250" spans="1:12" x14ac:dyDescent="0.25">
      <c r="A250" s="15" t="str">
        <f t="shared" si="19"/>
        <v/>
      </c>
      <c r="B250" s="15" t="str">
        <f>IF(H250&lt;=$L$1,VLOOKUP(H250,Iktato!$C$3:$O$10000,2,FALSE),"")</f>
        <v/>
      </c>
      <c r="C250" s="16" t="str">
        <f>IF(H250&lt;=$L$1,VLOOKUP(H250,Iktato!$C$3:$O$10000,4,FALSE),"")</f>
        <v/>
      </c>
      <c r="D250" s="3" t="str">
        <f>TRIM(IF(H250&lt;=$L$1,VLOOKUP(H250,Iktato!$C$3:$O$10000,7,FALSE),""))</f>
        <v/>
      </c>
      <c r="E250" s="3" t="str">
        <f>TRIM(IF(H250&lt;=$L$1,VLOOKUP(H250,Iktato!$C$3:$O$10000,8,FALSE),""))</f>
        <v/>
      </c>
      <c r="F250" s="4" t="str">
        <f t="shared" si="20"/>
        <v/>
      </c>
      <c r="H250" s="1">
        <f t="shared" si="18"/>
        <v>240</v>
      </c>
      <c r="J250" s="1">
        <f t="shared" si="21"/>
        <v>0</v>
      </c>
      <c r="K250" s="1">
        <f>SUM($L$9,$L$11:L250)</f>
        <v>0</v>
      </c>
      <c r="L250" s="1">
        <f>SUMIF(Iktato!$S$3:$S$10000,H250,Iktato!$V$3:$V$10000)</f>
        <v>0</v>
      </c>
    </row>
    <row r="251" spans="1:12" x14ac:dyDescent="0.25">
      <c r="A251" s="15" t="str">
        <f t="shared" si="19"/>
        <v/>
      </c>
      <c r="B251" s="15" t="str">
        <f>IF(H251&lt;=$L$1,VLOOKUP(H251,Iktato!$C$3:$O$10000,2,FALSE),"")</f>
        <v/>
      </c>
      <c r="C251" s="16" t="str">
        <f>IF(H251&lt;=$L$1,VLOOKUP(H251,Iktato!$C$3:$O$10000,4,FALSE),"")</f>
        <v/>
      </c>
      <c r="D251" s="3" t="str">
        <f>TRIM(IF(H251&lt;=$L$1,VLOOKUP(H251,Iktato!$C$3:$O$10000,7,FALSE),""))</f>
        <v/>
      </c>
      <c r="E251" s="3" t="str">
        <f>TRIM(IF(H251&lt;=$L$1,VLOOKUP(H251,Iktato!$C$3:$O$10000,8,FALSE),""))</f>
        <v/>
      </c>
      <c r="F251" s="4" t="str">
        <f t="shared" si="20"/>
        <v/>
      </c>
      <c r="H251" s="1">
        <f t="shared" si="18"/>
        <v>241</v>
      </c>
      <c r="J251" s="1">
        <f t="shared" si="21"/>
        <v>0</v>
      </c>
      <c r="K251" s="1">
        <f>SUM($L$9,$L$11:L251)</f>
        <v>0</v>
      </c>
      <c r="L251" s="1">
        <f>SUMIF(Iktato!$S$3:$S$10000,H251,Iktato!$V$3:$V$10000)</f>
        <v>0</v>
      </c>
    </row>
    <row r="252" spans="1:12" x14ac:dyDescent="0.25">
      <c r="A252" s="15" t="str">
        <f t="shared" si="19"/>
        <v/>
      </c>
      <c r="B252" s="15" t="str">
        <f>IF(H252&lt;=$L$1,VLOOKUP(H252,Iktato!$C$3:$O$10000,2,FALSE),"")</f>
        <v/>
      </c>
      <c r="C252" s="16" t="str">
        <f>IF(H252&lt;=$L$1,VLOOKUP(H252,Iktato!$C$3:$O$10000,4,FALSE),"")</f>
        <v/>
      </c>
      <c r="D252" s="3" t="str">
        <f>TRIM(IF(H252&lt;=$L$1,VLOOKUP(H252,Iktato!$C$3:$O$10000,7,FALSE),""))</f>
        <v/>
      </c>
      <c r="E252" s="3" t="str">
        <f>TRIM(IF(H252&lt;=$L$1,VLOOKUP(H252,Iktato!$C$3:$O$10000,8,FALSE),""))</f>
        <v/>
      </c>
      <c r="F252" s="4" t="str">
        <f t="shared" si="20"/>
        <v/>
      </c>
      <c r="H252" s="1">
        <f t="shared" si="18"/>
        <v>242</v>
      </c>
      <c r="J252" s="1">
        <f t="shared" si="21"/>
        <v>0</v>
      </c>
      <c r="K252" s="1">
        <f>SUM($L$9,$L$11:L252)</f>
        <v>0</v>
      </c>
      <c r="L252" s="1">
        <f>SUMIF(Iktato!$S$3:$S$10000,H252,Iktato!$V$3:$V$10000)</f>
        <v>0</v>
      </c>
    </row>
    <row r="253" spans="1:12" x14ac:dyDescent="0.25">
      <c r="A253" s="15" t="str">
        <f t="shared" si="19"/>
        <v/>
      </c>
      <c r="B253" s="15" t="str">
        <f>IF(H253&lt;=$L$1,VLOOKUP(H253,Iktato!$C$3:$O$10000,2,FALSE),"")</f>
        <v/>
      </c>
      <c r="C253" s="16" t="str">
        <f>IF(H253&lt;=$L$1,VLOOKUP(H253,Iktato!$C$3:$O$10000,4,FALSE),"")</f>
        <v/>
      </c>
      <c r="D253" s="3" t="str">
        <f>TRIM(IF(H253&lt;=$L$1,VLOOKUP(H253,Iktato!$C$3:$O$10000,7,FALSE),""))</f>
        <v/>
      </c>
      <c r="E253" s="3" t="str">
        <f>TRIM(IF(H253&lt;=$L$1,VLOOKUP(H253,Iktato!$C$3:$O$10000,8,FALSE),""))</f>
        <v/>
      </c>
      <c r="F253" s="4" t="str">
        <f t="shared" si="20"/>
        <v/>
      </c>
      <c r="H253" s="1">
        <f t="shared" si="18"/>
        <v>243</v>
      </c>
      <c r="J253" s="1">
        <f t="shared" si="21"/>
        <v>0</v>
      </c>
      <c r="K253" s="1">
        <f>SUM($L$9,$L$11:L253)</f>
        <v>0</v>
      </c>
      <c r="L253" s="1">
        <f>SUMIF(Iktato!$S$3:$S$10000,H253,Iktato!$V$3:$V$10000)</f>
        <v>0</v>
      </c>
    </row>
    <row r="254" spans="1:12" x14ac:dyDescent="0.25">
      <c r="A254" s="15" t="str">
        <f t="shared" si="19"/>
        <v/>
      </c>
      <c r="B254" s="15" t="str">
        <f>IF(H254&lt;=$L$1,VLOOKUP(H254,Iktato!$C$3:$O$10000,2,FALSE),"")</f>
        <v/>
      </c>
      <c r="C254" s="16" t="str">
        <f>IF(H254&lt;=$L$1,VLOOKUP(H254,Iktato!$C$3:$O$10000,4,FALSE),"")</f>
        <v/>
      </c>
      <c r="D254" s="3" t="str">
        <f>TRIM(IF(H254&lt;=$L$1,VLOOKUP(H254,Iktato!$C$3:$O$10000,7,FALSE),""))</f>
        <v/>
      </c>
      <c r="E254" s="3" t="str">
        <f>TRIM(IF(H254&lt;=$L$1,VLOOKUP(H254,Iktato!$C$3:$O$10000,8,FALSE),""))</f>
        <v/>
      </c>
      <c r="F254" s="4" t="str">
        <f t="shared" si="20"/>
        <v/>
      </c>
      <c r="H254" s="1">
        <f t="shared" si="18"/>
        <v>244</v>
      </c>
      <c r="J254" s="1">
        <f t="shared" si="21"/>
        <v>0</v>
      </c>
      <c r="K254" s="1">
        <f>SUM($L$9,$L$11:L254)</f>
        <v>0</v>
      </c>
      <c r="L254" s="1">
        <f>SUMIF(Iktato!$S$3:$S$10000,H254,Iktato!$V$3:$V$10000)</f>
        <v>0</v>
      </c>
    </row>
    <row r="255" spans="1:12" x14ac:dyDescent="0.25">
      <c r="A255" s="15" t="str">
        <f t="shared" si="19"/>
        <v/>
      </c>
      <c r="B255" s="15" t="str">
        <f>IF(H255&lt;=$L$1,VLOOKUP(H255,Iktato!$C$3:$O$10000,2,FALSE),"")</f>
        <v/>
      </c>
      <c r="C255" s="16" t="str">
        <f>IF(H255&lt;=$L$1,VLOOKUP(H255,Iktato!$C$3:$O$10000,4,FALSE),"")</f>
        <v/>
      </c>
      <c r="D255" s="3" t="str">
        <f>TRIM(IF(H255&lt;=$L$1,VLOOKUP(H255,Iktato!$C$3:$O$10000,7,FALSE),""))</f>
        <v/>
      </c>
      <c r="E255" s="3" t="str">
        <f>TRIM(IF(H255&lt;=$L$1,VLOOKUP(H255,Iktato!$C$3:$O$10000,8,FALSE),""))</f>
        <v/>
      </c>
      <c r="F255" s="4" t="str">
        <f t="shared" si="20"/>
        <v/>
      </c>
      <c r="H255" s="1">
        <f t="shared" si="18"/>
        <v>245</v>
      </c>
      <c r="J255" s="1">
        <f t="shared" si="21"/>
        <v>0</v>
      </c>
      <c r="K255" s="1">
        <f>SUM($L$9,$L$11:L255)</f>
        <v>0</v>
      </c>
      <c r="L255" s="1">
        <f>SUMIF(Iktato!$S$3:$S$10000,H255,Iktato!$V$3:$V$10000)</f>
        <v>0</v>
      </c>
    </row>
    <row r="256" spans="1:12" x14ac:dyDescent="0.25">
      <c r="A256" s="15" t="str">
        <f t="shared" si="19"/>
        <v/>
      </c>
      <c r="B256" s="15" t="str">
        <f>IF(H256&lt;=$L$1,VLOOKUP(H256,Iktato!$C$3:$O$10000,2,FALSE),"")</f>
        <v/>
      </c>
      <c r="C256" s="16" t="str">
        <f>IF(H256&lt;=$L$1,VLOOKUP(H256,Iktato!$C$3:$O$10000,4,FALSE),"")</f>
        <v/>
      </c>
      <c r="D256" s="3" t="str">
        <f>TRIM(IF(H256&lt;=$L$1,VLOOKUP(H256,Iktato!$C$3:$O$10000,7,FALSE),""))</f>
        <v/>
      </c>
      <c r="E256" s="3" t="str">
        <f>TRIM(IF(H256&lt;=$L$1,VLOOKUP(H256,Iktato!$C$3:$O$10000,8,FALSE),""))</f>
        <v/>
      </c>
      <c r="F256" s="4" t="str">
        <f t="shared" si="20"/>
        <v/>
      </c>
      <c r="H256" s="1">
        <f t="shared" si="18"/>
        <v>246</v>
      </c>
      <c r="J256" s="1">
        <f t="shared" si="21"/>
        <v>0</v>
      </c>
      <c r="K256" s="1">
        <f>SUM($L$9,$L$11:L256)</f>
        <v>0</v>
      </c>
      <c r="L256" s="1">
        <f>SUMIF(Iktato!$S$3:$S$10000,H256,Iktato!$V$3:$V$10000)</f>
        <v>0</v>
      </c>
    </row>
    <row r="257" spans="1:12" x14ac:dyDescent="0.25">
      <c r="A257" s="15" t="str">
        <f t="shared" si="19"/>
        <v/>
      </c>
      <c r="B257" s="15" t="str">
        <f>IF(H257&lt;=$L$1,VLOOKUP(H257,Iktato!$C$3:$O$10000,2,FALSE),"")</f>
        <v/>
      </c>
      <c r="C257" s="16" t="str">
        <f>IF(H257&lt;=$L$1,VLOOKUP(H257,Iktato!$C$3:$O$10000,4,FALSE),"")</f>
        <v/>
      </c>
      <c r="D257" s="3" t="str">
        <f>TRIM(IF(H257&lt;=$L$1,VLOOKUP(H257,Iktato!$C$3:$O$10000,7,FALSE),""))</f>
        <v/>
      </c>
      <c r="E257" s="3" t="str">
        <f>TRIM(IF(H257&lt;=$L$1,VLOOKUP(H257,Iktato!$C$3:$O$10000,8,FALSE),""))</f>
        <v/>
      </c>
      <c r="F257" s="4" t="str">
        <f t="shared" si="20"/>
        <v/>
      </c>
      <c r="H257" s="1">
        <f t="shared" si="18"/>
        <v>247</v>
      </c>
      <c r="J257" s="1">
        <f t="shared" si="21"/>
        <v>0</v>
      </c>
      <c r="K257" s="1">
        <f>SUM($L$9,$L$11:L257)</f>
        <v>0</v>
      </c>
      <c r="L257" s="1">
        <f>SUMIF(Iktato!$S$3:$S$10000,H257,Iktato!$V$3:$V$10000)</f>
        <v>0</v>
      </c>
    </row>
    <row r="258" spans="1:12" x14ac:dyDescent="0.25">
      <c r="A258" s="15" t="str">
        <f t="shared" si="19"/>
        <v/>
      </c>
      <c r="B258" s="15" t="str">
        <f>IF(H258&lt;=$L$1,VLOOKUP(H258,Iktato!$C$3:$O$10000,2,FALSE),"")</f>
        <v/>
      </c>
      <c r="C258" s="16" t="str">
        <f>IF(H258&lt;=$L$1,VLOOKUP(H258,Iktato!$C$3:$O$10000,4,FALSE),"")</f>
        <v/>
      </c>
      <c r="D258" s="3" t="str">
        <f>TRIM(IF(H258&lt;=$L$1,VLOOKUP(H258,Iktato!$C$3:$O$10000,7,FALSE),""))</f>
        <v/>
      </c>
      <c r="E258" s="3" t="str">
        <f>TRIM(IF(H258&lt;=$L$1,VLOOKUP(H258,Iktato!$C$3:$O$10000,8,FALSE),""))</f>
        <v/>
      </c>
      <c r="F258" s="4" t="str">
        <f t="shared" si="20"/>
        <v/>
      </c>
      <c r="H258" s="1">
        <f t="shared" si="18"/>
        <v>248</v>
      </c>
      <c r="J258" s="1">
        <f t="shared" si="21"/>
        <v>0</v>
      </c>
      <c r="K258" s="1">
        <f>SUM($L$9,$L$11:L258)</f>
        <v>0</v>
      </c>
      <c r="L258" s="1">
        <f>SUMIF(Iktato!$S$3:$S$10000,H258,Iktato!$V$3:$V$10000)</f>
        <v>0</v>
      </c>
    </row>
    <row r="259" spans="1:12" x14ac:dyDescent="0.25">
      <c r="A259" s="15" t="str">
        <f t="shared" si="19"/>
        <v/>
      </c>
      <c r="B259" s="15" t="str">
        <f>IF(H259&lt;=$L$1,VLOOKUP(H259,Iktato!$C$3:$O$10000,2,FALSE),"")</f>
        <v/>
      </c>
      <c r="C259" s="16" t="str">
        <f>IF(H259&lt;=$L$1,VLOOKUP(H259,Iktato!$C$3:$O$10000,4,FALSE),"")</f>
        <v/>
      </c>
      <c r="D259" s="3" t="str">
        <f>TRIM(IF(H259&lt;=$L$1,VLOOKUP(H259,Iktato!$C$3:$O$10000,7,FALSE),""))</f>
        <v/>
      </c>
      <c r="E259" s="3" t="str">
        <f>TRIM(IF(H259&lt;=$L$1,VLOOKUP(H259,Iktato!$C$3:$O$10000,8,FALSE),""))</f>
        <v/>
      </c>
      <c r="F259" s="4" t="str">
        <f t="shared" si="20"/>
        <v/>
      </c>
      <c r="H259" s="1">
        <f t="shared" si="18"/>
        <v>249</v>
      </c>
      <c r="J259" s="1">
        <f t="shared" si="21"/>
        <v>0</v>
      </c>
      <c r="K259" s="1">
        <f>SUM($L$9,$L$11:L259)</f>
        <v>0</v>
      </c>
      <c r="L259" s="1">
        <f>SUMIF(Iktato!$S$3:$S$10000,H259,Iktato!$V$3:$V$10000)</f>
        <v>0</v>
      </c>
    </row>
    <row r="260" spans="1:12" x14ac:dyDescent="0.25">
      <c r="A260" s="15" t="str">
        <f t="shared" si="19"/>
        <v/>
      </c>
      <c r="B260" s="15" t="str">
        <f>IF(H260&lt;=$L$1,VLOOKUP(H260,Iktato!$C$3:$O$10000,2,FALSE),"")</f>
        <v/>
      </c>
      <c r="C260" s="16" t="str">
        <f>IF(H260&lt;=$L$1,VLOOKUP(H260,Iktato!$C$3:$O$10000,4,FALSE),"")</f>
        <v/>
      </c>
      <c r="D260" s="3" t="str">
        <f>TRIM(IF(H260&lt;=$L$1,VLOOKUP(H260,Iktato!$C$3:$O$10000,7,FALSE),""))</f>
        <v/>
      </c>
      <c r="E260" s="3" t="str">
        <f>TRIM(IF(H260&lt;=$L$1,VLOOKUP(H260,Iktato!$C$3:$O$10000,8,FALSE),""))</f>
        <v/>
      </c>
      <c r="F260" s="4" t="str">
        <f t="shared" si="20"/>
        <v/>
      </c>
      <c r="H260" s="1">
        <f t="shared" si="18"/>
        <v>250</v>
      </c>
      <c r="J260" s="1">
        <f t="shared" si="21"/>
        <v>0</v>
      </c>
      <c r="K260" s="1">
        <f>SUM($L$9,$L$11:L260)</f>
        <v>0</v>
      </c>
      <c r="L260" s="1">
        <f>SUMIF(Iktato!$S$3:$S$10000,H260,Iktato!$V$3:$V$10000)</f>
        <v>0</v>
      </c>
    </row>
    <row r="261" spans="1:12" x14ac:dyDescent="0.25">
      <c r="A261" s="15" t="str">
        <f t="shared" si="19"/>
        <v/>
      </c>
      <c r="B261" s="15" t="str">
        <f>IF(H261&lt;=$L$1,VLOOKUP(H261,Iktato!$C$3:$O$10000,2,FALSE),"")</f>
        <v/>
      </c>
      <c r="C261" s="16" t="str">
        <f>IF(H261&lt;=$L$1,VLOOKUP(H261,Iktato!$C$3:$O$10000,4,FALSE),"")</f>
        <v/>
      </c>
      <c r="D261" s="3" t="str">
        <f>TRIM(IF(H261&lt;=$L$1,VLOOKUP(H261,Iktato!$C$3:$O$10000,7,FALSE),""))</f>
        <v/>
      </c>
      <c r="E261" s="3" t="str">
        <f>TRIM(IF(H261&lt;=$L$1,VLOOKUP(H261,Iktato!$C$3:$O$10000,8,FALSE),""))</f>
        <v/>
      </c>
      <c r="F261" s="4" t="str">
        <f t="shared" si="20"/>
        <v/>
      </c>
      <c r="H261" s="1">
        <f t="shared" si="18"/>
        <v>251</v>
      </c>
      <c r="J261" s="1">
        <f t="shared" si="21"/>
        <v>0</v>
      </c>
      <c r="K261" s="1">
        <f>SUM($L$9,$L$11:L261)</f>
        <v>0</v>
      </c>
      <c r="L261" s="1">
        <f>SUMIF(Iktato!$S$3:$S$10000,H261,Iktato!$V$3:$V$10000)</f>
        <v>0</v>
      </c>
    </row>
    <row r="262" spans="1:12" x14ac:dyDescent="0.25">
      <c r="A262" s="15" t="str">
        <f t="shared" si="19"/>
        <v/>
      </c>
      <c r="B262" s="15" t="str">
        <f>IF(H262&lt;=$L$1,VLOOKUP(H262,Iktato!$C$3:$O$10000,2,FALSE),"")</f>
        <v/>
      </c>
      <c r="C262" s="16" t="str">
        <f>IF(H262&lt;=$L$1,VLOOKUP(H262,Iktato!$C$3:$O$10000,4,FALSE),"")</f>
        <v/>
      </c>
      <c r="D262" s="3" t="str">
        <f>TRIM(IF(H262&lt;=$L$1,VLOOKUP(H262,Iktato!$C$3:$O$10000,7,FALSE),""))</f>
        <v/>
      </c>
      <c r="E262" s="3" t="str">
        <f>TRIM(IF(H262&lt;=$L$1,VLOOKUP(H262,Iktato!$C$3:$O$10000,8,FALSE),""))</f>
        <v/>
      </c>
      <c r="F262" s="4" t="str">
        <f t="shared" si="20"/>
        <v/>
      </c>
      <c r="H262" s="1">
        <f t="shared" si="18"/>
        <v>252</v>
      </c>
      <c r="J262" s="1">
        <f t="shared" si="21"/>
        <v>0</v>
      </c>
      <c r="K262" s="1">
        <f>SUM($L$9,$L$11:L262)</f>
        <v>0</v>
      </c>
      <c r="L262" s="1">
        <f>SUMIF(Iktato!$S$3:$S$10000,H262,Iktato!$V$3:$V$10000)</f>
        <v>0</v>
      </c>
    </row>
    <row r="263" spans="1:12" x14ac:dyDescent="0.25">
      <c r="A263" s="15" t="str">
        <f t="shared" si="19"/>
        <v/>
      </c>
      <c r="B263" s="15" t="str">
        <f>IF(H263&lt;=$L$1,VLOOKUP(H263,Iktato!$C$3:$O$10000,2,FALSE),"")</f>
        <v/>
      </c>
      <c r="C263" s="16" t="str">
        <f>IF(H263&lt;=$L$1,VLOOKUP(H263,Iktato!$C$3:$O$10000,4,FALSE),"")</f>
        <v/>
      </c>
      <c r="D263" s="3" t="str">
        <f>TRIM(IF(H263&lt;=$L$1,VLOOKUP(H263,Iktato!$C$3:$O$10000,7,FALSE),""))</f>
        <v/>
      </c>
      <c r="E263" s="3" t="str">
        <f>TRIM(IF(H263&lt;=$L$1,VLOOKUP(H263,Iktato!$C$3:$O$10000,8,FALSE),""))</f>
        <v/>
      </c>
      <c r="F263" s="4" t="str">
        <f t="shared" si="20"/>
        <v/>
      </c>
      <c r="H263" s="1">
        <f t="shared" si="18"/>
        <v>253</v>
      </c>
      <c r="J263" s="1">
        <f t="shared" si="21"/>
        <v>0</v>
      </c>
      <c r="K263" s="1">
        <f>SUM($L$9,$L$11:L263)</f>
        <v>0</v>
      </c>
      <c r="L263" s="1">
        <f>SUMIF(Iktato!$S$3:$S$10000,H263,Iktato!$V$3:$V$10000)</f>
        <v>0</v>
      </c>
    </row>
    <row r="264" spans="1:12" x14ac:dyDescent="0.25">
      <c r="A264" s="15" t="str">
        <f t="shared" si="19"/>
        <v/>
      </c>
      <c r="B264" s="15" t="str">
        <f>IF(H264&lt;=$L$1,VLOOKUP(H264,Iktato!$C$3:$O$10000,2,FALSE),"")</f>
        <v/>
      </c>
      <c r="C264" s="16" t="str">
        <f>IF(H264&lt;=$L$1,VLOOKUP(H264,Iktato!$C$3:$O$10000,4,FALSE),"")</f>
        <v/>
      </c>
      <c r="D264" s="3" t="str">
        <f>TRIM(IF(H264&lt;=$L$1,VLOOKUP(H264,Iktato!$C$3:$O$10000,7,FALSE),""))</f>
        <v/>
      </c>
      <c r="E264" s="3" t="str">
        <f>TRIM(IF(H264&lt;=$L$1,VLOOKUP(H264,Iktato!$C$3:$O$10000,8,FALSE),""))</f>
        <v/>
      </c>
      <c r="F264" s="4" t="str">
        <f t="shared" si="20"/>
        <v/>
      </c>
      <c r="H264" s="1">
        <f t="shared" si="18"/>
        <v>254</v>
      </c>
      <c r="J264" s="1">
        <f t="shared" si="21"/>
        <v>0</v>
      </c>
      <c r="K264" s="1">
        <f>SUM($L$9,$L$11:L264)</f>
        <v>0</v>
      </c>
      <c r="L264" s="1">
        <f>SUMIF(Iktato!$S$3:$S$10000,H264,Iktato!$V$3:$V$10000)</f>
        <v>0</v>
      </c>
    </row>
    <row r="265" spans="1:12" x14ac:dyDescent="0.25">
      <c r="A265" s="15" t="str">
        <f t="shared" si="19"/>
        <v/>
      </c>
      <c r="B265" s="15" t="str">
        <f>IF(H265&lt;=$L$1,VLOOKUP(H265,Iktato!$C$3:$O$10000,2,FALSE),"")</f>
        <v/>
      </c>
      <c r="C265" s="16" t="str">
        <f>IF(H265&lt;=$L$1,VLOOKUP(H265,Iktato!$C$3:$O$10000,4,FALSE),"")</f>
        <v/>
      </c>
      <c r="D265" s="3" t="str">
        <f>TRIM(IF(H265&lt;=$L$1,VLOOKUP(H265,Iktato!$C$3:$O$10000,7,FALSE),""))</f>
        <v/>
      </c>
      <c r="E265" s="3" t="str">
        <f>TRIM(IF(H265&lt;=$L$1,VLOOKUP(H265,Iktato!$C$3:$O$10000,8,FALSE),""))</f>
        <v/>
      </c>
      <c r="F265" s="4" t="str">
        <f t="shared" si="20"/>
        <v/>
      </c>
      <c r="H265" s="1">
        <f t="shared" si="18"/>
        <v>255</v>
      </c>
      <c r="J265" s="1">
        <f t="shared" si="21"/>
        <v>0</v>
      </c>
      <c r="K265" s="1">
        <f>SUM($L$9,$L$11:L265)</f>
        <v>0</v>
      </c>
      <c r="L265" s="1">
        <f>SUMIF(Iktato!$S$3:$S$10000,H265,Iktato!$V$3:$V$10000)</f>
        <v>0</v>
      </c>
    </row>
    <row r="266" spans="1:12" x14ac:dyDescent="0.25">
      <c r="A266" s="15" t="str">
        <f t="shared" si="19"/>
        <v/>
      </c>
      <c r="B266" s="15" t="str">
        <f>IF(H266&lt;=$L$1,VLOOKUP(H266,Iktato!$C$3:$O$10000,2,FALSE),"")</f>
        <v/>
      </c>
      <c r="C266" s="16" t="str">
        <f>IF(H266&lt;=$L$1,VLOOKUP(H266,Iktato!$C$3:$O$10000,4,FALSE),"")</f>
        <v/>
      </c>
      <c r="D266" s="3" t="str">
        <f>TRIM(IF(H266&lt;=$L$1,VLOOKUP(H266,Iktato!$C$3:$O$10000,7,FALSE),""))</f>
        <v/>
      </c>
      <c r="E266" s="3" t="str">
        <f>TRIM(IF(H266&lt;=$L$1,VLOOKUP(H266,Iktato!$C$3:$O$10000,8,FALSE),""))</f>
        <v/>
      </c>
      <c r="F266" s="4" t="str">
        <f t="shared" si="20"/>
        <v/>
      </c>
      <c r="H266" s="1">
        <f t="shared" si="18"/>
        <v>256</v>
      </c>
      <c r="J266" s="1">
        <f t="shared" si="21"/>
        <v>0</v>
      </c>
      <c r="K266" s="1">
        <f>SUM($L$9,$L$11:L266)</f>
        <v>0</v>
      </c>
      <c r="L266" s="1">
        <f>SUMIF(Iktato!$S$3:$S$10000,H266,Iktato!$V$3:$V$10000)</f>
        <v>0</v>
      </c>
    </row>
    <row r="267" spans="1:12" x14ac:dyDescent="0.25">
      <c r="A267" s="15" t="str">
        <f t="shared" si="19"/>
        <v/>
      </c>
      <c r="B267" s="15" t="str">
        <f>IF(H267&lt;=$L$1,VLOOKUP(H267,Iktato!$C$3:$O$10000,2,FALSE),"")</f>
        <v/>
      </c>
      <c r="C267" s="16" t="str">
        <f>IF(H267&lt;=$L$1,VLOOKUP(H267,Iktato!$C$3:$O$10000,4,FALSE),"")</f>
        <v/>
      </c>
      <c r="D267" s="3" t="str">
        <f>TRIM(IF(H267&lt;=$L$1,VLOOKUP(H267,Iktato!$C$3:$O$10000,7,FALSE),""))</f>
        <v/>
      </c>
      <c r="E267" s="3" t="str">
        <f>TRIM(IF(H267&lt;=$L$1,VLOOKUP(H267,Iktato!$C$3:$O$10000,8,FALSE),""))</f>
        <v/>
      </c>
      <c r="F267" s="4" t="str">
        <f t="shared" si="20"/>
        <v/>
      </c>
      <c r="H267" s="1">
        <f t="shared" si="18"/>
        <v>257</v>
      </c>
      <c r="J267" s="1">
        <f t="shared" si="21"/>
        <v>0</v>
      </c>
      <c r="K267" s="1">
        <f>SUM($L$9,$L$11:L267)</f>
        <v>0</v>
      </c>
      <c r="L267" s="1">
        <f>SUMIF(Iktato!$S$3:$S$10000,H267,Iktato!$V$3:$V$10000)</f>
        <v>0</v>
      </c>
    </row>
    <row r="268" spans="1:12" x14ac:dyDescent="0.25">
      <c r="A268" s="15" t="str">
        <f t="shared" si="19"/>
        <v/>
      </c>
      <c r="B268" s="15" t="str">
        <f>IF(H268&lt;=$L$1,VLOOKUP(H268,Iktato!$C$3:$O$10000,2,FALSE),"")</f>
        <v/>
      </c>
      <c r="C268" s="16" t="str">
        <f>IF(H268&lt;=$L$1,VLOOKUP(H268,Iktato!$C$3:$O$10000,4,FALSE),"")</f>
        <v/>
      </c>
      <c r="D268" s="3" t="str">
        <f>TRIM(IF(H268&lt;=$L$1,VLOOKUP(H268,Iktato!$C$3:$O$10000,7,FALSE),""))</f>
        <v/>
      </c>
      <c r="E268" s="3" t="str">
        <f>TRIM(IF(H268&lt;=$L$1,VLOOKUP(H268,Iktato!$C$3:$O$10000,8,FALSE),""))</f>
        <v/>
      </c>
      <c r="F268" s="4" t="str">
        <f t="shared" si="20"/>
        <v/>
      </c>
      <c r="H268" s="1">
        <f t="shared" ref="H268:H311" si="22">H267+1</f>
        <v>258</v>
      </c>
      <c r="J268" s="1">
        <f t="shared" si="21"/>
        <v>0</v>
      </c>
      <c r="K268" s="1">
        <f>SUM($L$9,$L$11:L268)</f>
        <v>0</v>
      </c>
      <c r="L268" s="1">
        <f>SUMIF(Iktato!$S$3:$S$10000,H268,Iktato!$V$3:$V$10000)</f>
        <v>0</v>
      </c>
    </row>
    <row r="269" spans="1:12" x14ac:dyDescent="0.25">
      <c r="A269" s="15" t="str">
        <f t="shared" si="19"/>
        <v/>
      </c>
      <c r="B269" s="15" t="str">
        <f>IF(H269&lt;=$L$1,VLOOKUP(H269,Iktato!$C$3:$O$10000,2,FALSE),"")</f>
        <v/>
      </c>
      <c r="C269" s="16" t="str">
        <f>IF(H269&lt;=$L$1,VLOOKUP(H269,Iktato!$C$3:$O$10000,4,FALSE),"")</f>
        <v/>
      </c>
      <c r="D269" s="3" t="str">
        <f>TRIM(IF(H269&lt;=$L$1,VLOOKUP(H269,Iktato!$C$3:$O$10000,7,FALSE),""))</f>
        <v/>
      </c>
      <c r="E269" s="3" t="str">
        <f>TRIM(IF(H269&lt;=$L$1,VLOOKUP(H269,Iktato!$C$3:$O$10000,8,FALSE),""))</f>
        <v/>
      </c>
      <c r="F269" s="4" t="str">
        <f t="shared" si="20"/>
        <v/>
      </c>
      <c r="H269" s="1">
        <f t="shared" si="22"/>
        <v>259</v>
      </c>
      <c r="J269" s="1">
        <f t="shared" si="21"/>
        <v>0</v>
      </c>
      <c r="K269" s="1">
        <f>SUM($L$9,$L$11:L269)</f>
        <v>0</v>
      </c>
      <c r="L269" s="1">
        <f>SUMIF(Iktato!$S$3:$S$10000,H269,Iktato!$V$3:$V$10000)</f>
        <v>0</v>
      </c>
    </row>
    <row r="270" spans="1:12" x14ac:dyDescent="0.25">
      <c r="A270" s="15" t="str">
        <f t="shared" si="19"/>
        <v/>
      </c>
      <c r="B270" s="15" t="str">
        <f>IF(H270&lt;=$L$1,VLOOKUP(H270,Iktato!$C$3:$O$10000,2,FALSE),"")</f>
        <v/>
      </c>
      <c r="C270" s="16" t="str">
        <f>IF(H270&lt;=$L$1,VLOOKUP(H270,Iktato!$C$3:$O$10000,4,FALSE),"")</f>
        <v/>
      </c>
      <c r="D270" s="3" t="str">
        <f>TRIM(IF(H270&lt;=$L$1,VLOOKUP(H270,Iktato!$C$3:$O$10000,7,FALSE),""))</f>
        <v/>
      </c>
      <c r="E270" s="3" t="str">
        <f>TRIM(IF(H270&lt;=$L$1,VLOOKUP(H270,Iktato!$C$3:$O$10000,8,FALSE),""))</f>
        <v/>
      </c>
      <c r="F270" s="4" t="str">
        <f t="shared" si="20"/>
        <v/>
      </c>
      <c r="H270" s="1">
        <f t="shared" si="22"/>
        <v>260</v>
      </c>
      <c r="J270" s="1">
        <f t="shared" si="21"/>
        <v>0</v>
      </c>
      <c r="K270" s="1">
        <f>SUM($L$9,$L$11:L270)</f>
        <v>0</v>
      </c>
      <c r="L270" s="1">
        <f>SUMIF(Iktato!$S$3:$S$10000,H270,Iktato!$V$3:$V$10000)</f>
        <v>0</v>
      </c>
    </row>
    <row r="271" spans="1:12" x14ac:dyDescent="0.25">
      <c r="A271" s="15" t="str">
        <f t="shared" si="19"/>
        <v/>
      </c>
      <c r="B271" s="15" t="str">
        <f>IF(H271&lt;=$L$1,VLOOKUP(H271,Iktato!$C$3:$O$10000,2,FALSE),"")</f>
        <v/>
      </c>
      <c r="C271" s="16" t="str">
        <f>IF(H271&lt;=$L$1,VLOOKUP(H271,Iktato!$C$3:$O$10000,4,FALSE),"")</f>
        <v/>
      </c>
      <c r="D271" s="3" t="str">
        <f>TRIM(IF(H271&lt;=$L$1,VLOOKUP(H271,Iktato!$C$3:$O$10000,7,FALSE),""))</f>
        <v/>
      </c>
      <c r="E271" s="3" t="str">
        <f>TRIM(IF(H271&lt;=$L$1,VLOOKUP(H271,Iktato!$C$3:$O$10000,8,FALSE),""))</f>
        <v/>
      </c>
      <c r="F271" s="4" t="str">
        <f t="shared" si="20"/>
        <v/>
      </c>
      <c r="H271" s="1">
        <f t="shared" si="22"/>
        <v>261</v>
      </c>
      <c r="J271" s="1">
        <f t="shared" si="21"/>
        <v>0</v>
      </c>
      <c r="K271" s="1">
        <f>SUM($L$9,$L$11:L271)</f>
        <v>0</v>
      </c>
      <c r="L271" s="1">
        <f>SUMIF(Iktato!$S$3:$S$10000,H271,Iktato!$V$3:$V$10000)</f>
        <v>0</v>
      </c>
    </row>
    <row r="272" spans="1:12" x14ac:dyDescent="0.25">
      <c r="A272" s="15" t="str">
        <f t="shared" si="19"/>
        <v/>
      </c>
      <c r="B272" s="15" t="str">
        <f>IF(H272&lt;=$L$1,VLOOKUP(H272,Iktato!$C$3:$O$10000,2,FALSE),"")</f>
        <v/>
      </c>
      <c r="C272" s="16" t="str">
        <f>IF(H272&lt;=$L$1,VLOOKUP(H272,Iktato!$C$3:$O$10000,4,FALSE),"")</f>
        <v/>
      </c>
      <c r="D272" s="3" t="str">
        <f>TRIM(IF(H272&lt;=$L$1,VLOOKUP(H272,Iktato!$C$3:$O$10000,7,FALSE),""))</f>
        <v/>
      </c>
      <c r="E272" s="3" t="str">
        <f>TRIM(IF(H272&lt;=$L$1,VLOOKUP(H272,Iktato!$C$3:$O$10000,8,FALSE),""))</f>
        <v/>
      </c>
      <c r="F272" s="4" t="str">
        <f t="shared" si="20"/>
        <v/>
      </c>
      <c r="H272" s="1">
        <f t="shared" si="22"/>
        <v>262</v>
      </c>
      <c r="J272" s="1">
        <f t="shared" si="21"/>
        <v>0</v>
      </c>
      <c r="K272" s="1">
        <f>SUM($L$9,$L$11:L272)</f>
        <v>0</v>
      </c>
      <c r="L272" s="1">
        <f>SUMIF(Iktato!$S$3:$S$10000,H272,Iktato!$V$3:$V$10000)</f>
        <v>0</v>
      </c>
    </row>
    <row r="273" spans="1:12" x14ac:dyDescent="0.25">
      <c r="A273" s="15" t="str">
        <f t="shared" si="19"/>
        <v/>
      </c>
      <c r="B273" s="15" t="str">
        <f>IF(H273&lt;=$L$1,VLOOKUP(H273,Iktato!$C$3:$O$10000,2,FALSE),"")</f>
        <v/>
      </c>
      <c r="C273" s="16" t="str">
        <f>IF(H273&lt;=$L$1,VLOOKUP(H273,Iktato!$C$3:$O$10000,4,FALSE),"")</f>
        <v/>
      </c>
      <c r="D273" s="3" t="str">
        <f>TRIM(IF(H273&lt;=$L$1,VLOOKUP(H273,Iktato!$C$3:$O$10000,7,FALSE),""))</f>
        <v/>
      </c>
      <c r="E273" s="3" t="str">
        <f>TRIM(IF(H273&lt;=$L$1,VLOOKUP(H273,Iktato!$C$3:$O$10000,8,FALSE),""))</f>
        <v/>
      </c>
      <c r="F273" s="4" t="str">
        <f t="shared" si="20"/>
        <v/>
      </c>
      <c r="H273" s="1">
        <f t="shared" si="22"/>
        <v>263</v>
      </c>
      <c r="J273" s="1">
        <f t="shared" si="21"/>
        <v>0</v>
      </c>
      <c r="K273" s="1">
        <f>SUM($L$9,$L$11:L273)</f>
        <v>0</v>
      </c>
      <c r="L273" s="1">
        <f>SUMIF(Iktato!$S$3:$S$10000,H273,Iktato!$V$3:$V$10000)</f>
        <v>0</v>
      </c>
    </row>
    <row r="274" spans="1:12" x14ac:dyDescent="0.25">
      <c r="A274" s="15" t="str">
        <f t="shared" si="19"/>
        <v/>
      </c>
      <c r="B274" s="15" t="str">
        <f>IF(H274&lt;=$L$1,VLOOKUP(H274,Iktato!$C$3:$O$10000,2,FALSE),"")</f>
        <v/>
      </c>
      <c r="C274" s="16" t="str">
        <f>IF(H274&lt;=$L$1,VLOOKUP(H274,Iktato!$C$3:$O$10000,4,FALSE),"")</f>
        <v/>
      </c>
      <c r="D274" s="3" t="str">
        <f>TRIM(IF(H274&lt;=$L$1,VLOOKUP(H274,Iktato!$C$3:$O$10000,7,FALSE),""))</f>
        <v/>
      </c>
      <c r="E274" s="3" t="str">
        <f>TRIM(IF(H274&lt;=$L$1,VLOOKUP(H274,Iktato!$C$3:$O$10000,8,FALSE),""))</f>
        <v/>
      </c>
      <c r="F274" s="4" t="str">
        <f t="shared" si="20"/>
        <v/>
      </c>
      <c r="H274" s="1">
        <f t="shared" si="22"/>
        <v>264</v>
      </c>
      <c r="J274" s="1">
        <f t="shared" si="21"/>
        <v>0</v>
      </c>
      <c r="K274" s="1">
        <f>SUM($L$9,$L$11:L274)</f>
        <v>0</v>
      </c>
      <c r="L274" s="1">
        <f>SUMIF(Iktato!$S$3:$S$10000,H274,Iktato!$V$3:$V$10000)</f>
        <v>0</v>
      </c>
    </row>
    <row r="275" spans="1:12" x14ac:dyDescent="0.25">
      <c r="A275" s="15" t="str">
        <f t="shared" si="19"/>
        <v/>
      </c>
      <c r="B275" s="15" t="str">
        <f>IF(H275&lt;=$L$1,VLOOKUP(H275,Iktato!$C$3:$O$10000,2,FALSE),"")</f>
        <v/>
      </c>
      <c r="C275" s="16" t="str">
        <f>IF(H275&lt;=$L$1,VLOOKUP(H275,Iktato!$C$3:$O$10000,4,FALSE),"")</f>
        <v/>
      </c>
      <c r="D275" s="3" t="str">
        <f>TRIM(IF(H275&lt;=$L$1,VLOOKUP(H275,Iktato!$C$3:$O$10000,7,FALSE),""))</f>
        <v/>
      </c>
      <c r="E275" s="3" t="str">
        <f>TRIM(IF(H275&lt;=$L$1,VLOOKUP(H275,Iktato!$C$3:$O$10000,8,FALSE),""))</f>
        <v/>
      </c>
      <c r="F275" s="4" t="str">
        <f t="shared" si="20"/>
        <v/>
      </c>
      <c r="H275" s="1">
        <f t="shared" si="22"/>
        <v>265</v>
      </c>
      <c r="J275" s="1">
        <f t="shared" si="21"/>
        <v>0</v>
      </c>
      <c r="K275" s="1">
        <f>SUM($L$9,$L$11:L275)</f>
        <v>0</v>
      </c>
      <c r="L275" s="1">
        <f>SUMIF(Iktato!$S$3:$S$10000,H275,Iktato!$V$3:$V$10000)</f>
        <v>0</v>
      </c>
    </row>
    <row r="276" spans="1:12" x14ac:dyDescent="0.25">
      <c r="A276" s="15" t="str">
        <f t="shared" ref="A276:A311" si="23">IF(H276&lt;=$L$1,H276,"")</f>
        <v/>
      </c>
      <c r="B276" s="15" t="str">
        <f>IF(H276&lt;=$L$1,VLOOKUP(H276,Iktato!$C$3:$O$10000,2,FALSE),"")</f>
        <v/>
      </c>
      <c r="C276" s="16" t="str">
        <f>IF(H276&lt;=$L$1,VLOOKUP(H276,Iktato!$C$3:$O$10000,4,FALSE),"")</f>
        <v/>
      </c>
      <c r="D276" s="3" t="str">
        <f>TRIM(IF(H276&lt;=$L$1,VLOOKUP(H276,Iktato!$C$3:$O$10000,7,FALSE),""))</f>
        <v/>
      </c>
      <c r="E276" s="3" t="str">
        <f>TRIM(IF(H276&lt;=$L$1,VLOOKUP(H276,Iktato!$C$3:$O$10000,8,FALSE),""))</f>
        <v/>
      </c>
      <c r="F276" s="4" t="str">
        <f t="shared" ref="F276:F311" si="24">IF(H276&lt;=$L$1,J276,"")</f>
        <v/>
      </c>
      <c r="H276" s="1">
        <f t="shared" si="22"/>
        <v>266</v>
      </c>
      <c r="J276" s="1">
        <f t="shared" ref="J276:J311" si="25">IF(L276&lt;&gt;0,IF(K276&lt;&gt;K275+1,K275+1&amp;"-"&amp;K276,K276),J275)</f>
        <v>0</v>
      </c>
      <c r="K276" s="1">
        <f>SUM($L$9,$L$11:L276)</f>
        <v>0</v>
      </c>
      <c r="L276" s="1">
        <f>SUMIF(Iktato!$S$3:$S$10000,H276,Iktato!$V$3:$V$10000)</f>
        <v>0</v>
      </c>
    </row>
    <row r="277" spans="1:12" x14ac:dyDescent="0.25">
      <c r="A277" s="15" t="str">
        <f t="shared" si="23"/>
        <v/>
      </c>
      <c r="B277" s="15" t="str">
        <f>IF(H277&lt;=$L$1,VLOOKUP(H277,Iktato!$C$3:$O$10000,2,FALSE),"")</f>
        <v/>
      </c>
      <c r="C277" s="16" t="str">
        <f>IF(H277&lt;=$L$1,VLOOKUP(H277,Iktato!$C$3:$O$10000,4,FALSE),"")</f>
        <v/>
      </c>
      <c r="D277" s="3" t="str">
        <f>TRIM(IF(H277&lt;=$L$1,VLOOKUP(H277,Iktato!$C$3:$O$10000,7,FALSE),""))</f>
        <v/>
      </c>
      <c r="E277" s="3" t="str">
        <f>TRIM(IF(H277&lt;=$L$1,VLOOKUP(H277,Iktato!$C$3:$O$10000,8,FALSE),""))</f>
        <v/>
      </c>
      <c r="F277" s="4" t="str">
        <f t="shared" si="24"/>
        <v/>
      </c>
      <c r="H277" s="1">
        <f t="shared" si="22"/>
        <v>267</v>
      </c>
      <c r="J277" s="1">
        <f t="shared" si="25"/>
        <v>0</v>
      </c>
      <c r="K277" s="1">
        <f>SUM($L$9,$L$11:L277)</f>
        <v>0</v>
      </c>
      <c r="L277" s="1">
        <f>SUMIF(Iktato!$S$3:$S$10000,H277,Iktato!$V$3:$V$10000)</f>
        <v>0</v>
      </c>
    </row>
    <row r="278" spans="1:12" x14ac:dyDescent="0.25">
      <c r="A278" s="15" t="str">
        <f t="shared" si="23"/>
        <v/>
      </c>
      <c r="B278" s="15" t="str">
        <f>IF(H278&lt;=$L$1,VLOOKUP(H278,Iktato!$C$3:$O$10000,2,FALSE),"")</f>
        <v/>
      </c>
      <c r="C278" s="16" t="str">
        <f>IF(H278&lt;=$L$1,VLOOKUP(H278,Iktato!$C$3:$O$10000,4,FALSE),"")</f>
        <v/>
      </c>
      <c r="D278" s="3" t="str">
        <f>TRIM(IF(H278&lt;=$L$1,VLOOKUP(H278,Iktato!$C$3:$O$10000,7,FALSE),""))</f>
        <v/>
      </c>
      <c r="E278" s="3" t="str">
        <f>TRIM(IF(H278&lt;=$L$1,VLOOKUP(H278,Iktato!$C$3:$O$10000,8,FALSE),""))</f>
        <v/>
      </c>
      <c r="F278" s="4" t="str">
        <f t="shared" si="24"/>
        <v/>
      </c>
      <c r="H278" s="1">
        <f t="shared" si="22"/>
        <v>268</v>
      </c>
      <c r="J278" s="1">
        <f t="shared" si="25"/>
        <v>0</v>
      </c>
      <c r="K278" s="1">
        <f>SUM($L$9,$L$11:L278)</f>
        <v>0</v>
      </c>
      <c r="L278" s="1">
        <f>SUMIF(Iktato!$S$3:$S$10000,H278,Iktato!$V$3:$V$10000)</f>
        <v>0</v>
      </c>
    </row>
    <row r="279" spans="1:12" x14ac:dyDescent="0.25">
      <c r="A279" s="15" t="str">
        <f t="shared" si="23"/>
        <v/>
      </c>
      <c r="B279" s="15" t="str">
        <f>IF(H279&lt;=$L$1,VLOOKUP(H279,Iktato!$C$3:$O$10000,2,FALSE),"")</f>
        <v/>
      </c>
      <c r="C279" s="16" t="str">
        <f>IF(H279&lt;=$L$1,VLOOKUP(H279,Iktato!$C$3:$O$10000,4,FALSE),"")</f>
        <v/>
      </c>
      <c r="D279" s="3" t="str">
        <f>TRIM(IF(H279&lt;=$L$1,VLOOKUP(H279,Iktato!$C$3:$O$10000,7,FALSE),""))</f>
        <v/>
      </c>
      <c r="E279" s="3" t="str">
        <f>TRIM(IF(H279&lt;=$L$1,VLOOKUP(H279,Iktato!$C$3:$O$10000,8,FALSE),""))</f>
        <v/>
      </c>
      <c r="F279" s="4" t="str">
        <f t="shared" si="24"/>
        <v/>
      </c>
      <c r="H279" s="1">
        <f t="shared" si="22"/>
        <v>269</v>
      </c>
      <c r="J279" s="1">
        <f t="shared" si="25"/>
        <v>0</v>
      </c>
      <c r="K279" s="1">
        <f>SUM($L$9,$L$11:L279)</f>
        <v>0</v>
      </c>
      <c r="L279" s="1">
        <f>SUMIF(Iktato!$S$3:$S$10000,H279,Iktato!$V$3:$V$10000)</f>
        <v>0</v>
      </c>
    </row>
    <row r="280" spans="1:12" x14ac:dyDescent="0.25">
      <c r="A280" s="15" t="str">
        <f t="shared" si="23"/>
        <v/>
      </c>
      <c r="B280" s="15" t="str">
        <f>IF(H280&lt;=$L$1,VLOOKUP(H280,Iktato!$C$3:$O$10000,2,FALSE),"")</f>
        <v/>
      </c>
      <c r="C280" s="16" t="str">
        <f>IF(H280&lt;=$L$1,VLOOKUP(H280,Iktato!$C$3:$O$10000,4,FALSE),"")</f>
        <v/>
      </c>
      <c r="D280" s="3" t="str">
        <f>TRIM(IF(H280&lt;=$L$1,VLOOKUP(H280,Iktato!$C$3:$O$10000,7,FALSE),""))</f>
        <v/>
      </c>
      <c r="E280" s="3" t="str">
        <f>TRIM(IF(H280&lt;=$L$1,VLOOKUP(H280,Iktato!$C$3:$O$10000,8,FALSE),""))</f>
        <v/>
      </c>
      <c r="F280" s="4" t="str">
        <f t="shared" si="24"/>
        <v/>
      </c>
      <c r="H280" s="1">
        <f t="shared" si="22"/>
        <v>270</v>
      </c>
      <c r="J280" s="1">
        <f t="shared" si="25"/>
        <v>0</v>
      </c>
      <c r="K280" s="1">
        <f>SUM($L$9,$L$11:L280)</f>
        <v>0</v>
      </c>
      <c r="L280" s="1">
        <f>SUMIF(Iktato!$S$3:$S$10000,H280,Iktato!$V$3:$V$10000)</f>
        <v>0</v>
      </c>
    </row>
    <row r="281" spans="1:12" x14ac:dyDescent="0.25">
      <c r="A281" s="15" t="str">
        <f t="shared" si="23"/>
        <v/>
      </c>
      <c r="B281" s="15" t="str">
        <f>IF(H281&lt;=$L$1,VLOOKUP(H281,Iktato!$C$3:$O$10000,2,FALSE),"")</f>
        <v/>
      </c>
      <c r="C281" s="16" t="str">
        <f>IF(H281&lt;=$L$1,VLOOKUP(H281,Iktato!$C$3:$O$10000,4,FALSE),"")</f>
        <v/>
      </c>
      <c r="D281" s="3" t="str">
        <f>TRIM(IF(H281&lt;=$L$1,VLOOKUP(H281,Iktato!$C$3:$O$10000,7,FALSE),""))</f>
        <v/>
      </c>
      <c r="E281" s="3" t="str">
        <f>TRIM(IF(H281&lt;=$L$1,VLOOKUP(H281,Iktato!$C$3:$O$10000,8,FALSE),""))</f>
        <v/>
      </c>
      <c r="F281" s="4" t="str">
        <f t="shared" si="24"/>
        <v/>
      </c>
      <c r="H281" s="1">
        <f t="shared" si="22"/>
        <v>271</v>
      </c>
      <c r="J281" s="1">
        <f t="shared" si="25"/>
        <v>0</v>
      </c>
      <c r="K281" s="1">
        <f>SUM($L$9,$L$11:L281)</f>
        <v>0</v>
      </c>
      <c r="L281" s="1">
        <f>SUMIF(Iktato!$S$3:$S$10000,H281,Iktato!$V$3:$V$10000)</f>
        <v>0</v>
      </c>
    </row>
    <row r="282" spans="1:12" x14ac:dyDescent="0.25">
      <c r="A282" s="15" t="str">
        <f t="shared" si="23"/>
        <v/>
      </c>
      <c r="B282" s="15" t="str">
        <f>IF(H282&lt;=$L$1,VLOOKUP(H282,Iktato!$C$3:$O$10000,2,FALSE),"")</f>
        <v/>
      </c>
      <c r="C282" s="16" t="str">
        <f>IF(H282&lt;=$L$1,VLOOKUP(H282,Iktato!$C$3:$O$10000,4,FALSE),"")</f>
        <v/>
      </c>
      <c r="D282" s="3" t="str">
        <f>TRIM(IF(H282&lt;=$L$1,VLOOKUP(H282,Iktato!$C$3:$O$10000,7,FALSE),""))</f>
        <v/>
      </c>
      <c r="E282" s="3" t="str">
        <f>TRIM(IF(H282&lt;=$L$1,VLOOKUP(H282,Iktato!$C$3:$O$10000,8,FALSE),""))</f>
        <v/>
      </c>
      <c r="F282" s="4" t="str">
        <f t="shared" si="24"/>
        <v/>
      </c>
      <c r="H282" s="1">
        <f t="shared" si="22"/>
        <v>272</v>
      </c>
      <c r="J282" s="1">
        <f t="shared" si="25"/>
        <v>0</v>
      </c>
      <c r="K282" s="1">
        <f>SUM($L$9,$L$11:L282)</f>
        <v>0</v>
      </c>
      <c r="L282" s="1">
        <f>SUMIF(Iktato!$S$3:$S$10000,H282,Iktato!$V$3:$V$10000)</f>
        <v>0</v>
      </c>
    </row>
    <row r="283" spans="1:12" x14ac:dyDescent="0.25">
      <c r="A283" s="15" t="str">
        <f t="shared" si="23"/>
        <v/>
      </c>
      <c r="B283" s="15" t="str">
        <f>IF(H283&lt;=$L$1,VLOOKUP(H283,Iktato!$C$3:$O$10000,2,FALSE),"")</f>
        <v/>
      </c>
      <c r="C283" s="16" t="str">
        <f>IF(H283&lt;=$L$1,VLOOKUP(H283,Iktato!$C$3:$O$10000,4,FALSE),"")</f>
        <v/>
      </c>
      <c r="D283" s="3" t="str">
        <f>TRIM(IF(H283&lt;=$L$1,VLOOKUP(H283,Iktato!$C$3:$O$10000,7,FALSE),""))</f>
        <v/>
      </c>
      <c r="E283" s="3" t="str">
        <f>TRIM(IF(H283&lt;=$L$1,VLOOKUP(H283,Iktato!$C$3:$O$10000,8,FALSE),""))</f>
        <v/>
      </c>
      <c r="F283" s="4" t="str">
        <f t="shared" si="24"/>
        <v/>
      </c>
      <c r="H283" s="1">
        <f t="shared" si="22"/>
        <v>273</v>
      </c>
      <c r="J283" s="1">
        <f t="shared" si="25"/>
        <v>0</v>
      </c>
      <c r="K283" s="1">
        <f>SUM($L$9,$L$11:L283)</f>
        <v>0</v>
      </c>
      <c r="L283" s="1">
        <f>SUMIF(Iktato!$S$3:$S$10000,H283,Iktato!$V$3:$V$10000)</f>
        <v>0</v>
      </c>
    </row>
    <row r="284" spans="1:12" x14ac:dyDescent="0.25">
      <c r="A284" s="15" t="str">
        <f t="shared" si="23"/>
        <v/>
      </c>
      <c r="B284" s="15" t="str">
        <f>IF(H284&lt;=$L$1,VLOOKUP(H284,Iktato!$C$3:$O$10000,2,FALSE),"")</f>
        <v/>
      </c>
      <c r="C284" s="16" t="str">
        <f>IF(H284&lt;=$L$1,VLOOKUP(H284,Iktato!$C$3:$O$10000,4,FALSE),"")</f>
        <v/>
      </c>
      <c r="D284" s="3" t="str">
        <f>TRIM(IF(H284&lt;=$L$1,VLOOKUP(H284,Iktato!$C$3:$O$10000,7,FALSE),""))</f>
        <v/>
      </c>
      <c r="E284" s="3" t="str">
        <f>TRIM(IF(H284&lt;=$L$1,VLOOKUP(H284,Iktato!$C$3:$O$10000,8,FALSE),""))</f>
        <v/>
      </c>
      <c r="F284" s="4" t="str">
        <f t="shared" si="24"/>
        <v/>
      </c>
      <c r="H284" s="1">
        <f t="shared" si="22"/>
        <v>274</v>
      </c>
      <c r="J284" s="1">
        <f t="shared" si="25"/>
        <v>0</v>
      </c>
      <c r="K284" s="1">
        <f>SUM($L$9,$L$11:L284)</f>
        <v>0</v>
      </c>
      <c r="L284" s="1">
        <f>SUMIF(Iktato!$S$3:$S$10000,H284,Iktato!$V$3:$V$10000)</f>
        <v>0</v>
      </c>
    </row>
    <row r="285" spans="1:12" x14ac:dyDescent="0.25">
      <c r="A285" s="15" t="str">
        <f t="shared" si="23"/>
        <v/>
      </c>
      <c r="B285" s="15" t="str">
        <f>IF(H285&lt;=$L$1,VLOOKUP(H285,Iktato!$C$3:$O$10000,2,FALSE),"")</f>
        <v/>
      </c>
      <c r="C285" s="16" t="str">
        <f>IF(H285&lt;=$L$1,VLOOKUP(H285,Iktato!$C$3:$O$10000,4,FALSE),"")</f>
        <v/>
      </c>
      <c r="D285" s="3" t="str">
        <f>TRIM(IF(H285&lt;=$L$1,VLOOKUP(H285,Iktato!$C$3:$O$10000,7,FALSE),""))</f>
        <v/>
      </c>
      <c r="E285" s="3" t="str">
        <f>TRIM(IF(H285&lt;=$L$1,VLOOKUP(H285,Iktato!$C$3:$O$10000,8,FALSE),""))</f>
        <v/>
      </c>
      <c r="F285" s="4" t="str">
        <f t="shared" si="24"/>
        <v/>
      </c>
      <c r="H285" s="1">
        <f t="shared" si="22"/>
        <v>275</v>
      </c>
      <c r="J285" s="1">
        <f t="shared" si="25"/>
        <v>0</v>
      </c>
      <c r="K285" s="1">
        <f>SUM($L$9,$L$11:L285)</f>
        <v>0</v>
      </c>
      <c r="L285" s="1">
        <f>SUMIF(Iktato!$S$3:$S$10000,H285,Iktato!$V$3:$V$10000)</f>
        <v>0</v>
      </c>
    </row>
    <row r="286" spans="1:12" x14ac:dyDescent="0.25">
      <c r="A286" s="15" t="str">
        <f t="shared" si="23"/>
        <v/>
      </c>
      <c r="B286" s="15" t="str">
        <f>IF(H286&lt;=$L$1,VLOOKUP(H286,Iktato!$C$3:$O$10000,2,FALSE),"")</f>
        <v/>
      </c>
      <c r="C286" s="16" t="str">
        <f>IF(H286&lt;=$L$1,VLOOKUP(H286,Iktato!$C$3:$O$10000,4,FALSE),"")</f>
        <v/>
      </c>
      <c r="D286" s="3" t="str">
        <f>TRIM(IF(H286&lt;=$L$1,VLOOKUP(H286,Iktato!$C$3:$O$10000,7,FALSE),""))</f>
        <v/>
      </c>
      <c r="E286" s="3" t="str">
        <f>TRIM(IF(H286&lt;=$L$1,VLOOKUP(H286,Iktato!$C$3:$O$10000,8,FALSE),""))</f>
        <v/>
      </c>
      <c r="F286" s="4" t="str">
        <f t="shared" si="24"/>
        <v/>
      </c>
      <c r="H286" s="1">
        <f t="shared" si="22"/>
        <v>276</v>
      </c>
      <c r="J286" s="1">
        <f t="shared" si="25"/>
        <v>0</v>
      </c>
      <c r="K286" s="1">
        <f>SUM($L$9,$L$11:L286)</f>
        <v>0</v>
      </c>
      <c r="L286" s="1">
        <f>SUMIF(Iktato!$S$3:$S$10000,H286,Iktato!$V$3:$V$10000)</f>
        <v>0</v>
      </c>
    </row>
    <row r="287" spans="1:12" x14ac:dyDescent="0.25">
      <c r="A287" s="15" t="str">
        <f t="shared" si="23"/>
        <v/>
      </c>
      <c r="B287" s="15" t="str">
        <f>IF(H287&lt;=$L$1,VLOOKUP(H287,Iktato!$C$3:$O$10000,2,FALSE),"")</f>
        <v/>
      </c>
      <c r="C287" s="16" t="str">
        <f>IF(H287&lt;=$L$1,VLOOKUP(H287,Iktato!$C$3:$O$10000,4,FALSE),"")</f>
        <v/>
      </c>
      <c r="D287" s="3" t="str">
        <f>TRIM(IF(H287&lt;=$L$1,VLOOKUP(H287,Iktato!$C$3:$O$10000,7,FALSE),""))</f>
        <v/>
      </c>
      <c r="E287" s="3" t="str">
        <f>TRIM(IF(H287&lt;=$L$1,VLOOKUP(H287,Iktato!$C$3:$O$10000,8,FALSE),""))</f>
        <v/>
      </c>
      <c r="F287" s="4" t="str">
        <f t="shared" si="24"/>
        <v/>
      </c>
      <c r="H287" s="1">
        <f t="shared" si="22"/>
        <v>277</v>
      </c>
      <c r="J287" s="1">
        <f t="shared" si="25"/>
        <v>0</v>
      </c>
      <c r="K287" s="1">
        <f>SUM($L$9,$L$11:L287)</f>
        <v>0</v>
      </c>
      <c r="L287" s="1">
        <f>SUMIF(Iktato!$S$3:$S$10000,H287,Iktato!$V$3:$V$10000)</f>
        <v>0</v>
      </c>
    </row>
    <row r="288" spans="1:12" x14ac:dyDescent="0.25">
      <c r="A288" s="15" t="str">
        <f t="shared" si="23"/>
        <v/>
      </c>
      <c r="B288" s="15" t="str">
        <f>IF(H288&lt;=$L$1,VLOOKUP(H288,Iktato!$C$3:$O$10000,2,FALSE),"")</f>
        <v/>
      </c>
      <c r="C288" s="16" t="str">
        <f>IF(H288&lt;=$L$1,VLOOKUP(H288,Iktato!$C$3:$O$10000,4,FALSE),"")</f>
        <v/>
      </c>
      <c r="D288" s="3" t="str">
        <f>TRIM(IF(H288&lt;=$L$1,VLOOKUP(H288,Iktato!$C$3:$O$10000,7,FALSE),""))</f>
        <v/>
      </c>
      <c r="E288" s="3" t="str">
        <f>TRIM(IF(H288&lt;=$L$1,VLOOKUP(H288,Iktato!$C$3:$O$10000,8,FALSE),""))</f>
        <v/>
      </c>
      <c r="F288" s="4" t="str">
        <f t="shared" si="24"/>
        <v/>
      </c>
      <c r="H288" s="1">
        <f t="shared" si="22"/>
        <v>278</v>
      </c>
      <c r="J288" s="1">
        <f t="shared" si="25"/>
        <v>0</v>
      </c>
      <c r="K288" s="1">
        <f>SUM($L$9,$L$11:L288)</f>
        <v>0</v>
      </c>
      <c r="L288" s="1">
        <f>SUMIF(Iktato!$S$3:$S$10000,H288,Iktato!$V$3:$V$10000)</f>
        <v>0</v>
      </c>
    </row>
    <row r="289" spans="1:12" x14ac:dyDescent="0.25">
      <c r="A289" s="15" t="str">
        <f t="shared" si="23"/>
        <v/>
      </c>
      <c r="B289" s="15" t="str">
        <f>IF(H289&lt;=$L$1,VLOOKUP(H289,Iktato!$C$3:$O$10000,2,FALSE),"")</f>
        <v/>
      </c>
      <c r="C289" s="16" t="str">
        <f>IF(H289&lt;=$L$1,VLOOKUP(H289,Iktato!$C$3:$O$10000,4,FALSE),"")</f>
        <v/>
      </c>
      <c r="D289" s="3" t="str">
        <f>TRIM(IF(H289&lt;=$L$1,VLOOKUP(H289,Iktato!$C$3:$O$10000,7,FALSE),""))</f>
        <v/>
      </c>
      <c r="E289" s="3" t="str">
        <f>TRIM(IF(H289&lt;=$L$1,VLOOKUP(H289,Iktato!$C$3:$O$10000,8,FALSE),""))</f>
        <v/>
      </c>
      <c r="F289" s="4" t="str">
        <f t="shared" si="24"/>
        <v/>
      </c>
      <c r="H289" s="1">
        <f t="shared" si="22"/>
        <v>279</v>
      </c>
      <c r="J289" s="1">
        <f t="shared" si="25"/>
        <v>0</v>
      </c>
      <c r="K289" s="1">
        <f>SUM($L$9,$L$11:L289)</f>
        <v>0</v>
      </c>
      <c r="L289" s="1">
        <f>SUMIF(Iktato!$S$3:$S$10000,H289,Iktato!$V$3:$V$10000)</f>
        <v>0</v>
      </c>
    </row>
    <row r="290" spans="1:12" x14ac:dyDescent="0.25">
      <c r="A290" s="15" t="str">
        <f t="shared" si="23"/>
        <v/>
      </c>
      <c r="B290" s="15" t="str">
        <f>IF(H290&lt;=$L$1,VLOOKUP(H290,Iktato!$C$3:$O$10000,2,FALSE),"")</f>
        <v/>
      </c>
      <c r="C290" s="16" t="str">
        <f>IF(H290&lt;=$L$1,VLOOKUP(H290,Iktato!$C$3:$O$10000,4,FALSE),"")</f>
        <v/>
      </c>
      <c r="D290" s="3" t="str">
        <f>TRIM(IF(H290&lt;=$L$1,VLOOKUP(H290,Iktato!$C$3:$O$10000,7,FALSE),""))</f>
        <v/>
      </c>
      <c r="E290" s="3" t="str">
        <f>TRIM(IF(H290&lt;=$L$1,VLOOKUP(H290,Iktato!$C$3:$O$10000,8,FALSE),""))</f>
        <v/>
      </c>
      <c r="F290" s="4" t="str">
        <f t="shared" si="24"/>
        <v/>
      </c>
      <c r="H290" s="1">
        <f t="shared" si="22"/>
        <v>280</v>
      </c>
      <c r="J290" s="1">
        <f t="shared" si="25"/>
        <v>0</v>
      </c>
      <c r="K290" s="1">
        <f>SUM($L$9,$L$11:L290)</f>
        <v>0</v>
      </c>
      <c r="L290" s="1">
        <f>SUMIF(Iktato!$S$3:$S$10000,H290,Iktato!$V$3:$V$10000)</f>
        <v>0</v>
      </c>
    </row>
    <row r="291" spans="1:12" x14ac:dyDescent="0.25">
      <c r="A291" s="15" t="str">
        <f t="shared" si="23"/>
        <v/>
      </c>
      <c r="B291" s="15" t="str">
        <f>IF(H291&lt;=$L$1,VLOOKUP(H291,Iktato!$C$3:$O$10000,2,FALSE),"")</f>
        <v/>
      </c>
      <c r="C291" s="16" t="str">
        <f>IF(H291&lt;=$L$1,VLOOKUP(H291,Iktato!$C$3:$O$10000,4,FALSE),"")</f>
        <v/>
      </c>
      <c r="D291" s="3" t="str">
        <f>TRIM(IF(H291&lt;=$L$1,VLOOKUP(H291,Iktato!$C$3:$O$10000,7,FALSE),""))</f>
        <v/>
      </c>
      <c r="E291" s="3" t="str">
        <f>TRIM(IF(H291&lt;=$L$1,VLOOKUP(H291,Iktato!$C$3:$O$10000,8,FALSE),""))</f>
        <v/>
      </c>
      <c r="F291" s="4" t="str">
        <f t="shared" si="24"/>
        <v/>
      </c>
      <c r="H291" s="1">
        <f t="shared" si="22"/>
        <v>281</v>
      </c>
      <c r="J291" s="1">
        <f t="shared" si="25"/>
        <v>0</v>
      </c>
      <c r="K291" s="1">
        <f>SUM($L$9,$L$11:L291)</f>
        <v>0</v>
      </c>
      <c r="L291" s="1">
        <f>SUMIF(Iktato!$S$3:$S$10000,H291,Iktato!$V$3:$V$10000)</f>
        <v>0</v>
      </c>
    </row>
    <row r="292" spans="1:12" x14ac:dyDescent="0.25">
      <c r="A292" s="15" t="str">
        <f t="shared" si="23"/>
        <v/>
      </c>
      <c r="B292" s="15" t="str">
        <f>IF(H292&lt;=$L$1,VLOOKUP(H292,Iktato!$C$3:$O$10000,2,FALSE),"")</f>
        <v/>
      </c>
      <c r="C292" s="16" t="str">
        <f>IF(H292&lt;=$L$1,VLOOKUP(H292,Iktato!$C$3:$O$10000,4,FALSE),"")</f>
        <v/>
      </c>
      <c r="D292" s="3" t="str">
        <f>TRIM(IF(H292&lt;=$L$1,VLOOKUP(H292,Iktato!$C$3:$O$10000,7,FALSE),""))</f>
        <v/>
      </c>
      <c r="E292" s="3" t="str">
        <f>TRIM(IF(H292&lt;=$L$1,VLOOKUP(H292,Iktato!$C$3:$O$10000,8,FALSE),""))</f>
        <v/>
      </c>
      <c r="F292" s="4" t="str">
        <f t="shared" si="24"/>
        <v/>
      </c>
      <c r="H292" s="1">
        <f t="shared" si="22"/>
        <v>282</v>
      </c>
      <c r="J292" s="1">
        <f t="shared" si="25"/>
        <v>0</v>
      </c>
      <c r="K292" s="1">
        <f>SUM($L$9,$L$11:L292)</f>
        <v>0</v>
      </c>
      <c r="L292" s="1">
        <f>SUMIF(Iktato!$S$3:$S$10000,H292,Iktato!$V$3:$V$10000)</f>
        <v>0</v>
      </c>
    </row>
    <row r="293" spans="1:12" x14ac:dyDescent="0.25">
      <c r="A293" s="15" t="str">
        <f t="shared" si="23"/>
        <v/>
      </c>
      <c r="B293" s="15" t="str">
        <f>IF(H293&lt;=$L$1,VLOOKUP(H293,Iktato!$C$3:$O$10000,2,FALSE),"")</f>
        <v/>
      </c>
      <c r="C293" s="16" t="str">
        <f>IF(H293&lt;=$L$1,VLOOKUP(H293,Iktato!$C$3:$O$10000,4,FALSE),"")</f>
        <v/>
      </c>
      <c r="D293" s="3" t="str">
        <f>TRIM(IF(H293&lt;=$L$1,VLOOKUP(H293,Iktato!$C$3:$O$10000,7,FALSE),""))</f>
        <v/>
      </c>
      <c r="E293" s="3" t="str">
        <f>TRIM(IF(H293&lt;=$L$1,VLOOKUP(H293,Iktato!$C$3:$O$10000,8,FALSE),""))</f>
        <v/>
      </c>
      <c r="F293" s="4" t="str">
        <f t="shared" si="24"/>
        <v/>
      </c>
      <c r="H293" s="1">
        <f t="shared" si="22"/>
        <v>283</v>
      </c>
      <c r="J293" s="1">
        <f t="shared" si="25"/>
        <v>0</v>
      </c>
      <c r="K293" s="1">
        <f>SUM($L$9,$L$11:L293)</f>
        <v>0</v>
      </c>
      <c r="L293" s="1">
        <f>SUMIF(Iktato!$S$3:$S$10000,H293,Iktato!$V$3:$V$10000)</f>
        <v>0</v>
      </c>
    </row>
    <row r="294" spans="1:12" x14ac:dyDescent="0.25">
      <c r="A294" s="15" t="str">
        <f t="shared" si="23"/>
        <v/>
      </c>
      <c r="B294" s="15" t="str">
        <f>IF(H294&lt;=$L$1,VLOOKUP(H294,Iktato!$C$3:$O$10000,2,FALSE),"")</f>
        <v/>
      </c>
      <c r="C294" s="16" t="str">
        <f>IF(H294&lt;=$L$1,VLOOKUP(H294,Iktato!$C$3:$O$10000,4,FALSE),"")</f>
        <v/>
      </c>
      <c r="D294" s="3" t="str">
        <f>TRIM(IF(H294&lt;=$L$1,VLOOKUP(H294,Iktato!$C$3:$O$10000,7,FALSE),""))</f>
        <v/>
      </c>
      <c r="E294" s="3" t="str">
        <f>TRIM(IF(H294&lt;=$L$1,VLOOKUP(H294,Iktato!$C$3:$O$10000,8,FALSE),""))</f>
        <v/>
      </c>
      <c r="F294" s="4" t="str">
        <f t="shared" si="24"/>
        <v/>
      </c>
      <c r="H294" s="1">
        <f t="shared" si="22"/>
        <v>284</v>
      </c>
      <c r="J294" s="1">
        <f t="shared" si="25"/>
        <v>0</v>
      </c>
      <c r="K294" s="1">
        <f>SUM($L$9,$L$11:L294)</f>
        <v>0</v>
      </c>
      <c r="L294" s="1">
        <f>SUMIF(Iktato!$S$3:$S$10000,H294,Iktato!$V$3:$V$10000)</f>
        <v>0</v>
      </c>
    </row>
    <row r="295" spans="1:12" x14ac:dyDescent="0.25">
      <c r="A295" s="15" t="str">
        <f t="shared" si="23"/>
        <v/>
      </c>
      <c r="B295" s="15" t="str">
        <f>IF(H295&lt;=$L$1,VLOOKUP(H295,Iktato!$C$3:$O$10000,2,FALSE),"")</f>
        <v/>
      </c>
      <c r="C295" s="16" t="str">
        <f>IF(H295&lt;=$L$1,VLOOKUP(H295,Iktato!$C$3:$O$10000,4,FALSE),"")</f>
        <v/>
      </c>
      <c r="D295" s="3" t="str">
        <f>TRIM(IF(H295&lt;=$L$1,VLOOKUP(H295,Iktato!$C$3:$O$10000,7,FALSE),""))</f>
        <v/>
      </c>
      <c r="E295" s="3" t="str">
        <f>TRIM(IF(H295&lt;=$L$1,VLOOKUP(H295,Iktato!$C$3:$O$10000,8,FALSE),""))</f>
        <v/>
      </c>
      <c r="F295" s="4" t="str">
        <f t="shared" si="24"/>
        <v/>
      </c>
      <c r="H295" s="1">
        <f t="shared" si="22"/>
        <v>285</v>
      </c>
      <c r="J295" s="1">
        <f t="shared" si="25"/>
        <v>0</v>
      </c>
      <c r="K295" s="1">
        <f>SUM($L$9,$L$11:L295)</f>
        <v>0</v>
      </c>
      <c r="L295" s="1">
        <f>SUMIF(Iktato!$S$3:$S$10000,H295,Iktato!$V$3:$V$10000)</f>
        <v>0</v>
      </c>
    </row>
    <row r="296" spans="1:12" x14ac:dyDescent="0.25">
      <c r="A296" s="15" t="str">
        <f t="shared" si="23"/>
        <v/>
      </c>
      <c r="B296" s="15" t="str">
        <f>IF(H296&lt;=$L$1,VLOOKUP(H296,Iktato!$C$3:$O$10000,2,FALSE),"")</f>
        <v/>
      </c>
      <c r="C296" s="16" t="str">
        <f>IF(H296&lt;=$L$1,VLOOKUP(H296,Iktato!$C$3:$O$10000,4,FALSE),"")</f>
        <v/>
      </c>
      <c r="D296" s="3" t="str">
        <f>TRIM(IF(H296&lt;=$L$1,VLOOKUP(H296,Iktato!$C$3:$O$10000,7,FALSE),""))</f>
        <v/>
      </c>
      <c r="E296" s="3" t="str">
        <f>TRIM(IF(H296&lt;=$L$1,VLOOKUP(H296,Iktato!$C$3:$O$10000,8,FALSE),""))</f>
        <v/>
      </c>
      <c r="F296" s="4" t="str">
        <f t="shared" si="24"/>
        <v/>
      </c>
      <c r="H296" s="1">
        <f t="shared" si="22"/>
        <v>286</v>
      </c>
      <c r="J296" s="1">
        <f t="shared" si="25"/>
        <v>0</v>
      </c>
      <c r="K296" s="1">
        <f>SUM($L$9,$L$11:L296)</f>
        <v>0</v>
      </c>
      <c r="L296" s="1">
        <f>SUMIF(Iktato!$S$3:$S$10000,H296,Iktato!$V$3:$V$10000)</f>
        <v>0</v>
      </c>
    </row>
    <row r="297" spans="1:12" x14ac:dyDescent="0.25">
      <c r="A297" s="15" t="str">
        <f t="shared" si="23"/>
        <v/>
      </c>
      <c r="B297" s="15" t="str">
        <f>IF(H297&lt;=$L$1,VLOOKUP(H297,Iktato!$C$3:$O$10000,2,FALSE),"")</f>
        <v/>
      </c>
      <c r="C297" s="16" t="str">
        <f>IF(H297&lt;=$L$1,VLOOKUP(H297,Iktato!$C$3:$O$10000,4,FALSE),"")</f>
        <v/>
      </c>
      <c r="D297" s="3" t="str">
        <f>TRIM(IF(H297&lt;=$L$1,VLOOKUP(H297,Iktato!$C$3:$O$10000,7,FALSE),""))</f>
        <v/>
      </c>
      <c r="E297" s="3" t="str">
        <f>TRIM(IF(H297&lt;=$L$1,VLOOKUP(H297,Iktato!$C$3:$O$10000,8,FALSE),""))</f>
        <v/>
      </c>
      <c r="F297" s="4" t="str">
        <f t="shared" si="24"/>
        <v/>
      </c>
      <c r="H297" s="1">
        <f t="shared" si="22"/>
        <v>287</v>
      </c>
      <c r="J297" s="1">
        <f t="shared" si="25"/>
        <v>0</v>
      </c>
      <c r="K297" s="1">
        <f>SUM($L$9,$L$11:L297)</f>
        <v>0</v>
      </c>
      <c r="L297" s="1">
        <f>SUMIF(Iktato!$S$3:$S$10000,H297,Iktato!$V$3:$V$10000)</f>
        <v>0</v>
      </c>
    </row>
    <row r="298" spans="1:12" x14ac:dyDescent="0.25">
      <c r="A298" s="15" t="str">
        <f t="shared" si="23"/>
        <v/>
      </c>
      <c r="B298" s="15" t="str">
        <f>IF(H298&lt;=$L$1,VLOOKUP(H298,Iktato!$C$3:$O$10000,2,FALSE),"")</f>
        <v/>
      </c>
      <c r="C298" s="16" t="str">
        <f>IF(H298&lt;=$L$1,VLOOKUP(H298,Iktato!$C$3:$O$10000,4,FALSE),"")</f>
        <v/>
      </c>
      <c r="D298" s="3" t="str">
        <f>TRIM(IF(H298&lt;=$L$1,VLOOKUP(H298,Iktato!$C$3:$O$10000,7,FALSE),""))</f>
        <v/>
      </c>
      <c r="E298" s="3" t="str">
        <f>TRIM(IF(H298&lt;=$L$1,VLOOKUP(H298,Iktato!$C$3:$O$10000,8,FALSE),""))</f>
        <v/>
      </c>
      <c r="F298" s="4" t="str">
        <f t="shared" si="24"/>
        <v/>
      </c>
      <c r="H298" s="1">
        <f t="shared" si="22"/>
        <v>288</v>
      </c>
      <c r="J298" s="1">
        <f t="shared" si="25"/>
        <v>0</v>
      </c>
      <c r="K298" s="1">
        <f>SUM($L$9,$L$11:L298)</f>
        <v>0</v>
      </c>
      <c r="L298" s="1">
        <f>SUMIF(Iktato!$S$3:$S$10000,H298,Iktato!$V$3:$V$10000)</f>
        <v>0</v>
      </c>
    </row>
    <row r="299" spans="1:12" x14ac:dyDescent="0.25">
      <c r="A299" s="15" t="str">
        <f t="shared" si="23"/>
        <v/>
      </c>
      <c r="B299" s="15" t="str">
        <f>IF(H299&lt;=$L$1,VLOOKUP(H299,Iktato!$C$3:$O$10000,2,FALSE),"")</f>
        <v/>
      </c>
      <c r="C299" s="16" t="str">
        <f>IF(H299&lt;=$L$1,VLOOKUP(H299,Iktato!$C$3:$O$10000,4,FALSE),"")</f>
        <v/>
      </c>
      <c r="D299" s="3" t="str">
        <f>TRIM(IF(H299&lt;=$L$1,VLOOKUP(H299,Iktato!$C$3:$O$10000,7,FALSE),""))</f>
        <v/>
      </c>
      <c r="E299" s="3" t="str">
        <f>TRIM(IF(H299&lt;=$L$1,VLOOKUP(H299,Iktato!$C$3:$O$10000,8,FALSE),""))</f>
        <v/>
      </c>
      <c r="F299" s="4" t="str">
        <f t="shared" si="24"/>
        <v/>
      </c>
      <c r="H299" s="1">
        <f t="shared" si="22"/>
        <v>289</v>
      </c>
      <c r="J299" s="1">
        <f t="shared" si="25"/>
        <v>0</v>
      </c>
      <c r="K299" s="1">
        <f>SUM($L$9,$L$11:L299)</f>
        <v>0</v>
      </c>
      <c r="L299" s="1">
        <f>SUMIF(Iktato!$S$3:$S$10000,H299,Iktato!$V$3:$V$10000)</f>
        <v>0</v>
      </c>
    </row>
    <row r="300" spans="1:12" x14ac:dyDescent="0.25">
      <c r="A300" s="15" t="str">
        <f t="shared" si="23"/>
        <v/>
      </c>
      <c r="B300" s="15" t="str">
        <f>IF(H300&lt;=$L$1,VLOOKUP(H300,Iktato!$C$3:$O$10000,2,FALSE),"")</f>
        <v/>
      </c>
      <c r="C300" s="16" t="str">
        <f>IF(H300&lt;=$L$1,VLOOKUP(H300,Iktato!$C$3:$O$10000,4,FALSE),"")</f>
        <v/>
      </c>
      <c r="D300" s="3" t="str">
        <f>TRIM(IF(H300&lt;=$L$1,VLOOKUP(H300,Iktato!$C$3:$O$10000,7,FALSE),""))</f>
        <v/>
      </c>
      <c r="E300" s="3" t="str">
        <f>TRIM(IF(H300&lt;=$L$1,VLOOKUP(H300,Iktato!$C$3:$O$10000,8,FALSE),""))</f>
        <v/>
      </c>
      <c r="F300" s="4" t="str">
        <f t="shared" si="24"/>
        <v/>
      </c>
      <c r="H300" s="1">
        <f t="shared" si="22"/>
        <v>290</v>
      </c>
      <c r="J300" s="1">
        <f t="shared" si="25"/>
        <v>0</v>
      </c>
      <c r="K300" s="1">
        <f>SUM($L$9,$L$11:L300)</f>
        <v>0</v>
      </c>
      <c r="L300" s="1">
        <f>SUMIF(Iktato!$S$3:$S$10000,H300,Iktato!$V$3:$V$10000)</f>
        <v>0</v>
      </c>
    </row>
    <row r="301" spans="1:12" x14ac:dyDescent="0.25">
      <c r="A301" s="15" t="str">
        <f t="shared" si="23"/>
        <v/>
      </c>
      <c r="B301" s="15" t="str">
        <f>IF(H301&lt;=$L$1,VLOOKUP(H301,Iktato!$C$3:$O$10000,2,FALSE),"")</f>
        <v/>
      </c>
      <c r="C301" s="16" t="str">
        <f>IF(H301&lt;=$L$1,VLOOKUP(H301,Iktato!$C$3:$O$10000,4,FALSE),"")</f>
        <v/>
      </c>
      <c r="D301" s="3" t="str">
        <f>TRIM(IF(H301&lt;=$L$1,VLOOKUP(H301,Iktato!$C$3:$O$10000,7,FALSE),""))</f>
        <v/>
      </c>
      <c r="E301" s="3" t="str">
        <f>TRIM(IF(H301&lt;=$L$1,VLOOKUP(H301,Iktato!$C$3:$O$10000,8,FALSE),""))</f>
        <v/>
      </c>
      <c r="F301" s="4" t="str">
        <f t="shared" si="24"/>
        <v/>
      </c>
      <c r="H301" s="1">
        <f t="shared" si="22"/>
        <v>291</v>
      </c>
      <c r="J301" s="1">
        <f t="shared" si="25"/>
        <v>0</v>
      </c>
      <c r="K301" s="1">
        <f>SUM($L$9,$L$11:L301)</f>
        <v>0</v>
      </c>
      <c r="L301" s="1">
        <f>SUMIF(Iktato!$S$3:$S$10000,H301,Iktato!$V$3:$V$10000)</f>
        <v>0</v>
      </c>
    </row>
    <row r="302" spans="1:12" x14ac:dyDescent="0.25">
      <c r="A302" s="15" t="str">
        <f t="shared" si="23"/>
        <v/>
      </c>
      <c r="B302" s="15" t="str">
        <f>IF(H302&lt;=$L$1,VLOOKUP(H302,Iktato!$C$3:$O$10000,2,FALSE),"")</f>
        <v/>
      </c>
      <c r="C302" s="16" t="str">
        <f>IF(H302&lt;=$L$1,VLOOKUP(H302,Iktato!$C$3:$O$10000,4,FALSE),"")</f>
        <v/>
      </c>
      <c r="D302" s="3" t="str">
        <f>TRIM(IF(H302&lt;=$L$1,VLOOKUP(H302,Iktato!$C$3:$O$10000,7,FALSE),""))</f>
        <v/>
      </c>
      <c r="E302" s="3" t="str">
        <f>TRIM(IF(H302&lt;=$L$1,VLOOKUP(H302,Iktato!$C$3:$O$10000,8,FALSE),""))</f>
        <v/>
      </c>
      <c r="F302" s="4" t="str">
        <f t="shared" si="24"/>
        <v/>
      </c>
      <c r="H302" s="1">
        <f t="shared" si="22"/>
        <v>292</v>
      </c>
      <c r="J302" s="1">
        <f t="shared" si="25"/>
        <v>0</v>
      </c>
      <c r="K302" s="1">
        <f>SUM($L$9,$L$11:L302)</f>
        <v>0</v>
      </c>
      <c r="L302" s="1">
        <f>SUMIF(Iktato!$S$3:$S$10000,H302,Iktato!$V$3:$V$10000)</f>
        <v>0</v>
      </c>
    </row>
    <row r="303" spans="1:12" x14ac:dyDescent="0.25">
      <c r="A303" s="15" t="str">
        <f t="shared" si="23"/>
        <v/>
      </c>
      <c r="B303" s="15" t="str">
        <f>IF(H303&lt;=$L$1,VLOOKUP(H303,Iktato!$C$3:$O$10000,2,FALSE),"")</f>
        <v/>
      </c>
      <c r="C303" s="16" t="str">
        <f>IF(H303&lt;=$L$1,VLOOKUP(H303,Iktato!$C$3:$O$10000,4,FALSE),"")</f>
        <v/>
      </c>
      <c r="D303" s="3" t="str">
        <f>TRIM(IF(H303&lt;=$L$1,VLOOKUP(H303,Iktato!$C$3:$O$10000,7,FALSE),""))</f>
        <v/>
      </c>
      <c r="E303" s="3" t="str">
        <f>TRIM(IF(H303&lt;=$L$1,VLOOKUP(H303,Iktato!$C$3:$O$10000,8,FALSE),""))</f>
        <v/>
      </c>
      <c r="F303" s="4" t="str">
        <f t="shared" si="24"/>
        <v/>
      </c>
      <c r="H303" s="1">
        <f t="shared" si="22"/>
        <v>293</v>
      </c>
      <c r="J303" s="1">
        <f t="shared" si="25"/>
        <v>0</v>
      </c>
      <c r="K303" s="1">
        <f>SUM($L$9,$L$11:L303)</f>
        <v>0</v>
      </c>
      <c r="L303" s="1">
        <f>SUMIF(Iktato!$S$3:$S$10000,H303,Iktato!$V$3:$V$10000)</f>
        <v>0</v>
      </c>
    </row>
    <row r="304" spans="1:12" x14ac:dyDescent="0.25">
      <c r="A304" s="15" t="str">
        <f t="shared" si="23"/>
        <v/>
      </c>
      <c r="B304" s="15" t="str">
        <f>IF(H304&lt;=$L$1,VLOOKUP(H304,Iktato!$C$3:$O$10000,2,FALSE),"")</f>
        <v/>
      </c>
      <c r="C304" s="16" t="str">
        <f>IF(H304&lt;=$L$1,VLOOKUP(H304,Iktato!$C$3:$O$10000,4,FALSE),"")</f>
        <v/>
      </c>
      <c r="D304" s="3" t="str">
        <f>TRIM(IF(H304&lt;=$L$1,VLOOKUP(H304,Iktato!$C$3:$O$10000,7,FALSE),""))</f>
        <v/>
      </c>
      <c r="E304" s="3" t="str">
        <f>TRIM(IF(H304&lt;=$L$1,VLOOKUP(H304,Iktato!$C$3:$O$10000,8,FALSE),""))</f>
        <v/>
      </c>
      <c r="F304" s="4" t="str">
        <f t="shared" si="24"/>
        <v/>
      </c>
      <c r="H304" s="1">
        <f t="shared" si="22"/>
        <v>294</v>
      </c>
      <c r="J304" s="1">
        <f t="shared" si="25"/>
        <v>0</v>
      </c>
      <c r="K304" s="1">
        <f>SUM($L$9,$L$11:L304)</f>
        <v>0</v>
      </c>
      <c r="L304" s="1">
        <f>SUMIF(Iktato!$S$3:$S$10000,H304,Iktato!$V$3:$V$10000)</f>
        <v>0</v>
      </c>
    </row>
    <row r="305" spans="1:12" x14ac:dyDescent="0.25">
      <c r="A305" s="15" t="str">
        <f t="shared" si="23"/>
        <v/>
      </c>
      <c r="B305" s="15" t="str">
        <f>IF(H305&lt;=$L$1,VLOOKUP(H305,Iktato!$C$3:$O$10000,2,FALSE),"")</f>
        <v/>
      </c>
      <c r="C305" s="16" t="str">
        <f>IF(H305&lt;=$L$1,VLOOKUP(H305,Iktato!$C$3:$O$10000,4,FALSE),"")</f>
        <v/>
      </c>
      <c r="D305" s="3" t="str">
        <f>TRIM(IF(H305&lt;=$L$1,VLOOKUP(H305,Iktato!$C$3:$O$10000,7,FALSE),""))</f>
        <v/>
      </c>
      <c r="E305" s="3" t="str">
        <f>TRIM(IF(H305&lt;=$L$1,VLOOKUP(H305,Iktato!$C$3:$O$10000,8,FALSE),""))</f>
        <v/>
      </c>
      <c r="F305" s="4" t="str">
        <f t="shared" si="24"/>
        <v/>
      </c>
      <c r="H305" s="1">
        <f t="shared" si="22"/>
        <v>295</v>
      </c>
      <c r="J305" s="1">
        <f t="shared" si="25"/>
        <v>0</v>
      </c>
      <c r="K305" s="1">
        <f>SUM($L$9,$L$11:L305)</f>
        <v>0</v>
      </c>
      <c r="L305" s="1">
        <f>SUMIF(Iktato!$S$3:$S$10000,H305,Iktato!$V$3:$V$10000)</f>
        <v>0</v>
      </c>
    </row>
    <row r="306" spans="1:12" x14ac:dyDescent="0.25">
      <c r="A306" s="15" t="str">
        <f t="shared" si="23"/>
        <v/>
      </c>
      <c r="B306" s="15" t="str">
        <f>IF(H306&lt;=$L$1,VLOOKUP(H306,Iktato!$C$3:$O$10000,2,FALSE),"")</f>
        <v/>
      </c>
      <c r="C306" s="16" t="str">
        <f>IF(H306&lt;=$L$1,VLOOKUP(H306,Iktato!$C$3:$O$10000,4,FALSE),"")</f>
        <v/>
      </c>
      <c r="D306" s="3" t="str">
        <f>TRIM(IF(H306&lt;=$L$1,VLOOKUP(H306,Iktato!$C$3:$O$10000,7,FALSE),""))</f>
        <v/>
      </c>
      <c r="E306" s="3" t="str">
        <f>TRIM(IF(H306&lt;=$L$1,VLOOKUP(H306,Iktato!$C$3:$O$10000,8,FALSE),""))</f>
        <v/>
      </c>
      <c r="F306" s="4" t="str">
        <f t="shared" si="24"/>
        <v/>
      </c>
      <c r="H306" s="1">
        <f t="shared" si="22"/>
        <v>296</v>
      </c>
      <c r="J306" s="1">
        <f t="shared" si="25"/>
        <v>0</v>
      </c>
      <c r="K306" s="1">
        <f>SUM($L$9,$L$11:L306)</f>
        <v>0</v>
      </c>
      <c r="L306" s="1">
        <f>SUMIF(Iktato!$S$3:$S$10000,H306,Iktato!$V$3:$V$10000)</f>
        <v>0</v>
      </c>
    </row>
    <row r="307" spans="1:12" x14ac:dyDescent="0.25">
      <c r="A307" s="15" t="str">
        <f t="shared" si="23"/>
        <v/>
      </c>
      <c r="B307" s="15" t="str">
        <f>IF(H307&lt;=$L$1,VLOOKUP(H307,Iktato!$C$3:$O$10000,2,FALSE),"")</f>
        <v/>
      </c>
      <c r="C307" s="16" t="str">
        <f>IF(H307&lt;=$L$1,VLOOKUP(H307,Iktato!$C$3:$O$10000,4,FALSE),"")</f>
        <v/>
      </c>
      <c r="D307" s="3" t="str">
        <f>TRIM(IF(H307&lt;=$L$1,VLOOKUP(H307,Iktato!$C$3:$O$10000,7,FALSE),""))</f>
        <v/>
      </c>
      <c r="E307" s="3" t="str">
        <f>TRIM(IF(H307&lt;=$L$1,VLOOKUP(H307,Iktato!$C$3:$O$10000,8,FALSE),""))</f>
        <v/>
      </c>
      <c r="F307" s="4" t="str">
        <f t="shared" si="24"/>
        <v/>
      </c>
      <c r="H307" s="1">
        <f t="shared" si="22"/>
        <v>297</v>
      </c>
      <c r="J307" s="1">
        <f t="shared" si="25"/>
        <v>0</v>
      </c>
      <c r="K307" s="1">
        <f>SUM($L$9,$L$11:L307)</f>
        <v>0</v>
      </c>
      <c r="L307" s="1">
        <f>SUMIF(Iktato!$S$3:$S$10000,H307,Iktato!$V$3:$V$10000)</f>
        <v>0</v>
      </c>
    </row>
    <row r="308" spans="1:12" x14ac:dyDescent="0.25">
      <c r="A308" s="15" t="str">
        <f t="shared" si="23"/>
        <v/>
      </c>
      <c r="B308" s="15" t="str">
        <f>IF(H308&lt;=$L$1,VLOOKUP(H308,Iktato!$C$3:$O$10000,2,FALSE),"")</f>
        <v/>
      </c>
      <c r="C308" s="16" t="str">
        <f>IF(H308&lt;=$L$1,VLOOKUP(H308,Iktato!$C$3:$O$10000,4,FALSE),"")</f>
        <v/>
      </c>
      <c r="D308" s="3" t="str">
        <f>TRIM(IF(H308&lt;=$L$1,VLOOKUP(H308,Iktato!$C$3:$O$10000,7,FALSE),""))</f>
        <v/>
      </c>
      <c r="E308" s="3" t="str">
        <f>TRIM(IF(H308&lt;=$L$1,VLOOKUP(H308,Iktato!$C$3:$O$10000,8,FALSE),""))</f>
        <v/>
      </c>
      <c r="F308" s="4" t="str">
        <f t="shared" si="24"/>
        <v/>
      </c>
      <c r="H308" s="1">
        <f t="shared" si="22"/>
        <v>298</v>
      </c>
      <c r="J308" s="1">
        <f t="shared" si="25"/>
        <v>0</v>
      </c>
      <c r="K308" s="1">
        <f>SUM($L$9,$L$11:L308)</f>
        <v>0</v>
      </c>
      <c r="L308" s="1">
        <f>SUMIF(Iktato!$S$3:$S$10000,H308,Iktato!$V$3:$V$10000)</f>
        <v>0</v>
      </c>
    </row>
    <row r="309" spans="1:12" x14ac:dyDescent="0.25">
      <c r="A309" s="15" t="str">
        <f t="shared" si="23"/>
        <v/>
      </c>
      <c r="B309" s="15" t="str">
        <f>IF(H309&lt;=$L$1,VLOOKUP(H309,Iktato!$C$3:$O$10000,2,FALSE),"")</f>
        <v/>
      </c>
      <c r="C309" s="16" t="str">
        <f>IF(H309&lt;=$L$1,VLOOKUP(H309,Iktato!$C$3:$O$10000,4,FALSE),"")</f>
        <v/>
      </c>
      <c r="D309" s="3" t="str">
        <f>TRIM(IF(H309&lt;=$L$1,VLOOKUP(H309,Iktato!$C$3:$O$10000,7,FALSE),""))</f>
        <v/>
      </c>
      <c r="E309" s="3" t="str">
        <f>TRIM(IF(H309&lt;=$L$1,VLOOKUP(H309,Iktato!$C$3:$O$10000,8,FALSE),""))</f>
        <v/>
      </c>
      <c r="F309" s="4" t="str">
        <f t="shared" si="24"/>
        <v/>
      </c>
      <c r="H309" s="1">
        <f t="shared" si="22"/>
        <v>299</v>
      </c>
      <c r="J309" s="1">
        <f t="shared" si="25"/>
        <v>0</v>
      </c>
      <c r="K309" s="1">
        <f>SUM($L$9,$L$11:L309)</f>
        <v>0</v>
      </c>
      <c r="L309" s="1">
        <f>SUMIF(Iktato!$S$3:$S$10000,H309,Iktato!$V$3:$V$10000)</f>
        <v>0</v>
      </c>
    </row>
    <row r="310" spans="1:12" x14ac:dyDescent="0.25">
      <c r="A310" s="15" t="str">
        <f t="shared" si="23"/>
        <v/>
      </c>
      <c r="B310" s="15" t="str">
        <f>IF(H310&lt;=$L$1,VLOOKUP(H310,Iktato!$C$3:$O$10000,2,FALSE),"")</f>
        <v/>
      </c>
      <c r="C310" s="16" t="str">
        <f>IF(H310&lt;=$L$1,VLOOKUP(H310,Iktato!$C$3:$O$10000,4,FALSE),"")</f>
        <v/>
      </c>
      <c r="D310" s="3" t="str">
        <f>TRIM(IF(H310&lt;=$L$1,VLOOKUP(H310,Iktato!$C$3:$O$10000,7,FALSE),""))</f>
        <v/>
      </c>
      <c r="E310" s="3" t="str">
        <f>TRIM(IF(H310&lt;=$L$1,VLOOKUP(H310,Iktato!$C$3:$O$10000,8,FALSE),""))</f>
        <v/>
      </c>
      <c r="F310" s="4" t="str">
        <f t="shared" si="24"/>
        <v/>
      </c>
      <c r="H310" s="1">
        <f t="shared" si="22"/>
        <v>300</v>
      </c>
      <c r="J310" s="1">
        <f t="shared" si="25"/>
        <v>0</v>
      </c>
      <c r="K310" s="1">
        <f>SUM($L$9,$L$11:L310)</f>
        <v>0</v>
      </c>
      <c r="L310" s="1">
        <f>SUMIF(Iktato!$S$3:$S$10000,H310,Iktato!$V$3:$V$10000)</f>
        <v>0</v>
      </c>
    </row>
    <row r="311" spans="1:12" x14ac:dyDescent="0.25">
      <c r="A311" s="15" t="str">
        <f t="shared" si="23"/>
        <v/>
      </c>
      <c r="B311" s="15" t="str">
        <f>IF(H311&lt;=$L$1,VLOOKUP(H311,Iktato!$C$3:$O$10000,2,FALSE),"")</f>
        <v/>
      </c>
      <c r="C311" s="16" t="str">
        <f>IF(H311&lt;=$L$1,VLOOKUP(H311,Iktato!$C$3:$O$10000,4,FALSE),"")</f>
        <v/>
      </c>
      <c r="D311" s="3" t="str">
        <f>TRIM(IF(H311&lt;=$L$1,VLOOKUP(H311,Iktato!$C$3:$O$10000,7,FALSE),""))</f>
        <v/>
      </c>
      <c r="E311" s="3" t="str">
        <f>TRIM(IF(H311&lt;=$L$1,VLOOKUP(H311,Iktato!$C$3:$O$10000,8,FALSE),""))</f>
        <v/>
      </c>
      <c r="F311" s="4" t="str">
        <f t="shared" si="24"/>
        <v/>
      </c>
      <c r="H311" s="1">
        <f t="shared" si="22"/>
        <v>301</v>
      </c>
      <c r="J311" s="1">
        <f t="shared" si="25"/>
        <v>0</v>
      </c>
      <c r="K311" s="1">
        <f>SUM($L$9,$L$11:L311)</f>
        <v>0</v>
      </c>
      <c r="L311" s="1">
        <f>SUMIF(Iktato!$S$3:$S$10000,H311,Iktato!$V$3:$V$10000)</f>
        <v>0</v>
      </c>
    </row>
  </sheetData>
  <sheetProtection algorithmName="SHA-512" hashValue="BoVTRkd8oaP7cqaKIsgskTACN2yNPZTd4Psm4PUf3xmvw7R9fxaiSUolprWuKmZqmsSAYbEFHbpBNVKyY7E5/A==" saltValue="/37/ocMOYuMss9EJEK8qnQ==" spinCount="100000" sheet="1" formatRows="0"/>
  <mergeCells count="7">
    <mergeCell ref="D1:F1"/>
    <mergeCell ref="D2:F2"/>
    <mergeCell ref="A6:F6"/>
    <mergeCell ref="A7:F7"/>
    <mergeCell ref="A8:F8"/>
    <mergeCell ref="D3:F3"/>
    <mergeCell ref="A1:C5"/>
  </mergeCells>
  <conditionalFormatting sqref="A11:F311">
    <cfRule type="expression" dxfId="7" priority="7" stopIfTrue="1">
      <formula>IF(A11&lt;&gt;"",TRUE,FALSE)</formula>
    </cfRule>
  </conditionalFormatting>
  <conditionalFormatting sqref="G3">
    <cfRule type="expression" dxfId="6" priority="3" stopIfTrue="1">
      <formula>IF(L2=1,TRUE,FALSE)</formula>
    </cfRule>
    <cfRule type="expression" dxfId="5" priority="4" stopIfTrue="1">
      <formula>IF(L2&lt;G3,TRUE,FALSE)</formula>
    </cfRule>
    <cfRule type="expression" dxfId="4" priority="6" stopIfTrue="1">
      <formula>IF(L2&gt;1,TRUE,FALSE)</formula>
    </cfRule>
  </conditionalFormatting>
  <dataValidations count="3">
    <dataValidation type="list" allowBlank="1" showInputMessage="1" showErrorMessage="1" sqref="G2" xr:uid="{00000000-0002-0000-0100-000000000000}">
      <formula1>Nevek</formula1>
    </dataValidation>
    <dataValidation type="whole" allowBlank="1" showInputMessage="1" showErrorMessage="1" sqref="G3" xr:uid="{00000000-0002-0000-0100-000001000000}">
      <formula1>1</formula1>
      <formula2>L2</formula2>
    </dataValidation>
    <dataValidation type="whole" allowBlank="1" showInputMessage="1" showErrorMessage="1" errorTitle="HIBA" error="Ide csak évszámot lehet beírni._x000a_Pl &quot;2024&quot; - idézőjel nélkül" sqref="G1" xr:uid="{00000000-0002-0000-0100-000002000000}">
      <formula1>2024</formula1>
      <formula2>2050</formula2>
    </dataValidation>
  </dataValidations>
  <pageMargins left="0.70866141732283472" right="0.31496062992125984" top="0.59055118110236227" bottom="0.55118110236220474" header="0.31496062992125984" footer="0.31496062992125984"/>
  <pageSetup paperSize="9" orientation="portrait" r:id="rId1"/>
  <headerFooter>
    <oddHeader>&amp;RLevéltári leltár</oddHeader>
    <oddFooter>&amp;LKészítette:&amp;R&amp;P&amp;. Oldal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1"/>
  <sheetViews>
    <sheetView showGridLines="0" zoomScaleNormal="100" workbookViewId="0">
      <pane ySplit="10" topLeftCell="A11" activePane="bottomLeft" state="frozen"/>
      <selection pane="bottomLeft" activeCell="F2" sqref="F2"/>
    </sheetView>
  </sheetViews>
  <sheetFormatPr defaultColWidth="0" defaultRowHeight="15" x14ac:dyDescent="0.25"/>
  <cols>
    <col min="1" max="1" width="5" style="6" bestFit="1" customWidth="1"/>
    <col min="2" max="2" width="9.28515625" style="6" bestFit="1" customWidth="1"/>
    <col min="3" max="3" width="13.28515625" style="6" customWidth="1"/>
    <col min="4" max="4" width="27.42578125" style="6" customWidth="1"/>
    <col min="5" max="5" width="41.42578125" style="6" customWidth="1"/>
    <col min="6" max="6" width="8.140625" style="6" bestFit="1" customWidth="1"/>
    <col min="7" max="7" width="5" style="6" bestFit="1" customWidth="1"/>
    <col min="8" max="8" width="8.85546875" style="6" hidden="1" customWidth="1"/>
    <col min="9" max="9" width="10.140625" style="6" hidden="1" customWidth="1"/>
    <col min="10" max="11" width="8.85546875" style="6" hidden="1" customWidth="1"/>
    <col min="12" max="12" width="27.140625" style="6" hidden="1" customWidth="1"/>
    <col min="13" max="13" width="9.7109375" style="6" hidden="1" customWidth="1"/>
    <col min="14" max="16384" width="8.85546875" style="6" hidden="1"/>
  </cols>
  <sheetData>
    <row r="1" spans="1:20" ht="18.75" x14ac:dyDescent="0.3">
      <c r="A1" s="107" t="s">
        <v>26</v>
      </c>
      <c r="B1" s="108"/>
      <c r="C1" s="109"/>
      <c r="D1" s="105" t="s">
        <v>19</v>
      </c>
      <c r="E1" s="105"/>
      <c r="F1" s="44">
        <v>2025</v>
      </c>
      <c r="I1" s="6">
        <f>IF(OR(F1=0,F1=""),YEAR(I2),F1)</f>
        <v>2025</v>
      </c>
      <c r="K1" s="6">
        <f>IF(OR(F2=0,F2="",F2&gt;M2),1,F2)</f>
        <v>1</v>
      </c>
      <c r="M1" s="6">
        <f>MAX(Iktato!B3:B10000)</f>
        <v>0</v>
      </c>
      <c r="N1" s="6">
        <f>M1+10</f>
        <v>10</v>
      </c>
    </row>
    <row r="2" spans="1:20" ht="30" x14ac:dyDescent="0.25">
      <c r="A2" s="110"/>
      <c r="B2" s="111"/>
      <c r="C2" s="112"/>
      <c r="D2" s="106" t="str">
        <f>IF(M2&gt;1,K2&amp;M2&amp;K3&amp;K1&amp;K4,"")</f>
        <v/>
      </c>
      <c r="E2" s="106"/>
      <c r="F2" s="84"/>
      <c r="I2" s="8">
        <f>Iktato!Y2</f>
        <v>46023</v>
      </c>
      <c r="J2" s="7" t="s">
        <v>33</v>
      </c>
      <c r="K2" s="6" t="s">
        <v>34</v>
      </c>
      <c r="M2" s="6">
        <f>ROUNDUP(M1/400,0)</f>
        <v>0</v>
      </c>
    </row>
    <row r="3" spans="1:20" x14ac:dyDescent="0.25">
      <c r="A3" s="110"/>
      <c r="B3" s="111"/>
      <c r="C3" s="112"/>
      <c r="K3" s="6" t="s">
        <v>23</v>
      </c>
    </row>
    <row r="4" spans="1:20" x14ac:dyDescent="0.25">
      <c r="A4" s="113"/>
      <c r="B4" s="114"/>
      <c r="C4" s="115"/>
      <c r="K4" s="6" t="s">
        <v>21</v>
      </c>
    </row>
    <row r="6" spans="1:20" ht="18" x14ac:dyDescent="0.25">
      <c r="A6" s="102" t="str">
        <f>IF(Iktato!F1=Iktato!R2,Iktato!R1,Iktato!F1)</f>
        <v>AZ EGYHÁZKÖZSÉG NEVÉT AZ "Iktató" MUNKALAPON LEHET KITÖLTENI</v>
      </c>
      <c r="B6" s="102"/>
      <c r="C6" s="102"/>
      <c r="D6" s="102"/>
      <c r="E6" s="102"/>
      <c r="F6" s="102"/>
    </row>
    <row r="7" spans="1:20" ht="16.5" x14ac:dyDescent="0.3">
      <c r="A7" s="103" t="s">
        <v>30</v>
      </c>
      <c r="B7" s="103"/>
      <c r="C7" s="103"/>
      <c r="D7" s="103"/>
      <c r="E7" s="103"/>
      <c r="F7" s="103"/>
    </row>
    <row r="8" spans="1:20" ht="15.75" x14ac:dyDescent="0.25">
      <c r="A8" s="104">
        <f>I1</f>
        <v>2025</v>
      </c>
      <c r="B8" s="104"/>
      <c r="C8" s="104"/>
      <c r="D8" s="104"/>
      <c r="E8" s="104"/>
      <c r="F8" s="104"/>
    </row>
    <row r="9" spans="1:20" ht="16.5" x14ac:dyDescent="0.3">
      <c r="A9" s="10"/>
      <c r="B9" s="10"/>
      <c r="C9" s="10"/>
      <c r="D9" s="10"/>
      <c r="E9" s="10"/>
      <c r="F9" s="10"/>
    </row>
    <row r="10" spans="1:20" ht="25.5" x14ac:dyDescent="0.25">
      <c r="A10" s="18" t="s">
        <v>12</v>
      </c>
      <c r="B10" s="19" t="s">
        <v>13</v>
      </c>
      <c r="C10" s="19" t="s">
        <v>27</v>
      </c>
      <c r="D10" s="18" t="s">
        <v>29</v>
      </c>
      <c r="E10" s="18" t="s">
        <v>8</v>
      </c>
      <c r="F10" s="41" t="s">
        <v>28</v>
      </c>
      <c r="G10" s="42"/>
      <c r="I10" s="6">
        <f>SUM(K1,-1)*400</f>
        <v>0</v>
      </c>
      <c r="M10" s="6" t="s">
        <v>86</v>
      </c>
      <c r="R10" s="6" t="s">
        <v>37</v>
      </c>
    </row>
    <row r="11" spans="1:20" ht="16.5" x14ac:dyDescent="0.25">
      <c r="A11" s="11" t="str">
        <f>IF($M$1&gt;=I11,J11,"")</f>
        <v/>
      </c>
      <c r="B11" s="12" t="str">
        <f>IF($M$1&gt;=I11,VLOOKUP(I11,Iktato!$B$3:$L$10000,5,FALSE),"")</f>
        <v/>
      </c>
      <c r="C11" s="13" t="str">
        <f>TRIM(IF(AND(P11&amp;Q11&lt;&gt;"",$M$1&gt;=I11),P11&amp;"-"&amp;R11&amp;$R$10&amp;S11&amp;$R$10&amp;T11&amp;$R$10,""))</f>
        <v/>
      </c>
      <c r="D11" s="14" t="str">
        <f>TRIM(IF($M$1&gt;=I11,IF(VLOOKUP(I11,Iktato!$B$3:$L$10000,8,FALSE)&lt;&gt;0,VLOOKUP(I11,Iktato!$B$3:$L$10000,8,FALSE),""),""))</f>
        <v/>
      </c>
      <c r="E11" s="14" t="str">
        <f>TRIM(IF($M$1&gt;=I11,IF(VLOOKUP(I11,Iktato!$B$3:$L$10000,9,FALSE)&lt;&gt;0,VLOOKUP(I11,Iktato!$B$3:$L$10000,9,FALSE),""),""))</f>
        <v/>
      </c>
      <c r="F11" s="43" t="str">
        <f>TRIM(IF($M$1&gt;=I11,M11&amp;$M$10&amp;N11,""))</f>
        <v/>
      </c>
      <c r="G11" s="43"/>
      <c r="I11" s="6">
        <f>I10+1</f>
        <v>1</v>
      </c>
      <c r="J11" s="6" t="str">
        <f>IF(K10&lt;&gt;K11,K11,"")</f>
        <v/>
      </c>
      <c r="K11" s="6" t="str">
        <f>IF($M$1&gt;=I11,VLOOKUP(I11,Iktato!$B$3:$L$10000,3,FALSE),"")</f>
        <v/>
      </c>
      <c r="M11" s="6" t="str">
        <f>IF($M$1&gt;=I11,IF(VLOOKUP(I11,Iktato!$B$3:$P$10000,15,FALSE)&lt;&gt;0,VLOOKUP(I11,Iktato!$B$3:$P$10000,15,FALSE),""),"")</f>
        <v/>
      </c>
      <c r="N11" s="6" t="str">
        <f>IF($M$1&gt;=I11,IF(VLOOKUP(I11,Iktato!$B$3:$Q$10000,16,FALSE)&lt;&gt;0,VLOOKUP(I11,Iktato!$B$3:$Q$10000,16,FALSE),""),"")</f>
        <v/>
      </c>
      <c r="P11" s="6" t="str">
        <f>TRIM(IF($M$1&gt;=I11,IF(VLOOKUP(I11,Iktato!$B$3:$L$10000,6,FALSE)&lt;&gt;0,VLOOKUP(I11,Iktato!$B$3:$L$10000,6,FALSE),""),""))</f>
        <v/>
      </c>
      <c r="Q11" s="8" t="str">
        <f>TRIM(IF($M$1&gt;=I11,IF(VLOOKUP(I11,Iktato!$B$3:$L$10000,7,FALSE)&lt;&gt;0,VLOOKUP(I11,Iktato!$B$3:$L$10000,7,FALSE),""),""))</f>
        <v/>
      </c>
      <c r="R11" s="6" t="str">
        <f>IF(Q11&lt;&gt;"",YEAR(Q11),"")</f>
        <v/>
      </c>
      <c r="S11" s="6" t="str">
        <f>IF(Q11&lt;&gt;"",MONTH(Q11),"")</f>
        <v/>
      </c>
      <c r="T11" s="6" t="str">
        <f>IF(Q11&lt;&gt;"",DAY(Q11),"")</f>
        <v/>
      </c>
    </row>
    <row r="12" spans="1:20" ht="16.5" x14ac:dyDescent="0.25">
      <c r="A12" s="11" t="str">
        <f t="shared" ref="A12:A41" si="0">IF($M$1&gt;=I12,J12,"")</f>
        <v/>
      </c>
      <c r="B12" s="12" t="str">
        <f>IF($M$1&gt;=I12,VLOOKUP(I12,Iktato!$B$3:$L$10000,5,FALSE),"")</f>
        <v/>
      </c>
      <c r="C12" s="13" t="str">
        <f t="shared" ref="C12:C41" si="1">TRIM(IF(AND(P12&amp;Q12&lt;&gt;"",$M$1&gt;=I12),P12&amp;"-"&amp;R12&amp;$R$10&amp;S12&amp;$R$10&amp;T12&amp;$R$10,""))</f>
        <v/>
      </c>
      <c r="D12" s="14" t="str">
        <f>TRIM(IF($M$1&gt;=I12,IF(VLOOKUP(I12,Iktato!$B$3:$L$10000,8,FALSE)&lt;&gt;0,VLOOKUP(I12,Iktato!$B$3:$L$10000,8,FALSE),""),""))</f>
        <v/>
      </c>
      <c r="E12" s="14" t="str">
        <f>TRIM(IF($M$1&gt;=I12,IF(VLOOKUP(I12,Iktato!$B$3:$L$10000,9,FALSE)&lt;&gt;0,VLOOKUP(I12,Iktato!$B$3:$L$10000,9,FALSE),""),""))</f>
        <v/>
      </c>
      <c r="F12" s="43" t="str">
        <f t="shared" ref="F12:F75" si="2">TRIM(IF($M$1&gt;=I12,M12&amp;$M$10&amp;N12,""))</f>
        <v/>
      </c>
      <c r="G12" s="43"/>
      <c r="I12" s="6">
        <f t="shared" ref="I12:I75" si="3">I11+1</f>
        <v>2</v>
      </c>
      <c r="J12" s="6" t="str">
        <f t="shared" ref="J12:J41" si="4">IF(K11&lt;&gt;K12,K12,"")</f>
        <v/>
      </c>
      <c r="K12" s="6" t="str">
        <f>IF($M$1&gt;=I12,VLOOKUP(I12,Iktato!$B$3:$L$10000,3,FALSE),"")</f>
        <v/>
      </c>
      <c r="M12" s="6" t="str">
        <f>IF($M$1&gt;=I12,IF(VLOOKUP(I12,Iktato!$B$3:$P$10000,15,FALSE)&lt;&gt;0,VLOOKUP(I12,Iktato!$B$3:$P$10000,15,FALSE),""),"")</f>
        <v/>
      </c>
      <c r="N12" s="6" t="str">
        <f>IF($M$1&gt;=I12,IF(VLOOKUP(I12,Iktato!$B$3:$Q$10000,16,FALSE)&lt;&gt;0,VLOOKUP(I12,Iktato!$B$3:$Q$10000,16,FALSE),""),"")</f>
        <v/>
      </c>
      <c r="P12" s="6" t="str">
        <f>TRIM(IF($M$1&gt;=I12,IF(VLOOKUP(I12,Iktato!$B$3:$L$10000,6,FALSE)&lt;&gt;0,VLOOKUP(I12,Iktato!$B$3:$L$10000,6,FALSE),""),""))</f>
        <v/>
      </c>
      <c r="Q12" s="8" t="str">
        <f>TRIM(IF($M$1&gt;=I12,IF(VLOOKUP(I12,Iktato!$B$3:$L$10000,7,FALSE)&lt;&gt;0,VLOOKUP(I12,Iktato!$B$3:$L$10000,7,FALSE),""),""))</f>
        <v/>
      </c>
      <c r="R12" s="6" t="str">
        <f t="shared" ref="R12:R41" si="5">IF(Q12&lt;&gt;"",YEAR(Q12),"")</f>
        <v/>
      </c>
      <c r="S12" s="6" t="str">
        <f t="shared" ref="S12:S41" si="6">IF(Q12&lt;&gt;"",MONTH(Q12),"")</f>
        <v/>
      </c>
      <c r="T12" s="6" t="str">
        <f t="shared" ref="T12:T41" si="7">IF(Q12&lt;&gt;"",DAY(Q12),"")</f>
        <v/>
      </c>
    </row>
    <row r="13" spans="1:20" ht="16.5" x14ac:dyDescent="0.25">
      <c r="A13" s="11" t="str">
        <f t="shared" si="0"/>
        <v/>
      </c>
      <c r="B13" s="12" t="str">
        <f>IF($M$1&gt;=I13,VLOOKUP(I13,Iktato!$B$3:$L$10000,5,FALSE),"")</f>
        <v/>
      </c>
      <c r="C13" s="13" t="str">
        <f t="shared" si="1"/>
        <v/>
      </c>
      <c r="D13" s="14" t="str">
        <f>TRIM(IF($M$1&gt;=I13,IF(VLOOKUP(I13,Iktato!$B$3:$L$10000,8,FALSE)&lt;&gt;0,VLOOKUP(I13,Iktato!$B$3:$L$10000,8,FALSE),""),""))</f>
        <v/>
      </c>
      <c r="E13" s="14" t="str">
        <f>TRIM(IF($M$1&gt;=I13,IF(VLOOKUP(I13,Iktato!$B$3:$L$10000,9,FALSE)&lt;&gt;0,VLOOKUP(I13,Iktato!$B$3:$L$10000,9,FALSE),""),""))</f>
        <v/>
      </c>
      <c r="F13" s="43" t="str">
        <f t="shared" si="2"/>
        <v/>
      </c>
      <c r="G13" s="43"/>
      <c r="I13" s="6">
        <f t="shared" si="3"/>
        <v>3</v>
      </c>
      <c r="J13" s="6" t="str">
        <f t="shared" si="4"/>
        <v/>
      </c>
      <c r="K13" s="6" t="str">
        <f>IF($M$1&gt;=I13,VLOOKUP(I13,Iktato!$B$3:$L$10000,3,FALSE),"")</f>
        <v/>
      </c>
      <c r="M13" s="6" t="str">
        <f>IF($M$1&gt;=I13,IF(VLOOKUP(I13,Iktato!$B$3:$P$10000,15,FALSE)&lt;&gt;0,VLOOKUP(I13,Iktato!$B$3:$P$10000,15,FALSE),""),"")</f>
        <v/>
      </c>
      <c r="N13" s="6" t="str">
        <f>IF($M$1&gt;=I13,IF(VLOOKUP(I13,Iktato!$B$3:$Q$10000,16,FALSE)&lt;&gt;0,VLOOKUP(I13,Iktato!$B$3:$Q$10000,16,FALSE),""),"")</f>
        <v/>
      </c>
      <c r="P13" s="6" t="str">
        <f>TRIM(IF($M$1&gt;=I13,IF(VLOOKUP(I13,Iktato!$B$3:$L$10000,6,FALSE)&lt;&gt;0,VLOOKUP(I13,Iktato!$B$3:$L$10000,6,FALSE),""),""))</f>
        <v/>
      </c>
      <c r="Q13" s="8" t="str">
        <f>TRIM(IF($M$1&gt;=I13,IF(VLOOKUP(I13,Iktato!$B$3:$L$10000,7,FALSE)&lt;&gt;0,VLOOKUP(I13,Iktato!$B$3:$L$10000,7,FALSE),""),""))</f>
        <v/>
      </c>
      <c r="R13" s="6" t="str">
        <f t="shared" si="5"/>
        <v/>
      </c>
      <c r="S13" s="6" t="str">
        <f t="shared" si="6"/>
        <v/>
      </c>
      <c r="T13" s="6" t="str">
        <f t="shared" si="7"/>
        <v/>
      </c>
    </row>
    <row r="14" spans="1:20" ht="16.5" x14ac:dyDescent="0.25">
      <c r="A14" s="11" t="str">
        <f t="shared" si="0"/>
        <v/>
      </c>
      <c r="B14" s="12" t="str">
        <f>IF($M$1&gt;=I14,VLOOKUP(I14,Iktato!$B$3:$L$10000,5,FALSE),"")</f>
        <v/>
      </c>
      <c r="C14" s="13" t="str">
        <f t="shared" si="1"/>
        <v/>
      </c>
      <c r="D14" s="14" t="str">
        <f>TRIM(IF($M$1&gt;=I14,IF(VLOOKUP(I14,Iktato!$B$3:$L$10000,8,FALSE)&lt;&gt;0,VLOOKUP(I14,Iktato!$B$3:$L$10000,8,FALSE),""),""))</f>
        <v/>
      </c>
      <c r="E14" s="14" t="str">
        <f>TRIM(IF($M$1&gt;=I14,IF(VLOOKUP(I14,Iktato!$B$3:$L$10000,9,FALSE)&lt;&gt;0,VLOOKUP(I14,Iktato!$B$3:$L$10000,9,FALSE),""),""))</f>
        <v/>
      </c>
      <c r="F14" s="43" t="str">
        <f t="shared" si="2"/>
        <v/>
      </c>
      <c r="G14" s="43"/>
      <c r="I14" s="6">
        <f t="shared" si="3"/>
        <v>4</v>
      </c>
      <c r="J14" s="6" t="str">
        <f t="shared" si="4"/>
        <v/>
      </c>
      <c r="K14" s="6" t="str">
        <f>IF($M$1&gt;=I14,VLOOKUP(I14,Iktato!$B$3:$L$10000,3,FALSE),"")</f>
        <v/>
      </c>
      <c r="M14" s="6" t="str">
        <f>IF($M$1&gt;=I14,IF(VLOOKUP(I14,Iktato!$B$3:$P$10000,15,FALSE)&lt;&gt;0,VLOOKUP(I14,Iktato!$B$3:$P$10000,15,FALSE),""),"")</f>
        <v/>
      </c>
      <c r="N14" s="6" t="str">
        <f>IF($M$1&gt;=I14,IF(VLOOKUP(I14,Iktato!$B$3:$Q$10000,16,FALSE)&lt;&gt;0,VLOOKUP(I14,Iktato!$B$3:$Q$10000,16,FALSE),""),"")</f>
        <v/>
      </c>
      <c r="P14" s="6" t="str">
        <f>TRIM(IF($M$1&gt;=I14,IF(VLOOKUP(I14,Iktato!$B$3:$L$10000,6,FALSE)&lt;&gt;0,VLOOKUP(I14,Iktato!$B$3:$L$10000,6,FALSE),""),""))</f>
        <v/>
      </c>
      <c r="Q14" s="8" t="str">
        <f>TRIM(IF($M$1&gt;=I14,IF(VLOOKUP(I14,Iktato!$B$3:$L$10000,7,FALSE)&lt;&gt;0,VLOOKUP(I14,Iktato!$B$3:$L$10000,7,FALSE),""),""))</f>
        <v/>
      </c>
      <c r="R14" s="6" t="str">
        <f t="shared" si="5"/>
        <v/>
      </c>
      <c r="S14" s="6" t="str">
        <f t="shared" si="6"/>
        <v/>
      </c>
      <c r="T14" s="6" t="str">
        <f t="shared" si="7"/>
        <v/>
      </c>
    </row>
    <row r="15" spans="1:20" ht="16.5" x14ac:dyDescent="0.25">
      <c r="A15" s="11" t="str">
        <f t="shared" si="0"/>
        <v/>
      </c>
      <c r="B15" s="12" t="str">
        <f>IF($M$1&gt;=I15,VLOOKUP(I15,Iktato!$B$3:$L$10000,5,FALSE),"")</f>
        <v/>
      </c>
      <c r="C15" s="13" t="str">
        <f t="shared" si="1"/>
        <v/>
      </c>
      <c r="D15" s="14" t="str">
        <f>TRIM(IF($M$1&gt;=I15,IF(VLOOKUP(I15,Iktato!$B$3:$L$10000,8,FALSE)&lt;&gt;0,VLOOKUP(I15,Iktato!$B$3:$L$10000,8,FALSE),""),""))</f>
        <v/>
      </c>
      <c r="E15" s="14" t="str">
        <f>TRIM(IF($M$1&gt;=I15,IF(VLOOKUP(I15,Iktato!$B$3:$L$10000,9,FALSE)&lt;&gt;0,VLOOKUP(I15,Iktato!$B$3:$L$10000,9,FALSE),""),""))</f>
        <v/>
      </c>
      <c r="F15" s="43" t="str">
        <f t="shared" si="2"/>
        <v/>
      </c>
      <c r="G15" s="43"/>
      <c r="I15" s="6">
        <f t="shared" si="3"/>
        <v>5</v>
      </c>
      <c r="J15" s="6" t="str">
        <f t="shared" si="4"/>
        <v/>
      </c>
      <c r="K15" s="6" t="str">
        <f>IF($M$1&gt;=I15,VLOOKUP(I15,Iktato!$B$3:$L$10000,3,FALSE),"")</f>
        <v/>
      </c>
      <c r="M15" s="6" t="str">
        <f>IF($M$1&gt;=I15,IF(VLOOKUP(I15,Iktato!$B$3:$P$10000,15,FALSE)&lt;&gt;0,VLOOKUP(I15,Iktato!$B$3:$P$10000,15,FALSE),""),"")</f>
        <v/>
      </c>
      <c r="N15" s="6" t="str">
        <f>IF($M$1&gt;=I15,IF(VLOOKUP(I15,Iktato!$B$3:$Q$10000,16,FALSE)&lt;&gt;0,VLOOKUP(I15,Iktato!$B$3:$Q$10000,16,FALSE),""),"")</f>
        <v/>
      </c>
      <c r="P15" s="6" t="str">
        <f>TRIM(IF($M$1&gt;=I15,IF(VLOOKUP(I15,Iktato!$B$3:$L$10000,6,FALSE)&lt;&gt;0,VLOOKUP(I15,Iktato!$B$3:$L$10000,6,FALSE),""),""))</f>
        <v/>
      </c>
      <c r="Q15" s="8" t="str">
        <f>TRIM(IF($M$1&gt;=I15,IF(VLOOKUP(I15,Iktato!$B$3:$L$10000,7,FALSE)&lt;&gt;0,VLOOKUP(I15,Iktato!$B$3:$L$10000,7,FALSE),""),""))</f>
        <v/>
      </c>
      <c r="R15" s="6" t="str">
        <f t="shared" si="5"/>
        <v/>
      </c>
      <c r="S15" s="6" t="str">
        <f t="shared" si="6"/>
        <v/>
      </c>
      <c r="T15" s="6" t="str">
        <f t="shared" si="7"/>
        <v/>
      </c>
    </row>
    <row r="16" spans="1:20" ht="16.5" x14ac:dyDescent="0.25">
      <c r="A16" s="11" t="str">
        <f t="shared" si="0"/>
        <v/>
      </c>
      <c r="B16" s="12" t="str">
        <f>IF($M$1&gt;=I16,VLOOKUP(I16,Iktato!$B$3:$L$10000,5,FALSE),"")</f>
        <v/>
      </c>
      <c r="C16" s="13" t="str">
        <f t="shared" si="1"/>
        <v/>
      </c>
      <c r="D16" s="14" t="str">
        <f>TRIM(IF($M$1&gt;=I16,IF(VLOOKUP(I16,Iktato!$B$3:$L$10000,8,FALSE)&lt;&gt;0,VLOOKUP(I16,Iktato!$B$3:$L$10000,8,FALSE),""),""))</f>
        <v/>
      </c>
      <c r="E16" s="14" t="str">
        <f>TRIM(IF($M$1&gt;=I16,IF(VLOOKUP(I16,Iktato!$B$3:$L$10000,9,FALSE)&lt;&gt;0,VLOOKUP(I16,Iktato!$B$3:$L$10000,9,FALSE),""),""))</f>
        <v/>
      </c>
      <c r="F16" s="43" t="str">
        <f t="shared" si="2"/>
        <v/>
      </c>
      <c r="G16" s="43"/>
      <c r="I16" s="6">
        <f t="shared" si="3"/>
        <v>6</v>
      </c>
      <c r="J16" s="6" t="str">
        <f t="shared" si="4"/>
        <v/>
      </c>
      <c r="K16" s="6" t="str">
        <f>IF($M$1&gt;=I16,VLOOKUP(I16,Iktato!$B$3:$L$10000,3,FALSE),"")</f>
        <v/>
      </c>
      <c r="M16" s="6" t="str">
        <f>IF($M$1&gt;=I16,IF(VLOOKUP(I16,Iktato!$B$3:$P$10000,15,FALSE)&lt;&gt;0,VLOOKUP(I16,Iktato!$B$3:$P$10000,15,FALSE),""),"")</f>
        <v/>
      </c>
      <c r="N16" s="6" t="str">
        <f>IF($M$1&gt;=I16,IF(VLOOKUP(I16,Iktato!$B$3:$Q$10000,16,FALSE)&lt;&gt;0,VLOOKUP(I16,Iktato!$B$3:$Q$10000,16,FALSE),""),"")</f>
        <v/>
      </c>
      <c r="P16" s="6" t="str">
        <f>TRIM(IF($M$1&gt;=I16,IF(VLOOKUP(I16,Iktato!$B$3:$L$10000,6,FALSE)&lt;&gt;0,VLOOKUP(I16,Iktato!$B$3:$L$10000,6,FALSE),""),""))</f>
        <v/>
      </c>
      <c r="Q16" s="8" t="str">
        <f>TRIM(IF($M$1&gt;=I16,IF(VLOOKUP(I16,Iktato!$B$3:$L$10000,7,FALSE)&lt;&gt;0,VLOOKUP(I16,Iktato!$B$3:$L$10000,7,FALSE),""),""))</f>
        <v/>
      </c>
      <c r="R16" s="6" t="str">
        <f t="shared" si="5"/>
        <v/>
      </c>
      <c r="S16" s="6" t="str">
        <f t="shared" si="6"/>
        <v/>
      </c>
      <c r="T16" s="6" t="str">
        <f t="shared" si="7"/>
        <v/>
      </c>
    </row>
    <row r="17" spans="1:20" ht="16.5" x14ac:dyDescent="0.25">
      <c r="A17" s="11" t="str">
        <f t="shared" si="0"/>
        <v/>
      </c>
      <c r="B17" s="12" t="str">
        <f>IF($M$1&gt;=I17,VLOOKUP(I17,Iktato!$B$3:$L$10000,5,FALSE),"")</f>
        <v/>
      </c>
      <c r="C17" s="13" t="str">
        <f t="shared" si="1"/>
        <v/>
      </c>
      <c r="D17" s="14" t="str">
        <f>TRIM(IF($M$1&gt;=I17,IF(VLOOKUP(I17,Iktato!$B$3:$L$10000,8,FALSE)&lt;&gt;0,VLOOKUP(I17,Iktato!$B$3:$L$10000,8,FALSE),""),""))</f>
        <v/>
      </c>
      <c r="E17" s="14" t="str">
        <f>TRIM(IF($M$1&gt;=I17,IF(VLOOKUP(I17,Iktato!$B$3:$L$10000,9,FALSE)&lt;&gt;0,VLOOKUP(I17,Iktato!$B$3:$L$10000,9,FALSE),""),""))</f>
        <v/>
      </c>
      <c r="F17" s="43" t="str">
        <f t="shared" si="2"/>
        <v/>
      </c>
      <c r="G17" s="43"/>
      <c r="I17" s="6">
        <f t="shared" si="3"/>
        <v>7</v>
      </c>
      <c r="J17" s="6" t="str">
        <f t="shared" si="4"/>
        <v/>
      </c>
      <c r="K17" s="6" t="str">
        <f>IF($M$1&gt;=I17,VLOOKUP(I17,Iktato!$B$3:$L$10000,3,FALSE),"")</f>
        <v/>
      </c>
      <c r="M17" s="6" t="str">
        <f>IF($M$1&gt;=I17,IF(VLOOKUP(I17,Iktato!$B$3:$P$10000,15,FALSE)&lt;&gt;0,VLOOKUP(I17,Iktato!$B$3:$P$10000,15,FALSE),""),"")</f>
        <v/>
      </c>
      <c r="N17" s="6" t="str">
        <f>IF($M$1&gt;=I17,IF(VLOOKUP(I17,Iktato!$B$3:$Q$10000,16,FALSE)&lt;&gt;0,VLOOKUP(I17,Iktato!$B$3:$Q$10000,16,FALSE),""),"")</f>
        <v/>
      </c>
      <c r="P17" s="6" t="str">
        <f>TRIM(IF($M$1&gt;=I17,IF(VLOOKUP(I17,Iktato!$B$3:$L$10000,6,FALSE)&lt;&gt;0,VLOOKUP(I17,Iktato!$B$3:$L$10000,6,FALSE),""),""))</f>
        <v/>
      </c>
      <c r="Q17" s="8" t="str">
        <f>TRIM(IF($M$1&gt;=I17,IF(VLOOKUP(I17,Iktato!$B$3:$L$10000,7,FALSE)&lt;&gt;0,VLOOKUP(I17,Iktato!$B$3:$L$10000,7,FALSE),""),""))</f>
        <v/>
      </c>
      <c r="R17" s="6" t="str">
        <f t="shared" si="5"/>
        <v/>
      </c>
      <c r="S17" s="6" t="str">
        <f t="shared" si="6"/>
        <v/>
      </c>
      <c r="T17" s="6" t="str">
        <f t="shared" si="7"/>
        <v/>
      </c>
    </row>
    <row r="18" spans="1:20" ht="16.5" x14ac:dyDescent="0.25">
      <c r="A18" s="11" t="str">
        <f t="shared" si="0"/>
        <v/>
      </c>
      <c r="B18" s="12" t="str">
        <f>IF($M$1&gt;=I18,VLOOKUP(I18,Iktato!$B$3:$L$10000,5,FALSE),"")</f>
        <v/>
      </c>
      <c r="C18" s="13" t="str">
        <f t="shared" si="1"/>
        <v/>
      </c>
      <c r="D18" s="14" t="str">
        <f>TRIM(IF($M$1&gt;=I18,IF(VLOOKUP(I18,Iktato!$B$3:$L$10000,8,FALSE)&lt;&gt;0,VLOOKUP(I18,Iktato!$B$3:$L$10000,8,FALSE),""),""))</f>
        <v/>
      </c>
      <c r="E18" s="14" t="str">
        <f>TRIM(IF($M$1&gt;=I18,IF(VLOOKUP(I18,Iktato!$B$3:$L$10000,9,FALSE)&lt;&gt;0,VLOOKUP(I18,Iktato!$B$3:$L$10000,9,FALSE),""),""))</f>
        <v/>
      </c>
      <c r="F18" s="43" t="str">
        <f t="shared" si="2"/>
        <v/>
      </c>
      <c r="G18" s="43"/>
      <c r="I18" s="6">
        <f t="shared" si="3"/>
        <v>8</v>
      </c>
      <c r="J18" s="6" t="str">
        <f t="shared" si="4"/>
        <v/>
      </c>
      <c r="K18" s="6" t="str">
        <f>IF($M$1&gt;=I18,VLOOKUP(I18,Iktato!$B$3:$L$10000,3,FALSE),"")</f>
        <v/>
      </c>
      <c r="M18" s="6" t="str">
        <f>IF($M$1&gt;=I18,IF(VLOOKUP(I18,Iktato!$B$3:$P$10000,15,FALSE)&lt;&gt;0,VLOOKUP(I18,Iktato!$B$3:$P$10000,15,FALSE),""),"")</f>
        <v/>
      </c>
      <c r="N18" s="6" t="str">
        <f>IF($M$1&gt;=I18,IF(VLOOKUP(I18,Iktato!$B$3:$Q$10000,16,FALSE)&lt;&gt;0,VLOOKUP(I18,Iktato!$B$3:$Q$10000,16,FALSE),""),"")</f>
        <v/>
      </c>
      <c r="P18" s="6" t="str">
        <f>TRIM(IF($M$1&gt;=I18,IF(VLOOKUP(I18,Iktato!$B$3:$L$10000,6,FALSE)&lt;&gt;0,VLOOKUP(I18,Iktato!$B$3:$L$10000,6,FALSE),""),""))</f>
        <v/>
      </c>
      <c r="Q18" s="8" t="str">
        <f>TRIM(IF($M$1&gt;=I18,IF(VLOOKUP(I18,Iktato!$B$3:$L$10000,7,FALSE)&lt;&gt;0,VLOOKUP(I18,Iktato!$B$3:$L$10000,7,FALSE),""),""))</f>
        <v/>
      </c>
      <c r="R18" s="6" t="str">
        <f t="shared" si="5"/>
        <v/>
      </c>
      <c r="S18" s="6" t="str">
        <f t="shared" si="6"/>
        <v/>
      </c>
      <c r="T18" s="6" t="str">
        <f t="shared" si="7"/>
        <v/>
      </c>
    </row>
    <row r="19" spans="1:20" ht="16.5" x14ac:dyDescent="0.25">
      <c r="A19" s="11" t="str">
        <f t="shared" si="0"/>
        <v/>
      </c>
      <c r="B19" s="12" t="str">
        <f>IF($M$1&gt;=I19,VLOOKUP(I19,Iktato!$B$3:$L$10000,5,FALSE),"")</f>
        <v/>
      </c>
      <c r="C19" s="13" t="str">
        <f t="shared" si="1"/>
        <v/>
      </c>
      <c r="D19" s="14" t="str">
        <f>TRIM(IF($M$1&gt;=I19,IF(VLOOKUP(I19,Iktato!$B$3:$L$10000,8,FALSE)&lt;&gt;0,VLOOKUP(I19,Iktato!$B$3:$L$10000,8,FALSE),""),""))</f>
        <v/>
      </c>
      <c r="E19" s="14" t="str">
        <f>TRIM(IF($M$1&gt;=I19,IF(VLOOKUP(I19,Iktato!$B$3:$L$10000,9,FALSE)&lt;&gt;0,VLOOKUP(I19,Iktato!$B$3:$L$10000,9,FALSE),""),""))</f>
        <v/>
      </c>
      <c r="F19" s="43" t="str">
        <f t="shared" si="2"/>
        <v/>
      </c>
      <c r="G19" s="43"/>
      <c r="I19" s="6">
        <f t="shared" si="3"/>
        <v>9</v>
      </c>
      <c r="J19" s="6" t="str">
        <f t="shared" si="4"/>
        <v/>
      </c>
      <c r="K19" s="6" t="str">
        <f>IF($M$1&gt;=I19,VLOOKUP(I19,Iktato!$B$3:$L$10000,3,FALSE),"")</f>
        <v/>
      </c>
      <c r="M19" s="6" t="str">
        <f>IF($M$1&gt;=I19,IF(VLOOKUP(I19,Iktato!$B$3:$P$10000,15,FALSE)&lt;&gt;0,VLOOKUP(I19,Iktato!$B$3:$P$10000,15,FALSE),""),"")</f>
        <v/>
      </c>
      <c r="N19" s="6" t="str">
        <f>IF($M$1&gt;=I19,IF(VLOOKUP(I19,Iktato!$B$3:$Q$10000,16,FALSE)&lt;&gt;0,VLOOKUP(I19,Iktato!$B$3:$Q$10000,16,FALSE),""),"")</f>
        <v/>
      </c>
      <c r="P19" s="6" t="str">
        <f>TRIM(IF($M$1&gt;=I19,IF(VLOOKUP(I19,Iktato!$B$3:$L$10000,6,FALSE)&lt;&gt;0,VLOOKUP(I19,Iktato!$B$3:$L$10000,6,FALSE),""),""))</f>
        <v/>
      </c>
      <c r="Q19" s="8" t="str">
        <f>TRIM(IF($M$1&gt;=I19,IF(VLOOKUP(I19,Iktato!$B$3:$L$10000,7,FALSE)&lt;&gt;0,VLOOKUP(I19,Iktato!$B$3:$L$10000,7,FALSE),""),""))</f>
        <v/>
      </c>
      <c r="R19" s="6" t="str">
        <f t="shared" si="5"/>
        <v/>
      </c>
      <c r="S19" s="6" t="str">
        <f t="shared" si="6"/>
        <v/>
      </c>
      <c r="T19" s="6" t="str">
        <f t="shared" si="7"/>
        <v/>
      </c>
    </row>
    <row r="20" spans="1:20" ht="16.5" x14ac:dyDescent="0.25">
      <c r="A20" s="11" t="str">
        <f t="shared" si="0"/>
        <v/>
      </c>
      <c r="B20" s="12" t="str">
        <f>IF($M$1&gt;=I20,VLOOKUP(I20,Iktato!$B$3:$L$10000,5,FALSE),"")</f>
        <v/>
      </c>
      <c r="C20" s="13" t="str">
        <f t="shared" si="1"/>
        <v/>
      </c>
      <c r="D20" s="14" t="str">
        <f>TRIM(IF($M$1&gt;=I20,IF(VLOOKUP(I20,Iktato!$B$3:$L$10000,8,FALSE)&lt;&gt;0,VLOOKUP(I20,Iktato!$B$3:$L$10000,8,FALSE),""),""))</f>
        <v/>
      </c>
      <c r="E20" s="14" t="str">
        <f>TRIM(IF($M$1&gt;=I20,IF(VLOOKUP(I20,Iktato!$B$3:$L$10000,9,FALSE)&lt;&gt;0,VLOOKUP(I20,Iktato!$B$3:$L$10000,9,FALSE),""),""))</f>
        <v/>
      </c>
      <c r="F20" s="43" t="str">
        <f t="shared" si="2"/>
        <v/>
      </c>
      <c r="G20" s="43"/>
      <c r="I20" s="6">
        <f t="shared" si="3"/>
        <v>10</v>
      </c>
      <c r="J20" s="6" t="str">
        <f t="shared" si="4"/>
        <v/>
      </c>
      <c r="K20" s="6" t="str">
        <f>IF($M$1&gt;=I20,VLOOKUP(I20,Iktato!$B$3:$L$10000,3,FALSE),"")</f>
        <v/>
      </c>
      <c r="M20" s="6" t="str">
        <f>IF($M$1&gt;=I20,IF(VLOOKUP(I20,Iktato!$B$3:$P$10000,15,FALSE)&lt;&gt;0,VLOOKUP(I20,Iktato!$B$3:$P$10000,15,FALSE),""),"")</f>
        <v/>
      </c>
      <c r="N20" s="6" t="str">
        <f>IF($M$1&gt;=I20,IF(VLOOKUP(I20,Iktato!$B$3:$Q$10000,16,FALSE)&lt;&gt;0,VLOOKUP(I20,Iktato!$B$3:$Q$10000,16,FALSE),""),"")</f>
        <v/>
      </c>
      <c r="P20" s="6" t="str">
        <f>TRIM(IF($M$1&gt;=I20,IF(VLOOKUP(I20,Iktato!$B$3:$L$10000,6,FALSE)&lt;&gt;0,VLOOKUP(I20,Iktato!$B$3:$L$10000,6,FALSE),""),""))</f>
        <v/>
      </c>
      <c r="Q20" s="8" t="str">
        <f>TRIM(IF($M$1&gt;=I20,IF(VLOOKUP(I20,Iktato!$B$3:$L$10000,7,FALSE)&lt;&gt;0,VLOOKUP(I20,Iktato!$B$3:$L$10000,7,FALSE),""),""))</f>
        <v/>
      </c>
      <c r="R20" s="6" t="str">
        <f t="shared" si="5"/>
        <v/>
      </c>
      <c r="S20" s="6" t="str">
        <f t="shared" si="6"/>
        <v/>
      </c>
      <c r="T20" s="6" t="str">
        <f t="shared" si="7"/>
        <v/>
      </c>
    </row>
    <row r="21" spans="1:20" ht="16.5" x14ac:dyDescent="0.25">
      <c r="A21" s="11" t="str">
        <f t="shared" si="0"/>
        <v/>
      </c>
      <c r="B21" s="12" t="str">
        <f>IF($M$1&gt;=I21,VLOOKUP(I21,Iktato!$B$3:$L$10000,5,FALSE),"")</f>
        <v/>
      </c>
      <c r="C21" s="13" t="str">
        <f t="shared" si="1"/>
        <v/>
      </c>
      <c r="D21" s="14" t="str">
        <f>TRIM(IF($M$1&gt;=I21,IF(VLOOKUP(I21,Iktato!$B$3:$L$10000,8,FALSE)&lt;&gt;0,VLOOKUP(I21,Iktato!$B$3:$L$10000,8,FALSE),""),""))</f>
        <v/>
      </c>
      <c r="E21" s="14" t="str">
        <f>TRIM(IF($M$1&gt;=I21,IF(VLOOKUP(I21,Iktato!$B$3:$L$10000,9,FALSE)&lt;&gt;0,VLOOKUP(I21,Iktato!$B$3:$L$10000,9,FALSE),""),""))</f>
        <v/>
      </c>
      <c r="F21" s="43" t="str">
        <f t="shared" si="2"/>
        <v/>
      </c>
      <c r="G21" s="43"/>
      <c r="I21" s="6">
        <f t="shared" si="3"/>
        <v>11</v>
      </c>
      <c r="J21" s="6" t="str">
        <f t="shared" si="4"/>
        <v/>
      </c>
      <c r="K21" s="6" t="str">
        <f>IF($M$1&gt;=I21,VLOOKUP(I21,Iktato!$B$3:$L$10000,3,FALSE),"")</f>
        <v/>
      </c>
      <c r="M21" s="6" t="str">
        <f>IF($M$1&gt;=I21,IF(VLOOKUP(I21,Iktato!$B$3:$P$10000,15,FALSE)&lt;&gt;0,VLOOKUP(I21,Iktato!$B$3:$P$10000,15,FALSE),""),"")</f>
        <v/>
      </c>
      <c r="N21" s="6" t="str">
        <f>IF($M$1&gt;=I21,IF(VLOOKUP(I21,Iktato!$B$3:$Q$10000,16,FALSE)&lt;&gt;0,VLOOKUP(I21,Iktato!$B$3:$Q$10000,16,FALSE),""),"")</f>
        <v/>
      </c>
      <c r="P21" s="6" t="str">
        <f>TRIM(IF($M$1&gt;=I21,IF(VLOOKUP(I21,Iktato!$B$3:$L$10000,6,FALSE)&lt;&gt;0,VLOOKUP(I21,Iktato!$B$3:$L$10000,6,FALSE),""),""))</f>
        <v/>
      </c>
      <c r="Q21" s="8" t="str">
        <f>TRIM(IF($M$1&gt;=I21,IF(VLOOKUP(I21,Iktato!$B$3:$L$10000,7,FALSE)&lt;&gt;0,VLOOKUP(I21,Iktato!$B$3:$L$10000,7,FALSE),""),""))</f>
        <v/>
      </c>
      <c r="R21" s="6" t="str">
        <f t="shared" si="5"/>
        <v/>
      </c>
      <c r="S21" s="6" t="str">
        <f t="shared" si="6"/>
        <v/>
      </c>
      <c r="T21" s="6" t="str">
        <f t="shared" si="7"/>
        <v/>
      </c>
    </row>
    <row r="22" spans="1:20" ht="16.5" x14ac:dyDescent="0.25">
      <c r="A22" s="11" t="str">
        <f t="shared" si="0"/>
        <v/>
      </c>
      <c r="B22" s="12" t="str">
        <f>IF($M$1&gt;=I22,VLOOKUP(I22,Iktato!$B$3:$L$10000,5,FALSE),"")</f>
        <v/>
      </c>
      <c r="C22" s="13" t="str">
        <f t="shared" si="1"/>
        <v/>
      </c>
      <c r="D22" s="14" t="str">
        <f>TRIM(IF($M$1&gt;=I22,IF(VLOOKUP(I22,Iktato!$B$3:$L$10000,8,FALSE)&lt;&gt;0,VLOOKUP(I22,Iktato!$B$3:$L$10000,8,FALSE),""),""))</f>
        <v/>
      </c>
      <c r="E22" s="14" t="str">
        <f>TRIM(IF($M$1&gt;=I22,IF(VLOOKUP(I22,Iktato!$B$3:$L$10000,9,FALSE)&lt;&gt;0,VLOOKUP(I22,Iktato!$B$3:$L$10000,9,FALSE),""),""))</f>
        <v/>
      </c>
      <c r="F22" s="43" t="str">
        <f t="shared" si="2"/>
        <v/>
      </c>
      <c r="G22" s="43"/>
      <c r="I22" s="6">
        <f t="shared" si="3"/>
        <v>12</v>
      </c>
      <c r="J22" s="6" t="str">
        <f t="shared" si="4"/>
        <v/>
      </c>
      <c r="K22" s="6" t="str">
        <f>IF($M$1&gt;=I22,VLOOKUP(I22,Iktato!$B$3:$L$10000,3,FALSE),"")</f>
        <v/>
      </c>
      <c r="M22" s="6" t="str">
        <f>IF($M$1&gt;=I22,IF(VLOOKUP(I22,Iktato!$B$3:$P$10000,15,FALSE)&lt;&gt;0,VLOOKUP(I22,Iktato!$B$3:$P$10000,15,FALSE),""),"")</f>
        <v/>
      </c>
      <c r="N22" s="6" t="str">
        <f>IF($M$1&gt;=I22,IF(VLOOKUP(I22,Iktato!$B$3:$Q$10000,16,FALSE)&lt;&gt;0,VLOOKUP(I22,Iktato!$B$3:$Q$10000,16,FALSE),""),"")</f>
        <v/>
      </c>
      <c r="P22" s="6" t="str">
        <f>TRIM(IF($M$1&gt;=I22,IF(VLOOKUP(I22,Iktato!$B$3:$L$10000,6,FALSE)&lt;&gt;0,VLOOKUP(I22,Iktato!$B$3:$L$10000,6,FALSE),""),""))</f>
        <v/>
      </c>
      <c r="Q22" s="8" t="str">
        <f>TRIM(IF($M$1&gt;=I22,IF(VLOOKUP(I22,Iktato!$B$3:$L$10000,7,FALSE)&lt;&gt;0,VLOOKUP(I22,Iktato!$B$3:$L$10000,7,FALSE),""),""))</f>
        <v/>
      </c>
      <c r="R22" s="6" t="str">
        <f t="shared" si="5"/>
        <v/>
      </c>
      <c r="S22" s="6" t="str">
        <f t="shared" si="6"/>
        <v/>
      </c>
      <c r="T22" s="6" t="str">
        <f t="shared" si="7"/>
        <v/>
      </c>
    </row>
    <row r="23" spans="1:20" ht="16.5" x14ac:dyDescent="0.25">
      <c r="A23" s="11" t="str">
        <f t="shared" si="0"/>
        <v/>
      </c>
      <c r="B23" s="12" t="str">
        <f>IF($M$1&gt;=I23,VLOOKUP(I23,Iktato!$B$3:$L$10000,5,FALSE),"")</f>
        <v/>
      </c>
      <c r="C23" s="13" t="str">
        <f t="shared" si="1"/>
        <v/>
      </c>
      <c r="D23" s="14" t="str">
        <f>TRIM(IF($M$1&gt;=I23,IF(VLOOKUP(I23,Iktato!$B$3:$L$10000,8,FALSE)&lt;&gt;0,VLOOKUP(I23,Iktato!$B$3:$L$10000,8,FALSE),""),""))</f>
        <v/>
      </c>
      <c r="E23" s="14" t="str">
        <f>TRIM(IF($M$1&gt;=I23,IF(VLOOKUP(I23,Iktato!$B$3:$L$10000,9,FALSE)&lt;&gt;0,VLOOKUP(I23,Iktato!$B$3:$L$10000,9,FALSE),""),""))</f>
        <v/>
      </c>
      <c r="F23" s="43" t="str">
        <f t="shared" si="2"/>
        <v/>
      </c>
      <c r="G23" s="43"/>
      <c r="I23" s="6">
        <f t="shared" si="3"/>
        <v>13</v>
      </c>
      <c r="J23" s="6" t="str">
        <f t="shared" si="4"/>
        <v/>
      </c>
      <c r="K23" s="6" t="str">
        <f>IF($M$1&gt;=I23,VLOOKUP(I23,Iktato!$B$3:$L$10000,3,FALSE),"")</f>
        <v/>
      </c>
      <c r="M23" s="6" t="str">
        <f>IF($M$1&gt;=I23,IF(VLOOKUP(I23,Iktato!$B$3:$P$10000,15,FALSE)&lt;&gt;0,VLOOKUP(I23,Iktato!$B$3:$P$10000,15,FALSE),""),"")</f>
        <v/>
      </c>
      <c r="N23" s="6" t="str">
        <f>IF($M$1&gt;=I23,IF(VLOOKUP(I23,Iktato!$B$3:$Q$10000,16,FALSE)&lt;&gt;0,VLOOKUP(I23,Iktato!$B$3:$Q$10000,16,FALSE),""),"")</f>
        <v/>
      </c>
      <c r="P23" s="6" t="str">
        <f>TRIM(IF($M$1&gt;=I23,IF(VLOOKUP(I23,Iktato!$B$3:$L$10000,6,FALSE)&lt;&gt;0,VLOOKUP(I23,Iktato!$B$3:$L$10000,6,FALSE),""),""))</f>
        <v/>
      </c>
      <c r="Q23" s="8" t="str">
        <f>TRIM(IF($M$1&gt;=I23,IF(VLOOKUP(I23,Iktato!$B$3:$L$10000,7,FALSE)&lt;&gt;0,VLOOKUP(I23,Iktato!$B$3:$L$10000,7,FALSE),""),""))</f>
        <v/>
      </c>
      <c r="R23" s="6" t="str">
        <f t="shared" si="5"/>
        <v/>
      </c>
      <c r="S23" s="6" t="str">
        <f t="shared" si="6"/>
        <v/>
      </c>
      <c r="T23" s="6" t="str">
        <f t="shared" si="7"/>
        <v/>
      </c>
    </row>
    <row r="24" spans="1:20" ht="16.5" x14ac:dyDescent="0.25">
      <c r="A24" s="11" t="str">
        <f t="shared" si="0"/>
        <v/>
      </c>
      <c r="B24" s="12" t="str">
        <f>IF($M$1&gt;=I24,VLOOKUP(I24,Iktato!$B$3:$L$10000,5,FALSE),"")</f>
        <v/>
      </c>
      <c r="C24" s="13" t="str">
        <f t="shared" si="1"/>
        <v/>
      </c>
      <c r="D24" s="14" t="str">
        <f>TRIM(IF($M$1&gt;=I24,IF(VLOOKUP(I24,Iktato!$B$3:$L$10000,8,FALSE)&lt;&gt;0,VLOOKUP(I24,Iktato!$B$3:$L$10000,8,FALSE),""),""))</f>
        <v/>
      </c>
      <c r="E24" s="14" t="str">
        <f>TRIM(IF($M$1&gt;=I24,IF(VLOOKUP(I24,Iktato!$B$3:$L$10000,9,FALSE)&lt;&gt;0,VLOOKUP(I24,Iktato!$B$3:$L$10000,9,FALSE),""),""))</f>
        <v/>
      </c>
      <c r="F24" s="43" t="str">
        <f t="shared" si="2"/>
        <v/>
      </c>
      <c r="G24" s="43"/>
      <c r="I24" s="6">
        <f t="shared" si="3"/>
        <v>14</v>
      </c>
      <c r="J24" s="6" t="str">
        <f t="shared" si="4"/>
        <v/>
      </c>
      <c r="K24" s="6" t="str">
        <f>IF($M$1&gt;=I24,VLOOKUP(I24,Iktato!$B$3:$L$10000,3,FALSE),"")</f>
        <v/>
      </c>
      <c r="M24" s="6" t="str">
        <f>IF($M$1&gt;=I24,IF(VLOOKUP(I24,Iktato!$B$3:$P$10000,15,FALSE)&lt;&gt;0,VLOOKUP(I24,Iktato!$B$3:$P$10000,15,FALSE),""),"")</f>
        <v/>
      </c>
      <c r="N24" s="6" t="str">
        <f>IF($M$1&gt;=I24,IF(VLOOKUP(I24,Iktato!$B$3:$Q$10000,16,FALSE)&lt;&gt;0,VLOOKUP(I24,Iktato!$B$3:$Q$10000,16,FALSE),""),"")</f>
        <v/>
      </c>
      <c r="P24" s="6" t="str">
        <f>TRIM(IF($M$1&gt;=I24,IF(VLOOKUP(I24,Iktato!$B$3:$L$10000,6,FALSE)&lt;&gt;0,VLOOKUP(I24,Iktato!$B$3:$L$10000,6,FALSE),""),""))</f>
        <v/>
      </c>
      <c r="Q24" s="8" t="str">
        <f>TRIM(IF($M$1&gt;=I24,IF(VLOOKUP(I24,Iktato!$B$3:$L$10000,7,FALSE)&lt;&gt;0,VLOOKUP(I24,Iktato!$B$3:$L$10000,7,FALSE),""),""))</f>
        <v/>
      </c>
      <c r="R24" s="6" t="str">
        <f t="shared" si="5"/>
        <v/>
      </c>
      <c r="S24" s="6" t="str">
        <f t="shared" si="6"/>
        <v/>
      </c>
      <c r="T24" s="6" t="str">
        <f t="shared" si="7"/>
        <v/>
      </c>
    </row>
    <row r="25" spans="1:20" ht="16.5" x14ac:dyDescent="0.25">
      <c r="A25" s="11" t="str">
        <f t="shared" si="0"/>
        <v/>
      </c>
      <c r="B25" s="12" t="str">
        <f>IF($M$1&gt;=I25,VLOOKUP(I25,Iktato!$B$3:$L$10000,5,FALSE),"")</f>
        <v/>
      </c>
      <c r="C25" s="13" t="str">
        <f t="shared" si="1"/>
        <v/>
      </c>
      <c r="D25" s="14" t="str">
        <f>TRIM(IF($M$1&gt;=I25,IF(VLOOKUP(I25,Iktato!$B$3:$L$10000,8,FALSE)&lt;&gt;0,VLOOKUP(I25,Iktato!$B$3:$L$10000,8,FALSE),""),""))</f>
        <v/>
      </c>
      <c r="E25" s="14" t="str">
        <f>TRIM(IF($M$1&gt;=I25,IF(VLOOKUP(I25,Iktato!$B$3:$L$10000,9,FALSE)&lt;&gt;0,VLOOKUP(I25,Iktato!$B$3:$L$10000,9,FALSE),""),""))</f>
        <v/>
      </c>
      <c r="F25" s="43" t="str">
        <f t="shared" si="2"/>
        <v/>
      </c>
      <c r="G25" s="43"/>
      <c r="I25" s="6">
        <f t="shared" si="3"/>
        <v>15</v>
      </c>
      <c r="J25" s="6" t="str">
        <f t="shared" si="4"/>
        <v/>
      </c>
      <c r="K25" s="6" t="str">
        <f>IF($M$1&gt;=I25,VLOOKUP(I25,Iktato!$B$3:$L$10000,3,FALSE),"")</f>
        <v/>
      </c>
      <c r="M25" s="6" t="str">
        <f>IF($M$1&gt;=I25,IF(VLOOKUP(I25,Iktato!$B$3:$P$10000,15,FALSE)&lt;&gt;0,VLOOKUP(I25,Iktato!$B$3:$P$10000,15,FALSE),""),"")</f>
        <v/>
      </c>
      <c r="N25" s="6" t="str">
        <f>IF($M$1&gt;=I25,IF(VLOOKUP(I25,Iktato!$B$3:$Q$10000,16,FALSE)&lt;&gt;0,VLOOKUP(I25,Iktato!$B$3:$Q$10000,16,FALSE),""),"")</f>
        <v/>
      </c>
      <c r="P25" s="6" t="str">
        <f>TRIM(IF($M$1&gt;=I25,IF(VLOOKUP(I25,Iktato!$B$3:$L$10000,6,FALSE)&lt;&gt;0,VLOOKUP(I25,Iktato!$B$3:$L$10000,6,FALSE),""),""))</f>
        <v/>
      </c>
      <c r="Q25" s="8" t="str">
        <f>TRIM(IF($M$1&gt;=I25,IF(VLOOKUP(I25,Iktato!$B$3:$L$10000,7,FALSE)&lt;&gt;0,VLOOKUP(I25,Iktato!$B$3:$L$10000,7,FALSE),""),""))</f>
        <v/>
      </c>
      <c r="R25" s="6" t="str">
        <f t="shared" si="5"/>
        <v/>
      </c>
      <c r="S25" s="6" t="str">
        <f t="shared" si="6"/>
        <v/>
      </c>
      <c r="T25" s="6" t="str">
        <f t="shared" si="7"/>
        <v/>
      </c>
    </row>
    <row r="26" spans="1:20" ht="16.5" x14ac:dyDescent="0.25">
      <c r="A26" s="11" t="str">
        <f t="shared" si="0"/>
        <v/>
      </c>
      <c r="B26" s="12" t="str">
        <f>IF($M$1&gt;=I26,VLOOKUP(I26,Iktato!$B$3:$L$10000,5,FALSE),"")</f>
        <v/>
      </c>
      <c r="C26" s="13" t="str">
        <f t="shared" si="1"/>
        <v/>
      </c>
      <c r="D26" s="14" t="str">
        <f>TRIM(IF($M$1&gt;=I26,IF(VLOOKUP(I26,Iktato!$B$3:$L$10000,8,FALSE)&lt;&gt;0,VLOOKUP(I26,Iktato!$B$3:$L$10000,8,FALSE),""),""))</f>
        <v/>
      </c>
      <c r="E26" s="14" t="str">
        <f>TRIM(IF($M$1&gt;=I26,IF(VLOOKUP(I26,Iktato!$B$3:$L$10000,9,FALSE)&lt;&gt;0,VLOOKUP(I26,Iktato!$B$3:$L$10000,9,FALSE),""),""))</f>
        <v/>
      </c>
      <c r="F26" s="43" t="str">
        <f t="shared" si="2"/>
        <v/>
      </c>
      <c r="G26" s="43"/>
      <c r="I26" s="6">
        <f t="shared" si="3"/>
        <v>16</v>
      </c>
      <c r="J26" s="6" t="str">
        <f t="shared" si="4"/>
        <v/>
      </c>
      <c r="K26" s="6" t="str">
        <f>IF($M$1&gt;=I26,VLOOKUP(I26,Iktato!$B$3:$L$10000,3,FALSE),"")</f>
        <v/>
      </c>
      <c r="M26" s="6" t="str">
        <f>IF($M$1&gt;=I26,IF(VLOOKUP(I26,Iktato!$B$3:$P$10000,15,FALSE)&lt;&gt;0,VLOOKUP(I26,Iktato!$B$3:$P$10000,15,FALSE),""),"")</f>
        <v/>
      </c>
      <c r="N26" s="6" t="str">
        <f>IF($M$1&gt;=I26,IF(VLOOKUP(I26,Iktato!$B$3:$Q$10000,16,FALSE)&lt;&gt;0,VLOOKUP(I26,Iktato!$B$3:$Q$10000,16,FALSE),""),"")</f>
        <v/>
      </c>
      <c r="P26" s="6" t="str">
        <f>TRIM(IF($M$1&gt;=I26,IF(VLOOKUP(I26,Iktato!$B$3:$L$10000,6,FALSE)&lt;&gt;0,VLOOKUP(I26,Iktato!$B$3:$L$10000,6,FALSE),""),""))</f>
        <v/>
      </c>
      <c r="Q26" s="8" t="str">
        <f>TRIM(IF($M$1&gt;=I26,IF(VLOOKUP(I26,Iktato!$B$3:$L$10000,7,FALSE)&lt;&gt;0,VLOOKUP(I26,Iktato!$B$3:$L$10000,7,FALSE),""),""))</f>
        <v/>
      </c>
      <c r="R26" s="6" t="str">
        <f t="shared" si="5"/>
        <v/>
      </c>
      <c r="S26" s="6" t="str">
        <f t="shared" si="6"/>
        <v/>
      </c>
      <c r="T26" s="6" t="str">
        <f t="shared" si="7"/>
        <v/>
      </c>
    </row>
    <row r="27" spans="1:20" ht="16.5" x14ac:dyDescent="0.25">
      <c r="A27" s="11" t="str">
        <f t="shared" si="0"/>
        <v/>
      </c>
      <c r="B27" s="12" t="str">
        <f>IF($M$1&gt;=I27,VLOOKUP(I27,Iktato!$B$3:$L$10000,5,FALSE),"")</f>
        <v/>
      </c>
      <c r="C27" s="13" t="str">
        <f t="shared" si="1"/>
        <v/>
      </c>
      <c r="D27" s="14" t="str">
        <f>TRIM(IF($M$1&gt;=I27,IF(VLOOKUP(I27,Iktato!$B$3:$L$10000,8,FALSE)&lt;&gt;0,VLOOKUP(I27,Iktato!$B$3:$L$10000,8,FALSE),""),""))</f>
        <v/>
      </c>
      <c r="E27" s="14" t="str">
        <f>TRIM(IF($M$1&gt;=I27,IF(VLOOKUP(I27,Iktato!$B$3:$L$10000,9,FALSE)&lt;&gt;0,VLOOKUP(I27,Iktato!$B$3:$L$10000,9,FALSE),""),""))</f>
        <v/>
      </c>
      <c r="F27" s="43" t="str">
        <f t="shared" si="2"/>
        <v/>
      </c>
      <c r="G27" s="43"/>
      <c r="I27" s="6">
        <f t="shared" si="3"/>
        <v>17</v>
      </c>
      <c r="J27" s="6" t="str">
        <f t="shared" si="4"/>
        <v/>
      </c>
      <c r="K27" s="6" t="str">
        <f>IF($M$1&gt;=I27,VLOOKUP(I27,Iktato!$B$3:$L$10000,3,FALSE),"")</f>
        <v/>
      </c>
      <c r="M27" s="6" t="str">
        <f>IF($M$1&gt;=I27,IF(VLOOKUP(I27,Iktato!$B$3:$P$10000,15,FALSE)&lt;&gt;0,VLOOKUP(I27,Iktato!$B$3:$P$10000,15,FALSE),""),"")</f>
        <v/>
      </c>
      <c r="N27" s="6" t="str">
        <f>IF($M$1&gt;=I27,IF(VLOOKUP(I27,Iktato!$B$3:$Q$10000,16,FALSE)&lt;&gt;0,VLOOKUP(I27,Iktato!$B$3:$Q$10000,16,FALSE),""),"")</f>
        <v/>
      </c>
      <c r="P27" s="6" t="str">
        <f>TRIM(IF($M$1&gt;=I27,IF(VLOOKUP(I27,Iktato!$B$3:$L$10000,6,FALSE)&lt;&gt;0,VLOOKUP(I27,Iktato!$B$3:$L$10000,6,FALSE),""),""))</f>
        <v/>
      </c>
      <c r="Q27" s="8" t="str">
        <f>TRIM(IF($M$1&gt;=I27,IF(VLOOKUP(I27,Iktato!$B$3:$L$10000,7,FALSE)&lt;&gt;0,VLOOKUP(I27,Iktato!$B$3:$L$10000,7,FALSE),""),""))</f>
        <v/>
      </c>
      <c r="R27" s="6" t="str">
        <f t="shared" si="5"/>
        <v/>
      </c>
      <c r="S27" s="6" t="str">
        <f t="shared" si="6"/>
        <v/>
      </c>
      <c r="T27" s="6" t="str">
        <f t="shared" si="7"/>
        <v/>
      </c>
    </row>
    <row r="28" spans="1:20" ht="16.5" x14ac:dyDescent="0.25">
      <c r="A28" s="11" t="str">
        <f t="shared" si="0"/>
        <v/>
      </c>
      <c r="B28" s="12" t="str">
        <f>IF($M$1&gt;=I28,VLOOKUP(I28,Iktato!$B$3:$L$10000,5,FALSE),"")</f>
        <v/>
      </c>
      <c r="C28" s="13" t="str">
        <f t="shared" si="1"/>
        <v/>
      </c>
      <c r="D28" s="14" t="str">
        <f>TRIM(IF($M$1&gt;=I28,IF(VLOOKUP(I28,Iktato!$B$3:$L$10000,8,FALSE)&lt;&gt;0,VLOOKUP(I28,Iktato!$B$3:$L$10000,8,FALSE),""),""))</f>
        <v/>
      </c>
      <c r="E28" s="14" t="str">
        <f>TRIM(IF($M$1&gt;=I28,IF(VLOOKUP(I28,Iktato!$B$3:$L$10000,9,FALSE)&lt;&gt;0,VLOOKUP(I28,Iktato!$B$3:$L$10000,9,FALSE),""),""))</f>
        <v/>
      </c>
      <c r="F28" s="43" t="str">
        <f t="shared" si="2"/>
        <v/>
      </c>
      <c r="G28" s="43"/>
      <c r="I28" s="6">
        <f t="shared" si="3"/>
        <v>18</v>
      </c>
      <c r="J28" s="6" t="str">
        <f t="shared" si="4"/>
        <v/>
      </c>
      <c r="K28" s="6" t="str">
        <f>IF($M$1&gt;=I28,VLOOKUP(I28,Iktato!$B$3:$L$10000,3,FALSE),"")</f>
        <v/>
      </c>
      <c r="M28" s="6" t="str">
        <f>IF($M$1&gt;=I28,IF(VLOOKUP(I28,Iktato!$B$3:$P$10000,15,FALSE)&lt;&gt;0,VLOOKUP(I28,Iktato!$B$3:$P$10000,15,FALSE),""),"")</f>
        <v/>
      </c>
      <c r="N28" s="6" t="str">
        <f>IF($M$1&gt;=I28,IF(VLOOKUP(I28,Iktato!$B$3:$Q$10000,16,FALSE)&lt;&gt;0,VLOOKUP(I28,Iktato!$B$3:$Q$10000,16,FALSE),""),"")</f>
        <v/>
      </c>
      <c r="P28" s="6" t="str">
        <f>TRIM(IF($M$1&gt;=I28,IF(VLOOKUP(I28,Iktato!$B$3:$L$10000,6,FALSE)&lt;&gt;0,VLOOKUP(I28,Iktato!$B$3:$L$10000,6,FALSE),""),""))</f>
        <v/>
      </c>
      <c r="Q28" s="8" t="str">
        <f>TRIM(IF($M$1&gt;=I28,IF(VLOOKUP(I28,Iktato!$B$3:$L$10000,7,FALSE)&lt;&gt;0,VLOOKUP(I28,Iktato!$B$3:$L$10000,7,FALSE),""),""))</f>
        <v/>
      </c>
      <c r="R28" s="6" t="str">
        <f t="shared" si="5"/>
        <v/>
      </c>
      <c r="S28" s="6" t="str">
        <f t="shared" si="6"/>
        <v/>
      </c>
      <c r="T28" s="6" t="str">
        <f t="shared" si="7"/>
        <v/>
      </c>
    </row>
    <row r="29" spans="1:20" ht="16.5" x14ac:dyDescent="0.25">
      <c r="A29" s="11" t="str">
        <f t="shared" si="0"/>
        <v/>
      </c>
      <c r="B29" s="12" t="str">
        <f>IF($M$1&gt;=I29,VLOOKUP(I29,Iktato!$B$3:$L$10000,5,FALSE),"")</f>
        <v/>
      </c>
      <c r="C29" s="13" t="str">
        <f t="shared" si="1"/>
        <v/>
      </c>
      <c r="D29" s="14" t="str">
        <f>TRIM(IF($M$1&gt;=I29,IF(VLOOKUP(I29,Iktato!$B$3:$L$10000,8,FALSE)&lt;&gt;0,VLOOKUP(I29,Iktato!$B$3:$L$10000,8,FALSE),""),""))</f>
        <v/>
      </c>
      <c r="E29" s="14" t="str">
        <f>TRIM(IF($M$1&gt;=I29,IF(VLOOKUP(I29,Iktato!$B$3:$L$10000,9,FALSE)&lt;&gt;0,VLOOKUP(I29,Iktato!$B$3:$L$10000,9,FALSE),""),""))</f>
        <v/>
      </c>
      <c r="F29" s="43" t="str">
        <f t="shared" si="2"/>
        <v/>
      </c>
      <c r="G29" s="43"/>
      <c r="I29" s="6">
        <f t="shared" si="3"/>
        <v>19</v>
      </c>
      <c r="J29" s="6" t="str">
        <f t="shared" si="4"/>
        <v/>
      </c>
      <c r="K29" s="6" t="str">
        <f>IF($M$1&gt;=I29,VLOOKUP(I29,Iktato!$B$3:$L$10000,3,FALSE),"")</f>
        <v/>
      </c>
      <c r="M29" s="6" t="str">
        <f>IF($M$1&gt;=I29,IF(VLOOKUP(I29,Iktato!$B$3:$P$10000,15,FALSE)&lt;&gt;0,VLOOKUP(I29,Iktato!$B$3:$P$10000,15,FALSE),""),"")</f>
        <v/>
      </c>
      <c r="N29" s="6" t="str">
        <f>IF($M$1&gt;=I29,IF(VLOOKUP(I29,Iktato!$B$3:$Q$10000,16,FALSE)&lt;&gt;0,VLOOKUP(I29,Iktato!$B$3:$Q$10000,16,FALSE),""),"")</f>
        <v/>
      </c>
      <c r="P29" s="6" t="str">
        <f>TRIM(IF($M$1&gt;=I29,IF(VLOOKUP(I29,Iktato!$B$3:$L$10000,6,FALSE)&lt;&gt;0,VLOOKUP(I29,Iktato!$B$3:$L$10000,6,FALSE),""),""))</f>
        <v/>
      </c>
      <c r="Q29" s="8" t="str">
        <f>TRIM(IF($M$1&gt;=I29,IF(VLOOKUP(I29,Iktato!$B$3:$L$10000,7,FALSE)&lt;&gt;0,VLOOKUP(I29,Iktato!$B$3:$L$10000,7,FALSE),""),""))</f>
        <v/>
      </c>
      <c r="R29" s="6" t="str">
        <f t="shared" si="5"/>
        <v/>
      </c>
      <c r="S29" s="6" t="str">
        <f t="shared" si="6"/>
        <v/>
      </c>
      <c r="T29" s="6" t="str">
        <f t="shared" si="7"/>
        <v/>
      </c>
    </row>
    <row r="30" spans="1:20" ht="16.5" x14ac:dyDescent="0.25">
      <c r="A30" s="11" t="str">
        <f t="shared" si="0"/>
        <v/>
      </c>
      <c r="B30" s="12" t="str">
        <f>IF($M$1&gt;=I30,VLOOKUP(I30,Iktato!$B$3:$L$10000,5,FALSE),"")</f>
        <v/>
      </c>
      <c r="C30" s="13" t="str">
        <f t="shared" si="1"/>
        <v/>
      </c>
      <c r="D30" s="14" t="str">
        <f>TRIM(IF($M$1&gt;=I30,IF(VLOOKUP(I30,Iktato!$B$3:$L$10000,8,FALSE)&lt;&gt;0,VLOOKUP(I30,Iktato!$B$3:$L$10000,8,FALSE),""),""))</f>
        <v/>
      </c>
      <c r="E30" s="14" t="str">
        <f>TRIM(IF($M$1&gt;=I30,IF(VLOOKUP(I30,Iktato!$B$3:$L$10000,9,FALSE)&lt;&gt;0,VLOOKUP(I30,Iktato!$B$3:$L$10000,9,FALSE),""),""))</f>
        <v/>
      </c>
      <c r="F30" s="43" t="str">
        <f t="shared" si="2"/>
        <v/>
      </c>
      <c r="G30" s="43"/>
      <c r="I30" s="6">
        <f t="shared" si="3"/>
        <v>20</v>
      </c>
      <c r="J30" s="6" t="str">
        <f t="shared" si="4"/>
        <v/>
      </c>
      <c r="K30" s="6" t="str">
        <f>IF($M$1&gt;=I30,VLOOKUP(I30,Iktato!$B$3:$L$10000,3,FALSE),"")</f>
        <v/>
      </c>
      <c r="M30" s="6" t="str">
        <f>IF($M$1&gt;=I30,IF(VLOOKUP(I30,Iktato!$B$3:$P$10000,15,FALSE)&lt;&gt;0,VLOOKUP(I30,Iktato!$B$3:$P$10000,15,FALSE),""),"")</f>
        <v/>
      </c>
      <c r="N30" s="6" t="str">
        <f>IF($M$1&gt;=I30,IF(VLOOKUP(I30,Iktato!$B$3:$Q$10000,16,FALSE)&lt;&gt;0,VLOOKUP(I30,Iktato!$B$3:$Q$10000,16,FALSE),""),"")</f>
        <v/>
      </c>
      <c r="P30" s="6" t="str">
        <f>TRIM(IF($M$1&gt;=I30,IF(VLOOKUP(I30,Iktato!$B$3:$L$10000,6,FALSE)&lt;&gt;0,VLOOKUP(I30,Iktato!$B$3:$L$10000,6,FALSE),""),""))</f>
        <v/>
      </c>
      <c r="Q30" s="8" t="str">
        <f>TRIM(IF($M$1&gt;=I30,IF(VLOOKUP(I30,Iktato!$B$3:$L$10000,7,FALSE)&lt;&gt;0,VLOOKUP(I30,Iktato!$B$3:$L$10000,7,FALSE),""),""))</f>
        <v/>
      </c>
      <c r="R30" s="6" t="str">
        <f t="shared" si="5"/>
        <v/>
      </c>
      <c r="S30" s="6" t="str">
        <f t="shared" si="6"/>
        <v/>
      </c>
      <c r="T30" s="6" t="str">
        <f t="shared" si="7"/>
        <v/>
      </c>
    </row>
    <row r="31" spans="1:20" ht="16.5" x14ac:dyDescent="0.25">
      <c r="A31" s="11" t="str">
        <f t="shared" si="0"/>
        <v/>
      </c>
      <c r="B31" s="12" t="str">
        <f>IF($M$1&gt;=I31,VLOOKUP(I31,Iktato!$B$3:$L$10000,5,FALSE),"")</f>
        <v/>
      </c>
      <c r="C31" s="13" t="str">
        <f t="shared" si="1"/>
        <v/>
      </c>
      <c r="D31" s="14" t="str">
        <f>TRIM(IF($M$1&gt;=I31,IF(VLOOKUP(I31,Iktato!$B$3:$L$10000,8,FALSE)&lt;&gt;0,VLOOKUP(I31,Iktato!$B$3:$L$10000,8,FALSE),""),""))</f>
        <v/>
      </c>
      <c r="E31" s="14" t="str">
        <f>TRIM(IF($M$1&gt;=I31,IF(VLOOKUP(I31,Iktato!$B$3:$L$10000,9,FALSE)&lt;&gt;0,VLOOKUP(I31,Iktato!$B$3:$L$10000,9,FALSE),""),""))</f>
        <v/>
      </c>
      <c r="F31" s="43" t="str">
        <f t="shared" si="2"/>
        <v/>
      </c>
      <c r="G31" s="43"/>
      <c r="I31" s="6">
        <f t="shared" si="3"/>
        <v>21</v>
      </c>
      <c r="J31" s="6" t="str">
        <f t="shared" si="4"/>
        <v/>
      </c>
      <c r="K31" s="6" t="str">
        <f>IF($M$1&gt;=I31,VLOOKUP(I31,Iktato!$B$3:$L$10000,3,FALSE),"")</f>
        <v/>
      </c>
      <c r="M31" s="6" t="str">
        <f>IF($M$1&gt;=I31,IF(VLOOKUP(I31,Iktato!$B$3:$P$10000,15,FALSE)&lt;&gt;0,VLOOKUP(I31,Iktato!$B$3:$P$10000,15,FALSE),""),"")</f>
        <v/>
      </c>
      <c r="N31" s="6" t="str">
        <f>IF($M$1&gt;=I31,IF(VLOOKUP(I31,Iktato!$B$3:$Q$10000,16,FALSE)&lt;&gt;0,VLOOKUP(I31,Iktato!$B$3:$Q$10000,16,FALSE),""),"")</f>
        <v/>
      </c>
      <c r="P31" s="6" t="str">
        <f>TRIM(IF($M$1&gt;=I31,IF(VLOOKUP(I31,Iktato!$B$3:$L$10000,6,FALSE)&lt;&gt;0,VLOOKUP(I31,Iktato!$B$3:$L$10000,6,FALSE),""),""))</f>
        <v/>
      </c>
      <c r="Q31" s="8" t="str">
        <f>TRIM(IF($M$1&gt;=I31,IF(VLOOKUP(I31,Iktato!$B$3:$L$10000,7,FALSE)&lt;&gt;0,VLOOKUP(I31,Iktato!$B$3:$L$10000,7,FALSE),""),""))</f>
        <v/>
      </c>
      <c r="R31" s="6" t="str">
        <f t="shared" si="5"/>
        <v/>
      </c>
      <c r="S31" s="6" t="str">
        <f t="shared" si="6"/>
        <v/>
      </c>
      <c r="T31" s="6" t="str">
        <f t="shared" si="7"/>
        <v/>
      </c>
    </row>
    <row r="32" spans="1:20" ht="16.5" x14ac:dyDescent="0.25">
      <c r="A32" s="11" t="str">
        <f t="shared" si="0"/>
        <v/>
      </c>
      <c r="B32" s="12" t="str">
        <f>IF($M$1&gt;=I32,VLOOKUP(I32,Iktato!$B$3:$L$10000,5,FALSE),"")</f>
        <v/>
      </c>
      <c r="C32" s="13" t="str">
        <f t="shared" si="1"/>
        <v/>
      </c>
      <c r="D32" s="14" t="str">
        <f>TRIM(IF($M$1&gt;=I32,IF(VLOOKUP(I32,Iktato!$B$3:$L$10000,8,FALSE)&lt;&gt;0,VLOOKUP(I32,Iktato!$B$3:$L$10000,8,FALSE),""),""))</f>
        <v/>
      </c>
      <c r="E32" s="14" t="str">
        <f>TRIM(IF($M$1&gt;=I32,IF(VLOOKUP(I32,Iktato!$B$3:$L$10000,9,FALSE)&lt;&gt;0,VLOOKUP(I32,Iktato!$B$3:$L$10000,9,FALSE),""),""))</f>
        <v/>
      </c>
      <c r="F32" s="43" t="str">
        <f t="shared" si="2"/>
        <v/>
      </c>
      <c r="G32" s="43"/>
      <c r="I32" s="6">
        <f t="shared" si="3"/>
        <v>22</v>
      </c>
      <c r="J32" s="6" t="str">
        <f t="shared" si="4"/>
        <v/>
      </c>
      <c r="K32" s="6" t="str">
        <f>IF($M$1&gt;=I32,VLOOKUP(I32,Iktato!$B$3:$L$10000,3,FALSE),"")</f>
        <v/>
      </c>
      <c r="M32" s="6" t="str">
        <f>IF($M$1&gt;=I32,IF(VLOOKUP(I32,Iktato!$B$3:$P$10000,15,FALSE)&lt;&gt;0,VLOOKUP(I32,Iktato!$B$3:$P$10000,15,FALSE),""),"")</f>
        <v/>
      </c>
      <c r="N32" s="6" t="str">
        <f>IF($M$1&gt;=I32,IF(VLOOKUP(I32,Iktato!$B$3:$Q$10000,16,FALSE)&lt;&gt;0,VLOOKUP(I32,Iktato!$B$3:$Q$10000,16,FALSE),""),"")</f>
        <v/>
      </c>
      <c r="P32" s="6" t="str">
        <f>TRIM(IF($M$1&gt;=I32,IF(VLOOKUP(I32,Iktato!$B$3:$L$10000,6,FALSE)&lt;&gt;0,VLOOKUP(I32,Iktato!$B$3:$L$10000,6,FALSE),""),""))</f>
        <v/>
      </c>
      <c r="Q32" s="8" t="str">
        <f>TRIM(IF($M$1&gt;=I32,IF(VLOOKUP(I32,Iktato!$B$3:$L$10000,7,FALSE)&lt;&gt;0,VLOOKUP(I32,Iktato!$B$3:$L$10000,7,FALSE),""),""))</f>
        <v/>
      </c>
      <c r="R32" s="6" t="str">
        <f t="shared" si="5"/>
        <v/>
      </c>
      <c r="S32" s="6" t="str">
        <f t="shared" si="6"/>
        <v/>
      </c>
      <c r="T32" s="6" t="str">
        <f t="shared" si="7"/>
        <v/>
      </c>
    </row>
    <row r="33" spans="1:20" ht="16.5" x14ac:dyDescent="0.25">
      <c r="A33" s="11" t="str">
        <f t="shared" si="0"/>
        <v/>
      </c>
      <c r="B33" s="12" t="str">
        <f>IF($M$1&gt;=I33,VLOOKUP(I33,Iktato!$B$3:$L$10000,5,FALSE),"")</f>
        <v/>
      </c>
      <c r="C33" s="13" t="str">
        <f t="shared" si="1"/>
        <v/>
      </c>
      <c r="D33" s="14" t="str">
        <f>TRIM(IF($M$1&gt;=I33,IF(VLOOKUP(I33,Iktato!$B$3:$L$10000,8,FALSE)&lt;&gt;0,VLOOKUP(I33,Iktato!$B$3:$L$10000,8,FALSE),""),""))</f>
        <v/>
      </c>
      <c r="E33" s="14" t="str">
        <f>TRIM(IF($M$1&gt;=I33,IF(VLOOKUP(I33,Iktato!$B$3:$L$10000,9,FALSE)&lt;&gt;0,VLOOKUP(I33,Iktato!$B$3:$L$10000,9,FALSE),""),""))</f>
        <v/>
      </c>
      <c r="F33" s="43" t="str">
        <f t="shared" si="2"/>
        <v/>
      </c>
      <c r="G33" s="43"/>
      <c r="I33" s="6">
        <f t="shared" si="3"/>
        <v>23</v>
      </c>
      <c r="J33" s="6" t="str">
        <f t="shared" si="4"/>
        <v/>
      </c>
      <c r="K33" s="6" t="str">
        <f>IF($M$1&gt;=I33,VLOOKUP(I33,Iktato!$B$3:$L$10000,3,FALSE),"")</f>
        <v/>
      </c>
      <c r="M33" s="6" t="str">
        <f>IF($M$1&gt;=I33,IF(VLOOKUP(I33,Iktato!$B$3:$P$10000,15,FALSE)&lt;&gt;0,VLOOKUP(I33,Iktato!$B$3:$P$10000,15,FALSE),""),"")</f>
        <v/>
      </c>
      <c r="N33" s="6" t="str">
        <f>IF($M$1&gt;=I33,IF(VLOOKUP(I33,Iktato!$B$3:$Q$10000,16,FALSE)&lt;&gt;0,VLOOKUP(I33,Iktato!$B$3:$Q$10000,16,FALSE),""),"")</f>
        <v/>
      </c>
      <c r="P33" s="6" t="str">
        <f>TRIM(IF($M$1&gt;=I33,IF(VLOOKUP(I33,Iktato!$B$3:$L$10000,6,FALSE)&lt;&gt;0,VLOOKUP(I33,Iktato!$B$3:$L$10000,6,FALSE),""),""))</f>
        <v/>
      </c>
      <c r="Q33" s="8" t="str">
        <f>TRIM(IF($M$1&gt;=I33,IF(VLOOKUP(I33,Iktato!$B$3:$L$10000,7,FALSE)&lt;&gt;0,VLOOKUP(I33,Iktato!$B$3:$L$10000,7,FALSE),""),""))</f>
        <v/>
      </c>
      <c r="R33" s="6" t="str">
        <f t="shared" si="5"/>
        <v/>
      </c>
      <c r="S33" s="6" t="str">
        <f t="shared" si="6"/>
        <v/>
      </c>
      <c r="T33" s="6" t="str">
        <f t="shared" si="7"/>
        <v/>
      </c>
    </row>
    <row r="34" spans="1:20" ht="16.5" x14ac:dyDescent="0.25">
      <c r="A34" s="11" t="str">
        <f t="shared" si="0"/>
        <v/>
      </c>
      <c r="B34" s="12" t="str">
        <f>IF($M$1&gt;=I34,VLOOKUP(I34,Iktato!$B$3:$L$10000,5,FALSE),"")</f>
        <v/>
      </c>
      <c r="C34" s="13" t="str">
        <f t="shared" si="1"/>
        <v/>
      </c>
      <c r="D34" s="14" t="str">
        <f>TRIM(IF($M$1&gt;=I34,IF(VLOOKUP(I34,Iktato!$B$3:$L$10000,8,FALSE)&lt;&gt;0,VLOOKUP(I34,Iktato!$B$3:$L$10000,8,FALSE),""),""))</f>
        <v/>
      </c>
      <c r="E34" s="14" t="str">
        <f>TRIM(IF($M$1&gt;=I34,IF(VLOOKUP(I34,Iktato!$B$3:$L$10000,9,FALSE)&lt;&gt;0,VLOOKUP(I34,Iktato!$B$3:$L$10000,9,FALSE),""),""))</f>
        <v/>
      </c>
      <c r="F34" s="43" t="str">
        <f t="shared" si="2"/>
        <v/>
      </c>
      <c r="G34" s="43"/>
      <c r="I34" s="6">
        <f t="shared" si="3"/>
        <v>24</v>
      </c>
      <c r="J34" s="6" t="str">
        <f t="shared" si="4"/>
        <v/>
      </c>
      <c r="K34" s="6" t="str">
        <f>IF($M$1&gt;=I34,VLOOKUP(I34,Iktato!$B$3:$L$10000,3,FALSE),"")</f>
        <v/>
      </c>
      <c r="M34" s="6" t="str">
        <f>IF($M$1&gt;=I34,IF(VLOOKUP(I34,Iktato!$B$3:$P$10000,15,FALSE)&lt;&gt;0,VLOOKUP(I34,Iktato!$B$3:$P$10000,15,FALSE),""),"")</f>
        <v/>
      </c>
      <c r="N34" s="6" t="str">
        <f>IF($M$1&gt;=I34,IF(VLOOKUP(I34,Iktato!$B$3:$Q$10000,16,FALSE)&lt;&gt;0,VLOOKUP(I34,Iktato!$B$3:$Q$10000,16,FALSE),""),"")</f>
        <v/>
      </c>
      <c r="P34" s="6" t="str">
        <f>TRIM(IF($M$1&gt;=I34,IF(VLOOKUP(I34,Iktato!$B$3:$L$10000,6,FALSE)&lt;&gt;0,VLOOKUP(I34,Iktato!$B$3:$L$10000,6,FALSE),""),""))</f>
        <v/>
      </c>
      <c r="Q34" s="8" t="str">
        <f>TRIM(IF($M$1&gt;=I34,IF(VLOOKUP(I34,Iktato!$B$3:$L$10000,7,FALSE)&lt;&gt;0,VLOOKUP(I34,Iktato!$B$3:$L$10000,7,FALSE),""),""))</f>
        <v/>
      </c>
      <c r="R34" s="6" t="str">
        <f t="shared" si="5"/>
        <v/>
      </c>
      <c r="S34" s="6" t="str">
        <f t="shared" si="6"/>
        <v/>
      </c>
      <c r="T34" s="6" t="str">
        <f t="shared" si="7"/>
        <v/>
      </c>
    </row>
    <row r="35" spans="1:20" ht="16.5" x14ac:dyDescent="0.25">
      <c r="A35" s="11" t="str">
        <f t="shared" si="0"/>
        <v/>
      </c>
      <c r="B35" s="12" t="str">
        <f>IF($M$1&gt;=I35,VLOOKUP(I35,Iktato!$B$3:$L$10000,5,FALSE),"")</f>
        <v/>
      </c>
      <c r="C35" s="13" t="str">
        <f t="shared" si="1"/>
        <v/>
      </c>
      <c r="D35" s="14" t="str">
        <f>TRIM(IF($M$1&gt;=I35,IF(VLOOKUP(I35,Iktato!$B$3:$L$10000,8,FALSE)&lt;&gt;0,VLOOKUP(I35,Iktato!$B$3:$L$10000,8,FALSE),""),""))</f>
        <v/>
      </c>
      <c r="E35" s="14" t="str">
        <f>TRIM(IF($M$1&gt;=I35,IF(VLOOKUP(I35,Iktato!$B$3:$L$10000,9,FALSE)&lt;&gt;0,VLOOKUP(I35,Iktato!$B$3:$L$10000,9,FALSE),""),""))</f>
        <v/>
      </c>
      <c r="F35" s="43" t="str">
        <f t="shared" si="2"/>
        <v/>
      </c>
      <c r="G35" s="43"/>
      <c r="I35" s="6">
        <f t="shared" si="3"/>
        <v>25</v>
      </c>
      <c r="J35" s="6" t="str">
        <f t="shared" si="4"/>
        <v/>
      </c>
      <c r="K35" s="6" t="str">
        <f>IF($M$1&gt;=I35,VLOOKUP(I35,Iktato!$B$3:$L$10000,3,FALSE),"")</f>
        <v/>
      </c>
      <c r="M35" s="6" t="str">
        <f>IF($M$1&gt;=I35,IF(VLOOKUP(I35,Iktato!$B$3:$P$10000,15,FALSE)&lt;&gt;0,VLOOKUP(I35,Iktato!$B$3:$P$10000,15,FALSE),""),"")</f>
        <v/>
      </c>
      <c r="N35" s="6" t="str">
        <f>IF($M$1&gt;=I35,IF(VLOOKUP(I35,Iktato!$B$3:$Q$10000,16,FALSE)&lt;&gt;0,VLOOKUP(I35,Iktato!$B$3:$Q$10000,16,FALSE),""),"")</f>
        <v/>
      </c>
      <c r="P35" s="6" t="str">
        <f>TRIM(IF($M$1&gt;=I35,IF(VLOOKUP(I35,Iktato!$B$3:$L$10000,6,FALSE)&lt;&gt;0,VLOOKUP(I35,Iktato!$B$3:$L$10000,6,FALSE),""),""))</f>
        <v/>
      </c>
      <c r="Q35" s="8" t="str">
        <f>TRIM(IF($M$1&gt;=I35,IF(VLOOKUP(I35,Iktato!$B$3:$L$10000,7,FALSE)&lt;&gt;0,VLOOKUP(I35,Iktato!$B$3:$L$10000,7,FALSE),""),""))</f>
        <v/>
      </c>
      <c r="R35" s="6" t="str">
        <f t="shared" si="5"/>
        <v/>
      </c>
      <c r="S35" s="6" t="str">
        <f t="shared" si="6"/>
        <v/>
      </c>
      <c r="T35" s="6" t="str">
        <f t="shared" si="7"/>
        <v/>
      </c>
    </row>
    <row r="36" spans="1:20" ht="16.5" x14ac:dyDescent="0.25">
      <c r="A36" s="11" t="str">
        <f t="shared" si="0"/>
        <v/>
      </c>
      <c r="B36" s="12" t="str">
        <f>IF($M$1&gt;=I36,VLOOKUP(I36,Iktato!$B$3:$L$10000,5,FALSE),"")</f>
        <v/>
      </c>
      <c r="C36" s="13" t="str">
        <f t="shared" si="1"/>
        <v/>
      </c>
      <c r="D36" s="14" t="str">
        <f>TRIM(IF($M$1&gt;=I36,IF(VLOOKUP(I36,Iktato!$B$3:$L$10000,8,FALSE)&lt;&gt;0,VLOOKUP(I36,Iktato!$B$3:$L$10000,8,FALSE),""),""))</f>
        <v/>
      </c>
      <c r="E36" s="14" t="str">
        <f>TRIM(IF($M$1&gt;=I36,IF(VLOOKUP(I36,Iktato!$B$3:$L$10000,9,FALSE)&lt;&gt;0,VLOOKUP(I36,Iktato!$B$3:$L$10000,9,FALSE),""),""))</f>
        <v/>
      </c>
      <c r="F36" s="43" t="str">
        <f t="shared" si="2"/>
        <v/>
      </c>
      <c r="G36" s="43"/>
      <c r="I36" s="6">
        <f t="shared" si="3"/>
        <v>26</v>
      </c>
      <c r="J36" s="6" t="str">
        <f t="shared" si="4"/>
        <v/>
      </c>
      <c r="K36" s="6" t="str">
        <f>IF($M$1&gt;=I36,VLOOKUP(I36,Iktato!$B$3:$L$10000,3,FALSE),"")</f>
        <v/>
      </c>
      <c r="M36" s="6" t="str">
        <f>IF($M$1&gt;=I36,IF(VLOOKUP(I36,Iktato!$B$3:$P$10000,15,FALSE)&lt;&gt;0,VLOOKUP(I36,Iktato!$B$3:$P$10000,15,FALSE),""),"")</f>
        <v/>
      </c>
      <c r="N36" s="6" t="str">
        <f>IF($M$1&gt;=I36,IF(VLOOKUP(I36,Iktato!$B$3:$Q$10000,16,FALSE)&lt;&gt;0,VLOOKUP(I36,Iktato!$B$3:$Q$10000,16,FALSE),""),"")</f>
        <v/>
      </c>
      <c r="P36" s="6" t="str">
        <f>TRIM(IF($M$1&gt;=I36,IF(VLOOKUP(I36,Iktato!$B$3:$L$10000,6,FALSE)&lt;&gt;0,VLOOKUP(I36,Iktato!$B$3:$L$10000,6,FALSE),""),""))</f>
        <v/>
      </c>
      <c r="Q36" s="8" t="str">
        <f>TRIM(IF($M$1&gt;=I36,IF(VLOOKUP(I36,Iktato!$B$3:$L$10000,7,FALSE)&lt;&gt;0,VLOOKUP(I36,Iktato!$B$3:$L$10000,7,FALSE),""),""))</f>
        <v/>
      </c>
      <c r="R36" s="6" t="str">
        <f t="shared" si="5"/>
        <v/>
      </c>
      <c r="S36" s="6" t="str">
        <f t="shared" si="6"/>
        <v/>
      </c>
      <c r="T36" s="6" t="str">
        <f t="shared" si="7"/>
        <v/>
      </c>
    </row>
    <row r="37" spans="1:20" ht="16.5" x14ac:dyDescent="0.25">
      <c r="A37" s="11" t="str">
        <f t="shared" si="0"/>
        <v/>
      </c>
      <c r="B37" s="12" t="str">
        <f>IF($M$1&gt;=I37,VLOOKUP(I37,Iktato!$B$3:$L$10000,5,FALSE),"")</f>
        <v/>
      </c>
      <c r="C37" s="13" t="str">
        <f t="shared" si="1"/>
        <v/>
      </c>
      <c r="D37" s="14" t="str">
        <f>TRIM(IF($M$1&gt;=I37,IF(VLOOKUP(I37,Iktato!$B$3:$L$10000,8,FALSE)&lt;&gt;0,VLOOKUP(I37,Iktato!$B$3:$L$10000,8,FALSE),""),""))</f>
        <v/>
      </c>
      <c r="E37" s="14" t="str">
        <f>TRIM(IF($M$1&gt;=I37,IF(VLOOKUP(I37,Iktato!$B$3:$L$10000,9,FALSE)&lt;&gt;0,VLOOKUP(I37,Iktato!$B$3:$L$10000,9,FALSE),""),""))</f>
        <v/>
      </c>
      <c r="F37" s="43" t="str">
        <f t="shared" si="2"/>
        <v/>
      </c>
      <c r="G37" s="43"/>
      <c r="I37" s="6">
        <f t="shared" si="3"/>
        <v>27</v>
      </c>
      <c r="J37" s="6" t="str">
        <f t="shared" si="4"/>
        <v/>
      </c>
      <c r="K37" s="6" t="str">
        <f>IF($M$1&gt;=I37,VLOOKUP(I37,Iktato!$B$3:$L$10000,3,FALSE),"")</f>
        <v/>
      </c>
      <c r="M37" s="6" t="str">
        <f>IF($M$1&gt;=I37,IF(VLOOKUP(I37,Iktato!$B$3:$P$10000,15,FALSE)&lt;&gt;0,VLOOKUP(I37,Iktato!$B$3:$P$10000,15,FALSE),""),"")</f>
        <v/>
      </c>
      <c r="N37" s="6" t="str">
        <f>IF($M$1&gt;=I37,IF(VLOOKUP(I37,Iktato!$B$3:$Q$10000,16,FALSE)&lt;&gt;0,VLOOKUP(I37,Iktato!$B$3:$Q$10000,16,FALSE),""),"")</f>
        <v/>
      </c>
      <c r="P37" s="6" t="str">
        <f>TRIM(IF($M$1&gt;=I37,IF(VLOOKUP(I37,Iktato!$B$3:$L$10000,6,FALSE)&lt;&gt;0,VLOOKUP(I37,Iktato!$B$3:$L$10000,6,FALSE),""),""))</f>
        <v/>
      </c>
      <c r="Q37" s="8" t="str">
        <f>TRIM(IF($M$1&gt;=I37,IF(VLOOKUP(I37,Iktato!$B$3:$L$10000,7,FALSE)&lt;&gt;0,VLOOKUP(I37,Iktato!$B$3:$L$10000,7,FALSE),""),""))</f>
        <v/>
      </c>
      <c r="R37" s="6" t="str">
        <f t="shared" si="5"/>
        <v/>
      </c>
      <c r="S37" s="6" t="str">
        <f t="shared" si="6"/>
        <v/>
      </c>
      <c r="T37" s="6" t="str">
        <f t="shared" si="7"/>
        <v/>
      </c>
    </row>
    <row r="38" spans="1:20" ht="16.5" x14ac:dyDescent="0.25">
      <c r="A38" s="11" t="str">
        <f t="shared" si="0"/>
        <v/>
      </c>
      <c r="B38" s="12" t="str">
        <f>IF($M$1&gt;=I38,VLOOKUP(I38,Iktato!$B$3:$L$10000,5,FALSE),"")</f>
        <v/>
      </c>
      <c r="C38" s="13" t="str">
        <f t="shared" si="1"/>
        <v/>
      </c>
      <c r="D38" s="14" t="str">
        <f>TRIM(IF($M$1&gt;=I38,IF(VLOOKUP(I38,Iktato!$B$3:$L$10000,8,FALSE)&lt;&gt;0,VLOOKUP(I38,Iktato!$B$3:$L$10000,8,FALSE),""),""))</f>
        <v/>
      </c>
      <c r="E38" s="14" t="str">
        <f>TRIM(IF($M$1&gt;=I38,IF(VLOOKUP(I38,Iktato!$B$3:$L$10000,9,FALSE)&lt;&gt;0,VLOOKUP(I38,Iktato!$B$3:$L$10000,9,FALSE),""),""))</f>
        <v/>
      </c>
      <c r="F38" s="43" t="str">
        <f t="shared" si="2"/>
        <v/>
      </c>
      <c r="G38" s="43"/>
      <c r="I38" s="6">
        <f t="shared" si="3"/>
        <v>28</v>
      </c>
      <c r="J38" s="6" t="str">
        <f t="shared" si="4"/>
        <v/>
      </c>
      <c r="K38" s="6" t="str">
        <f>IF($M$1&gt;=I38,VLOOKUP(I38,Iktato!$B$3:$L$10000,3,FALSE),"")</f>
        <v/>
      </c>
      <c r="M38" s="6" t="str">
        <f>IF($M$1&gt;=I38,IF(VLOOKUP(I38,Iktato!$B$3:$P$10000,15,FALSE)&lt;&gt;0,VLOOKUP(I38,Iktato!$B$3:$P$10000,15,FALSE),""),"")</f>
        <v/>
      </c>
      <c r="N38" s="6" t="str">
        <f>IF($M$1&gt;=I38,IF(VLOOKUP(I38,Iktato!$B$3:$Q$10000,16,FALSE)&lt;&gt;0,VLOOKUP(I38,Iktato!$B$3:$Q$10000,16,FALSE),""),"")</f>
        <v/>
      </c>
      <c r="P38" s="6" t="str">
        <f>TRIM(IF($M$1&gt;=I38,IF(VLOOKUP(I38,Iktato!$B$3:$L$10000,6,FALSE)&lt;&gt;0,VLOOKUP(I38,Iktato!$B$3:$L$10000,6,FALSE),""),""))</f>
        <v/>
      </c>
      <c r="Q38" s="8" t="str">
        <f>TRIM(IF($M$1&gt;=I38,IF(VLOOKUP(I38,Iktato!$B$3:$L$10000,7,FALSE)&lt;&gt;0,VLOOKUP(I38,Iktato!$B$3:$L$10000,7,FALSE),""),""))</f>
        <v/>
      </c>
      <c r="R38" s="6" t="str">
        <f t="shared" si="5"/>
        <v/>
      </c>
      <c r="S38" s="6" t="str">
        <f t="shared" si="6"/>
        <v/>
      </c>
      <c r="T38" s="6" t="str">
        <f t="shared" si="7"/>
        <v/>
      </c>
    </row>
    <row r="39" spans="1:20" ht="16.5" x14ac:dyDescent="0.25">
      <c r="A39" s="11" t="str">
        <f t="shared" si="0"/>
        <v/>
      </c>
      <c r="B39" s="12" t="str">
        <f>IF($M$1&gt;=I39,VLOOKUP(I39,Iktato!$B$3:$L$10000,5,FALSE),"")</f>
        <v/>
      </c>
      <c r="C39" s="13" t="str">
        <f t="shared" si="1"/>
        <v/>
      </c>
      <c r="D39" s="14" t="str">
        <f>TRIM(IF($M$1&gt;=I39,IF(VLOOKUP(I39,Iktato!$B$3:$L$10000,8,FALSE)&lt;&gt;0,VLOOKUP(I39,Iktato!$B$3:$L$10000,8,FALSE),""),""))</f>
        <v/>
      </c>
      <c r="E39" s="14" t="str">
        <f>TRIM(IF($M$1&gt;=I39,IF(VLOOKUP(I39,Iktato!$B$3:$L$10000,9,FALSE)&lt;&gt;0,VLOOKUP(I39,Iktato!$B$3:$L$10000,9,FALSE),""),""))</f>
        <v/>
      </c>
      <c r="F39" s="43" t="str">
        <f t="shared" si="2"/>
        <v/>
      </c>
      <c r="G39" s="43"/>
      <c r="I39" s="6">
        <f t="shared" si="3"/>
        <v>29</v>
      </c>
      <c r="J39" s="6" t="str">
        <f t="shared" si="4"/>
        <v/>
      </c>
      <c r="K39" s="6" t="str">
        <f>IF($M$1&gt;=I39,VLOOKUP(I39,Iktato!$B$3:$L$10000,3,FALSE),"")</f>
        <v/>
      </c>
      <c r="M39" s="6" t="str">
        <f>IF($M$1&gt;=I39,IF(VLOOKUP(I39,Iktato!$B$3:$P$10000,15,FALSE)&lt;&gt;0,VLOOKUP(I39,Iktato!$B$3:$P$10000,15,FALSE),""),"")</f>
        <v/>
      </c>
      <c r="N39" s="6" t="str">
        <f>IF($M$1&gt;=I39,IF(VLOOKUP(I39,Iktato!$B$3:$Q$10000,16,FALSE)&lt;&gt;0,VLOOKUP(I39,Iktato!$B$3:$Q$10000,16,FALSE),""),"")</f>
        <v/>
      </c>
      <c r="P39" s="6" t="str">
        <f>TRIM(IF($M$1&gt;=I39,IF(VLOOKUP(I39,Iktato!$B$3:$L$10000,6,FALSE)&lt;&gt;0,VLOOKUP(I39,Iktato!$B$3:$L$10000,6,FALSE),""),""))</f>
        <v/>
      </c>
      <c r="Q39" s="8" t="str">
        <f>TRIM(IF($M$1&gt;=I39,IF(VLOOKUP(I39,Iktato!$B$3:$L$10000,7,FALSE)&lt;&gt;0,VLOOKUP(I39,Iktato!$B$3:$L$10000,7,FALSE),""),""))</f>
        <v/>
      </c>
      <c r="R39" s="6" t="str">
        <f t="shared" si="5"/>
        <v/>
      </c>
      <c r="S39" s="6" t="str">
        <f t="shared" si="6"/>
        <v/>
      </c>
      <c r="T39" s="6" t="str">
        <f t="shared" si="7"/>
        <v/>
      </c>
    </row>
    <row r="40" spans="1:20" ht="16.5" x14ac:dyDescent="0.25">
      <c r="A40" s="11" t="str">
        <f t="shared" si="0"/>
        <v/>
      </c>
      <c r="B40" s="12" t="str">
        <f>IF($M$1&gt;=I40,VLOOKUP(I40,Iktato!$B$3:$L$10000,5,FALSE),"")</f>
        <v/>
      </c>
      <c r="C40" s="13" t="str">
        <f t="shared" si="1"/>
        <v/>
      </c>
      <c r="D40" s="14" t="str">
        <f>TRIM(IF($M$1&gt;=I40,IF(VLOOKUP(I40,Iktato!$B$3:$L$10000,8,FALSE)&lt;&gt;0,VLOOKUP(I40,Iktato!$B$3:$L$10000,8,FALSE),""),""))</f>
        <v/>
      </c>
      <c r="E40" s="14" t="str">
        <f>TRIM(IF($M$1&gt;=I40,IF(VLOOKUP(I40,Iktato!$B$3:$L$10000,9,FALSE)&lt;&gt;0,VLOOKUP(I40,Iktato!$B$3:$L$10000,9,FALSE),""),""))</f>
        <v/>
      </c>
      <c r="F40" s="43" t="str">
        <f t="shared" si="2"/>
        <v/>
      </c>
      <c r="G40" s="43"/>
      <c r="I40" s="6">
        <f t="shared" si="3"/>
        <v>30</v>
      </c>
      <c r="J40" s="6" t="str">
        <f t="shared" si="4"/>
        <v/>
      </c>
      <c r="K40" s="6" t="str">
        <f>IF($M$1&gt;=I40,VLOOKUP(I40,Iktato!$B$3:$L$10000,3,FALSE),"")</f>
        <v/>
      </c>
      <c r="M40" s="6" t="str">
        <f>IF($M$1&gt;=I40,IF(VLOOKUP(I40,Iktato!$B$3:$P$10000,15,FALSE)&lt;&gt;0,VLOOKUP(I40,Iktato!$B$3:$P$10000,15,FALSE),""),"")</f>
        <v/>
      </c>
      <c r="N40" s="6" t="str">
        <f>IF($M$1&gt;=I40,IF(VLOOKUP(I40,Iktato!$B$3:$Q$10000,16,FALSE)&lt;&gt;0,VLOOKUP(I40,Iktato!$B$3:$Q$10000,16,FALSE),""),"")</f>
        <v/>
      </c>
      <c r="P40" s="6" t="str">
        <f>TRIM(IF($M$1&gt;=I40,IF(VLOOKUP(I40,Iktato!$B$3:$L$10000,6,FALSE)&lt;&gt;0,VLOOKUP(I40,Iktato!$B$3:$L$10000,6,FALSE),""),""))</f>
        <v/>
      </c>
      <c r="Q40" s="8" t="str">
        <f>TRIM(IF($M$1&gt;=I40,IF(VLOOKUP(I40,Iktato!$B$3:$L$10000,7,FALSE)&lt;&gt;0,VLOOKUP(I40,Iktato!$B$3:$L$10000,7,FALSE),""),""))</f>
        <v/>
      </c>
      <c r="R40" s="6" t="str">
        <f t="shared" si="5"/>
        <v/>
      </c>
      <c r="S40" s="6" t="str">
        <f t="shared" si="6"/>
        <v/>
      </c>
      <c r="T40" s="6" t="str">
        <f t="shared" si="7"/>
        <v/>
      </c>
    </row>
    <row r="41" spans="1:20" ht="16.5" x14ac:dyDescent="0.25">
      <c r="A41" s="11" t="str">
        <f t="shared" si="0"/>
        <v/>
      </c>
      <c r="B41" s="12" t="str">
        <f>IF($M$1&gt;=I41,VLOOKUP(I41,Iktato!$B$3:$L$10000,5,FALSE),"")</f>
        <v/>
      </c>
      <c r="C41" s="13" t="str">
        <f t="shared" si="1"/>
        <v/>
      </c>
      <c r="D41" s="14" t="str">
        <f>TRIM(IF($M$1&gt;=I41,IF(VLOOKUP(I41,Iktato!$B$3:$L$10000,8,FALSE)&lt;&gt;0,VLOOKUP(I41,Iktato!$B$3:$L$10000,8,FALSE),""),""))</f>
        <v/>
      </c>
      <c r="E41" s="14" t="str">
        <f>TRIM(IF($M$1&gt;=I41,IF(VLOOKUP(I41,Iktato!$B$3:$L$10000,9,FALSE)&lt;&gt;0,VLOOKUP(I41,Iktato!$B$3:$L$10000,9,FALSE),""),""))</f>
        <v/>
      </c>
      <c r="F41" s="43" t="str">
        <f t="shared" si="2"/>
        <v/>
      </c>
      <c r="G41" s="43"/>
      <c r="I41" s="6">
        <f t="shared" si="3"/>
        <v>31</v>
      </c>
      <c r="J41" s="6" t="str">
        <f t="shared" si="4"/>
        <v/>
      </c>
      <c r="K41" s="6" t="str">
        <f>IF($M$1&gt;=I41,VLOOKUP(I41,Iktato!$B$3:$L$10000,3,FALSE),"")</f>
        <v/>
      </c>
      <c r="M41" s="6" t="str">
        <f>IF($M$1&gt;=I41,IF(VLOOKUP(I41,Iktato!$B$3:$P$10000,15,FALSE)&lt;&gt;0,VLOOKUP(I41,Iktato!$B$3:$P$10000,15,FALSE),""),"")</f>
        <v/>
      </c>
      <c r="N41" s="6" t="str">
        <f>IF($M$1&gt;=I41,IF(VLOOKUP(I41,Iktato!$B$3:$Q$10000,16,FALSE)&lt;&gt;0,VLOOKUP(I41,Iktato!$B$3:$Q$10000,16,FALSE),""),"")</f>
        <v/>
      </c>
      <c r="P41" s="6" t="str">
        <f>TRIM(IF($M$1&gt;=I41,IF(VLOOKUP(I41,Iktato!$B$3:$L$10000,6,FALSE)&lt;&gt;0,VLOOKUP(I41,Iktato!$B$3:$L$10000,6,FALSE),""),""))</f>
        <v/>
      </c>
      <c r="Q41" s="8" t="str">
        <f>TRIM(IF($M$1&gt;=I41,IF(VLOOKUP(I41,Iktato!$B$3:$L$10000,7,FALSE)&lt;&gt;0,VLOOKUP(I41,Iktato!$B$3:$L$10000,7,FALSE),""),""))</f>
        <v/>
      </c>
      <c r="R41" s="6" t="str">
        <f t="shared" si="5"/>
        <v/>
      </c>
      <c r="S41" s="6" t="str">
        <f t="shared" si="6"/>
        <v/>
      </c>
      <c r="T41" s="6" t="str">
        <f t="shared" si="7"/>
        <v/>
      </c>
    </row>
    <row r="42" spans="1:20" ht="16.5" x14ac:dyDescent="0.25">
      <c r="A42" s="11" t="str">
        <f t="shared" ref="A42:A105" si="8">IF($M$1&gt;=I42,J42,"")</f>
        <v/>
      </c>
      <c r="B42" s="12" t="str">
        <f>IF($M$1&gt;=I42,VLOOKUP(I42,Iktato!$B$3:$L$10000,5,FALSE),"")</f>
        <v/>
      </c>
      <c r="C42" s="13" t="str">
        <f t="shared" ref="C42:C105" si="9">TRIM(IF(AND(P42&amp;Q42&lt;&gt;"",$M$1&gt;=I42),P42&amp;"-"&amp;R42&amp;$R$10&amp;S42&amp;$R$10&amp;T42&amp;$R$10,""))</f>
        <v/>
      </c>
      <c r="D42" s="14" t="str">
        <f>TRIM(IF($M$1&gt;=I42,IF(VLOOKUP(I42,Iktato!$B$3:$L$10000,8,FALSE)&lt;&gt;0,VLOOKUP(I42,Iktato!$B$3:$L$10000,8,FALSE),""),""))</f>
        <v/>
      </c>
      <c r="E42" s="14" t="str">
        <f>TRIM(IF($M$1&gt;=I42,IF(VLOOKUP(I42,Iktato!$B$3:$L$10000,9,FALSE)&lt;&gt;0,VLOOKUP(I42,Iktato!$B$3:$L$10000,9,FALSE),""),""))</f>
        <v/>
      </c>
      <c r="F42" s="43" t="str">
        <f t="shared" si="2"/>
        <v/>
      </c>
      <c r="G42" s="43"/>
      <c r="I42" s="6">
        <f t="shared" si="3"/>
        <v>32</v>
      </c>
      <c r="J42" s="6" t="str">
        <f t="shared" ref="J42:J105" si="10">IF(K41&lt;&gt;K42,K42,"")</f>
        <v/>
      </c>
      <c r="K42" s="6" t="str">
        <f>IF($M$1&gt;=I42,VLOOKUP(I42,Iktato!$B$3:$L$10000,3,FALSE),"")</f>
        <v/>
      </c>
      <c r="M42" s="6" t="str">
        <f>IF($M$1&gt;=I42,IF(VLOOKUP(I42,Iktato!$B$3:$P$10000,15,FALSE)&lt;&gt;0,VLOOKUP(I42,Iktato!$B$3:$P$10000,15,FALSE),""),"")</f>
        <v/>
      </c>
      <c r="N42" s="6" t="str">
        <f>IF($M$1&gt;=I42,IF(VLOOKUP(I42,Iktato!$B$3:$Q$10000,16,FALSE)&lt;&gt;0,VLOOKUP(I42,Iktato!$B$3:$Q$10000,16,FALSE),""),"")</f>
        <v/>
      </c>
      <c r="P42" s="6" t="str">
        <f>TRIM(IF($M$1&gt;=I42,IF(VLOOKUP(I42,Iktato!$B$3:$L$10000,6,FALSE)&lt;&gt;0,VLOOKUP(I42,Iktato!$B$3:$L$10000,6,FALSE),""),""))</f>
        <v/>
      </c>
      <c r="Q42" s="8" t="str">
        <f>TRIM(IF($M$1&gt;=I42,IF(VLOOKUP(I42,Iktato!$B$3:$L$10000,7,FALSE)&lt;&gt;0,VLOOKUP(I42,Iktato!$B$3:$L$10000,7,FALSE),""),""))</f>
        <v/>
      </c>
      <c r="R42" s="6" t="str">
        <f t="shared" ref="R42:R105" si="11">IF(Q42&lt;&gt;"",YEAR(Q42),"")</f>
        <v/>
      </c>
      <c r="S42" s="6" t="str">
        <f t="shared" ref="S42:S105" si="12">IF(Q42&lt;&gt;"",MONTH(Q42),"")</f>
        <v/>
      </c>
      <c r="T42" s="6" t="str">
        <f t="shared" ref="T42:T105" si="13">IF(Q42&lt;&gt;"",DAY(Q42),"")</f>
        <v/>
      </c>
    </row>
    <row r="43" spans="1:20" ht="16.5" x14ac:dyDescent="0.25">
      <c r="A43" s="11" t="str">
        <f t="shared" si="8"/>
        <v/>
      </c>
      <c r="B43" s="12" t="str">
        <f>IF($M$1&gt;=I43,VLOOKUP(I43,Iktato!$B$3:$L$10000,5,FALSE),"")</f>
        <v/>
      </c>
      <c r="C43" s="13" t="str">
        <f t="shared" si="9"/>
        <v/>
      </c>
      <c r="D43" s="14" t="str">
        <f>TRIM(IF($M$1&gt;=I43,IF(VLOOKUP(I43,Iktato!$B$3:$L$10000,8,FALSE)&lt;&gt;0,VLOOKUP(I43,Iktato!$B$3:$L$10000,8,FALSE),""),""))</f>
        <v/>
      </c>
      <c r="E43" s="14" t="str">
        <f>TRIM(IF($M$1&gt;=I43,IF(VLOOKUP(I43,Iktato!$B$3:$L$10000,9,FALSE)&lt;&gt;0,VLOOKUP(I43,Iktato!$B$3:$L$10000,9,FALSE),""),""))</f>
        <v/>
      </c>
      <c r="F43" s="43" t="str">
        <f t="shared" si="2"/>
        <v/>
      </c>
      <c r="G43" s="43"/>
      <c r="I43" s="6">
        <f t="shared" si="3"/>
        <v>33</v>
      </c>
      <c r="J43" s="6" t="str">
        <f t="shared" si="10"/>
        <v/>
      </c>
      <c r="K43" s="6" t="str">
        <f>IF($M$1&gt;=I43,VLOOKUP(I43,Iktato!$B$3:$L$10000,3,FALSE),"")</f>
        <v/>
      </c>
      <c r="M43" s="6" t="str">
        <f>IF($M$1&gt;=I43,IF(VLOOKUP(I43,Iktato!$B$3:$P$10000,15,FALSE)&lt;&gt;0,VLOOKUP(I43,Iktato!$B$3:$P$10000,15,FALSE),""),"")</f>
        <v/>
      </c>
      <c r="N43" s="6" t="str">
        <f>IF($M$1&gt;=I43,IF(VLOOKUP(I43,Iktato!$B$3:$Q$10000,16,FALSE)&lt;&gt;0,VLOOKUP(I43,Iktato!$B$3:$Q$10000,16,FALSE),""),"")</f>
        <v/>
      </c>
      <c r="P43" s="6" t="str">
        <f>TRIM(IF($M$1&gt;=I43,IF(VLOOKUP(I43,Iktato!$B$3:$L$10000,6,FALSE)&lt;&gt;0,VLOOKUP(I43,Iktato!$B$3:$L$10000,6,FALSE),""),""))</f>
        <v/>
      </c>
      <c r="Q43" s="8" t="str">
        <f>TRIM(IF($M$1&gt;=I43,IF(VLOOKUP(I43,Iktato!$B$3:$L$10000,7,FALSE)&lt;&gt;0,VLOOKUP(I43,Iktato!$B$3:$L$10000,7,FALSE),""),""))</f>
        <v/>
      </c>
      <c r="R43" s="6" t="str">
        <f t="shared" si="11"/>
        <v/>
      </c>
      <c r="S43" s="6" t="str">
        <f t="shared" si="12"/>
        <v/>
      </c>
      <c r="T43" s="6" t="str">
        <f t="shared" si="13"/>
        <v/>
      </c>
    </row>
    <row r="44" spans="1:20" ht="16.5" x14ac:dyDescent="0.25">
      <c r="A44" s="11" t="str">
        <f t="shared" si="8"/>
        <v/>
      </c>
      <c r="B44" s="12" t="str">
        <f>IF($M$1&gt;=I44,VLOOKUP(I44,Iktato!$B$3:$L$10000,5,FALSE),"")</f>
        <v/>
      </c>
      <c r="C44" s="13" t="str">
        <f t="shared" si="9"/>
        <v/>
      </c>
      <c r="D44" s="14" t="str">
        <f>TRIM(IF($M$1&gt;=I44,IF(VLOOKUP(I44,Iktato!$B$3:$L$10000,8,FALSE)&lt;&gt;0,VLOOKUP(I44,Iktato!$B$3:$L$10000,8,FALSE),""),""))</f>
        <v/>
      </c>
      <c r="E44" s="14" t="str">
        <f>TRIM(IF($M$1&gt;=I44,IF(VLOOKUP(I44,Iktato!$B$3:$L$10000,9,FALSE)&lt;&gt;0,VLOOKUP(I44,Iktato!$B$3:$L$10000,9,FALSE),""),""))</f>
        <v/>
      </c>
      <c r="F44" s="43" t="str">
        <f t="shared" si="2"/>
        <v/>
      </c>
      <c r="G44" s="43"/>
      <c r="I44" s="6">
        <f t="shared" si="3"/>
        <v>34</v>
      </c>
      <c r="J44" s="6" t="str">
        <f t="shared" si="10"/>
        <v/>
      </c>
      <c r="K44" s="6" t="str">
        <f>IF($M$1&gt;=I44,VLOOKUP(I44,Iktato!$B$3:$L$10000,3,FALSE),"")</f>
        <v/>
      </c>
      <c r="M44" s="6" t="str">
        <f>IF($M$1&gt;=I44,IF(VLOOKUP(I44,Iktato!$B$3:$P$10000,15,FALSE)&lt;&gt;0,VLOOKUP(I44,Iktato!$B$3:$P$10000,15,FALSE),""),"")</f>
        <v/>
      </c>
      <c r="N44" s="6" t="str">
        <f>IF($M$1&gt;=I44,IF(VLOOKUP(I44,Iktato!$B$3:$Q$10000,16,FALSE)&lt;&gt;0,VLOOKUP(I44,Iktato!$B$3:$Q$10000,16,FALSE),""),"")</f>
        <v/>
      </c>
      <c r="P44" s="6" t="str">
        <f>TRIM(IF($M$1&gt;=I44,IF(VLOOKUP(I44,Iktato!$B$3:$L$10000,6,FALSE)&lt;&gt;0,VLOOKUP(I44,Iktato!$B$3:$L$10000,6,FALSE),""),""))</f>
        <v/>
      </c>
      <c r="Q44" s="8" t="str">
        <f>TRIM(IF($M$1&gt;=I44,IF(VLOOKUP(I44,Iktato!$B$3:$L$10000,7,FALSE)&lt;&gt;0,VLOOKUP(I44,Iktato!$B$3:$L$10000,7,FALSE),""),""))</f>
        <v/>
      </c>
      <c r="R44" s="6" t="str">
        <f t="shared" si="11"/>
        <v/>
      </c>
      <c r="S44" s="6" t="str">
        <f t="shared" si="12"/>
        <v/>
      </c>
      <c r="T44" s="6" t="str">
        <f t="shared" si="13"/>
        <v/>
      </c>
    </row>
    <row r="45" spans="1:20" ht="16.5" x14ac:dyDescent="0.25">
      <c r="A45" s="11" t="str">
        <f t="shared" si="8"/>
        <v/>
      </c>
      <c r="B45" s="12" t="str">
        <f>IF($M$1&gt;=I45,VLOOKUP(I45,Iktato!$B$3:$L$10000,5,FALSE),"")</f>
        <v/>
      </c>
      <c r="C45" s="13" t="str">
        <f t="shared" si="9"/>
        <v/>
      </c>
      <c r="D45" s="14" t="str">
        <f>TRIM(IF($M$1&gt;=I45,IF(VLOOKUP(I45,Iktato!$B$3:$L$10000,8,FALSE)&lt;&gt;0,VLOOKUP(I45,Iktato!$B$3:$L$10000,8,FALSE),""),""))</f>
        <v/>
      </c>
      <c r="E45" s="14" t="str">
        <f>TRIM(IF($M$1&gt;=I45,IF(VLOOKUP(I45,Iktato!$B$3:$L$10000,9,FALSE)&lt;&gt;0,VLOOKUP(I45,Iktato!$B$3:$L$10000,9,FALSE),""),""))</f>
        <v/>
      </c>
      <c r="F45" s="43" t="str">
        <f t="shared" si="2"/>
        <v/>
      </c>
      <c r="G45" s="43"/>
      <c r="I45" s="6">
        <f t="shared" si="3"/>
        <v>35</v>
      </c>
      <c r="J45" s="6" t="str">
        <f t="shared" si="10"/>
        <v/>
      </c>
      <c r="K45" s="6" t="str">
        <f>IF($M$1&gt;=I45,VLOOKUP(I45,Iktato!$B$3:$L$10000,3,FALSE),"")</f>
        <v/>
      </c>
      <c r="M45" s="6" t="str">
        <f>IF($M$1&gt;=I45,IF(VLOOKUP(I45,Iktato!$B$3:$P$10000,15,FALSE)&lt;&gt;0,VLOOKUP(I45,Iktato!$B$3:$P$10000,15,FALSE),""),"")</f>
        <v/>
      </c>
      <c r="N45" s="6" t="str">
        <f>IF($M$1&gt;=I45,IF(VLOOKUP(I45,Iktato!$B$3:$Q$10000,16,FALSE)&lt;&gt;0,VLOOKUP(I45,Iktato!$B$3:$Q$10000,16,FALSE),""),"")</f>
        <v/>
      </c>
      <c r="P45" s="6" t="str">
        <f>TRIM(IF($M$1&gt;=I45,IF(VLOOKUP(I45,Iktato!$B$3:$L$10000,6,FALSE)&lt;&gt;0,VLOOKUP(I45,Iktato!$B$3:$L$10000,6,FALSE),""),""))</f>
        <v/>
      </c>
      <c r="Q45" s="8" t="str">
        <f>TRIM(IF($M$1&gt;=I45,IF(VLOOKUP(I45,Iktato!$B$3:$L$10000,7,FALSE)&lt;&gt;0,VLOOKUP(I45,Iktato!$B$3:$L$10000,7,FALSE),""),""))</f>
        <v/>
      </c>
      <c r="R45" s="6" t="str">
        <f t="shared" si="11"/>
        <v/>
      </c>
      <c r="S45" s="6" t="str">
        <f t="shared" si="12"/>
        <v/>
      </c>
      <c r="T45" s="6" t="str">
        <f t="shared" si="13"/>
        <v/>
      </c>
    </row>
    <row r="46" spans="1:20" ht="16.5" x14ac:dyDescent="0.25">
      <c r="A46" s="11" t="str">
        <f t="shared" si="8"/>
        <v/>
      </c>
      <c r="B46" s="12" t="str">
        <f>IF($M$1&gt;=I46,VLOOKUP(I46,Iktato!$B$3:$L$10000,5,FALSE),"")</f>
        <v/>
      </c>
      <c r="C46" s="13" t="str">
        <f t="shared" si="9"/>
        <v/>
      </c>
      <c r="D46" s="14" t="str">
        <f>TRIM(IF($M$1&gt;=I46,IF(VLOOKUP(I46,Iktato!$B$3:$L$10000,8,FALSE)&lt;&gt;0,VLOOKUP(I46,Iktato!$B$3:$L$10000,8,FALSE),""),""))</f>
        <v/>
      </c>
      <c r="E46" s="14" t="str">
        <f>TRIM(IF($M$1&gt;=I46,IF(VLOOKUP(I46,Iktato!$B$3:$L$10000,9,FALSE)&lt;&gt;0,VLOOKUP(I46,Iktato!$B$3:$L$10000,9,FALSE),""),""))</f>
        <v/>
      </c>
      <c r="F46" s="43" t="str">
        <f t="shared" si="2"/>
        <v/>
      </c>
      <c r="G46" s="43"/>
      <c r="I46" s="6">
        <f t="shared" si="3"/>
        <v>36</v>
      </c>
      <c r="J46" s="6" t="str">
        <f t="shared" si="10"/>
        <v/>
      </c>
      <c r="K46" s="6" t="str">
        <f>IF($M$1&gt;=I46,VLOOKUP(I46,Iktato!$B$3:$L$10000,3,FALSE),"")</f>
        <v/>
      </c>
      <c r="M46" s="6" t="str">
        <f>IF($M$1&gt;=I46,IF(VLOOKUP(I46,Iktato!$B$3:$P$10000,15,FALSE)&lt;&gt;0,VLOOKUP(I46,Iktato!$B$3:$P$10000,15,FALSE),""),"")</f>
        <v/>
      </c>
      <c r="N46" s="6" t="str">
        <f>IF($M$1&gt;=I46,IF(VLOOKUP(I46,Iktato!$B$3:$Q$10000,16,FALSE)&lt;&gt;0,VLOOKUP(I46,Iktato!$B$3:$Q$10000,16,FALSE),""),"")</f>
        <v/>
      </c>
      <c r="P46" s="6" t="str">
        <f>TRIM(IF($M$1&gt;=I46,IF(VLOOKUP(I46,Iktato!$B$3:$L$10000,6,FALSE)&lt;&gt;0,VLOOKUP(I46,Iktato!$B$3:$L$10000,6,FALSE),""),""))</f>
        <v/>
      </c>
      <c r="Q46" s="8" t="str">
        <f>TRIM(IF($M$1&gt;=I46,IF(VLOOKUP(I46,Iktato!$B$3:$L$10000,7,FALSE)&lt;&gt;0,VLOOKUP(I46,Iktato!$B$3:$L$10000,7,FALSE),""),""))</f>
        <v/>
      </c>
      <c r="R46" s="6" t="str">
        <f t="shared" si="11"/>
        <v/>
      </c>
      <c r="S46" s="6" t="str">
        <f t="shared" si="12"/>
        <v/>
      </c>
      <c r="T46" s="6" t="str">
        <f t="shared" si="13"/>
        <v/>
      </c>
    </row>
    <row r="47" spans="1:20" ht="16.5" x14ac:dyDescent="0.25">
      <c r="A47" s="11" t="str">
        <f t="shared" si="8"/>
        <v/>
      </c>
      <c r="B47" s="12" t="str">
        <f>IF($M$1&gt;=I47,VLOOKUP(I47,Iktato!$B$3:$L$10000,5,FALSE),"")</f>
        <v/>
      </c>
      <c r="C47" s="13" t="str">
        <f t="shared" si="9"/>
        <v/>
      </c>
      <c r="D47" s="14" t="str">
        <f>TRIM(IF($M$1&gt;=I47,IF(VLOOKUP(I47,Iktato!$B$3:$L$10000,8,FALSE)&lt;&gt;0,VLOOKUP(I47,Iktato!$B$3:$L$10000,8,FALSE),""),""))</f>
        <v/>
      </c>
      <c r="E47" s="14" t="str">
        <f>TRIM(IF($M$1&gt;=I47,IF(VLOOKUP(I47,Iktato!$B$3:$L$10000,9,FALSE)&lt;&gt;0,VLOOKUP(I47,Iktato!$B$3:$L$10000,9,FALSE),""),""))</f>
        <v/>
      </c>
      <c r="F47" s="43" t="str">
        <f t="shared" si="2"/>
        <v/>
      </c>
      <c r="G47" s="43"/>
      <c r="I47" s="6">
        <f t="shared" si="3"/>
        <v>37</v>
      </c>
      <c r="J47" s="6" t="str">
        <f t="shared" si="10"/>
        <v/>
      </c>
      <c r="K47" s="6" t="str">
        <f>IF($M$1&gt;=I47,VLOOKUP(I47,Iktato!$B$3:$L$10000,3,FALSE),"")</f>
        <v/>
      </c>
      <c r="M47" s="6" t="str">
        <f>IF($M$1&gt;=I47,IF(VLOOKUP(I47,Iktato!$B$3:$P$10000,15,FALSE)&lt;&gt;0,VLOOKUP(I47,Iktato!$B$3:$P$10000,15,FALSE),""),"")</f>
        <v/>
      </c>
      <c r="N47" s="6" t="str">
        <f>IF($M$1&gt;=I47,IF(VLOOKUP(I47,Iktato!$B$3:$Q$10000,16,FALSE)&lt;&gt;0,VLOOKUP(I47,Iktato!$B$3:$Q$10000,16,FALSE),""),"")</f>
        <v/>
      </c>
      <c r="P47" s="6" t="str">
        <f>TRIM(IF($M$1&gt;=I47,IF(VLOOKUP(I47,Iktato!$B$3:$L$10000,6,FALSE)&lt;&gt;0,VLOOKUP(I47,Iktato!$B$3:$L$10000,6,FALSE),""),""))</f>
        <v/>
      </c>
      <c r="Q47" s="8" t="str">
        <f>TRIM(IF($M$1&gt;=I47,IF(VLOOKUP(I47,Iktato!$B$3:$L$10000,7,FALSE)&lt;&gt;0,VLOOKUP(I47,Iktato!$B$3:$L$10000,7,FALSE),""),""))</f>
        <v/>
      </c>
      <c r="R47" s="6" t="str">
        <f t="shared" si="11"/>
        <v/>
      </c>
      <c r="S47" s="6" t="str">
        <f t="shared" si="12"/>
        <v/>
      </c>
      <c r="T47" s="6" t="str">
        <f t="shared" si="13"/>
        <v/>
      </c>
    </row>
    <row r="48" spans="1:20" ht="16.5" x14ac:dyDescent="0.25">
      <c r="A48" s="11" t="str">
        <f t="shared" si="8"/>
        <v/>
      </c>
      <c r="B48" s="12" t="str">
        <f>IF($M$1&gt;=I48,VLOOKUP(I48,Iktato!$B$3:$L$10000,5,FALSE),"")</f>
        <v/>
      </c>
      <c r="C48" s="13" t="str">
        <f t="shared" si="9"/>
        <v/>
      </c>
      <c r="D48" s="14" t="str">
        <f>TRIM(IF($M$1&gt;=I48,IF(VLOOKUP(I48,Iktato!$B$3:$L$10000,8,FALSE)&lt;&gt;0,VLOOKUP(I48,Iktato!$B$3:$L$10000,8,FALSE),""),""))</f>
        <v/>
      </c>
      <c r="E48" s="14" t="str">
        <f>TRIM(IF($M$1&gt;=I48,IF(VLOOKUP(I48,Iktato!$B$3:$L$10000,9,FALSE)&lt;&gt;0,VLOOKUP(I48,Iktato!$B$3:$L$10000,9,FALSE),""),""))</f>
        <v/>
      </c>
      <c r="F48" s="43" t="str">
        <f t="shared" si="2"/>
        <v/>
      </c>
      <c r="G48" s="43"/>
      <c r="I48" s="6">
        <f t="shared" si="3"/>
        <v>38</v>
      </c>
      <c r="J48" s="6" t="str">
        <f t="shared" si="10"/>
        <v/>
      </c>
      <c r="K48" s="6" t="str">
        <f>IF($M$1&gt;=I48,VLOOKUP(I48,Iktato!$B$3:$L$10000,3,FALSE),"")</f>
        <v/>
      </c>
      <c r="M48" s="6" t="str">
        <f>IF($M$1&gt;=I48,IF(VLOOKUP(I48,Iktato!$B$3:$P$10000,15,FALSE)&lt;&gt;0,VLOOKUP(I48,Iktato!$B$3:$P$10000,15,FALSE),""),"")</f>
        <v/>
      </c>
      <c r="N48" s="6" t="str">
        <f>IF($M$1&gt;=I48,IF(VLOOKUP(I48,Iktato!$B$3:$Q$10000,16,FALSE)&lt;&gt;0,VLOOKUP(I48,Iktato!$B$3:$Q$10000,16,FALSE),""),"")</f>
        <v/>
      </c>
      <c r="P48" s="6" t="str">
        <f>TRIM(IF($M$1&gt;=I48,IF(VLOOKUP(I48,Iktato!$B$3:$L$10000,6,FALSE)&lt;&gt;0,VLOOKUP(I48,Iktato!$B$3:$L$10000,6,FALSE),""),""))</f>
        <v/>
      </c>
      <c r="Q48" s="8" t="str">
        <f>TRIM(IF($M$1&gt;=I48,IF(VLOOKUP(I48,Iktato!$B$3:$L$10000,7,FALSE)&lt;&gt;0,VLOOKUP(I48,Iktato!$B$3:$L$10000,7,FALSE),""),""))</f>
        <v/>
      </c>
      <c r="R48" s="6" t="str">
        <f t="shared" si="11"/>
        <v/>
      </c>
      <c r="S48" s="6" t="str">
        <f t="shared" si="12"/>
        <v/>
      </c>
      <c r="T48" s="6" t="str">
        <f t="shared" si="13"/>
        <v/>
      </c>
    </row>
    <row r="49" spans="1:20" ht="16.5" x14ac:dyDescent="0.25">
      <c r="A49" s="11" t="str">
        <f t="shared" si="8"/>
        <v/>
      </c>
      <c r="B49" s="12" t="str">
        <f>IF($M$1&gt;=I49,VLOOKUP(I49,Iktato!$B$3:$L$10000,5,FALSE),"")</f>
        <v/>
      </c>
      <c r="C49" s="13" t="str">
        <f t="shared" si="9"/>
        <v/>
      </c>
      <c r="D49" s="14" t="str">
        <f>TRIM(IF($M$1&gt;=I49,IF(VLOOKUP(I49,Iktato!$B$3:$L$10000,8,FALSE)&lt;&gt;0,VLOOKUP(I49,Iktato!$B$3:$L$10000,8,FALSE),""),""))</f>
        <v/>
      </c>
      <c r="E49" s="14" t="str">
        <f>TRIM(IF($M$1&gt;=I49,IF(VLOOKUP(I49,Iktato!$B$3:$L$10000,9,FALSE)&lt;&gt;0,VLOOKUP(I49,Iktato!$B$3:$L$10000,9,FALSE),""),""))</f>
        <v/>
      </c>
      <c r="F49" s="43" t="str">
        <f t="shared" si="2"/>
        <v/>
      </c>
      <c r="G49" s="43"/>
      <c r="I49" s="6">
        <f t="shared" si="3"/>
        <v>39</v>
      </c>
      <c r="J49" s="6" t="str">
        <f t="shared" si="10"/>
        <v/>
      </c>
      <c r="K49" s="6" t="str">
        <f>IF($M$1&gt;=I49,VLOOKUP(I49,Iktato!$B$3:$L$10000,3,FALSE),"")</f>
        <v/>
      </c>
      <c r="M49" s="6" t="str">
        <f>IF($M$1&gt;=I49,IF(VLOOKUP(I49,Iktato!$B$3:$P$10000,15,FALSE)&lt;&gt;0,VLOOKUP(I49,Iktato!$B$3:$P$10000,15,FALSE),""),"")</f>
        <v/>
      </c>
      <c r="N49" s="6" t="str">
        <f>IF($M$1&gt;=I49,IF(VLOOKUP(I49,Iktato!$B$3:$Q$10000,16,FALSE)&lt;&gt;0,VLOOKUP(I49,Iktato!$B$3:$Q$10000,16,FALSE),""),"")</f>
        <v/>
      </c>
      <c r="P49" s="6" t="str">
        <f>TRIM(IF($M$1&gt;=I49,IF(VLOOKUP(I49,Iktato!$B$3:$L$10000,6,FALSE)&lt;&gt;0,VLOOKUP(I49,Iktato!$B$3:$L$10000,6,FALSE),""),""))</f>
        <v/>
      </c>
      <c r="Q49" s="8" t="str">
        <f>TRIM(IF($M$1&gt;=I49,IF(VLOOKUP(I49,Iktato!$B$3:$L$10000,7,FALSE)&lt;&gt;0,VLOOKUP(I49,Iktato!$B$3:$L$10000,7,FALSE),""),""))</f>
        <v/>
      </c>
      <c r="R49" s="6" t="str">
        <f t="shared" si="11"/>
        <v/>
      </c>
      <c r="S49" s="6" t="str">
        <f t="shared" si="12"/>
        <v/>
      </c>
      <c r="T49" s="6" t="str">
        <f t="shared" si="13"/>
        <v/>
      </c>
    </row>
    <row r="50" spans="1:20" ht="16.5" x14ac:dyDescent="0.25">
      <c r="A50" s="11" t="str">
        <f t="shared" si="8"/>
        <v/>
      </c>
      <c r="B50" s="12" t="str">
        <f>IF($M$1&gt;=I50,VLOOKUP(I50,Iktato!$B$3:$L$10000,5,FALSE),"")</f>
        <v/>
      </c>
      <c r="C50" s="13" t="str">
        <f t="shared" si="9"/>
        <v/>
      </c>
      <c r="D50" s="14" t="str">
        <f>TRIM(IF($M$1&gt;=I50,IF(VLOOKUP(I50,Iktato!$B$3:$L$10000,8,FALSE)&lt;&gt;0,VLOOKUP(I50,Iktato!$B$3:$L$10000,8,FALSE),""),""))</f>
        <v/>
      </c>
      <c r="E50" s="14" t="str">
        <f>TRIM(IF($M$1&gt;=I50,IF(VLOOKUP(I50,Iktato!$B$3:$L$10000,9,FALSE)&lt;&gt;0,VLOOKUP(I50,Iktato!$B$3:$L$10000,9,FALSE),""),""))</f>
        <v/>
      </c>
      <c r="F50" s="43" t="str">
        <f t="shared" si="2"/>
        <v/>
      </c>
      <c r="G50" s="43"/>
      <c r="I50" s="6">
        <f t="shared" si="3"/>
        <v>40</v>
      </c>
      <c r="J50" s="6" t="str">
        <f t="shared" si="10"/>
        <v/>
      </c>
      <c r="K50" s="6" t="str">
        <f>IF($M$1&gt;=I50,VLOOKUP(I50,Iktato!$B$3:$L$10000,3,FALSE),"")</f>
        <v/>
      </c>
      <c r="M50" s="6" t="str">
        <f>IF($M$1&gt;=I50,IF(VLOOKUP(I50,Iktato!$B$3:$P$10000,15,FALSE)&lt;&gt;0,VLOOKUP(I50,Iktato!$B$3:$P$10000,15,FALSE),""),"")</f>
        <v/>
      </c>
      <c r="N50" s="6" t="str">
        <f>IF($M$1&gt;=I50,IF(VLOOKUP(I50,Iktato!$B$3:$Q$10000,16,FALSE)&lt;&gt;0,VLOOKUP(I50,Iktato!$B$3:$Q$10000,16,FALSE),""),"")</f>
        <v/>
      </c>
      <c r="P50" s="6" t="str">
        <f>TRIM(IF($M$1&gt;=I50,IF(VLOOKUP(I50,Iktato!$B$3:$L$10000,6,FALSE)&lt;&gt;0,VLOOKUP(I50,Iktato!$B$3:$L$10000,6,FALSE),""),""))</f>
        <v/>
      </c>
      <c r="Q50" s="8" t="str">
        <f>TRIM(IF($M$1&gt;=I50,IF(VLOOKUP(I50,Iktato!$B$3:$L$10000,7,FALSE)&lt;&gt;0,VLOOKUP(I50,Iktato!$B$3:$L$10000,7,FALSE),""),""))</f>
        <v/>
      </c>
      <c r="R50" s="6" t="str">
        <f t="shared" si="11"/>
        <v/>
      </c>
      <c r="S50" s="6" t="str">
        <f t="shared" si="12"/>
        <v/>
      </c>
      <c r="T50" s="6" t="str">
        <f t="shared" si="13"/>
        <v/>
      </c>
    </row>
    <row r="51" spans="1:20" ht="16.5" x14ac:dyDescent="0.25">
      <c r="A51" s="11" t="str">
        <f t="shared" si="8"/>
        <v/>
      </c>
      <c r="B51" s="12" t="str">
        <f>IF($M$1&gt;=I51,VLOOKUP(I51,Iktato!$B$3:$L$10000,5,FALSE),"")</f>
        <v/>
      </c>
      <c r="C51" s="13" t="str">
        <f t="shared" si="9"/>
        <v/>
      </c>
      <c r="D51" s="14" t="str">
        <f>TRIM(IF($M$1&gt;=I51,IF(VLOOKUP(I51,Iktato!$B$3:$L$10000,8,FALSE)&lt;&gt;0,VLOOKUP(I51,Iktato!$B$3:$L$10000,8,FALSE),""),""))</f>
        <v/>
      </c>
      <c r="E51" s="14" t="str">
        <f>TRIM(IF($M$1&gt;=I51,IF(VLOOKUP(I51,Iktato!$B$3:$L$10000,9,FALSE)&lt;&gt;0,VLOOKUP(I51,Iktato!$B$3:$L$10000,9,FALSE),""),""))</f>
        <v/>
      </c>
      <c r="F51" s="43" t="str">
        <f t="shared" si="2"/>
        <v/>
      </c>
      <c r="G51" s="43"/>
      <c r="I51" s="6">
        <f t="shared" si="3"/>
        <v>41</v>
      </c>
      <c r="J51" s="6" t="str">
        <f t="shared" si="10"/>
        <v/>
      </c>
      <c r="K51" s="6" t="str">
        <f>IF($M$1&gt;=I51,VLOOKUP(I51,Iktato!$B$3:$L$10000,3,FALSE),"")</f>
        <v/>
      </c>
      <c r="M51" s="6" t="str">
        <f>IF($M$1&gt;=I51,IF(VLOOKUP(I51,Iktato!$B$3:$P$10000,15,FALSE)&lt;&gt;0,VLOOKUP(I51,Iktato!$B$3:$P$10000,15,FALSE),""),"")</f>
        <v/>
      </c>
      <c r="N51" s="6" t="str">
        <f>IF($M$1&gt;=I51,IF(VLOOKUP(I51,Iktato!$B$3:$Q$10000,16,FALSE)&lt;&gt;0,VLOOKUP(I51,Iktato!$B$3:$Q$10000,16,FALSE),""),"")</f>
        <v/>
      </c>
      <c r="P51" s="6" t="str">
        <f>TRIM(IF($M$1&gt;=I51,IF(VLOOKUP(I51,Iktato!$B$3:$L$10000,6,FALSE)&lt;&gt;0,VLOOKUP(I51,Iktato!$B$3:$L$10000,6,FALSE),""),""))</f>
        <v/>
      </c>
      <c r="Q51" s="8" t="str">
        <f>TRIM(IF($M$1&gt;=I51,IF(VLOOKUP(I51,Iktato!$B$3:$L$10000,7,FALSE)&lt;&gt;0,VLOOKUP(I51,Iktato!$B$3:$L$10000,7,FALSE),""),""))</f>
        <v/>
      </c>
      <c r="R51" s="6" t="str">
        <f t="shared" si="11"/>
        <v/>
      </c>
      <c r="S51" s="6" t="str">
        <f t="shared" si="12"/>
        <v/>
      </c>
      <c r="T51" s="6" t="str">
        <f t="shared" si="13"/>
        <v/>
      </c>
    </row>
    <row r="52" spans="1:20" ht="16.5" x14ac:dyDescent="0.25">
      <c r="A52" s="11" t="str">
        <f t="shared" si="8"/>
        <v/>
      </c>
      <c r="B52" s="12" t="str">
        <f>IF($M$1&gt;=I52,VLOOKUP(I52,Iktato!$B$3:$L$10000,5,FALSE),"")</f>
        <v/>
      </c>
      <c r="C52" s="13" t="str">
        <f t="shared" si="9"/>
        <v/>
      </c>
      <c r="D52" s="14" t="str">
        <f>TRIM(IF($M$1&gt;=I52,IF(VLOOKUP(I52,Iktato!$B$3:$L$10000,8,FALSE)&lt;&gt;0,VLOOKUP(I52,Iktato!$B$3:$L$10000,8,FALSE),""),""))</f>
        <v/>
      </c>
      <c r="E52" s="14" t="str">
        <f>TRIM(IF($M$1&gt;=I52,IF(VLOOKUP(I52,Iktato!$B$3:$L$10000,9,FALSE)&lt;&gt;0,VLOOKUP(I52,Iktato!$B$3:$L$10000,9,FALSE),""),""))</f>
        <v/>
      </c>
      <c r="F52" s="43" t="str">
        <f t="shared" si="2"/>
        <v/>
      </c>
      <c r="G52" s="43"/>
      <c r="I52" s="6">
        <f t="shared" si="3"/>
        <v>42</v>
      </c>
      <c r="J52" s="6" t="str">
        <f t="shared" si="10"/>
        <v/>
      </c>
      <c r="K52" s="6" t="str">
        <f>IF($M$1&gt;=I52,VLOOKUP(I52,Iktato!$B$3:$L$10000,3,FALSE),"")</f>
        <v/>
      </c>
      <c r="M52" s="6" t="str">
        <f>IF($M$1&gt;=I52,IF(VLOOKUP(I52,Iktato!$B$3:$P$10000,15,FALSE)&lt;&gt;0,VLOOKUP(I52,Iktato!$B$3:$P$10000,15,FALSE),""),"")</f>
        <v/>
      </c>
      <c r="N52" s="6" t="str">
        <f>IF($M$1&gt;=I52,IF(VLOOKUP(I52,Iktato!$B$3:$Q$10000,16,FALSE)&lt;&gt;0,VLOOKUP(I52,Iktato!$B$3:$Q$10000,16,FALSE),""),"")</f>
        <v/>
      </c>
      <c r="P52" s="6" t="str">
        <f>TRIM(IF($M$1&gt;=I52,IF(VLOOKUP(I52,Iktato!$B$3:$L$10000,6,FALSE)&lt;&gt;0,VLOOKUP(I52,Iktato!$B$3:$L$10000,6,FALSE),""),""))</f>
        <v/>
      </c>
      <c r="Q52" s="8" t="str">
        <f>TRIM(IF($M$1&gt;=I52,IF(VLOOKUP(I52,Iktato!$B$3:$L$10000,7,FALSE)&lt;&gt;0,VLOOKUP(I52,Iktato!$B$3:$L$10000,7,FALSE),""),""))</f>
        <v/>
      </c>
      <c r="R52" s="6" t="str">
        <f t="shared" si="11"/>
        <v/>
      </c>
      <c r="S52" s="6" t="str">
        <f t="shared" si="12"/>
        <v/>
      </c>
      <c r="T52" s="6" t="str">
        <f t="shared" si="13"/>
        <v/>
      </c>
    </row>
    <row r="53" spans="1:20" ht="16.5" x14ac:dyDescent="0.25">
      <c r="A53" s="11" t="str">
        <f t="shared" si="8"/>
        <v/>
      </c>
      <c r="B53" s="12" t="str">
        <f>IF($M$1&gt;=I53,VLOOKUP(I53,Iktato!$B$3:$L$10000,5,FALSE),"")</f>
        <v/>
      </c>
      <c r="C53" s="13" t="str">
        <f t="shared" si="9"/>
        <v/>
      </c>
      <c r="D53" s="14" t="str">
        <f>TRIM(IF($M$1&gt;=I53,IF(VLOOKUP(I53,Iktato!$B$3:$L$10000,8,FALSE)&lt;&gt;0,VLOOKUP(I53,Iktato!$B$3:$L$10000,8,FALSE),""),""))</f>
        <v/>
      </c>
      <c r="E53" s="14" t="str">
        <f>TRIM(IF($M$1&gt;=I53,IF(VLOOKUP(I53,Iktato!$B$3:$L$10000,9,FALSE)&lt;&gt;0,VLOOKUP(I53,Iktato!$B$3:$L$10000,9,FALSE),""),""))</f>
        <v/>
      </c>
      <c r="F53" s="43" t="str">
        <f t="shared" si="2"/>
        <v/>
      </c>
      <c r="G53" s="43"/>
      <c r="I53" s="6">
        <f t="shared" si="3"/>
        <v>43</v>
      </c>
      <c r="J53" s="6" t="str">
        <f t="shared" si="10"/>
        <v/>
      </c>
      <c r="K53" s="6" t="str">
        <f>IF($M$1&gt;=I53,VLOOKUP(I53,Iktato!$B$3:$L$10000,3,FALSE),"")</f>
        <v/>
      </c>
      <c r="M53" s="6" t="str">
        <f>IF($M$1&gt;=I53,IF(VLOOKUP(I53,Iktato!$B$3:$P$10000,15,FALSE)&lt;&gt;0,VLOOKUP(I53,Iktato!$B$3:$P$10000,15,FALSE),""),"")</f>
        <v/>
      </c>
      <c r="N53" s="6" t="str">
        <f>IF($M$1&gt;=I53,IF(VLOOKUP(I53,Iktato!$B$3:$Q$10000,16,FALSE)&lt;&gt;0,VLOOKUP(I53,Iktato!$B$3:$Q$10000,16,FALSE),""),"")</f>
        <v/>
      </c>
      <c r="P53" s="6" t="str">
        <f>TRIM(IF($M$1&gt;=I53,IF(VLOOKUP(I53,Iktato!$B$3:$L$10000,6,FALSE)&lt;&gt;0,VLOOKUP(I53,Iktato!$B$3:$L$10000,6,FALSE),""),""))</f>
        <v/>
      </c>
      <c r="Q53" s="8" t="str">
        <f>TRIM(IF($M$1&gt;=I53,IF(VLOOKUP(I53,Iktato!$B$3:$L$10000,7,FALSE)&lt;&gt;0,VLOOKUP(I53,Iktato!$B$3:$L$10000,7,FALSE),""),""))</f>
        <v/>
      </c>
      <c r="R53" s="6" t="str">
        <f t="shared" si="11"/>
        <v/>
      </c>
      <c r="S53" s="6" t="str">
        <f t="shared" si="12"/>
        <v/>
      </c>
      <c r="T53" s="6" t="str">
        <f t="shared" si="13"/>
        <v/>
      </c>
    </row>
    <row r="54" spans="1:20" ht="16.5" x14ac:dyDescent="0.25">
      <c r="A54" s="11" t="str">
        <f t="shared" si="8"/>
        <v/>
      </c>
      <c r="B54" s="12" t="str">
        <f>IF($M$1&gt;=I54,VLOOKUP(I54,Iktato!$B$3:$L$10000,5,FALSE),"")</f>
        <v/>
      </c>
      <c r="C54" s="13" t="str">
        <f t="shared" si="9"/>
        <v/>
      </c>
      <c r="D54" s="14" t="str">
        <f>TRIM(IF($M$1&gt;=I54,IF(VLOOKUP(I54,Iktato!$B$3:$L$10000,8,FALSE)&lt;&gt;0,VLOOKUP(I54,Iktato!$B$3:$L$10000,8,FALSE),""),""))</f>
        <v/>
      </c>
      <c r="E54" s="14" t="str">
        <f>TRIM(IF($M$1&gt;=I54,IF(VLOOKUP(I54,Iktato!$B$3:$L$10000,9,FALSE)&lt;&gt;0,VLOOKUP(I54,Iktato!$B$3:$L$10000,9,FALSE),""),""))</f>
        <v/>
      </c>
      <c r="F54" s="43" t="str">
        <f t="shared" si="2"/>
        <v/>
      </c>
      <c r="G54" s="43"/>
      <c r="I54" s="6">
        <f t="shared" si="3"/>
        <v>44</v>
      </c>
      <c r="J54" s="6" t="str">
        <f t="shared" si="10"/>
        <v/>
      </c>
      <c r="K54" s="6" t="str">
        <f>IF($M$1&gt;=I54,VLOOKUP(I54,Iktato!$B$3:$L$10000,3,FALSE),"")</f>
        <v/>
      </c>
      <c r="M54" s="6" t="str">
        <f>IF($M$1&gt;=I54,IF(VLOOKUP(I54,Iktato!$B$3:$P$10000,15,FALSE)&lt;&gt;0,VLOOKUP(I54,Iktato!$B$3:$P$10000,15,FALSE),""),"")</f>
        <v/>
      </c>
      <c r="N54" s="6" t="str">
        <f>IF($M$1&gt;=I54,IF(VLOOKUP(I54,Iktato!$B$3:$Q$10000,16,FALSE)&lt;&gt;0,VLOOKUP(I54,Iktato!$B$3:$Q$10000,16,FALSE),""),"")</f>
        <v/>
      </c>
      <c r="P54" s="6" t="str">
        <f>TRIM(IF($M$1&gt;=I54,IF(VLOOKUP(I54,Iktato!$B$3:$L$10000,6,FALSE)&lt;&gt;0,VLOOKUP(I54,Iktato!$B$3:$L$10000,6,FALSE),""),""))</f>
        <v/>
      </c>
      <c r="Q54" s="8" t="str">
        <f>TRIM(IF($M$1&gt;=I54,IF(VLOOKUP(I54,Iktato!$B$3:$L$10000,7,FALSE)&lt;&gt;0,VLOOKUP(I54,Iktato!$B$3:$L$10000,7,FALSE),""),""))</f>
        <v/>
      </c>
      <c r="R54" s="6" t="str">
        <f t="shared" si="11"/>
        <v/>
      </c>
      <c r="S54" s="6" t="str">
        <f t="shared" si="12"/>
        <v/>
      </c>
      <c r="T54" s="6" t="str">
        <f t="shared" si="13"/>
        <v/>
      </c>
    </row>
    <row r="55" spans="1:20" ht="16.5" x14ac:dyDescent="0.25">
      <c r="A55" s="11" t="str">
        <f t="shared" si="8"/>
        <v/>
      </c>
      <c r="B55" s="12" t="str">
        <f>IF($M$1&gt;=I55,VLOOKUP(I55,Iktato!$B$3:$L$10000,5,FALSE),"")</f>
        <v/>
      </c>
      <c r="C55" s="13" t="str">
        <f t="shared" si="9"/>
        <v/>
      </c>
      <c r="D55" s="14" t="str">
        <f>TRIM(IF($M$1&gt;=I55,IF(VLOOKUP(I55,Iktato!$B$3:$L$10000,8,FALSE)&lt;&gt;0,VLOOKUP(I55,Iktato!$B$3:$L$10000,8,FALSE),""),""))</f>
        <v/>
      </c>
      <c r="E55" s="14" t="str">
        <f>TRIM(IF($M$1&gt;=I55,IF(VLOOKUP(I55,Iktato!$B$3:$L$10000,9,FALSE)&lt;&gt;0,VLOOKUP(I55,Iktato!$B$3:$L$10000,9,FALSE),""),""))</f>
        <v/>
      </c>
      <c r="F55" s="43" t="str">
        <f t="shared" si="2"/>
        <v/>
      </c>
      <c r="G55" s="43"/>
      <c r="I55" s="6">
        <f t="shared" si="3"/>
        <v>45</v>
      </c>
      <c r="J55" s="6" t="str">
        <f t="shared" si="10"/>
        <v/>
      </c>
      <c r="K55" s="6" t="str">
        <f>IF($M$1&gt;=I55,VLOOKUP(I55,Iktato!$B$3:$L$10000,3,FALSE),"")</f>
        <v/>
      </c>
      <c r="M55" s="6" t="str">
        <f>IF($M$1&gt;=I55,IF(VLOOKUP(I55,Iktato!$B$3:$P$10000,15,FALSE)&lt;&gt;0,VLOOKUP(I55,Iktato!$B$3:$P$10000,15,FALSE),""),"")</f>
        <v/>
      </c>
      <c r="N55" s="6" t="str">
        <f>IF($M$1&gt;=I55,IF(VLOOKUP(I55,Iktato!$B$3:$Q$10000,16,FALSE)&lt;&gt;0,VLOOKUP(I55,Iktato!$B$3:$Q$10000,16,FALSE),""),"")</f>
        <v/>
      </c>
      <c r="P55" s="6" t="str">
        <f>TRIM(IF($M$1&gt;=I55,IF(VLOOKUP(I55,Iktato!$B$3:$L$10000,6,FALSE)&lt;&gt;0,VLOOKUP(I55,Iktato!$B$3:$L$10000,6,FALSE),""),""))</f>
        <v/>
      </c>
      <c r="Q55" s="8" t="str">
        <f>TRIM(IF($M$1&gt;=I55,IF(VLOOKUP(I55,Iktato!$B$3:$L$10000,7,FALSE)&lt;&gt;0,VLOOKUP(I55,Iktato!$B$3:$L$10000,7,FALSE),""),""))</f>
        <v/>
      </c>
      <c r="R55" s="6" t="str">
        <f t="shared" si="11"/>
        <v/>
      </c>
      <c r="S55" s="6" t="str">
        <f t="shared" si="12"/>
        <v/>
      </c>
      <c r="T55" s="6" t="str">
        <f t="shared" si="13"/>
        <v/>
      </c>
    </row>
    <row r="56" spans="1:20" ht="16.5" x14ac:dyDescent="0.25">
      <c r="A56" s="11" t="str">
        <f t="shared" si="8"/>
        <v/>
      </c>
      <c r="B56" s="12" t="str">
        <f>IF($M$1&gt;=I56,VLOOKUP(I56,Iktato!$B$3:$L$10000,5,FALSE),"")</f>
        <v/>
      </c>
      <c r="C56" s="13" t="str">
        <f t="shared" si="9"/>
        <v/>
      </c>
      <c r="D56" s="14" t="str">
        <f>TRIM(IF($M$1&gt;=I56,IF(VLOOKUP(I56,Iktato!$B$3:$L$10000,8,FALSE)&lt;&gt;0,VLOOKUP(I56,Iktato!$B$3:$L$10000,8,FALSE),""),""))</f>
        <v/>
      </c>
      <c r="E56" s="14" t="str">
        <f>TRIM(IF($M$1&gt;=I56,IF(VLOOKUP(I56,Iktato!$B$3:$L$10000,9,FALSE)&lt;&gt;0,VLOOKUP(I56,Iktato!$B$3:$L$10000,9,FALSE),""),""))</f>
        <v/>
      </c>
      <c r="F56" s="43" t="str">
        <f t="shared" si="2"/>
        <v/>
      </c>
      <c r="G56" s="43"/>
      <c r="I56" s="6">
        <f t="shared" si="3"/>
        <v>46</v>
      </c>
      <c r="J56" s="6" t="str">
        <f t="shared" si="10"/>
        <v/>
      </c>
      <c r="K56" s="6" t="str">
        <f>IF($M$1&gt;=I56,VLOOKUP(I56,Iktato!$B$3:$L$10000,3,FALSE),"")</f>
        <v/>
      </c>
      <c r="M56" s="6" t="str">
        <f>IF($M$1&gt;=I56,IF(VLOOKUP(I56,Iktato!$B$3:$P$10000,15,FALSE)&lt;&gt;0,VLOOKUP(I56,Iktato!$B$3:$P$10000,15,FALSE),""),"")</f>
        <v/>
      </c>
      <c r="N56" s="6" t="str">
        <f>IF($M$1&gt;=I56,IF(VLOOKUP(I56,Iktato!$B$3:$Q$10000,16,FALSE)&lt;&gt;0,VLOOKUP(I56,Iktato!$B$3:$Q$10000,16,FALSE),""),"")</f>
        <v/>
      </c>
      <c r="P56" s="6" t="str">
        <f>TRIM(IF($M$1&gt;=I56,IF(VLOOKUP(I56,Iktato!$B$3:$L$10000,6,FALSE)&lt;&gt;0,VLOOKUP(I56,Iktato!$B$3:$L$10000,6,FALSE),""),""))</f>
        <v/>
      </c>
      <c r="Q56" s="8" t="str">
        <f>TRIM(IF($M$1&gt;=I56,IF(VLOOKUP(I56,Iktato!$B$3:$L$10000,7,FALSE)&lt;&gt;0,VLOOKUP(I56,Iktato!$B$3:$L$10000,7,FALSE),""),""))</f>
        <v/>
      </c>
      <c r="R56" s="6" t="str">
        <f t="shared" si="11"/>
        <v/>
      </c>
      <c r="S56" s="6" t="str">
        <f t="shared" si="12"/>
        <v/>
      </c>
      <c r="T56" s="6" t="str">
        <f t="shared" si="13"/>
        <v/>
      </c>
    </row>
    <row r="57" spans="1:20" ht="16.5" x14ac:dyDescent="0.25">
      <c r="A57" s="11" t="str">
        <f t="shared" si="8"/>
        <v/>
      </c>
      <c r="B57" s="12" t="str">
        <f>IF($M$1&gt;=I57,VLOOKUP(I57,Iktato!$B$3:$L$10000,5,FALSE),"")</f>
        <v/>
      </c>
      <c r="C57" s="13" t="str">
        <f t="shared" si="9"/>
        <v/>
      </c>
      <c r="D57" s="14" t="str">
        <f>TRIM(IF($M$1&gt;=I57,IF(VLOOKUP(I57,Iktato!$B$3:$L$10000,8,FALSE)&lt;&gt;0,VLOOKUP(I57,Iktato!$B$3:$L$10000,8,FALSE),""),""))</f>
        <v/>
      </c>
      <c r="E57" s="14" t="str">
        <f>TRIM(IF($M$1&gt;=I57,IF(VLOOKUP(I57,Iktato!$B$3:$L$10000,9,FALSE)&lt;&gt;0,VLOOKUP(I57,Iktato!$B$3:$L$10000,9,FALSE),""),""))</f>
        <v/>
      </c>
      <c r="F57" s="43" t="str">
        <f t="shared" si="2"/>
        <v/>
      </c>
      <c r="G57" s="43"/>
      <c r="I57" s="6">
        <f t="shared" si="3"/>
        <v>47</v>
      </c>
      <c r="J57" s="6" t="str">
        <f t="shared" si="10"/>
        <v/>
      </c>
      <c r="K57" s="6" t="str">
        <f>IF($M$1&gt;=I57,VLOOKUP(I57,Iktato!$B$3:$L$10000,3,FALSE),"")</f>
        <v/>
      </c>
      <c r="M57" s="6" t="str">
        <f>IF($M$1&gt;=I57,IF(VLOOKUP(I57,Iktato!$B$3:$P$10000,15,FALSE)&lt;&gt;0,VLOOKUP(I57,Iktato!$B$3:$P$10000,15,FALSE),""),"")</f>
        <v/>
      </c>
      <c r="N57" s="6" t="str">
        <f>IF($M$1&gt;=I57,IF(VLOOKUP(I57,Iktato!$B$3:$Q$10000,16,FALSE)&lt;&gt;0,VLOOKUP(I57,Iktato!$B$3:$Q$10000,16,FALSE),""),"")</f>
        <v/>
      </c>
      <c r="P57" s="6" t="str">
        <f>TRIM(IF($M$1&gt;=I57,IF(VLOOKUP(I57,Iktato!$B$3:$L$10000,6,FALSE)&lt;&gt;0,VLOOKUP(I57,Iktato!$B$3:$L$10000,6,FALSE),""),""))</f>
        <v/>
      </c>
      <c r="Q57" s="8" t="str">
        <f>TRIM(IF($M$1&gt;=I57,IF(VLOOKUP(I57,Iktato!$B$3:$L$10000,7,FALSE)&lt;&gt;0,VLOOKUP(I57,Iktato!$B$3:$L$10000,7,FALSE),""),""))</f>
        <v/>
      </c>
      <c r="R57" s="6" t="str">
        <f t="shared" si="11"/>
        <v/>
      </c>
      <c r="S57" s="6" t="str">
        <f t="shared" si="12"/>
        <v/>
      </c>
      <c r="T57" s="6" t="str">
        <f t="shared" si="13"/>
        <v/>
      </c>
    </row>
    <row r="58" spans="1:20" ht="16.5" x14ac:dyDescent="0.25">
      <c r="A58" s="11" t="str">
        <f t="shared" si="8"/>
        <v/>
      </c>
      <c r="B58" s="12" t="str">
        <f>IF($M$1&gt;=I58,VLOOKUP(I58,Iktato!$B$3:$L$10000,5,FALSE),"")</f>
        <v/>
      </c>
      <c r="C58" s="13" t="str">
        <f t="shared" si="9"/>
        <v/>
      </c>
      <c r="D58" s="14" t="str">
        <f>TRIM(IF($M$1&gt;=I58,IF(VLOOKUP(I58,Iktato!$B$3:$L$10000,8,FALSE)&lt;&gt;0,VLOOKUP(I58,Iktato!$B$3:$L$10000,8,FALSE),""),""))</f>
        <v/>
      </c>
      <c r="E58" s="14" t="str">
        <f>TRIM(IF($M$1&gt;=I58,IF(VLOOKUP(I58,Iktato!$B$3:$L$10000,9,FALSE)&lt;&gt;0,VLOOKUP(I58,Iktato!$B$3:$L$10000,9,FALSE),""),""))</f>
        <v/>
      </c>
      <c r="F58" s="43" t="str">
        <f t="shared" si="2"/>
        <v/>
      </c>
      <c r="G58" s="43"/>
      <c r="I58" s="6">
        <f t="shared" si="3"/>
        <v>48</v>
      </c>
      <c r="J58" s="6" t="str">
        <f t="shared" si="10"/>
        <v/>
      </c>
      <c r="K58" s="6" t="str">
        <f>IF($M$1&gt;=I58,VLOOKUP(I58,Iktato!$B$3:$L$10000,3,FALSE),"")</f>
        <v/>
      </c>
      <c r="M58" s="6" t="str">
        <f>IF($M$1&gt;=I58,IF(VLOOKUP(I58,Iktato!$B$3:$P$10000,15,FALSE)&lt;&gt;0,VLOOKUP(I58,Iktato!$B$3:$P$10000,15,FALSE),""),"")</f>
        <v/>
      </c>
      <c r="N58" s="6" t="str">
        <f>IF($M$1&gt;=I58,IF(VLOOKUP(I58,Iktato!$B$3:$Q$10000,16,FALSE)&lt;&gt;0,VLOOKUP(I58,Iktato!$B$3:$Q$10000,16,FALSE),""),"")</f>
        <v/>
      </c>
      <c r="P58" s="6" t="str">
        <f>TRIM(IF($M$1&gt;=I58,IF(VLOOKUP(I58,Iktato!$B$3:$L$10000,6,FALSE)&lt;&gt;0,VLOOKUP(I58,Iktato!$B$3:$L$10000,6,FALSE),""),""))</f>
        <v/>
      </c>
      <c r="Q58" s="8" t="str">
        <f>TRIM(IF($M$1&gt;=I58,IF(VLOOKUP(I58,Iktato!$B$3:$L$10000,7,FALSE)&lt;&gt;0,VLOOKUP(I58,Iktato!$B$3:$L$10000,7,FALSE),""),""))</f>
        <v/>
      </c>
      <c r="R58" s="6" t="str">
        <f t="shared" si="11"/>
        <v/>
      </c>
      <c r="S58" s="6" t="str">
        <f t="shared" si="12"/>
        <v/>
      </c>
      <c r="T58" s="6" t="str">
        <f t="shared" si="13"/>
        <v/>
      </c>
    </row>
    <row r="59" spans="1:20" ht="16.5" x14ac:dyDescent="0.25">
      <c r="A59" s="11" t="str">
        <f t="shared" si="8"/>
        <v/>
      </c>
      <c r="B59" s="12" t="str">
        <f>IF($M$1&gt;=I59,VLOOKUP(I59,Iktato!$B$3:$L$10000,5,FALSE),"")</f>
        <v/>
      </c>
      <c r="C59" s="13" t="str">
        <f t="shared" si="9"/>
        <v/>
      </c>
      <c r="D59" s="14" t="str">
        <f>TRIM(IF($M$1&gt;=I59,IF(VLOOKUP(I59,Iktato!$B$3:$L$10000,8,FALSE)&lt;&gt;0,VLOOKUP(I59,Iktato!$B$3:$L$10000,8,FALSE),""),""))</f>
        <v/>
      </c>
      <c r="E59" s="14" t="str">
        <f>TRIM(IF($M$1&gt;=I59,IF(VLOOKUP(I59,Iktato!$B$3:$L$10000,9,FALSE)&lt;&gt;0,VLOOKUP(I59,Iktato!$B$3:$L$10000,9,FALSE),""),""))</f>
        <v/>
      </c>
      <c r="F59" s="43" t="str">
        <f t="shared" si="2"/>
        <v/>
      </c>
      <c r="G59" s="43"/>
      <c r="I59" s="6">
        <f t="shared" si="3"/>
        <v>49</v>
      </c>
      <c r="J59" s="6" t="str">
        <f t="shared" si="10"/>
        <v/>
      </c>
      <c r="K59" s="6" t="str">
        <f>IF($M$1&gt;=I59,VLOOKUP(I59,Iktato!$B$3:$L$10000,3,FALSE),"")</f>
        <v/>
      </c>
      <c r="M59" s="6" t="str">
        <f>IF($M$1&gt;=I59,IF(VLOOKUP(I59,Iktato!$B$3:$P$10000,15,FALSE)&lt;&gt;0,VLOOKUP(I59,Iktato!$B$3:$P$10000,15,FALSE),""),"")</f>
        <v/>
      </c>
      <c r="N59" s="6" t="str">
        <f>IF($M$1&gt;=I59,IF(VLOOKUP(I59,Iktato!$B$3:$Q$10000,16,FALSE)&lt;&gt;0,VLOOKUP(I59,Iktato!$B$3:$Q$10000,16,FALSE),""),"")</f>
        <v/>
      </c>
      <c r="P59" s="6" t="str">
        <f>TRIM(IF($M$1&gt;=I59,IF(VLOOKUP(I59,Iktato!$B$3:$L$10000,6,FALSE)&lt;&gt;0,VLOOKUP(I59,Iktato!$B$3:$L$10000,6,FALSE),""),""))</f>
        <v/>
      </c>
      <c r="Q59" s="8" t="str">
        <f>TRIM(IF($M$1&gt;=I59,IF(VLOOKUP(I59,Iktato!$B$3:$L$10000,7,FALSE)&lt;&gt;0,VLOOKUP(I59,Iktato!$B$3:$L$10000,7,FALSE),""),""))</f>
        <v/>
      </c>
      <c r="R59" s="6" t="str">
        <f t="shared" si="11"/>
        <v/>
      </c>
      <c r="S59" s="6" t="str">
        <f t="shared" si="12"/>
        <v/>
      </c>
      <c r="T59" s="6" t="str">
        <f t="shared" si="13"/>
        <v/>
      </c>
    </row>
    <row r="60" spans="1:20" ht="16.5" x14ac:dyDescent="0.25">
      <c r="A60" s="11" t="str">
        <f t="shared" si="8"/>
        <v/>
      </c>
      <c r="B60" s="12" t="str">
        <f>IF($M$1&gt;=I60,VLOOKUP(I60,Iktato!$B$3:$L$10000,5,FALSE),"")</f>
        <v/>
      </c>
      <c r="C60" s="13" t="str">
        <f t="shared" si="9"/>
        <v/>
      </c>
      <c r="D60" s="14" t="str">
        <f>TRIM(IF($M$1&gt;=I60,IF(VLOOKUP(I60,Iktato!$B$3:$L$10000,8,FALSE)&lt;&gt;0,VLOOKUP(I60,Iktato!$B$3:$L$10000,8,FALSE),""),""))</f>
        <v/>
      </c>
      <c r="E60" s="14" t="str">
        <f>TRIM(IF($M$1&gt;=I60,IF(VLOOKUP(I60,Iktato!$B$3:$L$10000,9,FALSE)&lt;&gt;0,VLOOKUP(I60,Iktato!$B$3:$L$10000,9,FALSE),""),""))</f>
        <v/>
      </c>
      <c r="F60" s="43" t="str">
        <f t="shared" si="2"/>
        <v/>
      </c>
      <c r="G60" s="43"/>
      <c r="I60" s="6">
        <f t="shared" si="3"/>
        <v>50</v>
      </c>
      <c r="J60" s="6" t="str">
        <f t="shared" si="10"/>
        <v/>
      </c>
      <c r="K60" s="6" t="str">
        <f>IF($M$1&gt;=I60,VLOOKUP(I60,Iktato!$B$3:$L$10000,3,FALSE),"")</f>
        <v/>
      </c>
      <c r="M60" s="6" t="str">
        <f>IF($M$1&gt;=I60,IF(VLOOKUP(I60,Iktato!$B$3:$P$10000,15,FALSE)&lt;&gt;0,VLOOKUP(I60,Iktato!$B$3:$P$10000,15,FALSE),""),"")</f>
        <v/>
      </c>
      <c r="N60" s="6" t="str">
        <f>IF($M$1&gt;=I60,IF(VLOOKUP(I60,Iktato!$B$3:$Q$10000,16,FALSE)&lt;&gt;0,VLOOKUP(I60,Iktato!$B$3:$Q$10000,16,FALSE),""),"")</f>
        <v/>
      </c>
      <c r="P60" s="6" t="str">
        <f>TRIM(IF($M$1&gt;=I60,IF(VLOOKUP(I60,Iktato!$B$3:$L$10000,6,FALSE)&lt;&gt;0,VLOOKUP(I60,Iktato!$B$3:$L$10000,6,FALSE),""),""))</f>
        <v/>
      </c>
      <c r="Q60" s="8" t="str">
        <f>TRIM(IF($M$1&gt;=I60,IF(VLOOKUP(I60,Iktato!$B$3:$L$10000,7,FALSE)&lt;&gt;0,VLOOKUP(I60,Iktato!$B$3:$L$10000,7,FALSE),""),""))</f>
        <v/>
      </c>
      <c r="R60" s="6" t="str">
        <f t="shared" si="11"/>
        <v/>
      </c>
      <c r="S60" s="6" t="str">
        <f t="shared" si="12"/>
        <v/>
      </c>
      <c r="T60" s="6" t="str">
        <f t="shared" si="13"/>
        <v/>
      </c>
    </row>
    <row r="61" spans="1:20" ht="16.5" x14ac:dyDescent="0.25">
      <c r="A61" s="11" t="str">
        <f t="shared" si="8"/>
        <v/>
      </c>
      <c r="B61" s="12" t="str">
        <f>IF($M$1&gt;=I61,VLOOKUP(I61,Iktato!$B$3:$L$10000,5,FALSE),"")</f>
        <v/>
      </c>
      <c r="C61" s="13" t="str">
        <f t="shared" si="9"/>
        <v/>
      </c>
      <c r="D61" s="14" t="str">
        <f>TRIM(IF($M$1&gt;=I61,IF(VLOOKUP(I61,Iktato!$B$3:$L$10000,8,FALSE)&lt;&gt;0,VLOOKUP(I61,Iktato!$B$3:$L$10000,8,FALSE),""),""))</f>
        <v/>
      </c>
      <c r="E61" s="14" t="str">
        <f>TRIM(IF($M$1&gt;=I61,IF(VLOOKUP(I61,Iktato!$B$3:$L$10000,9,FALSE)&lt;&gt;0,VLOOKUP(I61,Iktato!$B$3:$L$10000,9,FALSE),""),""))</f>
        <v/>
      </c>
      <c r="F61" s="43" t="str">
        <f t="shared" si="2"/>
        <v/>
      </c>
      <c r="G61" s="43"/>
      <c r="I61" s="6">
        <f t="shared" si="3"/>
        <v>51</v>
      </c>
      <c r="J61" s="6" t="str">
        <f t="shared" si="10"/>
        <v/>
      </c>
      <c r="K61" s="6" t="str">
        <f>IF($M$1&gt;=I61,VLOOKUP(I61,Iktato!$B$3:$L$10000,3,FALSE),"")</f>
        <v/>
      </c>
      <c r="M61" s="6" t="str">
        <f>IF($M$1&gt;=I61,IF(VLOOKUP(I61,Iktato!$B$3:$P$10000,15,FALSE)&lt;&gt;0,VLOOKUP(I61,Iktato!$B$3:$P$10000,15,FALSE),""),"")</f>
        <v/>
      </c>
      <c r="N61" s="6" t="str">
        <f>IF($M$1&gt;=I61,IF(VLOOKUP(I61,Iktato!$B$3:$Q$10000,16,FALSE)&lt;&gt;0,VLOOKUP(I61,Iktato!$B$3:$Q$10000,16,FALSE),""),"")</f>
        <v/>
      </c>
      <c r="P61" s="6" t="str">
        <f>TRIM(IF($M$1&gt;=I61,IF(VLOOKUP(I61,Iktato!$B$3:$L$10000,6,FALSE)&lt;&gt;0,VLOOKUP(I61,Iktato!$B$3:$L$10000,6,FALSE),""),""))</f>
        <v/>
      </c>
      <c r="Q61" s="8" t="str">
        <f>TRIM(IF($M$1&gt;=I61,IF(VLOOKUP(I61,Iktato!$B$3:$L$10000,7,FALSE)&lt;&gt;0,VLOOKUP(I61,Iktato!$B$3:$L$10000,7,FALSE),""),""))</f>
        <v/>
      </c>
      <c r="R61" s="6" t="str">
        <f t="shared" si="11"/>
        <v/>
      </c>
      <c r="S61" s="6" t="str">
        <f t="shared" si="12"/>
        <v/>
      </c>
      <c r="T61" s="6" t="str">
        <f t="shared" si="13"/>
        <v/>
      </c>
    </row>
    <row r="62" spans="1:20" ht="16.5" x14ac:dyDescent="0.25">
      <c r="A62" s="11" t="str">
        <f t="shared" si="8"/>
        <v/>
      </c>
      <c r="B62" s="12" t="str">
        <f>IF($M$1&gt;=I62,VLOOKUP(I62,Iktato!$B$3:$L$10000,5,FALSE),"")</f>
        <v/>
      </c>
      <c r="C62" s="13" t="str">
        <f t="shared" si="9"/>
        <v/>
      </c>
      <c r="D62" s="14" t="str">
        <f>TRIM(IF($M$1&gt;=I62,IF(VLOOKUP(I62,Iktato!$B$3:$L$10000,8,FALSE)&lt;&gt;0,VLOOKUP(I62,Iktato!$B$3:$L$10000,8,FALSE),""),""))</f>
        <v/>
      </c>
      <c r="E62" s="14" t="str">
        <f>TRIM(IF($M$1&gt;=I62,IF(VLOOKUP(I62,Iktato!$B$3:$L$10000,9,FALSE)&lt;&gt;0,VLOOKUP(I62,Iktato!$B$3:$L$10000,9,FALSE),""),""))</f>
        <v/>
      </c>
      <c r="F62" s="43" t="str">
        <f t="shared" si="2"/>
        <v/>
      </c>
      <c r="G62" s="43"/>
      <c r="I62" s="6">
        <f t="shared" si="3"/>
        <v>52</v>
      </c>
      <c r="J62" s="6" t="str">
        <f t="shared" si="10"/>
        <v/>
      </c>
      <c r="K62" s="6" t="str">
        <f>IF($M$1&gt;=I62,VLOOKUP(I62,Iktato!$B$3:$L$10000,3,FALSE),"")</f>
        <v/>
      </c>
      <c r="M62" s="6" t="str">
        <f>IF($M$1&gt;=I62,IF(VLOOKUP(I62,Iktato!$B$3:$P$10000,15,FALSE)&lt;&gt;0,VLOOKUP(I62,Iktato!$B$3:$P$10000,15,FALSE),""),"")</f>
        <v/>
      </c>
      <c r="N62" s="6" t="str">
        <f>IF($M$1&gt;=I62,IF(VLOOKUP(I62,Iktato!$B$3:$Q$10000,16,FALSE)&lt;&gt;0,VLOOKUP(I62,Iktato!$B$3:$Q$10000,16,FALSE),""),"")</f>
        <v/>
      </c>
      <c r="P62" s="6" t="str">
        <f>TRIM(IF($M$1&gt;=I62,IF(VLOOKUP(I62,Iktato!$B$3:$L$10000,6,FALSE)&lt;&gt;0,VLOOKUP(I62,Iktato!$B$3:$L$10000,6,FALSE),""),""))</f>
        <v/>
      </c>
      <c r="Q62" s="8" t="str">
        <f>TRIM(IF($M$1&gt;=I62,IF(VLOOKUP(I62,Iktato!$B$3:$L$10000,7,FALSE)&lt;&gt;0,VLOOKUP(I62,Iktato!$B$3:$L$10000,7,FALSE),""),""))</f>
        <v/>
      </c>
      <c r="R62" s="6" t="str">
        <f t="shared" si="11"/>
        <v/>
      </c>
      <c r="S62" s="6" t="str">
        <f t="shared" si="12"/>
        <v/>
      </c>
      <c r="T62" s="6" t="str">
        <f t="shared" si="13"/>
        <v/>
      </c>
    </row>
    <row r="63" spans="1:20" ht="16.5" x14ac:dyDescent="0.25">
      <c r="A63" s="11" t="str">
        <f t="shared" si="8"/>
        <v/>
      </c>
      <c r="B63" s="12" t="str">
        <f>IF($M$1&gt;=I63,VLOOKUP(I63,Iktato!$B$3:$L$10000,5,FALSE),"")</f>
        <v/>
      </c>
      <c r="C63" s="13" t="str">
        <f t="shared" si="9"/>
        <v/>
      </c>
      <c r="D63" s="14" t="str">
        <f>TRIM(IF($M$1&gt;=I63,IF(VLOOKUP(I63,Iktato!$B$3:$L$10000,8,FALSE)&lt;&gt;0,VLOOKUP(I63,Iktato!$B$3:$L$10000,8,FALSE),""),""))</f>
        <v/>
      </c>
      <c r="E63" s="14" t="str">
        <f>TRIM(IF($M$1&gt;=I63,IF(VLOOKUP(I63,Iktato!$B$3:$L$10000,9,FALSE)&lt;&gt;0,VLOOKUP(I63,Iktato!$B$3:$L$10000,9,FALSE),""),""))</f>
        <v/>
      </c>
      <c r="F63" s="43" t="str">
        <f t="shared" si="2"/>
        <v/>
      </c>
      <c r="G63" s="43"/>
      <c r="I63" s="6">
        <f t="shared" si="3"/>
        <v>53</v>
      </c>
      <c r="J63" s="6" t="str">
        <f t="shared" si="10"/>
        <v/>
      </c>
      <c r="K63" s="6" t="str">
        <f>IF($M$1&gt;=I63,VLOOKUP(I63,Iktato!$B$3:$L$10000,3,FALSE),"")</f>
        <v/>
      </c>
      <c r="M63" s="6" t="str">
        <f>IF($M$1&gt;=I63,IF(VLOOKUP(I63,Iktato!$B$3:$P$10000,15,FALSE)&lt;&gt;0,VLOOKUP(I63,Iktato!$B$3:$P$10000,15,FALSE),""),"")</f>
        <v/>
      </c>
      <c r="N63" s="6" t="str">
        <f>IF($M$1&gt;=I63,IF(VLOOKUP(I63,Iktato!$B$3:$Q$10000,16,FALSE)&lt;&gt;0,VLOOKUP(I63,Iktato!$B$3:$Q$10000,16,FALSE),""),"")</f>
        <v/>
      </c>
      <c r="P63" s="6" t="str">
        <f>TRIM(IF($M$1&gt;=I63,IF(VLOOKUP(I63,Iktato!$B$3:$L$10000,6,FALSE)&lt;&gt;0,VLOOKUP(I63,Iktato!$B$3:$L$10000,6,FALSE),""),""))</f>
        <v/>
      </c>
      <c r="Q63" s="8" t="str">
        <f>TRIM(IF($M$1&gt;=I63,IF(VLOOKUP(I63,Iktato!$B$3:$L$10000,7,FALSE)&lt;&gt;0,VLOOKUP(I63,Iktato!$B$3:$L$10000,7,FALSE),""),""))</f>
        <v/>
      </c>
      <c r="R63" s="6" t="str">
        <f t="shared" si="11"/>
        <v/>
      </c>
      <c r="S63" s="6" t="str">
        <f t="shared" si="12"/>
        <v/>
      </c>
      <c r="T63" s="6" t="str">
        <f t="shared" si="13"/>
        <v/>
      </c>
    </row>
    <row r="64" spans="1:20" ht="16.5" x14ac:dyDescent="0.25">
      <c r="A64" s="11" t="str">
        <f t="shared" si="8"/>
        <v/>
      </c>
      <c r="B64" s="12" t="str">
        <f>IF($M$1&gt;=I64,VLOOKUP(I64,Iktato!$B$3:$L$10000,5,FALSE),"")</f>
        <v/>
      </c>
      <c r="C64" s="13" t="str">
        <f t="shared" si="9"/>
        <v/>
      </c>
      <c r="D64" s="14" t="str">
        <f>TRIM(IF($M$1&gt;=I64,IF(VLOOKUP(I64,Iktato!$B$3:$L$10000,8,FALSE)&lt;&gt;0,VLOOKUP(I64,Iktato!$B$3:$L$10000,8,FALSE),""),""))</f>
        <v/>
      </c>
      <c r="E64" s="14" t="str">
        <f>TRIM(IF($M$1&gt;=I64,IF(VLOOKUP(I64,Iktato!$B$3:$L$10000,9,FALSE)&lt;&gt;0,VLOOKUP(I64,Iktato!$B$3:$L$10000,9,FALSE),""),""))</f>
        <v/>
      </c>
      <c r="F64" s="43" t="str">
        <f t="shared" si="2"/>
        <v/>
      </c>
      <c r="G64" s="43"/>
      <c r="I64" s="6">
        <f t="shared" si="3"/>
        <v>54</v>
      </c>
      <c r="J64" s="6" t="str">
        <f t="shared" si="10"/>
        <v/>
      </c>
      <c r="K64" s="6" t="str">
        <f>IF($M$1&gt;=I64,VLOOKUP(I64,Iktato!$B$3:$L$10000,3,FALSE),"")</f>
        <v/>
      </c>
      <c r="M64" s="6" t="str">
        <f>IF($M$1&gt;=I64,IF(VLOOKUP(I64,Iktato!$B$3:$P$10000,15,FALSE)&lt;&gt;0,VLOOKUP(I64,Iktato!$B$3:$P$10000,15,FALSE),""),"")</f>
        <v/>
      </c>
      <c r="N64" s="6" t="str">
        <f>IF($M$1&gt;=I64,IF(VLOOKUP(I64,Iktato!$B$3:$Q$10000,16,FALSE)&lt;&gt;0,VLOOKUP(I64,Iktato!$B$3:$Q$10000,16,FALSE),""),"")</f>
        <v/>
      </c>
      <c r="P64" s="6" t="str">
        <f>TRIM(IF($M$1&gt;=I64,IF(VLOOKUP(I64,Iktato!$B$3:$L$10000,6,FALSE)&lt;&gt;0,VLOOKUP(I64,Iktato!$B$3:$L$10000,6,FALSE),""),""))</f>
        <v/>
      </c>
      <c r="Q64" s="8" t="str">
        <f>TRIM(IF($M$1&gt;=I64,IF(VLOOKUP(I64,Iktato!$B$3:$L$10000,7,FALSE)&lt;&gt;0,VLOOKUP(I64,Iktato!$B$3:$L$10000,7,FALSE),""),""))</f>
        <v/>
      </c>
      <c r="R64" s="6" t="str">
        <f t="shared" si="11"/>
        <v/>
      </c>
      <c r="S64" s="6" t="str">
        <f t="shared" si="12"/>
        <v/>
      </c>
      <c r="T64" s="6" t="str">
        <f t="shared" si="13"/>
        <v/>
      </c>
    </row>
    <row r="65" spans="1:20" ht="16.5" x14ac:dyDescent="0.25">
      <c r="A65" s="11" t="str">
        <f t="shared" si="8"/>
        <v/>
      </c>
      <c r="B65" s="12" t="str">
        <f>IF($M$1&gt;=I65,VLOOKUP(I65,Iktato!$B$3:$L$10000,5,FALSE),"")</f>
        <v/>
      </c>
      <c r="C65" s="13" t="str">
        <f t="shared" si="9"/>
        <v/>
      </c>
      <c r="D65" s="14" t="str">
        <f>TRIM(IF($M$1&gt;=I65,IF(VLOOKUP(I65,Iktato!$B$3:$L$10000,8,FALSE)&lt;&gt;0,VLOOKUP(I65,Iktato!$B$3:$L$10000,8,FALSE),""),""))</f>
        <v/>
      </c>
      <c r="E65" s="14" t="str">
        <f>TRIM(IF($M$1&gt;=I65,IF(VLOOKUP(I65,Iktato!$B$3:$L$10000,9,FALSE)&lt;&gt;0,VLOOKUP(I65,Iktato!$B$3:$L$10000,9,FALSE),""),""))</f>
        <v/>
      </c>
      <c r="F65" s="43" t="str">
        <f t="shared" si="2"/>
        <v/>
      </c>
      <c r="G65" s="43"/>
      <c r="I65" s="6">
        <f t="shared" si="3"/>
        <v>55</v>
      </c>
      <c r="J65" s="6" t="str">
        <f t="shared" si="10"/>
        <v/>
      </c>
      <c r="K65" s="6" t="str">
        <f>IF($M$1&gt;=I65,VLOOKUP(I65,Iktato!$B$3:$L$10000,3,FALSE),"")</f>
        <v/>
      </c>
      <c r="M65" s="6" t="str">
        <f>IF($M$1&gt;=I65,IF(VLOOKUP(I65,Iktato!$B$3:$P$10000,15,FALSE)&lt;&gt;0,VLOOKUP(I65,Iktato!$B$3:$P$10000,15,FALSE),""),"")</f>
        <v/>
      </c>
      <c r="N65" s="6" t="str">
        <f>IF($M$1&gt;=I65,IF(VLOOKUP(I65,Iktato!$B$3:$Q$10000,16,FALSE)&lt;&gt;0,VLOOKUP(I65,Iktato!$B$3:$Q$10000,16,FALSE),""),"")</f>
        <v/>
      </c>
      <c r="P65" s="6" t="str">
        <f>TRIM(IF($M$1&gt;=I65,IF(VLOOKUP(I65,Iktato!$B$3:$L$10000,6,FALSE)&lt;&gt;0,VLOOKUP(I65,Iktato!$B$3:$L$10000,6,FALSE),""),""))</f>
        <v/>
      </c>
      <c r="Q65" s="8" t="str">
        <f>TRIM(IF($M$1&gt;=I65,IF(VLOOKUP(I65,Iktato!$B$3:$L$10000,7,FALSE)&lt;&gt;0,VLOOKUP(I65,Iktato!$B$3:$L$10000,7,FALSE),""),""))</f>
        <v/>
      </c>
      <c r="R65" s="6" t="str">
        <f t="shared" si="11"/>
        <v/>
      </c>
      <c r="S65" s="6" t="str">
        <f t="shared" si="12"/>
        <v/>
      </c>
      <c r="T65" s="6" t="str">
        <f t="shared" si="13"/>
        <v/>
      </c>
    </row>
    <row r="66" spans="1:20" ht="16.5" x14ac:dyDescent="0.25">
      <c r="A66" s="11" t="str">
        <f t="shared" si="8"/>
        <v/>
      </c>
      <c r="B66" s="12" t="str">
        <f>IF($M$1&gt;=I66,VLOOKUP(I66,Iktato!$B$3:$L$10000,5,FALSE),"")</f>
        <v/>
      </c>
      <c r="C66" s="13" t="str">
        <f t="shared" si="9"/>
        <v/>
      </c>
      <c r="D66" s="14" t="str">
        <f>TRIM(IF($M$1&gt;=I66,IF(VLOOKUP(I66,Iktato!$B$3:$L$10000,8,FALSE)&lt;&gt;0,VLOOKUP(I66,Iktato!$B$3:$L$10000,8,FALSE),""),""))</f>
        <v/>
      </c>
      <c r="E66" s="14" t="str">
        <f>TRIM(IF($M$1&gt;=I66,IF(VLOOKUP(I66,Iktato!$B$3:$L$10000,9,FALSE)&lt;&gt;0,VLOOKUP(I66,Iktato!$B$3:$L$10000,9,FALSE),""),""))</f>
        <v/>
      </c>
      <c r="F66" s="43" t="str">
        <f t="shared" si="2"/>
        <v/>
      </c>
      <c r="G66" s="43"/>
      <c r="I66" s="6">
        <f t="shared" si="3"/>
        <v>56</v>
      </c>
      <c r="J66" s="6" t="str">
        <f t="shared" si="10"/>
        <v/>
      </c>
      <c r="K66" s="6" t="str">
        <f>IF($M$1&gt;=I66,VLOOKUP(I66,Iktato!$B$3:$L$10000,3,FALSE),"")</f>
        <v/>
      </c>
      <c r="M66" s="6" t="str">
        <f>IF($M$1&gt;=I66,IF(VLOOKUP(I66,Iktato!$B$3:$P$10000,15,FALSE)&lt;&gt;0,VLOOKUP(I66,Iktato!$B$3:$P$10000,15,FALSE),""),"")</f>
        <v/>
      </c>
      <c r="N66" s="6" t="str">
        <f>IF($M$1&gt;=I66,IF(VLOOKUP(I66,Iktato!$B$3:$Q$10000,16,FALSE)&lt;&gt;0,VLOOKUP(I66,Iktato!$B$3:$Q$10000,16,FALSE),""),"")</f>
        <v/>
      </c>
      <c r="P66" s="6" t="str">
        <f>TRIM(IF($M$1&gt;=I66,IF(VLOOKUP(I66,Iktato!$B$3:$L$10000,6,FALSE)&lt;&gt;0,VLOOKUP(I66,Iktato!$B$3:$L$10000,6,FALSE),""),""))</f>
        <v/>
      </c>
      <c r="Q66" s="8" t="str">
        <f>TRIM(IF($M$1&gt;=I66,IF(VLOOKUP(I66,Iktato!$B$3:$L$10000,7,FALSE)&lt;&gt;0,VLOOKUP(I66,Iktato!$B$3:$L$10000,7,FALSE),""),""))</f>
        <v/>
      </c>
      <c r="R66" s="6" t="str">
        <f t="shared" si="11"/>
        <v/>
      </c>
      <c r="S66" s="6" t="str">
        <f t="shared" si="12"/>
        <v/>
      </c>
      <c r="T66" s="6" t="str">
        <f t="shared" si="13"/>
        <v/>
      </c>
    </row>
    <row r="67" spans="1:20" ht="16.5" x14ac:dyDescent="0.25">
      <c r="A67" s="11" t="str">
        <f t="shared" si="8"/>
        <v/>
      </c>
      <c r="B67" s="12" t="str">
        <f>IF($M$1&gt;=I67,VLOOKUP(I67,Iktato!$B$3:$L$10000,5,FALSE),"")</f>
        <v/>
      </c>
      <c r="C67" s="13" t="str">
        <f t="shared" si="9"/>
        <v/>
      </c>
      <c r="D67" s="14" t="str">
        <f>TRIM(IF($M$1&gt;=I67,IF(VLOOKUP(I67,Iktato!$B$3:$L$10000,8,FALSE)&lt;&gt;0,VLOOKUP(I67,Iktato!$B$3:$L$10000,8,FALSE),""),""))</f>
        <v/>
      </c>
      <c r="E67" s="14" t="str">
        <f>TRIM(IF($M$1&gt;=I67,IF(VLOOKUP(I67,Iktato!$B$3:$L$10000,9,FALSE)&lt;&gt;0,VLOOKUP(I67,Iktato!$B$3:$L$10000,9,FALSE),""),""))</f>
        <v/>
      </c>
      <c r="F67" s="43" t="str">
        <f t="shared" si="2"/>
        <v/>
      </c>
      <c r="G67" s="43"/>
      <c r="I67" s="6">
        <f t="shared" si="3"/>
        <v>57</v>
      </c>
      <c r="J67" s="6" t="str">
        <f t="shared" si="10"/>
        <v/>
      </c>
      <c r="K67" s="6" t="str">
        <f>IF($M$1&gt;=I67,VLOOKUP(I67,Iktato!$B$3:$L$10000,3,FALSE),"")</f>
        <v/>
      </c>
      <c r="M67" s="6" t="str">
        <f>IF($M$1&gt;=I67,IF(VLOOKUP(I67,Iktato!$B$3:$P$10000,15,FALSE)&lt;&gt;0,VLOOKUP(I67,Iktato!$B$3:$P$10000,15,FALSE),""),"")</f>
        <v/>
      </c>
      <c r="N67" s="6" t="str">
        <f>IF($M$1&gt;=I67,IF(VLOOKUP(I67,Iktato!$B$3:$Q$10000,16,FALSE)&lt;&gt;0,VLOOKUP(I67,Iktato!$B$3:$Q$10000,16,FALSE),""),"")</f>
        <v/>
      </c>
      <c r="P67" s="6" t="str">
        <f>TRIM(IF($M$1&gt;=I67,IF(VLOOKUP(I67,Iktato!$B$3:$L$10000,6,FALSE)&lt;&gt;0,VLOOKUP(I67,Iktato!$B$3:$L$10000,6,FALSE),""),""))</f>
        <v/>
      </c>
      <c r="Q67" s="8" t="str">
        <f>TRIM(IF($M$1&gt;=I67,IF(VLOOKUP(I67,Iktato!$B$3:$L$10000,7,FALSE)&lt;&gt;0,VLOOKUP(I67,Iktato!$B$3:$L$10000,7,FALSE),""),""))</f>
        <v/>
      </c>
      <c r="R67" s="6" t="str">
        <f t="shared" si="11"/>
        <v/>
      </c>
      <c r="S67" s="6" t="str">
        <f t="shared" si="12"/>
        <v/>
      </c>
      <c r="T67" s="6" t="str">
        <f t="shared" si="13"/>
        <v/>
      </c>
    </row>
    <row r="68" spans="1:20" ht="16.5" x14ac:dyDescent="0.25">
      <c r="A68" s="11" t="str">
        <f t="shared" si="8"/>
        <v/>
      </c>
      <c r="B68" s="12" t="str">
        <f>IF($M$1&gt;=I68,VLOOKUP(I68,Iktato!$B$3:$L$10000,5,FALSE),"")</f>
        <v/>
      </c>
      <c r="C68" s="13" t="str">
        <f t="shared" si="9"/>
        <v/>
      </c>
      <c r="D68" s="14" t="str">
        <f>TRIM(IF($M$1&gt;=I68,IF(VLOOKUP(I68,Iktato!$B$3:$L$10000,8,FALSE)&lt;&gt;0,VLOOKUP(I68,Iktato!$B$3:$L$10000,8,FALSE),""),""))</f>
        <v/>
      </c>
      <c r="E68" s="14" t="str">
        <f>TRIM(IF($M$1&gt;=I68,IF(VLOOKUP(I68,Iktato!$B$3:$L$10000,9,FALSE)&lt;&gt;0,VLOOKUP(I68,Iktato!$B$3:$L$10000,9,FALSE),""),""))</f>
        <v/>
      </c>
      <c r="F68" s="43" t="str">
        <f t="shared" si="2"/>
        <v/>
      </c>
      <c r="G68" s="43"/>
      <c r="I68" s="6">
        <f t="shared" si="3"/>
        <v>58</v>
      </c>
      <c r="J68" s="6" t="str">
        <f t="shared" si="10"/>
        <v/>
      </c>
      <c r="K68" s="6" t="str">
        <f>IF($M$1&gt;=I68,VLOOKUP(I68,Iktato!$B$3:$L$10000,3,FALSE),"")</f>
        <v/>
      </c>
      <c r="M68" s="6" t="str">
        <f>IF($M$1&gt;=I68,IF(VLOOKUP(I68,Iktato!$B$3:$P$10000,15,FALSE)&lt;&gt;0,VLOOKUP(I68,Iktato!$B$3:$P$10000,15,FALSE),""),"")</f>
        <v/>
      </c>
      <c r="N68" s="6" t="str">
        <f>IF($M$1&gt;=I68,IF(VLOOKUP(I68,Iktato!$B$3:$Q$10000,16,FALSE)&lt;&gt;0,VLOOKUP(I68,Iktato!$B$3:$Q$10000,16,FALSE),""),"")</f>
        <v/>
      </c>
      <c r="P68" s="6" t="str">
        <f>TRIM(IF($M$1&gt;=I68,IF(VLOOKUP(I68,Iktato!$B$3:$L$10000,6,FALSE)&lt;&gt;0,VLOOKUP(I68,Iktato!$B$3:$L$10000,6,FALSE),""),""))</f>
        <v/>
      </c>
      <c r="Q68" s="8" t="str">
        <f>TRIM(IF($M$1&gt;=I68,IF(VLOOKUP(I68,Iktato!$B$3:$L$10000,7,FALSE)&lt;&gt;0,VLOOKUP(I68,Iktato!$B$3:$L$10000,7,FALSE),""),""))</f>
        <v/>
      </c>
      <c r="R68" s="6" t="str">
        <f t="shared" si="11"/>
        <v/>
      </c>
      <c r="S68" s="6" t="str">
        <f t="shared" si="12"/>
        <v/>
      </c>
      <c r="T68" s="6" t="str">
        <f t="shared" si="13"/>
        <v/>
      </c>
    </row>
    <row r="69" spans="1:20" ht="16.5" x14ac:dyDescent="0.25">
      <c r="A69" s="11" t="str">
        <f t="shared" si="8"/>
        <v/>
      </c>
      <c r="B69" s="12" t="str">
        <f>IF($M$1&gt;=I69,VLOOKUP(I69,Iktato!$B$3:$L$10000,5,FALSE),"")</f>
        <v/>
      </c>
      <c r="C69" s="13" t="str">
        <f t="shared" si="9"/>
        <v/>
      </c>
      <c r="D69" s="14" t="str">
        <f>TRIM(IF($M$1&gt;=I69,IF(VLOOKUP(I69,Iktato!$B$3:$L$10000,8,FALSE)&lt;&gt;0,VLOOKUP(I69,Iktato!$B$3:$L$10000,8,FALSE),""),""))</f>
        <v/>
      </c>
      <c r="E69" s="14" t="str">
        <f>TRIM(IF($M$1&gt;=I69,IF(VLOOKUP(I69,Iktato!$B$3:$L$10000,9,FALSE)&lt;&gt;0,VLOOKUP(I69,Iktato!$B$3:$L$10000,9,FALSE),""),""))</f>
        <v/>
      </c>
      <c r="F69" s="43" t="str">
        <f t="shared" si="2"/>
        <v/>
      </c>
      <c r="G69" s="43"/>
      <c r="I69" s="6">
        <f t="shared" si="3"/>
        <v>59</v>
      </c>
      <c r="J69" s="6" t="str">
        <f t="shared" si="10"/>
        <v/>
      </c>
      <c r="K69" s="6" t="str">
        <f>IF($M$1&gt;=I69,VLOOKUP(I69,Iktato!$B$3:$L$10000,3,FALSE),"")</f>
        <v/>
      </c>
      <c r="M69" s="6" t="str">
        <f>IF($M$1&gt;=I69,IF(VLOOKUP(I69,Iktato!$B$3:$P$10000,15,FALSE)&lt;&gt;0,VLOOKUP(I69,Iktato!$B$3:$P$10000,15,FALSE),""),"")</f>
        <v/>
      </c>
      <c r="N69" s="6" t="str">
        <f>IF($M$1&gt;=I69,IF(VLOOKUP(I69,Iktato!$B$3:$Q$10000,16,FALSE)&lt;&gt;0,VLOOKUP(I69,Iktato!$B$3:$Q$10000,16,FALSE),""),"")</f>
        <v/>
      </c>
      <c r="P69" s="6" t="str">
        <f>TRIM(IF($M$1&gt;=I69,IF(VLOOKUP(I69,Iktato!$B$3:$L$10000,6,FALSE)&lt;&gt;0,VLOOKUP(I69,Iktato!$B$3:$L$10000,6,FALSE),""),""))</f>
        <v/>
      </c>
      <c r="Q69" s="8" t="str">
        <f>TRIM(IF($M$1&gt;=I69,IF(VLOOKUP(I69,Iktato!$B$3:$L$10000,7,FALSE)&lt;&gt;0,VLOOKUP(I69,Iktato!$B$3:$L$10000,7,FALSE),""),""))</f>
        <v/>
      </c>
      <c r="R69" s="6" t="str">
        <f t="shared" si="11"/>
        <v/>
      </c>
      <c r="S69" s="6" t="str">
        <f t="shared" si="12"/>
        <v/>
      </c>
      <c r="T69" s="6" t="str">
        <f t="shared" si="13"/>
        <v/>
      </c>
    </row>
    <row r="70" spans="1:20" ht="16.5" x14ac:dyDescent="0.25">
      <c r="A70" s="11" t="str">
        <f t="shared" si="8"/>
        <v/>
      </c>
      <c r="B70" s="12" t="str">
        <f>IF($M$1&gt;=I70,VLOOKUP(I70,Iktato!$B$3:$L$10000,5,FALSE),"")</f>
        <v/>
      </c>
      <c r="C70" s="13" t="str">
        <f t="shared" si="9"/>
        <v/>
      </c>
      <c r="D70" s="14" t="str">
        <f>TRIM(IF($M$1&gt;=I70,IF(VLOOKUP(I70,Iktato!$B$3:$L$10000,8,FALSE)&lt;&gt;0,VLOOKUP(I70,Iktato!$B$3:$L$10000,8,FALSE),""),""))</f>
        <v/>
      </c>
      <c r="E70" s="14" t="str">
        <f>TRIM(IF($M$1&gt;=I70,IF(VLOOKUP(I70,Iktato!$B$3:$L$10000,9,FALSE)&lt;&gt;0,VLOOKUP(I70,Iktato!$B$3:$L$10000,9,FALSE),""),""))</f>
        <v/>
      </c>
      <c r="F70" s="43" t="str">
        <f t="shared" si="2"/>
        <v/>
      </c>
      <c r="G70" s="43"/>
      <c r="I70" s="6">
        <f t="shared" si="3"/>
        <v>60</v>
      </c>
      <c r="J70" s="6" t="str">
        <f t="shared" si="10"/>
        <v/>
      </c>
      <c r="K70" s="6" t="str">
        <f>IF($M$1&gt;=I70,VLOOKUP(I70,Iktato!$B$3:$L$10000,3,FALSE),"")</f>
        <v/>
      </c>
      <c r="M70" s="6" t="str">
        <f>IF($M$1&gt;=I70,IF(VLOOKUP(I70,Iktato!$B$3:$P$10000,15,FALSE)&lt;&gt;0,VLOOKUP(I70,Iktato!$B$3:$P$10000,15,FALSE),""),"")</f>
        <v/>
      </c>
      <c r="N70" s="6" t="str">
        <f>IF($M$1&gt;=I70,IF(VLOOKUP(I70,Iktato!$B$3:$Q$10000,16,FALSE)&lt;&gt;0,VLOOKUP(I70,Iktato!$B$3:$Q$10000,16,FALSE),""),"")</f>
        <v/>
      </c>
      <c r="P70" s="6" t="str">
        <f>TRIM(IF($M$1&gt;=I70,IF(VLOOKUP(I70,Iktato!$B$3:$L$10000,6,FALSE)&lt;&gt;0,VLOOKUP(I70,Iktato!$B$3:$L$10000,6,FALSE),""),""))</f>
        <v/>
      </c>
      <c r="Q70" s="8" t="str">
        <f>TRIM(IF($M$1&gt;=I70,IF(VLOOKUP(I70,Iktato!$B$3:$L$10000,7,FALSE)&lt;&gt;0,VLOOKUP(I70,Iktato!$B$3:$L$10000,7,FALSE),""),""))</f>
        <v/>
      </c>
      <c r="R70" s="6" t="str">
        <f t="shared" si="11"/>
        <v/>
      </c>
      <c r="S70" s="6" t="str">
        <f t="shared" si="12"/>
        <v/>
      </c>
      <c r="T70" s="6" t="str">
        <f t="shared" si="13"/>
        <v/>
      </c>
    </row>
    <row r="71" spans="1:20" ht="16.5" x14ac:dyDescent="0.25">
      <c r="A71" s="11" t="str">
        <f t="shared" si="8"/>
        <v/>
      </c>
      <c r="B71" s="12" t="str">
        <f>IF($M$1&gt;=I71,VLOOKUP(I71,Iktato!$B$3:$L$10000,5,FALSE),"")</f>
        <v/>
      </c>
      <c r="C71" s="13" t="str">
        <f t="shared" si="9"/>
        <v/>
      </c>
      <c r="D71" s="14" t="str">
        <f>TRIM(IF($M$1&gt;=I71,IF(VLOOKUP(I71,Iktato!$B$3:$L$10000,8,FALSE)&lt;&gt;0,VLOOKUP(I71,Iktato!$B$3:$L$10000,8,FALSE),""),""))</f>
        <v/>
      </c>
      <c r="E71" s="14" t="str">
        <f>TRIM(IF($M$1&gt;=I71,IF(VLOOKUP(I71,Iktato!$B$3:$L$10000,9,FALSE)&lt;&gt;0,VLOOKUP(I71,Iktato!$B$3:$L$10000,9,FALSE),""),""))</f>
        <v/>
      </c>
      <c r="F71" s="43" t="str">
        <f t="shared" si="2"/>
        <v/>
      </c>
      <c r="G71" s="43"/>
      <c r="I71" s="6">
        <f t="shared" si="3"/>
        <v>61</v>
      </c>
      <c r="J71" s="6" t="str">
        <f t="shared" si="10"/>
        <v/>
      </c>
      <c r="K71" s="6" t="str">
        <f>IF($M$1&gt;=I71,VLOOKUP(I71,Iktato!$B$3:$L$10000,3,FALSE),"")</f>
        <v/>
      </c>
      <c r="M71" s="6" t="str">
        <f>IF($M$1&gt;=I71,IF(VLOOKUP(I71,Iktato!$B$3:$P$10000,15,FALSE)&lt;&gt;0,VLOOKUP(I71,Iktato!$B$3:$P$10000,15,FALSE),""),"")</f>
        <v/>
      </c>
      <c r="N71" s="6" t="str">
        <f>IF($M$1&gt;=I71,IF(VLOOKUP(I71,Iktato!$B$3:$Q$10000,16,FALSE)&lt;&gt;0,VLOOKUP(I71,Iktato!$B$3:$Q$10000,16,FALSE),""),"")</f>
        <v/>
      </c>
      <c r="P71" s="6" t="str">
        <f>TRIM(IF($M$1&gt;=I71,IF(VLOOKUP(I71,Iktato!$B$3:$L$10000,6,FALSE)&lt;&gt;0,VLOOKUP(I71,Iktato!$B$3:$L$10000,6,FALSE),""),""))</f>
        <v/>
      </c>
      <c r="Q71" s="8" t="str">
        <f>TRIM(IF($M$1&gt;=I71,IF(VLOOKUP(I71,Iktato!$B$3:$L$10000,7,FALSE)&lt;&gt;0,VLOOKUP(I71,Iktato!$B$3:$L$10000,7,FALSE),""),""))</f>
        <v/>
      </c>
      <c r="R71" s="6" t="str">
        <f t="shared" si="11"/>
        <v/>
      </c>
      <c r="S71" s="6" t="str">
        <f t="shared" si="12"/>
        <v/>
      </c>
      <c r="T71" s="6" t="str">
        <f t="shared" si="13"/>
        <v/>
      </c>
    </row>
    <row r="72" spans="1:20" ht="16.5" x14ac:dyDescent="0.25">
      <c r="A72" s="11" t="str">
        <f t="shared" si="8"/>
        <v/>
      </c>
      <c r="B72" s="12" t="str">
        <f>IF($M$1&gt;=I72,VLOOKUP(I72,Iktato!$B$3:$L$10000,5,FALSE),"")</f>
        <v/>
      </c>
      <c r="C72" s="13" t="str">
        <f t="shared" si="9"/>
        <v/>
      </c>
      <c r="D72" s="14" t="str">
        <f>TRIM(IF($M$1&gt;=I72,IF(VLOOKUP(I72,Iktato!$B$3:$L$10000,8,FALSE)&lt;&gt;0,VLOOKUP(I72,Iktato!$B$3:$L$10000,8,FALSE),""),""))</f>
        <v/>
      </c>
      <c r="E72" s="14" t="str">
        <f>TRIM(IF($M$1&gt;=I72,IF(VLOOKUP(I72,Iktato!$B$3:$L$10000,9,FALSE)&lt;&gt;0,VLOOKUP(I72,Iktato!$B$3:$L$10000,9,FALSE),""),""))</f>
        <v/>
      </c>
      <c r="F72" s="43" t="str">
        <f t="shared" si="2"/>
        <v/>
      </c>
      <c r="G72" s="43"/>
      <c r="I72" s="6">
        <f t="shared" si="3"/>
        <v>62</v>
      </c>
      <c r="J72" s="6" t="str">
        <f t="shared" si="10"/>
        <v/>
      </c>
      <c r="K72" s="6" t="str">
        <f>IF($M$1&gt;=I72,VLOOKUP(I72,Iktato!$B$3:$L$10000,3,FALSE),"")</f>
        <v/>
      </c>
      <c r="M72" s="6" t="str">
        <f>IF($M$1&gt;=I72,IF(VLOOKUP(I72,Iktato!$B$3:$P$10000,15,FALSE)&lt;&gt;0,VLOOKUP(I72,Iktato!$B$3:$P$10000,15,FALSE),""),"")</f>
        <v/>
      </c>
      <c r="N72" s="6" t="str">
        <f>IF($M$1&gt;=I72,IF(VLOOKUP(I72,Iktato!$B$3:$Q$10000,16,FALSE)&lt;&gt;0,VLOOKUP(I72,Iktato!$B$3:$Q$10000,16,FALSE),""),"")</f>
        <v/>
      </c>
      <c r="P72" s="6" t="str">
        <f>TRIM(IF($M$1&gt;=I72,IF(VLOOKUP(I72,Iktato!$B$3:$L$10000,6,FALSE)&lt;&gt;0,VLOOKUP(I72,Iktato!$B$3:$L$10000,6,FALSE),""),""))</f>
        <v/>
      </c>
      <c r="Q72" s="8" t="str">
        <f>TRIM(IF($M$1&gt;=I72,IF(VLOOKUP(I72,Iktato!$B$3:$L$10000,7,FALSE)&lt;&gt;0,VLOOKUP(I72,Iktato!$B$3:$L$10000,7,FALSE),""),""))</f>
        <v/>
      </c>
      <c r="R72" s="6" t="str">
        <f t="shared" si="11"/>
        <v/>
      </c>
      <c r="S72" s="6" t="str">
        <f t="shared" si="12"/>
        <v/>
      </c>
      <c r="T72" s="6" t="str">
        <f t="shared" si="13"/>
        <v/>
      </c>
    </row>
    <row r="73" spans="1:20" ht="16.5" x14ac:dyDescent="0.25">
      <c r="A73" s="11" t="str">
        <f t="shared" si="8"/>
        <v/>
      </c>
      <c r="B73" s="12" t="str">
        <f>IF($M$1&gt;=I73,VLOOKUP(I73,Iktato!$B$3:$L$10000,5,FALSE),"")</f>
        <v/>
      </c>
      <c r="C73" s="13" t="str">
        <f t="shared" si="9"/>
        <v/>
      </c>
      <c r="D73" s="14" t="str">
        <f>TRIM(IF($M$1&gt;=I73,IF(VLOOKUP(I73,Iktato!$B$3:$L$10000,8,FALSE)&lt;&gt;0,VLOOKUP(I73,Iktato!$B$3:$L$10000,8,FALSE),""),""))</f>
        <v/>
      </c>
      <c r="E73" s="14" t="str">
        <f>TRIM(IF($M$1&gt;=I73,IF(VLOOKUP(I73,Iktato!$B$3:$L$10000,9,FALSE)&lt;&gt;0,VLOOKUP(I73,Iktato!$B$3:$L$10000,9,FALSE),""),""))</f>
        <v/>
      </c>
      <c r="F73" s="43" t="str">
        <f t="shared" si="2"/>
        <v/>
      </c>
      <c r="G73" s="43"/>
      <c r="I73" s="6">
        <f t="shared" si="3"/>
        <v>63</v>
      </c>
      <c r="J73" s="6" t="str">
        <f t="shared" si="10"/>
        <v/>
      </c>
      <c r="K73" s="6" t="str">
        <f>IF($M$1&gt;=I73,VLOOKUP(I73,Iktato!$B$3:$L$10000,3,FALSE),"")</f>
        <v/>
      </c>
      <c r="M73" s="6" t="str">
        <f>IF($M$1&gt;=I73,IF(VLOOKUP(I73,Iktato!$B$3:$P$10000,15,FALSE)&lt;&gt;0,VLOOKUP(I73,Iktato!$B$3:$P$10000,15,FALSE),""),"")</f>
        <v/>
      </c>
      <c r="N73" s="6" t="str">
        <f>IF($M$1&gt;=I73,IF(VLOOKUP(I73,Iktato!$B$3:$Q$10000,16,FALSE)&lt;&gt;0,VLOOKUP(I73,Iktato!$B$3:$Q$10000,16,FALSE),""),"")</f>
        <v/>
      </c>
      <c r="P73" s="6" t="str">
        <f>TRIM(IF($M$1&gt;=I73,IF(VLOOKUP(I73,Iktato!$B$3:$L$10000,6,FALSE)&lt;&gt;0,VLOOKUP(I73,Iktato!$B$3:$L$10000,6,FALSE),""),""))</f>
        <v/>
      </c>
      <c r="Q73" s="8" t="str">
        <f>TRIM(IF($M$1&gt;=I73,IF(VLOOKUP(I73,Iktato!$B$3:$L$10000,7,FALSE)&lt;&gt;0,VLOOKUP(I73,Iktato!$B$3:$L$10000,7,FALSE),""),""))</f>
        <v/>
      </c>
      <c r="R73" s="6" t="str">
        <f t="shared" si="11"/>
        <v/>
      </c>
      <c r="S73" s="6" t="str">
        <f t="shared" si="12"/>
        <v/>
      </c>
      <c r="T73" s="6" t="str">
        <f t="shared" si="13"/>
        <v/>
      </c>
    </row>
    <row r="74" spans="1:20" ht="16.5" x14ac:dyDescent="0.25">
      <c r="A74" s="11" t="str">
        <f t="shared" si="8"/>
        <v/>
      </c>
      <c r="B74" s="12" t="str">
        <f>IF($M$1&gt;=I74,VLOOKUP(I74,Iktato!$B$3:$L$10000,5,FALSE),"")</f>
        <v/>
      </c>
      <c r="C74" s="13" t="str">
        <f t="shared" si="9"/>
        <v/>
      </c>
      <c r="D74" s="14" t="str">
        <f>TRIM(IF($M$1&gt;=I74,IF(VLOOKUP(I74,Iktato!$B$3:$L$10000,8,FALSE)&lt;&gt;0,VLOOKUP(I74,Iktato!$B$3:$L$10000,8,FALSE),""),""))</f>
        <v/>
      </c>
      <c r="E74" s="14" t="str">
        <f>TRIM(IF($M$1&gt;=I74,IF(VLOOKUP(I74,Iktato!$B$3:$L$10000,9,FALSE)&lt;&gt;0,VLOOKUP(I74,Iktato!$B$3:$L$10000,9,FALSE),""),""))</f>
        <v/>
      </c>
      <c r="F74" s="43" t="str">
        <f t="shared" si="2"/>
        <v/>
      </c>
      <c r="G74" s="43"/>
      <c r="I74" s="6">
        <f t="shared" si="3"/>
        <v>64</v>
      </c>
      <c r="J74" s="6" t="str">
        <f t="shared" si="10"/>
        <v/>
      </c>
      <c r="K74" s="6" t="str">
        <f>IF($M$1&gt;=I74,VLOOKUP(I74,Iktato!$B$3:$L$10000,3,FALSE),"")</f>
        <v/>
      </c>
      <c r="M74" s="6" t="str">
        <f>IF($M$1&gt;=I74,IF(VLOOKUP(I74,Iktato!$B$3:$P$10000,15,FALSE)&lt;&gt;0,VLOOKUP(I74,Iktato!$B$3:$P$10000,15,FALSE),""),"")</f>
        <v/>
      </c>
      <c r="N74" s="6" t="str">
        <f>IF($M$1&gt;=I74,IF(VLOOKUP(I74,Iktato!$B$3:$Q$10000,16,FALSE)&lt;&gt;0,VLOOKUP(I74,Iktato!$B$3:$Q$10000,16,FALSE),""),"")</f>
        <v/>
      </c>
      <c r="P74" s="6" t="str">
        <f>TRIM(IF($M$1&gt;=I74,IF(VLOOKUP(I74,Iktato!$B$3:$L$10000,6,FALSE)&lt;&gt;0,VLOOKUP(I74,Iktato!$B$3:$L$10000,6,FALSE),""),""))</f>
        <v/>
      </c>
      <c r="Q74" s="8" t="str">
        <f>TRIM(IF($M$1&gt;=I74,IF(VLOOKUP(I74,Iktato!$B$3:$L$10000,7,FALSE)&lt;&gt;0,VLOOKUP(I74,Iktato!$B$3:$L$10000,7,FALSE),""),""))</f>
        <v/>
      </c>
      <c r="R74" s="6" t="str">
        <f t="shared" si="11"/>
        <v/>
      </c>
      <c r="S74" s="6" t="str">
        <f t="shared" si="12"/>
        <v/>
      </c>
      <c r="T74" s="6" t="str">
        <f t="shared" si="13"/>
        <v/>
      </c>
    </row>
    <row r="75" spans="1:20" ht="16.5" x14ac:dyDescent="0.25">
      <c r="A75" s="11" t="str">
        <f t="shared" si="8"/>
        <v/>
      </c>
      <c r="B75" s="12" t="str">
        <f>IF($M$1&gt;=I75,VLOOKUP(I75,Iktato!$B$3:$L$10000,5,FALSE),"")</f>
        <v/>
      </c>
      <c r="C75" s="13" t="str">
        <f t="shared" si="9"/>
        <v/>
      </c>
      <c r="D75" s="14" t="str">
        <f>TRIM(IF($M$1&gt;=I75,IF(VLOOKUP(I75,Iktato!$B$3:$L$10000,8,FALSE)&lt;&gt;0,VLOOKUP(I75,Iktato!$B$3:$L$10000,8,FALSE),""),""))</f>
        <v/>
      </c>
      <c r="E75" s="14" t="str">
        <f>TRIM(IF($M$1&gt;=I75,IF(VLOOKUP(I75,Iktato!$B$3:$L$10000,9,FALSE)&lt;&gt;0,VLOOKUP(I75,Iktato!$B$3:$L$10000,9,FALSE),""),""))</f>
        <v/>
      </c>
      <c r="F75" s="43" t="str">
        <f t="shared" si="2"/>
        <v/>
      </c>
      <c r="G75" s="43"/>
      <c r="I75" s="6">
        <f t="shared" si="3"/>
        <v>65</v>
      </c>
      <c r="J75" s="6" t="str">
        <f t="shared" si="10"/>
        <v/>
      </c>
      <c r="K75" s="6" t="str">
        <f>IF($M$1&gt;=I75,VLOOKUP(I75,Iktato!$B$3:$L$10000,3,FALSE),"")</f>
        <v/>
      </c>
      <c r="M75" s="6" t="str">
        <f>IF($M$1&gt;=I75,IF(VLOOKUP(I75,Iktato!$B$3:$P$10000,15,FALSE)&lt;&gt;0,VLOOKUP(I75,Iktato!$B$3:$P$10000,15,FALSE),""),"")</f>
        <v/>
      </c>
      <c r="N75" s="6" t="str">
        <f>IF($M$1&gt;=I75,IF(VLOOKUP(I75,Iktato!$B$3:$Q$10000,16,FALSE)&lt;&gt;0,VLOOKUP(I75,Iktato!$B$3:$Q$10000,16,FALSE),""),"")</f>
        <v/>
      </c>
      <c r="P75" s="6" t="str">
        <f>TRIM(IF($M$1&gt;=I75,IF(VLOOKUP(I75,Iktato!$B$3:$L$10000,6,FALSE)&lt;&gt;0,VLOOKUP(I75,Iktato!$B$3:$L$10000,6,FALSE),""),""))</f>
        <v/>
      </c>
      <c r="Q75" s="8" t="str">
        <f>TRIM(IF($M$1&gt;=I75,IF(VLOOKUP(I75,Iktato!$B$3:$L$10000,7,FALSE)&lt;&gt;0,VLOOKUP(I75,Iktato!$B$3:$L$10000,7,FALSE),""),""))</f>
        <v/>
      </c>
      <c r="R75" s="6" t="str">
        <f t="shared" si="11"/>
        <v/>
      </c>
      <c r="S75" s="6" t="str">
        <f t="shared" si="12"/>
        <v/>
      </c>
      <c r="T75" s="6" t="str">
        <f t="shared" si="13"/>
        <v/>
      </c>
    </row>
    <row r="76" spans="1:20" ht="16.5" x14ac:dyDescent="0.25">
      <c r="A76" s="11" t="str">
        <f t="shared" si="8"/>
        <v/>
      </c>
      <c r="B76" s="12" t="str">
        <f>IF($M$1&gt;=I76,VLOOKUP(I76,Iktato!$B$3:$L$10000,5,FALSE),"")</f>
        <v/>
      </c>
      <c r="C76" s="13" t="str">
        <f t="shared" si="9"/>
        <v/>
      </c>
      <c r="D76" s="14" t="str">
        <f>TRIM(IF($M$1&gt;=I76,IF(VLOOKUP(I76,Iktato!$B$3:$L$10000,8,FALSE)&lt;&gt;0,VLOOKUP(I76,Iktato!$B$3:$L$10000,8,FALSE),""),""))</f>
        <v/>
      </c>
      <c r="E76" s="14" t="str">
        <f>TRIM(IF($M$1&gt;=I76,IF(VLOOKUP(I76,Iktato!$B$3:$L$10000,9,FALSE)&lt;&gt;0,VLOOKUP(I76,Iktato!$B$3:$L$10000,9,FALSE),""),""))</f>
        <v/>
      </c>
      <c r="F76" s="43" t="str">
        <f t="shared" ref="F76:F139" si="14">TRIM(IF($M$1&gt;=I76,M76&amp;$M$10&amp;N76,""))</f>
        <v/>
      </c>
      <c r="G76" s="43"/>
      <c r="I76" s="6">
        <f t="shared" ref="I76:I139" si="15">I75+1</f>
        <v>66</v>
      </c>
      <c r="J76" s="6" t="str">
        <f t="shared" si="10"/>
        <v/>
      </c>
      <c r="K76" s="6" t="str">
        <f>IF($M$1&gt;=I76,VLOOKUP(I76,Iktato!$B$3:$L$10000,3,FALSE),"")</f>
        <v/>
      </c>
      <c r="M76" s="6" t="str">
        <f>IF($M$1&gt;=I76,IF(VLOOKUP(I76,Iktato!$B$3:$P$10000,15,FALSE)&lt;&gt;0,VLOOKUP(I76,Iktato!$B$3:$P$10000,15,FALSE),""),"")</f>
        <v/>
      </c>
      <c r="N76" s="6" t="str">
        <f>IF($M$1&gt;=I76,IF(VLOOKUP(I76,Iktato!$B$3:$Q$10000,16,FALSE)&lt;&gt;0,VLOOKUP(I76,Iktato!$B$3:$Q$10000,16,FALSE),""),"")</f>
        <v/>
      </c>
      <c r="P76" s="6" t="str">
        <f>TRIM(IF($M$1&gt;=I76,IF(VLOOKUP(I76,Iktato!$B$3:$L$10000,6,FALSE)&lt;&gt;0,VLOOKUP(I76,Iktato!$B$3:$L$10000,6,FALSE),""),""))</f>
        <v/>
      </c>
      <c r="Q76" s="8" t="str">
        <f>TRIM(IF($M$1&gt;=I76,IF(VLOOKUP(I76,Iktato!$B$3:$L$10000,7,FALSE)&lt;&gt;0,VLOOKUP(I76,Iktato!$B$3:$L$10000,7,FALSE),""),""))</f>
        <v/>
      </c>
      <c r="R76" s="6" t="str">
        <f t="shared" si="11"/>
        <v/>
      </c>
      <c r="S76" s="6" t="str">
        <f t="shared" si="12"/>
        <v/>
      </c>
      <c r="T76" s="6" t="str">
        <f t="shared" si="13"/>
        <v/>
      </c>
    </row>
    <row r="77" spans="1:20" ht="16.5" x14ac:dyDescent="0.25">
      <c r="A77" s="11" t="str">
        <f t="shared" si="8"/>
        <v/>
      </c>
      <c r="B77" s="12" t="str">
        <f>IF($M$1&gt;=I77,VLOOKUP(I77,Iktato!$B$3:$L$10000,5,FALSE),"")</f>
        <v/>
      </c>
      <c r="C77" s="13" t="str">
        <f t="shared" si="9"/>
        <v/>
      </c>
      <c r="D77" s="14" t="str">
        <f>TRIM(IF($M$1&gt;=I77,IF(VLOOKUP(I77,Iktato!$B$3:$L$10000,8,FALSE)&lt;&gt;0,VLOOKUP(I77,Iktato!$B$3:$L$10000,8,FALSE),""),""))</f>
        <v/>
      </c>
      <c r="E77" s="14" t="str">
        <f>TRIM(IF($M$1&gt;=I77,IF(VLOOKUP(I77,Iktato!$B$3:$L$10000,9,FALSE)&lt;&gt;0,VLOOKUP(I77,Iktato!$B$3:$L$10000,9,FALSE),""),""))</f>
        <v/>
      </c>
      <c r="F77" s="43" t="str">
        <f t="shared" si="14"/>
        <v/>
      </c>
      <c r="G77" s="43"/>
      <c r="I77" s="6">
        <f t="shared" si="15"/>
        <v>67</v>
      </c>
      <c r="J77" s="6" t="str">
        <f t="shared" si="10"/>
        <v/>
      </c>
      <c r="K77" s="6" t="str">
        <f>IF($M$1&gt;=I77,VLOOKUP(I77,Iktato!$B$3:$L$10000,3,FALSE),"")</f>
        <v/>
      </c>
      <c r="M77" s="6" t="str">
        <f>IF($M$1&gt;=I77,IF(VLOOKUP(I77,Iktato!$B$3:$P$10000,15,FALSE)&lt;&gt;0,VLOOKUP(I77,Iktato!$B$3:$P$10000,15,FALSE),""),"")</f>
        <v/>
      </c>
      <c r="N77" s="6" t="str">
        <f>IF($M$1&gt;=I77,IF(VLOOKUP(I77,Iktato!$B$3:$Q$10000,16,FALSE)&lt;&gt;0,VLOOKUP(I77,Iktato!$B$3:$Q$10000,16,FALSE),""),"")</f>
        <v/>
      </c>
      <c r="P77" s="6" t="str">
        <f>TRIM(IF($M$1&gt;=I77,IF(VLOOKUP(I77,Iktato!$B$3:$L$10000,6,FALSE)&lt;&gt;0,VLOOKUP(I77,Iktato!$B$3:$L$10000,6,FALSE),""),""))</f>
        <v/>
      </c>
      <c r="Q77" s="8" t="str">
        <f>TRIM(IF($M$1&gt;=I77,IF(VLOOKUP(I77,Iktato!$B$3:$L$10000,7,FALSE)&lt;&gt;0,VLOOKUP(I77,Iktato!$B$3:$L$10000,7,FALSE),""),""))</f>
        <v/>
      </c>
      <c r="R77" s="6" t="str">
        <f t="shared" si="11"/>
        <v/>
      </c>
      <c r="S77" s="6" t="str">
        <f t="shared" si="12"/>
        <v/>
      </c>
      <c r="T77" s="6" t="str">
        <f t="shared" si="13"/>
        <v/>
      </c>
    </row>
    <row r="78" spans="1:20" ht="16.5" x14ac:dyDescent="0.25">
      <c r="A78" s="11" t="str">
        <f t="shared" si="8"/>
        <v/>
      </c>
      <c r="B78" s="12" t="str">
        <f>IF($M$1&gt;=I78,VLOOKUP(I78,Iktato!$B$3:$L$10000,5,FALSE),"")</f>
        <v/>
      </c>
      <c r="C78" s="13" t="str">
        <f t="shared" si="9"/>
        <v/>
      </c>
      <c r="D78" s="14" t="str">
        <f>TRIM(IF($M$1&gt;=I78,IF(VLOOKUP(I78,Iktato!$B$3:$L$10000,8,FALSE)&lt;&gt;0,VLOOKUP(I78,Iktato!$B$3:$L$10000,8,FALSE),""),""))</f>
        <v/>
      </c>
      <c r="E78" s="14" t="str">
        <f>TRIM(IF($M$1&gt;=I78,IF(VLOOKUP(I78,Iktato!$B$3:$L$10000,9,FALSE)&lt;&gt;0,VLOOKUP(I78,Iktato!$B$3:$L$10000,9,FALSE),""),""))</f>
        <v/>
      </c>
      <c r="F78" s="43" t="str">
        <f t="shared" si="14"/>
        <v/>
      </c>
      <c r="G78" s="43"/>
      <c r="I78" s="6">
        <f t="shared" si="15"/>
        <v>68</v>
      </c>
      <c r="J78" s="6" t="str">
        <f t="shared" si="10"/>
        <v/>
      </c>
      <c r="K78" s="6" t="str">
        <f>IF($M$1&gt;=I78,VLOOKUP(I78,Iktato!$B$3:$L$10000,3,FALSE),"")</f>
        <v/>
      </c>
      <c r="M78" s="6" t="str">
        <f>IF($M$1&gt;=I78,IF(VLOOKUP(I78,Iktato!$B$3:$P$10000,15,FALSE)&lt;&gt;0,VLOOKUP(I78,Iktato!$B$3:$P$10000,15,FALSE),""),"")</f>
        <v/>
      </c>
      <c r="N78" s="6" t="str">
        <f>IF($M$1&gt;=I78,IF(VLOOKUP(I78,Iktato!$B$3:$Q$10000,16,FALSE)&lt;&gt;0,VLOOKUP(I78,Iktato!$B$3:$Q$10000,16,FALSE),""),"")</f>
        <v/>
      </c>
      <c r="P78" s="6" t="str">
        <f>TRIM(IF($M$1&gt;=I78,IF(VLOOKUP(I78,Iktato!$B$3:$L$10000,6,FALSE)&lt;&gt;0,VLOOKUP(I78,Iktato!$B$3:$L$10000,6,FALSE),""),""))</f>
        <v/>
      </c>
      <c r="Q78" s="8" t="str">
        <f>TRIM(IF($M$1&gt;=I78,IF(VLOOKUP(I78,Iktato!$B$3:$L$10000,7,FALSE)&lt;&gt;0,VLOOKUP(I78,Iktato!$B$3:$L$10000,7,FALSE),""),""))</f>
        <v/>
      </c>
      <c r="R78" s="6" t="str">
        <f t="shared" si="11"/>
        <v/>
      </c>
      <c r="S78" s="6" t="str">
        <f t="shared" si="12"/>
        <v/>
      </c>
      <c r="T78" s="6" t="str">
        <f t="shared" si="13"/>
        <v/>
      </c>
    </row>
    <row r="79" spans="1:20" ht="16.5" x14ac:dyDescent="0.25">
      <c r="A79" s="11" t="str">
        <f t="shared" si="8"/>
        <v/>
      </c>
      <c r="B79" s="12" t="str">
        <f>IF($M$1&gt;=I79,VLOOKUP(I79,Iktato!$B$3:$L$10000,5,FALSE),"")</f>
        <v/>
      </c>
      <c r="C79" s="13" t="str">
        <f t="shared" si="9"/>
        <v/>
      </c>
      <c r="D79" s="14" t="str">
        <f>TRIM(IF($M$1&gt;=I79,IF(VLOOKUP(I79,Iktato!$B$3:$L$10000,8,FALSE)&lt;&gt;0,VLOOKUP(I79,Iktato!$B$3:$L$10000,8,FALSE),""),""))</f>
        <v/>
      </c>
      <c r="E79" s="14" t="str">
        <f>TRIM(IF($M$1&gt;=I79,IF(VLOOKUP(I79,Iktato!$B$3:$L$10000,9,FALSE)&lt;&gt;0,VLOOKUP(I79,Iktato!$B$3:$L$10000,9,FALSE),""),""))</f>
        <v/>
      </c>
      <c r="F79" s="43" t="str">
        <f t="shared" si="14"/>
        <v/>
      </c>
      <c r="G79" s="43"/>
      <c r="I79" s="6">
        <f t="shared" si="15"/>
        <v>69</v>
      </c>
      <c r="J79" s="6" t="str">
        <f t="shared" si="10"/>
        <v/>
      </c>
      <c r="K79" s="6" t="str">
        <f>IF($M$1&gt;=I79,VLOOKUP(I79,Iktato!$B$3:$L$10000,3,FALSE),"")</f>
        <v/>
      </c>
      <c r="M79" s="6" t="str">
        <f>IF($M$1&gt;=I79,IF(VLOOKUP(I79,Iktato!$B$3:$P$10000,15,FALSE)&lt;&gt;0,VLOOKUP(I79,Iktato!$B$3:$P$10000,15,FALSE),""),"")</f>
        <v/>
      </c>
      <c r="N79" s="6" t="str">
        <f>IF($M$1&gt;=I79,IF(VLOOKUP(I79,Iktato!$B$3:$Q$10000,16,FALSE)&lt;&gt;0,VLOOKUP(I79,Iktato!$B$3:$Q$10000,16,FALSE),""),"")</f>
        <v/>
      </c>
      <c r="P79" s="6" t="str">
        <f>TRIM(IF($M$1&gt;=I79,IF(VLOOKUP(I79,Iktato!$B$3:$L$10000,6,FALSE)&lt;&gt;0,VLOOKUP(I79,Iktato!$B$3:$L$10000,6,FALSE),""),""))</f>
        <v/>
      </c>
      <c r="Q79" s="8" t="str">
        <f>TRIM(IF($M$1&gt;=I79,IF(VLOOKUP(I79,Iktato!$B$3:$L$10000,7,FALSE)&lt;&gt;0,VLOOKUP(I79,Iktato!$B$3:$L$10000,7,FALSE),""),""))</f>
        <v/>
      </c>
      <c r="R79" s="6" t="str">
        <f t="shared" si="11"/>
        <v/>
      </c>
      <c r="S79" s="6" t="str">
        <f t="shared" si="12"/>
        <v/>
      </c>
      <c r="T79" s="6" t="str">
        <f t="shared" si="13"/>
        <v/>
      </c>
    </row>
    <row r="80" spans="1:20" ht="16.5" x14ac:dyDescent="0.25">
      <c r="A80" s="11" t="str">
        <f t="shared" si="8"/>
        <v/>
      </c>
      <c r="B80" s="12" t="str">
        <f>IF($M$1&gt;=I80,VLOOKUP(I80,Iktato!$B$3:$L$10000,5,FALSE),"")</f>
        <v/>
      </c>
      <c r="C80" s="13" t="str">
        <f t="shared" si="9"/>
        <v/>
      </c>
      <c r="D80" s="14" t="str">
        <f>TRIM(IF($M$1&gt;=I80,IF(VLOOKUP(I80,Iktato!$B$3:$L$10000,8,FALSE)&lt;&gt;0,VLOOKUP(I80,Iktato!$B$3:$L$10000,8,FALSE),""),""))</f>
        <v/>
      </c>
      <c r="E80" s="14" t="str">
        <f>TRIM(IF($M$1&gt;=I80,IF(VLOOKUP(I80,Iktato!$B$3:$L$10000,9,FALSE)&lt;&gt;0,VLOOKUP(I80,Iktato!$B$3:$L$10000,9,FALSE),""),""))</f>
        <v/>
      </c>
      <c r="F80" s="43" t="str">
        <f t="shared" si="14"/>
        <v/>
      </c>
      <c r="G80" s="43"/>
      <c r="I80" s="6">
        <f t="shared" si="15"/>
        <v>70</v>
      </c>
      <c r="J80" s="6" t="str">
        <f t="shared" si="10"/>
        <v/>
      </c>
      <c r="K80" s="6" t="str">
        <f>IF($M$1&gt;=I80,VLOOKUP(I80,Iktato!$B$3:$L$10000,3,FALSE),"")</f>
        <v/>
      </c>
      <c r="M80" s="6" t="str">
        <f>IF($M$1&gt;=I80,IF(VLOOKUP(I80,Iktato!$B$3:$P$10000,15,FALSE)&lt;&gt;0,VLOOKUP(I80,Iktato!$B$3:$P$10000,15,FALSE),""),"")</f>
        <v/>
      </c>
      <c r="N80" s="6" t="str">
        <f>IF($M$1&gt;=I80,IF(VLOOKUP(I80,Iktato!$B$3:$Q$10000,16,FALSE)&lt;&gt;0,VLOOKUP(I80,Iktato!$B$3:$Q$10000,16,FALSE),""),"")</f>
        <v/>
      </c>
      <c r="P80" s="6" t="str">
        <f>TRIM(IF($M$1&gt;=I80,IF(VLOOKUP(I80,Iktato!$B$3:$L$10000,6,FALSE)&lt;&gt;0,VLOOKUP(I80,Iktato!$B$3:$L$10000,6,FALSE),""),""))</f>
        <v/>
      </c>
      <c r="Q80" s="8" t="str">
        <f>TRIM(IF($M$1&gt;=I80,IF(VLOOKUP(I80,Iktato!$B$3:$L$10000,7,FALSE)&lt;&gt;0,VLOOKUP(I80,Iktato!$B$3:$L$10000,7,FALSE),""),""))</f>
        <v/>
      </c>
      <c r="R80" s="6" t="str">
        <f t="shared" si="11"/>
        <v/>
      </c>
      <c r="S80" s="6" t="str">
        <f t="shared" si="12"/>
        <v/>
      </c>
      <c r="T80" s="6" t="str">
        <f t="shared" si="13"/>
        <v/>
      </c>
    </row>
    <row r="81" spans="1:20" ht="16.5" x14ac:dyDescent="0.25">
      <c r="A81" s="11" t="str">
        <f t="shared" si="8"/>
        <v/>
      </c>
      <c r="B81" s="12" t="str">
        <f>IF($M$1&gt;=I81,VLOOKUP(I81,Iktato!$B$3:$L$10000,5,FALSE),"")</f>
        <v/>
      </c>
      <c r="C81" s="13" t="str">
        <f t="shared" si="9"/>
        <v/>
      </c>
      <c r="D81" s="14" t="str">
        <f>TRIM(IF($M$1&gt;=I81,IF(VLOOKUP(I81,Iktato!$B$3:$L$10000,8,FALSE)&lt;&gt;0,VLOOKUP(I81,Iktato!$B$3:$L$10000,8,FALSE),""),""))</f>
        <v/>
      </c>
      <c r="E81" s="14" t="str">
        <f>TRIM(IF($M$1&gt;=I81,IF(VLOOKUP(I81,Iktato!$B$3:$L$10000,9,FALSE)&lt;&gt;0,VLOOKUP(I81,Iktato!$B$3:$L$10000,9,FALSE),""),""))</f>
        <v/>
      </c>
      <c r="F81" s="43" t="str">
        <f t="shared" si="14"/>
        <v/>
      </c>
      <c r="G81" s="43"/>
      <c r="I81" s="6">
        <f t="shared" si="15"/>
        <v>71</v>
      </c>
      <c r="J81" s="6" t="str">
        <f t="shared" si="10"/>
        <v/>
      </c>
      <c r="K81" s="6" t="str">
        <f>IF($M$1&gt;=I81,VLOOKUP(I81,Iktato!$B$3:$L$10000,3,FALSE),"")</f>
        <v/>
      </c>
      <c r="M81" s="6" t="str">
        <f>IF($M$1&gt;=I81,IF(VLOOKUP(I81,Iktato!$B$3:$P$10000,15,FALSE)&lt;&gt;0,VLOOKUP(I81,Iktato!$B$3:$P$10000,15,FALSE),""),"")</f>
        <v/>
      </c>
      <c r="N81" s="6" t="str">
        <f>IF($M$1&gt;=I81,IF(VLOOKUP(I81,Iktato!$B$3:$Q$10000,16,FALSE)&lt;&gt;0,VLOOKUP(I81,Iktato!$B$3:$Q$10000,16,FALSE),""),"")</f>
        <v/>
      </c>
      <c r="P81" s="6" t="str">
        <f>TRIM(IF($M$1&gt;=I81,IF(VLOOKUP(I81,Iktato!$B$3:$L$10000,6,FALSE)&lt;&gt;0,VLOOKUP(I81,Iktato!$B$3:$L$10000,6,FALSE),""),""))</f>
        <v/>
      </c>
      <c r="Q81" s="8" t="str">
        <f>TRIM(IF($M$1&gt;=I81,IF(VLOOKUP(I81,Iktato!$B$3:$L$10000,7,FALSE)&lt;&gt;0,VLOOKUP(I81,Iktato!$B$3:$L$10000,7,FALSE),""),""))</f>
        <v/>
      </c>
      <c r="R81" s="6" t="str">
        <f t="shared" si="11"/>
        <v/>
      </c>
      <c r="S81" s="6" t="str">
        <f t="shared" si="12"/>
        <v/>
      </c>
      <c r="T81" s="6" t="str">
        <f t="shared" si="13"/>
        <v/>
      </c>
    </row>
    <row r="82" spans="1:20" ht="16.5" x14ac:dyDescent="0.25">
      <c r="A82" s="11" t="str">
        <f t="shared" si="8"/>
        <v/>
      </c>
      <c r="B82" s="12" t="str">
        <f>IF($M$1&gt;=I82,VLOOKUP(I82,Iktato!$B$3:$L$10000,5,FALSE),"")</f>
        <v/>
      </c>
      <c r="C82" s="13" t="str">
        <f t="shared" si="9"/>
        <v/>
      </c>
      <c r="D82" s="14" t="str">
        <f>TRIM(IF($M$1&gt;=I82,IF(VLOOKUP(I82,Iktato!$B$3:$L$10000,8,FALSE)&lt;&gt;0,VLOOKUP(I82,Iktato!$B$3:$L$10000,8,FALSE),""),""))</f>
        <v/>
      </c>
      <c r="E82" s="14" t="str">
        <f>TRIM(IF($M$1&gt;=I82,IF(VLOOKUP(I82,Iktato!$B$3:$L$10000,9,FALSE)&lt;&gt;0,VLOOKUP(I82,Iktato!$B$3:$L$10000,9,FALSE),""),""))</f>
        <v/>
      </c>
      <c r="F82" s="43" t="str">
        <f t="shared" si="14"/>
        <v/>
      </c>
      <c r="G82" s="43"/>
      <c r="I82" s="6">
        <f t="shared" si="15"/>
        <v>72</v>
      </c>
      <c r="J82" s="6" t="str">
        <f t="shared" si="10"/>
        <v/>
      </c>
      <c r="K82" s="6" t="str">
        <f>IF($M$1&gt;=I82,VLOOKUP(I82,Iktato!$B$3:$L$10000,3,FALSE),"")</f>
        <v/>
      </c>
      <c r="M82" s="6" t="str">
        <f>IF($M$1&gt;=I82,IF(VLOOKUP(I82,Iktato!$B$3:$P$10000,15,FALSE)&lt;&gt;0,VLOOKUP(I82,Iktato!$B$3:$P$10000,15,FALSE),""),"")</f>
        <v/>
      </c>
      <c r="N82" s="6" t="str">
        <f>IF($M$1&gt;=I82,IF(VLOOKUP(I82,Iktato!$B$3:$Q$10000,16,FALSE)&lt;&gt;0,VLOOKUP(I82,Iktato!$B$3:$Q$10000,16,FALSE),""),"")</f>
        <v/>
      </c>
      <c r="P82" s="6" t="str">
        <f>TRIM(IF($M$1&gt;=I82,IF(VLOOKUP(I82,Iktato!$B$3:$L$10000,6,FALSE)&lt;&gt;0,VLOOKUP(I82,Iktato!$B$3:$L$10000,6,FALSE),""),""))</f>
        <v/>
      </c>
      <c r="Q82" s="8" t="str">
        <f>TRIM(IF($M$1&gt;=I82,IF(VLOOKUP(I82,Iktato!$B$3:$L$10000,7,FALSE)&lt;&gt;0,VLOOKUP(I82,Iktato!$B$3:$L$10000,7,FALSE),""),""))</f>
        <v/>
      </c>
      <c r="R82" s="6" t="str">
        <f t="shared" si="11"/>
        <v/>
      </c>
      <c r="S82" s="6" t="str">
        <f t="shared" si="12"/>
        <v/>
      </c>
      <c r="T82" s="6" t="str">
        <f t="shared" si="13"/>
        <v/>
      </c>
    </row>
    <row r="83" spans="1:20" ht="16.5" x14ac:dyDescent="0.25">
      <c r="A83" s="11" t="str">
        <f t="shared" si="8"/>
        <v/>
      </c>
      <c r="B83" s="12" t="str">
        <f>IF($M$1&gt;=I83,VLOOKUP(I83,Iktato!$B$3:$L$10000,5,FALSE),"")</f>
        <v/>
      </c>
      <c r="C83" s="13" t="str">
        <f t="shared" si="9"/>
        <v/>
      </c>
      <c r="D83" s="14" t="str">
        <f>TRIM(IF($M$1&gt;=I83,IF(VLOOKUP(I83,Iktato!$B$3:$L$10000,8,FALSE)&lt;&gt;0,VLOOKUP(I83,Iktato!$B$3:$L$10000,8,FALSE),""),""))</f>
        <v/>
      </c>
      <c r="E83" s="14" t="str">
        <f>TRIM(IF($M$1&gt;=I83,IF(VLOOKUP(I83,Iktato!$B$3:$L$10000,9,FALSE)&lt;&gt;0,VLOOKUP(I83,Iktato!$B$3:$L$10000,9,FALSE),""),""))</f>
        <v/>
      </c>
      <c r="F83" s="43" t="str">
        <f t="shared" si="14"/>
        <v/>
      </c>
      <c r="G83" s="43"/>
      <c r="I83" s="6">
        <f t="shared" si="15"/>
        <v>73</v>
      </c>
      <c r="J83" s="6" t="str">
        <f t="shared" si="10"/>
        <v/>
      </c>
      <c r="K83" s="6" t="str">
        <f>IF($M$1&gt;=I83,VLOOKUP(I83,Iktato!$B$3:$L$10000,3,FALSE),"")</f>
        <v/>
      </c>
      <c r="M83" s="6" t="str">
        <f>IF($M$1&gt;=I83,IF(VLOOKUP(I83,Iktato!$B$3:$P$10000,15,FALSE)&lt;&gt;0,VLOOKUP(I83,Iktato!$B$3:$P$10000,15,FALSE),""),"")</f>
        <v/>
      </c>
      <c r="N83" s="6" t="str">
        <f>IF($M$1&gt;=I83,IF(VLOOKUP(I83,Iktato!$B$3:$Q$10000,16,FALSE)&lt;&gt;0,VLOOKUP(I83,Iktato!$B$3:$Q$10000,16,FALSE),""),"")</f>
        <v/>
      </c>
      <c r="P83" s="6" t="str">
        <f>TRIM(IF($M$1&gt;=I83,IF(VLOOKUP(I83,Iktato!$B$3:$L$10000,6,FALSE)&lt;&gt;0,VLOOKUP(I83,Iktato!$B$3:$L$10000,6,FALSE),""),""))</f>
        <v/>
      </c>
      <c r="Q83" s="8" t="str">
        <f>TRIM(IF($M$1&gt;=I83,IF(VLOOKUP(I83,Iktato!$B$3:$L$10000,7,FALSE)&lt;&gt;0,VLOOKUP(I83,Iktato!$B$3:$L$10000,7,FALSE),""),""))</f>
        <v/>
      </c>
      <c r="R83" s="6" t="str">
        <f t="shared" si="11"/>
        <v/>
      </c>
      <c r="S83" s="6" t="str">
        <f t="shared" si="12"/>
        <v/>
      </c>
      <c r="T83" s="6" t="str">
        <f t="shared" si="13"/>
        <v/>
      </c>
    </row>
    <row r="84" spans="1:20" ht="16.5" x14ac:dyDescent="0.25">
      <c r="A84" s="11" t="str">
        <f t="shared" si="8"/>
        <v/>
      </c>
      <c r="B84" s="12" t="str">
        <f>IF($M$1&gt;=I84,VLOOKUP(I84,Iktato!$B$3:$L$10000,5,FALSE),"")</f>
        <v/>
      </c>
      <c r="C84" s="13" t="str">
        <f t="shared" si="9"/>
        <v/>
      </c>
      <c r="D84" s="14" t="str">
        <f>TRIM(IF($M$1&gt;=I84,IF(VLOOKUP(I84,Iktato!$B$3:$L$10000,8,FALSE)&lt;&gt;0,VLOOKUP(I84,Iktato!$B$3:$L$10000,8,FALSE),""),""))</f>
        <v/>
      </c>
      <c r="E84" s="14" t="str">
        <f>TRIM(IF($M$1&gt;=I84,IF(VLOOKUP(I84,Iktato!$B$3:$L$10000,9,FALSE)&lt;&gt;0,VLOOKUP(I84,Iktato!$B$3:$L$10000,9,FALSE),""),""))</f>
        <v/>
      </c>
      <c r="F84" s="43" t="str">
        <f t="shared" si="14"/>
        <v/>
      </c>
      <c r="G84" s="43"/>
      <c r="I84" s="6">
        <f t="shared" si="15"/>
        <v>74</v>
      </c>
      <c r="J84" s="6" t="str">
        <f t="shared" si="10"/>
        <v/>
      </c>
      <c r="K84" s="6" t="str">
        <f>IF($M$1&gt;=I84,VLOOKUP(I84,Iktato!$B$3:$L$10000,3,FALSE),"")</f>
        <v/>
      </c>
      <c r="M84" s="6" t="str">
        <f>IF($M$1&gt;=I84,IF(VLOOKUP(I84,Iktato!$B$3:$P$10000,15,FALSE)&lt;&gt;0,VLOOKUP(I84,Iktato!$B$3:$P$10000,15,FALSE),""),"")</f>
        <v/>
      </c>
      <c r="N84" s="6" t="str">
        <f>IF($M$1&gt;=I84,IF(VLOOKUP(I84,Iktato!$B$3:$Q$10000,16,FALSE)&lt;&gt;0,VLOOKUP(I84,Iktato!$B$3:$Q$10000,16,FALSE),""),"")</f>
        <v/>
      </c>
      <c r="P84" s="6" t="str">
        <f>TRIM(IF($M$1&gt;=I84,IF(VLOOKUP(I84,Iktato!$B$3:$L$10000,6,FALSE)&lt;&gt;0,VLOOKUP(I84,Iktato!$B$3:$L$10000,6,FALSE),""),""))</f>
        <v/>
      </c>
      <c r="Q84" s="8" t="str">
        <f>TRIM(IF($M$1&gt;=I84,IF(VLOOKUP(I84,Iktato!$B$3:$L$10000,7,FALSE)&lt;&gt;0,VLOOKUP(I84,Iktato!$B$3:$L$10000,7,FALSE),""),""))</f>
        <v/>
      </c>
      <c r="R84" s="6" t="str">
        <f t="shared" si="11"/>
        <v/>
      </c>
      <c r="S84" s="6" t="str">
        <f t="shared" si="12"/>
        <v/>
      </c>
      <c r="T84" s="6" t="str">
        <f t="shared" si="13"/>
        <v/>
      </c>
    </row>
    <row r="85" spans="1:20" ht="16.5" x14ac:dyDescent="0.25">
      <c r="A85" s="11" t="str">
        <f t="shared" si="8"/>
        <v/>
      </c>
      <c r="B85" s="12" t="str">
        <f>IF($M$1&gt;=I85,VLOOKUP(I85,Iktato!$B$3:$L$10000,5,FALSE),"")</f>
        <v/>
      </c>
      <c r="C85" s="13" t="str">
        <f t="shared" si="9"/>
        <v/>
      </c>
      <c r="D85" s="14" t="str">
        <f>TRIM(IF($M$1&gt;=I85,IF(VLOOKUP(I85,Iktato!$B$3:$L$10000,8,FALSE)&lt;&gt;0,VLOOKUP(I85,Iktato!$B$3:$L$10000,8,FALSE),""),""))</f>
        <v/>
      </c>
      <c r="E85" s="14" t="str">
        <f>TRIM(IF($M$1&gt;=I85,IF(VLOOKUP(I85,Iktato!$B$3:$L$10000,9,FALSE)&lt;&gt;0,VLOOKUP(I85,Iktato!$B$3:$L$10000,9,FALSE),""),""))</f>
        <v/>
      </c>
      <c r="F85" s="43" t="str">
        <f t="shared" si="14"/>
        <v/>
      </c>
      <c r="G85" s="43"/>
      <c r="I85" s="6">
        <f t="shared" si="15"/>
        <v>75</v>
      </c>
      <c r="J85" s="6" t="str">
        <f t="shared" si="10"/>
        <v/>
      </c>
      <c r="K85" s="6" t="str">
        <f>IF($M$1&gt;=I85,VLOOKUP(I85,Iktato!$B$3:$L$10000,3,FALSE),"")</f>
        <v/>
      </c>
      <c r="M85" s="6" t="str">
        <f>IF($M$1&gt;=I85,IF(VLOOKUP(I85,Iktato!$B$3:$P$10000,15,FALSE)&lt;&gt;0,VLOOKUP(I85,Iktato!$B$3:$P$10000,15,FALSE),""),"")</f>
        <v/>
      </c>
      <c r="N85" s="6" t="str">
        <f>IF($M$1&gt;=I85,IF(VLOOKUP(I85,Iktato!$B$3:$Q$10000,16,FALSE)&lt;&gt;0,VLOOKUP(I85,Iktato!$B$3:$Q$10000,16,FALSE),""),"")</f>
        <v/>
      </c>
      <c r="P85" s="6" t="str">
        <f>TRIM(IF($M$1&gt;=I85,IF(VLOOKUP(I85,Iktato!$B$3:$L$10000,6,FALSE)&lt;&gt;0,VLOOKUP(I85,Iktato!$B$3:$L$10000,6,FALSE),""),""))</f>
        <v/>
      </c>
      <c r="Q85" s="8" t="str">
        <f>TRIM(IF($M$1&gt;=I85,IF(VLOOKUP(I85,Iktato!$B$3:$L$10000,7,FALSE)&lt;&gt;0,VLOOKUP(I85,Iktato!$B$3:$L$10000,7,FALSE),""),""))</f>
        <v/>
      </c>
      <c r="R85" s="6" t="str">
        <f t="shared" si="11"/>
        <v/>
      </c>
      <c r="S85" s="6" t="str">
        <f t="shared" si="12"/>
        <v/>
      </c>
      <c r="T85" s="6" t="str">
        <f t="shared" si="13"/>
        <v/>
      </c>
    </row>
    <row r="86" spans="1:20" ht="16.5" x14ac:dyDescent="0.25">
      <c r="A86" s="11" t="str">
        <f t="shared" si="8"/>
        <v/>
      </c>
      <c r="B86" s="12" t="str">
        <f>IF($M$1&gt;=I86,VLOOKUP(I86,Iktato!$B$3:$L$10000,5,FALSE),"")</f>
        <v/>
      </c>
      <c r="C86" s="13" t="str">
        <f t="shared" si="9"/>
        <v/>
      </c>
      <c r="D86" s="14" t="str">
        <f>TRIM(IF($M$1&gt;=I86,IF(VLOOKUP(I86,Iktato!$B$3:$L$10000,8,FALSE)&lt;&gt;0,VLOOKUP(I86,Iktato!$B$3:$L$10000,8,FALSE),""),""))</f>
        <v/>
      </c>
      <c r="E86" s="14" t="str">
        <f>TRIM(IF($M$1&gt;=I86,IF(VLOOKUP(I86,Iktato!$B$3:$L$10000,9,FALSE)&lt;&gt;0,VLOOKUP(I86,Iktato!$B$3:$L$10000,9,FALSE),""),""))</f>
        <v/>
      </c>
      <c r="F86" s="43" t="str">
        <f t="shared" si="14"/>
        <v/>
      </c>
      <c r="G86" s="43"/>
      <c r="I86" s="6">
        <f t="shared" si="15"/>
        <v>76</v>
      </c>
      <c r="J86" s="6" t="str">
        <f t="shared" si="10"/>
        <v/>
      </c>
      <c r="K86" s="6" t="str">
        <f>IF($M$1&gt;=I86,VLOOKUP(I86,Iktato!$B$3:$L$10000,3,FALSE),"")</f>
        <v/>
      </c>
      <c r="M86" s="6" t="str">
        <f>IF($M$1&gt;=I86,IF(VLOOKUP(I86,Iktato!$B$3:$P$10000,15,FALSE)&lt;&gt;0,VLOOKUP(I86,Iktato!$B$3:$P$10000,15,FALSE),""),"")</f>
        <v/>
      </c>
      <c r="N86" s="6" t="str">
        <f>IF($M$1&gt;=I86,IF(VLOOKUP(I86,Iktato!$B$3:$Q$10000,16,FALSE)&lt;&gt;0,VLOOKUP(I86,Iktato!$B$3:$Q$10000,16,FALSE),""),"")</f>
        <v/>
      </c>
      <c r="P86" s="6" t="str">
        <f>TRIM(IF($M$1&gt;=I86,IF(VLOOKUP(I86,Iktato!$B$3:$L$10000,6,FALSE)&lt;&gt;0,VLOOKUP(I86,Iktato!$B$3:$L$10000,6,FALSE),""),""))</f>
        <v/>
      </c>
      <c r="Q86" s="8" t="str">
        <f>TRIM(IF($M$1&gt;=I86,IF(VLOOKUP(I86,Iktato!$B$3:$L$10000,7,FALSE)&lt;&gt;0,VLOOKUP(I86,Iktato!$B$3:$L$10000,7,FALSE),""),""))</f>
        <v/>
      </c>
      <c r="R86" s="6" t="str">
        <f t="shared" si="11"/>
        <v/>
      </c>
      <c r="S86" s="6" t="str">
        <f t="shared" si="12"/>
        <v/>
      </c>
      <c r="T86" s="6" t="str">
        <f t="shared" si="13"/>
        <v/>
      </c>
    </row>
    <row r="87" spans="1:20" ht="16.5" x14ac:dyDescent="0.25">
      <c r="A87" s="11" t="str">
        <f t="shared" si="8"/>
        <v/>
      </c>
      <c r="B87" s="12" t="str">
        <f>IF($M$1&gt;=I87,VLOOKUP(I87,Iktato!$B$3:$L$10000,5,FALSE),"")</f>
        <v/>
      </c>
      <c r="C87" s="13" t="str">
        <f t="shared" si="9"/>
        <v/>
      </c>
      <c r="D87" s="14" t="str">
        <f>TRIM(IF($M$1&gt;=I87,IF(VLOOKUP(I87,Iktato!$B$3:$L$10000,8,FALSE)&lt;&gt;0,VLOOKUP(I87,Iktato!$B$3:$L$10000,8,FALSE),""),""))</f>
        <v/>
      </c>
      <c r="E87" s="14" t="str">
        <f>TRIM(IF($M$1&gt;=I87,IF(VLOOKUP(I87,Iktato!$B$3:$L$10000,9,FALSE)&lt;&gt;0,VLOOKUP(I87,Iktato!$B$3:$L$10000,9,FALSE),""),""))</f>
        <v/>
      </c>
      <c r="F87" s="43" t="str">
        <f t="shared" si="14"/>
        <v/>
      </c>
      <c r="G87" s="43"/>
      <c r="I87" s="6">
        <f t="shared" si="15"/>
        <v>77</v>
      </c>
      <c r="J87" s="6" t="str">
        <f t="shared" si="10"/>
        <v/>
      </c>
      <c r="K87" s="6" t="str">
        <f>IF($M$1&gt;=I87,VLOOKUP(I87,Iktato!$B$3:$L$10000,3,FALSE),"")</f>
        <v/>
      </c>
      <c r="M87" s="6" t="str">
        <f>IF($M$1&gt;=I87,IF(VLOOKUP(I87,Iktato!$B$3:$P$10000,15,FALSE)&lt;&gt;0,VLOOKUP(I87,Iktato!$B$3:$P$10000,15,FALSE),""),"")</f>
        <v/>
      </c>
      <c r="N87" s="6" t="str">
        <f>IF($M$1&gt;=I87,IF(VLOOKUP(I87,Iktato!$B$3:$Q$10000,16,FALSE)&lt;&gt;0,VLOOKUP(I87,Iktato!$B$3:$Q$10000,16,FALSE),""),"")</f>
        <v/>
      </c>
      <c r="P87" s="6" t="str">
        <f>TRIM(IF($M$1&gt;=I87,IF(VLOOKUP(I87,Iktato!$B$3:$L$10000,6,FALSE)&lt;&gt;0,VLOOKUP(I87,Iktato!$B$3:$L$10000,6,FALSE),""),""))</f>
        <v/>
      </c>
      <c r="Q87" s="8" t="str">
        <f>TRIM(IF($M$1&gt;=I87,IF(VLOOKUP(I87,Iktato!$B$3:$L$10000,7,FALSE)&lt;&gt;0,VLOOKUP(I87,Iktato!$B$3:$L$10000,7,FALSE),""),""))</f>
        <v/>
      </c>
      <c r="R87" s="6" t="str">
        <f t="shared" si="11"/>
        <v/>
      </c>
      <c r="S87" s="6" t="str">
        <f t="shared" si="12"/>
        <v/>
      </c>
      <c r="T87" s="6" t="str">
        <f t="shared" si="13"/>
        <v/>
      </c>
    </row>
    <row r="88" spans="1:20" ht="16.5" x14ac:dyDescent="0.25">
      <c r="A88" s="11" t="str">
        <f t="shared" si="8"/>
        <v/>
      </c>
      <c r="B88" s="12" t="str">
        <f>IF($M$1&gt;=I88,VLOOKUP(I88,Iktato!$B$3:$L$10000,5,FALSE),"")</f>
        <v/>
      </c>
      <c r="C88" s="13" t="str">
        <f t="shared" si="9"/>
        <v/>
      </c>
      <c r="D88" s="14" t="str">
        <f>TRIM(IF($M$1&gt;=I88,IF(VLOOKUP(I88,Iktato!$B$3:$L$10000,8,FALSE)&lt;&gt;0,VLOOKUP(I88,Iktato!$B$3:$L$10000,8,FALSE),""),""))</f>
        <v/>
      </c>
      <c r="E88" s="14" t="str">
        <f>TRIM(IF($M$1&gt;=I88,IF(VLOOKUP(I88,Iktato!$B$3:$L$10000,9,FALSE)&lt;&gt;0,VLOOKUP(I88,Iktato!$B$3:$L$10000,9,FALSE),""),""))</f>
        <v/>
      </c>
      <c r="F88" s="43" t="str">
        <f t="shared" si="14"/>
        <v/>
      </c>
      <c r="G88" s="43"/>
      <c r="I88" s="6">
        <f t="shared" si="15"/>
        <v>78</v>
      </c>
      <c r="J88" s="6" t="str">
        <f t="shared" si="10"/>
        <v/>
      </c>
      <c r="K88" s="6" t="str">
        <f>IF($M$1&gt;=I88,VLOOKUP(I88,Iktato!$B$3:$L$10000,3,FALSE),"")</f>
        <v/>
      </c>
      <c r="M88" s="6" t="str">
        <f>IF($M$1&gt;=I88,IF(VLOOKUP(I88,Iktato!$B$3:$P$10000,15,FALSE)&lt;&gt;0,VLOOKUP(I88,Iktato!$B$3:$P$10000,15,FALSE),""),"")</f>
        <v/>
      </c>
      <c r="N88" s="6" t="str">
        <f>IF($M$1&gt;=I88,IF(VLOOKUP(I88,Iktato!$B$3:$Q$10000,16,FALSE)&lt;&gt;0,VLOOKUP(I88,Iktato!$B$3:$Q$10000,16,FALSE),""),"")</f>
        <v/>
      </c>
      <c r="P88" s="6" t="str">
        <f>TRIM(IF($M$1&gt;=I88,IF(VLOOKUP(I88,Iktato!$B$3:$L$10000,6,FALSE)&lt;&gt;0,VLOOKUP(I88,Iktato!$B$3:$L$10000,6,FALSE),""),""))</f>
        <v/>
      </c>
      <c r="Q88" s="8" t="str">
        <f>TRIM(IF($M$1&gt;=I88,IF(VLOOKUP(I88,Iktato!$B$3:$L$10000,7,FALSE)&lt;&gt;0,VLOOKUP(I88,Iktato!$B$3:$L$10000,7,FALSE),""),""))</f>
        <v/>
      </c>
      <c r="R88" s="6" t="str">
        <f t="shared" si="11"/>
        <v/>
      </c>
      <c r="S88" s="6" t="str">
        <f t="shared" si="12"/>
        <v/>
      </c>
      <c r="T88" s="6" t="str">
        <f t="shared" si="13"/>
        <v/>
      </c>
    </row>
    <row r="89" spans="1:20" ht="16.5" x14ac:dyDescent="0.25">
      <c r="A89" s="11" t="str">
        <f t="shared" si="8"/>
        <v/>
      </c>
      <c r="B89" s="12" t="str">
        <f>IF($M$1&gt;=I89,VLOOKUP(I89,Iktato!$B$3:$L$10000,5,FALSE),"")</f>
        <v/>
      </c>
      <c r="C89" s="13" t="str">
        <f t="shared" si="9"/>
        <v/>
      </c>
      <c r="D89" s="14" t="str">
        <f>TRIM(IF($M$1&gt;=I89,IF(VLOOKUP(I89,Iktato!$B$3:$L$10000,8,FALSE)&lt;&gt;0,VLOOKUP(I89,Iktato!$B$3:$L$10000,8,FALSE),""),""))</f>
        <v/>
      </c>
      <c r="E89" s="14" t="str">
        <f>TRIM(IF($M$1&gt;=I89,IF(VLOOKUP(I89,Iktato!$B$3:$L$10000,9,FALSE)&lt;&gt;0,VLOOKUP(I89,Iktato!$B$3:$L$10000,9,FALSE),""),""))</f>
        <v/>
      </c>
      <c r="F89" s="43" t="str">
        <f t="shared" si="14"/>
        <v/>
      </c>
      <c r="G89" s="43"/>
      <c r="I89" s="6">
        <f t="shared" si="15"/>
        <v>79</v>
      </c>
      <c r="J89" s="6" t="str">
        <f t="shared" si="10"/>
        <v/>
      </c>
      <c r="K89" s="6" t="str">
        <f>IF($M$1&gt;=I89,VLOOKUP(I89,Iktato!$B$3:$L$10000,3,FALSE),"")</f>
        <v/>
      </c>
      <c r="M89" s="6" t="str">
        <f>IF($M$1&gt;=I89,IF(VLOOKUP(I89,Iktato!$B$3:$P$10000,15,FALSE)&lt;&gt;0,VLOOKUP(I89,Iktato!$B$3:$P$10000,15,FALSE),""),"")</f>
        <v/>
      </c>
      <c r="N89" s="6" t="str">
        <f>IF($M$1&gt;=I89,IF(VLOOKUP(I89,Iktato!$B$3:$Q$10000,16,FALSE)&lt;&gt;0,VLOOKUP(I89,Iktato!$B$3:$Q$10000,16,FALSE),""),"")</f>
        <v/>
      </c>
      <c r="P89" s="6" t="str">
        <f>TRIM(IF($M$1&gt;=I89,IF(VLOOKUP(I89,Iktato!$B$3:$L$10000,6,FALSE)&lt;&gt;0,VLOOKUP(I89,Iktato!$B$3:$L$10000,6,FALSE),""),""))</f>
        <v/>
      </c>
      <c r="Q89" s="8" t="str">
        <f>TRIM(IF($M$1&gt;=I89,IF(VLOOKUP(I89,Iktato!$B$3:$L$10000,7,FALSE)&lt;&gt;0,VLOOKUP(I89,Iktato!$B$3:$L$10000,7,FALSE),""),""))</f>
        <v/>
      </c>
      <c r="R89" s="6" t="str">
        <f t="shared" si="11"/>
        <v/>
      </c>
      <c r="S89" s="6" t="str">
        <f t="shared" si="12"/>
        <v/>
      </c>
      <c r="T89" s="6" t="str">
        <f t="shared" si="13"/>
        <v/>
      </c>
    </row>
    <row r="90" spans="1:20" ht="16.5" x14ac:dyDescent="0.25">
      <c r="A90" s="11" t="str">
        <f t="shared" si="8"/>
        <v/>
      </c>
      <c r="B90" s="12" t="str">
        <f>IF($M$1&gt;=I90,VLOOKUP(I90,Iktato!$B$3:$L$10000,5,FALSE),"")</f>
        <v/>
      </c>
      <c r="C90" s="13" t="str">
        <f t="shared" si="9"/>
        <v/>
      </c>
      <c r="D90" s="14" t="str">
        <f>TRIM(IF($M$1&gt;=I90,IF(VLOOKUP(I90,Iktato!$B$3:$L$10000,8,FALSE)&lt;&gt;0,VLOOKUP(I90,Iktato!$B$3:$L$10000,8,FALSE),""),""))</f>
        <v/>
      </c>
      <c r="E90" s="14" t="str">
        <f>TRIM(IF($M$1&gt;=I90,IF(VLOOKUP(I90,Iktato!$B$3:$L$10000,9,FALSE)&lt;&gt;0,VLOOKUP(I90,Iktato!$B$3:$L$10000,9,FALSE),""),""))</f>
        <v/>
      </c>
      <c r="F90" s="43" t="str">
        <f t="shared" si="14"/>
        <v/>
      </c>
      <c r="G90" s="43"/>
      <c r="I90" s="6">
        <f t="shared" si="15"/>
        <v>80</v>
      </c>
      <c r="J90" s="6" t="str">
        <f t="shared" si="10"/>
        <v/>
      </c>
      <c r="K90" s="6" t="str">
        <f>IF($M$1&gt;=I90,VLOOKUP(I90,Iktato!$B$3:$L$10000,3,FALSE),"")</f>
        <v/>
      </c>
      <c r="M90" s="6" t="str">
        <f>IF($M$1&gt;=I90,IF(VLOOKUP(I90,Iktato!$B$3:$P$10000,15,FALSE)&lt;&gt;0,VLOOKUP(I90,Iktato!$B$3:$P$10000,15,FALSE),""),"")</f>
        <v/>
      </c>
      <c r="N90" s="6" t="str">
        <f>IF($M$1&gt;=I90,IF(VLOOKUP(I90,Iktato!$B$3:$Q$10000,16,FALSE)&lt;&gt;0,VLOOKUP(I90,Iktato!$B$3:$Q$10000,16,FALSE),""),"")</f>
        <v/>
      </c>
      <c r="P90" s="6" t="str">
        <f>TRIM(IF($M$1&gt;=I90,IF(VLOOKUP(I90,Iktato!$B$3:$L$10000,6,FALSE)&lt;&gt;0,VLOOKUP(I90,Iktato!$B$3:$L$10000,6,FALSE),""),""))</f>
        <v/>
      </c>
      <c r="Q90" s="8" t="str">
        <f>TRIM(IF($M$1&gt;=I90,IF(VLOOKUP(I90,Iktato!$B$3:$L$10000,7,FALSE)&lt;&gt;0,VLOOKUP(I90,Iktato!$B$3:$L$10000,7,FALSE),""),""))</f>
        <v/>
      </c>
      <c r="R90" s="6" t="str">
        <f t="shared" si="11"/>
        <v/>
      </c>
      <c r="S90" s="6" t="str">
        <f t="shared" si="12"/>
        <v/>
      </c>
      <c r="T90" s="6" t="str">
        <f t="shared" si="13"/>
        <v/>
      </c>
    </row>
    <row r="91" spans="1:20" ht="16.5" x14ac:dyDescent="0.25">
      <c r="A91" s="11" t="str">
        <f t="shared" si="8"/>
        <v/>
      </c>
      <c r="B91" s="12" t="str">
        <f>IF($M$1&gt;=I91,VLOOKUP(I91,Iktato!$B$3:$L$10000,5,FALSE),"")</f>
        <v/>
      </c>
      <c r="C91" s="13" t="str">
        <f t="shared" si="9"/>
        <v/>
      </c>
      <c r="D91" s="14" t="str">
        <f>TRIM(IF($M$1&gt;=I91,IF(VLOOKUP(I91,Iktato!$B$3:$L$10000,8,FALSE)&lt;&gt;0,VLOOKUP(I91,Iktato!$B$3:$L$10000,8,FALSE),""),""))</f>
        <v/>
      </c>
      <c r="E91" s="14" t="str">
        <f>TRIM(IF($M$1&gt;=I91,IF(VLOOKUP(I91,Iktato!$B$3:$L$10000,9,FALSE)&lt;&gt;0,VLOOKUP(I91,Iktato!$B$3:$L$10000,9,FALSE),""),""))</f>
        <v/>
      </c>
      <c r="F91" s="43" t="str">
        <f t="shared" si="14"/>
        <v/>
      </c>
      <c r="G91" s="43"/>
      <c r="I91" s="6">
        <f t="shared" si="15"/>
        <v>81</v>
      </c>
      <c r="J91" s="6" t="str">
        <f t="shared" si="10"/>
        <v/>
      </c>
      <c r="K91" s="6" t="str">
        <f>IF($M$1&gt;=I91,VLOOKUP(I91,Iktato!$B$3:$L$10000,3,FALSE),"")</f>
        <v/>
      </c>
      <c r="M91" s="6" t="str">
        <f>IF($M$1&gt;=I91,IF(VLOOKUP(I91,Iktato!$B$3:$P$10000,15,FALSE)&lt;&gt;0,VLOOKUP(I91,Iktato!$B$3:$P$10000,15,FALSE),""),"")</f>
        <v/>
      </c>
      <c r="N91" s="6" t="str">
        <f>IF($M$1&gt;=I91,IF(VLOOKUP(I91,Iktato!$B$3:$Q$10000,16,FALSE)&lt;&gt;0,VLOOKUP(I91,Iktato!$B$3:$Q$10000,16,FALSE),""),"")</f>
        <v/>
      </c>
      <c r="P91" s="6" t="str">
        <f>TRIM(IF($M$1&gt;=I91,IF(VLOOKUP(I91,Iktato!$B$3:$L$10000,6,FALSE)&lt;&gt;0,VLOOKUP(I91,Iktato!$B$3:$L$10000,6,FALSE),""),""))</f>
        <v/>
      </c>
      <c r="Q91" s="8" t="str">
        <f>TRIM(IF($M$1&gt;=I91,IF(VLOOKUP(I91,Iktato!$B$3:$L$10000,7,FALSE)&lt;&gt;0,VLOOKUP(I91,Iktato!$B$3:$L$10000,7,FALSE),""),""))</f>
        <v/>
      </c>
      <c r="R91" s="6" t="str">
        <f t="shared" si="11"/>
        <v/>
      </c>
      <c r="S91" s="6" t="str">
        <f t="shared" si="12"/>
        <v/>
      </c>
      <c r="T91" s="6" t="str">
        <f t="shared" si="13"/>
        <v/>
      </c>
    </row>
    <row r="92" spans="1:20" ht="16.5" x14ac:dyDescent="0.25">
      <c r="A92" s="11" t="str">
        <f t="shared" si="8"/>
        <v/>
      </c>
      <c r="B92" s="12" t="str">
        <f>IF($M$1&gt;=I92,VLOOKUP(I92,Iktato!$B$3:$L$10000,5,FALSE),"")</f>
        <v/>
      </c>
      <c r="C92" s="13" t="str">
        <f t="shared" si="9"/>
        <v/>
      </c>
      <c r="D92" s="14" t="str">
        <f>TRIM(IF($M$1&gt;=I92,IF(VLOOKUP(I92,Iktato!$B$3:$L$10000,8,FALSE)&lt;&gt;0,VLOOKUP(I92,Iktato!$B$3:$L$10000,8,FALSE),""),""))</f>
        <v/>
      </c>
      <c r="E92" s="14" t="str">
        <f>TRIM(IF($M$1&gt;=I92,IF(VLOOKUP(I92,Iktato!$B$3:$L$10000,9,FALSE)&lt;&gt;0,VLOOKUP(I92,Iktato!$B$3:$L$10000,9,FALSE),""),""))</f>
        <v/>
      </c>
      <c r="F92" s="43" t="str">
        <f t="shared" si="14"/>
        <v/>
      </c>
      <c r="G92" s="43"/>
      <c r="I92" s="6">
        <f t="shared" si="15"/>
        <v>82</v>
      </c>
      <c r="J92" s="6" t="str">
        <f t="shared" si="10"/>
        <v/>
      </c>
      <c r="K92" s="6" t="str">
        <f>IF($M$1&gt;=I92,VLOOKUP(I92,Iktato!$B$3:$L$10000,3,FALSE),"")</f>
        <v/>
      </c>
      <c r="M92" s="6" t="str">
        <f>IF($M$1&gt;=I92,IF(VLOOKUP(I92,Iktato!$B$3:$P$10000,15,FALSE)&lt;&gt;0,VLOOKUP(I92,Iktato!$B$3:$P$10000,15,FALSE),""),"")</f>
        <v/>
      </c>
      <c r="N92" s="6" t="str">
        <f>IF($M$1&gt;=I92,IF(VLOOKUP(I92,Iktato!$B$3:$Q$10000,16,FALSE)&lt;&gt;0,VLOOKUP(I92,Iktato!$B$3:$Q$10000,16,FALSE),""),"")</f>
        <v/>
      </c>
      <c r="P92" s="6" t="str">
        <f>TRIM(IF($M$1&gt;=I92,IF(VLOOKUP(I92,Iktato!$B$3:$L$10000,6,FALSE)&lt;&gt;0,VLOOKUP(I92,Iktato!$B$3:$L$10000,6,FALSE),""),""))</f>
        <v/>
      </c>
      <c r="Q92" s="8" t="str">
        <f>TRIM(IF($M$1&gt;=I92,IF(VLOOKUP(I92,Iktato!$B$3:$L$10000,7,FALSE)&lt;&gt;0,VLOOKUP(I92,Iktato!$B$3:$L$10000,7,FALSE),""),""))</f>
        <v/>
      </c>
      <c r="R92" s="6" t="str">
        <f t="shared" si="11"/>
        <v/>
      </c>
      <c r="S92" s="6" t="str">
        <f t="shared" si="12"/>
        <v/>
      </c>
      <c r="T92" s="6" t="str">
        <f t="shared" si="13"/>
        <v/>
      </c>
    </row>
    <row r="93" spans="1:20" ht="16.5" x14ac:dyDescent="0.25">
      <c r="A93" s="11" t="str">
        <f t="shared" si="8"/>
        <v/>
      </c>
      <c r="B93" s="12" t="str">
        <f>IF($M$1&gt;=I93,VLOOKUP(I93,Iktato!$B$3:$L$10000,5,FALSE),"")</f>
        <v/>
      </c>
      <c r="C93" s="13" t="str">
        <f t="shared" si="9"/>
        <v/>
      </c>
      <c r="D93" s="14" t="str">
        <f>TRIM(IF($M$1&gt;=I93,IF(VLOOKUP(I93,Iktato!$B$3:$L$10000,8,FALSE)&lt;&gt;0,VLOOKUP(I93,Iktato!$B$3:$L$10000,8,FALSE),""),""))</f>
        <v/>
      </c>
      <c r="E93" s="14" t="str">
        <f>TRIM(IF($M$1&gt;=I93,IF(VLOOKUP(I93,Iktato!$B$3:$L$10000,9,FALSE)&lt;&gt;0,VLOOKUP(I93,Iktato!$B$3:$L$10000,9,FALSE),""),""))</f>
        <v/>
      </c>
      <c r="F93" s="43" t="str">
        <f t="shared" si="14"/>
        <v/>
      </c>
      <c r="G93" s="43"/>
      <c r="I93" s="6">
        <f t="shared" si="15"/>
        <v>83</v>
      </c>
      <c r="J93" s="6" t="str">
        <f t="shared" si="10"/>
        <v/>
      </c>
      <c r="K93" s="6" t="str">
        <f>IF($M$1&gt;=I93,VLOOKUP(I93,Iktato!$B$3:$L$10000,3,FALSE),"")</f>
        <v/>
      </c>
      <c r="M93" s="6" t="str">
        <f>IF($M$1&gt;=I93,IF(VLOOKUP(I93,Iktato!$B$3:$P$10000,15,FALSE)&lt;&gt;0,VLOOKUP(I93,Iktato!$B$3:$P$10000,15,FALSE),""),"")</f>
        <v/>
      </c>
      <c r="N93" s="6" t="str">
        <f>IF($M$1&gt;=I93,IF(VLOOKUP(I93,Iktato!$B$3:$Q$10000,16,FALSE)&lt;&gt;0,VLOOKUP(I93,Iktato!$B$3:$Q$10000,16,FALSE),""),"")</f>
        <v/>
      </c>
      <c r="P93" s="6" t="str">
        <f>TRIM(IF($M$1&gt;=I93,IF(VLOOKUP(I93,Iktato!$B$3:$L$10000,6,FALSE)&lt;&gt;0,VLOOKUP(I93,Iktato!$B$3:$L$10000,6,FALSE),""),""))</f>
        <v/>
      </c>
      <c r="Q93" s="8" t="str">
        <f>TRIM(IF($M$1&gt;=I93,IF(VLOOKUP(I93,Iktato!$B$3:$L$10000,7,FALSE)&lt;&gt;0,VLOOKUP(I93,Iktato!$B$3:$L$10000,7,FALSE),""),""))</f>
        <v/>
      </c>
      <c r="R93" s="6" t="str">
        <f t="shared" si="11"/>
        <v/>
      </c>
      <c r="S93" s="6" t="str">
        <f t="shared" si="12"/>
        <v/>
      </c>
      <c r="T93" s="6" t="str">
        <f t="shared" si="13"/>
        <v/>
      </c>
    </row>
    <row r="94" spans="1:20" ht="16.5" x14ac:dyDescent="0.25">
      <c r="A94" s="11" t="str">
        <f t="shared" si="8"/>
        <v/>
      </c>
      <c r="B94" s="12" t="str">
        <f>IF($M$1&gt;=I94,VLOOKUP(I94,Iktato!$B$3:$L$10000,5,FALSE),"")</f>
        <v/>
      </c>
      <c r="C94" s="13" t="str">
        <f t="shared" si="9"/>
        <v/>
      </c>
      <c r="D94" s="14" t="str">
        <f>TRIM(IF($M$1&gt;=I94,IF(VLOOKUP(I94,Iktato!$B$3:$L$10000,8,FALSE)&lt;&gt;0,VLOOKUP(I94,Iktato!$B$3:$L$10000,8,FALSE),""),""))</f>
        <v/>
      </c>
      <c r="E94" s="14" t="str">
        <f>TRIM(IF($M$1&gt;=I94,IF(VLOOKUP(I94,Iktato!$B$3:$L$10000,9,FALSE)&lt;&gt;0,VLOOKUP(I94,Iktato!$B$3:$L$10000,9,FALSE),""),""))</f>
        <v/>
      </c>
      <c r="F94" s="43" t="str">
        <f t="shared" si="14"/>
        <v/>
      </c>
      <c r="G94" s="43"/>
      <c r="I94" s="6">
        <f t="shared" si="15"/>
        <v>84</v>
      </c>
      <c r="J94" s="6" t="str">
        <f t="shared" si="10"/>
        <v/>
      </c>
      <c r="K94" s="6" t="str">
        <f>IF($M$1&gt;=I94,VLOOKUP(I94,Iktato!$B$3:$L$10000,3,FALSE),"")</f>
        <v/>
      </c>
      <c r="M94" s="6" t="str">
        <f>IF($M$1&gt;=I94,IF(VLOOKUP(I94,Iktato!$B$3:$P$10000,15,FALSE)&lt;&gt;0,VLOOKUP(I94,Iktato!$B$3:$P$10000,15,FALSE),""),"")</f>
        <v/>
      </c>
      <c r="N94" s="6" t="str">
        <f>IF($M$1&gt;=I94,IF(VLOOKUP(I94,Iktato!$B$3:$Q$10000,16,FALSE)&lt;&gt;0,VLOOKUP(I94,Iktato!$B$3:$Q$10000,16,FALSE),""),"")</f>
        <v/>
      </c>
      <c r="P94" s="6" t="str">
        <f>TRIM(IF($M$1&gt;=I94,IF(VLOOKUP(I94,Iktato!$B$3:$L$10000,6,FALSE)&lt;&gt;0,VLOOKUP(I94,Iktato!$B$3:$L$10000,6,FALSE),""),""))</f>
        <v/>
      </c>
      <c r="Q94" s="8" t="str">
        <f>TRIM(IF($M$1&gt;=I94,IF(VLOOKUP(I94,Iktato!$B$3:$L$10000,7,FALSE)&lt;&gt;0,VLOOKUP(I94,Iktato!$B$3:$L$10000,7,FALSE),""),""))</f>
        <v/>
      </c>
      <c r="R94" s="6" t="str">
        <f t="shared" si="11"/>
        <v/>
      </c>
      <c r="S94" s="6" t="str">
        <f t="shared" si="12"/>
        <v/>
      </c>
      <c r="T94" s="6" t="str">
        <f t="shared" si="13"/>
        <v/>
      </c>
    </row>
    <row r="95" spans="1:20" ht="16.5" x14ac:dyDescent="0.25">
      <c r="A95" s="11" t="str">
        <f t="shared" si="8"/>
        <v/>
      </c>
      <c r="B95" s="12" t="str">
        <f>IF($M$1&gt;=I95,VLOOKUP(I95,Iktato!$B$3:$L$10000,5,FALSE),"")</f>
        <v/>
      </c>
      <c r="C95" s="13" t="str">
        <f t="shared" si="9"/>
        <v/>
      </c>
      <c r="D95" s="14" t="str">
        <f>TRIM(IF($M$1&gt;=I95,IF(VLOOKUP(I95,Iktato!$B$3:$L$10000,8,FALSE)&lt;&gt;0,VLOOKUP(I95,Iktato!$B$3:$L$10000,8,FALSE),""),""))</f>
        <v/>
      </c>
      <c r="E95" s="14" t="str">
        <f>TRIM(IF($M$1&gt;=I95,IF(VLOOKUP(I95,Iktato!$B$3:$L$10000,9,FALSE)&lt;&gt;0,VLOOKUP(I95,Iktato!$B$3:$L$10000,9,FALSE),""),""))</f>
        <v/>
      </c>
      <c r="F95" s="43" t="str">
        <f t="shared" si="14"/>
        <v/>
      </c>
      <c r="G95" s="43"/>
      <c r="I95" s="6">
        <f t="shared" si="15"/>
        <v>85</v>
      </c>
      <c r="J95" s="6" t="str">
        <f t="shared" si="10"/>
        <v/>
      </c>
      <c r="K95" s="6" t="str">
        <f>IF($M$1&gt;=I95,VLOOKUP(I95,Iktato!$B$3:$L$10000,3,FALSE),"")</f>
        <v/>
      </c>
      <c r="M95" s="6" t="str">
        <f>IF($M$1&gt;=I95,IF(VLOOKUP(I95,Iktato!$B$3:$P$10000,15,FALSE)&lt;&gt;0,VLOOKUP(I95,Iktato!$B$3:$P$10000,15,FALSE),""),"")</f>
        <v/>
      </c>
      <c r="N95" s="6" t="str">
        <f>IF($M$1&gt;=I95,IF(VLOOKUP(I95,Iktato!$B$3:$Q$10000,16,FALSE)&lt;&gt;0,VLOOKUP(I95,Iktato!$B$3:$Q$10000,16,FALSE),""),"")</f>
        <v/>
      </c>
      <c r="P95" s="6" t="str">
        <f>TRIM(IF($M$1&gt;=I95,IF(VLOOKUP(I95,Iktato!$B$3:$L$10000,6,FALSE)&lt;&gt;0,VLOOKUP(I95,Iktato!$B$3:$L$10000,6,FALSE),""),""))</f>
        <v/>
      </c>
      <c r="Q95" s="8" t="str">
        <f>TRIM(IF($M$1&gt;=I95,IF(VLOOKUP(I95,Iktato!$B$3:$L$10000,7,FALSE)&lt;&gt;0,VLOOKUP(I95,Iktato!$B$3:$L$10000,7,FALSE),""),""))</f>
        <v/>
      </c>
      <c r="R95" s="6" t="str">
        <f t="shared" si="11"/>
        <v/>
      </c>
      <c r="S95" s="6" t="str">
        <f t="shared" si="12"/>
        <v/>
      </c>
      <c r="T95" s="6" t="str">
        <f t="shared" si="13"/>
        <v/>
      </c>
    </row>
    <row r="96" spans="1:20" ht="16.5" x14ac:dyDescent="0.25">
      <c r="A96" s="11" t="str">
        <f t="shared" si="8"/>
        <v/>
      </c>
      <c r="B96" s="12" t="str">
        <f>IF($M$1&gt;=I96,VLOOKUP(I96,Iktato!$B$3:$L$10000,5,FALSE),"")</f>
        <v/>
      </c>
      <c r="C96" s="13" t="str">
        <f t="shared" si="9"/>
        <v/>
      </c>
      <c r="D96" s="14" t="str">
        <f>TRIM(IF($M$1&gt;=I96,IF(VLOOKUP(I96,Iktato!$B$3:$L$10000,8,FALSE)&lt;&gt;0,VLOOKUP(I96,Iktato!$B$3:$L$10000,8,FALSE),""),""))</f>
        <v/>
      </c>
      <c r="E96" s="14" t="str">
        <f>TRIM(IF($M$1&gt;=I96,IF(VLOOKUP(I96,Iktato!$B$3:$L$10000,9,FALSE)&lt;&gt;0,VLOOKUP(I96,Iktato!$B$3:$L$10000,9,FALSE),""),""))</f>
        <v/>
      </c>
      <c r="F96" s="43" t="str">
        <f t="shared" si="14"/>
        <v/>
      </c>
      <c r="G96" s="43"/>
      <c r="I96" s="6">
        <f t="shared" si="15"/>
        <v>86</v>
      </c>
      <c r="J96" s="6" t="str">
        <f t="shared" si="10"/>
        <v/>
      </c>
      <c r="K96" s="6" t="str">
        <f>IF($M$1&gt;=I96,VLOOKUP(I96,Iktato!$B$3:$L$10000,3,FALSE),"")</f>
        <v/>
      </c>
      <c r="M96" s="6" t="str">
        <f>IF($M$1&gt;=I96,IF(VLOOKUP(I96,Iktato!$B$3:$P$10000,15,FALSE)&lt;&gt;0,VLOOKUP(I96,Iktato!$B$3:$P$10000,15,FALSE),""),"")</f>
        <v/>
      </c>
      <c r="N96" s="6" t="str">
        <f>IF($M$1&gt;=I96,IF(VLOOKUP(I96,Iktato!$B$3:$Q$10000,16,FALSE)&lt;&gt;0,VLOOKUP(I96,Iktato!$B$3:$Q$10000,16,FALSE),""),"")</f>
        <v/>
      </c>
      <c r="P96" s="6" t="str">
        <f>TRIM(IF($M$1&gt;=I96,IF(VLOOKUP(I96,Iktato!$B$3:$L$10000,6,FALSE)&lt;&gt;0,VLOOKUP(I96,Iktato!$B$3:$L$10000,6,FALSE),""),""))</f>
        <v/>
      </c>
      <c r="Q96" s="8" t="str">
        <f>TRIM(IF($M$1&gt;=I96,IF(VLOOKUP(I96,Iktato!$B$3:$L$10000,7,FALSE)&lt;&gt;0,VLOOKUP(I96,Iktato!$B$3:$L$10000,7,FALSE),""),""))</f>
        <v/>
      </c>
      <c r="R96" s="6" t="str">
        <f t="shared" si="11"/>
        <v/>
      </c>
      <c r="S96" s="6" t="str">
        <f t="shared" si="12"/>
        <v/>
      </c>
      <c r="T96" s="6" t="str">
        <f t="shared" si="13"/>
        <v/>
      </c>
    </row>
    <row r="97" spans="1:20" ht="16.5" x14ac:dyDescent="0.25">
      <c r="A97" s="11" t="str">
        <f t="shared" si="8"/>
        <v/>
      </c>
      <c r="B97" s="12" t="str">
        <f>IF($M$1&gt;=I97,VLOOKUP(I97,Iktato!$B$3:$L$10000,5,FALSE),"")</f>
        <v/>
      </c>
      <c r="C97" s="13" t="str">
        <f t="shared" si="9"/>
        <v/>
      </c>
      <c r="D97" s="14" t="str">
        <f>TRIM(IF($M$1&gt;=I97,IF(VLOOKUP(I97,Iktato!$B$3:$L$10000,8,FALSE)&lt;&gt;0,VLOOKUP(I97,Iktato!$B$3:$L$10000,8,FALSE),""),""))</f>
        <v/>
      </c>
      <c r="E97" s="14" t="str">
        <f>TRIM(IF($M$1&gt;=I97,IF(VLOOKUP(I97,Iktato!$B$3:$L$10000,9,FALSE)&lt;&gt;0,VLOOKUP(I97,Iktato!$B$3:$L$10000,9,FALSE),""),""))</f>
        <v/>
      </c>
      <c r="F97" s="43" t="str">
        <f t="shared" si="14"/>
        <v/>
      </c>
      <c r="G97" s="43"/>
      <c r="I97" s="6">
        <f t="shared" si="15"/>
        <v>87</v>
      </c>
      <c r="J97" s="6" t="str">
        <f t="shared" si="10"/>
        <v/>
      </c>
      <c r="K97" s="6" t="str">
        <f>IF($M$1&gt;=I97,VLOOKUP(I97,Iktato!$B$3:$L$10000,3,FALSE),"")</f>
        <v/>
      </c>
      <c r="M97" s="6" t="str">
        <f>IF($M$1&gt;=I97,IF(VLOOKUP(I97,Iktato!$B$3:$P$10000,15,FALSE)&lt;&gt;0,VLOOKUP(I97,Iktato!$B$3:$P$10000,15,FALSE),""),"")</f>
        <v/>
      </c>
      <c r="N97" s="6" t="str">
        <f>IF($M$1&gt;=I97,IF(VLOOKUP(I97,Iktato!$B$3:$Q$10000,16,FALSE)&lt;&gt;0,VLOOKUP(I97,Iktato!$B$3:$Q$10000,16,FALSE),""),"")</f>
        <v/>
      </c>
      <c r="P97" s="6" t="str">
        <f>TRIM(IF($M$1&gt;=I97,IF(VLOOKUP(I97,Iktato!$B$3:$L$10000,6,FALSE)&lt;&gt;0,VLOOKUP(I97,Iktato!$B$3:$L$10000,6,FALSE),""),""))</f>
        <v/>
      </c>
      <c r="Q97" s="8" t="str">
        <f>TRIM(IF($M$1&gt;=I97,IF(VLOOKUP(I97,Iktato!$B$3:$L$10000,7,FALSE)&lt;&gt;0,VLOOKUP(I97,Iktato!$B$3:$L$10000,7,FALSE),""),""))</f>
        <v/>
      </c>
      <c r="R97" s="6" t="str">
        <f t="shared" si="11"/>
        <v/>
      </c>
      <c r="S97" s="6" t="str">
        <f t="shared" si="12"/>
        <v/>
      </c>
      <c r="T97" s="6" t="str">
        <f t="shared" si="13"/>
        <v/>
      </c>
    </row>
    <row r="98" spans="1:20" ht="16.5" x14ac:dyDescent="0.25">
      <c r="A98" s="11" t="str">
        <f t="shared" si="8"/>
        <v/>
      </c>
      <c r="B98" s="12" t="str">
        <f>IF($M$1&gt;=I98,VLOOKUP(I98,Iktato!$B$3:$L$10000,5,FALSE),"")</f>
        <v/>
      </c>
      <c r="C98" s="13" t="str">
        <f t="shared" si="9"/>
        <v/>
      </c>
      <c r="D98" s="14" t="str">
        <f>TRIM(IF($M$1&gt;=I98,IF(VLOOKUP(I98,Iktato!$B$3:$L$10000,8,FALSE)&lt;&gt;0,VLOOKUP(I98,Iktato!$B$3:$L$10000,8,FALSE),""),""))</f>
        <v/>
      </c>
      <c r="E98" s="14" t="str">
        <f>TRIM(IF($M$1&gt;=I98,IF(VLOOKUP(I98,Iktato!$B$3:$L$10000,9,FALSE)&lt;&gt;0,VLOOKUP(I98,Iktato!$B$3:$L$10000,9,FALSE),""),""))</f>
        <v/>
      </c>
      <c r="F98" s="43" t="str">
        <f t="shared" si="14"/>
        <v/>
      </c>
      <c r="G98" s="43"/>
      <c r="I98" s="6">
        <f t="shared" si="15"/>
        <v>88</v>
      </c>
      <c r="J98" s="6" t="str">
        <f t="shared" si="10"/>
        <v/>
      </c>
      <c r="K98" s="6" t="str">
        <f>IF($M$1&gt;=I98,VLOOKUP(I98,Iktato!$B$3:$L$10000,3,FALSE),"")</f>
        <v/>
      </c>
      <c r="M98" s="6" t="str">
        <f>IF($M$1&gt;=I98,IF(VLOOKUP(I98,Iktato!$B$3:$P$10000,15,FALSE)&lt;&gt;0,VLOOKUP(I98,Iktato!$B$3:$P$10000,15,FALSE),""),"")</f>
        <v/>
      </c>
      <c r="N98" s="6" t="str">
        <f>IF($M$1&gt;=I98,IF(VLOOKUP(I98,Iktato!$B$3:$Q$10000,16,FALSE)&lt;&gt;0,VLOOKUP(I98,Iktato!$B$3:$Q$10000,16,FALSE),""),"")</f>
        <v/>
      </c>
      <c r="P98" s="6" t="str">
        <f>TRIM(IF($M$1&gt;=I98,IF(VLOOKUP(I98,Iktato!$B$3:$L$10000,6,FALSE)&lt;&gt;0,VLOOKUP(I98,Iktato!$B$3:$L$10000,6,FALSE),""),""))</f>
        <v/>
      </c>
      <c r="Q98" s="8" t="str">
        <f>TRIM(IF($M$1&gt;=I98,IF(VLOOKUP(I98,Iktato!$B$3:$L$10000,7,FALSE)&lt;&gt;0,VLOOKUP(I98,Iktato!$B$3:$L$10000,7,FALSE),""),""))</f>
        <v/>
      </c>
      <c r="R98" s="6" t="str">
        <f t="shared" si="11"/>
        <v/>
      </c>
      <c r="S98" s="6" t="str">
        <f t="shared" si="12"/>
        <v/>
      </c>
      <c r="T98" s="6" t="str">
        <f t="shared" si="13"/>
        <v/>
      </c>
    </row>
    <row r="99" spans="1:20" ht="16.5" x14ac:dyDescent="0.25">
      <c r="A99" s="11" t="str">
        <f t="shared" si="8"/>
        <v/>
      </c>
      <c r="B99" s="12" t="str">
        <f>IF($M$1&gt;=I99,VLOOKUP(I99,Iktato!$B$3:$L$10000,5,FALSE),"")</f>
        <v/>
      </c>
      <c r="C99" s="13" t="str">
        <f t="shared" si="9"/>
        <v/>
      </c>
      <c r="D99" s="14" t="str">
        <f>TRIM(IF($M$1&gt;=I99,IF(VLOOKUP(I99,Iktato!$B$3:$L$10000,8,FALSE)&lt;&gt;0,VLOOKUP(I99,Iktato!$B$3:$L$10000,8,FALSE),""),""))</f>
        <v/>
      </c>
      <c r="E99" s="14" t="str">
        <f>TRIM(IF($M$1&gt;=I99,IF(VLOOKUP(I99,Iktato!$B$3:$L$10000,9,FALSE)&lt;&gt;0,VLOOKUP(I99,Iktato!$B$3:$L$10000,9,FALSE),""),""))</f>
        <v/>
      </c>
      <c r="F99" s="43" t="str">
        <f t="shared" si="14"/>
        <v/>
      </c>
      <c r="G99" s="43"/>
      <c r="I99" s="6">
        <f t="shared" si="15"/>
        <v>89</v>
      </c>
      <c r="J99" s="6" t="str">
        <f t="shared" si="10"/>
        <v/>
      </c>
      <c r="K99" s="6" t="str">
        <f>IF($M$1&gt;=I99,VLOOKUP(I99,Iktato!$B$3:$L$10000,3,FALSE),"")</f>
        <v/>
      </c>
      <c r="M99" s="6" t="str">
        <f>IF($M$1&gt;=I99,IF(VLOOKUP(I99,Iktato!$B$3:$P$10000,15,FALSE)&lt;&gt;0,VLOOKUP(I99,Iktato!$B$3:$P$10000,15,FALSE),""),"")</f>
        <v/>
      </c>
      <c r="N99" s="6" t="str">
        <f>IF($M$1&gt;=I99,IF(VLOOKUP(I99,Iktato!$B$3:$Q$10000,16,FALSE)&lt;&gt;0,VLOOKUP(I99,Iktato!$B$3:$Q$10000,16,FALSE),""),"")</f>
        <v/>
      </c>
      <c r="P99" s="6" t="str">
        <f>TRIM(IF($M$1&gt;=I99,IF(VLOOKUP(I99,Iktato!$B$3:$L$10000,6,FALSE)&lt;&gt;0,VLOOKUP(I99,Iktato!$B$3:$L$10000,6,FALSE),""),""))</f>
        <v/>
      </c>
      <c r="Q99" s="8" t="str">
        <f>TRIM(IF($M$1&gt;=I99,IF(VLOOKUP(I99,Iktato!$B$3:$L$10000,7,FALSE)&lt;&gt;0,VLOOKUP(I99,Iktato!$B$3:$L$10000,7,FALSE),""),""))</f>
        <v/>
      </c>
      <c r="R99" s="6" t="str">
        <f t="shared" si="11"/>
        <v/>
      </c>
      <c r="S99" s="6" t="str">
        <f t="shared" si="12"/>
        <v/>
      </c>
      <c r="T99" s="6" t="str">
        <f t="shared" si="13"/>
        <v/>
      </c>
    </row>
    <row r="100" spans="1:20" ht="16.5" x14ac:dyDescent="0.25">
      <c r="A100" s="11" t="str">
        <f t="shared" si="8"/>
        <v/>
      </c>
      <c r="B100" s="12" t="str">
        <f>IF($M$1&gt;=I100,VLOOKUP(I100,Iktato!$B$3:$L$10000,5,FALSE),"")</f>
        <v/>
      </c>
      <c r="C100" s="13" t="str">
        <f t="shared" si="9"/>
        <v/>
      </c>
      <c r="D100" s="14" t="str">
        <f>TRIM(IF($M$1&gt;=I100,IF(VLOOKUP(I100,Iktato!$B$3:$L$10000,8,FALSE)&lt;&gt;0,VLOOKUP(I100,Iktato!$B$3:$L$10000,8,FALSE),""),""))</f>
        <v/>
      </c>
      <c r="E100" s="14" t="str">
        <f>TRIM(IF($M$1&gt;=I100,IF(VLOOKUP(I100,Iktato!$B$3:$L$10000,9,FALSE)&lt;&gt;0,VLOOKUP(I100,Iktato!$B$3:$L$10000,9,FALSE),""),""))</f>
        <v/>
      </c>
      <c r="F100" s="43" t="str">
        <f t="shared" si="14"/>
        <v/>
      </c>
      <c r="G100" s="43"/>
      <c r="I100" s="6">
        <f t="shared" si="15"/>
        <v>90</v>
      </c>
      <c r="J100" s="6" t="str">
        <f t="shared" si="10"/>
        <v/>
      </c>
      <c r="K100" s="6" t="str">
        <f>IF($M$1&gt;=I100,VLOOKUP(I100,Iktato!$B$3:$L$10000,3,FALSE),"")</f>
        <v/>
      </c>
      <c r="M100" s="6" t="str">
        <f>IF($M$1&gt;=I100,IF(VLOOKUP(I100,Iktato!$B$3:$P$10000,15,FALSE)&lt;&gt;0,VLOOKUP(I100,Iktato!$B$3:$P$10000,15,FALSE),""),"")</f>
        <v/>
      </c>
      <c r="N100" s="6" t="str">
        <f>IF($M$1&gt;=I100,IF(VLOOKUP(I100,Iktato!$B$3:$Q$10000,16,FALSE)&lt;&gt;0,VLOOKUP(I100,Iktato!$B$3:$Q$10000,16,FALSE),""),"")</f>
        <v/>
      </c>
      <c r="P100" s="6" t="str">
        <f>TRIM(IF($M$1&gt;=I100,IF(VLOOKUP(I100,Iktato!$B$3:$L$10000,6,FALSE)&lt;&gt;0,VLOOKUP(I100,Iktato!$B$3:$L$10000,6,FALSE),""),""))</f>
        <v/>
      </c>
      <c r="Q100" s="8" t="str">
        <f>TRIM(IF($M$1&gt;=I100,IF(VLOOKUP(I100,Iktato!$B$3:$L$10000,7,FALSE)&lt;&gt;0,VLOOKUP(I100,Iktato!$B$3:$L$10000,7,FALSE),""),""))</f>
        <v/>
      </c>
      <c r="R100" s="6" t="str">
        <f t="shared" si="11"/>
        <v/>
      </c>
      <c r="S100" s="6" t="str">
        <f t="shared" si="12"/>
        <v/>
      </c>
      <c r="T100" s="6" t="str">
        <f t="shared" si="13"/>
        <v/>
      </c>
    </row>
    <row r="101" spans="1:20" ht="16.5" x14ac:dyDescent="0.25">
      <c r="A101" s="11" t="str">
        <f t="shared" si="8"/>
        <v/>
      </c>
      <c r="B101" s="12" t="str">
        <f>IF($M$1&gt;=I101,VLOOKUP(I101,Iktato!$B$3:$L$10000,5,FALSE),"")</f>
        <v/>
      </c>
      <c r="C101" s="13" t="str">
        <f t="shared" si="9"/>
        <v/>
      </c>
      <c r="D101" s="14" t="str">
        <f>TRIM(IF($M$1&gt;=I101,IF(VLOOKUP(I101,Iktato!$B$3:$L$10000,8,FALSE)&lt;&gt;0,VLOOKUP(I101,Iktato!$B$3:$L$10000,8,FALSE),""),""))</f>
        <v/>
      </c>
      <c r="E101" s="14" t="str">
        <f>TRIM(IF($M$1&gt;=I101,IF(VLOOKUP(I101,Iktato!$B$3:$L$10000,9,FALSE)&lt;&gt;0,VLOOKUP(I101,Iktato!$B$3:$L$10000,9,FALSE),""),""))</f>
        <v/>
      </c>
      <c r="F101" s="43" t="str">
        <f t="shared" si="14"/>
        <v/>
      </c>
      <c r="G101" s="43"/>
      <c r="I101" s="6">
        <f t="shared" si="15"/>
        <v>91</v>
      </c>
      <c r="J101" s="6" t="str">
        <f t="shared" si="10"/>
        <v/>
      </c>
      <c r="K101" s="6" t="str">
        <f>IF($M$1&gt;=I101,VLOOKUP(I101,Iktato!$B$3:$L$10000,3,FALSE),"")</f>
        <v/>
      </c>
      <c r="M101" s="6" t="str">
        <f>IF($M$1&gt;=I101,IF(VLOOKUP(I101,Iktato!$B$3:$P$10000,15,FALSE)&lt;&gt;0,VLOOKUP(I101,Iktato!$B$3:$P$10000,15,FALSE),""),"")</f>
        <v/>
      </c>
      <c r="N101" s="6" t="str">
        <f>IF($M$1&gt;=I101,IF(VLOOKUP(I101,Iktato!$B$3:$Q$10000,16,FALSE)&lt;&gt;0,VLOOKUP(I101,Iktato!$B$3:$Q$10000,16,FALSE),""),"")</f>
        <v/>
      </c>
      <c r="P101" s="6" t="str">
        <f>TRIM(IF($M$1&gt;=I101,IF(VLOOKUP(I101,Iktato!$B$3:$L$10000,6,FALSE)&lt;&gt;0,VLOOKUP(I101,Iktato!$B$3:$L$10000,6,FALSE),""),""))</f>
        <v/>
      </c>
      <c r="Q101" s="8" t="str">
        <f>TRIM(IF($M$1&gt;=I101,IF(VLOOKUP(I101,Iktato!$B$3:$L$10000,7,FALSE)&lt;&gt;0,VLOOKUP(I101,Iktato!$B$3:$L$10000,7,FALSE),""),""))</f>
        <v/>
      </c>
      <c r="R101" s="6" t="str">
        <f t="shared" si="11"/>
        <v/>
      </c>
      <c r="S101" s="6" t="str">
        <f t="shared" si="12"/>
        <v/>
      </c>
      <c r="T101" s="6" t="str">
        <f t="shared" si="13"/>
        <v/>
      </c>
    </row>
    <row r="102" spans="1:20" ht="16.5" x14ac:dyDescent="0.25">
      <c r="A102" s="11" t="str">
        <f t="shared" si="8"/>
        <v/>
      </c>
      <c r="B102" s="12" t="str">
        <f>IF($M$1&gt;=I102,VLOOKUP(I102,Iktato!$B$3:$L$10000,5,FALSE),"")</f>
        <v/>
      </c>
      <c r="C102" s="13" t="str">
        <f t="shared" si="9"/>
        <v/>
      </c>
      <c r="D102" s="14" t="str">
        <f>TRIM(IF($M$1&gt;=I102,IF(VLOOKUP(I102,Iktato!$B$3:$L$10000,8,FALSE)&lt;&gt;0,VLOOKUP(I102,Iktato!$B$3:$L$10000,8,FALSE),""),""))</f>
        <v/>
      </c>
      <c r="E102" s="14" t="str">
        <f>TRIM(IF($M$1&gt;=I102,IF(VLOOKUP(I102,Iktato!$B$3:$L$10000,9,FALSE)&lt;&gt;0,VLOOKUP(I102,Iktato!$B$3:$L$10000,9,FALSE),""),""))</f>
        <v/>
      </c>
      <c r="F102" s="43" t="str">
        <f t="shared" si="14"/>
        <v/>
      </c>
      <c r="G102" s="43"/>
      <c r="I102" s="6">
        <f t="shared" si="15"/>
        <v>92</v>
      </c>
      <c r="J102" s="6" t="str">
        <f t="shared" si="10"/>
        <v/>
      </c>
      <c r="K102" s="6" t="str">
        <f>IF($M$1&gt;=I102,VLOOKUP(I102,Iktato!$B$3:$L$10000,3,FALSE),"")</f>
        <v/>
      </c>
      <c r="M102" s="6" t="str">
        <f>IF($M$1&gt;=I102,IF(VLOOKUP(I102,Iktato!$B$3:$P$10000,15,FALSE)&lt;&gt;0,VLOOKUP(I102,Iktato!$B$3:$P$10000,15,FALSE),""),"")</f>
        <v/>
      </c>
      <c r="N102" s="6" t="str">
        <f>IF($M$1&gt;=I102,IF(VLOOKUP(I102,Iktato!$B$3:$Q$10000,16,FALSE)&lt;&gt;0,VLOOKUP(I102,Iktato!$B$3:$Q$10000,16,FALSE),""),"")</f>
        <v/>
      </c>
      <c r="P102" s="6" t="str">
        <f>TRIM(IF($M$1&gt;=I102,IF(VLOOKUP(I102,Iktato!$B$3:$L$10000,6,FALSE)&lt;&gt;0,VLOOKUP(I102,Iktato!$B$3:$L$10000,6,FALSE),""),""))</f>
        <v/>
      </c>
      <c r="Q102" s="8" t="str">
        <f>TRIM(IF($M$1&gt;=I102,IF(VLOOKUP(I102,Iktato!$B$3:$L$10000,7,FALSE)&lt;&gt;0,VLOOKUP(I102,Iktato!$B$3:$L$10000,7,FALSE),""),""))</f>
        <v/>
      </c>
      <c r="R102" s="6" t="str">
        <f t="shared" si="11"/>
        <v/>
      </c>
      <c r="S102" s="6" t="str">
        <f t="shared" si="12"/>
        <v/>
      </c>
      <c r="T102" s="6" t="str">
        <f t="shared" si="13"/>
        <v/>
      </c>
    </row>
    <row r="103" spans="1:20" ht="16.5" x14ac:dyDescent="0.25">
      <c r="A103" s="11" t="str">
        <f t="shared" si="8"/>
        <v/>
      </c>
      <c r="B103" s="12" t="str">
        <f>IF($M$1&gt;=I103,VLOOKUP(I103,Iktato!$B$3:$L$10000,5,FALSE),"")</f>
        <v/>
      </c>
      <c r="C103" s="13" t="str">
        <f t="shared" si="9"/>
        <v/>
      </c>
      <c r="D103" s="14" t="str">
        <f>TRIM(IF($M$1&gt;=I103,IF(VLOOKUP(I103,Iktato!$B$3:$L$10000,8,FALSE)&lt;&gt;0,VLOOKUP(I103,Iktato!$B$3:$L$10000,8,FALSE),""),""))</f>
        <v/>
      </c>
      <c r="E103" s="14" t="str">
        <f>TRIM(IF($M$1&gt;=I103,IF(VLOOKUP(I103,Iktato!$B$3:$L$10000,9,FALSE)&lt;&gt;0,VLOOKUP(I103,Iktato!$B$3:$L$10000,9,FALSE),""),""))</f>
        <v/>
      </c>
      <c r="F103" s="43" t="str">
        <f t="shared" si="14"/>
        <v/>
      </c>
      <c r="G103" s="43"/>
      <c r="I103" s="6">
        <f t="shared" si="15"/>
        <v>93</v>
      </c>
      <c r="J103" s="6" t="str">
        <f t="shared" si="10"/>
        <v/>
      </c>
      <c r="K103" s="6" t="str">
        <f>IF($M$1&gt;=I103,VLOOKUP(I103,Iktato!$B$3:$L$10000,3,FALSE),"")</f>
        <v/>
      </c>
      <c r="M103" s="6" t="str">
        <f>IF($M$1&gt;=I103,IF(VLOOKUP(I103,Iktato!$B$3:$P$10000,15,FALSE)&lt;&gt;0,VLOOKUP(I103,Iktato!$B$3:$P$10000,15,FALSE),""),"")</f>
        <v/>
      </c>
      <c r="N103" s="6" t="str">
        <f>IF($M$1&gt;=I103,IF(VLOOKUP(I103,Iktato!$B$3:$Q$10000,16,FALSE)&lt;&gt;0,VLOOKUP(I103,Iktato!$B$3:$Q$10000,16,FALSE),""),"")</f>
        <v/>
      </c>
      <c r="P103" s="6" t="str">
        <f>TRIM(IF($M$1&gt;=I103,IF(VLOOKUP(I103,Iktato!$B$3:$L$10000,6,FALSE)&lt;&gt;0,VLOOKUP(I103,Iktato!$B$3:$L$10000,6,FALSE),""),""))</f>
        <v/>
      </c>
      <c r="Q103" s="8" t="str">
        <f>TRIM(IF($M$1&gt;=I103,IF(VLOOKUP(I103,Iktato!$B$3:$L$10000,7,FALSE)&lt;&gt;0,VLOOKUP(I103,Iktato!$B$3:$L$10000,7,FALSE),""),""))</f>
        <v/>
      </c>
      <c r="R103" s="6" t="str">
        <f t="shared" si="11"/>
        <v/>
      </c>
      <c r="S103" s="6" t="str">
        <f t="shared" si="12"/>
        <v/>
      </c>
      <c r="T103" s="6" t="str">
        <f t="shared" si="13"/>
        <v/>
      </c>
    </row>
    <row r="104" spans="1:20" ht="16.5" x14ac:dyDescent="0.25">
      <c r="A104" s="11" t="str">
        <f t="shared" si="8"/>
        <v/>
      </c>
      <c r="B104" s="12" t="str">
        <f>IF($M$1&gt;=I104,VLOOKUP(I104,Iktato!$B$3:$L$10000,5,FALSE),"")</f>
        <v/>
      </c>
      <c r="C104" s="13" t="str">
        <f t="shared" si="9"/>
        <v/>
      </c>
      <c r="D104" s="14" t="str">
        <f>TRIM(IF($M$1&gt;=I104,IF(VLOOKUP(I104,Iktato!$B$3:$L$10000,8,FALSE)&lt;&gt;0,VLOOKUP(I104,Iktato!$B$3:$L$10000,8,FALSE),""),""))</f>
        <v/>
      </c>
      <c r="E104" s="14" t="str">
        <f>TRIM(IF($M$1&gt;=I104,IF(VLOOKUP(I104,Iktato!$B$3:$L$10000,9,FALSE)&lt;&gt;0,VLOOKUP(I104,Iktato!$B$3:$L$10000,9,FALSE),""),""))</f>
        <v/>
      </c>
      <c r="F104" s="43" t="str">
        <f t="shared" si="14"/>
        <v/>
      </c>
      <c r="G104" s="43"/>
      <c r="I104" s="6">
        <f t="shared" si="15"/>
        <v>94</v>
      </c>
      <c r="J104" s="6" t="str">
        <f t="shared" si="10"/>
        <v/>
      </c>
      <c r="K104" s="6" t="str">
        <f>IF($M$1&gt;=I104,VLOOKUP(I104,Iktato!$B$3:$L$10000,3,FALSE),"")</f>
        <v/>
      </c>
      <c r="M104" s="6" t="str">
        <f>IF($M$1&gt;=I104,IF(VLOOKUP(I104,Iktato!$B$3:$P$10000,15,FALSE)&lt;&gt;0,VLOOKUP(I104,Iktato!$B$3:$P$10000,15,FALSE),""),"")</f>
        <v/>
      </c>
      <c r="N104" s="6" t="str">
        <f>IF($M$1&gt;=I104,IF(VLOOKUP(I104,Iktato!$B$3:$Q$10000,16,FALSE)&lt;&gt;0,VLOOKUP(I104,Iktato!$B$3:$Q$10000,16,FALSE),""),"")</f>
        <v/>
      </c>
      <c r="P104" s="6" t="str">
        <f>TRIM(IF($M$1&gt;=I104,IF(VLOOKUP(I104,Iktato!$B$3:$L$10000,6,FALSE)&lt;&gt;0,VLOOKUP(I104,Iktato!$B$3:$L$10000,6,FALSE),""),""))</f>
        <v/>
      </c>
      <c r="Q104" s="8" t="str">
        <f>TRIM(IF($M$1&gt;=I104,IF(VLOOKUP(I104,Iktato!$B$3:$L$10000,7,FALSE)&lt;&gt;0,VLOOKUP(I104,Iktato!$B$3:$L$10000,7,FALSE),""),""))</f>
        <v/>
      </c>
      <c r="R104" s="6" t="str">
        <f t="shared" si="11"/>
        <v/>
      </c>
      <c r="S104" s="6" t="str">
        <f t="shared" si="12"/>
        <v/>
      </c>
      <c r="T104" s="6" t="str">
        <f t="shared" si="13"/>
        <v/>
      </c>
    </row>
    <row r="105" spans="1:20" ht="16.5" x14ac:dyDescent="0.25">
      <c r="A105" s="11" t="str">
        <f t="shared" si="8"/>
        <v/>
      </c>
      <c r="B105" s="12" t="str">
        <f>IF($M$1&gt;=I105,VLOOKUP(I105,Iktato!$B$3:$L$10000,5,FALSE),"")</f>
        <v/>
      </c>
      <c r="C105" s="13" t="str">
        <f t="shared" si="9"/>
        <v/>
      </c>
      <c r="D105" s="14" t="str">
        <f>TRIM(IF($M$1&gt;=I105,IF(VLOOKUP(I105,Iktato!$B$3:$L$10000,8,FALSE)&lt;&gt;0,VLOOKUP(I105,Iktato!$B$3:$L$10000,8,FALSE),""),""))</f>
        <v/>
      </c>
      <c r="E105" s="14" t="str">
        <f>TRIM(IF($M$1&gt;=I105,IF(VLOOKUP(I105,Iktato!$B$3:$L$10000,9,FALSE)&lt;&gt;0,VLOOKUP(I105,Iktato!$B$3:$L$10000,9,FALSE),""),""))</f>
        <v/>
      </c>
      <c r="F105" s="43" t="str">
        <f t="shared" si="14"/>
        <v/>
      </c>
      <c r="G105" s="43"/>
      <c r="I105" s="6">
        <f t="shared" si="15"/>
        <v>95</v>
      </c>
      <c r="J105" s="6" t="str">
        <f t="shared" si="10"/>
        <v/>
      </c>
      <c r="K105" s="6" t="str">
        <f>IF($M$1&gt;=I105,VLOOKUP(I105,Iktato!$B$3:$L$10000,3,FALSE),"")</f>
        <v/>
      </c>
      <c r="M105" s="6" t="str">
        <f>IF($M$1&gt;=I105,IF(VLOOKUP(I105,Iktato!$B$3:$P$10000,15,FALSE)&lt;&gt;0,VLOOKUP(I105,Iktato!$B$3:$P$10000,15,FALSE),""),"")</f>
        <v/>
      </c>
      <c r="N105" s="6" t="str">
        <f>IF($M$1&gt;=I105,IF(VLOOKUP(I105,Iktato!$B$3:$Q$10000,16,FALSE)&lt;&gt;0,VLOOKUP(I105,Iktato!$B$3:$Q$10000,16,FALSE),""),"")</f>
        <v/>
      </c>
      <c r="P105" s="6" t="str">
        <f>TRIM(IF($M$1&gt;=I105,IF(VLOOKUP(I105,Iktato!$B$3:$L$10000,6,FALSE)&lt;&gt;0,VLOOKUP(I105,Iktato!$B$3:$L$10000,6,FALSE),""),""))</f>
        <v/>
      </c>
      <c r="Q105" s="8" t="str">
        <f>TRIM(IF($M$1&gt;=I105,IF(VLOOKUP(I105,Iktato!$B$3:$L$10000,7,FALSE)&lt;&gt;0,VLOOKUP(I105,Iktato!$B$3:$L$10000,7,FALSE),""),""))</f>
        <v/>
      </c>
      <c r="R105" s="6" t="str">
        <f t="shared" si="11"/>
        <v/>
      </c>
      <c r="S105" s="6" t="str">
        <f t="shared" si="12"/>
        <v/>
      </c>
      <c r="T105" s="6" t="str">
        <f t="shared" si="13"/>
        <v/>
      </c>
    </row>
    <row r="106" spans="1:20" ht="16.5" x14ac:dyDescent="0.25">
      <c r="A106" s="11" t="str">
        <f t="shared" ref="A106:A169" si="16">IF($M$1&gt;=I106,J106,"")</f>
        <v/>
      </c>
      <c r="B106" s="12" t="str">
        <f>IF($M$1&gt;=I106,VLOOKUP(I106,Iktato!$B$3:$L$10000,5,FALSE),"")</f>
        <v/>
      </c>
      <c r="C106" s="13" t="str">
        <f t="shared" ref="C106:C169" si="17">TRIM(IF(AND(P106&amp;Q106&lt;&gt;"",$M$1&gt;=I106),P106&amp;"-"&amp;R106&amp;$R$10&amp;S106&amp;$R$10&amp;T106&amp;$R$10,""))</f>
        <v/>
      </c>
      <c r="D106" s="14" t="str">
        <f>TRIM(IF($M$1&gt;=I106,IF(VLOOKUP(I106,Iktato!$B$3:$L$10000,8,FALSE)&lt;&gt;0,VLOOKUP(I106,Iktato!$B$3:$L$10000,8,FALSE),""),""))</f>
        <v/>
      </c>
      <c r="E106" s="14" t="str">
        <f>TRIM(IF($M$1&gt;=I106,IF(VLOOKUP(I106,Iktato!$B$3:$L$10000,9,FALSE)&lt;&gt;0,VLOOKUP(I106,Iktato!$B$3:$L$10000,9,FALSE),""),""))</f>
        <v/>
      </c>
      <c r="F106" s="43" t="str">
        <f t="shared" si="14"/>
        <v/>
      </c>
      <c r="G106" s="43"/>
      <c r="I106" s="6">
        <f t="shared" si="15"/>
        <v>96</v>
      </c>
      <c r="J106" s="6" t="str">
        <f t="shared" ref="J106:J169" si="18">IF(K105&lt;&gt;K106,K106,"")</f>
        <v/>
      </c>
      <c r="K106" s="6" t="str">
        <f>IF($M$1&gt;=I106,VLOOKUP(I106,Iktato!$B$3:$L$10000,3,FALSE),"")</f>
        <v/>
      </c>
      <c r="M106" s="6" t="str">
        <f>IF($M$1&gt;=I106,IF(VLOOKUP(I106,Iktato!$B$3:$P$10000,15,FALSE)&lt;&gt;0,VLOOKUP(I106,Iktato!$B$3:$P$10000,15,FALSE),""),"")</f>
        <v/>
      </c>
      <c r="N106" s="6" t="str">
        <f>IF($M$1&gt;=I106,IF(VLOOKUP(I106,Iktato!$B$3:$Q$10000,16,FALSE)&lt;&gt;0,VLOOKUP(I106,Iktato!$B$3:$Q$10000,16,FALSE),""),"")</f>
        <v/>
      </c>
      <c r="P106" s="6" t="str">
        <f>TRIM(IF($M$1&gt;=I106,IF(VLOOKUP(I106,Iktato!$B$3:$L$10000,6,FALSE)&lt;&gt;0,VLOOKUP(I106,Iktato!$B$3:$L$10000,6,FALSE),""),""))</f>
        <v/>
      </c>
      <c r="Q106" s="8" t="str">
        <f>TRIM(IF($M$1&gt;=I106,IF(VLOOKUP(I106,Iktato!$B$3:$L$10000,7,FALSE)&lt;&gt;0,VLOOKUP(I106,Iktato!$B$3:$L$10000,7,FALSE),""),""))</f>
        <v/>
      </c>
      <c r="R106" s="6" t="str">
        <f t="shared" ref="R106:R169" si="19">IF(Q106&lt;&gt;"",YEAR(Q106),"")</f>
        <v/>
      </c>
      <c r="S106" s="6" t="str">
        <f t="shared" ref="S106:S169" si="20">IF(Q106&lt;&gt;"",MONTH(Q106),"")</f>
        <v/>
      </c>
      <c r="T106" s="6" t="str">
        <f t="shared" ref="T106:T169" si="21">IF(Q106&lt;&gt;"",DAY(Q106),"")</f>
        <v/>
      </c>
    </row>
    <row r="107" spans="1:20" ht="16.5" x14ac:dyDescent="0.25">
      <c r="A107" s="11" t="str">
        <f t="shared" si="16"/>
        <v/>
      </c>
      <c r="B107" s="12" t="str">
        <f>IF($M$1&gt;=I107,VLOOKUP(I107,Iktato!$B$3:$L$10000,5,FALSE),"")</f>
        <v/>
      </c>
      <c r="C107" s="13" t="str">
        <f t="shared" si="17"/>
        <v/>
      </c>
      <c r="D107" s="14" t="str">
        <f>TRIM(IF($M$1&gt;=I107,IF(VLOOKUP(I107,Iktato!$B$3:$L$10000,8,FALSE)&lt;&gt;0,VLOOKUP(I107,Iktato!$B$3:$L$10000,8,FALSE),""),""))</f>
        <v/>
      </c>
      <c r="E107" s="14" t="str">
        <f>TRIM(IF($M$1&gt;=I107,IF(VLOOKUP(I107,Iktato!$B$3:$L$10000,9,FALSE)&lt;&gt;0,VLOOKUP(I107,Iktato!$B$3:$L$10000,9,FALSE),""),""))</f>
        <v/>
      </c>
      <c r="F107" s="43" t="str">
        <f t="shared" si="14"/>
        <v/>
      </c>
      <c r="G107" s="43"/>
      <c r="I107" s="6">
        <f t="shared" si="15"/>
        <v>97</v>
      </c>
      <c r="J107" s="6" t="str">
        <f t="shared" si="18"/>
        <v/>
      </c>
      <c r="K107" s="6" t="str">
        <f>IF($M$1&gt;=I107,VLOOKUP(I107,Iktato!$B$3:$L$10000,3,FALSE),"")</f>
        <v/>
      </c>
      <c r="M107" s="6" t="str">
        <f>IF($M$1&gt;=I107,IF(VLOOKUP(I107,Iktato!$B$3:$P$10000,15,FALSE)&lt;&gt;0,VLOOKUP(I107,Iktato!$B$3:$P$10000,15,FALSE),""),"")</f>
        <v/>
      </c>
      <c r="N107" s="6" t="str">
        <f>IF($M$1&gt;=I107,IF(VLOOKUP(I107,Iktato!$B$3:$Q$10000,16,FALSE)&lt;&gt;0,VLOOKUP(I107,Iktato!$B$3:$Q$10000,16,FALSE),""),"")</f>
        <v/>
      </c>
      <c r="P107" s="6" t="str">
        <f>TRIM(IF($M$1&gt;=I107,IF(VLOOKUP(I107,Iktato!$B$3:$L$10000,6,FALSE)&lt;&gt;0,VLOOKUP(I107,Iktato!$B$3:$L$10000,6,FALSE),""),""))</f>
        <v/>
      </c>
      <c r="Q107" s="8" t="str">
        <f>TRIM(IF($M$1&gt;=I107,IF(VLOOKUP(I107,Iktato!$B$3:$L$10000,7,FALSE)&lt;&gt;0,VLOOKUP(I107,Iktato!$B$3:$L$10000,7,FALSE),""),""))</f>
        <v/>
      </c>
      <c r="R107" s="6" t="str">
        <f t="shared" si="19"/>
        <v/>
      </c>
      <c r="S107" s="6" t="str">
        <f t="shared" si="20"/>
        <v/>
      </c>
      <c r="T107" s="6" t="str">
        <f t="shared" si="21"/>
        <v/>
      </c>
    </row>
    <row r="108" spans="1:20" ht="16.5" x14ac:dyDescent="0.25">
      <c r="A108" s="11" t="str">
        <f t="shared" si="16"/>
        <v/>
      </c>
      <c r="B108" s="12" t="str">
        <f>IF($M$1&gt;=I108,VLOOKUP(I108,Iktato!$B$3:$L$10000,5,FALSE),"")</f>
        <v/>
      </c>
      <c r="C108" s="13" t="str">
        <f t="shared" si="17"/>
        <v/>
      </c>
      <c r="D108" s="14" t="str">
        <f>TRIM(IF($M$1&gt;=I108,IF(VLOOKUP(I108,Iktato!$B$3:$L$10000,8,FALSE)&lt;&gt;0,VLOOKUP(I108,Iktato!$B$3:$L$10000,8,FALSE),""),""))</f>
        <v/>
      </c>
      <c r="E108" s="14" t="str">
        <f>TRIM(IF($M$1&gt;=I108,IF(VLOOKUP(I108,Iktato!$B$3:$L$10000,9,FALSE)&lt;&gt;0,VLOOKUP(I108,Iktato!$B$3:$L$10000,9,FALSE),""),""))</f>
        <v/>
      </c>
      <c r="F108" s="43" t="str">
        <f t="shared" si="14"/>
        <v/>
      </c>
      <c r="G108" s="43"/>
      <c r="I108" s="6">
        <f t="shared" si="15"/>
        <v>98</v>
      </c>
      <c r="J108" s="6" t="str">
        <f t="shared" si="18"/>
        <v/>
      </c>
      <c r="K108" s="6" t="str">
        <f>IF($M$1&gt;=I108,VLOOKUP(I108,Iktato!$B$3:$L$10000,3,FALSE),"")</f>
        <v/>
      </c>
      <c r="M108" s="6" t="str">
        <f>IF($M$1&gt;=I108,IF(VLOOKUP(I108,Iktato!$B$3:$P$10000,15,FALSE)&lt;&gt;0,VLOOKUP(I108,Iktato!$B$3:$P$10000,15,FALSE),""),"")</f>
        <v/>
      </c>
      <c r="N108" s="6" t="str">
        <f>IF($M$1&gt;=I108,IF(VLOOKUP(I108,Iktato!$B$3:$Q$10000,16,FALSE)&lt;&gt;0,VLOOKUP(I108,Iktato!$B$3:$Q$10000,16,FALSE),""),"")</f>
        <v/>
      </c>
      <c r="P108" s="6" t="str">
        <f>TRIM(IF($M$1&gt;=I108,IF(VLOOKUP(I108,Iktato!$B$3:$L$10000,6,FALSE)&lt;&gt;0,VLOOKUP(I108,Iktato!$B$3:$L$10000,6,FALSE),""),""))</f>
        <v/>
      </c>
      <c r="Q108" s="8" t="str">
        <f>TRIM(IF($M$1&gt;=I108,IF(VLOOKUP(I108,Iktato!$B$3:$L$10000,7,FALSE)&lt;&gt;0,VLOOKUP(I108,Iktato!$B$3:$L$10000,7,FALSE),""),""))</f>
        <v/>
      </c>
      <c r="R108" s="6" t="str">
        <f t="shared" si="19"/>
        <v/>
      </c>
      <c r="S108" s="6" t="str">
        <f t="shared" si="20"/>
        <v/>
      </c>
      <c r="T108" s="6" t="str">
        <f t="shared" si="21"/>
        <v/>
      </c>
    </row>
    <row r="109" spans="1:20" ht="16.5" x14ac:dyDescent="0.25">
      <c r="A109" s="11" t="str">
        <f t="shared" si="16"/>
        <v/>
      </c>
      <c r="B109" s="12" t="str">
        <f>IF($M$1&gt;=I109,VLOOKUP(I109,Iktato!$B$3:$L$10000,5,FALSE),"")</f>
        <v/>
      </c>
      <c r="C109" s="13" t="str">
        <f t="shared" si="17"/>
        <v/>
      </c>
      <c r="D109" s="14" t="str">
        <f>TRIM(IF($M$1&gt;=I109,IF(VLOOKUP(I109,Iktato!$B$3:$L$10000,8,FALSE)&lt;&gt;0,VLOOKUP(I109,Iktato!$B$3:$L$10000,8,FALSE),""),""))</f>
        <v/>
      </c>
      <c r="E109" s="14" t="str">
        <f>TRIM(IF($M$1&gt;=I109,IF(VLOOKUP(I109,Iktato!$B$3:$L$10000,9,FALSE)&lt;&gt;0,VLOOKUP(I109,Iktato!$B$3:$L$10000,9,FALSE),""),""))</f>
        <v/>
      </c>
      <c r="F109" s="43" t="str">
        <f t="shared" si="14"/>
        <v/>
      </c>
      <c r="G109" s="43"/>
      <c r="I109" s="6">
        <f t="shared" si="15"/>
        <v>99</v>
      </c>
      <c r="J109" s="6" t="str">
        <f t="shared" si="18"/>
        <v/>
      </c>
      <c r="K109" s="6" t="str">
        <f>IF($M$1&gt;=I109,VLOOKUP(I109,Iktato!$B$3:$L$10000,3,FALSE),"")</f>
        <v/>
      </c>
      <c r="M109" s="6" t="str">
        <f>IF($M$1&gt;=I109,IF(VLOOKUP(I109,Iktato!$B$3:$P$10000,15,FALSE)&lt;&gt;0,VLOOKUP(I109,Iktato!$B$3:$P$10000,15,FALSE),""),"")</f>
        <v/>
      </c>
      <c r="N109" s="6" t="str">
        <f>IF($M$1&gt;=I109,IF(VLOOKUP(I109,Iktato!$B$3:$Q$10000,16,FALSE)&lt;&gt;0,VLOOKUP(I109,Iktato!$B$3:$Q$10000,16,FALSE),""),"")</f>
        <v/>
      </c>
      <c r="P109" s="6" t="str">
        <f>TRIM(IF($M$1&gt;=I109,IF(VLOOKUP(I109,Iktato!$B$3:$L$10000,6,FALSE)&lt;&gt;0,VLOOKUP(I109,Iktato!$B$3:$L$10000,6,FALSE),""),""))</f>
        <v/>
      </c>
      <c r="Q109" s="8" t="str">
        <f>TRIM(IF($M$1&gt;=I109,IF(VLOOKUP(I109,Iktato!$B$3:$L$10000,7,FALSE)&lt;&gt;0,VLOOKUP(I109,Iktato!$B$3:$L$10000,7,FALSE),""),""))</f>
        <v/>
      </c>
      <c r="R109" s="6" t="str">
        <f t="shared" si="19"/>
        <v/>
      </c>
      <c r="S109" s="6" t="str">
        <f t="shared" si="20"/>
        <v/>
      </c>
      <c r="T109" s="6" t="str">
        <f t="shared" si="21"/>
        <v/>
      </c>
    </row>
    <row r="110" spans="1:20" ht="16.5" x14ac:dyDescent="0.25">
      <c r="A110" s="11" t="str">
        <f t="shared" si="16"/>
        <v/>
      </c>
      <c r="B110" s="12" t="str">
        <f>IF($M$1&gt;=I110,VLOOKUP(I110,Iktato!$B$3:$L$10000,5,FALSE),"")</f>
        <v/>
      </c>
      <c r="C110" s="13" t="str">
        <f t="shared" si="17"/>
        <v/>
      </c>
      <c r="D110" s="14" t="str">
        <f>TRIM(IF($M$1&gt;=I110,IF(VLOOKUP(I110,Iktato!$B$3:$L$10000,8,FALSE)&lt;&gt;0,VLOOKUP(I110,Iktato!$B$3:$L$10000,8,FALSE),""),""))</f>
        <v/>
      </c>
      <c r="E110" s="14" t="str">
        <f>TRIM(IF($M$1&gt;=I110,IF(VLOOKUP(I110,Iktato!$B$3:$L$10000,9,FALSE)&lt;&gt;0,VLOOKUP(I110,Iktato!$B$3:$L$10000,9,FALSE),""),""))</f>
        <v/>
      </c>
      <c r="F110" s="43" t="str">
        <f t="shared" si="14"/>
        <v/>
      </c>
      <c r="G110" s="43"/>
      <c r="I110" s="6">
        <f t="shared" si="15"/>
        <v>100</v>
      </c>
      <c r="J110" s="6" t="str">
        <f t="shared" si="18"/>
        <v/>
      </c>
      <c r="K110" s="6" t="str">
        <f>IF($M$1&gt;=I110,VLOOKUP(I110,Iktato!$B$3:$L$10000,3,FALSE),"")</f>
        <v/>
      </c>
      <c r="M110" s="6" t="str">
        <f>IF($M$1&gt;=I110,IF(VLOOKUP(I110,Iktato!$B$3:$P$10000,15,FALSE)&lt;&gt;0,VLOOKUP(I110,Iktato!$B$3:$P$10000,15,FALSE),""),"")</f>
        <v/>
      </c>
      <c r="N110" s="6" t="str">
        <f>IF($M$1&gt;=I110,IF(VLOOKUP(I110,Iktato!$B$3:$Q$10000,16,FALSE)&lt;&gt;0,VLOOKUP(I110,Iktato!$B$3:$Q$10000,16,FALSE),""),"")</f>
        <v/>
      </c>
      <c r="P110" s="6" t="str">
        <f>TRIM(IF($M$1&gt;=I110,IF(VLOOKUP(I110,Iktato!$B$3:$L$10000,6,FALSE)&lt;&gt;0,VLOOKUP(I110,Iktato!$B$3:$L$10000,6,FALSE),""),""))</f>
        <v/>
      </c>
      <c r="Q110" s="8" t="str">
        <f>TRIM(IF($M$1&gt;=I110,IF(VLOOKUP(I110,Iktato!$B$3:$L$10000,7,FALSE)&lt;&gt;0,VLOOKUP(I110,Iktato!$B$3:$L$10000,7,FALSE),""),""))</f>
        <v/>
      </c>
      <c r="R110" s="6" t="str">
        <f t="shared" si="19"/>
        <v/>
      </c>
      <c r="S110" s="6" t="str">
        <f t="shared" si="20"/>
        <v/>
      </c>
      <c r="T110" s="6" t="str">
        <f t="shared" si="21"/>
        <v/>
      </c>
    </row>
    <row r="111" spans="1:20" ht="16.5" x14ac:dyDescent="0.25">
      <c r="A111" s="11" t="str">
        <f t="shared" si="16"/>
        <v/>
      </c>
      <c r="B111" s="12" t="str">
        <f>IF($M$1&gt;=I111,VLOOKUP(I111,Iktato!$B$3:$L$10000,5,FALSE),"")</f>
        <v/>
      </c>
      <c r="C111" s="13" t="str">
        <f t="shared" si="17"/>
        <v/>
      </c>
      <c r="D111" s="14" t="str">
        <f>TRIM(IF($M$1&gt;=I111,IF(VLOOKUP(I111,Iktato!$B$3:$L$10000,8,FALSE)&lt;&gt;0,VLOOKUP(I111,Iktato!$B$3:$L$10000,8,FALSE),""),""))</f>
        <v/>
      </c>
      <c r="E111" s="14" t="str">
        <f>TRIM(IF($M$1&gt;=I111,IF(VLOOKUP(I111,Iktato!$B$3:$L$10000,9,FALSE)&lt;&gt;0,VLOOKUP(I111,Iktato!$B$3:$L$10000,9,FALSE),""),""))</f>
        <v/>
      </c>
      <c r="F111" s="43" t="str">
        <f t="shared" si="14"/>
        <v/>
      </c>
      <c r="G111" s="43"/>
      <c r="I111" s="6">
        <f t="shared" si="15"/>
        <v>101</v>
      </c>
      <c r="J111" s="6" t="str">
        <f t="shared" si="18"/>
        <v/>
      </c>
      <c r="K111" s="6" t="str">
        <f>IF($M$1&gt;=I111,VLOOKUP(I111,Iktato!$B$3:$L$10000,3,FALSE),"")</f>
        <v/>
      </c>
      <c r="M111" s="6" t="str">
        <f>IF($M$1&gt;=I111,IF(VLOOKUP(I111,Iktato!$B$3:$P$10000,15,FALSE)&lt;&gt;0,VLOOKUP(I111,Iktato!$B$3:$P$10000,15,FALSE),""),"")</f>
        <v/>
      </c>
      <c r="N111" s="6" t="str">
        <f>IF($M$1&gt;=I111,IF(VLOOKUP(I111,Iktato!$B$3:$Q$10000,16,FALSE)&lt;&gt;0,VLOOKUP(I111,Iktato!$B$3:$Q$10000,16,FALSE),""),"")</f>
        <v/>
      </c>
      <c r="P111" s="6" t="str">
        <f>TRIM(IF($M$1&gt;=I111,IF(VLOOKUP(I111,Iktato!$B$3:$L$10000,6,FALSE)&lt;&gt;0,VLOOKUP(I111,Iktato!$B$3:$L$10000,6,FALSE),""),""))</f>
        <v/>
      </c>
      <c r="Q111" s="8" t="str">
        <f>TRIM(IF($M$1&gt;=I111,IF(VLOOKUP(I111,Iktato!$B$3:$L$10000,7,FALSE)&lt;&gt;0,VLOOKUP(I111,Iktato!$B$3:$L$10000,7,FALSE),""),""))</f>
        <v/>
      </c>
      <c r="R111" s="6" t="str">
        <f t="shared" si="19"/>
        <v/>
      </c>
      <c r="S111" s="6" t="str">
        <f t="shared" si="20"/>
        <v/>
      </c>
      <c r="T111" s="6" t="str">
        <f t="shared" si="21"/>
        <v/>
      </c>
    </row>
    <row r="112" spans="1:20" ht="16.5" x14ac:dyDescent="0.25">
      <c r="A112" s="11" t="str">
        <f t="shared" si="16"/>
        <v/>
      </c>
      <c r="B112" s="12" t="str">
        <f>IF($M$1&gt;=I112,VLOOKUP(I112,Iktato!$B$3:$L$10000,5,FALSE),"")</f>
        <v/>
      </c>
      <c r="C112" s="13" t="str">
        <f t="shared" si="17"/>
        <v/>
      </c>
      <c r="D112" s="14" t="str">
        <f>TRIM(IF($M$1&gt;=I112,IF(VLOOKUP(I112,Iktato!$B$3:$L$10000,8,FALSE)&lt;&gt;0,VLOOKUP(I112,Iktato!$B$3:$L$10000,8,FALSE),""),""))</f>
        <v/>
      </c>
      <c r="E112" s="14" t="str">
        <f>TRIM(IF($M$1&gt;=I112,IF(VLOOKUP(I112,Iktato!$B$3:$L$10000,9,FALSE)&lt;&gt;0,VLOOKUP(I112,Iktato!$B$3:$L$10000,9,FALSE),""),""))</f>
        <v/>
      </c>
      <c r="F112" s="43" t="str">
        <f t="shared" si="14"/>
        <v/>
      </c>
      <c r="G112" s="43"/>
      <c r="I112" s="6">
        <f t="shared" si="15"/>
        <v>102</v>
      </c>
      <c r="J112" s="6" t="str">
        <f t="shared" si="18"/>
        <v/>
      </c>
      <c r="K112" s="6" t="str">
        <f>IF($M$1&gt;=I112,VLOOKUP(I112,Iktato!$B$3:$L$10000,3,FALSE),"")</f>
        <v/>
      </c>
      <c r="M112" s="6" t="str">
        <f>IF($M$1&gt;=I112,IF(VLOOKUP(I112,Iktato!$B$3:$P$10000,15,FALSE)&lt;&gt;0,VLOOKUP(I112,Iktato!$B$3:$P$10000,15,FALSE),""),"")</f>
        <v/>
      </c>
      <c r="N112" s="6" t="str">
        <f>IF($M$1&gt;=I112,IF(VLOOKUP(I112,Iktato!$B$3:$Q$10000,16,FALSE)&lt;&gt;0,VLOOKUP(I112,Iktato!$B$3:$Q$10000,16,FALSE),""),"")</f>
        <v/>
      </c>
      <c r="P112" s="6" t="str">
        <f>TRIM(IF($M$1&gt;=I112,IF(VLOOKUP(I112,Iktato!$B$3:$L$10000,6,FALSE)&lt;&gt;0,VLOOKUP(I112,Iktato!$B$3:$L$10000,6,FALSE),""),""))</f>
        <v/>
      </c>
      <c r="Q112" s="8" t="str">
        <f>TRIM(IF($M$1&gt;=I112,IF(VLOOKUP(I112,Iktato!$B$3:$L$10000,7,FALSE)&lt;&gt;0,VLOOKUP(I112,Iktato!$B$3:$L$10000,7,FALSE),""),""))</f>
        <v/>
      </c>
      <c r="R112" s="6" t="str">
        <f t="shared" si="19"/>
        <v/>
      </c>
      <c r="S112" s="6" t="str">
        <f t="shared" si="20"/>
        <v/>
      </c>
      <c r="T112" s="6" t="str">
        <f t="shared" si="21"/>
        <v/>
      </c>
    </row>
    <row r="113" spans="1:20" ht="16.5" x14ac:dyDescent="0.25">
      <c r="A113" s="11" t="str">
        <f t="shared" si="16"/>
        <v/>
      </c>
      <c r="B113" s="12" t="str">
        <f>IF($M$1&gt;=I113,VLOOKUP(I113,Iktato!$B$3:$L$10000,5,FALSE),"")</f>
        <v/>
      </c>
      <c r="C113" s="13" t="str">
        <f t="shared" si="17"/>
        <v/>
      </c>
      <c r="D113" s="14" t="str">
        <f>TRIM(IF($M$1&gt;=I113,IF(VLOOKUP(I113,Iktato!$B$3:$L$10000,8,FALSE)&lt;&gt;0,VLOOKUP(I113,Iktato!$B$3:$L$10000,8,FALSE),""),""))</f>
        <v/>
      </c>
      <c r="E113" s="14" t="str">
        <f>TRIM(IF($M$1&gt;=I113,IF(VLOOKUP(I113,Iktato!$B$3:$L$10000,9,FALSE)&lt;&gt;0,VLOOKUP(I113,Iktato!$B$3:$L$10000,9,FALSE),""),""))</f>
        <v/>
      </c>
      <c r="F113" s="43" t="str">
        <f t="shared" si="14"/>
        <v/>
      </c>
      <c r="G113" s="43"/>
      <c r="I113" s="6">
        <f t="shared" si="15"/>
        <v>103</v>
      </c>
      <c r="J113" s="6" t="str">
        <f t="shared" si="18"/>
        <v/>
      </c>
      <c r="K113" s="6" t="str">
        <f>IF($M$1&gt;=I113,VLOOKUP(I113,Iktato!$B$3:$L$10000,3,FALSE),"")</f>
        <v/>
      </c>
      <c r="M113" s="6" t="str">
        <f>IF($M$1&gt;=I113,IF(VLOOKUP(I113,Iktato!$B$3:$P$10000,15,FALSE)&lt;&gt;0,VLOOKUP(I113,Iktato!$B$3:$P$10000,15,FALSE),""),"")</f>
        <v/>
      </c>
      <c r="N113" s="6" t="str">
        <f>IF($M$1&gt;=I113,IF(VLOOKUP(I113,Iktato!$B$3:$Q$10000,16,FALSE)&lt;&gt;0,VLOOKUP(I113,Iktato!$B$3:$Q$10000,16,FALSE),""),"")</f>
        <v/>
      </c>
      <c r="P113" s="6" t="str">
        <f>TRIM(IF($M$1&gt;=I113,IF(VLOOKUP(I113,Iktato!$B$3:$L$10000,6,FALSE)&lt;&gt;0,VLOOKUP(I113,Iktato!$B$3:$L$10000,6,FALSE),""),""))</f>
        <v/>
      </c>
      <c r="Q113" s="8" t="str">
        <f>TRIM(IF($M$1&gt;=I113,IF(VLOOKUP(I113,Iktato!$B$3:$L$10000,7,FALSE)&lt;&gt;0,VLOOKUP(I113,Iktato!$B$3:$L$10000,7,FALSE),""),""))</f>
        <v/>
      </c>
      <c r="R113" s="6" t="str">
        <f t="shared" si="19"/>
        <v/>
      </c>
      <c r="S113" s="6" t="str">
        <f t="shared" si="20"/>
        <v/>
      </c>
      <c r="T113" s="6" t="str">
        <f t="shared" si="21"/>
        <v/>
      </c>
    </row>
    <row r="114" spans="1:20" ht="16.5" x14ac:dyDescent="0.25">
      <c r="A114" s="11" t="str">
        <f t="shared" si="16"/>
        <v/>
      </c>
      <c r="B114" s="12" t="str">
        <f>IF($M$1&gt;=I114,VLOOKUP(I114,Iktato!$B$3:$L$10000,5,FALSE),"")</f>
        <v/>
      </c>
      <c r="C114" s="13" t="str">
        <f t="shared" si="17"/>
        <v/>
      </c>
      <c r="D114" s="14" t="str">
        <f>TRIM(IF($M$1&gt;=I114,IF(VLOOKUP(I114,Iktato!$B$3:$L$10000,8,FALSE)&lt;&gt;0,VLOOKUP(I114,Iktato!$B$3:$L$10000,8,FALSE),""),""))</f>
        <v/>
      </c>
      <c r="E114" s="14" t="str">
        <f>TRIM(IF($M$1&gt;=I114,IF(VLOOKUP(I114,Iktato!$B$3:$L$10000,9,FALSE)&lt;&gt;0,VLOOKUP(I114,Iktato!$B$3:$L$10000,9,FALSE),""),""))</f>
        <v/>
      </c>
      <c r="F114" s="43" t="str">
        <f t="shared" si="14"/>
        <v/>
      </c>
      <c r="G114" s="43"/>
      <c r="I114" s="6">
        <f t="shared" si="15"/>
        <v>104</v>
      </c>
      <c r="J114" s="6" t="str">
        <f t="shared" si="18"/>
        <v/>
      </c>
      <c r="K114" s="6" t="str">
        <f>IF($M$1&gt;=I114,VLOOKUP(I114,Iktato!$B$3:$L$10000,3,FALSE),"")</f>
        <v/>
      </c>
      <c r="M114" s="6" t="str">
        <f>IF($M$1&gt;=I114,IF(VLOOKUP(I114,Iktato!$B$3:$P$10000,15,FALSE)&lt;&gt;0,VLOOKUP(I114,Iktato!$B$3:$P$10000,15,FALSE),""),"")</f>
        <v/>
      </c>
      <c r="N114" s="6" t="str">
        <f>IF($M$1&gt;=I114,IF(VLOOKUP(I114,Iktato!$B$3:$Q$10000,16,FALSE)&lt;&gt;0,VLOOKUP(I114,Iktato!$B$3:$Q$10000,16,FALSE),""),"")</f>
        <v/>
      </c>
      <c r="P114" s="6" t="str">
        <f>TRIM(IF($M$1&gt;=I114,IF(VLOOKUP(I114,Iktato!$B$3:$L$10000,6,FALSE)&lt;&gt;0,VLOOKUP(I114,Iktato!$B$3:$L$10000,6,FALSE),""),""))</f>
        <v/>
      </c>
      <c r="Q114" s="8" t="str">
        <f>TRIM(IF($M$1&gt;=I114,IF(VLOOKUP(I114,Iktato!$B$3:$L$10000,7,FALSE)&lt;&gt;0,VLOOKUP(I114,Iktato!$B$3:$L$10000,7,FALSE),""),""))</f>
        <v/>
      </c>
      <c r="R114" s="6" t="str">
        <f t="shared" si="19"/>
        <v/>
      </c>
      <c r="S114" s="6" t="str">
        <f t="shared" si="20"/>
        <v/>
      </c>
      <c r="T114" s="6" t="str">
        <f t="shared" si="21"/>
        <v/>
      </c>
    </row>
    <row r="115" spans="1:20" ht="16.5" x14ac:dyDescent="0.25">
      <c r="A115" s="11" t="str">
        <f t="shared" si="16"/>
        <v/>
      </c>
      <c r="B115" s="12" t="str">
        <f>IF($M$1&gt;=I115,VLOOKUP(I115,Iktato!$B$3:$L$10000,5,FALSE),"")</f>
        <v/>
      </c>
      <c r="C115" s="13" t="str">
        <f t="shared" si="17"/>
        <v/>
      </c>
      <c r="D115" s="14" t="str">
        <f>TRIM(IF($M$1&gt;=I115,IF(VLOOKUP(I115,Iktato!$B$3:$L$10000,8,FALSE)&lt;&gt;0,VLOOKUP(I115,Iktato!$B$3:$L$10000,8,FALSE),""),""))</f>
        <v/>
      </c>
      <c r="E115" s="14" t="str">
        <f>TRIM(IF($M$1&gt;=I115,IF(VLOOKUP(I115,Iktato!$B$3:$L$10000,9,FALSE)&lt;&gt;0,VLOOKUP(I115,Iktato!$B$3:$L$10000,9,FALSE),""),""))</f>
        <v/>
      </c>
      <c r="F115" s="43" t="str">
        <f t="shared" si="14"/>
        <v/>
      </c>
      <c r="G115" s="43"/>
      <c r="I115" s="6">
        <f t="shared" si="15"/>
        <v>105</v>
      </c>
      <c r="J115" s="6" t="str">
        <f t="shared" si="18"/>
        <v/>
      </c>
      <c r="K115" s="6" t="str">
        <f>IF($M$1&gt;=I115,VLOOKUP(I115,Iktato!$B$3:$L$10000,3,FALSE),"")</f>
        <v/>
      </c>
      <c r="M115" s="6" t="str">
        <f>IF($M$1&gt;=I115,IF(VLOOKUP(I115,Iktato!$B$3:$P$10000,15,FALSE)&lt;&gt;0,VLOOKUP(I115,Iktato!$B$3:$P$10000,15,FALSE),""),"")</f>
        <v/>
      </c>
      <c r="N115" s="6" t="str">
        <f>IF($M$1&gt;=I115,IF(VLOOKUP(I115,Iktato!$B$3:$Q$10000,16,FALSE)&lt;&gt;0,VLOOKUP(I115,Iktato!$B$3:$Q$10000,16,FALSE),""),"")</f>
        <v/>
      </c>
      <c r="P115" s="6" t="str">
        <f>TRIM(IF($M$1&gt;=I115,IF(VLOOKUP(I115,Iktato!$B$3:$L$10000,6,FALSE)&lt;&gt;0,VLOOKUP(I115,Iktato!$B$3:$L$10000,6,FALSE),""),""))</f>
        <v/>
      </c>
      <c r="Q115" s="8" t="str">
        <f>TRIM(IF($M$1&gt;=I115,IF(VLOOKUP(I115,Iktato!$B$3:$L$10000,7,FALSE)&lt;&gt;0,VLOOKUP(I115,Iktato!$B$3:$L$10000,7,FALSE),""),""))</f>
        <v/>
      </c>
      <c r="R115" s="6" t="str">
        <f t="shared" si="19"/>
        <v/>
      </c>
      <c r="S115" s="6" t="str">
        <f t="shared" si="20"/>
        <v/>
      </c>
      <c r="T115" s="6" t="str">
        <f t="shared" si="21"/>
        <v/>
      </c>
    </row>
    <row r="116" spans="1:20" ht="16.5" x14ac:dyDescent="0.25">
      <c r="A116" s="11" t="str">
        <f t="shared" si="16"/>
        <v/>
      </c>
      <c r="B116" s="12" t="str">
        <f>IF($M$1&gt;=I116,VLOOKUP(I116,Iktato!$B$3:$L$10000,5,FALSE),"")</f>
        <v/>
      </c>
      <c r="C116" s="13" t="str">
        <f t="shared" si="17"/>
        <v/>
      </c>
      <c r="D116" s="14" t="str">
        <f>TRIM(IF($M$1&gt;=I116,IF(VLOOKUP(I116,Iktato!$B$3:$L$10000,8,FALSE)&lt;&gt;0,VLOOKUP(I116,Iktato!$B$3:$L$10000,8,FALSE),""),""))</f>
        <v/>
      </c>
      <c r="E116" s="14" t="str">
        <f>TRIM(IF($M$1&gt;=I116,IF(VLOOKUP(I116,Iktato!$B$3:$L$10000,9,FALSE)&lt;&gt;0,VLOOKUP(I116,Iktato!$B$3:$L$10000,9,FALSE),""),""))</f>
        <v/>
      </c>
      <c r="F116" s="43" t="str">
        <f t="shared" si="14"/>
        <v/>
      </c>
      <c r="G116" s="43"/>
      <c r="I116" s="6">
        <f t="shared" si="15"/>
        <v>106</v>
      </c>
      <c r="J116" s="6" t="str">
        <f t="shared" si="18"/>
        <v/>
      </c>
      <c r="K116" s="6" t="str">
        <f>IF($M$1&gt;=I116,VLOOKUP(I116,Iktato!$B$3:$L$10000,3,FALSE),"")</f>
        <v/>
      </c>
      <c r="M116" s="6" t="str">
        <f>IF($M$1&gt;=I116,IF(VLOOKUP(I116,Iktato!$B$3:$P$10000,15,FALSE)&lt;&gt;0,VLOOKUP(I116,Iktato!$B$3:$P$10000,15,FALSE),""),"")</f>
        <v/>
      </c>
      <c r="N116" s="6" t="str">
        <f>IF($M$1&gt;=I116,IF(VLOOKUP(I116,Iktato!$B$3:$Q$10000,16,FALSE)&lt;&gt;0,VLOOKUP(I116,Iktato!$B$3:$Q$10000,16,FALSE),""),"")</f>
        <v/>
      </c>
      <c r="P116" s="6" t="str">
        <f>TRIM(IF($M$1&gt;=I116,IF(VLOOKUP(I116,Iktato!$B$3:$L$10000,6,FALSE)&lt;&gt;0,VLOOKUP(I116,Iktato!$B$3:$L$10000,6,FALSE),""),""))</f>
        <v/>
      </c>
      <c r="Q116" s="8" t="str">
        <f>TRIM(IF($M$1&gt;=I116,IF(VLOOKUP(I116,Iktato!$B$3:$L$10000,7,FALSE)&lt;&gt;0,VLOOKUP(I116,Iktato!$B$3:$L$10000,7,FALSE),""),""))</f>
        <v/>
      </c>
      <c r="R116" s="6" t="str">
        <f t="shared" si="19"/>
        <v/>
      </c>
      <c r="S116" s="6" t="str">
        <f t="shared" si="20"/>
        <v/>
      </c>
      <c r="T116" s="6" t="str">
        <f t="shared" si="21"/>
        <v/>
      </c>
    </row>
    <row r="117" spans="1:20" ht="16.5" x14ac:dyDescent="0.25">
      <c r="A117" s="11" t="str">
        <f t="shared" si="16"/>
        <v/>
      </c>
      <c r="B117" s="12" t="str">
        <f>IF($M$1&gt;=I117,VLOOKUP(I117,Iktato!$B$3:$L$10000,5,FALSE),"")</f>
        <v/>
      </c>
      <c r="C117" s="13" t="str">
        <f t="shared" si="17"/>
        <v/>
      </c>
      <c r="D117" s="14" t="str">
        <f>TRIM(IF($M$1&gt;=I117,IF(VLOOKUP(I117,Iktato!$B$3:$L$10000,8,FALSE)&lt;&gt;0,VLOOKUP(I117,Iktato!$B$3:$L$10000,8,FALSE),""),""))</f>
        <v/>
      </c>
      <c r="E117" s="14" t="str">
        <f>TRIM(IF($M$1&gt;=I117,IF(VLOOKUP(I117,Iktato!$B$3:$L$10000,9,FALSE)&lt;&gt;0,VLOOKUP(I117,Iktato!$B$3:$L$10000,9,FALSE),""),""))</f>
        <v/>
      </c>
      <c r="F117" s="43" t="str">
        <f t="shared" si="14"/>
        <v/>
      </c>
      <c r="G117" s="43"/>
      <c r="I117" s="6">
        <f t="shared" si="15"/>
        <v>107</v>
      </c>
      <c r="J117" s="6" t="str">
        <f t="shared" si="18"/>
        <v/>
      </c>
      <c r="K117" s="6" t="str">
        <f>IF($M$1&gt;=I117,VLOOKUP(I117,Iktato!$B$3:$L$10000,3,FALSE),"")</f>
        <v/>
      </c>
      <c r="M117" s="6" t="str">
        <f>IF($M$1&gt;=I117,IF(VLOOKUP(I117,Iktato!$B$3:$P$10000,15,FALSE)&lt;&gt;0,VLOOKUP(I117,Iktato!$B$3:$P$10000,15,FALSE),""),"")</f>
        <v/>
      </c>
      <c r="N117" s="6" t="str">
        <f>IF($M$1&gt;=I117,IF(VLOOKUP(I117,Iktato!$B$3:$Q$10000,16,FALSE)&lt;&gt;0,VLOOKUP(I117,Iktato!$B$3:$Q$10000,16,FALSE),""),"")</f>
        <v/>
      </c>
      <c r="P117" s="6" t="str">
        <f>TRIM(IF($M$1&gt;=I117,IF(VLOOKUP(I117,Iktato!$B$3:$L$10000,6,FALSE)&lt;&gt;0,VLOOKUP(I117,Iktato!$B$3:$L$10000,6,FALSE),""),""))</f>
        <v/>
      </c>
      <c r="Q117" s="8" t="str">
        <f>TRIM(IF($M$1&gt;=I117,IF(VLOOKUP(I117,Iktato!$B$3:$L$10000,7,FALSE)&lt;&gt;0,VLOOKUP(I117,Iktato!$B$3:$L$10000,7,FALSE),""),""))</f>
        <v/>
      </c>
      <c r="R117" s="6" t="str">
        <f t="shared" si="19"/>
        <v/>
      </c>
      <c r="S117" s="6" t="str">
        <f t="shared" si="20"/>
        <v/>
      </c>
      <c r="T117" s="6" t="str">
        <f t="shared" si="21"/>
        <v/>
      </c>
    </row>
    <row r="118" spans="1:20" ht="16.5" x14ac:dyDescent="0.25">
      <c r="A118" s="11" t="str">
        <f t="shared" si="16"/>
        <v/>
      </c>
      <c r="B118" s="12" t="str">
        <f>IF($M$1&gt;=I118,VLOOKUP(I118,Iktato!$B$3:$L$10000,5,FALSE),"")</f>
        <v/>
      </c>
      <c r="C118" s="13" t="str">
        <f t="shared" si="17"/>
        <v/>
      </c>
      <c r="D118" s="14" t="str">
        <f>TRIM(IF($M$1&gt;=I118,IF(VLOOKUP(I118,Iktato!$B$3:$L$10000,8,FALSE)&lt;&gt;0,VLOOKUP(I118,Iktato!$B$3:$L$10000,8,FALSE),""),""))</f>
        <v/>
      </c>
      <c r="E118" s="14" t="str">
        <f>TRIM(IF($M$1&gt;=I118,IF(VLOOKUP(I118,Iktato!$B$3:$L$10000,9,FALSE)&lt;&gt;0,VLOOKUP(I118,Iktato!$B$3:$L$10000,9,FALSE),""),""))</f>
        <v/>
      </c>
      <c r="F118" s="43" t="str">
        <f t="shared" si="14"/>
        <v/>
      </c>
      <c r="G118" s="43"/>
      <c r="I118" s="6">
        <f t="shared" si="15"/>
        <v>108</v>
      </c>
      <c r="J118" s="6" t="str">
        <f t="shared" si="18"/>
        <v/>
      </c>
      <c r="K118" s="6" t="str">
        <f>IF($M$1&gt;=I118,VLOOKUP(I118,Iktato!$B$3:$L$10000,3,FALSE),"")</f>
        <v/>
      </c>
      <c r="M118" s="6" t="str">
        <f>IF($M$1&gt;=I118,IF(VLOOKUP(I118,Iktato!$B$3:$P$10000,15,FALSE)&lt;&gt;0,VLOOKUP(I118,Iktato!$B$3:$P$10000,15,FALSE),""),"")</f>
        <v/>
      </c>
      <c r="N118" s="6" t="str">
        <f>IF($M$1&gt;=I118,IF(VLOOKUP(I118,Iktato!$B$3:$Q$10000,16,FALSE)&lt;&gt;0,VLOOKUP(I118,Iktato!$B$3:$Q$10000,16,FALSE),""),"")</f>
        <v/>
      </c>
      <c r="P118" s="6" t="str">
        <f>TRIM(IF($M$1&gt;=I118,IF(VLOOKUP(I118,Iktato!$B$3:$L$10000,6,FALSE)&lt;&gt;0,VLOOKUP(I118,Iktato!$B$3:$L$10000,6,FALSE),""),""))</f>
        <v/>
      </c>
      <c r="Q118" s="8" t="str">
        <f>TRIM(IF($M$1&gt;=I118,IF(VLOOKUP(I118,Iktato!$B$3:$L$10000,7,FALSE)&lt;&gt;0,VLOOKUP(I118,Iktato!$B$3:$L$10000,7,FALSE),""),""))</f>
        <v/>
      </c>
      <c r="R118" s="6" t="str">
        <f t="shared" si="19"/>
        <v/>
      </c>
      <c r="S118" s="6" t="str">
        <f t="shared" si="20"/>
        <v/>
      </c>
      <c r="T118" s="6" t="str">
        <f t="shared" si="21"/>
        <v/>
      </c>
    </row>
    <row r="119" spans="1:20" ht="16.5" x14ac:dyDescent="0.25">
      <c r="A119" s="11" t="str">
        <f t="shared" si="16"/>
        <v/>
      </c>
      <c r="B119" s="12" t="str">
        <f>IF($M$1&gt;=I119,VLOOKUP(I119,Iktato!$B$3:$L$10000,5,FALSE),"")</f>
        <v/>
      </c>
      <c r="C119" s="13" t="str">
        <f t="shared" si="17"/>
        <v/>
      </c>
      <c r="D119" s="14" t="str">
        <f>TRIM(IF($M$1&gt;=I119,IF(VLOOKUP(I119,Iktato!$B$3:$L$10000,8,FALSE)&lt;&gt;0,VLOOKUP(I119,Iktato!$B$3:$L$10000,8,FALSE),""),""))</f>
        <v/>
      </c>
      <c r="E119" s="14" t="str">
        <f>TRIM(IF($M$1&gt;=I119,IF(VLOOKUP(I119,Iktato!$B$3:$L$10000,9,FALSE)&lt;&gt;0,VLOOKUP(I119,Iktato!$B$3:$L$10000,9,FALSE),""),""))</f>
        <v/>
      </c>
      <c r="F119" s="43" t="str">
        <f t="shared" si="14"/>
        <v/>
      </c>
      <c r="G119" s="43"/>
      <c r="I119" s="6">
        <f t="shared" si="15"/>
        <v>109</v>
      </c>
      <c r="J119" s="6" t="str">
        <f t="shared" si="18"/>
        <v/>
      </c>
      <c r="K119" s="6" t="str">
        <f>IF($M$1&gt;=I119,VLOOKUP(I119,Iktato!$B$3:$L$10000,3,FALSE),"")</f>
        <v/>
      </c>
      <c r="M119" s="6" t="str">
        <f>IF($M$1&gt;=I119,IF(VLOOKUP(I119,Iktato!$B$3:$P$10000,15,FALSE)&lt;&gt;0,VLOOKUP(I119,Iktato!$B$3:$P$10000,15,FALSE),""),"")</f>
        <v/>
      </c>
      <c r="N119" s="6" t="str">
        <f>IF($M$1&gt;=I119,IF(VLOOKUP(I119,Iktato!$B$3:$Q$10000,16,FALSE)&lt;&gt;0,VLOOKUP(I119,Iktato!$B$3:$Q$10000,16,FALSE),""),"")</f>
        <v/>
      </c>
      <c r="P119" s="6" t="str">
        <f>TRIM(IF($M$1&gt;=I119,IF(VLOOKUP(I119,Iktato!$B$3:$L$10000,6,FALSE)&lt;&gt;0,VLOOKUP(I119,Iktato!$B$3:$L$10000,6,FALSE),""),""))</f>
        <v/>
      </c>
      <c r="Q119" s="8" t="str">
        <f>TRIM(IF($M$1&gt;=I119,IF(VLOOKUP(I119,Iktato!$B$3:$L$10000,7,FALSE)&lt;&gt;0,VLOOKUP(I119,Iktato!$B$3:$L$10000,7,FALSE),""),""))</f>
        <v/>
      </c>
      <c r="R119" s="6" t="str">
        <f t="shared" si="19"/>
        <v/>
      </c>
      <c r="S119" s="6" t="str">
        <f t="shared" si="20"/>
        <v/>
      </c>
      <c r="T119" s="6" t="str">
        <f t="shared" si="21"/>
        <v/>
      </c>
    </row>
    <row r="120" spans="1:20" ht="16.5" x14ac:dyDescent="0.25">
      <c r="A120" s="11" t="str">
        <f t="shared" si="16"/>
        <v/>
      </c>
      <c r="B120" s="12" t="str">
        <f>IF($M$1&gt;=I120,VLOOKUP(I120,Iktato!$B$3:$L$10000,5,FALSE),"")</f>
        <v/>
      </c>
      <c r="C120" s="13" t="str">
        <f t="shared" si="17"/>
        <v/>
      </c>
      <c r="D120" s="14" t="str">
        <f>TRIM(IF($M$1&gt;=I120,IF(VLOOKUP(I120,Iktato!$B$3:$L$10000,8,FALSE)&lt;&gt;0,VLOOKUP(I120,Iktato!$B$3:$L$10000,8,FALSE),""),""))</f>
        <v/>
      </c>
      <c r="E120" s="14" t="str">
        <f>TRIM(IF($M$1&gt;=I120,IF(VLOOKUP(I120,Iktato!$B$3:$L$10000,9,FALSE)&lt;&gt;0,VLOOKUP(I120,Iktato!$B$3:$L$10000,9,FALSE),""),""))</f>
        <v/>
      </c>
      <c r="F120" s="43" t="str">
        <f t="shared" si="14"/>
        <v/>
      </c>
      <c r="G120" s="43"/>
      <c r="I120" s="6">
        <f t="shared" si="15"/>
        <v>110</v>
      </c>
      <c r="J120" s="6" t="str">
        <f t="shared" si="18"/>
        <v/>
      </c>
      <c r="K120" s="6" t="str">
        <f>IF($M$1&gt;=I120,VLOOKUP(I120,Iktato!$B$3:$L$10000,3,FALSE),"")</f>
        <v/>
      </c>
      <c r="M120" s="6" t="str">
        <f>IF($M$1&gt;=I120,IF(VLOOKUP(I120,Iktato!$B$3:$P$10000,15,FALSE)&lt;&gt;0,VLOOKUP(I120,Iktato!$B$3:$P$10000,15,FALSE),""),"")</f>
        <v/>
      </c>
      <c r="N120" s="6" t="str">
        <f>IF($M$1&gt;=I120,IF(VLOOKUP(I120,Iktato!$B$3:$Q$10000,16,FALSE)&lt;&gt;0,VLOOKUP(I120,Iktato!$B$3:$Q$10000,16,FALSE),""),"")</f>
        <v/>
      </c>
      <c r="P120" s="6" t="str">
        <f>TRIM(IF($M$1&gt;=I120,IF(VLOOKUP(I120,Iktato!$B$3:$L$10000,6,FALSE)&lt;&gt;0,VLOOKUP(I120,Iktato!$B$3:$L$10000,6,FALSE),""),""))</f>
        <v/>
      </c>
      <c r="Q120" s="8" t="str">
        <f>TRIM(IF($M$1&gt;=I120,IF(VLOOKUP(I120,Iktato!$B$3:$L$10000,7,FALSE)&lt;&gt;0,VLOOKUP(I120,Iktato!$B$3:$L$10000,7,FALSE),""),""))</f>
        <v/>
      </c>
      <c r="R120" s="6" t="str">
        <f t="shared" si="19"/>
        <v/>
      </c>
      <c r="S120" s="6" t="str">
        <f t="shared" si="20"/>
        <v/>
      </c>
      <c r="T120" s="6" t="str">
        <f t="shared" si="21"/>
        <v/>
      </c>
    </row>
    <row r="121" spans="1:20" ht="16.5" x14ac:dyDescent="0.25">
      <c r="A121" s="11" t="str">
        <f t="shared" si="16"/>
        <v/>
      </c>
      <c r="B121" s="12" t="str">
        <f>IF($M$1&gt;=I121,VLOOKUP(I121,Iktato!$B$3:$L$10000,5,FALSE),"")</f>
        <v/>
      </c>
      <c r="C121" s="13" t="str">
        <f t="shared" si="17"/>
        <v/>
      </c>
      <c r="D121" s="14" t="str">
        <f>TRIM(IF($M$1&gt;=I121,IF(VLOOKUP(I121,Iktato!$B$3:$L$10000,8,FALSE)&lt;&gt;0,VLOOKUP(I121,Iktato!$B$3:$L$10000,8,FALSE),""),""))</f>
        <v/>
      </c>
      <c r="E121" s="14" t="str">
        <f>TRIM(IF($M$1&gt;=I121,IF(VLOOKUP(I121,Iktato!$B$3:$L$10000,9,FALSE)&lt;&gt;0,VLOOKUP(I121,Iktato!$B$3:$L$10000,9,FALSE),""),""))</f>
        <v/>
      </c>
      <c r="F121" s="43" t="str">
        <f t="shared" si="14"/>
        <v/>
      </c>
      <c r="G121" s="43"/>
      <c r="I121" s="6">
        <f t="shared" si="15"/>
        <v>111</v>
      </c>
      <c r="J121" s="6" t="str">
        <f t="shared" si="18"/>
        <v/>
      </c>
      <c r="K121" s="6" t="str">
        <f>IF($M$1&gt;=I121,VLOOKUP(I121,Iktato!$B$3:$L$10000,3,FALSE),"")</f>
        <v/>
      </c>
      <c r="M121" s="6" t="str">
        <f>IF($M$1&gt;=I121,IF(VLOOKUP(I121,Iktato!$B$3:$P$10000,15,FALSE)&lt;&gt;0,VLOOKUP(I121,Iktato!$B$3:$P$10000,15,FALSE),""),"")</f>
        <v/>
      </c>
      <c r="N121" s="6" t="str">
        <f>IF($M$1&gt;=I121,IF(VLOOKUP(I121,Iktato!$B$3:$Q$10000,16,FALSE)&lt;&gt;0,VLOOKUP(I121,Iktato!$B$3:$Q$10000,16,FALSE),""),"")</f>
        <v/>
      </c>
      <c r="P121" s="6" t="str">
        <f>TRIM(IF($M$1&gt;=I121,IF(VLOOKUP(I121,Iktato!$B$3:$L$10000,6,FALSE)&lt;&gt;0,VLOOKUP(I121,Iktato!$B$3:$L$10000,6,FALSE),""),""))</f>
        <v/>
      </c>
      <c r="Q121" s="8" t="str">
        <f>TRIM(IF($M$1&gt;=I121,IF(VLOOKUP(I121,Iktato!$B$3:$L$10000,7,FALSE)&lt;&gt;0,VLOOKUP(I121,Iktato!$B$3:$L$10000,7,FALSE),""),""))</f>
        <v/>
      </c>
      <c r="R121" s="6" t="str">
        <f t="shared" si="19"/>
        <v/>
      </c>
      <c r="S121" s="6" t="str">
        <f t="shared" si="20"/>
        <v/>
      </c>
      <c r="T121" s="6" t="str">
        <f t="shared" si="21"/>
        <v/>
      </c>
    </row>
    <row r="122" spans="1:20" ht="16.5" x14ac:dyDescent="0.25">
      <c r="A122" s="11" t="str">
        <f t="shared" si="16"/>
        <v/>
      </c>
      <c r="B122" s="12" t="str">
        <f>IF($M$1&gt;=I122,VLOOKUP(I122,Iktato!$B$3:$L$10000,5,FALSE),"")</f>
        <v/>
      </c>
      <c r="C122" s="13" t="str">
        <f t="shared" si="17"/>
        <v/>
      </c>
      <c r="D122" s="14" t="str">
        <f>TRIM(IF($M$1&gt;=I122,IF(VLOOKUP(I122,Iktato!$B$3:$L$10000,8,FALSE)&lt;&gt;0,VLOOKUP(I122,Iktato!$B$3:$L$10000,8,FALSE),""),""))</f>
        <v/>
      </c>
      <c r="E122" s="14" t="str">
        <f>TRIM(IF($M$1&gt;=I122,IF(VLOOKUP(I122,Iktato!$B$3:$L$10000,9,FALSE)&lt;&gt;0,VLOOKUP(I122,Iktato!$B$3:$L$10000,9,FALSE),""),""))</f>
        <v/>
      </c>
      <c r="F122" s="43" t="str">
        <f t="shared" si="14"/>
        <v/>
      </c>
      <c r="G122" s="43"/>
      <c r="I122" s="6">
        <f t="shared" si="15"/>
        <v>112</v>
      </c>
      <c r="J122" s="6" t="str">
        <f t="shared" si="18"/>
        <v/>
      </c>
      <c r="K122" s="6" t="str">
        <f>IF($M$1&gt;=I122,VLOOKUP(I122,Iktato!$B$3:$L$10000,3,FALSE),"")</f>
        <v/>
      </c>
      <c r="M122" s="6" t="str">
        <f>IF($M$1&gt;=I122,IF(VLOOKUP(I122,Iktato!$B$3:$P$10000,15,FALSE)&lt;&gt;0,VLOOKUP(I122,Iktato!$B$3:$P$10000,15,FALSE),""),"")</f>
        <v/>
      </c>
      <c r="N122" s="6" t="str">
        <f>IF($M$1&gt;=I122,IF(VLOOKUP(I122,Iktato!$B$3:$Q$10000,16,FALSE)&lt;&gt;0,VLOOKUP(I122,Iktato!$B$3:$Q$10000,16,FALSE),""),"")</f>
        <v/>
      </c>
      <c r="P122" s="6" t="str">
        <f>TRIM(IF($M$1&gt;=I122,IF(VLOOKUP(I122,Iktato!$B$3:$L$10000,6,FALSE)&lt;&gt;0,VLOOKUP(I122,Iktato!$B$3:$L$10000,6,FALSE),""),""))</f>
        <v/>
      </c>
      <c r="Q122" s="8" t="str">
        <f>TRIM(IF($M$1&gt;=I122,IF(VLOOKUP(I122,Iktato!$B$3:$L$10000,7,FALSE)&lt;&gt;0,VLOOKUP(I122,Iktato!$B$3:$L$10000,7,FALSE),""),""))</f>
        <v/>
      </c>
      <c r="R122" s="6" t="str">
        <f t="shared" si="19"/>
        <v/>
      </c>
      <c r="S122" s="6" t="str">
        <f t="shared" si="20"/>
        <v/>
      </c>
      <c r="T122" s="6" t="str">
        <f t="shared" si="21"/>
        <v/>
      </c>
    </row>
    <row r="123" spans="1:20" ht="16.5" x14ac:dyDescent="0.25">
      <c r="A123" s="11" t="str">
        <f t="shared" si="16"/>
        <v/>
      </c>
      <c r="B123" s="12" t="str">
        <f>IF($M$1&gt;=I123,VLOOKUP(I123,Iktato!$B$3:$L$10000,5,FALSE),"")</f>
        <v/>
      </c>
      <c r="C123" s="13" t="str">
        <f t="shared" si="17"/>
        <v/>
      </c>
      <c r="D123" s="14" t="str">
        <f>TRIM(IF($M$1&gt;=I123,IF(VLOOKUP(I123,Iktato!$B$3:$L$10000,8,FALSE)&lt;&gt;0,VLOOKUP(I123,Iktato!$B$3:$L$10000,8,FALSE),""),""))</f>
        <v/>
      </c>
      <c r="E123" s="14" t="str">
        <f>TRIM(IF($M$1&gt;=I123,IF(VLOOKUP(I123,Iktato!$B$3:$L$10000,9,FALSE)&lt;&gt;0,VLOOKUP(I123,Iktato!$B$3:$L$10000,9,FALSE),""),""))</f>
        <v/>
      </c>
      <c r="F123" s="43" t="str">
        <f t="shared" si="14"/>
        <v/>
      </c>
      <c r="G123" s="43"/>
      <c r="I123" s="6">
        <f t="shared" si="15"/>
        <v>113</v>
      </c>
      <c r="J123" s="6" t="str">
        <f t="shared" si="18"/>
        <v/>
      </c>
      <c r="K123" s="6" t="str">
        <f>IF($M$1&gt;=I123,VLOOKUP(I123,Iktato!$B$3:$L$10000,3,FALSE),"")</f>
        <v/>
      </c>
      <c r="M123" s="6" t="str">
        <f>IF($M$1&gt;=I123,IF(VLOOKUP(I123,Iktato!$B$3:$P$10000,15,FALSE)&lt;&gt;0,VLOOKUP(I123,Iktato!$B$3:$P$10000,15,FALSE),""),"")</f>
        <v/>
      </c>
      <c r="N123" s="6" t="str">
        <f>IF($M$1&gt;=I123,IF(VLOOKUP(I123,Iktato!$B$3:$Q$10000,16,FALSE)&lt;&gt;0,VLOOKUP(I123,Iktato!$B$3:$Q$10000,16,FALSE),""),"")</f>
        <v/>
      </c>
      <c r="P123" s="6" t="str">
        <f>TRIM(IF($M$1&gt;=I123,IF(VLOOKUP(I123,Iktato!$B$3:$L$10000,6,FALSE)&lt;&gt;0,VLOOKUP(I123,Iktato!$B$3:$L$10000,6,FALSE),""),""))</f>
        <v/>
      </c>
      <c r="Q123" s="8" t="str">
        <f>TRIM(IF($M$1&gt;=I123,IF(VLOOKUP(I123,Iktato!$B$3:$L$10000,7,FALSE)&lt;&gt;0,VLOOKUP(I123,Iktato!$B$3:$L$10000,7,FALSE),""),""))</f>
        <v/>
      </c>
      <c r="R123" s="6" t="str">
        <f t="shared" si="19"/>
        <v/>
      </c>
      <c r="S123" s="6" t="str">
        <f t="shared" si="20"/>
        <v/>
      </c>
      <c r="T123" s="6" t="str">
        <f t="shared" si="21"/>
        <v/>
      </c>
    </row>
    <row r="124" spans="1:20" ht="16.5" x14ac:dyDescent="0.25">
      <c r="A124" s="11" t="str">
        <f t="shared" si="16"/>
        <v/>
      </c>
      <c r="B124" s="12" t="str">
        <f>IF($M$1&gt;=I124,VLOOKUP(I124,Iktato!$B$3:$L$10000,5,FALSE),"")</f>
        <v/>
      </c>
      <c r="C124" s="13" t="str">
        <f t="shared" si="17"/>
        <v/>
      </c>
      <c r="D124" s="14" t="str">
        <f>TRIM(IF($M$1&gt;=I124,IF(VLOOKUP(I124,Iktato!$B$3:$L$10000,8,FALSE)&lt;&gt;0,VLOOKUP(I124,Iktato!$B$3:$L$10000,8,FALSE),""),""))</f>
        <v/>
      </c>
      <c r="E124" s="14" t="str">
        <f>TRIM(IF($M$1&gt;=I124,IF(VLOOKUP(I124,Iktato!$B$3:$L$10000,9,FALSE)&lt;&gt;0,VLOOKUP(I124,Iktato!$B$3:$L$10000,9,FALSE),""),""))</f>
        <v/>
      </c>
      <c r="F124" s="43" t="str">
        <f t="shared" si="14"/>
        <v/>
      </c>
      <c r="G124" s="43"/>
      <c r="I124" s="6">
        <f t="shared" si="15"/>
        <v>114</v>
      </c>
      <c r="J124" s="6" t="str">
        <f t="shared" si="18"/>
        <v/>
      </c>
      <c r="K124" s="6" t="str">
        <f>IF($M$1&gt;=I124,VLOOKUP(I124,Iktato!$B$3:$L$10000,3,FALSE),"")</f>
        <v/>
      </c>
      <c r="M124" s="6" t="str">
        <f>IF($M$1&gt;=I124,IF(VLOOKUP(I124,Iktato!$B$3:$P$10000,15,FALSE)&lt;&gt;0,VLOOKUP(I124,Iktato!$B$3:$P$10000,15,FALSE),""),"")</f>
        <v/>
      </c>
      <c r="N124" s="6" t="str">
        <f>IF($M$1&gt;=I124,IF(VLOOKUP(I124,Iktato!$B$3:$Q$10000,16,FALSE)&lt;&gt;0,VLOOKUP(I124,Iktato!$B$3:$Q$10000,16,FALSE),""),"")</f>
        <v/>
      </c>
      <c r="P124" s="6" t="str">
        <f>TRIM(IF($M$1&gt;=I124,IF(VLOOKUP(I124,Iktato!$B$3:$L$10000,6,FALSE)&lt;&gt;0,VLOOKUP(I124,Iktato!$B$3:$L$10000,6,FALSE),""),""))</f>
        <v/>
      </c>
      <c r="Q124" s="8" t="str">
        <f>TRIM(IF($M$1&gt;=I124,IF(VLOOKUP(I124,Iktato!$B$3:$L$10000,7,FALSE)&lt;&gt;0,VLOOKUP(I124,Iktato!$B$3:$L$10000,7,FALSE),""),""))</f>
        <v/>
      </c>
      <c r="R124" s="6" t="str">
        <f t="shared" si="19"/>
        <v/>
      </c>
      <c r="S124" s="6" t="str">
        <f t="shared" si="20"/>
        <v/>
      </c>
      <c r="T124" s="6" t="str">
        <f t="shared" si="21"/>
        <v/>
      </c>
    </row>
    <row r="125" spans="1:20" ht="16.5" x14ac:dyDescent="0.25">
      <c r="A125" s="11" t="str">
        <f t="shared" si="16"/>
        <v/>
      </c>
      <c r="B125" s="12" t="str">
        <f>IF($M$1&gt;=I125,VLOOKUP(I125,Iktato!$B$3:$L$10000,5,FALSE),"")</f>
        <v/>
      </c>
      <c r="C125" s="13" t="str">
        <f t="shared" si="17"/>
        <v/>
      </c>
      <c r="D125" s="14" t="str">
        <f>TRIM(IF($M$1&gt;=I125,IF(VLOOKUP(I125,Iktato!$B$3:$L$10000,8,FALSE)&lt;&gt;0,VLOOKUP(I125,Iktato!$B$3:$L$10000,8,FALSE),""),""))</f>
        <v/>
      </c>
      <c r="E125" s="14" t="str">
        <f>TRIM(IF($M$1&gt;=I125,IF(VLOOKUP(I125,Iktato!$B$3:$L$10000,9,FALSE)&lt;&gt;0,VLOOKUP(I125,Iktato!$B$3:$L$10000,9,FALSE),""),""))</f>
        <v/>
      </c>
      <c r="F125" s="43" t="str">
        <f t="shared" si="14"/>
        <v/>
      </c>
      <c r="G125" s="43"/>
      <c r="I125" s="6">
        <f t="shared" si="15"/>
        <v>115</v>
      </c>
      <c r="J125" s="6" t="str">
        <f t="shared" si="18"/>
        <v/>
      </c>
      <c r="K125" s="6" t="str">
        <f>IF($M$1&gt;=I125,VLOOKUP(I125,Iktato!$B$3:$L$10000,3,FALSE),"")</f>
        <v/>
      </c>
      <c r="M125" s="6" t="str">
        <f>IF($M$1&gt;=I125,IF(VLOOKUP(I125,Iktato!$B$3:$P$10000,15,FALSE)&lt;&gt;0,VLOOKUP(I125,Iktato!$B$3:$P$10000,15,FALSE),""),"")</f>
        <v/>
      </c>
      <c r="N125" s="6" t="str">
        <f>IF($M$1&gt;=I125,IF(VLOOKUP(I125,Iktato!$B$3:$Q$10000,16,FALSE)&lt;&gt;0,VLOOKUP(I125,Iktato!$B$3:$Q$10000,16,FALSE),""),"")</f>
        <v/>
      </c>
      <c r="P125" s="6" t="str">
        <f>TRIM(IF($M$1&gt;=I125,IF(VLOOKUP(I125,Iktato!$B$3:$L$10000,6,FALSE)&lt;&gt;0,VLOOKUP(I125,Iktato!$B$3:$L$10000,6,FALSE),""),""))</f>
        <v/>
      </c>
      <c r="Q125" s="8" t="str">
        <f>TRIM(IF($M$1&gt;=I125,IF(VLOOKUP(I125,Iktato!$B$3:$L$10000,7,FALSE)&lt;&gt;0,VLOOKUP(I125,Iktato!$B$3:$L$10000,7,FALSE),""),""))</f>
        <v/>
      </c>
      <c r="R125" s="6" t="str">
        <f t="shared" si="19"/>
        <v/>
      </c>
      <c r="S125" s="6" t="str">
        <f t="shared" si="20"/>
        <v/>
      </c>
      <c r="T125" s="6" t="str">
        <f t="shared" si="21"/>
        <v/>
      </c>
    </row>
    <row r="126" spans="1:20" ht="16.5" x14ac:dyDescent="0.25">
      <c r="A126" s="11" t="str">
        <f t="shared" si="16"/>
        <v/>
      </c>
      <c r="B126" s="12" t="str">
        <f>IF($M$1&gt;=I126,VLOOKUP(I126,Iktato!$B$3:$L$10000,5,FALSE),"")</f>
        <v/>
      </c>
      <c r="C126" s="13" t="str">
        <f t="shared" si="17"/>
        <v/>
      </c>
      <c r="D126" s="14" t="str">
        <f>TRIM(IF($M$1&gt;=I126,IF(VLOOKUP(I126,Iktato!$B$3:$L$10000,8,FALSE)&lt;&gt;0,VLOOKUP(I126,Iktato!$B$3:$L$10000,8,FALSE),""),""))</f>
        <v/>
      </c>
      <c r="E126" s="14" t="str">
        <f>TRIM(IF($M$1&gt;=I126,IF(VLOOKUP(I126,Iktato!$B$3:$L$10000,9,FALSE)&lt;&gt;0,VLOOKUP(I126,Iktato!$B$3:$L$10000,9,FALSE),""),""))</f>
        <v/>
      </c>
      <c r="F126" s="43" t="str">
        <f t="shared" si="14"/>
        <v/>
      </c>
      <c r="G126" s="43"/>
      <c r="I126" s="6">
        <f t="shared" si="15"/>
        <v>116</v>
      </c>
      <c r="J126" s="6" t="str">
        <f t="shared" si="18"/>
        <v/>
      </c>
      <c r="K126" s="6" t="str">
        <f>IF($M$1&gt;=I126,VLOOKUP(I126,Iktato!$B$3:$L$10000,3,FALSE),"")</f>
        <v/>
      </c>
      <c r="M126" s="6" t="str">
        <f>IF($M$1&gt;=I126,IF(VLOOKUP(I126,Iktato!$B$3:$P$10000,15,FALSE)&lt;&gt;0,VLOOKUP(I126,Iktato!$B$3:$P$10000,15,FALSE),""),"")</f>
        <v/>
      </c>
      <c r="N126" s="6" t="str">
        <f>IF($M$1&gt;=I126,IF(VLOOKUP(I126,Iktato!$B$3:$Q$10000,16,FALSE)&lt;&gt;0,VLOOKUP(I126,Iktato!$B$3:$Q$10000,16,FALSE),""),"")</f>
        <v/>
      </c>
      <c r="P126" s="6" t="str">
        <f>TRIM(IF($M$1&gt;=I126,IF(VLOOKUP(I126,Iktato!$B$3:$L$10000,6,FALSE)&lt;&gt;0,VLOOKUP(I126,Iktato!$B$3:$L$10000,6,FALSE),""),""))</f>
        <v/>
      </c>
      <c r="Q126" s="8" t="str">
        <f>TRIM(IF($M$1&gt;=I126,IF(VLOOKUP(I126,Iktato!$B$3:$L$10000,7,FALSE)&lt;&gt;0,VLOOKUP(I126,Iktato!$B$3:$L$10000,7,FALSE),""),""))</f>
        <v/>
      </c>
      <c r="R126" s="6" t="str">
        <f t="shared" si="19"/>
        <v/>
      </c>
      <c r="S126" s="6" t="str">
        <f t="shared" si="20"/>
        <v/>
      </c>
      <c r="T126" s="6" t="str">
        <f t="shared" si="21"/>
        <v/>
      </c>
    </row>
    <row r="127" spans="1:20" ht="16.5" x14ac:dyDescent="0.25">
      <c r="A127" s="11" t="str">
        <f t="shared" si="16"/>
        <v/>
      </c>
      <c r="B127" s="12" t="str">
        <f>IF($M$1&gt;=I127,VLOOKUP(I127,Iktato!$B$3:$L$10000,5,FALSE),"")</f>
        <v/>
      </c>
      <c r="C127" s="13" t="str">
        <f t="shared" si="17"/>
        <v/>
      </c>
      <c r="D127" s="14" t="str">
        <f>TRIM(IF($M$1&gt;=I127,IF(VLOOKUP(I127,Iktato!$B$3:$L$10000,8,FALSE)&lt;&gt;0,VLOOKUP(I127,Iktato!$B$3:$L$10000,8,FALSE),""),""))</f>
        <v/>
      </c>
      <c r="E127" s="14" t="str">
        <f>TRIM(IF($M$1&gt;=I127,IF(VLOOKUP(I127,Iktato!$B$3:$L$10000,9,FALSE)&lt;&gt;0,VLOOKUP(I127,Iktato!$B$3:$L$10000,9,FALSE),""),""))</f>
        <v/>
      </c>
      <c r="F127" s="43" t="str">
        <f t="shared" si="14"/>
        <v/>
      </c>
      <c r="G127" s="43"/>
      <c r="I127" s="6">
        <f t="shared" si="15"/>
        <v>117</v>
      </c>
      <c r="J127" s="6" t="str">
        <f t="shared" si="18"/>
        <v/>
      </c>
      <c r="K127" s="6" t="str">
        <f>IF($M$1&gt;=I127,VLOOKUP(I127,Iktato!$B$3:$L$10000,3,FALSE),"")</f>
        <v/>
      </c>
      <c r="M127" s="6" t="str">
        <f>IF($M$1&gt;=I127,IF(VLOOKUP(I127,Iktato!$B$3:$P$10000,15,FALSE)&lt;&gt;0,VLOOKUP(I127,Iktato!$B$3:$P$10000,15,FALSE),""),"")</f>
        <v/>
      </c>
      <c r="N127" s="6" t="str">
        <f>IF($M$1&gt;=I127,IF(VLOOKUP(I127,Iktato!$B$3:$Q$10000,16,FALSE)&lt;&gt;0,VLOOKUP(I127,Iktato!$B$3:$Q$10000,16,FALSE),""),"")</f>
        <v/>
      </c>
      <c r="P127" s="6" t="str">
        <f>TRIM(IF($M$1&gt;=I127,IF(VLOOKUP(I127,Iktato!$B$3:$L$10000,6,FALSE)&lt;&gt;0,VLOOKUP(I127,Iktato!$B$3:$L$10000,6,FALSE),""),""))</f>
        <v/>
      </c>
      <c r="Q127" s="8" t="str">
        <f>TRIM(IF($M$1&gt;=I127,IF(VLOOKUP(I127,Iktato!$B$3:$L$10000,7,FALSE)&lt;&gt;0,VLOOKUP(I127,Iktato!$B$3:$L$10000,7,FALSE),""),""))</f>
        <v/>
      </c>
      <c r="R127" s="6" t="str">
        <f t="shared" si="19"/>
        <v/>
      </c>
      <c r="S127" s="6" t="str">
        <f t="shared" si="20"/>
        <v/>
      </c>
      <c r="T127" s="6" t="str">
        <f t="shared" si="21"/>
        <v/>
      </c>
    </row>
    <row r="128" spans="1:20" ht="16.5" x14ac:dyDescent="0.25">
      <c r="A128" s="11" t="str">
        <f t="shared" si="16"/>
        <v/>
      </c>
      <c r="B128" s="12" t="str">
        <f>IF($M$1&gt;=I128,VLOOKUP(I128,Iktato!$B$3:$L$10000,5,FALSE),"")</f>
        <v/>
      </c>
      <c r="C128" s="13" t="str">
        <f t="shared" si="17"/>
        <v/>
      </c>
      <c r="D128" s="14" t="str">
        <f>TRIM(IF($M$1&gt;=I128,IF(VLOOKUP(I128,Iktato!$B$3:$L$10000,8,FALSE)&lt;&gt;0,VLOOKUP(I128,Iktato!$B$3:$L$10000,8,FALSE),""),""))</f>
        <v/>
      </c>
      <c r="E128" s="14" t="str">
        <f>TRIM(IF($M$1&gt;=I128,IF(VLOOKUP(I128,Iktato!$B$3:$L$10000,9,FALSE)&lt;&gt;0,VLOOKUP(I128,Iktato!$B$3:$L$10000,9,FALSE),""),""))</f>
        <v/>
      </c>
      <c r="F128" s="43" t="str">
        <f t="shared" si="14"/>
        <v/>
      </c>
      <c r="G128" s="43"/>
      <c r="I128" s="6">
        <f t="shared" si="15"/>
        <v>118</v>
      </c>
      <c r="J128" s="6" t="str">
        <f t="shared" si="18"/>
        <v/>
      </c>
      <c r="K128" s="6" t="str">
        <f>IF($M$1&gt;=I128,VLOOKUP(I128,Iktato!$B$3:$L$10000,3,FALSE),"")</f>
        <v/>
      </c>
      <c r="M128" s="6" t="str">
        <f>IF($M$1&gt;=I128,IF(VLOOKUP(I128,Iktato!$B$3:$P$10000,15,FALSE)&lt;&gt;0,VLOOKUP(I128,Iktato!$B$3:$P$10000,15,FALSE),""),"")</f>
        <v/>
      </c>
      <c r="N128" s="6" t="str">
        <f>IF($M$1&gt;=I128,IF(VLOOKUP(I128,Iktato!$B$3:$Q$10000,16,FALSE)&lt;&gt;0,VLOOKUP(I128,Iktato!$B$3:$Q$10000,16,FALSE),""),"")</f>
        <v/>
      </c>
      <c r="P128" s="6" t="str">
        <f>TRIM(IF($M$1&gt;=I128,IF(VLOOKUP(I128,Iktato!$B$3:$L$10000,6,FALSE)&lt;&gt;0,VLOOKUP(I128,Iktato!$B$3:$L$10000,6,FALSE),""),""))</f>
        <v/>
      </c>
      <c r="Q128" s="8" t="str">
        <f>TRIM(IF($M$1&gt;=I128,IF(VLOOKUP(I128,Iktato!$B$3:$L$10000,7,FALSE)&lt;&gt;0,VLOOKUP(I128,Iktato!$B$3:$L$10000,7,FALSE),""),""))</f>
        <v/>
      </c>
      <c r="R128" s="6" t="str">
        <f t="shared" si="19"/>
        <v/>
      </c>
      <c r="S128" s="6" t="str">
        <f t="shared" si="20"/>
        <v/>
      </c>
      <c r="T128" s="6" t="str">
        <f t="shared" si="21"/>
        <v/>
      </c>
    </row>
    <row r="129" spans="1:20" ht="16.5" x14ac:dyDescent="0.25">
      <c r="A129" s="11" t="str">
        <f t="shared" si="16"/>
        <v/>
      </c>
      <c r="B129" s="12" t="str">
        <f>IF($M$1&gt;=I129,VLOOKUP(I129,Iktato!$B$3:$L$10000,5,FALSE),"")</f>
        <v/>
      </c>
      <c r="C129" s="13" t="str">
        <f t="shared" si="17"/>
        <v/>
      </c>
      <c r="D129" s="14" t="str">
        <f>TRIM(IF($M$1&gt;=I129,IF(VLOOKUP(I129,Iktato!$B$3:$L$10000,8,FALSE)&lt;&gt;0,VLOOKUP(I129,Iktato!$B$3:$L$10000,8,FALSE),""),""))</f>
        <v/>
      </c>
      <c r="E129" s="14" t="str">
        <f>TRIM(IF($M$1&gt;=I129,IF(VLOOKUP(I129,Iktato!$B$3:$L$10000,9,FALSE)&lt;&gt;0,VLOOKUP(I129,Iktato!$B$3:$L$10000,9,FALSE),""),""))</f>
        <v/>
      </c>
      <c r="F129" s="43" t="str">
        <f t="shared" si="14"/>
        <v/>
      </c>
      <c r="G129" s="43"/>
      <c r="I129" s="6">
        <f t="shared" si="15"/>
        <v>119</v>
      </c>
      <c r="J129" s="6" t="str">
        <f t="shared" si="18"/>
        <v/>
      </c>
      <c r="K129" s="6" t="str">
        <f>IF($M$1&gt;=I129,VLOOKUP(I129,Iktato!$B$3:$L$10000,3,FALSE),"")</f>
        <v/>
      </c>
      <c r="M129" s="6" t="str">
        <f>IF($M$1&gt;=I129,IF(VLOOKUP(I129,Iktato!$B$3:$P$10000,15,FALSE)&lt;&gt;0,VLOOKUP(I129,Iktato!$B$3:$P$10000,15,FALSE),""),"")</f>
        <v/>
      </c>
      <c r="N129" s="6" t="str">
        <f>IF($M$1&gt;=I129,IF(VLOOKUP(I129,Iktato!$B$3:$Q$10000,16,FALSE)&lt;&gt;0,VLOOKUP(I129,Iktato!$B$3:$Q$10000,16,FALSE),""),"")</f>
        <v/>
      </c>
      <c r="P129" s="6" t="str">
        <f>TRIM(IF($M$1&gt;=I129,IF(VLOOKUP(I129,Iktato!$B$3:$L$10000,6,FALSE)&lt;&gt;0,VLOOKUP(I129,Iktato!$B$3:$L$10000,6,FALSE),""),""))</f>
        <v/>
      </c>
      <c r="Q129" s="8" t="str">
        <f>TRIM(IF($M$1&gt;=I129,IF(VLOOKUP(I129,Iktato!$B$3:$L$10000,7,FALSE)&lt;&gt;0,VLOOKUP(I129,Iktato!$B$3:$L$10000,7,FALSE),""),""))</f>
        <v/>
      </c>
      <c r="R129" s="6" t="str">
        <f t="shared" si="19"/>
        <v/>
      </c>
      <c r="S129" s="6" t="str">
        <f t="shared" si="20"/>
        <v/>
      </c>
      <c r="T129" s="6" t="str">
        <f t="shared" si="21"/>
        <v/>
      </c>
    </row>
    <row r="130" spans="1:20" ht="16.5" x14ac:dyDescent="0.25">
      <c r="A130" s="11" t="str">
        <f t="shared" si="16"/>
        <v/>
      </c>
      <c r="B130" s="12" t="str">
        <f>IF($M$1&gt;=I130,VLOOKUP(I130,Iktato!$B$3:$L$10000,5,FALSE),"")</f>
        <v/>
      </c>
      <c r="C130" s="13" t="str">
        <f t="shared" si="17"/>
        <v/>
      </c>
      <c r="D130" s="14" t="str">
        <f>TRIM(IF($M$1&gt;=I130,IF(VLOOKUP(I130,Iktato!$B$3:$L$10000,8,FALSE)&lt;&gt;0,VLOOKUP(I130,Iktato!$B$3:$L$10000,8,FALSE),""),""))</f>
        <v/>
      </c>
      <c r="E130" s="14" t="str">
        <f>TRIM(IF($M$1&gt;=I130,IF(VLOOKUP(I130,Iktato!$B$3:$L$10000,9,FALSE)&lt;&gt;0,VLOOKUP(I130,Iktato!$B$3:$L$10000,9,FALSE),""),""))</f>
        <v/>
      </c>
      <c r="F130" s="43" t="str">
        <f t="shared" si="14"/>
        <v/>
      </c>
      <c r="G130" s="43"/>
      <c r="I130" s="6">
        <f t="shared" si="15"/>
        <v>120</v>
      </c>
      <c r="J130" s="6" t="str">
        <f t="shared" si="18"/>
        <v/>
      </c>
      <c r="K130" s="6" t="str">
        <f>IF($M$1&gt;=I130,VLOOKUP(I130,Iktato!$B$3:$L$10000,3,FALSE),"")</f>
        <v/>
      </c>
      <c r="M130" s="6" t="str">
        <f>IF($M$1&gt;=I130,IF(VLOOKUP(I130,Iktato!$B$3:$P$10000,15,FALSE)&lt;&gt;0,VLOOKUP(I130,Iktato!$B$3:$P$10000,15,FALSE),""),"")</f>
        <v/>
      </c>
      <c r="N130" s="6" t="str">
        <f>IF($M$1&gt;=I130,IF(VLOOKUP(I130,Iktato!$B$3:$Q$10000,16,FALSE)&lt;&gt;0,VLOOKUP(I130,Iktato!$B$3:$Q$10000,16,FALSE),""),"")</f>
        <v/>
      </c>
      <c r="P130" s="6" t="str">
        <f>TRIM(IF($M$1&gt;=I130,IF(VLOOKUP(I130,Iktato!$B$3:$L$10000,6,FALSE)&lt;&gt;0,VLOOKUP(I130,Iktato!$B$3:$L$10000,6,FALSE),""),""))</f>
        <v/>
      </c>
      <c r="Q130" s="8" t="str">
        <f>TRIM(IF($M$1&gt;=I130,IF(VLOOKUP(I130,Iktato!$B$3:$L$10000,7,FALSE)&lt;&gt;0,VLOOKUP(I130,Iktato!$B$3:$L$10000,7,FALSE),""),""))</f>
        <v/>
      </c>
      <c r="R130" s="6" t="str">
        <f t="shared" si="19"/>
        <v/>
      </c>
      <c r="S130" s="6" t="str">
        <f t="shared" si="20"/>
        <v/>
      </c>
      <c r="T130" s="6" t="str">
        <f t="shared" si="21"/>
        <v/>
      </c>
    </row>
    <row r="131" spans="1:20" ht="16.5" x14ac:dyDescent="0.25">
      <c r="A131" s="11" t="str">
        <f t="shared" si="16"/>
        <v/>
      </c>
      <c r="B131" s="12" t="str">
        <f>IF($M$1&gt;=I131,VLOOKUP(I131,Iktato!$B$3:$L$10000,5,FALSE),"")</f>
        <v/>
      </c>
      <c r="C131" s="13" t="str">
        <f t="shared" si="17"/>
        <v/>
      </c>
      <c r="D131" s="14" t="str">
        <f>TRIM(IF($M$1&gt;=I131,IF(VLOOKUP(I131,Iktato!$B$3:$L$10000,8,FALSE)&lt;&gt;0,VLOOKUP(I131,Iktato!$B$3:$L$10000,8,FALSE),""),""))</f>
        <v/>
      </c>
      <c r="E131" s="14" t="str">
        <f>TRIM(IF($M$1&gt;=I131,IF(VLOOKUP(I131,Iktato!$B$3:$L$10000,9,FALSE)&lt;&gt;0,VLOOKUP(I131,Iktato!$B$3:$L$10000,9,FALSE),""),""))</f>
        <v/>
      </c>
      <c r="F131" s="43" t="str">
        <f t="shared" si="14"/>
        <v/>
      </c>
      <c r="G131" s="43"/>
      <c r="I131" s="6">
        <f t="shared" si="15"/>
        <v>121</v>
      </c>
      <c r="J131" s="6" t="str">
        <f t="shared" si="18"/>
        <v/>
      </c>
      <c r="K131" s="6" t="str">
        <f>IF($M$1&gt;=I131,VLOOKUP(I131,Iktato!$B$3:$L$10000,3,FALSE),"")</f>
        <v/>
      </c>
      <c r="M131" s="6" t="str">
        <f>IF($M$1&gt;=I131,IF(VLOOKUP(I131,Iktato!$B$3:$P$10000,15,FALSE)&lt;&gt;0,VLOOKUP(I131,Iktato!$B$3:$P$10000,15,FALSE),""),"")</f>
        <v/>
      </c>
      <c r="N131" s="6" t="str">
        <f>IF($M$1&gt;=I131,IF(VLOOKUP(I131,Iktato!$B$3:$Q$10000,16,FALSE)&lt;&gt;0,VLOOKUP(I131,Iktato!$B$3:$Q$10000,16,FALSE),""),"")</f>
        <v/>
      </c>
      <c r="P131" s="6" t="str">
        <f>TRIM(IF($M$1&gt;=I131,IF(VLOOKUP(I131,Iktato!$B$3:$L$10000,6,FALSE)&lt;&gt;0,VLOOKUP(I131,Iktato!$B$3:$L$10000,6,FALSE),""),""))</f>
        <v/>
      </c>
      <c r="Q131" s="8" t="str">
        <f>TRIM(IF($M$1&gt;=I131,IF(VLOOKUP(I131,Iktato!$B$3:$L$10000,7,FALSE)&lt;&gt;0,VLOOKUP(I131,Iktato!$B$3:$L$10000,7,FALSE),""),""))</f>
        <v/>
      </c>
      <c r="R131" s="6" t="str">
        <f t="shared" si="19"/>
        <v/>
      </c>
      <c r="S131" s="6" t="str">
        <f t="shared" si="20"/>
        <v/>
      </c>
      <c r="T131" s="6" t="str">
        <f t="shared" si="21"/>
        <v/>
      </c>
    </row>
    <row r="132" spans="1:20" ht="16.5" x14ac:dyDescent="0.25">
      <c r="A132" s="11" t="str">
        <f t="shared" si="16"/>
        <v/>
      </c>
      <c r="B132" s="12" t="str">
        <f>IF($M$1&gt;=I132,VLOOKUP(I132,Iktato!$B$3:$L$10000,5,FALSE),"")</f>
        <v/>
      </c>
      <c r="C132" s="13" t="str">
        <f t="shared" si="17"/>
        <v/>
      </c>
      <c r="D132" s="14" t="str">
        <f>TRIM(IF($M$1&gt;=I132,IF(VLOOKUP(I132,Iktato!$B$3:$L$10000,8,FALSE)&lt;&gt;0,VLOOKUP(I132,Iktato!$B$3:$L$10000,8,FALSE),""),""))</f>
        <v/>
      </c>
      <c r="E132" s="14" t="str">
        <f>TRIM(IF($M$1&gt;=I132,IF(VLOOKUP(I132,Iktato!$B$3:$L$10000,9,FALSE)&lt;&gt;0,VLOOKUP(I132,Iktato!$B$3:$L$10000,9,FALSE),""),""))</f>
        <v/>
      </c>
      <c r="F132" s="43" t="str">
        <f t="shared" si="14"/>
        <v/>
      </c>
      <c r="G132" s="43"/>
      <c r="I132" s="6">
        <f t="shared" si="15"/>
        <v>122</v>
      </c>
      <c r="J132" s="6" t="str">
        <f t="shared" si="18"/>
        <v/>
      </c>
      <c r="K132" s="6" t="str">
        <f>IF($M$1&gt;=I132,VLOOKUP(I132,Iktato!$B$3:$L$10000,3,FALSE),"")</f>
        <v/>
      </c>
      <c r="M132" s="6" t="str">
        <f>IF($M$1&gt;=I132,IF(VLOOKUP(I132,Iktato!$B$3:$P$10000,15,FALSE)&lt;&gt;0,VLOOKUP(I132,Iktato!$B$3:$P$10000,15,FALSE),""),"")</f>
        <v/>
      </c>
      <c r="N132" s="6" t="str">
        <f>IF($M$1&gt;=I132,IF(VLOOKUP(I132,Iktato!$B$3:$Q$10000,16,FALSE)&lt;&gt;0,VLOOKUP(I132,Iktato!$B$3:$Q$10000,16,FALSE),""),"")</f>
        <v/>
      </c>
      <c r="P132" s="6" t="str">
        <f>TRIM(IF($M$1&gt;=I132,IF(VLOOKUP(I132,Iktato!$B$3:$L$10000,6,FALSE)&lt;&gt;0,VLOOKUP(I132,Iktato!$B$3:$L$10000,6,FALSE),""),""))</f>
        <v/>
      </c>
      <c r="Q132" s="8" t="str">
        <f>TRIM(IF($M$1&gt;=I132,IF(VLOOKUP(I132,Iktato!$B$3:$L$10000,7,FALSE)&lt;&gt;0,VLOOKUP(I132,Iktato!$B$3:$L$10000,7,FALSE),""),""))</f>
        <v/>
      </c>
      <c r="R132" s="6" t="str">
        <f t="shared" si="19"/>
        <v/>
      </c>
      <c r="S132" s="6" t="str">
        <f t="shared" si="20"/>
        <v/>
      </c>
      <c r="T132" s="6" t="str">
        <f t="shared" si="21"/>
        <v/>
      </c>
    </row>
    <row r="133" spans="1:20" ht="16.5" x14ac:dyDescent="0.25">
      <c r="A133" s="11" t="str">
        <f t="shared" si="16"/>
        <v/>
      </c>
      <c r="B133" s="12" t="str">
        <f>IF($M$1&gt;=I133,VLOOKUP(I133,Iktato!$B$3:$L$10000,5,FALSE),"")</f>
        <v/>
      </c>
      <c r="C133" s="13" t="str">
        <f t="shared" si="17"/>
        <v/>
      </c>
      <c r="D133" s="14" t="str">
        <f>TRIM(IF($M$1&gt;=I133,IF(VLOOKUP(I133,Iktato!$B$3:$L$10000,8,FALSE)&lt;&gt;0,VLOOKUP(I133,Iktato!$B$3:$L$10000,8,FALSE),""),""))</f>
        <v/>
      </c>
      <c r="E133" s="14" t="str">
        <f>TRIM(IF($M$1&gt;=I133,IF(VLOOKUP(I133,Iktato!$B$3:$L$10000,9,FALSE)&lt;&gt;0,VLOOKUP(I133,Iktato!$B$3:$L$10000,9,FALSE),""),""))</f>
        <v/>
      </c>
      <c r="F133" s="43" t="str">
        <f t="shared" si="14"/>
        <v/>
      </c>
      <c r="G133" s="43"/>
      <c r="I133" s="6">
        <f t="shared" si="15"/>
        <v>123</v>
      </c>
      <c r="J133" s="6" t="str">
        <f t="shared" si="18"/>
        <v/>
      </c>
      <c r="K133" s="6" t="str">
        <f>IF($M$1&gt;=I133,VLOOKUP(I133,Iktato!$B$3:$L$10000,3,FALSE),"")</f>
        <v/>
      </c>
      <c r="M133" s="6" t="str">
        <f>IF($M$1&gt;=I133,IF(VLOOKUP(I133,Iktato!$B$3:$P$10000,15,FALSE)&lt;&gt;0,VLOOKUP(I133,Iktato!$B$3:$P$10000,15,FALSE),""),"")</f>
        <v/>
      </c>
      <c r="N133" s="6" t="str">
        <f>IF($M$1&gt;=I133,IF(VLOOKUP(I133,Iktato!$B$3:$Q$10000,16,FALSE)&lt;&gt;0,VLOOKUP(I133,Iktato!$B$3:$Q$10000,16,FALSE),""),"")</f>
        <v/>
      </c>
      <c r="P133" s="6" t="str">
        <f>TRIM(IF($M$1&gt;=I133,IF(VLOOKUP(I133,Iktato!$B$3:$L$10000,6,FALSE)&lt;&gt;0,VLOOKUP(I133,Iktato!$B$3:$L$10000,6,FALSE),""),""))</f>
        <v/>
      </c>
      <c r="Q133" s="8" t="str">
        <f>TRIM(IF($M$1&gt;=I133,IF(VLOOKUP(I133,Iktato!$B$3:$L$10000,7,FALSE)&lt;&gt;0,VLOOKUP(I133,Iktato!$B$3:$L$10000,7,FALSE),""),""))</f>
        <v/>
      </c>
      <c r="R133" s="6" t="str">
        <f t="shared" si="19"/>
        <v/>
      </c>
      <c r="S133" s="6" t="str">
        <f t="shared" si="20"/>
        <v/>
      </c>
      <c r="T133" s="6" t="str">
        <f t="shared" si="21"/>
        <v/>
      </c>
    </row>
    <row r="134" spans="1:20" ht="16.5" x14ac:dyDescent="0.25">
      <c r="A134" s="11" t="str">
        <f t="shared" si="16"/>
        <v/>
      </c>
      <c r="B134" s="12" t="str">
        <f>IF($M$1&gt;=I134,VLOOKUP(I134,Iktato!$B$3:$L$10000,5,FALSE),"")</f>
        <v/>
      </c>
      <c r="C134" s="13" t="str">
        <f t="shared" si="17"/>
        <v/>
      </c>
      <c r="D134" s="14" t="str">
        <f>TRIM(IF($M$1&gt;=I134,IF(VLOOKUP(I134,Iktato!$B$3:$L$10000,8,FALSE)&lt;&gt;0,VLOOKUP(I134,Iktato!$B$3:$L$10000,8,FALSE),""),""))</f>
        <v/>
      </c>
      <c r="E134" s="14" t="str">
        <f>TRIM(IF($M$1&gt;=I134,IF(VLOOKUP(I134,Iktato!$B$3:$L$10000,9,FALSE)&lt;&gt;0,VLOOKUP(I134,Iktato!$B$3:$L$10000,9,FALSE),""),""))</f>
        <v/>
      </c>
      <c r="F134" s="43" t="str">
        <f t="shared" si="14"/>
        <v/>
      </c>
      <c r="G134" s="43"/>
      <c r="I134" s="6">
        <f t="shared" si="15"/>
        <v>124</v>
      </c>
      <c r="J134" s="6" t="str">
        <f t="shared" si="18"/>
        <v/>
      </c>
      <c r="K134" s="6" t="str">
        <f>IF($M$1&gt;=I134,VLOOKUP(I134,Iktato!$B$3:$L$10000,3,FALSE),"")</f>
        <v/>
      </c>
      <c r="M134" s="6" t="str">
        <f>IF($M$1&gt;=I134,IF(VLOOKUP(I134,Iktato!$B$3:$P$10000,15,FALSE)&lt;&gt;0,VLOOKUP(I134,Iktato!$B$3:$P$10000,15,FALSE),""),"")</f>
        <v/>
      </c>
      <c r="N134" s="6" t="str">
        <f>IF($M$1&gt;=I134,IF(VLOOKUP(I134,Iktato!$B$3:$Q$10000,16,FALSE)&lt;&gt;0,VLOOKUP(I134,Iktato!$B$3:$Q$10000,16,FALSE),""),"")</f>
        <v/>
      </c>
      <c r="P134" s="6" t="str">
        <f>TRIM(IF($M$1&gt;=I134,IF(VLOOKUP(I134,Iktato!$B$3:$L$10000,6,FALSE)&lt;&gt;0,VLOOKUP(I134,Iktato!$B$3:$L$10000,6,FALSE),""),""))</f>
        <v/>
      </c>
      <c r="Q134" s="8" t="str">
        <f>TRIM(IF($M$1&gt;=I134,IF(VLOOKUP(I134,Iktato!$B$3:$L$10000,7,FALSE)&lt;&gt;0,VLOOKUP(I134,Iktato!$B$3:$L$10000,7,FALSE),""),""))</f>
        <v/>
      </c>
      <c r="R134" s="6" t="str">
        <f t="shared" si="19"/>
        <v/>
      </c>
      <c r="S134" s="6" t="str">
        <f t="shared" si="20"/>
        <v/>
      </c>
      <c r="T134" s="6" t="str">
        <f t="shared" si="21"/>
        <v/>
      </c>
    </row>
    <row r="135" spans="1:20" ht="16.5" x14ac:dyDescent="0.25">
      <c r="A135" s="11" t="str">
        <f t="shared" si="16"/>
        <v/>
      </c>
      <c r="B135" s="12" t="str">
        <f>IF($M$1&gt;=I135,VLOOKUP(I135,Iktato!$B$3:$L$10000,5,FALSE),"")</f>
        <v/>
      </c>
      <c r="C135" s="13" t="str">
        <f t="shared" si="17"/>
        <v/>
      </c>
      <c r="D135" s="14" t="str">
        <f>TRIM(IF($M$1&gt;=I135,IF(VLOOKUP(I135,Iktato!$B$3:$L$10000,8,FALSE)&lt;&gt;0,VLOOKUP(I135,Iktato!$B$3:$L$10000,8,FALSE),""),""))</f>
        <v/>
      </c>
      <c r="E135" s="14" t="str">
        <f>TRIM(IF($M$1&gt;=I135,IF(VLOOKUP(I135,Iktato!$B$3:$L$10000,9,FALSE)&lt;&gt;0,VLOOKUP(I135,Iktato!$B$3:$L$10000,9,FALSE),""),""))</f>
        <v/>
      </c>
      <c r="F135" s="43" t="str">
        <f t="shared" si="14"/>
        <v/>
      </c>
      <c r="G135" s="43"/>
      <c r="I135" s="6">
        <f t="shared" si="15"/>
        <v>125</v>
      </c>
      <c r="J135" s="6" t="str">
        <f t="shared" si="18"/>
        <v/>
      </c>
      <c r="K135" s="6" t="str">
        <f>IF($M$1&gt;=I135,VLOOKUP(I135,Iktato!$B$3:$L$10000,3,FALSE),"")</f>
        <v/>
      </c>
      <c r="M135" s="6" t="str">
        <f>IF($M$1&gt;=I135,IF(VLOOKUP(I135,Iktato!$B$3:$P$10000,15,FALSE)&lt;&gt;0,VLOOKUP(I135,Iktato!$B$3:$P$10000,15,FALSE),""),"")</f>
        <v/>
      </c>
      <c r="N135" s="6" t="str">
        <f>IF($M$1&gt;=I135,IF(VLOOKUP(I135,Iktato!$B$3:$Q$10000,16,FALSE)&lt;&gt;0,VLOOKUP(I135,Iktato!$B$3:$Q$10000,16,FALSE),""),"")</f>
        <v/>
      </c>
      <c r="P135" s="6" t="str">
        <f>TRIM(IF($M$1&gt;=I135,IF(VLOOKUP(I135,Iktato!$B$3:$L$10000,6,FALSE)&lt;&gt;0,VLOOKUP(I135,Iktato!$B$3:$L$10000,6,FALSE),""),""))</f>
        <v/>
      </c>
      <c r="Q135" s="8" t="str">
        <f>TRIM(IF($M$1&gt;=I135,IF(VLOOKUP(I135,Iktato!$B$3:$L$10000,7,FALSE)&lt;&gt;0,VLOOKUP(I135,Iktato!$B$3:$L$10000,7,FALSE),""),""))</f>
        <v/>
      </c>
      <c r="R135" s="6" t="str">
        <f t="shared" si="19"/>
        <v/>
      </c>
      <c r="S135" s="6" t="str">
        <f t="shared" si="20"/>
        <v/>
      </c>
      <c r="T135" s="6" t="str">
        <f t="shared" si="21"/>
        <v/>
      </c>
    </row>
    <row r="136" spans="1:20" ht="16.5" x14ac:dyDescent="0.25">
      <c r="A136" s="11" t="str">
        <f t="shared" si="16"/>
        <v/>
      </c>
      <c r="B136" s="12" t="str">
        <f>IF($M$1&gt;=I136,VLOOKUP(I136,Iktato!$B$3:$L$10000,5,FALSE),"")</f>
        <v/>
      </c>
      <c r="C136" s="13" t="str">
        <f t="shared" si="17"/>
        <v/>
      </c>
      <c r="D136" s="14" t="str">
        <f>TRIM(IF($M$1&gt;=I136,IF(VLOOKUP(I136,Iktato!$B$3:$L$10000,8,FALSE)&lt;&gt;0,VLOOKUP(I136,Iktato!$B$3:$L$10000,8,FALSE),""),""))</f>
        <v/>
      </c>
      <c r="E136" s="14" t="str">
        <f>TRIM(IF($M$1&gt;=I136,IF(VLOOKUP(I136,Iktato!$B$3:$L$10000,9,FALSE)&lt;&gt;0,VLOOKUP(I136,Iktato!$B$3:$L$10000,9,FALSE),""),""))</f>
        <v/>
      </c>
      <c r="F136" s="43" t="str">
        <f t="shared" si="14"/>
        <v/>
      </c>
      <c r="G136" s="43"/>
      <c r="I136" s="6">
        <f t="shared" si="15"/>
        <v>126</v>
      </c>
      <c r="J136" s="6" t="str">
        <f t="shared" si="18"/>
        <v/>
      </c>
      <c r="K136" s="6" t="str">
        <f>IF($M$1&gt;=I136,VLOOKUP(I136,Iktato!$B$3:$L$10000,3,FALSE),"")</f>
        <v/>
      </c>
      <c r="M136" s="6" t="str">
        <f>IF($M$1&gt;=I136,IF(VLOOKUP(I136,Iktato!$B$3:$P$10000,15,FALSE)&lt;&gt;0,VLOOKUP(I136,Iktato!$B$3:$P$10000,15,FALSE),""),"")</f>
        <v/>
      </c>
      <c r="N136" s="6" t="str">
        <f>IF($M$1&gt;=I136,IF(VLOOKUP(I136,Iktato!$B$3:$Q$10000,16,FALSE)&lt;&gt;0,VLOOKUP(I136,Iktato!$B$3:$Q$10000,16,FALSE),""),"")</f>
        <v/>
      </c>
      <c r="P136" s="6" t="str">
        <f>TRIM(IF($M$1&gt;=I136,IF(VLOOKUP(I136,Iktato!$B$3:$L$10000,6,FALSE)&lt;&gt;0,VLOOKUP(I136,Iktato!$B$3:$L$10000,6,FALSE),""),""))</f>
        <v/>
      </c>
      <c r="Q136" s="8" t="str">
        <f>TRIM(IF($M$1&gt;=I136,IF(VLOOKUP(I136,Iktato!$B$3:$L$10000,7,FALSE)&lt;&gt;0,VLOOKUP(I136,Iktato!$B$3:$L$10000,7,FALSE),""),""))</f>
        <v/>
      </c>
      <c r="R136" s="6" t="str">
        <f t="shared" si="19"/>
        <v/>
      </c>
      <c r="S136" s="6" t="str">
        <f t="shared" si="20"/>
        <v/>
      </c>
      <c r="T136" s="6" t="str">
        <f t="shared" si="21"/>
        <v/>
      </c>
    </row>
    <row r="137" spans="1:20" ht="16.5" x14ac:dyDescent="0.25">
      <c r="A137" s="11" t="str">
        <f t="shared" si="16"/>
        <v/>
      </c>
      <c r="B137" s="12" t="str">
        <f>IF($M$1&gt;=I137,VLOOKUP(I137,Iktato!$B$3:$L$10000,5,FALSE),"")</f>
        <v/>
      </c>
      <c r="C137" s="13" t="str">
        <f t="shared" si="17"/>
        <v/>
      </c>
      <c r="D137" s="14" t="str">
        <f>TRIM(IF($M$1&gt;=I137,IF(VLOOKUP(I137,Iktato!$B$3:$L$10000,8,FALSE)&lt;&gt;0,VLOOKUP(I137,Iktato!$B$3:$L$10000,8,FALSE),""),""))</f>
        <v/>
      </c>
      <c r="E137" s="14" t="str">
        <f>TRIM(IF($M$1&gt;=I137,IF(VLOOKUP(I137,Iktato!$B$3:$L$10000,9,FALSE)&lt;&gt;0,VLOOKUP(I137,Iktato!$B$3:$L$10000,9,FALSE),""),""))</f>
        <v/>
      </c>
      <c r="F137" s="43" t="str">
        <f t="shared" si="14"/>
        <v/>
      </c>
      <c r="G137" s="43"/>
      <c r="I137" s="6">
        <f t="shared" si="15"/>
        <v>127</v>
      </c>
      <c r="J137" s="6" t="str">
        <f t="shared" si="18"/>
        <v/>
      </c>
      <c r="K137" s="6" t="str">
        <f>IF($M$1&gt;=I137,VLOOKUP(I137,Iktato!$B$3:$L$10000,3,FALSE),"")</f>
        <v/>
      </c>
      <c r="M137" s="6" t="str">
        <f>IF($M$1&gt;=I137,IF(VLOOKUP(I137,Iktato!$B$3:$P$10000,15,FALSE)&lt;&gt;0,VLOOKUP(I137,Iktato!$B$3:$P$10000,15,FALSE),""),"")</f>
        <v/>
      </c>
      <c r="N137" s="6" t="str">
        <f>IF($M$1&gt;=I137,IF(VLOOKUP(I137,Iktato!$B$3:$Q$10000,16,FALSE)&lt;&gt;0,VLOOKUP(I137,Iktato!$B$3:$Q$10000,16,FALSE),""),"")</f>
        <v/>
      </c>
      <c r="P137" s="6" t="str">
        <f>TRIM(IF($M$1&gt;=I137,IF(VLOOKUP(I137,Iktato!$B$3:$L$10000,6,FALSE)&lt;&gt;0,VLOOKUP(I137,Iktato!$B$3:$L$10000,6,FALSE),""),""))</f>
        <v/>
      </c>
      <c r="Q137" s="8" t="str">
        <f>TRIM(IF($M$1&gt;=I137,IF(VLOOKUP(I137,Iktato!$B$3:$L$10000,7,FALSE)&lt;&gt;0,VLOOKUP(I137,Iktato!$B$3:$L$10000,7,FALSE),""),""))</f>
        <v/>
      </c>
      <c r="R137" s="6" t="str">
        <f t="shared" si="19"/>
        <v/>
      </c>
      <c r="S137" s="6" t="str">
        <f t="shared" si="20"/>
        <v/>
      </c>
      <c r="T137" s="6" t="str">
        <f t="shared" si="21"/>
        <v/>
      </c>
    </row>
    <row r="138" spans="1:20" ht="16.5" x14ac:dyDescent="0.25">
      <c r="A138" s="11" t="str">
        <f t="shared" si="16"/>
        <v/>
      </c>
      <c r="B138" s="12" t="str">
        <f>IF($M$1&gt;=I138,VLOOKUP(I138,Iktato!$B$3:$L$10000,5,FALSE),"")</f>
        <v/>
      </c>
      <c r="C138" s="13" t="str">
        <f t="shared" si="17"/>
        <v/>
      </c>
      <c r="D138" s="14" t="str">
        <f>TRIM(IF($M$1&gt;=I138,IF(VLOOKUP(I138,Iktato!$B$3:$L$10000,8,FALSE)&lt;&gt;0,VLOOKUP(I138,Iktato!$B$3:$L$10000,8,FALSE),""),""))</f>
        <v/>
      </c>
      <c r="E138" s="14" t="str">
        <f>TRIM(IF($M$1&gt;=I138,IF(VLOOKUP(I138,Iktato!$B$3:$L$10000,9,FALSE)&lt;&gt;0,VLOOKUP(I138,Iktato!$B$3:$L$10000,9,FALSE),""),""))</f>
        <v/>
      </c>
      <c r="F138" s="43" t="str">
        <f t="shared" si="14"/>
        <v/>
      </c>
      <c r="G138" s="43"/>
      <c r="I138" s="6">
        <f t="shared" si="15"/>
        <v>128</v>
      </c>
      <c r="J138" s="6" t="str">
        <f t="shared" si="18"/>
        <v/>
      </c>
      <c r="K138" s="6" t="str">
        <f>IF($M$1&gt;=I138,VLOOKUP(I138,Iktato!$B$3:$L$10000,3,FALSE),"")</f>
        <v/>
      </c>
      <c r="M138" s="6" t="str">
        <f>IF($M$1&gt;=I138,IF(VLOOKUP(I138,Iktato!$B$3:$P$10000,15,FALSE)&lt;&gt;0,VLOOKUP(I138,Iktato!$B$3:$P$10000,15,FALSE),""),"")</f>
        <v/>
      </c>
      <c r="N138" s="6" t="str">
        <f>IF($M$1&gt;=I138,IF(VLOOKUP(I138,Iktato!$B$3:$Q$10000,16,FALSE)&lt;&gt;0,VLOOKUP(I138,Iktato!$B$3:$Q$10000,16,FALSE),""),"")</f>
        <v/>
      </c>
      <c r="P138" s="6" t="str">
        <f>TRIM(IF($M$1&gt;=I138,IF(VLOOKUP(I138,Iktato!$B$3:$L$10000,6,FALSE)&lt;&gt;0,VLOOKUP(I138,Iktato!$B$3:$L$10000,6,FALSE),""),""))</f>
        <v/>
      </c>
      <c r="Q138" s="8" t="str">
        <f>TRIM(IF($M$1&gt;=I138,IF(VLOOKUP(I138,Iktato!$B$3:$L$10000,7,FALSE)&lt;&gt;0,VLOOKUP(I138,Iktato!$B$3:$L$10000,7,FALSE),""),""))</f>
        <v/>
      </c>
      <c r="R138" s="6" t="str">
        <f t="shared" si="19"/>
        <v/>
      </c>
      <c r="S138" s="6" t="str">
        <f t="shared" si="20"/>
        <v/>
      </c>
      <c r="T138" s="6" t="str">
        <f t="shared" si="21"/>
        <v/>
      </c>
    </row>
    <row r="139" spans="1:20" ht="16.5" x14ac:dyDescent="0.25">
      <c r="A139" s="11" t="str">
        <f t="shared" si="16"/>
        <v/>
      </c>
      <c r="B139" s="12" t="str">
        <f>IF($M$1&gt;=I139,VLOOKUP(I139,Iktato!$B$3:$L$10000,5,FALSE),"")</f>
        <v/>
      </c>
      <c r="C139" s="13" t="str">
        <f t="shared" si="17"/>
        <v/>
      </c>
      <c r="D139" s="14" t="str">
        <f>TRIM(IF($M$1&gt;=I139,IF(VLOOKUP(I139,Iktato!$B$3:$L$10000,8,FALSE)&lt;&gt;0,VLOOKUP(I139,Iktato!$B$3:$L$10000,8,FALSE),""),""))</f>
        <v/>
      </c>
      <c r="E139" s="14" t="str">
        <f>TRIM(IF($M$1&gt;=I139,IF(VLOOKUP(I139,Iktato!$B$3:$L$10000,9,FALSE)&lt;&gt;0,VLOOKUP(I139,Iktato!$B$3:$L$10000,9,FALSE),""),""))</f>
        <v/>
      </c>
      <c r="F139" s="43" t="str">
        <f t="shared" si="14"/>
        <v/>
      </c>
      <c r="G139" s="43"/>
      <c r="I139" s="6">
        <f t="shared" si="15"/>
        <v>129</v>
      </c>
      <c r="J139" s="6" t="str">
        <f t="shared" si="18"/>
        <v/>
      </c>
      <c r="K139" s="6" t="str">
        <f>IF($M$1&gt;=I139,VLOOKUP(I139,Iktato!$B$3:$L$10000,3,FALSE),"")</f>
        <v/>
      </c>
      <c r="M139" s="6" t="str">
        <f>IF($M$1&gt;=I139,IF(VLOOKUP(I139,Iktato!$B$3:$P$10000,15,FALSE)&lt;&gt;0,VLOOKUP(I139,Iktato!$B$3:$P$10000,15,FALSE),""),"")</f>
        <v/>
      </c>
      <c r="N139" s="6" t="str">
        <f>IF($M$1&gt;=I139,IF(VLOOKUP(I139,Iktato!$B$3:$Q$10000,16,FALSE)&lt;&gt;0,VLOOKUP(I139,Iktato!$B$3:$Q$10000,16,FALSE),""),"")</f>
        <v/>
      </c>
      <c r="P139" s="6" t="str">
        <f>TRIM(IF($M$1&gt;=I139,IF(VLOOKUP(I139,Iktato!$B$3:$L$10000,6,FALSE)&lt;&gt;0,VLOOKUP(I139,Iktato!$B$3:$L$10000,6,FALSE),""),""))</f>
        <v/>
      </c>
      <c r="Q139" s="8" t="str">
        <f>TRIM(IF($M$1&gt;=I139,IF(VLOOKUP(I139,Iktato!$B$3:$L$10000,7,FALSE)&lt;&gt;0,VLOOKUP(I139,Iktato!$B$3:$L$10000,7,FALSE),""),""))</f>
        <v/>
      </c>
      <c r="R139" s="6" t="str">
        <f t="shared" si="19"/>
        <v/>
      </c>
      <c r="S139" s="6" t="str">
        <f t="shared" si="20"/>
        <v/>
      </c>
      <c r="T139" s="6" t="str">
        <f t="shared" si="21"/>
        <v/>
      </c>
    </row>
    <row r="140" spans="1:20" ht="16.5" x14ac:dyDescent="0.25">
      <c r="A140" s="11" t="str">
        <f t="shared" si="16"/>
        <v/>
      </c>
      <c r="B140" s="12" t="str">
        <f>IF($M$1&gt;=I140,VLOOKUP(I140,Iktato!$B$3:$L$10000,5,FALSE),"")</f>
        <v/>
      </c>
      <c r="C140" s="13" t="str">
        <f t="shared" si="17"/>
        <v/>
      </c>
      <c r="D140" s="14" t="str">
        <f>TRIM(IF($M$1&gt;=I140,IF(VLOOKUP(I140,Iktato!$B$3:$L$10000,8,FALSE)&lt;&gt;0,VLOOKUP(I140,Iktato!$B$3:$L$10000,8,FALSE),""),""))</f>
        <v/>
      </c>
      <c r="E140" s="14" t="str">
        <f>TRIM(IF($M$1&gt;=I140,IF(VLOOKUP(I140,Iktato!$B$3:$L$10000,9,FALSE)&lt;&gt;0,VLOOKUP(I140,Iktato!$B$3:$L$10000,9,FALSE),""),""))</f>
        <v/>
      </c>
      <c r="F140" s="43" t="str">
        <f t="shared" ref="F140:F203" si="22">TRIM(IF($M$1&gt;=I140,M140&amp;$M$10&amp;N140,""))</f>
        <v/>
      </c>
      <c r="G140" s="43"/>
      <c r="I140" s="6">
        <f t="shared" ref="I140:I203" si="23">I139+1</f>
        <v>130</v>
      </c>
      <c r="J140" s="6" t="str">
        <f t="shared" si="18"/>
        <v/>
      </c>
      <c r="K140" s="6" t="str">
        <f>IF($M$1&gt;=I140,VLOOKUP(I140,Iktato!$B$3:$L$10000,3,FALSE),"")</f>
        <v/>
      </c>
      <c r="M140" s="6" t="str">
        <f>IF($M$1&gt;=I140,IF(VLOOKUP(I140,Iktato!$B$3:$P$10000,15,FALSE)&lt;&gt;0,VLOOKUP(I140,Iktato!$B$3:$P$10000,15,FALSE),""),"")</f>
        <v/>
      </c>
      <c r="N140" s="6" t="str">
        <f>IF($M$1&gt;=I140,IF(VLOOKUP(I140,Iktato!$B$3:$Q$10000,16,FALSE)&lt;&gt;0,VLOOKUP(I140,Iktato!$B$3:$Q$10000,16,FALSE),""),"")</f>
        <v/>
      </c>
      <c r="P140" s="6" t="str">
        <f>TRIM(IF($M$1&gt;=I140,IF(VLOOKUP(I140,Iktato!$B$3:$L$10000,6,FALSE)&lt;&gt;0,VLOOKUP(I140,Iktato!$B$3:$L$10000,6,FALSE),""),""))</f>
        <v/>
      </c>
      <c r="Q140" s="8" t="str">
        <f>TRIM(IF($M$1&gt;=I140,IF(VLOOKUP(I140,Iktato!$B$3:$L$10000,7,FALSE)&lt;&gt;0,VLOOKUP(I140,Iktato!$B$3:$L$10000,7,FALSE),""),""))</f>
        <v/>
      </c>
      <c r="R140" s="6" t="str">
        <f t="shared" si="19"/>
        <v/>
      </c>
      <c r="S140" s="6" t="str">
        <f t="shared" si="20"/>
        <v/>
      </c>
      <c r="T140" s="6" t="str">
        <f t="shared" si="21"/>
        <v/>
      </c>
    </row>
    <row r="141" spans="1:20" ht="16.5" x14ac:dyDescent="0.25">
      <c r="A141" s="11" t="str">
        <f t="shared" si="16"/>
        <v/>
      </c>
      <c r="B141" s="12" t="str">
        <f>IF($M$1&gt;=I141,VLOOKUP(I141,Iktato!$B$3:$L$10000,5,FALSE),"")</f>
        <v/>
      </c>
      <c r="C141" s="13" t="str">
        <f t="shared" si="17"/>
        <v/>
      </c>
      <c r="D141" s="14" t="str">
        <f>TRIM(IF($M$1&gt;=I141,IF(VLOOKUP(I141,Iktato!$B$3:$L$10000,8,FALSE)&lt;&gt;0,VLOOKUP(I141,Iktato!$B$3:$L$10000,8,FALSE),""),""))</f>
        <v/>
      </c>
      <c r="E141" s="14" t="str">
        <f>TRIM(IF($M$1&gt;=I141,IF(VLOOKUP(I141,Iktato!$B$3:$L$10000,9,FALSE)&lt;&gt;0,VLOOKUP(I141,Iktato!$B$3:$L$10000,9,FALSE),""),""))</f>
        <v/>
      </c>
      <c r="F141" s="43" t="str">
        <f t="shared" si="22"/>
        <v/>
      </c>
      <c r="G141" s="43"/>
      <c r="I141" s="6">
        <f t="shared" si="23"/>
        <v>131</v>
      </c>
      <c r="J141" s="6" t="str">
        <f t="shared" si="18"/>
        <v/>
      </c>
      <c r="K141" s="6" t="str">
        <f>IF($M$1&gt;=I141,VLOOKUP(I141,Iktato!$B$3:$L$10000,3,FALSE),"")</f>
        <v/>
      </c>
      <c r="M141" s="6" t="str">
        <f>IF($M$1&gt;=I141,IF(VLOOKUP(I141,Iktato!$B$3:$P$10000,15,FALSE)&lt;&gt;0,VLOOKUP(I141,Iktato!$B$3:$P$10000,15,FALSE),""),"")</f>
        <v/>
      </c>
      <c r="N141" s="6" t="str">
        <f>IF($M$1&gt;=I141,IF(VLOOKUP(I141,Iktato!$B$3:$Q$10000,16,FALSE)&lt;&gt;0,VLOOKUP(I141,Iktato!$B$3:$Q$10000,16,FALSE),""),"")</f>
        <v/>
      </c>
      <c r="P141" s="6" t="str">
        <f>TRIM(IF($M$1&gt;=I141,IF(VLOOKUP(I141,Iktato!$B$3:$L$10000,6,FALSE)&lt;&gt;0,VLOOKUP(I141,Iktato!$B$3:$L$10000,6,FALSE),""),""))</f>
        <v/>
      </c>
      <c r="Q141" s="8" t="str">
        <f>TRIM(IF($M$1&gt;=I141,IF(VLOOKUP(I141,Iktato!$B$3:$L$10000,7,FALSE)&lt;&gt;0,VLOOKUP(I141,Iktato!$B$3:$L$10000,7,FALSE),""),""))</f>
        <v/>
      </c>
      <c r="R141" s="6" t="str">
        <f t="shared" si="19"/>
        <v/>
      </c>
      <c r="S141" s="6" t="str">
        <f t="shared" si="20"/>
        <v/>
      </c>
      <c r="T141" s="6" t="str">
        <f t="shared" si="21"/>
        <v/>
      </c>
    </row>
    <row r="142" spans="1:20" ht="16.5" x14ac:dyDescent="0.25">
      <c r="A142" s="11" t="str">
        <f t="shared" si="16"/>
        <v/>
      </c>
      <c r="B142" s="12" t="str">
        <f>IF($M$1&gt;=I142,VLOOKUP(I142,Iktato!$B$3:$L$10000,5,FALSE),"")</f>
        <v/>
      </c>
      <c r="C142" s="13" t="str">
        <f t="shared" si="17"/>
        <v/>
      </c>
      <c r="D142" s="14" t="str">
        <f>TRIM(IF($M$1&gt;=I142,IF(VLOOKUP(I142,Iktato!$B$3:$L$10000,8,FALSE)&lt;&gt;0,VLOOKUP(I142,Iktato!$B$3:$L$10000,8,FALSE),""),""))</f>
        <v/>
      </c>
      <c r="E142" s="14" t="str">
        <f>TRIM(IF($M$1&gt;=I142,IF(VLOOKUP(I142,Iktato!$B$3:$L$10000,9,FALSE)&lt;&gt;0,VLOOKUP(I142,Iktato!$B$3:$L$10000,9,FALSE),""),""))</f>
        <v/>
      </c>
      <c r="F142" s="43" t="str">
        <f t="shared" si="22"/>
        <v/>
      </c>
      <c r="G142" s="43"/>
      <c r="I142" s="6">
        <f t="shared" si="23"/>
        <v>132</v>
      </c>
      <c r="J142" s="6" t="str">
        <f t="shared" si="18"/>
        <v/>
      </c>
      <c r="K142" s="6" t="str">
        <f>IF($M$1&gt;=I142,VLOOKUP(I142,Iktato!$B$3:$L$10000,3,FALSE),"")</f>
        <v/>
      </c>
      <c r="M142" s="6" t="str">
        <f>IF($M$1&gt;=I142,IF(VLOOKUP(I142,Iktato!$B$3:$P$10000,15,FALSE)&lt;&gt;0,VLOOKUP(I142,Iktato!$B$3:$P$10000,15,FALSE),""),"")</f>
        <v/>
      </c>
      <c r="N142" s="6" t="str">
        <f>IF($M$1&gt;=I142,IF(VLOOKUP(I142,Iktato!$B$3:$Q$10000,16,FALSE)&lt;&gt;0,VLOOKUP(I142,Iktato!$B$3:$Q$10000,16,FALSE),""),"")</f>
        <v/>
      </c>
      <c r="P142" s="6" t="str">
        <f>TRIM(IF($M$1&gt;=I142,IF(VLOOKUP(I142,Iktato!$B$3:$L$10000,6,FALSE)&lt;&gt;0,VLOOKUP(I142,Iktato!$B$3:$L$10000,6,FALSE),""),""))</f>
        <v/>
      </c>
      <c r="Q142" s="8" t="str">
        <f>TRIM(IF($M$1&gt;=I142,IF(VLOOKUP(I142,Iktato!$B$3:$L$10000,7,FALSE)&lt;&gt;0,VLOOKUP(I142,Iktato!$B$3:$L$10000,7,FALSE),""),""))</f>
        <v/>
      </c>
      <c r="R142" s="6" t="str">
        <f t="shared" si="19"/>
        <v/>
      </c>
      <c r="S142" s="6" t="str">
        <f t="shared" si="20"/>
        <v/>
      </c>
      <c r="T142" s="6" t="str">
        <f t="shared" si="21"/>
        <v/>
      </c>
    </row>
    <row r="143" spans="1:20" ht="16.5" x14ac:dyDescent="0.25">
      <c r="A143" s="11" t="str">
        <f t="shared" si="16"/>
        <v/>
      </c>
      <c r="B143" s="12" t="str">
        <f>IF($M$1&gt;=I143,VLOOKUP(I143,Iktato!$B$3:$L$10000,5,FALSE),"")</f>
        <v/>
      </c>
      <c r="C143" s="13" t="str">
        <f t="shared" si="17"/>
        <v/>
      </c>
      <c r="D143" s="14" t="str">
        <f>TRIM(IF($M$1&gt;=I143,IF(VLOOKUP(I143,Iktato!$B$3:$L$10000,8,FALSE)&lt;&gt;0,VLOOKUP(I143,Iktato!$B$3:$L$10000,8,FALSE),""),""))</f>
        <v/>
      </c>
      <c r="E143" s="14" t="str">
        <f>TRIM(IF($M$1&gt;=I143,IF(VLOOKUP(I143,Iktato!$B$3:$L$10000,9,FALSE)&lt;&gt;0,VLOOKUP(I143,Iktato!$B$3:$L$10000,9,FALSE),""),""))</f>
        <v/>
      </c>
      <c r="F143" s="43" t="str">
        <f t="shared" si="22"/>
        <v/>
      </c>
      <c r="G143" s="43"/>
      <c r="I143" s="6">
        <f t="shared" si="23"/>
        <v>133</v>
      </c>
      <c r="J143" s="6" t="str">
        <f t="shared" si="18"/>
        <v/>
      </c>
      <c r="K143" s="6" t="str">
        <f>IF($M$1&gt;=I143,VLOOKUP(I143,Iktato!$B$3:$L$10000,3,FALSE),"")</f>
        <v/>
      </c>
      <c r="M143" s="6" t="str">
        <f>IF($M$1&gt;=I143,IF(VLOOKUP(I143,Iktato!$B$3:$P$10000,15,FALSE)&lt;&gt;0,VLOOKUP(I143,Iktato!$B$3:$P$10000,15,FALSE),""),"")</f>
        <v/>
      </c>
      <c r="N143" s="6" t="str">
        <f>IF($M$1&gt;=I143,IF(VLOOKUP(I143,Iktato!$B$3:$Q$10000,16,FALSE)&lt;&gt;0,VLOOKUP(I143,Iktato!$B$3:$Q$10000,16,FALSE),""),"")</f>
        <v/>
      </c>
      <c r="P143" s="6" t="str">
        <f>TRIM(IF($M$1&gt;=I143,IF(VLOOKUP(I143,Iktato!$B$3:$L$10000,6,FALSE)&lt;&gt;0,VLOOKUP(I143,Iktato!$B$3:$L$10000,6,FALSE),""),""))</f>
        <v/>
      </c>
      <c r="Q143" s="8" t="str">
        <f>TRIM(IF($M$1&gt;=I143,IF(VLOOKUP(I143,Iktato!$B$3:$L$10000,7,FALSE)&lt;&gt;0,VLOOKUP(I143,Iktato!$B$3:$L$10000,7,FALSE),""),""))</f>
        <v/>
      </c>
      <c r="R143" s="6" t="str">
        <f t="shared" si="19"/>
        <v/>
      </c>
      <c r="S143" s="6" t="str">
        <f t="shared" si="20"/>
        <v/>
      </c>
      <c r="T143" s="6" t="str">
        <f t="shared" si="21"/>
        <v/>
      </c>
    </row>
    <row r="144" spans="1:20" ht="16.5" x14ac:dyDescent="0.25">
      <c r="A144" s="11" t="str">
        <f t="shared" si="16"/>
        <v/>
      </c>
      <c r="B144" s="12" t="str">
        <f>IF($M$1&gt;=I144,VLOOKUP(I144,Iktato!$B$3:$L$10000,5,FALSE),"")</f>
        <v/>
      </c>
      <c r="C144" s="13" t="str">
        <f t="shared" si="17"/>
        <v/>
      </c>
      <c r="D144" s="14" t="str">
        <f>TRIM(IF($M$1&gt;=I144,IF(VLOOKUP(I144,Iktato!$B$3:$L$10000,8,FALSE)&lt;&gt;0,VLOOKUP(I144,Iktato!$B$3:$L$10000,8,FALSE),""),""))</f>
        <v/>
      </c>
      <c r="E144" s="14" t="str">
        <f>TRIM(IF($M$1&gt;=I144,IF(VLOOKUP(I144,Iktato!$B$3:$L$10000,9,FALSE)&lt;&gt;0,VLOOKUP(I144,Iktato!$B$3:$L$10000,9,FALSE),""),""))</f>
        <v/>
      </c>
      <c r="F144" s="43" t="str">
        <f t="shared" si="22"/>
        <v/>
      </c>
      <c r="G144" s="43"/>
      <c r="I144" s="6">
        <f t="shared" si="23"/>
        <v>134</v>
      </c>
      <c r="J144" s="6" t="str">
        <f t="shared" si="18"/>
        <v/>
      </c>
      <c r="K144" s="6" t="str">
        <f>IF($M$1&gt;=I144,VLOOKUP(I144,Iktato!$B$3:$L$10000,3,FALSE),"")</f>
        <v/>
      </c>
      <c r="M144" s="6" t="str">
        <f>IF($M$1&gt;=I144,IF(VLOOKUP(I144,Iktato!$B$3:$P$10000,15,FALSE)&lt;&gt;0,VLOOKUP(I144,Iktato!$B$3:$P$10000,15,FALSE),""),"")</f>
        <v/>
      </c>
      <c r="N144" s="6" t="str">
        <f>IF($M$1&gt;=I144,IF(VLOOKUP(I144,Iktato!$B$3:$Q$10000,16,FALSE)&lt;&gt;0,VLOOKUP(I144,Iktato!$B$3:$Q$10000,16,FALSE),""),"")</f>
        <v/>
      </c>
      <c r="P144" s="6" t="str">
        <f>TRIM(IF($M$1&gt;=I144,IF(VLOOKUP(I144,Iktato!$B$3:$L$10000,6,FALSE)&lt;&gt;0,VLOOKUP(I144,Iktato!$B$3:$L$10000,6,FALSE),""),""))</f>
        <v/>
      </c>
      <c r="Q144" s="8" t="str">
        <f>TRIM(IF($M$1&gt;=I144,IF(VLOOKUP(I144,Iktato!$B$3:$L$10000,7,FALSE)&lt;&gt;0,VLOOKUP(I144,Iktato!$B$3:$L$10000,7,FALSE),""),""))</f>
        <v/>
      </c>
      <c r="R144" s="6" t="str">
        <f t="shared" si="19"/>
        <v/>
      </c>
      <c r="S144" s="6" t="str">
        <f t="shared" si="20"/>
        <v/>
      </c>
      <c r="T144" s="6" t="str">
        <f t="shared" si="21"/>
        <v/>
      </c>
    </row>
    <row r="145" spans="1:20" ht="16.5" x14ac:dyDescent="0.25">
      <c r="A145" s="11" t="str">
        <f t="shared" si="16"/>
        <v/>
      </c>
      <c r="B145" s="12" t="str">
        <f>IF($M$1&gt;=I145,VLOOKUP(I145,Iktato!$B$3:$L$10000,5,FALSE),"")</f>
        <v/>
      </c>
      <c r="C145" s="13" t="str">
        <f t="shared" si="17"/>
        <v/>
      </c>
      <c r="D145" s="14" t="str">
        <f>TRIM(IF($M$1&gt;=I145,IF(VLOOKUP(I145,Iktato!$B$3:$L$10000,8,FALSE)&lt;&gt;0,VLOOKUP(I145,Iktato!$B$3:$L$10000,8,FALSE),""),""))</f>
        <v/>
      </c>
      <c r="E145" s="14" t="str">
        <f>TRIM(IF($M$1&gt;=I145,IF(VLOOKUP(I145,Iktato!$B$3:$L$10000,9,FALSE)&lt;&gt;0,VLOOKUP(I145,Iktato!$B$3:$L$10000,9,FALSE),""),""))</f>
        <v/>
      </c>
      <c r="F145" s="43" t="str">
        <f t="shared" si="22"/>
        <v/>
      </c>
      <c r="G145" s="43"/>
      <c r="I145" s="6">
        <f t="shared" si="23"/>
        <v>135</v>
      </c>
      <c r="J145" s="6" t="str">
        <f t="shared" si="18"/>
        <v/>
      </c>
      <c r="K145" s="6" t="str">
        <f>IF($M$1&gt;=I145,VLOOKUP(I145,Iktato!$B$3:$L$10000,3,FALSE),"")</f>
        <v/>
      </c>
      <c r="M145" s="6" t="str">
        <f>IF($M$1&gt;=I145,IF(VLOOKUP(I145,Iktato!$B$3:$P$10000,15,FALSE)&lt;&gt;0,VLOOKUP(I145,Iktato!$B$3:$P$10000,15,FALSE),""),"")</f>
        <v/>
      </c>
      <c r="N145" s="6" t="str">
        <f>IF($M$1&gt;=I145,IF(VLOOKUP(I145,Iktato!$B$3:$Q$10000,16,FALSE)&lt;&gt;0,VLOOKUP(I145,Iktato!$B$3:$Q$10000,16,FALSE),""),"")</f>
        <v/>
      </c>
      <c r="P145" s="6" t="str">
        <f>TRIM(IF($M$1&gt;=I145,IF(VLOOKUP(I145,Iktato!$B$3:$L$10000,6,FALSE)&lt;&gt;0,VLOOKUP(I145,Iktato!$B$3:$L$10000,6,FALSE),""),""))</f>
        <v/>
      </c>
      <c r="Q145" s="8" t="str">
        <f>TRIM(IF($M$1&gt;=I145,IF(VLOOKUP(I145,Iktato!$B$3:$L$10000,7,FALSE)&lt;&gt;0,VLOOKUP(I145,Iktato!$B$3:$L$10000,7,FALSE),""),""))</f>
        <v/>
      </c>
      <c r="R145" s="6" t="str">
        <f t="shared" si="19"/>
        <v/>
      </c>
      <c r="S145" s="6" t="str">
        <f t="shared" si="20"/>
        <v/>
      </c>
      <c r="T145" s="6" t="str">
        <f t="shared" si="21"/>
        <v/>
      </c>
    </row>
    <row r="146" spans="1:20" ht="16.5" x14ac:dyDescent="0.25">
      <c r="A146" s="11" t="str">
        <f t="shared" si="16"/>
        <v/>
      </c>
      <c r="B146" s="12" t="str">
        <f>IF($M$1&gt;=I146,VLOOKUP(I146,Iktato!$B$3:$L$10000,5,FALSE),"")</f>
        <v/>
      </c>
      <c r="C146" s="13" t="str">
        <f t="shared" si="17"/>
        <v/>
      </c>
      <c r="D146" s="14" t="str">
        <f>TRIM(IF($M$1&gt;=I146,IF(VLOOKUP(I146,Iktato!$B$3:$L$10000,8,FALSE)&lt;&gt;0,VLOOKUP(I146,Iktato!$B$3:$L$10000,8,FALSE),""),""))</f>
        <v/>
      </c>
      <c r="E146" s="14" t="str">
        <f>TRIM(IF($M$1&gt;=I146,IF(VLOOKUP(I146,Iktato!$B$3:$L$10000,9,FALSE)&lt;&gt;0,VLOOKUP(I146,Iktato!$B$3:$L$10000,9,FALSE),""),""))</f>
        <v/>
      </c>
      <c r="F146" s="43" t="str">
        <f t="shared" si="22"/>
        <v/>
      </c>
      <c r="G146" s="43"/>
      <c r="I146" s="6">
        <f t="shared" si="23"/>
        <v>136</v>
      </c>
      <c r="J146" s="6" t="str">
        <f t="shared" si="18"/>
        <v/>
      </c>
      <c r="K146" s="6" t="str">
        <f>IF($M$1&gt;=I146,VLOOKUP(I146,Iktato!$B$3:$L$10000,3,FALSE),"")</f>
        <v/>
      </c>
      <c r="M146" s="6" t="str">
        <f>IF($M$1&gt;=I146,IF(VLOOKUP(I146,Iktato!$B$3:$P$10000,15,FALSE)&lt;&gt;0,VLOOKUP(I146,Iktato!$B$3:$P$10000,15,FALSE),""),"")</f>
        <v/>
      </c>
      <c r="N146" s="6" t="str">
        <f>IF($M$1&gt;=I146,IF(VLOOKUP(I146,Iktato!$B$3:$Q$10000,16,FALSE)&lt;&gt;0,VLOOKUP(I146,Iktato!$B$3:$Q$10000,16,FALSE),""),"")</f>
        <v/>
      </c>
      <c r="P146" s="6" t="str">
        <f>TRIM(IF($M$1&gt;=I146,IF(VLOOKUP(I146,Iktato!$B$3:$L$10000,6,FALSE)&lt;&gt;0,VLOOKUP(I146,Iktato!$B$3:$L$10000,6,FALSE),""),""))</f>
        <v/>
      </c>
      <c r="Q146" s="8" t="str">
        <f>TRIM(IF($M$1&gt;=I146,IF(VLOOKUP(I146,Iktato!$B$3:$L$10000,7,FALSE)&lt;&gt;0,VLOOKUP(I146,Iktato!$B$3:$L$10000,7,FALSE),""),""))</f>
        <v/>
      </c>
      <c r="R146" s="6" t="str">
        <f t="shared" si="19"/>
        <v/>
      </c>
      <c r="S146" s="6" t="str">
        <f t="shared" si="20"/>
        <v/>
      </c>
      <c r="T146" s="6" t="str">
        <f t="shared" si="21"/>
        <v/>
      </c>
    </row>
    <row r="147" spans="1:20" ht="16.5" x14ac:dyDescent="0.25">
      <c r="A147" s="11" t="str">
        <f t="shared" si="16"/>
        <v/>
      </c>
      <c r="B147" s="12" t="str">
        <f>IF($M$1&gt;=I147,VLOOKUP(I147,Iktato!$B$3:$L$10000,5,FALSE),"")</f>
        <v/>
      </c>
      <c r="C147" s="13" t="str">
        <f t="shared" si="17"/>
        <v/>
      </c>
      <c r="D147" s="14" t="str">
        <f>TRIM(IF($M$1&gt;=I147,IF(VLOOKUP(I147,Iktato!$B$3:$L$10000,8,FALSE)&lt;&gt;0,VLOOKUP(I147,Iktato!$B$3:$L$10000,8,FALSE),""),""))</f>
        <v/>
      </c>
      <c r="E147" s="14" t="str">
        <f>TRIM(IF($M$1&gt;=I147,IF(VLOOKUP(I147,Iktato!$B$3:$L$10000,9,FALSE)&lt;&gt;0,VLOOKUP(I147,Iktato!$B$3:$L$10000,9,FALSE),""),""))</f>
        <v/>
      </c>
      <c r="F147" s="43" t="str">
        <f t="shared" si="22"/>
        <v/>
      </c>
      <c r="G147" s="43"/>
      <c r="I147" s="6">
        <f t="shared" si="23"/>
        <v>137</v>
      </c>
      <c r="J147" s="6" t="str">
        <f t="shared" si="18"/>
        <v/>
      </c>
      <c r="K147" s="6" t="str">
        <f>IF($M$1&gt;=I147,VLOOKUP(I147,Iktato!$B$3:$L$10000,3,FALSE),"")</f>
        <v/>
      </c>
      <c r="M147" s="6" t="str">
        <f>IF($M$1&gt;=I147,IF(VLOOKUP(I147,Iktato!$B$3:$P$10000,15,FALSE)&lt;&gt;0,VLOOKUP(I147,Iktato!$B$3:$P$10000,15,FALSE),""),"")</f>
        <v/>
      </c>
      <c r="N147" s="6" t="str">
        <f>IF($M$1&gt;=I147,IF(VLOOKUP(I147,Iktato!$B$3:$Q$10000,16,FALSE)&lt;&gt;0,VLOOKUP(I147,Iktato!$B$3:$Q$10000,16,FALSE),""),"")</f>
        <v/>
      </c>
      <c r="P147" s="6" t="str">
        <f>TRIM(IF($M$1&gt;=I147,IF(VLOOKUP(I147,Iktato!$B$3:$L$10000,6,FALSE)&lt;&gt;0,VLOOKUP(I147,Iktato!$B$3:$L$10000,6,FALSE),""),""))</f>
        <v/>
      </c>
      <c r="Q147" s="8" t="str">
        <f>TRIM(IF($M$1&gt;=I147,IF(VLOOKUP(I147,Iktato!$B$3:$L$10000,7,FALSE)&lt;&gt;0,VLOOKUP(I147,Iktato!$B$3:$L$10000,7,FALSE),""),""))</f>
        <v/>
      </c>
      <c r="R147" s="6" t="str">
        <f t="shared" si="19"/>
        <v/>
      </c>
      <c r="S147" s="6" t="str">
        <f t="shared" si="20"/>
        <v/>
      </c>
      <c r="T147" s="6" t="str">
        <f t="shared" si="21"/>
        <v/>
      </c>
    </row>
    <row r="148" spans="1:20" ht="16.5" x14ac:dyDescent="0.25">
      <c r="A148" s="11" t="str">
        <f t="shared" si="16"/>
        <v/>
      </c>
      <c r="B148" s="12" t="str">
        <f>IF($M$1&gt;=I148,VLOOKUP(I148,Iktato!$B$3:$L$10000,5,FALSE),"")</f>
        <v/>
      </c>
      <c r="C148" s="13" t="str">
        <f t="shared" si="17"/>
        <v/>
      </c>
      <c r="D148" s="14" t="str">
        <f>TRIM(IF($M$1&gt;=I148,IF(VLOOKUP(I148,Iktato!$B$3:$L$10000,8,FALSE)&lt;&gt;0,VLOOKUP(I148,Iktato!$B$3:$L$10000,8,FALSE),""),""))</f>
        <v/>
      </c>
      <c r="E148" s="14" t="str">
        <f>TRIM(IF($M$1&gt;=I148,IF(VLOOKUP(I148,Iktato!$B$3:$L$10000,9,FALSE)&lt;&gt;0,VLOOKUP(I148,Iktato!$B$3:$L$10000,9,FALSE),""),""))</f>
        <v/>
      </c>
      <c r="F148" s="43" t="str">
        <f t="shared" si="22"/>
        <v/>
      </c>
      <c r="G148" s="43"/>
      <c r="I148" s="6">
        <f t="shared" si="23"/>
        <v>138</v>
      </c>
      <c r="J148" s="6" t="str">
        <f t="shared" si="18"/>
        <v/>
      </c>
      <c r="K148" s="6" t="str">
        <f>IF($M$1&gt;=I148,VLOOKUP(I148,Iktato!$B$3:$L$10000,3,FALSE),"")</f>
        <v/>
      </c>
      <c r="M148" s="6" t="str">
        <f>IF($M$1&gt;=I148,IF(VLOOKUP(I148,Iktato!$B$3:$P$10000,15,FALSE)&lt;&gt;0,VLOOKUP(I148,Iktato!$B$3:$P$10000,15,FALSE),""),"")</f>
        <v/>
      </c>
      <c r="N148" s="6" t="str">
        <f>IF($M$1&gt;=I148,IF(VLOOKUP(I148,Iktato!$B$3:$Q$10000,16,FALSE)&lt;&gt;0,VLOOKUP(I148,Iktato!$B$3:$Q$10000,16,FALSE),""),"")</f>
        <v/>
      </c>
      <c r="P148" s="6" t="str">
        <f>TRIM(IF($M$1&gt;=I148,IF(VLOOKUP(I148,Iktato!$B$3:$L$10000,6,FALSE)&lt;&gt;0,VLOOKUP(I148,Iktato!$B$3:$L$10000,6,FALSE),""),""))</f>
        <v/>
      </c>
      <c r="Q148" s="8" t="str">
        <f>TRIM(IF($M$1&gt;=I148,IF(VLOOKUP(I148,Iktato!$B$3:$L$10000,7,FALSE)&lt;&gt;0,VLOOKUP(I148,Iktato!$B$3:$L$10000,7,FALSE),""),""))</f>
        <v/>
      </c>
      <c r="R148" s="6" t="str">
        <f t="shared" si="19"/>
        <v/>
      </c>
      <c r="S148" s="6" t="str">
        <f t="shared" si="20"/>
        <v/>
      </c>
      <c r="T148" s="6" t="str">
        <f t="shared" si="21"/>
        <v/>
      </c>
    </row>
    <row r="149" spans="1:20" ht="16.5" x14ac:dyDescent="0.25">
      <c r="A149" s="11" t="str">
        <f t="shared" si="16"/>
        <v/>
      </c>
      <c r="B149" s="12" t="str">
        <f>IF($M$1&gt;=I149,VLOOKUP(I149,Iktato!$B$3:$L$10000,5,FALSE),"")</f>
        <v/>
      </c>
      <c r="C149" s="13" t="str">
        <f t="shared" si="17"/>
        <v/>
      </c>
      <c r="D149" s="14" t="str">
        <f>TRIM(IF($M$1&gt;=I149,IF(VLOOKUP(I149,Iktato!$B$3:$L$10000,8,FALSE)&lt;&gt;0,VLOOKUP(I149,Iktato!$B$3:$L$10000,8,FALSE),""),""))</f>
        <v/>
      </c>
      <c r="E149" s="14" t="str">
        <f>TRIM(IF($M$1&gt;=I149,IF(VLOOKUP(I149,Iktato!$B$3:$L$10000,9,FALSE)&lt;&gt;0,VLOOKUP(I149,Iktato!$B$3:$L$10000,9,FALSE),""),""))</f>
        <v/>
      </c>
      <c r="F149" s="43" t="str">
        <f t="shared" si="22"/>
        <v/>
      </c>
      <c r="G149" s="43"/>
      <c r="I149" s="6">
        <f t="shared" si="23"/>
        <v>139</v>
      </c>
      <c r="J149" s="6" t="str">
        <f t="shared" si="18"/>
        <v/>
      </c>
      <c r="K149" s="6" t="str">
        <f>IF($M$1&gt;=I149,VLOOKUP(I149,Iktato!$B$3:$L$10000,3,FALSE),"")</f>
        <v/>
      </c>
      <c r="M149" s="6" t="str">
        <f>IF($M$1&gt;=I149,IF(VLOOKUP(I149,Iktato!$B$3:$P$10000,15,FALSE)&lt;&gt;0,VLOOKUP(I149,Iktato!$B$3:$P$10000,15,FALSE),""),"")</f>
        <v/>
      </c>
      <c r="N149" s="6" t="str">
        <f>IF($M$1&gt;=I149,IF(VLOOKUP(I149,Iktato!$B$3:$Q$10000,16,FALSE)&lt;&gt;0,VLOOKUP(I149,Iktato!$B$3:$Q$10000,16,FALSE),""),"")</f>
        <v/>
      </c>
      <c r="P149" s="6" t="str">
        <f>TRIM(IF($M$1&gt;=I149,IF(VLOOKUP(I149,Iktato!$B$3:$L$10000,6,FALSE)&lt;&gt;0,VLOOKUP(I149,Iktato!$B$3:$L$10000,6,FALSE),""),""))</f>
        <v/>
      </c>
      <c r="Q149" s="8" t="str">
        <f>TRIM(IF($M$1&gt;=I149,IF(VLOOKUP(I149,Iktato!$B$3:$L$10000,7,FALSE)&lt;&gt;0,VLOOKUP(I149,Iktato!$B$3:$L$10000,7,FALSE),""),""))</f>
        <v/>
      </c>
      <c r="R149" s="6" t="str">
        <f t="shared" si="19"/>
        <v/>
      </c>
      <c r="S149" s="6" t="str">
        <f t="shared" si="20"/>
        <v/>
      </c>
      <c r="T149" s="6" t="str">
        <f t="shared" si="21"/>
        <v/>
      </c>
    </row>
    <row r="150" spans="1:20" ht="16.5" x14ac:dyDescent="0.25">
      <c r="A150" s="11" t="str">
        <f t="shared" si="16"/>
        <v/>
      </c>
      <c r="B150" s="12" t="str">
        <f>IF($M$1&gt;=I150,VLOOKUP(I150,Iktato!$B$3:$L$10000,5,FALSE),"")</f>
        <v/>
      </c>
      <c r="C150" s="13" t="str">
        <f t="shared" si="17"/>
        <v/>
      </c>
      <c r="D150" s="14" t="str">
        <f>TRIM(IF($M$1&gt;=I150,IF(VLOOKUP(I150,Iktato!$B$3:$L$10000,8,FALSE)&lt;&gt;0,VLOOKUP(I150,Iktato!$B$3:$L$10000,8,FALSE),""),""))</f>
        <v/>
      </c>
      <c r="E150" s="14" t="str">
        <f>TRIM(IF($M$1&gt;=I150,IF(VLOOKUP(I150,Iktato!$B$3:$L$10000,9,FALSE)&lt;&gt;0,VLOOKUP(I150,Iktato!$B$3:$L$10000,9,FALSE),""),""))</f>
        <v/>
      </c>
      <c r="F150" s="43" t="str">
        <f t="shared" si="22"/>
        <v/>
      </c>
      <c r="G150" s="43"/>
      <c r="I150" s="6">
        <f t="shared" si="23"/>
        <v>140</v>
      </c>
      <c r="J150" s="6" t="str">
        <f t="shared" si="18"/>
        <v/>
      </c>
      <c r="K150" s="6" t="str">
        <f>IF($M$1&gt;=I150,VLOOKUP(I150,Iktato!$B$3:$L$10000,3,FALSE),"")</f>
        <v/>
      </c>
      <c r="M150" s="6" t="str">
        <f>IF($M$1&gt;=I150,IF(VLOOKUP(I150,Iktato!$B$3:$P$10000,15,FALSE)&lt;&gt;0,VLOOKUP(I150,Iktato!$B$3:$P$10000,15,FALSE),""),"")</f>
        <v/>
      </c>
      <c r="N150" s="6" t="str">
        <f>IF($M$1&gt;=I150,IF(VLOOKUP(I150,Iktato!$B$3:$Q$10000,16,FALSE)&lt;&gt;0,VLOOKUP(I150,Iktato!$B$3:$Q$10000,16,FALSE),""),"")</f>
        <v/>
      </c>
      <c r="P150" s="6" t="str">
        <f>TRIM(IF($M$1&gt;=I150,IF(VLOOKUP(I150,Iktato!$B$3:$L$10000,6,FALSE)&lt;&gt;0,VLOOKUP(I150,Iktato!$B$3:$L$10000,6,FALSE),""),""))</f>
        <v/>
      </c>
      <c r="Q150" s="8" t="str">
        <f>TRIM(IF($M$1&gt;=I150,IF(VLOOKUP(I150,Iktato!$B$3:$L$10000,7,FALSE)&lt;&gt;0,VLOOKUP(I150,Iktato!$B$3:$L$10000,7,FALSE),""),""))</f>
        <v/>
      </c>
      <c r="R150" s="6" t="str">
        <f t="shared" si="19"/>
        <v/>
      </c>
      <c r="S150" s="6" t="str">
        <f t="shared" si="20"/>
        <v/>
      </c>
      <c r="T150" s="6" t="str">
        <f t="shared" si="21"/>
        <v/>
      </c>
    </row>
    <row r="151" spans="1:20" ht="16.5" x14ac:dyDescent="0.25">
      <c r="A151" s="11" t="str">
        <f t="shared" si="16"/>
        <v/>
      </c>
      <c r="B151" s="12" t="str">
        <f>IF($M$1&gt;=I151,VLOOKUP(I151,Iktato!$B$3:$L$10000,5,FALSE),"")</f>
        <v/>
      </c>
      <c r="C151" s="13" t="str">
        <f t="shared" si="17"/>
        <v/>
      </c>
      <c r="D151" s="14" t="str">
        <f>TRIM(IF($M$1&gt;=I151,IF(VLOOKUP(I151,Iktato!$B$3:$L$10000,8,FALSE)&lt;&gt;0,VLOOKUP(I151,Iktato!$B$3:$L$10000,8,FALSE),""),""))</f>
        <v/>
      </c>
      <c r="E151" s="14" t="str">
        <f>TRIM(IF($M$1&gt;=I151,IF(VLOOKUP(I151,Iktato!$B$3:$L$10000,9,FALSE)&lt;&gt;0,VLOOKUP(I151,Iktato!$B$3:$L$10000,9,FALSE),""),""))</f>
        <v/>
      </c>
      <c r="F151" s="43" t="str">
        <f t="shared" si="22"/>
        <v/>
      </c>
      <c r="G151" s="43"/>
      <c r="I151" s="6">
        <f t="shared" si="23"/>
        <v>141</v>
      </c>
      <c r="J151" s="6" t="str">
        <f t="shared" si="18"/>
        <v/>
      </c>
      <c r="K151" s="6" t="str">
        <f>IF($M$1&gt;=I151,VLOOKUP(I151,Iktato!$B$3:$L$10000,3,FALSE),"")</f>
        <v/>
      </c>
      <c r="M151" s="6" t="str">
        <f>IF($M$1&gt;=I151,IF(VLOOKUP(I151,Iktato!$B$3:$P$10000,15,FALSE)&lt;&gt;0,VLOOKUP(I151,Iktato!$B$3:$P$10000,15,FALSE),""),"")</f>
        <v/>
      </c>
      <c r="N151" s="6" t="str">
        <f>IF($M$1&gt;=I151,IF(VLOOKUP(I151,Iktato!$B$3:$Q$10000,16,FALSE)&lt;&gt;0,VLOOKUP(I151,Iktato!$B$3:$Q$10000,16,FALSE),""),"")</f>
        <v/>
      </c>
      <c r="P151" s="6" t="str">
        <f>TRIM(IF($M$1&gt;=I151,IF(VLOOKUP(I151,Iktato!$B$3:$L$10000,6,FALSE)&lt;&gt;0,VLOOKUP(I151,Iktato!$B$3:$L$10000,6,FALSE),""),""))</f>
        <v/>
      </c>
      <c r="Q151" s="8" t="str">
        <f>TRIM(IF($M$1&gt;=I151,IF(VLOOKUP(I151,Iktato!$B$3:$L$10000,7,FALSE)&lt;&gt;0,VLOOKUP(I151,Iktato!$B$3:$L$10000,7,FALSE),""),""))</f>
        <v/>
      </c>
      <c r="R151" s="6" t="str">
        <f t="shared" si="19"/>
        <v/>
      </c>
      <c r="S151" s="6" t="str">
        <f t="shared" si="20"/>
        <v/>
      </c>
      <c r="T151" s="6" t="str">
        <f t="shared" si="21"/>
        <v/>
      </c>
    </row>
    <row r="152" spans="1:20" ht="16.5" x14ac:dyDescent="0.25">
      <c r="A152" s="11" t="str">
        <f t="shared" si="16"/>
        <v/>
      </c>
      <c r="B152" s="12" t="str">
        <f>IF($M$1&gt;=I152,VLOOKUP(I152,Iktato!$B$3:$L$10000,5,FALSE),"")</f>
        <v/>
      </c>
      <c r="C152" s="13" t="str">
        <f t="shared" si="17"/>
        <v/>
      </c>
      <c r="D152" s="14" t="str">
        <f>TRIM(IF($M$1&gt;=I152,IF(VLOOKUP(I152,Iktato!$B$3:$L$10000,8,FALSE)&lt;&gt;0,VLOOKUP(I152,Iktato!$B$3:$L$10000,8,FALSE),""),""))</f>
        <v/>
      </c>
      <c r="E152" s="14" t="str">
        <f>TRIM(IF($M$1&gt;=I152,IF(VLOOKUP(I152,Iktato!$B$3:$L$10000,9,FALSE)&lt;&gt;0,VLOOKUP(I152,Iktato!$B$3:$L$10000,9,FALSE),""),""))</f>
        <v/>
      </c>
      <c r="F152" s="43" t="str">
        <f t="shared" si="22"/>
        <v/>
      </c>
      <c r="G152" s="43"/>
      <c r="I152" s="6">
        <f t="shared" si="23"/>
        <v>142</v>
      </c>
      <c r="J152" s="6" t="str">
        <f t="shared" si="18"/>
        <v/>
      </c>
      <c r="K152" s="6" t="str">
        <f>IF($M$1&gt;=I152,VLOOKUP(I152,Iktato!$B$3:$L$10000,3,FALSE),"")</f>
        <v/>
      </c>
      <c r="M152" s="6" t="str">
        <f>IF($M$1&gt;=I152,IF(VLOOKUP(I152,Iktato!$B$3:$P$10000,15,FALSE)&lt;&gt;0,VLOOKUP(I152,Iktato!$B$3:$P$10000,15,FALSE),""),"")</f>
        <v/>
      </c>
      <c r="N152" s="6" t="str">
        <f>IF($M$1&gt;=I152,IF(VLOOKUP(I152,Iktato!$B$3:$Q$10000,16,FALSE)&lt;&gt;0,VLOOKUP(I152,Iktato!$B$3:$Q$10000,16,FALSE),""),"")</f>
        <v/>
      </c>
      <c r="P152" s="6" t="str">
        <f>TRIM(IF($M$1&gt;=I152,IF(VLOOKUP(I152,Iktato!$B$3:$L$10000,6,FALSE)&lt;&gt;0,VLOOKUP(I152,Iktato!$B$3:$L$10000,6,FALSE),""),""))</f>
        <v/>
      </c>
      <c r="Q152" s="8" t="str">
        <f>TRIM(IF($M$1&gt;=I152,IF(VLOOKUP(I152,Iktato!$B$3:$L$10000,7,FALSE)&lt;&gt;0,VLOOKUP(I152,Iktato!$B$3:$L$10000,7,FALSE),""),""))</f>
        <v/>
      </c>
      <c r="R152" s="6" t="str">
        <f t="shared" si="19"/>
        <v/>
      </c>
      <c r="S152" s="6" t="str">
        <f t="shared" si="20"/>
        <v/>
      </c>
      <c r="T152" s="6" t="str">
        <f t="shared" si="21"/>
        <v/>
      </c>
    </row>
    <row r="153" spans="1:20" ht="16.5" x14ac:dyDescent="0.25">
      <c r="A153" s="11" t="str">
        <f t="shared" si="16"/>
        <v/>
      </c>
      <c r="B153" s="12" t="str">
        <f>IF($M$1&gt;=I153,VLOOKUP(I153,Iktato!$B$3:$L$10000,5,FALSE),"")</f>
        <v/>
      </c>
      <c r="C153" s="13" t="str">
        <f t="shared" si="17"/>
        <v/>
      </c>
      <c r="D153" s="14" t="str">
        <f>TRIM(IF($M$1&gt;=I153,IF(VLOOKUP(I153,Iktato!$B$3:$L$10000,8,FALSE)&lt;&gt;0,VLOOKUP(I153,Iktato!$B$3:$L$10000,8,FALSE),""),""))</f>
        <v/>
      </c>
      <c r="E153" s="14" t="str">
        <f>TRIM(IF($M$1&gt;=I153,IF(VLOOKUP(I153,Iktato!$B$3:$L$10000,9,FALSE)&lt;&gt;0,VLOOKUP(I153,Iktato!$B$3:$L$10000,9,FALSE),""),""))</f>
        <v/>
      </c>
      <c r="F153" s="43" t="str">
        <f t="shared" si="22"/>
        <v/>
      </c>
      <c r="G153" s="43"/>
      <c r="I153" s="6">
        <f t="shared" si="23"/>
        <v>143</v>
      </c>
      <c r="J153" s="6" t="str">
        <f t="shared" si="18"/>
        <v/>
      </c>
      <c r="K153" s="6" t="str">
        <f>IF($M$1&gt;=I153,VLOOKUP(I153,Iktato!$B$3:$L$10000,3,FALSE),"")</f>
        <v/>
      </c>
      <c r="M153" s="6" t="str">
        <f>IF($M$1&gt;=I153,IF(VLOOKUP(I153,Iktato!$B$3:$P$10000,15,FALSE)&lt;&gt;0,VLOOKUP(I153,Iktato!$B$3:$P$10000,15,FALSE),""),"")</f>
        <v/>
      </c>
      <c r="N153" s="6" t="str">
        <f>IF($M$1&gt;=I153,IF(VLOOKUP(I153,Iktato!$B$3:$Q$10000,16,FALSE)&lt;&gt;0,VLOOKUP(I153,Iktato!$B$3:$Q$10000,16,FALSE),""),"")</f>
        <v/>
      </c>
      <c r="P153" s="6" t="str">
        <f>TRIM(IF($M$1&gt;=I153,IF(VLOOKUP(I153,Iktato!$B$3:$L$10000,6,FALSE)&lt;&gt;0,VLOOKUP(I153,Iktato!$B$3:$L$10000,6,FALSE),""),""))</f>
        <v/>
      </c>
      <c r="Q153" s="8" t="str">
        <f>TRIM(IF($M$1&gt;=I153,IF(VLOOKUP(I153,Iktato!$B$3:$L$10000,7,FALSE)&lt;&gt;0,VLOOKUP(I153,Iktato!$B$3:$L$10000,7,FALSE),""),""))</f>
        <v/>
      </c>
      <c r="R153" s="6" t="str">
        <f t="shared" si="19"/>
        <v/>
      </c>
      <c r="S153" s="6" t="str">
        <f t="shared" si="20"/>
        <v/>
      </c>
      <c r="T153" s="6" t="str">
        <f t="shared" si="21"/>
        <v/>
      </c>
    </row>
    <row r="154" spans="1:20" ht="16.5" x14ac:dyDescent="0.25">
      <c r="A154" s="11" t="str">
        <f t="shared" si="16"/>
        <v/>
      </c>
      <c r="B154" s="12" t="str">
        <f>IF($M$1&gt;=I154,VLOOKUP(I154,Iktato!$B$3:$L$10000,5,FALSE),"")</f>
        <v/>
      </c>
      <c r="C154" s="13" t="str">
        <f t="shared" si="17"/>
        <v/>
      </c>
      <c r="D154" s="14" t="str">
        <f>TRIM(IF($M$1&gt;=I154,IF(VLOOKUP(I154,Iktato!$B$3:$L$10000,8,FALSE)&lt;&gt;0,VLOOKUP(I154,Iktato!$B$3:$L$10000,8,FALSE),""),""))</f>
        <v/>
      </c>
      <c r="E154" s="14" t="str">
        <f>TRIM(IF($M$1&gt;=I154,IF(VLOOKUP(I154,Iktato!$B$3:$L$10000,9,FALSE)&lt;&gt;0,VLOOKUP(I154,Iktato!$B$3:$L$10000,9,FALSE),""),""))</f>
        <v/>
      </c>
      <c r="F154" s="43" t="str">
        <f t="shared" si="22"/>
        <v/>
      </c>
      <c r="G154" s="43"/>
      <c r="I154" s="6">
        <f t="shared" si="23"/>
        <v>144</v>
      </c>
      <c r="J154" s="6" t="str">
        <f t="shared" si="18"/>
        <v/>
      </c>
      <c r="K154" s="6" t="str">
        <f>IF($M$1&gt;=I154,VLOOKUP(I154,Iktato!$B$3:$L$10000,3,FALSE),"")</f>
        <v/>
      </c>
      <c r="M154" s="6" t="str">
        <f>IF($M$1&gt;=I154,IF(VLOOKUP(I154,Iktato!$B$3:$P$10000,15,FALSE)&lt;&gt;0,VLOOKUP(I154,Iktato!$B$3:$P$10000,15,FALSE),""),"")</f>
        <v/>
      </c>
      <c r="N154" s="6" t="str">
        <f>IF($M$1&gt;=I154,IF(VLOOKUP(I154,Iktato!$B$3:$Q$10000,16,FALSE)&lt;&gt;0,VLOOKUP(I154,Iktato!$B$3:$Q$10000,16,FALSE),""),"")</f>
        <v/>
      </c>
      <c r="P154" s="6" t="str">
        <f>TRIM(IF($M$1&gt;=I154,IF(VLOOKUP(I154,Iktato!$B$3:$L$10000,6,FALSE)&lt;&gt;0,VLOOKUP(I154,Iktato!$B$3:$L$10000,6,FALSE),""),""))</f>
        <v/>
      </c>
      <c r="Q154" s="8" t="str">
        <f>TRIM(IF($M$1&gt;=I154,IF(VLOOKUP(I154,Iktato!$B$3:$L$10000,7,FALSE)&lt;&gt;0,VLOOKUP(I154,Iktato!$B$3:$L$10000,7,FALSE),""),""))</f>
        <v/>
      </c>
      <c r="R154" s="6" t="str">
        <f t="shared" si="19"/>
        <v/>
      </c>
      <c r="S154" s="6" t="str">
        <f t="shared" si="20"/>
        <v/>
      </c>
      <c r="T154" s="6" t="str">
        <f t="shared" si="21"/>
        <v/>
      </c>
    </row>
    <row r="155" spans="1:20" ht="16.5" x14ac:dyDescent="0.25">
      <c r="A155" s="11" t="str">
        <f t="shared" si="16"/>
        <v/>
      </c>
      <c r="B155" s="12" t="str">
        <f>IF($M$1&gt;=I155,VLOOKUP(I155,Iktato!$B$3:$L$10000,5,FALSE),"")</f>
        <v/>
      </c>
      <c r="C155" s="13" t="str">
        <f t="shared" si="17"/>
        <v/>
      </c>
      <c r="D155" s="14" t="str">
        <f>TRIM(IF($M$1&gt;=I155,IF(VLOOKUP(I155,Iktato!$B$3:$L$10000,8,FALSE)&lt;&gt;0,VLOOKUP(I155,Iktato!$B$3:$L$10000,8,FALSE),""),""))</f>
        <v/>
      </c>
      <c r="E155" s="14" t="str">
        <f>TRIM(IF($M$1&gt;=I155,IF(VLOOKUP(I155,Iktato!$B$3:$L$10000,9,FALSE)&lt;&gt;0,VLOOKUP(I155,Iktato!$B$3:$L$10000,9,FALSE),""),""))</f>
        <v/>
      </c>
      <c r="F155" s="43" t="str">
        <f t="shared" si="22"/>
        <v/>
      </c>
      <c r="G155" s="43"/>
      <c r="I155" s="6">
        <f t="shared" si="23"/>
        <v>145</v>
      </c>
      <c r="J155" s="6" t="str">
        <f t="shared" si="18"/>
        <v/>
      </c>
      <c r="K155" s="6" t="str">
        <f>IF($M$1&gt;=I155,VLOOKUP(I155,Iktato!$B$3:$L$10000,3,FALSE),"")</f>
        <v/>
      </c>
      <c r="M155" s="6" t="str">
        <f>IF($M$1&gt;=I155,IF(VLOOKUP(I155,Iktato!$B$3:$P$10000,15,FALSE)&lt;&gt;0,VLOOKUP(I155,Iktato!$B$3:$P$10000,15,FALSE),""),"")</f>
        <v/>
      </c>
      <c r="N155" s="6" t="str">
        <f>IF($M$1&gt;=I155,IF(VLOOKUP(I155,Iktato!$B$3:$Q$10000,16,FALSE)&lt;&gt;0,VLOOKUP(I155,Iktato!$B$3:$Q$10000,16,FALSE),""),"")</f>
        <v/>
      </c>
      <c r="P155" s="6" t="str">
        <f>TRIM(IF($M$1&gt;=I155,IF(VLOOKUP(I155,Iktato!$B$3:$L$10000,6,FALSE)&lt;&gt;0,VLOOKUP(I155,Iktato!$B$3:$L$10000,6,FALSE),""),""))</f>
        <v/>
      </c>
      <c r="Q155" s="8" t="str">
        <f>TRIM(IF($M$1&gt;=I155,IF(VLOOKUP(I155,Iktato!$B$3:$L$10000,7,FALSE)&lt;&gt;0,VLOOKUP(I155,Iktato!$B$3:$L$10000,7,FALSE),""),""))</f>
        <v/>
      </c>
      <c r="R155" s="6" t="str">
        <f t="shared" si="19"/>
        <v/>
      </c>
      <c r="S155" s="6" t="str">
        <f t="shared" si="20"/>
        <v/>
      </c>
      <c r="T155" s="6" t="str">
        <f t="shared" si="21"/>
        <v/>
      </c>
    </row>
    <row r="156" spans="1:20" ht="16.5" x14ac:dyDescent="0.25">
      <c r="A156" s="11" t="str">
        <f t="shared" si="16"/>
        <v/>
      </c>
      <c r="B156" s="12" t="str">
        <f>IF($M$1&gt;=I156,VLOOKUP(I156,Iktato!$B$3:$L$10000,5,FALSE),"")</f>
        <v/>
      </c>
      <c r="C156" s="13" t="str">
        <f t="shared" si="17"/>
        <v/>
      </c>
      <c r="D156" s="14" t="str">
        <f>TRIM(IF($M$1&gt;=I156,IF(VLOOKUP(I156,Iktato!$B$3:$L$10000,8,FALSE)&lt;&gt;0,VLOOKUP(I156,Iktato!$B$3:$L$10000,8,FALSE),""),""))</f>
        <v/>
      </c>
      <c r="E156" s="14" t="str">
        <f>TRIM(IF($M$1&gt;=I156,IF(VLOOKUP(I156,Iktato!$B$3:$L$10000,9,FALSE)&lt;&gt;0,VLOOKUP(I156,Iktato!$B$3:$L$10000,9,FALSE),""),""))</f>
        <v/>
      </c>
      <c r="F156" s="43" t="str">
        <f t="shared" si="22"/>
        <v/>
      </c>
      <c r="G156" s="43"/>
      <c r="I156" s="6">
        <f t="shared" si="23"/>
        <v>146</v>
      </c>
      <c r="J156" s="6" t="str">
        <f t="shared" si="18"/>
        <v/>
      </c>
      <c r="K156" s="6" t="str">
        <f>IF($M$1&gt;=I156,VLOOKUP(I156,Iktato!$B$3:$L$10000,3,FALSE),"")</f>
        <v/>
      </c>
      <c r="M156" s="6" t="str">
        <f>IF($M$1&gt;=I156,IF(VLOOKUP(I156,Iktato!$B$3:$P$10000,15,FALSE)&lt;&gt;0,VLOOKUP(I156,Iktato!$B$3:$P$10000,15,FALSE),""),"")</f>
        <v/>
      </c>
      <c r="N156" s="6" t="str">
        <f>IF($M$1&gt;=I156,IF(VLOOKUP(I156,Iktato!$B$3:$Q$10000,16,FALSE)&lt;&gt;0,VLOOKUP(I156,Iktato!$B$3:$Q$10000,16,FALSE),""),"")</f>
        <v/>
      </c>
      <c r="P156" s="6" t="str">
        <f>TRIM(IF($M$1&gt;=I156,IF(VLOOKUP(I156,Iktato!$B$3:$L$10000,6,FALSE)&lt;&gt;0,VLOOKUP(I156,Iktato!$B$3:$L$10000,6,FALSE),""),""))</f>
        <v/>
      </c>
      <c r="Q156" s="8" t="str">
        <f>TRIM(IF($M$1&gt;=I156,IF(VLOOKUP(I156,Iktato!$B$3:$L$10000,7,FALSE)&lt;&gt;0,VLOOKUP(I156,Iktato!$B$3:$L$10000,7,FALSE),""),""))</f>
        <v/>
      </c>
      <c r="R156" s="6" t="str">
        <f t="shared" si="19"/>
        <v/>
      </c>
      <c r="S156" s="6" t="str">
        <f t="shared" si="20"/>
        <v/>
      </c>
      <c r="T156" s="6" t="str">
        <f t="shared" si="21"/>
        <v/>
      </c>
    </row>
    <row r="157" spans="1:20" ht="16.5" x14ac:dyDescent="0.25">
      <c r="A157" s="11" t="str">
        <f t="shared" si="16"/>
        <v/>
      </c>
      <c r="B157" s="12" t="str">
        <f>IF($M$1&gt;=I157,VLOOKUP(I157,Iktato!$B$3:$L$10000,5,FALSE),"")</f>
        <v/>
      </c>
      <c r="C157" s="13" t="str">
        <f t="shared" si="17"/>
        <v/>
      </c>
      <c r="D157" s="14" t="str">
        <f>TRIM(IF($M$1&gt;=I157,IF(VLOOKUP(I157,Iktato!$B$3:$L$10000,8,FALSE)&lt;&gt;0,VLOOKUP(I157,Iktato!$B$3:$L$10000,8,FALSE),""),""))</f>
        <v/>
      </c>
      <c r="E157" s="14" t="str">
        <f>TRIM(IF($M$1&gt;=I157,IF(VLOOKUP(I157,Iktato!$B$3:$L$10000,9,FALSE)&lt;&gt;0,VLOOKUP(I157,Iktato!$B$3:$L$10000,9,FALSE),""),""))</f>
        <v/>
      </c>
      <c r="F157" s="43" t="str">
        <f t="shared" si="22"/>
        <v/>
      </c>
      <c r="G157" s="43"/>
      <c r="I157" s="6">
        <f t="shared" si="23"/>
        <v>147</v>
      </c>
      <c r="J157" s="6" t="str">
        <f t="shared" si="18"/>
        <v/>
      </c>
      <c r="K157" s="6" t="str">
        <f>IF($M$1&gt;=I157,VLOOKUP(I157,Iktato!$B$3:$L$10000,3,FALSE),"")</f>
        <v/>
      </c>
      <c r="M157" s="6" t="str">
        <f>IF($M$1&gt;=I157,IF(VLOOKUP(I157,Iktato!$B$3:$P$10000,15,FALSE)&lt;&gt;0,VLOOKUP(I157,Iktato!$B$3:$P$10000,15,FALSE),""),"")</f>
        <v/>
      </c>
      <c r="N157" s="6" t="str">
        <f>IF($M$1&gt;=I157,IF(VLOOKUP(I157,Iktato!$B$3:$Q$10000,16,FALSE)&lt;&gt;0,VLOOKUP(I157,Iktato!$B$3:$Q$10000,16,FALSE),""),"")</f>
        <v/>
      </c>
      <c r="P157" s="6" t="str">
        <f>TRIM(IF($M$1&gt;=I157,IF(VLOOKUP(I157,Iktato!$B$3:$L$10000,6,FALSE)&lt;&gt;0,VLOOKUP(I157,Iktato!$B$3:$L$10000,6,FALSE),""),""))</f>
        <v/>
      </c>
      <c r="Q157" s="8" t="str">
        <f>TRIM(IF($M$1&gt;=I157,IF(VLOOKUP(I157,Iktato!$B$3:$L$10000,7,FALSE)&lt;&gt;0,VLOOKUP(I157,Iktato!$B$3:$L$10000,7,FALSE),""),""))</f>
        <v/>
      </c>
      <c r="R157" s="6" t="str">
        <f t="shared" si="19"/>
        <v/>
      </c>
      <c r="S157" s="6" t="str">
        <f t="shared" si="20"/>
        <v/>
      </c>
      <c r="T157" s="6" t="str">
        <f t="shared" si="21"/>
        <v/>
      </c>
    </row>
    <row r="158" spans="1:20" ht="16.5" x14ac:dyDescent="0.25">
      <c r="A158" s="11" t="str">
        <f t="shared" si="16"/>
        <v/>
      </c>
      <c r="B158" s="12" t="str">
        <f>IF($M$1&gt;=I158,VLOOKUP(I158,Iktato!$B$3:$L$10000,5,FALSE),"")</f>
        <v/>
      </c>
      <c r="C158" s="13" t="str">
        <f t="shared" si="17"/>
        <v/>
      </c>
      <c r="D158" s="14" t="str">
        <f>TRIM(IF($M$1&gt;=I158,IF(VLOOKUP(I158,Iktato!$B$3:$L$10000,8,FALSE)&lt;&gt;0,VLOOKUP(I158,Iktato!$B$3:$L$10000,8,FALSE),""),""))</f>
        <v/>
      </c>
      <c r="E158" s="14" t="str">
        <f>TRIM(IF($M$1&gt;=I158,IF(VLOOKUP(I158,Iktato!$B$3:$L$10000,9,FALSE)&lt;&gt;0,VLOOKUP(I158,Iktato!$B$3:$L$10000,9,FALSE),""),""))</f>
        <v/>
      </c>
      <c r="F158" s="43" t="str">
        <f t="shared" si="22"/>
        <v/>
      </c>
      <c r="G158" s="43"/>
      <c r="I158" s="6">
        <f t="shared" si="23"/>
        <v>148</v>
      </c>
      <c r="J158" s="6" t="str">
        <f t="shared" si="18"/>
        <v/>
      </c>
      <c r="K158" s="6" t="str">
        <f>IF($M$1&gt;=I158,VLOOKUP(I158,Iktato!$B$3:$L$10000,3,FALSE),"")</f>
        <v/>
      </c>
      <c r="M158" s="6" t="str">
        <f>IF($M$1&gt;=I158,IF(VLOOKUP(I158,Iktato!$B$3:$P$10000,15,FALSE)&lt;&gt;0,VLOOKUP(I158,Iktato!$B$3:$P$10000,15,FALSE),""),"")</f>
        <v/>
      </c>
      <c r="N158" s="6" t="str">
        <f>IF($M$1&gt;=I158,IF(VLOOKUP(I158,Iktato!$B$3:$Q$10000,16,FALSE)&lt;&gt;0,VLOOKUP(I158,Iktato!$B$3:$Q$10000,16,FALSE),""),"")</f>
        <v/>
      </c>
      <c r="P158" s="6" t="str">
        <f>TRIM(IF($M$1&gt;=I158,IF(VLOOKUP(I158,Iktato!$B$3:$L$10000,6,FALSE)&lt;&gt;0,VLOOKUP(I158,Iktato!$B$3:$L$10000,6,FALSE),""),""))</f>
        <v/>
      </c>
      <c r="Q158" s="8" t="str">
        <f>TRIM(IF($M$1&gt;=I158,IF(VLOOKUP(I158,Iktato!$B$3:$L$10000,7,FALSE)&lt;&gt;0,VLOOKUP(I158,Iktato!$B$3:$L$10000,7,FALSE),""),""))</f>
        <v/>
      </c>
      <c r="R158" s="6" t="str">
        <f t="shared" si="19"/>
        <v/>
      </c>
      <c r="S158" s="6" t="str">
        <f t="shared" si="20"/>
        <v/>
      </c>
      <c r="T158" s="6" t="str">
        <f t="shared" si="21"/>
        <v/>
      </c>
    </row>
    <row r="159" spans="1:20" ht="16.5" x14ac:dyDescent="0.25">
      <c r="A159" s="11" t="str">
        <f t="shared" si="16"/>
        <v/>
      </c>
      <c r="B159" s="12" t="str">
        <f>IF($M$1&gt;=I159,VLOOKUP(I159,Iktato!$B$3:$L$10000,5,FALSE),"")</f>
        <v/>
      </c>
      <c r="C159" s="13" t="str">
        <f t="shared" si="17"/>
        <v/>
      </c>
      <c r="D159" s="14" t="str">
        <f>TRIM(IF($M$1&gt;=I159,IF(VLOOKUP(I159,Iktato!$B$3:$L$10000,8,FALSE)&lt;&gt;0,VLOOKUP(I159,Iktato!$B$3:$L$10000,8,FALSE),""),""))</f>
        <v/>
      </c>
      <c r="E159" s="14" t="str">
        <f>TRIM(IF($M$1&gt;=I159,IF(VLOOKUP(I159,Iktato!$B$3:$L$10000,9,FALSE)&lt;&gt;0,VLOOKUP(I159,Iktato!$B$3:$L$10000,9,FALSE),""),""))</f>
        <v/>
      </c>
      <c r="F159" s="43" t="str">
        <f t="shared" si="22"/>
        <v/>
      </c>
      <c r="G159" s="43"/>
      <c r="I159" s="6">
        <f t="shared" si="23"/>
        <v>149</v>
      </c>
      <c r="J159" s="6" t="str">
        <f t="shared" si="18"/>
        <v/>
      </c>
      <c r="K159" s="6" t="str">
        <f>IF($M$1&gt;=I159,VLOOKUP(I159,Iktato!$B$3:$L$10000,3,FALSE),"")</f>
        <v/>
      </c>
      <c r="M159" s="6" t="str">
        <f>IF($M$1&gt;=I159,IF(VLOOKUP(I159,Iktato!$B$3:$P$10000,15,FALSE)&lt;&gt;0,VLOOKUP(I159,Iktato!$B$3:$P$10000,15,FALSE),""),"")</f>
        <v/>
      </c>
      <c r="N159" s="6" t="str">
        <f>IF($M$1&gt;=I159,IF(VLOOKUP(I159,Iktato!$B$3:$Q$10000,16,FALSE)&lt;&gt;0,VLOOKUP(I159,Iktato!$B$3:$Q$10000,16,FALSE),""),"")</f>
        <v/>
      </c>
      <c r="P159" s="6" t="str">
        <f>TRIM(IF($M$1&gt;=I159,IF(VLOOKUP(I159,Iktato!$B$3:$L$10000,6,FALSE)&lt;&gt;0,VLOOKUP(I159,Iktato!$B$3:$L$10000,6,FALSE),""),""))</f>
        <v/>
      </c>
      <c r="Q159" s="8" t="str">
        <f>TRIM(IF($M$1&gt;=I159,IF(VLOOKUP(I159,Iktato!$B$3:$L$10000,7,FALSE)&lt;&gt;0,VLOOKUP(I159,Iktato!$B$3:$L$10000,7,FALSE),""),""))</f>
        <v/>
      </c>
      <c r="R159" s="6" t="str">
        <f t="shared" si="19"/>
        <v/>
      </c>
      <c r="S159" s="6" t="str">
        <f t="shared" si="20"/>
        <v/>
      </c>
      <c r="T159" s="6" t="str">
        <f t="shared" si="21"/>
        <v/>
      </c>
    </row>
    <row r="160" spans="1:20" ht="16.5" x14ac:dyDescent="0.25">
      <c r="A160" s="11" t="str">
        <f t="shared" si="16"/>
        <v/>
      </c>
      <c r="B160" s="12" t="str">
        <f>IF($M$1&gt;=I160,VLOOKUP(I160,Iktato!$B$3:$L$10000,5,FALSE),"")</f>
        <v/>
      </c>
      <c r="C160" s="13" t="str">
        <f t="shared" si="17"/>
        <v/>
      </c>
      <c r="D160" s="14" t="str">
        <f>TRIM(IF($M$1&gt;=I160,IF(VLOOKUP(I160,Iktato!$B$3:$L$10000,8,FALSE)&lt;&gt;0,VLOOKUP(I160,Iktato!$B$3:$L$10000,8,FALSE),""),""))</f>
        <v/>
      </c>
      <c r="E160" s="14" t="str">
        <f>TRIM(IF($M$1&gt;=I160,IF(VLOOKUP(I160,Iktato!$B$3:$L$10000,9,FALSE)&lt;&gt;0,VLOOKUP(I160,Iktato!$B$3:$L$10000,9,FALSE),""),""))</f>
        <v/>
      </c>
      <c r="F160" s="43" t="str">
        <f t="shared" si="22"/>
        <v/>
      </c>
      <c r="G160" s="43"/>
      <c r="I160" s="6">
        <f t="shared" si="23"/>
        <v>150</v>
      </c>
      <c r="J160" s="6" t="str">
        <f t="shared" si="18"/>
        <v/>
      </c>
      <c r="K160" s="6" t="str">
        <f>IF($M$1&gt;=I160,VLOOKUP(I160,Iktato!$B$3:$L$10000,3,FALSE),"")</f>
        <v/>
      </c>
      <c r="M160" s="6" t="str">
        <f>IF($M$1&gt;=I160,IF(VLOOKUP(I160,Iktato!$B$3:$P$10000,15,FALSE)&lt;&gt;0,VLOOKUP(I160,Iktato!$B$3:$P$10000,15,FALSE),""),"")</f>
        <v/>
      </c>
      <c r="N160" s="6" t="str">
        <f>IF($M$1&gt;=I160,IF(VLOOKUP(I160,Iktato!$B$3:$Q$10000,16,FALSE)&lt;&gt;0,VLOOKUP(I160,Iktato!$B$3:$Q$10000,16,FALSE),""),"")</f>
        <v/>
      </c>
      <c r="P160" s="6" t="str">
        <f>TRIM(IF($M$1&gt;=I160,IF(VLOOKUP(I160,Iktato!$B$3:$L$10000,6,FALSE)&lt;&gt;0,VLOOKUP(I160,Iktato!$B$3:$L$10000,6,FALSE),""),""))</f>
        <v/>
      </c>
      <c r="Q160" s="8" t="str">
        <f>TRIM(IF($M$1&gt;=I160,IF(VLOOKUP(I160,Iktato!$B$3:$L$10000,7,FALSE)&lt;&gt;0,VLOOKUP(I160,Iktato!$B$3:$L$10000,7,FALSE),""),""))</f>
        <v/>
      </c>
      <c r="R160" s="6" t="str">
        <f t="shared" si="19"/>
        <v/>
      </c>
      <c r="S160" s="6" t="str">
        <f t="shared" si="20"/>
        <v/>
      </c>
      <c r="T160" s="6" t="str">
        <f t="shared" si="21"/>
        <v/>
      </c>
    </row>
    <row r="161" spans="1:20" ht="16.5" x14ac:dyDescent="0.25">
      <c r="A161" s="11" t="str">
        <f t="shared" si="16"/>
        <v/>
      </c>
      <c r="B161" s="12" t="str">
        <f>IF($M$1&gt;=I161,VLOOKUP(I161,Iktato!$B$3:$L$10000,5,FALSE),"")</f>
        <v/>
      </c>
      <c r="C161" s="13" t="str">
        <f t="shared" si="17"/>
        <v/>
      </c>
      <c r="D161" s="14" t="str">
        <f>TRIM(IF($M$1&gt;=I161,IF(VLOOKUP(I161,Iktato!$B$3:$L$10000,8,FALSE)&lt;&gt;0,VLOOKUP(I161,Iktato!$B$3:$L$10000,8,FALSE),""),""))</f>
        <v/>
      </c>
      <c r="E161" s="14" t="str">
        <f>TRIM(IF($M$1&gt;=I161,IF(VLOOKUP(I161,Iktato!$B$3:$L$10000,9,FALSE)&lt;&gt;0,VLOOKUP(I161,Iktato!$B$3:$L$10000,9,FALSE),""),""))</f>
        <v/>
      </c>
      <c r="F161" s="43" t="str">
        <f t="shared" si="22"/>
        <v/>
      </c>
      <c r="G161" s="43"/>
      <c r="I161" s="6">
        <f t="shared" si="23"/>
        <v>151</v>
      </c>
      <c r="J161" s="6" t="str">
        <f t="shared" si="18"/>
        <v/>
      </c>
      <c r="K161" s="6" t="str">
        <f>IF($M$1&gt;=I161,VLOOKUP(I161,Iktato!$B$3:$L$10000,3,FALSE),"")</f>
        <v/>
      </c>
      <c r="M161" s="6" t="str">
        <f>IF($M$1&gt;=I161,IF(VLOOKUP(I161,Iktato!$B$3:$P$10000,15,FALSE)&lt;&gt;0,VLOOKUP(I161,Iktato!$B$3:$P$10000,15,FALSE),""),"")</f>
        <v/>
      </c>
      <c r="N161" s="6" t="str">
        <f>IF($M$1&gt;=I161,IF(VLOOKUP(I161,Iktato!$B$3:$Q$10000,16,FALSE)&lt;&gt;0,VLOOKUP(I161,Iktato!$B$3:$Q$10000,16,FALSE),""),"")</f>
        <v/>
      </c>
      <c r="P161" s="6" t="str">
        <f>TRIM(IF($M$1&gt;=I161,IF(VLOOKUP(I161,Iktato!$B$3:$L$10000,6,FALSE)&lt;&gt;0,VLOOKUP(I161,Iktato!$B$3:$L$10000,6,FALSE),""),""))</f>
        <v/>
      </c>
      <c r="Q161" s="8" t="str">
        <f>TRIM(IF($M$1&gt;=I161,IF(VLOOKUP(I161,Iktato!$B$3:$L$10000,7,FALSE)&lt;&gt;0,VLOOKUP(I161,Iktato!$B$3:$L$10000,7,FALSE),""),""))</f>
        <v/>
      </c>
      <c r="R161" s="6" t="str">
        <f t="shared" si="19"/>
        <v/>
      </c>
      <c r="S161" s="6" t="str">
        <f t="shared" si="20"/>
        <v/>
      </c>
      <c r="T161" s="6" t="str">
        <f t="shared" si="21"/>
        <v/>
      </c>
    </row>
    <row r="162" spans="1:20" ht="16.5" x14ac:dyDescent="0.25">
      <c r="A162" s="11" t="str">
        <f t="shared" si="16"/>
        <v/>
      </c>
      <c r="B162" s="12" t="str">
        <f>IF($M$1&gt;=I162,VLOOKUP(I162,Iktato!$B$3:$L$10000,5,FALSE),"")</f>
        <v/>
      </c>
      <c r="C162" s="13" t="str">
        <f t="shared" si="17"/>
        <v/>
      </c>
      <c r="D162" s="14" t="str">
        <f>TRIM(IF($M$1&gt;=I162,IF(VLOOKUP(I162,Iktato!$B$3:$L$10000,8,FALSE)&lt;&gt;0,VLOOKUP(I162,Iktato!$B$3:$L$10000,8,FALSE),""),""))</f>
        <v/>
      </c>
      <c r="E162" s="14" t="str">
        <f>TRIM(IF($M$1&gt;=I162,IF(VLOOKUP(I162,Iktato!$B$3:$L$10000,9,FALSE)&lt;&gt;0,VLOOKUP(I162,Iktato!$B$3:$L$10000,9,FALSE),""),""))</f>
        <v/>
      </c>
      <c r="F162" s="43" t="str">
        <f t="shared" si="22"/>
        <v/>
      </c>
      <c r="G162" s="43"/>
      <c r="I162" s="6">
        <f t="shared" si="23"/>
        <v>152</v>
      </c>
      <c r="J162" s="6" t="str">
        <f t="shared" si="18"/>
        <v/>
      </c>
      <c r="K162" s="6" t="str">
        <f>IF($M$1&gt;=I162,VLOOKUP(I162,Iktato!$B$3:$L$10000,3,FALSE),"")</f>
        <v/>
      </c>
      <c r="M162" s="6" t="str">
        <f>IF($M$1&gt;=I162,IF(VLOOKUP(I162,Iktato!$B$3:$P$10000,15,FALSE)&lt;&gt;0,VLOOKUP(I162,Iktato!$B$3:$P$10000,15,FALSE),""),"")</f>
        <v/>
      </c>
      <c r="N162" s="6" t="str">
        <f>IF($M$1&gt;=I162,IF(VLOOKUP(I162,Iktato!$B$3:$Q$10000,16,FALSE)&lt;&gt;0,VLOOKUP(I162,Iktato!$B$3:$Q$10000,16,FALSE),""),"")</f>
        <v/>
      </c>
      <c r="P162" s="6" t="str">
        <f>TRIM(IF($M$1&gt;=I162,IF(VLOOKUP(I162,Iktato!$B$3:$L$10000,6,FALSE)&lt;&gt;0,VLOOKUP(I162,Iktato!$B$3:$L$10000,6,FALSE),""),""))</f>
        <v/>
      </c>
      <c r="Q162" s="8" t="str">
        <f>TRIM(IF($M$1&gt;=I162,IF(VLOOKUP(I162,Iktato!$B$3:$L$10000,7,FALSE)&lt;&gt;0,VLOOKUP(I162,Iktato!$B$3:$L$10000,7,FALSE),""),""))</f>
        <v/>
      </c>
      <c r="R162" s="6" t="str">
        <f t="shared" si="19"/>
        <v/>
      </c>
      <c r="S162" s="6" t="str">
        <f t="shared" si="20"/>
        <v/>
      </c>
      <c r="T162" s="6" t="str">
        <f t="shared" si="21"/>
        <v/>
      </c>
    </row>
    <row r="163" spans="1:20" ht="16.5" x14ac:dyDescent="0.25">
      <c r="A163" s="11" t="str">
        <f t="shared" si="16"/>
        <v/>
      </c>
      <c r="B163" s="12" t="str">
        <f>IF($M$1&gt;=I163,VLOOKUP(I163,Iktato!$B$3:$L$10000,5,FALSE),"")</f>
        <v/>
      </c>
      <c r="C163" s="13" t="str">
        <f t="shared" si="17"/>
        <v/>
      </c>
      <c r="D163" s="14" t="str">
        <f>TRIM(IF($M$1&gt;=I163,IF(VLOOKUP(I163,Iktato!$B$3:$L$10000,8,FALSE)&lt;&gt;0,VLOOKUP(I163,Iktato!$B$3:$L$10000,8,FALSE),""),""))</f>
        <v/>
      </c>
      <c r="E163" s="14" t="str">
        <f>TRIM(IF($M$1&gt;=I163,IF(VLOOKUP(I163,Iktato!$B$3:$L$10000,9,FALSE)&lt;&gt;0,VLOOKUP(I163,Iktato!$B$3:$L$10000,9,FALSE),""),""))</f>
        <v/>
      </c>
      <c r="F163" s="43" t="str">
        <f t="shared" si="22"/>
        <v/>
      </c>
      <c r="G163" s="43"/>
      <c r="I163" s="6">
        <f t="shared" si="23"/>
        <v>153</v>
      </c>
      <c r="J163" s="6" t="str">
        <f t="shared" si="18"/>
        <v/>
      </c>
      <c r="K163" s="6" t="str">
        <f>IF($M$1&gt;=I163,VLOOKUP(I163,Iktato!$B$3:$L$10000,3,FALSE),"")</f>
        <v/>
      </c>
      <c r="M163" s="6" t="str">
        <f>IF($M$1&gt;=I163,IF(VLOOKUP(I163,Iktato!$B$3:$P$10000,15,FALSE)&lt;&gt;0,VLOOKUP(I163,Iktato!$B$3:$P$10000,15,FALSE),""),"")</f>
        <v/>
      </c>
      <c r="N163" s="6" t="str">
        <f>IF($M$1&gt;=I163,IF(VLOOKUP(I163,Iktato!$B$3:$Q$10000,16,FALSE)&lt;&gt;0,VLOOKUP(I163,Iktato!$B$3:$Q$10000,16,FALSE),""),"")</f>
        <v/>
      </c>
      <c r="P163" s="6" t="str">
        <f>TRIM(IF($M$1&gt;=I163,IF(VLOOKUP(I163,Iktato!$B$3:$L$10000,6,FALSE)&lt;&gt;0,VLOOKUP(I163,Iktato!$B$3:$L$10000,6,FALSE),""),""))</f>
        <v/>
      </c>
      <c r="Q163" s="8" t="str">
        <f>TRIM(IF($M$1&gt;=I163,IF(VLOOKUP(I163,Iktato!$B$3:$L$10000,7,FALSE)&lt;&gt;0,VLOOKUP(I163,Iktato!$B$3:$L$10000,7,FALSE),""),""))</f>
        <v/>
      </c>
      <c r="R163" s="6" t="str">
        <f t="shared" si="19"/>
        <v/>
      </c>
      <c r="S163" s="6" t="str">
        <f t="shared" si="20"/>
        <v/>
      </c>
      <c r="T163" s="6" t="str">
        <f t="shared" si="21"/>
        <v/>
      </c>
    </row>
    <row r="164" spans="1:20" ht="16.5" x14ac:dyDescent="0.25">
      <c r="A164" s="11" t="str">
        <f t="shared" si="16"/>
        <v/>
      </c>
      <c r="B164" s="12" t="str">
        <f>IF($M$1&gt;=I164,VLOOKUP(I164,Iktato!$B$3:$L$10000,5,FALSE),"")</f>
        <v/>
      </c>
      <c r="C164" s="13" t="str">
        <f t="shared" si="17"/>
        <v/>
      </c>
      <c r="D164" s="14" t="str">
        <f>TRIM(IF($M$1&gt;=I164,IF(VLOOKUP(I164,Iktato!$B$3:$L$10000,8,FALSE)&lt;&gt;0,VLOOKUP(I164,Iktato!$B$3:$L$10000,8,FALSE),""),""))</f>
        <v/>
      </c>
      <c r="E164" s="14" t="str">
        <f>TRIM(IF($M$1&gt;=I164,IF(VLOOKUP(I164,Iktato!$B$3:$L$10000,9,FALSE)&lt;&gt;0,VLOOKUP(I164,Iktato!$B$3:$L$10000,9,FALSE),""),""))</f>
        <v/>
      </c>
      <c r="F164" s="43" t="str">
        <f t="shared" si="22"/>
        <v/>
      </c>
      <c r="G164" s="43"/>
      <c r="I164" s="6">
        <f t="shared" si="23"/>
        <v>154</v>
      </c>
      <c r="J164" s="6" t="str">
        <f t="shared" si="18"/>
        <v/>
      </c>
      <c r="K164" s="6" t="str">
        <f>IF($M$1&gt;=I164,VLOOKUP(I164,Iktato!$B$3:$L$10000,3,FALSE),"")</f>
        <v/>
      </c>
      <c r="M164" s="6" t="str">
        <f>IF($M$1&gt;=I164,IF(VLOOKUP(I164,Iktato!$B$3:$P$10000,15,FALSE)&lt;&gt;0,VLOOKUP(I164,Iktato!$B$3:$P$10000,15,FALSE),""),"")</f>
        <v/>
      </c>
      <c r="N164" s="6" t="str">
        <f>IF($M$1&gt;=I164,IF(VLOOKUP(I164,Iktato!$B$3:$Q$10000,16,FALSE)&lt;&gt;0,VLOOKUP(I164,Iktato!$B$3:$Q$10000,16,FALSE),""),"")</f>
        <v/>
      </c>
      <c r="P164" s="6" t="str">
        <f>TRIM(IF($M$1&gt;=I164,IF(VLOOKUP(I164,Iktato!$B$3:$L$10000,6,FALSE)&lt;&gt;0,VLOOKUP(I164,Iktato!$B$3:$L$10000,6,FALSE),""),""))</f>
        <v/>
      </c>
      <c r="Q164" s="8" t="str">
        <f>TRIM(IF($M$1&gt;=I164,IF(VLOOKUP(I164,Iktato!$B$3:$L$10000,7,FALSE)&lt;&gt;0,VLOOKUP(I164,Iktato!$B$3:$L$10000,7,FALSE),""),""))</f>
        <v/>
      </c>
      <c r="R164" s="6" t="str">
        <f t="shared" si="19"/>
        <v/>
      </c>
      <c r="S164" s="6" t="str">
        <f t="shared" si="20"/>
        <v/>
      </c>
      <c r="T164" s="6" t="str">
        <f t="shared" si="21"/>
        <v/>
      </c>
    </row>
    <row r="165" spans="1:20" ht="16.5" x14ac:dyDescent="0.25">
      <c r="A165" s="11" t="str">
        <f t="shared" si="16"/>
        <v/>
      </c>
      <c r="B165" s="12" t="str">
        <f>IF($M$1&gt;=I165,VLOOKUP(I165,Iktato!$B$3:$L$10000,5,FALSE),"")</f>
        <v/>
      </c>
      <c r="C165" s="13" t="str">
        <f t="shared" si="17"/>
        <v/>
      </c>
      <c r="D165" s="14" t="str">
        <f>TRIM(IF($M$1&gt;=I165,IF(VLOOKUP(I165,Iktato!$B$3:$L$10000,8,FALSE)&lt;&gt;0,VLOOKUP(I165,Iktato!$B$3:$L$10000,8,FALSE),""),""))</f>
        <v/>
      </c>
      <c r="E165" s="14" t="str">
        <f>TRIM(IF($M$1&gt;=I165,IF(VLOOKUP(I165,Iktato!$B$3:$L$10000,9,FALSE)&lt;&gt;0,VLOOKUP(I165,Iktato!$B$3:$L$10000,9,FALSE),""),""))</f>
        <v/>
      </c>
      <c r="F165" s="43" t="str">
        <f t="shared" si="22"/>
        <v/>
      </c>
      <c r="G165" s="43"/>
      <c r="I165" s="6">
        <f t="shared" si="23"/>
        <v>155</v>
      </c>
      <c r="J165" s="6" t="str">
        <f t="shared" si="18"/>
        <v/>
      </c>
      <c r="K165" s="6" t="str">
        <f>IF($M$1&gt;=I165,VLOOKUP(I165,Iktato!$B$3:$L$10000,3,FALSE),"")</f>
        <v/>
      </c>
      <c r="M165" s="6" t="str">
        <f>IF($M$1&gt;=I165,IF(VLOOKUP(I165,Iktato!$B$3:$P$10000,15,FALSE)&lt;&gt;0,VLOOKUP(I165,Iktato!$B$3:$P$10000,15,FALSE),""),"")</f>
        <v/>
      </c>
      <c r="N165" s="6" t="str">
        <f>IF($M$1&gt;=I165,IF(VLOOKUP(I165,Iktato!$B$3:$Q$10000,16,FALSE)&lt;&gt;0,VLOOKUP(I165,Iktato!$B$3:$Q$10000,16,FALSE),""),"")</f>
        <v/>
      </c>
      <c r="P165" s="6" t="str">
        <f>TRIM(IF($M$1&gt;=I165,IF(VLOOKUP(I165,Iktato!$B$3:$L$10000,6,FALSE)&lt;&gt;0,VLOOKUP(I165,Iktato!$B$3:$L$10000,6,FALSE),""),""))</f>
        <v/>
      </c>
      <c r="Q165" s="8" t="str">
        <f>TRIM(IF($M$1&gt;=I165,IF(VLOOKUP(I165,Iktato!$B$3:$L$10000,7,FALSE)&lt;&gt;0,VLOOKUP(I165,Iktato!$B$3:$L$10000,7,FALSE),""),""))</f>
        <v/>
      </c>
      <c r="R165" s="6" t="str">
        <f t="shared" si="19"/>
        <v/>
      </c>
      <c r="S165" s="6" t="str">
        <f t="shared" si="20"/>
        <v/>
      </c>
      <c r="T165" s="6" t="str">
        <f t="shared" si="21"/>
        <v/>
      </c>
    </row>
    <row r="166" spans="1:20" ht="16.5" x14ac:dyDescent="0.25">
      <c r="A166" s="11" t="str">
        <f t="shared" si="16"/>
        <v/>
      </c>
      <c r="B166" s="12" t="str">
        <f>IF($M$1&gt;=I166,VLOOKUP(I166,Iktato!$B$3:$L$10000,5,FALSE),"")</f>
        <v/>
      </c>
      <c r="C166" s="13" t="str">
        <f t="shared" si="17"/>
        <v/>
      </c>
      <c r="D166" s="14" t="str">
        <f>TRIM(IF($M$1&gt;=I166,IF(VLOOKUP(I166,Iktato!$B$3:$L$10000,8,FALSE)&lt;&gt;0,VLOOKUP(I166,Iktato!$B$3:$L$10000,8,FALSE),""),""))</f>
        <v/>
      </c>
      <c r="E166" s="14" t="str">
        <f>TRIM(IF($M$1&gt;=I166,IF(VLOOKUP(I166,Iktato!$B$3:$L$10000,9,FALSE)&lt;&gt;0,VLOOKUP(I166,Iktato!$B$3:$L$10000,9,FALSE),""),""))</f>
        <v/>
      </c>
      <c r="F166" s="43" t="str">
        <f t="shared" si="22"/>
        <v/>
      </c>
      <c r="G166" s="43"/>
      <c r="I166" s="6">
        <f t="shared" si="23"/>
        <v>156</v>
      </c>
      <c r="J166" s="6" t="str">
        <f t="shared" si="18"/>
        <v/>
      </c>
      <c r="K166" s="6" t="str">
        <f>IF($M$1&gt;=I166,VLOOKUP(I166,Iktato!$B$3:$L$10000,3,FALSE),"")</f>
        <v/>
      </c>
      <c r="M166" s="6" t="str">
        <f>IF($M$1&gt;=I166,IF(VLOOKUP(I166,Iktato!$B$3:$P$10000,15,FALSE)&lt;&gt;0,VLOOKUP(I166,Iktato!$B$3:$P$10000,15,FALSE),""),"")</f>
        <v/>
      </c>
      <c r="N166" s="6" t="str">
        <f>IF($M$1&gt;=I166,IF(VLOOKUP(I166,Iktato!$B$3:$Q$10000,16,FALSE)&lt;&gt;0,VLOOKUP(I166,Iktato!$B$3:$Q$10000,16,FALSE),""),"")</f>
        <v/>
      </c>
      <c r="P166" s="6" t="str">
        <f>TRIM(IF($M$1&gt;=I166,IF(VLOOKUP(I166,Iktato!$B$3:$L$10000,6,FALSE)&lt;&gt;0,VLOOKUP(I166,Iktato!$B$3:$L$10000,6,FALSE),""),""))</f>
        <v/>
      </c>
      <c r="Q166" s="8" t="str">
        <f>TRIM(IF($M$1&gt;=I166,IF(VLOOKUP(I166,Iktato!$B$3:$L$10000,7,FALSE)&lt;&gt;0,VLOOKUP(I166,Iktato!$B$3:$L$10000,7,FALSE),""),""))</f>
        <v/>
      </c>
      <c r="R166" s="6" t="str">
        <f t="shared" si="19"/>
        <v/>
      </c>
      <c r="S166" s="6" t="str">
        <f t="shared" si="20"/>
        <v/>
      </c>
      <c r="T166" s="6" t="str">
        <f t="shared" si="21"/>
        <v/>
      </c>
    </row>
    <row r="167" spans="1:20" ht="16.5" x14ac:dyDescent="0.25">
      <c r="A167" s="11" t="str">
        <f t="shared" si="16"/>
        <v/>
      </c>
      <c r="B167" s="12" t="str">
        <f>IF($M$1&gt;=I167,VLOOKUP(I167,Iktato!$B$3:$L$10000,5,FALSE),"")</f>
        <v/>
      </c>
      <c r="C167" s="13" t="str">
        <f t="shared" si="17"/>
        <v/>
      </c>
      <c r="D167" s="14" t="str">
        <f>TRIM(IF($M$1&gt;=I167,IF(VLOOKUP(I167,Iktato!$B$3:$L$10000,8,FALSE)&lt;&gt;0,VLOOKUP(I167,Iktato!$B$3:$L$10000,8,FALSE),""),""))</f>
        <v/>
      </c>
      <c r="E167" s="14" t="str">
        <f>TRIM(IF($M$1&gt;=I167,IF(VLOOKUP(I167,Iktato!$B$3:$L$10000,9,FALSE)&lt;&gt;0,VLOOKUP(I167,Iktato!$B$3:$L$10000,9,FALSE),""),""))</f>
        <v/>
      </c>
      <c r="F167" s="43" t="str">
        <f t="shared" si="22"/>
        <v/>
      </c>
      <c r="G167" s="43"/>
      <c r="I167" s="6">
        <f t="shared" si="23"/>
        <v>157</v>
      </c>
      <c r="J167" s="6" t="str">
        <f t="shared" si="18"/>
        <v/>
      </c>
      <c r="K167" s="6" t="str">
        <f>IF($M$1&gt;=I167,VLOOKUP(I167,Iktato!$B$3:$L$10000,3,FALSE),"")</f>
        <v/>
      </c>
      <c r="M167" s="6" t="str">
        <f>IF($M$1&gt;=I167,IF(VLOOKUP(I167,Iktato!$B$3:$P$10000,15,FALSE)&lt;&gt;0,VLOOKUP(I167,Iktato!$B$3:$P$10000,15,FALSE),""),"")</f>
        <v/>
      </c>
      <c r="N167" s="6" t="str">
        <f>IF($M$1&gt;=I167,IF(VLOOKUP(I167,Iktato!$B$3:$Q$10000,16,FALSE)&lt;&gt;0,VLOOKUP(I167,Iktato!$B$3:$Q$10000,16,FALSE),""),"")</f>
        <v/>
      </c>
      <c r="P167" s="6" t="str">
        <f>TRIM(IF($M$1&gt;=I167,IF(VLOOKUP(I167,Iktato!$B$3:$L$10000,6,FALSE)&lt;&gt;0,VLOOKUP(I167,Iktato!$B$3:$L$10000,6,FALSE),""),""))</f>
        <v/>
      </c>
      <c r="Q167" s="8" t="str">
        <f>TRIM(IF($M$1&gt;=I167,IF(VLOOKUP(I167,Iktato!$B$3:$L$10000,7,FALSE)&lt;&gt;0,VLOOKUP(I167,Iktato!$B$3:$L$10000,7,FALSE),""),""))</f>
        <v/>
      </c>
      <c r="R167" s="6" t="str">
        <f t="shared" si="19"/>
        <v/>
      </c>
      <c r="S167" s="6" t="str">
        <f t="shared" si="20"/>
        <v/>
      </c>
      <c r="T167" s="6" t="str">
        <f t="shared" si="21"/>
        <v/>
      </c>
    </row>
    <row r="168" spans="1:20" ht="16.5" x14ac:dyDescent="0.25">
      <c r="A168" s="11" t="str">
        <f t="shared" si="16"/>
        <v/>
      </c>
      <c r="B168" s="12" t="str">
        <f>IF($M$1&gt;=I168,VLOOKUP(I168,Iktato!$B$3:$L$10000,5,FALSE),"")</f>
        <v/>
      </c>
      <c r="C168" s="13" t="str">
        <f t="shared" si="17"/>
        <v/>
      </c>
      <c r="D168" s="14" t="str">
        <f>TRIM(IF($M$1&gt;=I168,IF(VLOOKUP(I168,Iktato!$B$3:$L$10000,8,FALSE)&lt;&gt;0,VLOOKUP(I168,Iktato!$B$3:$L$10000,8,FALSE),""),""))</f>
        <v/>
      </c>
      <c r="E168" s="14" t="str">
        <f>TRIM(IF($M$1&gt;=I168,IF(VLOOKUP(I168,Iktato!$B$3:$L$10000,9,FALSE)&lt;&gt;0,VLOOKUP(I168,Iktato!$B$3:$L$10000,9,FALSE),""),""))</f>
        <v/>
      </c>
      <c r="F168" s="43" t="str">
        <f t="shared" si="22"/>
        <v/>
      </c>
      <c r="G168" s="43"/>
      <c r="I168" s="6">
        <f t="shared" si="23"/>
        <v>158</v>
      </c>
      <c r="J168" s="6" t="str">
        <f t="shared" si="18"/>
        <v/>
      </c>
      <c r="K168" s="6" t="str">
        <f>IF($M$1&gt;=I168,VLOOKUP(I168,Iktato!$B$3:$L$10000,3,FALSE),"")</f>
        <v/>
      </c>
      <c r="M168" s="6" t="str">
        <f>IF($M$1&gt;=I168,IF(VLOOKUP(I168,Iktato!$B$3:$P$10000,15,FALSE)&lt;&gt;0,VLOOKUP(I168,Iktato!$B$3:$P$10000,15,FALSE),""),"")</f>
        <v/>
      </c>
      <c r="N168" s="6" t="str">
        <f>IF($M$1&gt;=I168,IF(VLOOKUP(I168,Iktato!$B$3:$Q$10000,16,FALSE)&lt;&gt;0,VLOOKUP(I168,Iktato!$B$3:$Q$10000,16,FALSE),""),"")</f>
        <v/>
      </c>
      <c r="P168" s="6" t="str">
        <f>TRIM(IF($M$1&gt;=I168,IF(VLOOKUP(I168,Iktato!$B$3:$L$10000,6,FALSE)&lt;&gt;0,VLOOKUP(I168,Iktato!$B$3:$L$10000,6,FALSE),""),""))</f>
        <v/>
      </c>
      <c r="Q168" s="8" t="str">
        <f>TRIM(IF($M$1&gt;=I168,IF(VLOOKUP(I168,Iktato!$B$3:$L$10000,7,FALSE)&lt;&gt;0,VLOOKUP(I168,Iktato!$B$3:$L$10000,7,FALSE),""),""))</f>
        <v/>
      </c>
      <c r="R168" s="6" t="str">
        <f t="shared" si="19"/>
        <v/>
      </c>
      <c r="S168" s="6" t="str">
        <f t="shared" si="20"/>
        <v/>
      </c>
      <c r="T168" s="6" t="str">
        <f t="shared" si="21"/>
        <v/>
      </c>
    </row>
    <row r="169" spans="1:20" ht="16.5" x14ac:dyDescent="0.25">
      <c r="A169" s="11" t="str">
        <f t="shared" si="16"/>
        <v/>
      </c>
      <c r="B169" s="12" t="str">
        <f>IF($M$1&gt;=I169,VLOOKUP(I169,Iktato!$B$3:$L$10000,5,FALSE),"")</f>
        <v/>
      </c>
      <c r="C169" s="13" t="str">
        <f t="shared" si="17"/>
        <v/>
      </c>
      <c r="D169" s="14" t="str">
        <f>TRIM(IF($M$1&gt;=I169,IF(VLOOKUP(I169,Iktato!$B$3:$L$10000,8,FALSE)&lt;&gt;0,VLOOKUP(I169,Iktato!$B$3:$L$10000,8,FALSE),""),""))</f>
        <v/>
      </c>
      <c r="E169" s="14" t="str">
        <f>TRIM(IF($M$1&gt;=I169,IF(VLOOKUP(I169,Iktato!$B$3:$L$10000,9,FALSE)&lt;&gt;0,VLOOKUP(I169,Iktato!$B$3:$L$10000,9,FALSE),""),""))</f>
        <v/>
      </c>
      <c r="F169" s="43" t="str">
        <f t="shared" si="22"/>
        <v/>
      </c>
      <c r="G169" s="43"/>
      <c r="I169" s="6">
        <f t="shared" si="23"/>
        <v>159</v>
      </c>
      <c r="J169" s="6" t="str">
        <f t="shared" si="18"/>
        <v/>
      </c>
      <c r="K169" s="6" t="str">
        <f>IF($M$1&gt;=I169,VLOOKUP(I169,Iktato!$B$3:$L$10000,3,FALSE),"")</f>
        <v/>
      </c>
      <c r="M169" s="6" t="str">
        <f>IF($M$1&gt;=I169,IF(VLOOKUP(I169,Iktato!$B$3:$P$10000,15,FALSE)&lt;&gt;0,VLOOKUP(I169,Iktato!$B$3:$P$10000,15,FALSE),""),"")</f>
        <v/>
      </c>
      <c r="N169" s="6" t="str">
        <f>IF($M$1&gt;=I169,IF(VLOOKUP(I169,Iktato!$B$3:$Q$10000,16,FALSE)&lt;&gt;0,VLOOKUP(I169,Iktato!$B$3:$Q$10000,16,FALSE),""),"")</f>
        <v/>
      </c>
      <c r="P169" s="6" t="str">
        <f>TRIM(IF($M$1&gt;=I169,IF(VLOOKUP(I169,Iktato!$B$3:$L$10000,6,FALSE)&lt;&gt;0,VLOOKUP(I169,Iktato!$B$3:$L$10000,6,FALSE),""),""))</f>
        <v/>
      </c>
      <c r="Q169" s="8" t="str">
        <f>TRIM(IF($M$1&gt;=I169,IF(VLOOKUP(I169,Iktato!$B$3:$L$10000,7,FALSE)&lt;&gt;0,VLOOKUP(I169,Iktato!$B$3:$L$10000,7,FALSE),""),""))</f>
        <v/>
      </c>
      <c r="R169" s="6" t="str">
        <f t="shared" si="19"/>
        <v/>
      </c>
      <c r="S169" s="6" t="str">
        <f t="shared" si="20"/>
        <v/>
      </c>
      <c r="T169" s="6" t="str">
        <f t="shared" si="21"/>
        <v/>
      </c>
    </row>
    <row r="170" spans="1:20" ht="16.5" x14ac:dyDescent="0.25">
      <c r="A170" s="11" t="str">
        <f t="shared" ref="A170:A233" si="24">IF($M$1&gt;=I170,J170,"")</f>
        <v/>
      </c>
      <c r="B170" s="12" t="str">
        <f>IF($M$1&gt;=I170,VLOOKUP(I170,Iktato!$B$3:$L$10000,5,FALSE),"")</f>
        <v/>
      </c>
      <c r="C170" s="13" t="str">
        <f t="shared" ref="C170:C233" si="25">TRIM(IF(AND(P170&amp;Q170&lt;&gt;"",$M$1&gt;=I170),P170&amp;"-"&amp;R170&amp;$R$10&amp;S170&amp;$R$10&amp;T170&amp;$R$10,""))</f>
        <v/>
      </c>
      <c r="D170" s="14" t="str">
        <f>TRIM(IF($M$1&gt;=I170,IF(VLOOKUP(I170,Iktato!$B$3:$L$10000,8,FALSE)&lt;&gt;0,VLOOKUP(I170,Iktato!$B$3:$L$10000,8,FALSE),""),""))</f>
        <v/>
      </c>
      <c r="E170" s="14" t="str">
        <f>TRIM(IF($M$1&gt;=I170,IF(VLOOKUP(I170,Iktato!$B$3:$L$10000,9,FALSE)&lt;&gt;0,VLOOKUP(I170,Iktato!$B$3:$L$10000,9,FALSE),""),""))</f>
        <v/>
      </c>
      <c r="F170" s="43" t="str">
        <f t="shared" si="22"/>
        <v/>
      </c>
      <c r="G170" s="43"/>
      <c r="I170" s="6">
        <f t="shared" si="23"/>
        <v>160</v>
      </c>
      <c r="J170" s="6" t="str">
        <f t="shared" ref="J170:J233" si="26">IF(K169&lt;&gt;K170,K170,"")</f>
        <v/>
      </c>
      <c r="K170" s="6" t="str">
        <f>IF($M$1&gt;=I170,VLOOKUP(I170,Iktato!$B$3:$L$10000,3,FALSE),"")</f>
        <v/>
      </c>
      <c r="M170" s="6" t="str">
        <f>IF($M$1&gt;=I170,IF(VLOOKUP(I170,Iktato!$B$3:$P$10000,15,FALSE)&lt;&gt;0,VLOOKUP(I170,Iktato!$B$3:$P$10000,15,FALSE),""),"")</f>
        <v/>
      </c>
      <c r="N170" s="6" t="str">
        <f>IF($M$1&gt;=I170,IF(VLOOKUP(I170,Iktato!$B$3:$Q$10000,16,FALSE)&lt;&gt;0,VLOOKUP(I170,Iktato!$B$3:$Q$10000,16,FALSE),""),"")</f>
        <v/>
      </c>
      <c r="P170" s="6" t="str">
        <f>TRIM(IF($M$1&gt;=I170,IF(VLOOKUP(I170,Iktato!$B$3:$L$10000,6,FALSE)&lt;&gt;0,VLOOKUP(I170,Iktato!$B$3:$L$10000,6,FALSE),""),""))</f>
        <v/>
      </c>
      <c r="Q170" s="8" t="str">
        <f>TRIM(IF($M$1&gt;=I170,IF(VLOOKUP(I170,Iktato!$B$3:$L$10000,7,FALSE)&lt;&gt;0,VLOOKUP(I170,Iktato!$B$3:$L$10000,7,FALSE),""),""))</f>
        <v/>
      </c>
      <c r="R170" s="6" t="str">
        <f t="shared" ref="R170:R233" si="27">IF(Q170&lt;&gt;"",YEAR(Q170),"")</f>
        <v/>
      </c>
      <c r="S170" s="6" t="str">
        <f t="shared" ref="S170:S233" si="28">IF(Q170&lt;&gt;"",MONTH(Q170),"")</f>
        <v/>
      </c>
      <c r="T170" s="6" t="str">
        <f t="shared" ref="T170:T233" si="29">IF(Q170&lt;&gt;"",DAY(Q170),"")</f>
        <v/>
      </c>
    </row>
    <row r="171" spans="1:20" ht="16.5" x14ac:dyDescent="0.25">
      <c r="A171" s="11" t="str">
        <f t="shared" si="24"/>
        <v/>
      </c>
      <c r="B171" s="12" t="str">
        <f>IF($M$1&gt;=I171,VLOOKUP(I171,Iktato!$B$3:$L$10000,5,FALSE),"")</f>
        <v/>
      </c>
      <c r="C171" s="13" t="str">
        <f t="shared" si="25"/>
        <v/>
      </c>
      <c r="D171" s="14" t="str">
        <f>TRIM(IF($M$1&gt;=I171,IF(VLOOKUP(I171,Iktato!$B$3:$L$10000,8,FALSE)&lt;&gt;0,VLOOKUP(I171,Iktato!$B$3:$L$10000,8,FALSE),""),""))</f>
        <v/>
      </c>
      <c r="E171" s="14" t="str">
        <f>TRIM(IF($M$1&gt;=I171,IF(VLOOKUP(I171,Iktato!$B$3:$L$10000,9,FALSE)&lt;&gt;0,VLOOKUP(I171,Iktato!$B$3:$L$10000,9,FALSE),""),""))</f>
        <v/>
      </c>
      <c r="F171" s="43" t="str">
        <f t="shared" si="22"/>
        <v/>
      </c>
      <c r="G171" s="43"/>
      <c r="I171" s="6">
        <f t="shared" si="23"/>
        <v>161</v>
      </c>
      <c r="J171" s="6" t="str">
        <f t="shared" si="26"/>
        <v/>
      </c>
      <c r="K171" s="6" t="str">
        <f>IF($M$1&gt;=I171,VLOOKUP(I171,Iktato!$B$3:$L$10000,3,FALSE),"")</f>
        <v/>
      </c>
      <c r="M171" s="6" t="str">
        <f>IF($M$1&gt;=I171,IF(VLOOKUP(I171,Iktato!$B$3:$P$10000,15,FALSE)&lt;&gt;0,VLOOKUP(I171,Iktato!$B$3:$P$10000,15,FALSE),""),"")</f>
        <v/>
      </c>
      <c r="N171" s="6" t="str">
        <f>IF($M$1&gt;=I171,IF(VLOOKUP(I171,Iktato!$B$3:$Q$10000,16,FALSE)&lt;&gt;0,VLOOKUP(I171,Iktato!$B$3:$Q$10000,16,FALSE),""),"")</f>
        <v/>
      </c>
      <c r="P171" s="6" t="str">
        <f>TRIM(IF($M$1&gt;=I171,IF(VLOOKUP(I171,Iktato!$B$3:$L$10000,6,FALSE)&lt;&gt;0,VLOOKUP(I171,Iktato!$B$3:$L$10000,6,FALSE),""),""))</f>
        <v/>
      </c>
      <c r="Q171" s="8" t="str">
        <f>TRIM(IF($M$1&gt;=I171,IF(VLOOKUP(I171,Iktato!$B$3:$L$10000,7,FALSE)&lt;&gt;0,VLOOKUP(I171,Iktato!$B$3:$L$10000,7,FALSE),""),""))</f>
        <v/>
      </c>
      <c r="R171" s="6" t="str">
        <f t="shared" si="27"/>
        <v/>
      </c>
      <c r="S171" s="6" t="str">
        <f t="shared" si="28"/>
        <v/>
      </c>
      <c r="T171" s="6" t="str">
        <f t="shared" si="29"/>
        <v/>
      </c>
    </row>
    <row r="172" spans="1:20" ht="16.5" x14ac:dyDescent="0.25">
      <c r="A172" s="11" t="str">
        <f t="shared" si="24"/>
        <v/>
      </c>
      <c r="B172" s="12" t="str">
        <f>IF($M$1&gt;=I172,VLOOKUP(I172,Iktato!$B$3:$L$10000,5,FALSE),"")</f>
        <v/>
      </c>
      <c r="C172" s="13" t="str">
        <f t="shared" si="25"/>
        <v/>
      </c>
      <c r="D172" s="14" t="str">
        <f>TRIM(IF($M$1&gt;=I172,IF(VLOOKUP(I172,Iktato!$B$3:$L$10000,8,FALSE)&lt;&gt;0,VLOOKUP(I172,Iktato!$B$3:$L$10000,8,FALSE),""),""))</f>
        <v/>
      </c>
      <c r="E172" s="14" t="str">
        <f>TRIM(IF($M$1&gt;=I172,IF(VLOOKUP(I172,Iktato!$B$3:$L$10000,9,FALSE)&lt;&gt;0,VLOOKUP(I172,Iktato!$B$3:$L$10000,9,FALSE),""),""))</f>
        <v/>
      </c>
      <c r="F172" s="43" t="str">
        <f t="shared" si="22"/>
        <v/>
      </c>
      <c r="G172" s="43"/>
      <c r="I172" s="6">
        <f t="shared" si="23"/>
        <v>162</v>
      </c>
      <c r="J172" s="6" t="str">
        <f t="shared" si="26"/>
        <v/>
      </c>
      <c r="K172" s="6" t="str">
        <f>IF($M$1&gt;=I172,VLOOKUP(I172,Iktato!$B$3:$L$10000,3,FALSE),"")</f>
        <v/>
      </c>
      <c r="M172" s="6" t="str">
        <f>IF($M$1&gt;=I172,IF(VLOOKUP(I172,Iktato!$B$3:$P$10000,15,FALSE)&lt;&gt;0,VLOOKUP(I172,Iktato!$B$3:$P$10000,15,FALSE),""),"")</f>
        <v/>
      </c>
      <c r="N172" s="6" t="str">
        <f>IF($M$1&gt;=I172,IF(VLOOKUP(I172,Iktato!$B$3:$Q$10000,16,FALSE)&lt;&gt;0,VLOOKUP(I172,Iktato!$B$3:$Q$10000,16,FALSE),""),"")</f>
        <v/>
      </c>
      <c r="P172" s="6" t="str">
        <f>TRIM(IF($M$1&gt;=I172,IF(VLOOKUP(I172,Iktato!$B$3:$L$10000,6,FALSE)&lt;&gt;0,VLOOKUP(I172,Iktato!$B$3:$L$10000,6,FALSE),""),""))</f>
        <v/>
      </c>
      <c r="Q172" s="8" t="str">
        <f>TRIM(IF($M$1&gt;=I172,IF(VLOOKUP(I172,Iktato!$B$3:$L$10000,7,FALSE)&lt;&gt;0,VLOOKUP(I172,Iktato!$B$3:$L$10000,7,FALSE),""),""))</f>
        <v/>
      </c>
      <c r="R172" s="6" t="str">
        <f t="shared" si="27"/>
        <v/>
      </c>
      <c r="S172" s="6" t="str">
        <f t="shared" si="28"/>
        <v/>
      </c>
      <c r="T172" s="6" t="str">
        <f t="shared" si="29"/>
        <v/>
      </c>
    </row>
    <row r="173" spans="1:20" ht="16.5" x14ac:dyDescent="0.25">
      <c r="A173" s="11" t="str">
        <f t="shared" si="24"/>
        <v/>
      </c>
      <c r="B173" s="12" t="str">
        <f>IF($M$1&gt;=I173,VLOOKUP(I173,Iktato!$B$3:$L$10000,5,FALSE),"")</f>
        <v/>
      </c>
      <c r="C173" s="13" t="str">
        <f t="shared" si="25"/>
        <v/>
      </c>
      <c r="D173" s="14" t="str">
        <f>TRIM(IF($M$1&gt;=I173,IF(VLOOKUP(I173,Iktato!$B$3:$L$10000,8,FALSE)&lt;&gt;0,VLOOKUP(I173,Iktato!$B$3:$L$10000,8,FALSE),""),""))</f>
        <v/>
      </c>
      <c r="E173" s="14" t="str">
        <f>TRIM(IF($M$1&gt;=I173,IF(VLOOKUP(I173,Iktato!$B$3:$L$10000,9,FALSE)&lt;&gt;0,VLOOKUP(I173,Iktato!$B$3:$L$10000,9,FALSE),""),""))</f>
        <v/>
      </c>
      <c r="F173" s="43" t="str">
        <f t="shared" si="22"/>
        <v/>
      </c>
      <c r="G173" s="43"/>
      <c r="I173" s="6">
        <f t="shared" si="23"/>
        <v>163</v>
      </c>
      <c r="J173" s="6" t="str">
        <f t="shared" si="26"/>
        <v/>
      </c>
      <c r="K173" s="6" t="str">
        <f>IF($M$1&gt;=I173,VLOOKUP(I173,Iktato!$B$3:$L$10000,3,FALSE),"")</f>
        <v/>
      </c>
      <c r="M173" s="6" t="str">
        <f>IF($M$1&gt;=I173,IF(VLOOKUP(I173,Iktato!$B$3:$P$10000,15,FALSE)&lt;&gt;0,VLOOKUP(I173,Iktato!$B$3:$P$10000,15,FALSE),""),"")</f>
        <v/>
      </c>
      <c r="N173" s="6" t="str">
        <f>IF($M$1&gt;=I173,IF(VLOOKUP(I173,Iktato!$B$3:$Q$10000,16,FALSE)&lt;&gt;0,VLOOKUP(I173,Iktato!$B$3:$Q$10000,16,FALSE),""),"")</f>
        <v/>
      </c>
      <c r="P173" s="6" t="str">
        <f>TRIM(IF($M$1&gt;=I173,IF(VLOOKUP(I173,Iktato!$B$3:$L$10000,6,FALSE)&lt;&gt;0,VLOOKUP(I173,Iktato!$B$3:$L$10000,6,FALSE),""),""))</f>
        <v/>
      </c>
      <c r="Q173" s="8" t="str">
        <f>TRIM(IF($M$1&gt;=I173,IF(VLOOKUP(I173,Iktato!$B$3:$L$10000,7,FALSE)&lt;&gt;0,VLOOKUP(I173,Iktato!$B$3:$L$10000,7,FALSE),""),""))</f>
        <v/>
      </c>
      <c r="R173" s="6" t="str">
        <f t="shared" si="27"/>
        <v/>
      </c>
      <c r="S173" s="6" t="str">
        <f t="shared" si="28"/>
        <v/>
      </c>
      <c r="T173" s="6" t="str">
        <f t="shared" si="29"/>
        <v/>
      </c>
    </row>
    <row r="174" spans="1:20" ht="16.5" x14ac:dyDescent="0.25">
      <c r="A174" s="11" t="str">
        <f t="shared" si="24"/>
        <v/>
      </c>
      <c r="B174" s="12" t="str">
        <f>IF($M$1&gt;=I174,VLOOKUP(I174,Iktato!$B$3:$L$10000,5,FALSE),"")</f>
        <v/>
      </c>
      <c r="C174" s="13" t="str">
        <f t="shared" si="25"/>
        <v/>
      </c>
      <c r="D174" s="14" t="str">
        <f>TRIM(IF($M$1&gt;=I174,IF(VLOOKUP(I174,Iktato!$B$3:$L$10000,8,FALSE)&lt;&gt;0,VLOOKUP(I174,Iktato!$B$3:$L$10000,8,FALSE),""),""))</f>
        <v/>
      </c>
      <c r="E174" s="14" t="str">
        <f>TRIM(IF($M$1&gt;=I174,IF(VLOOKUP(I174,Iktato!$B$3:$L$10000,9,FALSE)&lt;&gt;0,VLOOKUP(I174,Iktato!$B$3:$L$10000,9,FALSE),""),""))</f>
        <v/>
      </c>
      <c r="F174" s="43" t="str">
        <f t="shared" si="22"/>
        <v/>
      </c>
      <c r="G174" s="43"/>
      <c r="I174" s="6">
        <f t="shared" si="23"/>
        <v>164</v>
      </c>
      <c r="J174" s="6" t="str">
        <f t="shared" si="26"/>
        <v/>
      </c>
      <c r="K174" s="6" t="str">
        <f>IF($M$1&gt;=I174,VLOOKUP(I174,Iktato!$B$3:$L$10000,3,FALSE),"")</f>
        <v/>
      </c>
      <c r="M174" s="6" t="str">
        <f>IF($M$1&gt;=I174,IF(VLOOKUP(I174,Iktato!$B$3:$P$10000,15,FALSE)&lt;&gt;0,VLOOKUP(I174,Iktato!$B$3:$P$10000,15,FALSE),""),"")</f>
        <v/>
      </c>
      <c r="N174" s="6" t="str">
        <f>IF($M$1&gt;=I174,IF(VLOOKUP(I174,Iktato!$B$3:$Q$10000,16,FALSE)&lt;&gt;0,VLOOKUP(I174,Iktato!$B$3:$Q$10000,16,FALSE),""),"")</f>
        <v/>
      </c>
      <c r="P174" s="6" t="str">
        <f>TRIM(IF($M$1&gt;=I174,IF(VLOOKUP(I174,Iktato!$B$3:$L$10000,6,FALSE)&lt;&gt;0,VLOOKUP(I174,Iktato!$B$3:$L$10000,6,FALSE),""),""))</f>
        <v/>
      </c>
      <c r="Q174" s="8" t="str">
        <f>TRIM(IF($M$1&gt;=I174,IF(VLOOKUP(I174,Iktato!$B$3:$L$10000,7,FALSE)&lt;&gt;0,VLOOKUP(I174,Iktato!$B$3:$L$10000,7,FALSE),""),""))</f>
        <v/>
      </c>
      <c r="R174" s="6" t="str">
        <f t="shared" si="27"/>
        <v/>
      </c>
      <c r="S174" s="6" t="str">
        <f t="shared" si="28"/>
        <v/>
      </c>
      <c r="T174" s="6" t="str">
        <f t="shared" si="29"/>
        <v/>
      </c>
    </row>
    <row r="175" spans="1:20" ht="16.5" x14ac:dyDescent="0.25">
      <c r="A175" s="11" t="str">
        <f t="shared" si="24"/>
        <v/>
      </c>
      <c r="B175" s="12" t="str">
        <f>IF($M$1&gt;=I175,VLOOKUP(I175,Iktato!$B$3:$L$10000,5,FALSE),"")</f>
        <v/>
      </c>
      <c r="C175" s="13" t="str">
        <f t="shared" si="25"/>
        <v/>
      </c>
      <c r="D175" s="14" t="str">
        <f>TRIM(IF($M$1&gt;=I175,IF(VLOOKUP(I175,Iktato!$B$3:$L$10000,8,FALSE)&lt;&gt;0,VLOOKUP(I175,Iktato!$B$3:$L$10000,8,FALSE),""),""))</f>
        <v/>
      </c>
      <c r="E175" s="14" t="str">
        <f>TRIM(IF($M$1&gt;=I175,IF(VLOOKUP(I175,Iktato!$B$3:$L$10000,9,FALSE)&lt;&gt;0,VLOOKUP(I175,Iktato!$B$3:$L$10000,9,FALSE),""),""))</f>
        <v/>
      </c>
      <c r="F175" s="43" t="str">
        <f t="shared" si="22"/>
        <v/>
      </c>
      <c r="G175" s="43"/>
      <c r="I175" s="6">
        <f t="shared" si="23"/>
        <v>165</v>
      </c>
      <c r="J175" s="6" t="str">
        <f t="shared" si="26"/>
        <v/>
      </c>
      <c r="K175" s="6" t="str">
        <f>IF($M$1&gt;=I175,VLOOKUP(I175,Iktato!$B$3:$L$10000,3,FALSE),"")</f>
        <v/>
      </c>
      <c r="M175" s="6" t="str">
        <f>IF($M$1&gt;=I175,IF(VLOOKUP(I175,Iktato!$B$3:$P$10000,15,FALSE)&lt;&gt;0,VLOOKUP(I175,Iktato!$B$3:$P$10000,15,FALSE),""),"")</f>
        <v/>
      </c>
      <c r="N175" s="6" t="str">
        <f>IF($M$1&gt;=I175,IF(VLOOKUP(I175,Iktato!$B$3:$Q$10000,16,FALSE)&lt;&gt;0,VLOOKUP(I175,Iktato!$B$3:$Q$10000,16,FALSE),""),"")</f>
        <v/>
      </c>
      <c r="P175" s="6" t="str">
        <f>TRIM(IF($M$1&gt;=I175,IF(VLOOKUP(I175,Iktato!$B$3:$L$10000,6,FALSE)&lt;&gt;0,VLOOKUP(I175,Iktato!$B$3:$L$10000,6,FALSE),""),""))</f>
        <v/>
      </c>
      <c r="Q175" s="8" t="str">
        <f>TRIM(IF($M$1&gt;=I175,IF(VLOOKUP(I175,Iktato!$B$3:$L$10000,7,FALSE)&lt;&gt;0,VLOOKUP(I175,Iktato!$B$3:$L$10000,7,FALSE),""),""))</f>
        <v/>
      </c>
      <c r="R175" s="6" t="str">
        <f t="shared" si="27"/>
        <v/>
      </c>
      <c r="S175" s="6" t="str">
        <f t="shared" si="28"/>
        <v/>
      </c>
      <c r="T175" s="6" t="str">
        <f t="shared" si="29"/>
        <v/>
      </c>
    </row>
    <row r="176" spans="1:20" ht="16.5" x14ac:dyDescent="0.25">
      <c r="A176" s="11" t="str">
        <f t="shared" si="24"/>
        <v/>
      </c>
      <c r="B176" s="12" t="str">
        <f>IF($M$1&gt;=I176,VLOOKUP(I176,Iktato!$B$3:$L$10000,5,FALSE),"")</f>
        <v/>
      </c>
      <c r="C176" s="13" t="str">
        <f t="shared" si="25"/>
        <v/>
      </c>
      <c r="D176" s="14" t="str">
        <f>TRIM(IF($M$1&gt;=I176,IF(VLOOKUP(I176,Iktato!$B$3:$L$10000,8,FALSE)&lt;&gt;0,VLOOKUP(I176,Iktato!$B$3:$L$10000,8,FALSE),""),""))</f>
        <v/>
      </c>
      <c r="E176" s="14" t="str">
        <f>TRIM(IF($M$1&gt;=I176,IF(VLOOKUP(I176,Iktato!$B$3:$L$10000,9,FALSE)&lt;&gt;0,VLOOKUP(I176,Iktato!$B$3:$L$10000,9,FALSE),""),""))</f>
        <v/>
      </c>
      <c r="F176" s="43" t="str">
        <f t="shared" si="22"/>
        <v/>
      </c>
      <c r="G176" s="43"/>
      <c r="I176" s="6">
        <f t="shared" si="23"/>
        <v>166</v>
      </c>
      <c r="J176" s="6" t="str">
        <f t="shared" si="26"/>
        <v/>
      </c>
      <c r="K176" s="6" t="str">
        <f>IF($M$1&gt;=I176,VLOOKUP(I176,Iktato!$B$3:$L$10000,3,FALSE),"")</f>
        <v/>
      </c>
      <c r="M176" s="6" t="str">
        <f>IF($M$1&gt;=I176,IF(VLOOKUP(I176,Iktato!$B$3:$P$10000,15,FALSE)&lt;&gt;0,VLOOKUP(I176,Iktato!$B$3:$P$10000,15,FALSE),""),"")</f>
        <v/>
      </c>
      <c r="N176" s="6" t="str">
        <f>IF($M$1&gt;=I176,IF(VLOOKUP(I176,Iktato!$B$3:$Q$10000,16,FALSE)&lt;&gt;0,VLOOKUP(I176,Iktato!$B$3:$Q$10000,16,FALSE),""),"")</f>
        <v/>
      </c>
      <c r="P176" s="6" t="str">
        <f>TRIM(IF($M$1&gt;=I176,IF(VLOOKUP(I176,Iktato!$B$3:$L$10000,6,FALSE)&lt;&gt;0,VLOOKUP(I176,Iktato!$B$3:$L$10000,6,FALSE),""),""))</f>
        <v/>
      </c>
      <c r="Q176" s="8" t="str">
        <f>TRIM(IF($M$1&gt;=I176,IF(VLOOKUP(I176,Iktato!$B$3:$L$10000,7,FALSE)&lt;&gt;0,VLOOKUP(I176,Iktato!$B$3:$L$10000,7,FALSE),""),""))</f>
        <v/>
      </c>
      <c r="R176" s="6" t="str">
        <f t="shared" si="27"/>
        <v/>
      </c>
      <c r="S176" s="6" t="str">
        <f t="shared" si="28"/>
        <v/>
      </c>
      <c r="T176" s="6" t="str">
        <f t="shared" si="29"/>
        <v/>
      </c>
    </row>
    <row r="177" spans="1:20" ht="16.5" x14ac:dyDescent="0.25">
      <c r="A177" s="11" t="str">
        <f t="shared" si="24"/>
        <v/>
      </c>
      <c r="B177" s="12" t="str">
        <f>IF($M$1&gt;=I177,VLOOKUP(I177,Iktato!$B$3:$L$10000,5,FALSE),"")</f>
        <v/>
      </c>
      <c r="C177" s="13" t="str">
        <f t="shared" si="25"/>
        <v/>
      </c>
      <c r="D177" s="14" t="str">
        <f>TRIM(IF($M$1&gt;=I177,IF(VLOOKUP(I177,Iktato!$B$3:$L$10000,8,FALSE)&lt;&gt;0,VLOOKUP(I177,Iktato!$B$3:$L$10000,8,FALSE),""),""))</f>
        <v/>
      </c>
      <c r="E177" s="14" t="str">
        <f>TRIM(IF($M$1&gt;=I177,IF(VLOOKUP(I177,Iktato!$B$3:$L$10000,9,FALSE)&lt;&gt;0,VLOOKUP(I177,Iktato!$B$3:$L$10000,9,FALSE),""),""))</f>
        <v/>
      </c>
      <c r="F177" s="43" t="str">
        <f t="shared" si="22"/>
        <v/>
      </c>
      <c r="G177" s="43"/>
      <c r="I177" s="6">
        <f t="shared" si="23"/>
        <v>167</v>
      </c>
      <c r="J177" s="6" t="str">
        <f t="shared" si="26"/>
        <v/>
      </c>
      <c r="K177" s="6" t="str">
        <f>IF($M$1&gt;=I177,VLOOKUP(I177,Iktato!$B$3:$L$10000,3,FALSE),"")</f>
        <v/>
      </c>
      <c r="M177" s="6" t="str">
        <f>IF($M$1&gt;=I177,IF(VLOOKUP(I177,Iktato!$B$3:$P$10000,15,FALSE)&lt;&gt;0,VLOOKUP(I177,Iktato!$B$3:$P$10000,15,FALSE),""),"")</f>
        <v/>
      </c>
      <c r="N177" s="6" t="str">
        <f>IF($M$1&gt;=I177,IF(VLOOKUP(I177,Iktato!$B$3:$Q$10000,16,FALSE)&lt;&gt;0,VLOOKUP(I177,Iktato!$B$3:$Q$10000,16,FALSE),""),"")</f>
        <v/>
      </c>
      <c r="P177" s="6" t="str">
        <f>TRIM(IF($M$1&gt;=I177,IF(VLOOKUP(I177,Iktato!$B$3:$L$10000,6,FALSE)&lt;&gt;0,VLOOKUP(I177,Iktato!$B$3:$L$10000,6,FALSE),""),""))</f>
        <v/>
      </c>
      <c r="Q177" s="8" t="str">
        <f>TRIM(IF($M$1&gt;=I177,IF(VLOOKUP(I177,Iktato!$B$3:$L$10000,7,FALSE)&lt;&gt;0,VLOOKUP(I177,Iktato!$B$3:$L$10000,7,FALSE),""),""))</f>
        <v/>
      </c>
      <c r="R177" s="6" t="str">
        <f t="shared" si="27"/>
        <v/>
      </c>
      <c r="S177" s="6" t="str">
        <f t="shared" si="28"/>
        <v/>
      </c>
      <c r="T177" s="6" t="str">
        <f t="shared" si="29"/>
        <v/>
      </c>
    </row>
    <row r="178" spans="1:20" ht="16.5" x14ac:dyDescent="0.25">
      <c r="A178" s="11" t="str">
        <f t="shared" si="24"/>
        <v/>
      </c>
      <c r="B178" s="12" t="str">
        <f>IF($M$1&gt;=I178,VLOOKUP(I178,Iktato!$B$3:$L$10000,5,FALSE),"")</f>
        <v/>
      </c>
      <c r="C178" s="13" t="str">
        <f t="shared" si="25"/>
        <v/>
      </c>
      <c r="D178" s="14" t="str">
        <f>TRIM(IF($M$1&gt;=I178,IF(VLOOKUP(I178,Iktato!$B$3:$L$10000,8,FALSE)&lt;&gt;0,VLOOKUP(I178,Iktato!$B$3:$L$10000,8,FALSE),""),""))</f>
        <v/>
      </c>
      <c r="E178" s="14" t="str">
        <f>TRIM(IF($M$1&gt;=I178,IF(VLOOKUP(I178,Iktato!$B$3:$L$10000,9,FALSE)&lt;&gt;0,VLOOKUP(I178,Iktato!$B$3:$L$10000,9,FALSE),""),""))</f>
        <v/>
      </c>
      <c r="F178" s="43" t="str">
        <f t="shared" si="22"/>
        <v/>
      </c>
      <c r="G178" s="43"/>
      <c r="I178" s="6">
        <f t="shared" si="23"/>
        <v>168</v>
      </c>
      <c r="J178" s="6" t="str">
        <f t="shared" si="26"/>
        <v/>
      </c>
      <c r="K178" s="6" t="str">
        <f>IF($M$1&gt;=I178,VLOOKUP(I178,Iktato!$B$3:$L$10000,3,FALSE),"")</f>
        <v/>
      </c>
      <c r="M178" s="6" t="str">
        <f>IF($M$1&gt;=I178,IF(VLOOKUP(I178,Iktato!$B$3:$P$10000,15,FALSE)&lt;&gt;0,VLOOKUP(I178,Iktato!$B$3:$P$10000,15,FALSE),""),"")</f>
        <v/>
      </c>
      <c r="N178" s="6" t="str">
        <f>IF($M$1&gt;=I178,IF(VLOOKUP(I178,Iktato!$B$3:$Q$10000,16,FALSE)&lt;&gt;0,VLOOKUP(I178,Iktato!$B$3:$Q$10000,16,FALSE),""),"")</f>
        <v/>
      </c>
      <c r="P178" s="6" t="str">
        <f>TRIM(IF($M$1&gt;=I178,IF(VLOOKUP(I178,Iktato!$B$3:$L$10000,6,FALSE)&lt;&gt;0,VLOOKUP(I178,Iktato!$B$3:$L$10000,6,FALSE),""),""))</f>
        <v/>
      </c>
      <c r="Q178" s="8" t="str">
        <f>TRIM(IF($M$1&gt;=I178,IF(VLOOKUP(I178,Iktato!$B$3:$L$10000,7,FALSE)&lt;&gt;0,VLOOKUP(I178,Iktato!$B$3:$L$10000,7,FALSE),""),""))</f>
        <v/>
      </c>
      <c r="R178" s="6" t="str">
        <f t="shared" si="27"/>
        <v/>
      </c>
      <c r="S178" s="6" t="str">
        <f t="shared" si="28"/>
        <v/>
      </c>
      <c r="T178" s="6" t="str">
        <f t="shared" si="29"/>
        <v/>
      </c>
    </row>
    <row r="179" spans="1:20" ht="16.5" x14ac:dyDescent="0.25">
      <c r="A179" s="11" t="str">
        <f t="shared" si="24"/>
        <v/>
      </c>
      <c r="B179" s="12" t="str">
        <f>IF($M$1&gt;=I179,VLOOKUP(I179,Iktato!$B$3:$L$10000,5,FALSE),"")</f>
        <v/>
      </c>
      <c r="C179" s="13" t="str">
        <f t="shared" si="25"/>
        <v/>
      </c>
      <c r="D179" s="14" t="str">
        <f>TRIM(IF($M$1&gt;=I179,IF(VLOOKUP(I179,Iktato!$B$3:$L$10000,8,FALSE)&lt;&gt;0,VLOOKUP(I179,Iktato!$B$3:$L$10000,8,FALSE),""),""))</f>
        <v/>
      </c>
      <c r="E179" s="14" t="str">
        <f>TRIM(IF($M$1&gt;=I179,IF(VLOOKUP(I179,Iktato!$B$3:$L$10000,9,FALSE)&lt;&gt;0,VLOOKUP(I179,Iktato!$B$3:$L$10000,9,FALSE),""),""))</f>
        <v/>
      </c>
      <c r="F179" s="43" t="str">
        <f t="shared" si="22"/>
        <v/>
      </c>
      <c r="G179" s="43"/>
      <c r="I179" s="6">
        <f t="shared" si="23"/>
        <v>169</v>
      </c>
      <c r="J179" s="6" t="str">
        <f t="shared" si="26"/>
        <v/>
      </c>
      <c r="K179" s="6" t="str">
        <f>IF($M$1&gt;=I179,VLOOKUP(I179,Iktato!$B$3:$L$10000,3,FALSE),"")</f>
        <v/>
      </c>
      <c r="M179" s="6" t="str">
        <f>IF($M$1&gt;=I179,IF(VLOOKUP(I179,Iktato!$B$3:$P$10000,15,FALSE)&lt;&gt;0,VLOOKUP(I179,Iktato!$B$3:$P$10000,15,FALSE),""),"")</f>
        <v/>
      </c>
      <c r="N179" s="6" t="str">
        <f>IF($M$1&gt;=I179,IF(VLOOKUP(I179,Iktato!$B$3:$Q$10000,16,FALSE)&lt;&gt;0,VLOOKUP(I179,Iktato!$B$3:$Q$10000,16,FALSE),""),"")</f>
        <v/>
      </c>
      <c r="P179" s="6" t="str">
        <f>TRIM(IF($M$1&gt;=I179,IF(VLOOKUP(I179,Iktato!$B$3:$L$10000,6,FALSE)&lt;&gt;0,VLOOKUP(I179,Iktato!$B$3:$L$10000,6,FALSE),""),""))</f>
        <v/>
      </c>
      <c r="Q179" s="8" t="str">
        <f>TRIM(IF($M$1&gt;=I179,IF(VLOOKUP(I179,Iktato!$B$3:$L$10000,7,FALSE)&lt;&gt;0,VLOOKUP(I179,Iktato!$B$3:$L$10000,7,FALSE),""),""))</f>
        <v/>
      </c>
      <c r="R179" s="6" t="str">
        <f t="shared" si="27"/>
        <v/>
      </c>
      <c r="S179" s="6" t="str">
        <f t="shared" si="28"/>
        <v/>
      </c>
      <c r="T179" s="6" t="str">
        <f t="shared" si="29"/>
        <v/>
      </c>
    </row>
    <row r="180" spans="1:20" ht="16.5" x14ac:dyDescent="0.25">
      <c r="A180" s="11" t="str">
        <f t="shared" si="24"/>
        <v/>
      </c>
      <c r="B180" s="12" t="str">
        <f>IF($M$1&gt;=I180,VLOOKUP(I180,Iktato!$B$3:$L$10000,5,FALSE),"")</f>
        <v/>
      </c>
      <c r="C180" s="13" t="str">
        <f t="shared" si="25"/>
        <v/>
      </c>
      <c r="D180" s="14" t="str">
        <f>TRIM(IF($M$1&gt;=I180,IF(VLOOKUP(I180,Iktato!$B$3:$L$10000,8,FALSE)&lt;&gt;0,VLOOKUP(I180,Iktato!$B$3:$L$10000,8,FALSE),""),""))</f>
        <v/>
      </c>
      <c r="E180" s="14" t="str">
        <f>TRIM(IF($M$1&gt;=I180,IF(VLOOKUP(I180,Iktato!$B$3:$L$10000,9,FALSE)&lt;&gt;0,VLOOKUP(I180,Iktato!$B$3:$L$10000,9,FALSE),""),""))</f>
        <v/>
      </c>
      <c r="F180" s="43" t="str">
        <f t="shared" si="22"/>
        <v/>
      </c>
      <c r="G180" s="43"/>
      <c r="I180" s="6">
        <f t="shared" si="23"/>
        <v>170</v>
      </c>
      <c r="J180" s="6" t="str">
        <f t="shared" si="26"/>
        <v/>
      </c>
      <c r="K180" s="6" t="str">
        <f>IF($M$1&gt;=I180,VLOOKUP(I180,Iktato!$B$3:$L$10000,3,FALSE),"")</f>
        <v/>
      </c>
      <c r="M180" s="6" t="str">
        <f>IF($M$1&gt;=I180,IF(VLOOKUP(I180,Iktato!$B$3:$P$10000,15,FALSE)&lt;&gt;0,VLOOKUP(I180,Iktato!$B$3:$P$10000,15,FALSE),""),"")</f>
        <v/>
      </c>
      <c r="N180" s="6" t="str">
        <f>IF($M$1&gt;=I180,IF(VLOOKUP(I180,Iktato!$B$3:$Q$10000,16,FALSE)&lt;&gt;0,VLOOKUP(I180,Iktato!$B$3:$Q$10000,16,FALSE),""),"")</f>
        <v/>
      </c>
      <c r="P180" s="6" t="str">
        <f>TRIM(IF($M$1&gt;=I180,IF(VLOOKUP(I180,Iktato!$B$3:$L$10000,6,FALSE)&lt;&gt;0,VLOOKUP(I180,Iktato!$B$3:$L$10000,6,FALSE),""),""))</f>
        <v/>
      </c>
      <c r="Q180" s="8" t="str">
        <f>TRIM(IF($M$1&gt;=I180,IF(VLOOKUP(I180,Iktato!$B$3:$L$10000,7,FALSE)&lt;&gt;0,VLOOKUP(I180,Iktato!$B$3:$L$10000,7,FALSE),""),""))</f>
        <v/>
      </c>
      <c r="R180" s="6" t="str">
        <f t="shared" si="27"/>
        <v/>
      </c>
      <c r="S180" s="6" t="str">
        <f t="shared" si="28"/>
        <v/>
      </c>
      <c r="T180" s="6" t="str">
        <f t="shared" si="29"/>
        <v/>
      </c>
    </row>
    <row r="181" spans="1:20" ht="16.5" x14ac:dyDescent="0.25">
      <c r="A181" s="11" t="str">
        <f t="shared" si="24"/>
        <v/>
      </c>
      <c r="B181" s="12" t="str">
        <f>IF($M$1&gt;=I181,VLOOKUP(I181,Iktato!$B$3:$L$10000,5,FALSE),"")</f>
        <v/>
      </c>
      <c r="C181" s="13" t="str">
        <f t="shared" si="25"/>
        <v/>
      </c>
      <c r="D181" s="14" t="str">
        <f>TRIM(IF($M$1&gt;=I181,IF(VLOOKUP(I181,Iktato!$B$3:$L$10000,8,FALSE)&lt;&gt;0,VLOOKUP(I181,Iktato!$B$3:$L$10000,8,FALSE),""),""))</f>
        <v/>
      </c>
      <c r="E181" s="14" t="str">
        <f>TRIM(IF($M$1&gt;=I181,IF(VLOOKUP(I181,Iktato!$B$3:$L$10000,9,FALSE)&lt;&gt;0,VLOOKUP(I181,Iktato!$B$3:$L$10000,9,FALSE),""),""))</f>
        <v/>
      </c>
      <c r="F181" s="43" t="str">
        <f t="shared" si="22"/>
        <v/>
      </c>
      <c r="G181" s="43"/>
      <c r="I181" s="6">
        <f t="shared" si="23"/>
        <v>171</v>
      </c>
      <c r="J181" s="6" t="str">
        <f t="shared" si="26"/>
        <v/>
      </c>
      <c r="K181" s="6" t="str">
        <f>IF($M$1&gt;=I181,VLOOKUP(I181,Iktato!$B$3:$L$10000,3,FALSE),"")</f>
        <v/>
      </c>
      <c r="M181" s="6" t="str">
        <f>IF($M$1&gt;=I181,IF(VLOOKUP(I181,Iktato!$B$3:$P$10000,15,FALSE)&lt;&gt;0,VLOOKUP(I181,Iktato!$B$3:$P$10000,15,FALSE),""),"")</f>
        <v/>
      </c>
      <c r="N181" s="6" t="str">
        <f>IF($M$1&gt;=I181,IF(VLOOKUP(I181,Iktato!$B$3:$Q$10000,16,FALSE)&lt;&gt;0,VLOOKUP(I181,Iktato!$B$3:$Q$10000,16,FALSE),""),"")</f>
        <v/>
      </c>
      <c r="P181" s="6" t="str">
        <f>TRIM(IF($M$1&gt;=I181,IF(VLOOKUP(I181,Iktato!$B$3:$L$10000,6,FALSE)&lt;&gt;0,VLOOKUP(I181,Iktato!$B$3:$L$10000,6,FALSE),""),""))</f>
        <v/>
      </c>
      <c r="Q181" s="8" t="str">
        <f>TRIM(IF($M$1&gt;=I181,IF(VLOOKUP(I181,Iktato!$B$3:$L$10000,7,FALSE)&lt;&gt;0,VLOOKUP(I181,Iktato!$B$3:$L$10000,7,FALSE),""),""))</f>
        <v/>
      </c>
      <c r="R181" s="6" t="str">
        <f t="shared" si="27"/>
        <v/>
      </c>
      <c r="S181" s="6" t="str">
        <f t="shared" si="28"/>
        <v/>
      </c>
      <c r="T181" s="6" t="str">
        <f t="shared" si="29"/>
        <v/>
      </c>
    </row>
    <row r="182" spans="1:20" ht="16.5" x14ac:dyDescent="0.25">
      <c r="A182" s="11" t="str">
        <f t="shared" si="24"/>
        <v/>
      </c>
      <c r="B182" s="12" t="str">
        <f>IF($M$1&gt;=I182,VLOOKUP(I182,Iktato!$B$3:$L$10000,5,FALSE),"")</f>
        <v/>
      </c>
      <c r="C182" s="13" t="str">
        <f t="shared" si="25"/>
        <v/>
      </c>
      <c r="D182" s="14" t="str">
        <f>TRIM(IF($M$1&gt;=I182,IF(VLOOKUP(I182,Iktato!$B$3:$L$10000,8,FALSE)&lt;&gt;0,VLOOKUP(I182,Iktato!$B$3:$L$10000,8,FALSE),""),""))</f>
        <v/>
      </c>
      <c r="E182" s="14" t="str">
        <f>TRIM(IF($M$1&gt;=I182,IF(VLOOKUP(I182,Iktato!$B$3:$L$10000,9,FALSE)&lt;&gt;0,VLOOKUP(I182,Iktato!$B$3:$L$10000,9,FALSE),""),""))</f>
        <v/>
      </c>
      <c r="F182" s="43" t="str">
        <f t="shared" si="22"/>
        <v/>
      </c>
      <c r="G182" s="43"/>
      <c r="I182" s="6">
        <f t="shared" si="23"/>
        <v>172</v>
      </c>
      <c r="J182" s="6" t="str">
        <f t="shared" si="26"/>
        <v/>
      </c>
      <c r="K182" s="6" t="str">
        <f>IF($M$1&gt;=I182,VLOOKUP(I182,Iktato!$B$3:$L$10000,3,FALSE),"")</f>
        <v/>
      </c>
      <c r="M182" s="6" t="str">
        <f>IF($M$1&gt;=I182,IF(VLOOKUP(I182,Iktato!$B$3:$P$10000,15,FALSE)&lt;&gt;0,VLOOKUP(I182,Iktato!$B$3:$P$10000,15,FALSE),""),"")</f>
        <v/>
      </c>
      <c r="N182" s="6" t="str">
        <f>IF($M$1&gt;=I182,IF(VLOOKUP(I182,Iktato!$B$3:$Q$10000,16,FALSE)&lt;&gt;0,VLOOKUP(I182,Iktato!$B$3:$Q$10000,16,FALSE),""),"")</f>
        <v/>
      </c>
      <c r="P182" s="6" t="str">
        <f>TRIM(IF($M$1&gt;=I182,IF(VLOOKUP(I182,Iktato!$B$3:$L$10000,6,FALSE)&lt;&gt;0,VLOOKUP(I182,Iktato!$B$3:$L$10000,6,FALSE),""),""))</f>
        <v/>
      </c>
      <c r="Q182" s="8" t="str">
        <f>TRIM(IF($M$1&gt;=I182,IF(VLOOKUP(I182,Iktato!$B$3:$L$10000,7,FALSE)&lt;&gt;0,VLOOKUP(I182,Iktato!$B$3:$L$10000,7,FALSE),""),""))</f>
        <v/>
      </c>
      <c r="R182" s="6" t="str">
        <f t="shared" si="27"/>
        <v/>
      </c>
      <c r="S182" s="6" t="str">
        <f t="shared" si="28"/>
        <v/>
      </c>
      <c r="T182" s="6" t="str">
        <f t="shared" si="29"/>
        <v/>
      </c>
    </row>
    <row r="183" spans="1:20" ht="16.5" x14ac:dyDescent="0.25">
      <c r="A183" s="11" t="str">
        <f t="shared" si="24"/>
        <v/>
      </c>
      <c r="B183" s="12" t="str">
        <f>IF($M$1&gt;=I183,VLOOKUP(I183,Iktato!$B$3:$L$10000,5,FALSE),"")</f>
        <v/>
      </c>
      <c r="C183" s="13" t="str">
        <f t="shared" si="25"/>
        <v/>
      </c>
      <c r="D183" s="14" t="str">
        <f>TRIM(IF($M$1&gt;=I183,IF(VLOOKUP(I183,Iktato!$B$3:$L$10000,8,FALSE)&lt;&gt;0,VLOOKUP(I183,Iktato!$B$3:$L$10000,8,FALSE),""),""))</f>
        <v/>
      </c>
      <c r="E183" s="14" t="str">
        <f>TRIM(IF($M$1&gt;=I183,IF(VLOOKUP(I183,Iktato!$B$3:$L$10000,9,FALSE)&lt;&gt;0,VLOOKUP(I183,Iktato!$B$3:$L$10000,9,FALSE),""),""))</f>
        <v/>
      </c>
      <c r="F183" s="43" t="str">
        <f t="shared" si="22"/>
        <v/>
      </c>
      <c r="G183" s="43"/>
      <c r="I183" s="6">
        <f t="shared" si="23"/>
        <v>173</v>
      </c>
      <c r="J183" s="6" t="str">
        <f t="shared" si="26"/>
        <v/>
      </c>
      <c r="K183" s="6" t="str">
        <f>IF($M$1&gt;=I183,VLOOKUP(I183,Iktato!$B$3:$L$10000,3,FALSE),"")</f>
        <v/>
      </c>
      <c r="M183" s="6" t="str">
        <f>IF($M$1&gt;=I183,IF(VLOOKUP(I183,Iktato!$B$3:$P$10000,15,FALSE)&lt;&gt;0,VLOOKUP(I183,Iktato!$B$3:$P$10000,15,FALSE),""),"")</f>
        <v/>
      </c>
      <c r="N183" s="6" t="str">
        <f>IF($M$1&gt;=I183,IF(VLOOKUP(I183,Iktato!$B$3:$Q$10000,16,FALSE)&lt;&gt;0,VLOOKUP(I183,Iktato!$B$3:$Q$10000,16,FALSE),""),"")</f>
        <v/>
      </c>
      <c r="P183" s="6" t="str">
        <f>TRIM(IF($M$1&gt;=I183,IF(VLOOKUP(I183,Iktato!$B$3:$L$10000,6,FALSE)&lt;&gt;0,VLOOKUP(I183,Iktato!$B$3:$L$10000,6,FALSE),""),""))</f>
        <v/>
      </c>
      <c r="Q183" s="8" t="str">
        <f>TRIM(IF($M$1&gt;=I183,IF(VLOOKUP(I183,Iktato!$B$3:$L$10000,7,FALSE)&lt;&gt;0,VLOOKUP(I183,Iktato!$B$3:$L$10000,7,FALSE),""),""))</f>
        <v/>
      </c>
      <c r="R183" s="6" t="str">
        <f t="shared" si="27"/>
        <v/>
      </c>
      <c r="S183" s="6" t="str">
        <f t="shared" si="28"/>
        <v/>
      </c>
      <c r="T183" s="6" t="str">
        <f t="shared" si="29"/>
        <v/>
      </c>
    </row>
    <row r="184" spans="1:20" ht="16.5" x14ac:dyDescent="0.25">
      <c r="A184" s="11" t="str">
        <f t="shared" si="24"/>
        <v/>
      </c>
      <c r="B184" s="12" t="str">
        <f>IF($M$1&gt;=I184,VLOOKUP(I184,Iktato!$B$3:$L$10000,5,FALSE),"")</f>
        <v/>
      </c>
      <c r="C184" s="13" t="str">
        <f t="shared" si="25"/>
        <v/>
      </c>
      <c r="D184" s="14" t="str">
        <f>TRIM(IF($M$1&gt;=I184,IF(VLOOKUP(I184,Iktato!$B$3:$L$10000,8,FALSE)&lt;&gt;0,VLOOKUP(I184,Iktato!$B$3:$L$10000,8,FALSE),""),""))</f>
        <v/>
      </c>
      <c r="E184" s="14" t="str">
        <f>TRIM(IF($M$1&gt;=I184,IF(VLOOKUP(I184,Iktato!$B$3:$L$10000,9,FALSE)&lt;&gt;0,VLOOKUP(I184,Iktato!$B$3:$L$10000,9,FALSE),""),""))</f>
        <v/>
      </c>
      <c r="F184" s="43" t="str">
        <f t="shared" si="22"/>
        <v/>
      </c>
      <c r="G184" s="43"/>
      <c r="I184" s="6">
        <f t="shared" si="23"/>
        <v>174</v>
      </c>
      <c r="J184" s="6" t="str">
        <f t="shared" si="26"/>
        <v/>
      </c>
      <c r="K184" s="6" t="str">
        <f>IF($M$1&gt;=I184,VLOOKUP(I184,Iktato!$B$3:$L$10000,3,FALSE),"")</f>
        <v/>
      </c>
      <c r="M184" s="6" t="str">
        <f>IF($M$1&gt;=I184,IF(VLOOKUP(I184,Iktato!$B$3:$P$10000,15,FALSE)&lt;&gt;0,VLOOKUP(I184,Iktato!$B$3:$P$10000,15,FALSE),""),"")</f>
        <v/>
      </c>
      <c r="N184" s="6" t="str">
        <f>IF($M$1&gt;=I184,IF(VLOOKUP(I184,Iktato!$B$3:$Q$10000,16,FALSE)&lt;&gt;0,VLOOKUP(I184,Iktato!$B$3:$Q$10000,16,FALSE),""),"")</f>
        <v/>
      </c>
      <c r="P184" s="6" t="str">
        <f>TRIM(IF($M$1&gt;=I184,IF(VLOOKUP(I184,Iktato!$B$3:$L$10000,6,FALSE)&lt;&gt;0,VLOOKUP(I184,Iktato!$B$3:$L$10000,6,FALSE),""),""))</f>
        <v/>
      </c>
      <c r="Q184" s="8" t="str">
        <f>TRIM(IF($M$1&gt;=I184,IF(VLOOKUP(I184,Iktato!$B$3:$L$10000,7,FALSE)&lt;&gt;0,VLOOKUP(I184,Iktato!$B$3:$L$10000,7,FALSE),""),""))</f>
        <v/>
      </c>
      <c r="R184" s="6" t="str">
        <f t="shared" si="27"/>
        <v/>
      </c>
      <c r="S184" s="6" t="str">
        <f t="shared" si="28"/>
        <v/>
      </c>
      <c r="T184" s="6" t="str">
        <f t="shared" si="29"/>
        <v/>
      </c>
    </row>
    <row r="185" spans="1:20" ht="16.5" x14ac:dyDescent="0.25">
      <c r="A185" s="11" t="str">
        <f t="shared" si="24"/>
        <v/>
      </c>
      <c r="B185" s="12" t="str">
        <f>IF($M$1&gt;=I185,VLOOKUP(I185,Iktato!$B$3:$L$10000,5,FALSE),"")</f>
        <v/>
      </c>
      <c r="C185" s="13" t="str">
        <f t="shared" si="25"/>
        <v/>
      </c>
      <c r="D185" s="14" t="str">
        <f>TRIM(IF($M$1&gt;=I185,IF(VLOOKUP(I185,Iktato!$B$3:$L$10000,8,FALSE)&lt;&gt;0,VLOOKUP(I185,Iktato!$B$3:$L$10000,8,FALSE),""),""))</f>
        <v/>
      </c>
      <c r="E185" s="14" t="str">
        <f>TRIM(IF($M$1&gt;=I185,IF(VLOOKUP(I185,Iktato!$B$3:$L$10000,9,FALSE)&lt;&gt;0,VLOOKUP(I185,Iktato!$B$3:$L$10000,9,FALSE),""),""))</f>
        <v/>
      </c>
      <c r="F185" s="43" t="str">
        <f t="shared" si="22"/>
        <v/>
      </c>
      <c r="G185" s="43"/>
      <c r="I185" s="6">
        <f t="shared" si="23"/>
        <v>175</v>
      </c>
      <c r="J185" s="6" t="str">
        <f t="shared" si="26"/>
        <v/>
      </c>
      <c r="K185" s="6" t="str">
        <f>IF($M$1&gt;=I185,VLOOKUP(I185,Iktato!$B$3:$L$10000,3,FALSE),"")</f>
        <v/>
      </c>
      <c r="M185" s="6" t="str">
        <f>IF($M$1&gt;=I185,IF(VLOOKUP(I185,Iktato!$B$3:$P$10000,15,FALSE)&lt;&gt;0,VLOOKUP(I185,Iktato!$B$3:$P$10000,15,FALSE),""),"")</f>
        <v/>
      </c>
      <c r="N185" s="6" t="str">
        <f>IF($M$1&gt;=I185,IF(VLOOKUP(I185,Iktato!$B$3:$Q$10000,16,FALSE)&lt;&gt;0,VLOOKUP(I185,Iktato!$B$3:$Q$10000,16,FALSE),""),"")</f>
        <v/>
      </c>
      <c r="P185" s="6" t="str">
        <f>TRIM(IF($M$1&gt;=I185,IF(VLOOKUP(I185,Iktato!$B$3:$L$10000,6,FALSE)&lt;&gt;0,VLOOKUP(I185,Iktato!$B$3:$L$10000,6,FALSE),""),""))</f>
        <v/>
      </c>
      <c r="Q185" s="8" t="str">
        <f>TRIM(IF($M$1&gt;=I185,IF(VLOOKUP(I185,Iktato!$B$3:$L$10000,7,FALSE)&lt;&gt;0,VLOOKUP(I185,Iktato!$B$3:$L$10000,7,FALSE),""),""))</f>
        <v/>
      </c>
      <c r="R185" s="6" t="str">
        <f t="shared" si="27"/>
        <v/>
      </c>
      <c r="S185" s="6" t="str">
        <f t="shared" si="28"/>
        <v/>
      </c>
      <c r="T185" s="6" t="str">
        <f t="shared" si="29"/>
        <v/>
      </c>
    </row>
    <row r="186" spans="1:20" ht="16.5" x14ac:dyDescent="0.25">
      <c r="A186" s="11" t="str">
        <f t="shared" si="24"/>
        <v/>
      </c>
      <c r="B186" s="12" t="str">
        <f>IF($M$1&gt;=I186,VLOOKUP(I186,Iktato!$B$3:$L$10000,5,FALSE),"")</f>
        <v/>
      </c>
      <c r="C186" s="13" t="str">
        <f t="shared" si="25"/>
        <v/>
      </c>
      <c r="D186" s="14" t="str">
        <f>TRIM(IF($M$1&gt;=I186,IF(VLOOKUP(I186,Iktato!$B$3:$L$10000,8,FALSE)&lt;&gt;0,VLOOKUP(I186,Iktato!$B$3:$L$10000,8,FALSE),""),""))</f>
        <v/>
      </c>
      <c r="E186" s="14" t="str">
        <f>TRIM(IF($M$1&gt;=I186,IF(VLOOKUP(I186,Iktato!$B$3:$L$10000,9,FALSE)&lt;&gt;0,VLOOKUP(I186,Iktato!$B$3:$L$10000,9,FALSE),""),""))</f>
        <v/>
      </c>
      <c r="F186" s="43" t="str">
        <f t="shared" si="22"/>
        <v/>
      </c>
      <c r="G186" s="43"/>
      <c r="I186" s="6">
        <f t="shared" si="23"/>
        <v>176</v>
      </c>
      <c r="J186" s="6" t="str">
        <f t="shared" si="26"/>
        <v/>
      </c>
      <c r="K186" s="6" t="str">
        <f>IF($M$1&gt;=I186,VLOOKUP(I186,Iktato!$B$3:$L$10000,3,FALSE),"")</f>
        <v/>
      </c>
      <c r="M186" s="6" t="str">
        <f>IF($M$1&gt;=I186,IF(VLOOKUP(I186,Iktato!$B$3:$P$10000,15,FALSE)&lt;&gt;0,VLOOKUP(I186,Iktato!$B$3:$P$10000,15,FALSE),""),"")</f>
        <v/>
      </c>
      <c r="N186" s="6" t="str">
        <f>IF($M$1&gt;=I186,IF(VLOOKUP(I186,Iktato!$B$3:$Q$10000,16,FALSE)&lt;&gt;0,VLOOKUP(I186,Iktato!$B$3:$Q$10000,16,FALSE),""),"")</f>
        <v/>
      </c>
      <c r="P186" s="6" t="str">
        <f>TRIM(IF($M$1&gt;=I186,IF(VLOOKUP(I186,Iktato!$B$3:$L$10000,6,FALSE)&lt;&gt;0,VLOOKUP(I186,Iktato!$B$3:$L$10000,6,FALSE),""),""))</f>
        <v/>
      </c>
      <c r="Q186" s="8" t="str">
        <f>TRIM(IF($M$1&gt;=I186,IF(VLOOKUP(I186,Iktato!$B$3:$L$10000,7,FALSE)&lt;&gt;0,VLOOKUP(I186,Iktato!$B$3:$L$10000,7,FALSE),""),""))</f>
        <v/>
      </c>
      <c r="R186" s="6" t="str">
        <f t="shared" si="27"/>
        <v/>
      </c>
      <c r="S186" s="6" t="str">
        <f t="shared" si="28"/>
        <v/>
      </c>
      <c r="T186" s="6" t="str">
        <f t="shared" si="29"/>
        <v/>
      </c>
    </row>
    <row r="187" spans="1:20" ht="16.5" x14ac:dyDescent="0.25">
      <c r="A187" s="11" t="str">
        <f t="shared" si="24"/>
        <v/>
      </c>
      <c r="B187" s="12" t="str">
        <f>IF($M$1&gt;=I187,VLOOKUP(I187,Iktato!$B$3:$L$10000,5,FALSE),"")</f>
        <v/>
      </c>
      <c r="C187" s="13" t="str">
        <f t="shared" si="25"/>
        <v/>
      </c>
      <c r="D187" s="14" t="str">
        <f>TRIM(IF($M$1&gt;=I187,IF(VLOOKUP(I187,Iktato!$B$3:$L$10000,8,FALSE)&lt;&gt;0,VLOOKUP(I187,Iktato!$B$3:$L$10000,8,FALSE),""),""))</f>
        <v/>
      </c>
      <c r="E187" s="14" t="str">
        <f>TRIM(IF($M$1&gt;=I187,IF(VLOOKUP(I187,Iktato!$B$3:$L$10000,9,FALSE)&lt;&gt;0,VLOOKUP(I187,Iktato!$B$3:$L$10000,9,FALSE),""),""))</f>
        <v/>
      </c>
      <c r="F187" s="43" t="str">
        <f t="shared" si="22"/>
        <v/>
      </c>
      <c r="G187" s="43"/>
      <c r="I187" s="6">
        <f t="shared" si="23"/>
        <v>177</v>
      </c>
      <c r="J187" s="6" t="str">
        <f t="shared" si="26"/>
        <v/>
      </c>
      <c r="K187" s="6" t="str">
        <f>IF($M$1&gt;=I187,VLOOKUP(I187,Iktato!$B$3:$L$10000,3,FALSE),"")</f>
        <v/>
      </c>
      <c r="M187" s="6" t="str">
        <f>IF($M$1&gt;=I187,IF(VLOOKUP(I187,Iktato!$B$3:$P$10000,15,FALSE)&lt;&gt;0,VLOOKUP(I187,Iktato!$B$3:$P$10000,15,FALSE),""),"")</f>
        <v/>
      </c>
      <c r="N187" s="6" t="str">
        <f>IF($M$1&gt;=I187,IF(VLOOKUP(I187,Iktato!$B$3:$Q$10000,16,FALSE)&lt;&gt;0,VLOOKUP(I187,Iktato!$B$3:$Q$10000,16,FALSE),""),"")</f>
        <v/>
      </c>
      <c r="P187" s="6" t="str">
        <f>TRIM(IF($M$1&gt;=I187,IF(VLOOKUP(I187,Iktato!$B$3:$L$10000,6,FALSE)&lt;&gt;0,VLOOKUP(I187,Iktato!$B$3:$L$10000,6,FALSE),""),""))</f>
        <v/>
      </c>
      <c r="Q187" s="8" t="str">
        <f>TRIM(IF($M$1&gt;=I187,IF(VLOOKUP(I187,Iktato!$B$3:$L$10000,7,FALSE)&lt;&gt;0,VLOOKUP(I187,Iktato!$B$3:$L$10000,7,FALSE),""),""))</f>
        <v/>
      </c>
      <c r="R187" s="6" t="str">
        <f t="shared" si="27"/>
        <v/>
      </c>
      <c r="S187" s="6" t="str">
        <f t="shared" si="28"/>
        <v/>
      </c>
      <c r="T187" s="6" t="str">
        <f t="shared" si="29"/>
        <v/>
      </c>
    </row>
    <row r="188" spans="1:20" ht="16.5" x14ac:dyDescent="0.25">
      <c r="A188" s="11" t="str">
        <f t="shared" si="24"/>
        <v/>
      </c>
      <c r="B188" s="12" t="str">
        <f>IF($M$1&gt;=I188,VLOOKUP(I188,Iktato!$B$3:$L$10000,5,FALSE),"")</f>
        <v/>
      </c>
      <c r="C188" s="13" t="str">
        <f t="shared" si="25"/>
        <v/>
      </c>
      <c r="D188" s="14" t="str">
        <f>TRIM(IF($M$1&gt;=I188,IF(VLOOKUP(I188,Iktato!$B$3:$L$10000,8,FALSE)&lt;&gt;0,VLOOKUP(I188,Iktato!$B$3:$L$10000,8,FALSE),""),""))</f>
        <v/>
      </c>
      <c r="E188" s="14" t="str">
        <f>TRIM(IF($M$1&gt;=I188,IF(VLOOKUP(I188,Iktato!$B$3:$L$10000,9,FALSE)&lt;&gt;0,VLOOKUP(I188,Iktato!$B$3:$L$10000,9,FALSE),""),""))</f>
        <v/>
      </c>
      <c r="F188" s="43" t="str">
        <f t="shared" si="22"/>
        <v/>
      </c>
      <c r="G188" s="43"/>
      <c r="I188" s="6">
        <f t="shared" si="23"/>
        <v>178</v>
      </c>
      <c r="J188" s="6" t="str">
        <f t="shared" si="26"/>
        <v/>
      </c>
      <c r="K188" s="6" t="str">
        <f>IF($M$1&gt;=I188,VLOOKUP(I188,Iktato!$B$3:$L$10000,3,FALSE),"")</f>
        <v/>
      </c>
      <c r="M188" s="6" t="str">
        <f>IF($M$1&gt;=I188,IF(VLOOKUP(I188,Iktato!$B$3:$P$10000,15,FALSE)&lt;&gt;0,VLOOKUP(I188,Iktato!$B$3:$P$10000,15,FALSE),""),"")</f>
        <v/>
      </c>
      <c r="N188" s="6" t="str">
        <f>IF($M$1&gt;=I188,IF(VLOOKUP(I188,Iktato!$B$3:$Q$10000,16,FALSE)&lt;&gt;0,VLOOKUP(I188,Iktato!$B$3:$Q$10000,16,FALSE),""),"")</f>
        <v/>
      </c>
      <c r="P188" s="6" t="str">
        <f>TRIM(IF($M$1&gt;=I188,IF(VLOOKUP(I188,Iktato!$B$3:$L$10000,6,FALSE)&lt;&gt;0,VLOOKUP(I188,Iktato!$B$3:$L$10000,6,FALSE),""),""))</f>
        <v/>
      </c>
      <c r="Q188" s="8" t="str">
        <f>TRIM(IF($M$1&gt;=I188,IF(VLOOKUP(I188,Iktato!$B$3:$L$10000,7,FALSE)&lt;&gt;0,VLOOKUP(I188,Iktato!$B$3:$L$10000,7,FALSE),""),""))</f>
        <v/>
      </c>
      <c r="R188" s="6" t="str">
        <f t="shared" si="27"/>
        <v/>
      </c>
      <c r="S188" s="6" t="str">
        <f t="shared" si="28"/>
        <v/>
      </c>
      <c r="T188" s="6" t="str">
        <f t="shared" si="29"/>
        <v/>
      </c>
    </row>
    <row r="189" spans="1:20" ht="16.5" x14ac:dyDescent="0.25">
      <c r="A189" s="11" t="str">
        <f t="shared" si="24"/>
        <v/>
      </c>
      <c r="B189" s="12" t="str">
        <f>IF($M$1&gt;=I189,VLOOKUP(I189,Iktato!$B$3:$L$10000,5,FALSE),"")</f>
        <v/>
      </c>
      <c r="C189" s="13" t="str">
        <f t="shared" si="25"/>
        <v/>
      </c>
      <c r="D189" s="14" t="str">
        <f>TRIM(IF($M$1&gt;=I189,IF(VLOOKUP(I189,Iktato!$B$3:$L$10000,8,FALSE)&lt;&gt;0,VLOOKUP(I189,Iktato!$B$3:$L$10000,8,FALSE),""),""))</f>
        <v/>
      </c>
      <c r="E189" s="14" t="str">
        <f>TRIM(IF($M$1&gt;=I189,IF(VLOOKUP(I189,Iktato!$B$3:$L$10000,9,FALSE)&lt;&gt;0,VLOOKUP(I189,Iktato!$B$3:$L$10000,9,FALSE),""),""))</f>
        <v/>
      </c>
      <c r="F189" s="43" t="str">
        <f t="shared" si="22"/>
        <v/>
      </c>
      <c r="G189" s="43"/>
      <c r="I189" s="6">
        <f t="shared" si="23"/>
        <v>179</v>
      </c>
      <c r="J189" s="6" t="str">
        <f t="shared" si="26"/>
        <v/>
      </c>
      <c r="K189" s="6" t="str">
        <f>IF($M$1&gt;=I189,VLOOKUP(I189,Iktato!$B$3:$L$10000,3,FALSE),"")</f>
        <v/>
      </c>
      <c r="M189" s="6" t="str">
        <f>IF($M$1&gt;=I189,IF(VLOOKUP(I189,Iktato!$B$3:$P$10000,15,FALSE)&lt;&gt;0,VLOOKUP(I189,Iktato!$B$3:$P$10000,15,FALSE),""),"")</f>
        <v/>
      </c>
      <c r="N189" s="6" t="str">
        <f>IF($M$1&gt;=I189,IF(VLOOKUP(I189,Iktato!$B$3:$Q$10000,16,FALSE)&lt;&gt;0,VLOOKUP(I189,Iktato!$B$3:$Q$10000,16,FALSE),""),"")</f>
        <v/>
      </c>
      <c r="P189" s="6" t="str">
        <f>TRIM(IF($M$1&gt;=I189,IF(VLOOKUP(I189,Iktato!$B$3:$L$10000,6,FALSE)&lt;&gt;0,VLOOKUP(I189,Iktato!$B$3:$L$10000,6,FALSE),""),""))</f>
        <v/>
      </c>
      <c r="Q189" s="8" t="str">
        <f>TRIM(IF($M$1&gt;=I189,IF(VLOOKUP(I189,Iktato!$B$3:$L$10000,7,FALSE)&lt;&gt;0,VLOOKUP(I189,Iktato!$B$3:$L$10000,7,FALSE),""),""))</f>
        <v/>
      </c>
      <c r="R189" s="6" t="str">
        <f t="shared" si="27"/>
        <v/>
      </c>
      <c r="S189" s="6" t="str">
        <f t="shared" si="28"/>
        <v/>
      </c>
      <c r="T189" s="6" t="str">
        <f t="shared" si="29"/>
        <v/>
      </c>
    </row>
    <row r="190" spans="1:20" ht="16.5" x14ac:dyDescent="0.25">
      <c r="A190" s="11" t="str">
        <f t="shared" si="24"/>
        <v/>
      </c>
      <c r="B190" s="12" t="str">
        <f>IF($M$1&gt;=I190,VLOOKUP(I190,Iktato!$B$3:$L$10000,5,FALSE),"")</f>
        <v/>
      </c>
      <c r="C190" s="13" t="str">
        <f t="shared" si="25"/>
        <v/>
      </c>
      <c r="D190" s="14" t="str">
        <f>TRIM(IF($M$1&gt;=I190,IF(VLOOKUP(I190,Iktato!$B$3:$L$10000,8,FALSE)&lt;&gt;0,VLOOKUP(I190,Iktato!$B$3:$L$10000,8,FALSE),""),""))</f>
        <v/>
      </c>
      <c r="E190" s="14" t="str">
        <f>TRIM(IF($M$1&gt;=I190,IF(VLOOKUP(I190,Iktato!$B$3:$L$10000,9,FALSE)&lt;&gt;0,VLOOKUP(I190,Iktato!$B$3:$L$10000,9,FALSE),""),""))</f>
        <v/>
      </c>
      <c r="F190" s="43" t="str">
        <f t="shared" si="22"/>
        <v/>
      </c>
      <c r="G190" s="43"/>
      <c r="I190" s="6">
        <f t="shared" si="23"/>
        <v>180</v>
      </c>
      <c r="J190" s="6" t="str">
        <f t="shared" si="26"/>
        <v/>
      </c>
      <c r="K190" s="6" t="str">
        <f>IF($M$1&gt;=I190,VLOOKUP(I190,Iktato!$B$3:$L$10000,3,FALSE),"")</f>
        <v/>
      </c>
      <c r="M190" s="6" t="str">
        <f>IF($M$1&gt;=I190,IF(VLOOKUP(I190,Iktato!$B$3:$P$10000,15,FALSE)&lt;&gt;0,VLOOKUP(I190,Iktato!$B$3:$P$10000,15,FALSE),""),"")</f>
        <v/>
      </c>
      <c r="N190" s="6" t="str">
        <f>IF($M$1&gt;=I190,IF(VLOOKUP(I190,Iktato!$B$3:$Q$10000,16,FALSE)&lt;&gt;0,VLOOKUP(I190,Iktato!$B$3:$Q$10000,16,FALSE),""),"")</f>
        <v/>
      </c>
      <c r="P190" s="6" t="str">
        <f>TRIM(IF($M$1&gt;=I190,IF(VLOOKUP(I190,Iktato!$B$3:$L$10000,6,FALSE)&lt;&gt;0,VLOOKUP(I190,Iktato!$B$3:$L$10000,6,FALSE),""),""))</f>
        <v/>
      </c>
      <c r="Q190" s="8" t="str">
        <f>TRIM(IF($M$1&gt;=I190,IF(VLOOKUP(I190,Iktato!$B$3:$L$10000,7,FALSE)&lt;&gt;0,VLOOKUP(I190,Iktato!$B$3:$L$10000,7,FALSE),""),""))</f>
        <v/>
      </c>
      <c r="R190" s="6" t="str">
        <f t="shared" si="27"/>
        <v/>
      </c>
      <c r="S190" s="6" t="str">
        <f t="shared" si="28"/>
        <v/>
      </c>
      <c r="T190" s="6" t="str">
        <f t="shared" si="29"/>
        <v/>
      </c>
    </row>
    <row r="191" spans="1:20" ht="16.5" x14ac:dyDescent="0.25">
      <c r="A191" s="11" t="str">
        <f t="shared" si="24"/>
        <v/>
      </c>
      <c r="B191" s="12" t="str">
        <f>IF($M$1&gt;=I191,VLOOKUP(I191,Iktato!$B$3:$L$10000,5,FALSE),"")</f>
        <v/>
      </c>
      <c r="C191" s="13" t="str">
        <f t="shared" si="25"/>
        <v/>
      </c>
      <c r="D191" s="14" t="str">
        <f>TRIM(IF($M$1&gt;=I191,IF(VLOOKUP(I191,Iktato!$B$3:$L$10000,8,FALSE)&lt;&gt;0,VLOOKUP(I191,Iktato!$B$3:$L$10000,8,FALSE),""),""))</f>
        <v/>
      </c>
      <c r="E191" s="14" t="str">
        <f>TRIM(IF($M$1&gt;=I191,IF(VLOOKUP(I191,Iktato!$B$3:$L$10000,9,FALSE)&lt;&gt;0,VLOOKUP(I191,Iktato!$B$3:$L$10000,9,FALSE),""),""))</f>
        <v/>
      </c>
      <c r="F191" s="43" t="str">
        <f t="shared" si="22"/>
        <v/>
      </c>
      <c r="G191" s="43"/>
      <c r="I191" s="6">
        <f t="shared" si="23"/>
        <v>181</v>
      </c>
      <c r="J191" s="6" t="str">
        <f t="shared" si="26"/>
        <v/>
      </c>
      <c r="K191" s="6" t="str">
        <f>IF($M$1&gt;=I191,VLOOKUP(I191,Iktato!$B$3:$L$10000,3,FALSE),"")</f>
        <v/>
      </c>
      <c r="M191" s="6" t="str">
        <f>IF($M$1&gt;=I191,IF(VLOOKUP(I191,Iktato!$B$3:$P$10000,15,FALSE)&lt;&gt;0,VLOOKUP(I191,Iktato!$B$3:$P$10000,15,FALSE),""),"")</f>
        <v/>
      </c>
      <c r="N191" s="6" t="str">
        <f>IF($M$1&gt;=I191,IF(VLOOKUP(I191,Iktato!$B$3:$Q$10000,16,FALSE)&lt;&gt;0,VLOOKUP(I191,Iktato!$B$3:$Q$10000,16,FALSE),""),"")</f>
        <v/>
      </c>
      <c r="P191" s="6" t="str">
        <f>TRIM(IF($M$1&gt;=I191,IF(VLOOKUP(I191,Iktato!$B$3:$L$10000,6,FALSE)&lt;&gt;0,VLOOKUP(I191,Iktato!$B$3:$L$10000,6,FALSE),""),""))</f>
        <v/>
      </c>
      <c r="Q191" s="8" t="str">
        <f>TRIM(IF($M$1&gt;=I191,IF(VLOOKUP(I191,Iktato!$B$3:$L$10000,7,FALSE)&lt;&gt;0,VLOOKUP(I191,Iktato!$B$3:$L$10000,7,FALSE),""),""))</f>
        <v/>
      </c>
      <c r="R191" s="6" t="str">
        <f t="shared" si="27"/>
        <v/>
      </c>
      <c r="S191" s="6" t="str">
        <f t="shared" si="28"/>
        <v/>
      </c>
      <c r="T191" s="6" t="str">
        <f t="shared" si="29"/>
        <v/>
      </c>
    </row>
    <row r="192" spans="1:20" ht="16.5" x14ac:dyDescent="0.25">
      <c r="A192" s="11" t="str">
        <f t="shared" si="24"/>
        <v/>
      </c>
      <c r="B192" s="12" t="str">
        <f>IF($M$1&gt;=I192,VLOOKUP(I192,Iktato!$B$3:$L$10000,5,FALSE),"")</f>
        <v/>
      </c>
      <c r="C192" s="13" t="str">
        <f t="shared" si="25"/>
        <v/>
      </c>
      <c r="D192" s="14" t="str">
        <f>TRIM(IF($M$1&gt;=I192,IF(VLOOKUP(I192,Iktato!$B$3:$L$10000,8,FALSE)&lt;&gt;0,VLOOKUP(I192,Iktato!$B$3:$L$10000,8,FALSE),""),""))</f>
        <v/>
      </c>
      <c r="E192" s="14" t="str">
        <f>TRIM(IF($M$1&gt;=I192,IF(VLOOKUP(I192,Iktato!$B$3:$L$10000,9,FALSE)&lt;&gt;0,VLOOKUP(I192,Iktato!$B$3:$L$10000,9,FALSE),""),""))</f>
        <v/>
      </c>
      <c r="F192" s="43" t="str">
        <f t="shared" si="22"/>
        <v/>
      </c>
      <c r="G192" s="43"/>
      <c r="I192" s="6">
        <f t="shared" si="23"/>
        <v>182</v>
      </c>
      <c r="J192" s="6" t="str">
        <f t="shared" si="26"/>
        <v/>
      </c>
      <c r="K192" s="6" t="str">
        <f>IF($M$1&gt;=I192,VLOOKUP(I192,Iktato!$B$3:$L$10000,3,FALSE),"")</f>
        <v/>
      </c>
      <c r="M192" s="6" t="str">
        <f>IF($M$1&gt;=I192,IF(VLOOKUP(I192,Iktato!$B$3:$P$10000,15,FALSE)&lt;&gt;0,VLOOKUP(I192,Iktato!$B$3:$P$10000,15,FALSE),""),"")</f>
        <v/>
      </c>
      <c r="N192" s="6" t="str">
        <f>IF($M$1&gt;=I192,IF(VLOOKUP(I192,Iktato!$B$3:$Q$10000,16,FALSE)&lt;&gt;0,VLOOKUP(I192,Iktato!$B$3:$Q$10000,16,FALSE),""),"")</f>
        <v/>
      </c>
      <c r="P192" s="6" t="str">
        <f>TRIM(IF($M$1&gt;=I192,IF(VLOOKUP(I192,Iktato!$B$3:$L$10000,6,FALSE)&lt;&gt;0,VLOOKUP(I192,Iktato!$B$3:$L$10000,6,FALSE),""),""))</f>
        <v/>
      </c>
      <c r="Q192" s="8" t="str">
        <f>TRIM(IF($M$1&gt;=I192,IF(VLOOKUP(I192,Iktato!$B$3:$L$10000,7,FALSE)&lt;&gt;0,VLOOKUP(I192,Iktato!$B$3:$L$10000,7,FALSE),""),""))</f>
        <v/>
      </c>
      <c r="R192" s="6" t="str">
        <f t="shared" si="27"/>
        <v/>
      </c>
      <c r="S192" s="6" t="str">
        <f t="shared" si="28"/>
        <v/>
      </c>
      <c r="T192" s="6" t="str">
        <f t="shared" si="29"/>
        <v/>
      </c>
    </row>
    <row r="193" spans="1:20" ht="16.5" x14ac:dyDescent="0.25">
      <c r="A193" s="11" t="str">
        <f t="shared" si="24"/>
        <v/>
      </c>
      <c r="B193" s="12" t="str">
        <f>IF($M$1&gt;=I193,VLOOKUP(I193,Iktato!$B$3:$L$10000,5,FALSE),"")</f>
        <v/>
      </c>
      <c r="C193" s="13" t="str">
        <f t="shared" si="25"/>
        <v/>
      </c>
      <c r="D193" s="14" t="str">
        <f>TRIM(IF($M$1&gt;=I193,IF(VLOOKUP(I193,Iktato!$B$3:$L$10000,8,FALSE)&lt;&gt;0,VLOOKUP(I193,Iktato!$B$3:$L$10000,8,FALSE),""),""))</f>
        <v/>
      </c>
      <c r="E193" s="14" t="str">
        <f>TRIM(IF($M$1&gt;=I193,IF(VLOOKUP(I193,Iktato!$B$3:$L$10000,9,FALSE)&lt;&gt;0,VLOOKUP(I193,Iktato!$B$3:$L$10000,9,FALSE),""),""))</f>
        <v/>
      </c>
      <c r="F193" s="43" t="str">
        <f t="shared" si="22"/>
        <v/>
      </c>
      <c r="G193" s="43"/>
      <c r="I193" s="6">
        <f t="shared" si="23"/>
        <v>183</v>
      </c>
      <c r="J193" s="6" t="str">
        <f t="shared" si="26"/>
        <v/>
      </c>
      <c r="K193" s="6" t="str">
        <f>IF($M$1&gt;=I193,VLOOKUP(I193,Iktato!$B$3:$L$10000,3,FALSE),"")</f>
        <v/>
      </c>
      <c r="M193" s="6" t="str">
        <f>IF($M$1&gt;=I193,IF(VLOOKUP(I193,Iktato!$B$3:$P$10000,15,FALSE)&lt;&gt;0,VLOOKUP(I193,Iktato!$B$3:$P$10000,15,FALSE),""),"")</f>
        <v/>
      </c>
      <c r="N193" s="6" t="str">
        <f>IF($M$1&gt;=I193,IF(VLOOKUP(I193,Iktato!$B$3:$Q$10000,16,FALSE)&lt;&gt;0,VLOOKUP(I193,Iktato!$B$3:$Q$10000,16,FALSE),""),"")</f>
        <v/>
      </c>
      <c r="P193" s="6" t="str">
        <f>TRIM(IF($M$1&gt;=I193,IF(VLOOKUP(I193,Iktato!$B$3:$L$10000,6,FALSE)&lt;&gt;0,VLOOKUP(I193,Iktato!$B$3:$L$10000,6,FALSE),""),""))</f>
        <v/>
      </c>
      <c r="Q193" s="8" t="str">
        <f>TRIM(IF($M$1&gt;=I193,IF(VLOOKUP(I193,Iktato!$B$3:$L$10000,7,FALSE)&lt;&gt;0,VLOOKUP(I193,Iktato!$B$3:$L$10000,7,FALSE),""),""))</f>
        <v/>
      </c>
      <c r="R193" s="6" t="str">
        <f t="shared" si="27"/>
        <v/>
      </c>
      <c r="S193" s="6" t="str">
        <f t="shared" si="28"/>
        <v/>
      </c>
      <c r="T193" s="6" t="str">
        <f t="shared" si="29"/>
        <v/>
      </c>
    </row>
    <row r="194" spans="1:20" ht="16.5" x14ac:dyDescent="0.25">
      <c r="A194" s="11" t="str">
        <f t="shared" si="24"/>
        <v/>
      </c>
      <c r="B194" s="12" t="str">
        <f>IF($M$1&gt;=I194,VLOOKUP(I194,Iktato!$B$3:$L$10000,5,FALSE),"")</f>
        <v/>
      </c>
      <c r="C194" s="13" t="str">
        <f t="shared" si="25"/>
        <v/>
      </c>
      <c r="D194" s="14" t="str">
        <f>TRIM(IF($M$1&gt;=I194,IF(VLOOKUP(I194,Iktato!$B$3:$L$10000,8,FALSE)&lt;&gt;0,VLOOKUP(I194,Iktato!$B$3:$L$10000,8,FALSE),""),""))</f>
        <v/>
      </c>
      <c r="E194" s="14" t="str">
        <f>TRIM(IF($M$1&gt;=I194,IF(VLOOKUP(I194,Iktato!$B$3:$L$10000,9,FALSE)&lt;&gt;0,VLOOKUP(I194,Iktato!$B$3:$L$10000,9,FALSE),""),""))</f>
        <v/>
      </c>
      <c r="F194" s="43" t="str">
        <f t="shared" si="22"/>
        <v/>
      </c>
      <c r="G194" s="43"/>
      <c r="I194" s="6">
        <f t="shared" si="23"/>
        <v>184</v>
      </c>
      <c r="J194" s="6" t="str">
        <f t="shared" si="26"/>
        <v/>
      </c>
      <c r="K194" s="6" t="str">
        <f>IF($M$1&gt;=I194,VLOOKUP(I194,Iktato!$B$3:$L$10000,3,FALSE),"")</f>
        <v/>
      </c>
      <c r="M194" s="6" t="str">
        <f>IF($M$1&gt;=I194,IF(VLOOKUP(I194,Iktato!$B$3:$P$10000,15,FALSE)&lt;&gt;0,VLOOKUP(I194,Iktato!$B$3:$P$10000,15,FALSE),""),"")</f>
        <v/>
      </c>
      <c r="N194" s="6" t="str">
        <f>IF($M$1&gt;=I194,IF(VLOOKUP(I194,Iktato!$B$3:$Q$10000,16,FALSE)&lt;&gt;0,VLOOKUP(I194,Iktato!$B$3:$Q$10000,16,FALSE),""),"")</f>
        <v/>
      </c>
      <c r="P194" s="6" t="str">
        <f>TRIM(IF($M$1&gt;=I194,IF(VLOOKUP(I194,Iktato!$B$3:$L$10000,6,FALSE)&lt;&gt;0,VLOOKUP(I194,Iktato!$B$3:$L$10000,6,FALSE),""),""))</f>
        <v/>
      </c>
      <c r="Q194" s="8" t="str">
        <f>TRIM(IF($M$1&gt;=I194,IF(VLOOKUP(I194,Iktato!$B$3:$L$10000,7,FALSE)&lt;&gt;0,VLOOKUP(I194,Iktato!$B$3:$L$10000,7,FALSE),""),""))</f>
        <v/>
      </c>
      <c r="R194" s="6" t="str">
        <f t="shared" si="27"/>
        <v/>
      </c>
      <c r="S194" s="6" t="str">
        <f t="shared" si="28"/>
        <v/>
      </c>
      <c r="T194" s="6" t="str">
        <f t="shared" si="29"/>
        <v/>
      </c>
    </row>
    <row r="195" spans="1:20" ht="16.5" x14ac:dyDescent="0.25">
      <c r="A195" s="11" t="str">
        <f t="shared" si="24"/>
        <v/>
      </c>
      <c r="B195" s="12" t="str">
        <f>IF($M$1&gt;=I195,VLOOKUP(I195,Iktato!$B$3:$L$10000,5,FALSE),"")</f>
        <v/>
      </c>
      <c r="C195" s="13" t="str">
        <f t="shared" si="25"/>
        <v/>
      </c>
      <c r="D195" s="14" t="str">
        <f>TRIM(IF($M$1&gt;=I195,IF(VLOOKUP(I195,Iktato!$B$3:$L$10000,8,FALSE)&lt;&gt;0,VLOOKUP(I195,Iktato!$B$3:$L$10000,8,FALSE),""),""))</f>
        <v/>
      </c>
      <c r="E195" s="14" t="str">
        <f>TRIM(IF($M$1&gt;=I195,IF(VLOOKUP(I195,Iktato!$B$3:$L$10000,9,FALSE)&lt;&gt;0,VLOOKUP(I195,Iktato!$B$3:$L$10000,9,FALSE),""),""))</f>
        <v/>
      </c>
      <c r="F195" s="43" t="str">
        <f t="shared" si="22"/>
        <v/>
      </c>
      <c r="G195" s="43"/>
      <c r="I195" s="6">
        <f t="shared" si="23"/>
        <v>185</v>
      </c>
      <c r="J195" s="6" t="str">
        <f t="shared" si="26"/>
        <v/>
      </c>
      <c r="K195" s="6" t="str">
        <f>IF($M$1&gt;=I195,VLOOKUP(I195,Iktato!$B$3:$L$10000,3,FALSE),"")</f>
        <v/>
      </c>
      <c r="M195" s="6" t="str">
        <f>IF($M$1&gt;=I195,IF(VLOOKUP(I195,Iktato!$B$3:$P$10000,15,FALSE)&lt;&gt;0,VLOOKUP(I195,Iktato!$B$3:$P$10000,15,FALSE),""),"")</f>
        <v/>
      </c>
      <c r="N195" s="6" t="str">
        <f>IF($M$1&gt;=I195,IF(VLOOKUP(I195,Iktato!$B$3:$Q$10000,16,FALSE)&lt;&gt;0,VLOOKUP(I195,Iktato!$B$3:$Q$10000,16,FALSE),""),"")</f>
        <v/>
      </c>
      <c r="P195" s="6" t="str">
        <f>TRIM(IF($M$1&gt;=I195,IF(VLOOKUP(I195,Iktato!$B$3:$L$10000,6,FALSE)&lt;&gt;0,VLOOKUP(I195,Iktato!$B$3:$L$10000,6,FALSE),""),""))</f>
        <v/>
      </c>
      <c r="Q195" s="8" t="str">
        <f>TRIM(IF($M$1&gt;=I195,IF(VLOOKUP(I195,Iktato!$B$3:$L$10000,7,FALSE)&lt;&gt;0,VLOOKUP(I195,Iktato!$B$3:$L$10000,7,FALSE),""),""))</f>
        <v/>
      </c>
      <c r="R195" s="6" t="str">
        <f t="shared" si="27"/>
        <v/>
      </c>
      <c r="S195" s="6" t="str">
        <f t="shared" si="28"/>
        <v/>
      </c>
      <c r="T195" s="6" t="str">
        <f t="shared" si="29"/>
        <v/>
      </c>
    </row>
    <row r="196" spans="1:20" ht="16.5" x14ac:dyDescent="0.25">
      <c r="A196" s="11" t="str">
        <f t="shared" si="24"/>
        <v/>
      </c>
      <c r="B196" s="12" t="str">
        <f>IF($M$1&gt;=I196,VLOOKUP(I196,Iktato!$B$3:$L$10000,5,FALSE),"")</f>
        <v/>
      </c>
      <c r="C196" s="13" t="str">
        <f t="shared" si="25"/>
        <v/>
      </c>
      <c r="D196" s="14" t="str">
        <f>TRIM(IF($M$1&gt;=I196,IF(VLOOKUP(I196,Iktato!$B$3:$L$10000,8,FALSE)&lt;&gt;0,VLOOKUP(I196,Iktato!$B$3:$L$10000,8,FALSE),""),""))</f>
        <v/>
      </c>
      <c r="E196" s="14" t="str">
        <f>TRIM(IF($M$1&gt;=I196,IF(VLOOKUP(I196,Iktato!$B$3:$L$10000,9,FALSE)&lt;&gt;0,VLOOKUP(I196,Iktato!$B$3:$L$10000,9,FALSE),""),""))</f>
        <v/>
      </c>
      <c r="F196" s="43" t="str">
        <f t="shared" si="22"/>
        <v/>
      </c>
      <c r="G196" s="43"/>
      <c r="I196" s="6">
        <f t="shared" si="23"/>
        <v>186</v>
      </c>
      <c r="J196" s="6" t="str">
        <f t="shared" si="26"/>
        <v/>
      </c>
      <c r="K196" s="6" t="str">
        <f>IF($M$1&gt;=I196,VLOOKUP(I196,Iktato!$B$3:$L$10000,3,FALSE),"")</f>
        <v/>
      </c>
      <c r="M196" s="6" t="str">
        <f>IF($M$1&gt;=I196,IF(VLOOKUP(I196,Iktato!$B$3:$P$10000,15,FALSE)&lt;&gt;0,VLOOKUP(I196,Iktato!$B$3:$P$10000,15,FALSE),""),"")</f>
        <v/>
      </c>
      <c r="N196" s="6" t="str">
        <f>IF($M$1&gt;=I196,IF(VLOOKUP(I196,Iktato!$B$3:$Q$10000,16,FALSE)&lt;&gt;0,VLOOKUP(I196,Iktato!$B$3:$Q$10000,16,FALSE),""),"")</f>
        <v/>
      </c>
      <c r="P196" s="6" t="str">
        <f>TRIM(IF($M$1&gt;=I196,IF(VLOOKUP(I196,Iktato!$B$3:$L$10000,6,FALSE)&lt;&gt;0,VLOOKUP(I196,Iktato!$B$3:$L$10000,6,FALSE),""),""))</f>
        <v/>
      </c>
      <c r="Q196" s="8" t="str">
        <f>TRIM(IF($M$1&gt;=I196,IF(VLOOKUP(I196,Iktato!$B$3:$L$10000,7,FALSE)&lt;&gt;0,VLOOKUP(I196,Iktato!$B$3:$L$10000,7,FALSE),""),""))</f>
        <v/>
      </c>
      <c r="R196" s="6" t="str">
        <f t="shared" si="27"/>
        <v/>
      </c>
      <c r="S196" s="6" t="str">
        <f t="shared" si="28"/>
        <v/>
      </c>
      <c r="T196" s="6" t="str">
        <f t="shared" si="29"/>
        <v/>
      </c>
    </row>
    <row r="197" spans="1:20" ht="16.5" x14ac:dyDescent="0.25">
      <c r="A197" s="11" t="str">
        <f t="shared" si="24"/>
        <v/>
      </c>
      <c r="B197" s="12" t="str">
        <f>IF($M$1&gt;=I197,VLOOKUP(I197,Iktato!$B$3:$L$10000,5,FALSE),"")</f>
        <v/>
      </c>
      <c r="C197" s="13" t="str">
        <f t="shared" si="25"/>
        <v/>
      </c>
      <c r="D197" s="14" t="str">
        <f>TRIM(IF($M$1&gt;=I197,IF(VLOOKUP(I197,Iktato!$B$3:$L$10000,8,FALSE)&lt;&gt;0,VLOOKUP(I197,Iktato!$B$3:$L$10000,8,FALSE),""),""))</f>
        <v/>
      </c>
      <c r="E197" s="14" t="str">
        <f>TRIM(IF($M$1&gt;=I197,IF(VLOOKUP(I197,Iktato!$B$3:$L$10000,9,FALSE)&lt;&gt;0,VLOOKUP(I197,Iktato!$B$3:$L$10000,9,FALSE),""),""))</f>
        <v/>
      </c>
      <c r="F197" s="43" t="str">
        <f t="shared" si="22"/>
        <v/>
      </c>
      <c r="G197" s="43"/>
      <c r="I197" s="6">
        <f t="shared" si="23"/>
        <v>187</v>
      </c>
      <c r="J197" s="6" t="str">
        <f t="shared" si="26"/>
        <v/>
      </c>
      <c r="K197" s="6" t="str">
        <f>IF($M$1&gt;=I197,VLOOKUP(I197,Iktato!$B$3:$L$10000,3,FALSE),"")</f>
        <v/>
      </c>
      <c r="M197" s="6" t="str">
        <f>IF($M$1&gt;=I197,IF(VLOOKUP(I197,Iktato!$B$3:$P$10000,15,FALSE)&lt;&gt;0,VLOOKUP(I197,Iktato!$B$3:$P$10000,15,FALSE),""),"")</f>
        <v/>
      </c>
      <c r="N197" s="6" t="str">
        <f>IF($M$1&gt;=I197,IF(VLOOKUP(I197,Iktato!$B$3:$Q$10000,16,FALSE)&lt;&gt;0,VLOOKUP(I197,Iktato!$B$3:$Q$10000,16,FALSE),""),"")</f>
        <v/>
      </c>
      <c r="P197" s="6" t="str">
        <f>TRIM(IF($M$1&gt;=I197,IF(VLOOKUP(I197,Iktato!$B$3:$L$10000,6,FALSE)&lt;&gt;0,VLOOKUP(I197,Iktato!$B$3:$L$10000,6,FALSE),""),""))</f>
        <v/>
      </c>
      <c r="Q197" s="8" t="str">
        <f>TRIM(IF($M$1&gt;=I197,IF(VLOOKUP(I197,Iktato!$B$3:$L$10000,7,FALSE)&lt;&gt;0,VLOOKUP(I197,Iktato!$B$3:$L$10000,7,FALSE),""),""))</f>
        <v/>
      </c>
      <c r="R197" s="6" t="str">
        <f t="shared" si="27"/>
        <v/>
      </c>
      <c r="S197" s="6" t="str">
        <f t="shared" si="28"/>
        <v/>
      </c>
      <c r="T197" s="6" t="str">
        <f t="shared" si="29"/>
        <v/>
      </c>
    </row>
    <row r="198" spans="1:20" ht="16.5" x14ac:dyDescent="0.25">
      <c r="A198" s="11" t="str">
        <f t="shared" si="24"/>
        <v/>
      </c>
      <c r="B198" s="12" t="str">
        <f>IF($M$1&gt;=I198,VLOOKUP(I198,Iktato!$B$3:$L$10000,5,FALSE),"")</f>
        <v/>
      </c>
      <c r="C198" s="13" t="str">
        <f t="shared" si="25"/>
        <v/>
      </c>
      <c r="D198" s="14" t="str">
        <f>TRIM(IF($M$1&gt;=I198,IF(VLOOKUP(I198,Iktato!$B$3:$L$10000,8,FALSE)&lt;&gt;0,VLOOKUP(I198,Iktato!$B$3:$L$10000,8,FALSE),""),""))</f>
        <v/>
      </c>
      <c r="E198" s="14" t="str">
        <f>TRIM(IF($M$1&gt;=I198,IF(VLOOKUP(I198,Iktato!$B$3:$L$10000,9,FALSE)&lt;&gt;0,VLOOKUP(I198,Iktato!$B$3:$L$10000,9,FALSE),""),""))</f>
        <v/>
      </c>
      <c r="F198" s="43" t="str">
        <f t="shared" si="22"/>
        <v/>
      </c>
      <c r="G198" s="43"/>
      <c r="I198" s="6">
        <f t="shared" si="23"/>
        <v>188</v>
      </c>
      <c r="J198" s="6" t="str">
        <f t="shared" si="26"/>
        <v/>
      </c>
      <c r="K198" s="6" t="str">
        <f>IF($M$1&gt;=I198,VLOOKUP(I198,Iktato!$B$3:$L$10000,3,FALSE),"")</f>
        <v/>
      </c>
      <c r="M198" s="6" t="str">
        <f>IF($M$1&gt;=I198,IF(VLOOKUP(I198,Iktato!$B$3:$P$10000,15,FALSE)&lt;&gt;0,VLOOKUP(I198,Iktato!$B$3:$P$10000,15,FALSE),""),"")</f>
        <v/>
      </c>
      <c r="N198" s="6" t="str">
        <f>IF($M$1&gt;=I198,IF(VLOOKUP(I198,Iktato!$B$3:$Q$10000,16,FALSE)&lt;&gt;0,VLOOKUP(I198,Iktato!$B$3:$Q$10000,16,FALSE),""),"")</f>
        <v/>
      </c>
      <c r="P198" s="6" t="str">
        <f>TRIM(IF($M$1&gt;=I198,IF(VLOOKUP(I198,Iktato!$B$3:$L$10000,6,FALSE)&lt;&gt;0,VLOOKUP(I198,Iktato!$B$3:$L$10000,6,FALSE),""),""))</f>
        <v/>
      </c>
      <c r="Q198" s="8" t="str">
        <f>TRIM(IF($M$1&gt;=I198,IF(VLOOKUP(I198,Iktato!$B$3:$L$10000,7,FALSE)&lt;&gt;0,VLOOKUP(I198,Iktato!$B$3:$L$10000,7,FALSE),""),""))</f>
        <v/>
      </c>
      <c r="R198" s="6" t="str">
        <f t="shared" si="27"/>
        <v/>
      </c>
      <c r="S198" s="6" t="str">
        <f t="shared" si="28"/>
        <v/>
      </c>
      <c r="T198" s="6" t="str">
        <f t="shared" si="29"/>
        <v/>
      </c>
    </row>
    <row r="199" spans="1:20" ht="16.5" x14ac:dyDescent="0.25">
      <c r="A199" s="11" t="str">
        <f t="shared" si="24"/>
        <v/>
      </c>
      <c r="B199" s="12" t="str">
        <f>IF($M$1&gt;=I199,VLOOKUP(I199,Iktato!$B$3:$L$10000,5,FALSE),"")</f>
        <v/>
      </c>
      <c r="C199" s="13" t="str">
        <f t="shared" si="25"/>
        <v/>
      </c>
      <c r="D199" s="14" t="str">
        <f>TRIM(IF($M$1&gt;=I199,IF(VLOOKUP(I199,Iktato!$B$3:$L$10000,8,FALSE)&lt;&gt;0,VLOOKUP(I199,Iktato!$B$3:$L$10000,8,FALSE),""),""))</f>
        <v/>
      </c>
      <c r="E199" s="14" t="str">
        <f>TRIM(IF($M$1&gt;=I199,IF(VLOOKUP(I199,Iktato!$B$3:$L$10000,9,FALSE)&lt;&gt;0,VLOOKUP(I199,Iktato!$B$3:$L$10000,9,FALSE),""),""))</f>
        <v/>
      </c>
      <c r="F199" s="43" t="str">
        <f t="shared" si="22"/>
        <v/>
      </c>
      <c r="G199" s="43"/>
      <c r="I199" s="6">
        <f t="shared" si="23"/>
        <v>189</v>
      </c>
      <c r="J199" s="6" t="str">
        <f t="shared" si="26"/>
        <v/>
      </c>
      <c r="K199" s="6" t="str">
        <f>IF($M$1&gt;=I199,VLOOKUP(I199,Iktato!$B$3:$L$10000,3,FALSE),"")</f>
        <v/>
      </c>
      <c r="M199" s="6" t="str">
        <f>IF($M$1&gt;=I199,IF(VLOOKUP(I199,Iktato!$B$3:$P$10000,15,FALSE)&lt;&gt;0,VLOOKUP(I199,Iktato!$B$3:$P$10000,15,FALSE),""),"")</f>
        <v/>
      </c>
      <c r="N199" s="6" t="str">
        <f>IF($M$1&gt;=I199,IF(VLOOKUP(I199,Iktato!$B$3:$Q$10000,16,FALSE)&lt;&gt;0,VLOOKUP(I199,Iktato!$B$3:$Q$10000,16,FALSE),""),"")</f>
        <v/>
      </c>
      <c r="P199" s="6" t="str">
        <f>TRIM(IF($M$1&gt;=I199,IF(VLOOKUP(I199,Iktato!$B$3:$L$10000,6,FALSE)&lt;&gt;0,VLOOKUP(I199,Iktato!$B$3:$L$10000,6,FALSE),""),""))</f>
        <v/>
      </c>
      <c r="Q199" s="8" t="str">
        <f>TRIM(IF($M$1&gt;=I199,IF(VLOOKUP(I199,Iktato!$B$3:$L$10000,7,FALSE)&lt;&gt;0,VLOOKUP(I199,Iktato!$B$3:$L$10000,7,FALSE),""),""))</f>
        <v/>
      </c>
      <c r="R199" s="6" t="str">
        <f t="shared" si="27"/>
        <v/>
      </c>
      <c r="S199" s="6" t="str">
        <f t="shared" si="28"/>
        <v/>
      </c>
      <c r="T199" s="6" t="str">
        <f t="shared" si="29"/>
        <v/>
      </c>
    </row>
    <row r="200" spans="1:20" ht="16.5" x14ac:dyDescent="0.25">
      <c r="A200" s="11" t="str">
        <f t="shared" si="24"/>
        <v/>
      </c>
      <c r="B200" s="12" t="str">
        <f>IF($M$1&gt;=I200,VLOOKUP(I200,Iktato!$B$3:$L$10000,5,FALSE),"")</f>
        <v/>
      </c>
      <c r="C200" s="13" t="str">
        <f t="shared" si="25"/>
        <v/>
      </c>
      <c r="D200" s="14" t="str">
        <f>TRIM(IF($M$1&gt;=I200,IF(VLOOKUP(I200,Iktato!$B$3:$L$10000,8,FALSE)&lt;&gt;0,VLOOKUP(I200,Iktato!$B$3:$L$10000,8,FALSE),""),""))</f>
        <v/>
      </c>
      <c r="E200" s="14" t="str">
        <f>TRIM(IF($M$1&gt;=I200,IF(VLOOKUP(I200,Iktato!$B$3:$L$10000,9,FALSE)&lt;&gt;0,VLOOKUP(I200,Iktato!$B$3:$L$10000,9,FALSE),""),""))</f>
        <v/>
      </c>
      <c r="F200" s="43" t="str">
        <f t="shared" si="22"/>
        <v/>
      </c>
      <c r="G200" s="43"/>
      <c r="I200" s="6">
        <f t="shared" si="23"/>
        <v>190</v>
      </c>
      <c r="J200" s="6" t="str">
        <f t="shared" si="26"/>
        <v/>
      </c>
      <c r="K200" s="6" t="str">
        <f>IF($M$1&gt;=I200,VLOOKUP(I200,Iktato!$B$3:$L$10000,3,FALSE),"")</f>
        <v/>
      </c>
      <c r="M200" s="6" t="str">
        <f>IF($M$1&gt;=I200,IF(VLOOKUP(I200,Iktato!$B$3:$P$10000,15,FALSE)&lt;&gt;0,VLOOKUP(I200,Iktato!$B$3:$P$10000,15,FALSE),""),"")</f>
        <v/>
      </c>
      <c r="N200" s="6" t="str">
        <f>IF($M$1&gt;=I200,IF(VLOOKUP(I200,Iktato!$B$3:$Q$10000,16,FALSE)&lt;&gt;0,VLOOKUP(I200,Iktato!$B$3:$Q$10000,16,FALSE),""),"")</f>
        <v/>
      </c>
      <c r="P200" s="6" t="str">
        <f>TRIM(IF($M$1&gt;=I200,IF(VLOOKUP(I200,Iktato!$B$3:$L$10000,6,FALSE)&lt;&gt;0,VLOOKUP(I200,Iktato!$B$3:$L$10000,6,FALSE),""),""))</f>
        <v/>
      </c>
      <c r="Q200" s="8" t="str">
        <f>TRIM(IF($M$1&gt;=I200,IF(VLOOKUP(I200,Iktato!$B$3:$L$10000,7,FALSE)&lt;&gt;0,VLOOKUP(I200,Iktato!$B$3:$L$10000,7,FALSE),""),""))</f>
        <v/>
      </c>
      <c r="R200" s="6" t="str">
        <f t="shared" si="27"/>
        <v/>
      </c>
      <c r="S200" s="6" t="str">
        <f t="shared" si="28"/>
        <v/>
      </c>
      <c r="T200" s="6" t="str">
        <f t="shared" si="29"/>
        <v/>
      </c>
    </row>
    <row r="201" spans="1:20" ht="16.5" x14ac:dyDescent="0.25">
      <c r="A201" s="11" t="str">
        <f t="shared" si="24"/>
        <v/>
      </c>
      <c r="B201" s="12" t="str">
        <f>IF($M$1&gt;=I201,VLOOKUP(I201,Iktato!$B$3:$L$10000,5,FALSE),"")</f>
        <v/>
      </c>
      <c r="C201" s="13" t="str">
        <f t="shared" si="25"/>
        <v/>
      </c>
      <c r="D201" s="14" t="str">
        <f>TRIM(IF($M$1&gt;=I201,IF(VLOOKUP(I201,Iktato!$B$3:$L$10000,8,FALSE)&lt;&gt;0,VLOOKUP(I201,Iktato!$B$3:$L$10000,8,FALSE),""),""))</f>
        <v/>
      </c>
      <c r="E201" s="14" t="str">
        <f>TRIM(IF($M$1&gt;=I201,IF(VLOOKUP(I201,Iktato!$B$3:$L$10000,9,FALSE)&lt;&gt;0,VLOOKUP(I201,Iktato!$B$3:$L$10000,9,FALSE),""),""))</f>
        <v/>
      </c>
      <c r="F201" s="43" t="str">
        <f t="shared" si="22"/>
        <v/>
      </c>
      <c r="G201" s="43"/>
      <c r="I201" s="6">
        <f t="shared" si="23"/>
        <v>191</v>
      </c>
      <c r="J201" s="6" t="str">
        <f t="shared" si="26"/>
        <v/>
      </c>
      <c r="K201" s="6" t="str">
        <f>IF($M$1&gt;=I201,VLOOKUP(I201,Iktato!$B$3:$L$10000,3,FALSE),"")</f>
        <v/>
      </c>
      <c r="M201" s="6" t="str">
        <f>IF($M$1&gt;=I201,IF(VLOOKUP(I201,Iktato!$B$3:$P$10000,15,FALSE)&lt;&gt;0,VLOOKUP(I201,Iktato!$B$3:$P$10000,15,FALSE),""),"")</f>
        <v/>
      </c>
      <c r="N201" s="6" t="str">
        <f>IF($M$1&gt;=I201,IF(VLOOKUP(I201,Iktato!$B$3:$Q$10000,16,FALSE)&lt;&gt;0,VLOOKUP(I201,Iktato!$B$3:$Q$10000,16,FALSE),""),"")</f>
        <v/>
      </c>
      <c r="P201" s="6" t="str">
        <f>TRIM(IF($M$1&gt;=I201,IF(VLOOKUP(I201,Iktato!$B$3:$L$10000,6,FALSE)&lt;&gt;0,VLOOKUP(I201,Iktato!$B$3:$L$10000,6,FALSE),""),""))</f>
        <v/>
      </c>
      <c r="Q201" s="8" t="str">
        <f>TRIM(IF($M$1&gt;=I201,IF(VLOOKUP(I201,Iktato!$B$3:$L$10000,7,FALSE)&lt;&gt;0,VLOOKUP(I201,Iktato!$B$3:$L$10000,7,FALSE),""),""))</f>
        <v/>
      </c>
      <c r="R201" s="6" t="str">
        <f t="shared" si="27"/>
        <v/>
      </c>
      <c r="S201" s="6" t="str">
        <f t="shared" si="28"/>
        <v/>
      </c>
      <c r="T201" s="6" t="str">
        <f t="shared" si="29"/>
        <v/>
      </c>
    </row>
    <row r="202" spans="1:20" ht="16.5" x14ac:dyDescent="0.25">
      <c r="A202" s="11" t="str">
        <f t="shared" si="24"/>
        <v/>
      </c>
      <c r="B202" s="12" t="str">
        <f>IF($M$1&gt;=I202,VLOOKUP(I202,Iktato!$B$3:$L$10000,5,FALSE),"")</f>
        <v/>
      </c>
      <c r="C202" s="13" t="str">
        <f t="shared" si="25"/>
        <v/>
      </c>
      <c r="D202" s="14" t="str">
        <f>TRIM(IF($M$1&gt;=I202,IF(VLOOKUP(I202,Iktato!$B$3:$L$10000,8,FALSE)&lt;&gt;0,VLOOKUP(I202,Iktato!$B$3:$L$10000,8,FALSE),""),""))</f>
        <v/>
      </c>
      <c r="E202" s="14" t="str">
        <f>TRIM(IF($M$1&gt;=I202,IF(VLOOKUP(I202,Iktato!$B$3:$L$10000,9,FALSE)&lt;&gt;0,VLOOKUP(I202,Iktato!$B$3:$L$10000,9,FALSE),""),""))</f>
        <v/>
      </c>
      <c r="F202" s="43" t="str">
        <f t="shared" si="22"/>
        <v/>
      </c>
      <c r="G202" s="43"/>
      <c r="I202" s="6">
        <f t="shared" si="23"/>
        <v>192</v>
      </c>
      <c r="J202" s="6" t="str">
        <f t="shared" si="26"/>
        <v/>
      </c>
      <c r="K202" s="6" t="str">
        <f>IF($M$1&gt;=I202,VLOOKUP(I202,Iktato!$B$3:$L$10000,3,FALSE),"")</f>
        <v/>
      </c>
      <c r="M202" s="6" t="str">
        <f>IF($M$1&gt;=I202,IF(VLOOKUP(I202,Iktato!$B$3:$P$10000,15,FALSE)&lt;&gt;0,VLOOKUP(I202,Iktato!$B$3:$P$10000,15,FALSE),""),"")</f>
        <v/>
      </c>
      <c r="N202" s="6" t="str">
        <f>IF($M$1&gt;=I202,IF(VLOOKUP(I202,Iktato!$B$3:$Q$10000,16,FALSE)&lt;&gt;0,VLOOKUP(I202,Iktato!$B$3:$Q$10000,16,FALSE),""),"")</f>
        <v/>
      </c>
      <c r="P202" s="6" t="str">
        <f>TRIM(IF($M$1&gt;=I202,IF(VLOOKUP(I202,Iktato!$B$3:$L$10000,6,FALSE)&lt;&gt;0,VLOOKUP(I202,Iktato!$B$3:$L$10000,6,FALSE),""),""))</f>
        <v/>
      </c>
      <c r="Q202" s="8" t="str">
        <f>TRIM(IF($M$1&gt;=I202,IF(VLOOKUP(I202,Iktato!$B$3:$L$10000,7,FALSE)&lt;&gt;0,VLOOKUP(I202,Iktato!$B$3:$L$10000,7,FALSE),""),""))</f>
        <v/>
      </c>
      <c r="R202" s="6" t="str">
        <f t="shared" si="27"/>
        <v/>
      </c>
      <c r="S202" s="6" t="str">
        <f t="shared" si="28"/>
        <v/>
      </c>
      <c r="T202" s="6" t="str">
        <f t="shared" si="29"/>
        <v/>
      </c>
    </row>
    <row r="203" spans="1:20" ht="16.5" x14ac:dyDescent="0.25">
      <c r="A203" s="11" t="str">
        <f t="shared" si="24"/>
        <v/>
      </c>
      <c r="B203" s="12" t="str">
        <f>IF($M$1&gt;=I203,VLOOKUP(I203,Iktato!$B$3:$L$10000,5,FALSE),"")</f>
        <v/>
      </c>
      <c r="C203" s="13" t="str">
        <f t="shared" si="25"/>
        <v/>
      </c>
      <c r="D203" s="14" t="str">
        <f>TRIM(IF($M$1&gt;=I203,IF(VLOOKUP(I203,Iktato!$B$3:$L$10000,8,FALSE)&lt;&gt;0,VLOOKUP(I203,Iktato!$B$3:$L$10000,8,FALSE),""),""))</f>
        <v/>
      </c>
      <c r="E203" s="14" t="str">
        <f>TRIM(IF($M$1&gt;=I203,IF(VLOOKUP(I203,Iktato!$B$3:$L$10000,9,FALSE)&lt;&gt;0,VLOOKUP(I203,Iktato!$B$3:$L$10000,9,FALSE),""),""))</f>
        <v/>
      </c>
      <c r="F203" s="43" t="str">
        <f t="shared" si="22"/>
        <v/>
      </c>
      <c r="G203" s="43"/>
      <c r="I203" s="6">
        <f t="shared" si="23"/>
        <v>193</v>
      </c>
      <c r="J203" s="6" t="str">
        <f t="shared" si="26"/>
        <v/>
      </c>
      <c r="K203" s="6" t="str">
        <f>IF($M$1&gt;=I203,VLOOKUP(I203,Iktato!$B$3:$L$10000,3,FALSE),"")</f>
        <v/>
      </c>
      <c r="M203" s="6" t="str">
        <f>IF($M$1&gt;=I203,IF(VLOOKUP(I203,Iktato!$B$3:$P$10000,15,FALSE)&lt;&gt;0,VLOOKUP(I203,Iktato!$B$3:$P$10000,15,FALSE),""),"")</f>
        <v/>
      </c>
      <c r="N203" s="6" t="str">
        <f>IF($M$1&gt;=I203,IF(VLOOKUP(I203,Iktato!$B$3:$Q$10000,16,FALSE)&lt;&gt;0,VLOOKUP(I203,Iktato!$B$3:$Q$10000,16,FALSE),""),"")</f>
        <v/>
      </c>
      <c r="P203" s="6" t="str">
        <f>TRIM(IF($M$1&gt;=I203,IF(VLOOKUP(I203,Iktato!$B$3:$L$10000,6,FALSE)&lt;&gt;0,VLOOKUP(I203,Iktato!$B$3:$L$10000,6,FALSE),""),""))</f>
        <v/>
      </c>
      <c r="Q203" s="8" t="str">
        <f>TRIM(IF($M$1&gt;=I203,IF(VLOOKUP(I203,Iktato!$B$3:$L$10000,7,FALSE)&lt;&gt;0,VLOOKUP(I203,Iktato!$B$3:$L$10000,7,FALSE),""),""))</f>
        <v/>
      </c>
      <c r="R203" s="6" t="str">
        <f t="shared" si="27"/>
        <v/>
      </c>
      <c r="S203" s="6" t="str">
        <f t="shared" si="28"/>
        <v/>
      </c>
      <c r="T203" s="6" t="str">
        <f t="shared" si="29"/>
        <v/>
      </c>
    </row>
    <row r="204" spans="1:20" ht="16.5" x14ac:dyDescent="0.25">
      <c r="A204" s="11" t="str">
        <f t="shared" si="24"/>
        <v/>
      </c>
      <c r="B204" s="12" t="str">
        <f>IF($M$1&gt;=I204,VLOOKUP(I204,Iktato!$B$3:$L$10000,5,FALSE),"")</f>
        <v/>
      </c>
      <c r="C204" s="13" t="str">
        <f t="shared" si="25"/>
        <v/>
      </c>
      <c r="D204" s="14" t="str">
        <f>TRIM(IF($M$1&gt;=I204,IF(VLOOKUP(I204,Iktato!$B$3:$L$10000,8,FALSE)&lt;&gt;0,VLOOKUP(I204,Iktato!$B$3:$L$10000,8,FALSE),""),""))</f>
        <v/>
      </c>
      <c r="E204" s="14" t="str">
        <f>TRIM(IF($M$1&gt;=I204,IF(VLOOKUP(I204,Iktato!$B$3:$L$10000,9,FALSE)&lt;&gt;0,VLOOKUP(I204,Iktato!$B$3:$L$10000,9,FALSE),""),""))</f>
        <v/>
      </c>
      <c r="F204" s="43" t="str">
        <f t="shared" ref="F204:F267" si="30">TRIM(IF($M$1&gt;=I204,M204&amp;$M$10&amp;N204,""))</f>
        <v/>
      </c>
      <c r="G204" s="43"/>
      <c r="I204" s="6">
        <f t="shared" ref="I204:I267" si="31">I203+1</f>
        <v>194</v>
      </c>
      <c r="J204" s="6" t="str">
        <f t="shared" si="26"/>
        <v/>
      </c>
      <c r="K204" s="6" t="str">
        <f>IF($M$1&gt;=I204,VLOOKUP(I204,Iktato!$B$3:$L$10000,3,FALSE),"")</f>
        <v/>
      </c>
      <c r="M204" s="6" t="str">
        <f>IF($M$1&gt;=I204,IF(VLOOKUP(I204,Iktato!$B$3:$P$10000,15,FALSE)&lt;&gt;0,VLOOKUP(I204,Iktato!$B$3:$P$10000,15,FALSE),""),"")</f>
        <v/>
      </c>
      <c r="N204" s="6" t="str">
        <f>IF($M$1&gt;=I204,IF(VLOOKUP(I204,Iktato!$B$3:$Q$10000,16,FALSE)&lt;&gt;0,VLOOKUP(I204,Iktato!$B$3:$Q$10000,16,FALSE),""),"")</f>
        <v/>
      </c>
      <c r="P204" s="6" t="str">
        <f>TRIM(IF($M$1&gt;=I204,IF(VLOOKUP(I204,Iktato!$B$3:$L$10000,6,FALSE)&lt;&gt;0,VLOOKUP(I204,Iktato!$B$3:$L$10000,6,FALSE),""),""))</f>
        <v/>
      </c>
      <c r="Q204" s="8" t="str">
        <f>TRIM(IF($M$1&gt;=I204,IF(VLOOKUP(I204,Iktato!$B$3:$L$10000,7,FALSE)&lt;&gt;0,VLOOKUP(I204,Iktato!$B$3:$L$10000,7,FALSE),""),""))</f>
        <v/>
      </c>
      <c r="R204" s="6" t="str">
        <f t="shared" si="27"/>
        <v/>
      </c>
      <c r="S204" s="6" t="str">
        <f t="shared" si="28"/>
        <v/>
      </c>
      <c r="T204" s="6" t="str">
        <f t="shared" si="29"/>
        <v/>
      </c>
    </row>
    <row r="205" spans="1:20" ht="16.5" x14ac:dyDescent="0.25">
      <c r="A205" s="11" t="str">
        <f t="shared" si="24"/>
        <v/>
      </c>
      <c r="B205" s="12" t="str">
        <f>IF($M$1&gt;=I205,VLOOKUP(I205,Iktato!$B$3:$L$10000,5,FALSE),"")</f>
        <v/>
      </c>
      <c r="C205" s="13" t="str">
        <f t="shared" si="25"/>
        <v/>
      </c>
      <c r="D205" s="14" t="str">
        <f>TRIM(IF($M$1&gt;=I205,IF(VLOOKUP(I205,Iktato!$B$3:$L$10000,8,FALSE)&lt;&gt;0,VLOOKUP(I205,Iktato!$B$3:$L$10000,8,FALSE),""),""))</f>
        <v/>
      </c>
      <c r="E205" s="14" t="str">
        <f>TRIM(IF($M$1&gt;=I205,IF(VLOOKUP(I205,Iktato!$B$3:$L$10000,9,FALSE)&lt;&gt;0,VLOOKUP(I205,Iktato!$B$3:$L$10000,9,FALSE),""),""))</f>
        <v/>
      </c>
      <c r="F205" s="43" t="str">
        <f t="shared" si="30"/>
        <v/>
      </c>
      <c r="G205" s="43"/>
      <c r="I205" s="6">
        <f t="shared" si="31"/>
        <v>195</v>
      </c>
      <c r="J205" s="6" t="str">
        <f t="shared" si="26"/>
        <v/>
      </c>
      <c r="K205" s="6" t="str">
        <f>IF($M$1&gt;=I205,VLOOKUP(I205,Iktato!$B$3:$L$10000,3,FALSE),"")</f>
        <v/>
      </c>
      <c r="M205" s="6" t="str">
        <f>IF($M$1&gt;=I205,IF(VLOOKUP(I205,Iktato!$B$3:$P$10000,15,FALSE)&lt;&gt;0,VLOOKUP(I205,Iktato!$B$3:$P$10000,15,FALSE),""),"")</f>
        <v/>
      </c>
      <c r="N205" s="6" t="str">
        <f>IF($M$1&gt;=I205,IF(VLOOKUP(I205,Iktato!$B$3:$Q$10000,16,FALSE)&lt;&gt;0,VLOOKUP(I205,Iktato!$B$3:$Q$10000,16,FALSE),""),"")</f>
        <v/>
      </c>
      <c r="P205" s="6" t="str">
        <f>TRIM(IF($M$1&gt;=I205,IF(VLOOKUP(I205,Iktato!$B$3:$L$10000,6,FALSE)&lt;&gt;0,VLOOKUP(I205,Iktato!$B$3:$L$10000,6,FALSE),""),""))</f>
        <v/>
      </c>
      <c r="Q205" s="8" t="str">
        <f>TRIM(IF($M$1&gt;=I205,IF(VLOOKUP(I205,Iktato!$B$3:$L$10000,7,FALSE)&lt;&gt;0,VLOOKUP(I205,Iktato!$B$3:$L$10000,7,FALSE),""),""))</f>
        <v/>
      </c>
      <c r="R205" s="6" t="str">
        <f t="shared" si="27"/>
        <v/>
      </c>
      <c r="S205" s="6" t="str">
        <f t="shared" si="28"/>
        <v/>
      </c>
      <c r="T205" s="6" t="str">
        <f t="shared" si="29"/>
        <v/>
      </c>
    </row>
    <row r="206" spans="1:20" ht="16.5" x14ac:dyDescent="0.25">
      <c r="A206" s="11" t="str">
        <f t="shared" si="24"/>
        <v/>
      </c>
      <c r="B206" s="12" t="str">
        <f>IF($M$1&gt;=I206,VLOOKUP(I206,Iktato!$B$3:$L$10000,5,FALSE),"")</f>
        <v/>
      </c>
      <c r="C206" s="13" t="str">
        <f t="shared" si="25"/>
        <v/>
      </c>
      <c r="D206" s="14" t="str">
        <f>TRIM(IF($M$1&gt;=I206,IF(VLOOKUP(I206,Iktato!$B$3:$L$10000,8,FALSE)&lt;&gt;0,VLOOKUP(I206,Iktato!$B$3:$L$10000,8,FALSE),""),""))</f>
        <v/>
      </c>
      <c r="E206" s="14" t="str">
        <f>TRIM(IF($M$1&gt;=I206,IF(VLOOKUP(I206,Iktato!$B$3:$L$10000,9,FALSE)&lt;&gt;0,VLOOKUP(I206,Iktato!$B$3:$L$10000,9,FALSE),""),""))</f>
        <v/>
      </c>
      <c r="F206" s="43" t="str">
        <f t="shared" si="30"/>
        <v/>
      </c>
      <c r="G206" s="43"/>
      <c r="I206" s="6">
        <f t="shared" si="31"/>
        <v>196</v>
      </c>
      <c r="J206" s="6" t="str">
        <f t="shared" si="26"/>
        <v/>
      </c>
      <c r="K206" s="6" t="str">
        <f>IF($M$1&gt;=I206,VLOOKUP(I206,Iktato!$B$3:$L$10000,3,FALSE),"")</f>
        <v/>
      </c>
      <c r="M206" s="6" t="str">
        <f>IF($M$1&gt;=I206,IF(VLOOKUP(I206,Iktato!$B$3:$P$10000,15,FALSE)&lt;&gt;0,VLOOKUP(I206,Iktato!$B$3:$P$10000,15,FALSE),""),"")</f>
        <v/>
      </c>
      <c r="N206" s="6" t="str">
        <f>IF($M$1&gt;=I206,IF(VLOOKUP(I206,Iktato!$B$3:$Q$10000,16,FALSE)&lt;&gt;0,VLOOKUP(I206,Iktato!$B$3:$Q$10000,16,FALSE),""),"")</f>
        <v/>
      </c>
      <c r="P206" s="6" t="str">
        <f>TRIM(IF($M$1&gt;=I206,IF(VLOOKUP(I206,Iktato!$B$3:$L$10000,6,FALSE)&lt;&gt;0,VLOOKUP(I206,Iktato!$B$3:$L$10000,6,FALSE),""),""))</f>
        <v/>
      </c>
      <c r="Q206" s="8" t="str">
        <f>TRIM(IF($M$1&gt;=I206,IF(VLOOKUP(I206,Iktato!$B$3:$L$10000,7,FALSE)&lt;&gt;0,VLOOKUP(I206,Iktato!$B$3:$L$10000,7,FALSE),""),""))</f>
        <v/>
      </c>
      <c r="R206" s="6" t="str">
        <f t="shared" si="27"/>
        <v/>
      </c>
      <c r="S206" s="6" t="str">
        <f t="shared" si="28"/>
        <v/>
      </c>
      <c r="T206" s="6" t="str">
        <f t="shared" si="29"/>
        <v/>
      </c>
    </row>
    <row r="207" spans="1:20" ht="16.5" x14ac:dyDescent="0.25">
      <c r="A207" s="11" t="str">
        <f t="shared" si="24"/>
        <v/>
      </c>
      <c r="B207" s="12" t="str">
        <f>IF($M$1&gt;=I207,VLOOKUP(I207,Iktato!$B$3:$L$10000,5,FALSE),"")</f>
        <v/>
      </c>
      <c r="C207" s="13" t="str">
        <f t="shared" si="25"/>
        <v/>
      </c>
      <c r="D207" s="14" t="str">
        <f>TRIM(IF($M$1&gt;=I207,IF(VLOOKUP(I207,Iktato!$B$3:$L$10000,8,FALSE)&lt;&gt;0,VLOOKUP(I207,Iktato!$B$3:$L$10000,8,FALSE),""),""))</f>
        <v/>
      </c>
      <c r="E207" s="14" t="str">
        <f>TRIM(IF($M$1&gt;=I207,IF(VLOOKUP(I207,Iktato!$B$3:$L$10000,9,FALSE)&lt;&gt;0,VLOOKUP(I207,Iktato!$B$3:$L$10000,9,FALSE),""),""))</f>
        <v/>
      </c>
      <c r="F207" s="43" t="str">
        <f t="shared" si="30"/>
        <v/>
      </c>
      <c r="G207" s="43"/>
      <c r="I207" s="6">
        <f t="shared" si="31"/>
        <v>197</v>
      </c>
      <c r="J207" s="6" t="str">
        <f t="shared" si="26"/>
        <v/>
      </c>
      <c r="K207" s="6" t="str">
        <f>IF($M$1&gt;=I207,VLOOKUP(I207,Iktato!$B$3:$L$10000,3,FALSE),"")</f>
        <v/>
      </c>
      <c r="M207" s="6" t="str">
        <f>IF($M$1&gt;=I207,IF(VLOOKUP(I207,Iktato!$B$3:$P$10000,15,FALSE)&lt;&gt;0,VLOOKUP(I207,Iktato!$B$3:$P$10000,15,FALSE),""),"")</f>
        <v/>
      </c>
      <c r="N207" s="6" t="str">
        <f>IF($M$1&gt;=I207,IF(VLOOKUP(I207,Iktato!$B$3:$Q$10000,16,FALSE)&lt;&gt;0,VLOOKUP(I207,Iktato!$B$3:$Q$10000,16,FALSE),""),"")</f>
        <v/>
      </c>
      <c r="P207" s="6" t="str">
        <f>TRIM(IF($M$1&gt;=I207,IF(VLOOKUP(I207,Iktato!$B$3:$L$10000,6,FALSE)&lt;&gt;0,VLOOKUP(I207,Iktato!$B$3:$L$10000,6,FALSE),""),""))</f>
        <v/>
      </c>
      <c r="Q207" s="8" t="str">
        <f>TRIM(IF($M$1&gt;=I207,IF(VLOOKUP(I207,Iktato!$B$3:$L$10000,7,FALSE)&lt;&gt;0,VLOOKUP(I207,Iktato!$B$3:$L$10000,7,FALSE),""),""))</f>
        <v/>
      </c>
      <c r="R207" s="6" t="str">
        <f t="shared" si="27"/>
        <v/>
      </c>
      <c r="S207" s="6" t="str">
        <f t="shared" si="28"/>
        <v/>
      </c>
      <c r="T207" s="6" t="str">
        <f t="shared" si="29"/>
        <v/>
      </c>
    </row>
    <row r="208" spans="1:20" ht="16.5" x14ac:dyDescent="0.25">
      <c r="A208" s="11" t="str">
        <f t="shared" si="24"/>
        <v/>
      </c>
      <c r="B208" s="12" t="str">
        <f>IF($M$1&gt;=I208,VLOOKUP(I208,Iktato!$B$3:$L$10000,5,FALSE),"")</f>
        <v/>
      </c>
      <c r="C208" s="13" t="str">
        <f t="shared" si="25"/>
        <v/>
      </c>
      <c r="D208" s="14" t="str">
        <f>TRIM(IF($M$1&gt;=I208,IF(VLOOKUP(I208,Iktato!$B$3:$L$10000,8,FALSE)&lt;&gt;0,VLOOKUP(I208,Iktato!$B$3:$L$10000,8,FALSE),""),""))</f>
        <v/>
      </c>
      <c r="E208" s="14" t="str">
        <f>TRIM(IF($M$1&gt;=I208,IF(VLOOKUP(I208,Iktato!$B$3:$L$10000,9,FALSE)&lt;&gt;0,VLOOKUP(I208,Iktato!$B$3:$L$10000,9,FALSE),""),""))</f>
        <v/>
      </c>
      <c r="F208" s="43" t="str">
        <f t="shared" si="30"/>
        <v/>
      </c>
      <c r="G208" s="43"/>
      <c r="I208" s="6">
        <f t="shared" si="31"/>
        <v>198</v>
      </c>
      <c r="J208" s="6" t="str">
        <f t="shared" si="26"/>
        <v/>
      </c>
      <c r="K208" s="6" t="str">
        <f>IF($M$1&gt;=I208,VLOOKUP(I208,Iktato!$B$3:$L$10000,3,FALSE),"")</f>
        <v/>
      </c>
      <c r="M208" s="6" t="str">
        <f>IF($M$1&gt;=I208,IF(VLOOKUP(I208,Iktato!$B$3:$P$10000,15,FALSE)&lt;&gt;0,VLOOKUP(I208,Iktato!$B$3:$P$10000,15,FALSE),""),"")</f>
        <v/>
      </c>
      <c r="N208" s="6" t="str">
        <f>IF($M$1&gt;=I208,IF(VLOOKUP(I208,Iktato!$B$3:$Q$10000,16,FALSE)&lt;&gt;0,VLOOKUP(I208,Iktato!$B$3:$Q$10000,16,FALSE),""),"")</f>
        <v/>
      </c>
      <c r="P208" s="6" t="str">
        <f>TRIM(IF($M$1&gt;=I208,IF(VLOOKUP(I208,Iktato!$B$3:$L$10000,6,FALSE)&lt;&gt;0,VLOOKUP(I208,Iktato!$B$3:$L$10000,6,FALSE),""),""))</f>
        <v/>
      </c>
      <c r="Q208" s="8" t="str">
        <f>TRIM(IF($M$1&gt;=I208,IF(VLOOKUP(I208,Iktato!$B$3:$L$10000,7,FALSE)&lt;&gt;0,VLOOKUP(I208,Iktato!$B$3:$L$10000,7,FALSE),""),""))</f>
        <v/>
      </c>
      <c r="R208" s="6" t="str">
        <f t="shared" si="27"/>
        <v/>
      </c>
      <c r="S208" s="6" t="str">
        <f t="shared" si="28"/>
        <v/>
      </c>
      <c r="T208" s="6" t="str">
        <f t="shared" si="29"/>
        <v/>
      </c>
    </row>
    <row r="209" spans="1:20" ht="16.5" x14ac:dyDescent="0.25">
      <c r="A209" s="11" t="str">
        <f t="shared" si="24"/>
        <v/>
      </c>
      <c r="B209" s="12" t="str">
        <f>IF($M$1&gt;=I209,VLOOKUP(I209,Iktato!$B$3:$L$10000,5,FALSE),"")</f>
        <v/>
      </c>
      <c r="C209" s="13" t="str">
        <f t="shared" si="25"/>
        <v/>
      </c>
      <c r="D209" s="14" t="str">
        <f>TRIM(IF($M$1&gt;=I209,IF(VLOOKUP(I209,Iktato!$B$3:$L$10000,8,FALSE)&lt;&gt;0,VLOOKUP(I209,Iktato!$B$3:$L$10000,8,FALSE),""),""))</f>
        <v/>
      </c>
      <c r="E209" s="14" t="str">
        <f>TRIM(IF($M$1&gt;=I209,IF(VLOOKUP(I209,Iktato!$B$3:$L$10000,9,FALSE)&lt;&gt;0,VLOOKUP(I209,Iktato!$B$3:$L$10000,9,FALSE),""),""))</f>
        <v/>
      </c>
      <c r="F209" s="43" t="str">
        <f t="shared" si="30"/>
        <v/>
      </c>
      <c r="G209" s="43"/>
      <c r="I209" s="6">
        <f t="shared" si="31"/>
        <v>199</v>
      </c>
      <c r="J209" s="6" t="str">
        <f t="shared" si="26"/>
        <v/>
      </c>
      <c r="K209" s="6" t="str">
        <f>IF($M$1&gt;=I209,VLOOKUP(I209,Iktato!$B$3:$L$10000,3,FALSE),"")</f>
        <v/>
      </c>
      <c r="M209" s="6" t="str">
        <f>IF($M$1&gt;=I209,IF(VLOOKUP(I209,Iktato!$B$3:$P$10000,15,FALSE)&lt;&gt;0,VLOOKUP(I209,Iktato!$B$3:$P$10000,15,FALSE),""),"")</f>
        <v/>
      </c>
      <c r="N209" s="6" t="str">
        <f>IF($M$1&gt;=I209,IF(VLOOKUP(I209,Iktato!$B$3:$Q$10000,16,FALSE)&lt;&gt;0,VLOOKUP(I209,Iktato!$B$3:$Q$10000,16,FALSE),""),"")</f>
        <v/>
      </c>
      <c r="P209" s="6" t="str">
        <f>TRIM(IF($M$1&gt;=I209,IF(VLOOKUP(I209,Iktato!$B$3:$L$10000,6,FALSE)&lt;&gt;0,VLOOKUP(I209,Iktato!$B$3:$L$10000,6,FALSE),""),""))</f>
        <v/>
      </c>
      <c r="Q209" s="8" t="str">
        <f>TRIM(IF($M$1&gt;=I209,IF(VLOOKUP(I209,Iktato!$B$3:$L$10000,7,FALSE)&lt;&gt;0,VLOOKUP(I209,Iktato!$B$3:$L$10000,7,FALSE),""),""))</f>
        <v/>
      </c>
      <c r="R209" s="6" t="str">
        <f t="shared" si="27"/>
        <v/>
      </c>
      <c r="S209" s="6" t="str">
        <f t="shared" si="28"/>
        <v/>
      </c>
      <c r="T209" s="6" t="str">
        <f t="shared" si="29"/>
        <v/>
      </c>
    </row>
    <row r="210" spans="1:20" ht="16.5" x14ac:dyDescent="0.25">
      <c r="A210" s="11" t="str">
        <f t="shared" si="24"/>
        <v/>
      </c>
      <c r="B210" s="12" t="str">
        <f>IF($M$1&gt;=I210,VLOOKUP(I210,Iktato!$B$3:$L$10000,5,FALSE),"")</f>
        <v/>
      </c>
      <c r="C210" s="13" t="str">
        <f t="shared" si="25"/>
        <v/>
      </c>
      <c r="D210" s="14" t="str">
        <f>TRIM(IF($M$1&gt;=I210,IF(VLOOKUP(I210,Iktato!$B$3:$L$10000,8,FALSE)&lt;&gt;0,VLOOKUP(I210,Iktato!$B$3:$L$10000,8,FALSE),""),""))</f>
        <v/>
      </c>
      <c r="E210" s="14" t="str">
        <f>TRIM(IF($M$1&gt;=I210,IF(VLOOKUP(I210,Iktato!$B$3:$L$10000,9,FALSE)&lt;&gt;0,VLOOKUP(I210,Iktato!$B$3:$L$10000,9,FALSE),""),""))</f>
        <v/>
      </c>
      <c r="F210" s="43" t="str">
        <f t="shared" si="30"/>
        <v/>
      </c>
      <c r="G210" s="43"/>
      <c r="I210" s="6">
        <f t="shared" si="31"/>
        <v>200</v>
      </c>
      <c r="J210" s="6" t="str">
        <f t="shared" si="26"/>
        <v/>
      </c>
      <c r="K210" s="6" t="str">
        <f>IF($M$1&gt;=I210,VLOOKUP(I210,Iktato!$B$3:$L$10000,3,FALSE),"")</f>
        <v/>
      </c>
      <c r="M210" s="6" t="str">
        <f>IF($M$1&gt;=I210,IF(VLOOKUP(I210,Iktato!$B$3:$P$10000,15,FALSE)&lt;&gt;0,VLOOKUP(I210,Iktato!$B$3:$P$10000,15,FALSE),""),"")</f>
        <v/>
      </c>
      <c r="N210" s="6" t="str">
        <f>IF($M$1&gt;=I210,IF(VLOOKUP(I210,Iktato!$B$3:$Q$10000,16,FALSE)&lt;&gt;0,VLOOKUP(I210,Iktato!$B$3:$Q$10000,16,FALSE),""),"")</f>
        <v/>
      </c>
      <c r="P210" s="6" t="str">
        <f>TRIM(IF($M$1&gt;=I210,IF(VLOOKUP(I210,Iktato!$B$3:$L$10000,6,FALSE)&lt;&gt;0,VLOOKUP(I210,Iktato!$B$3:$L$10000,6,FALSE),""),""))</f>
        <v/>
      </c>
      <c r="Q210" s="8" t="str">
        <f>TRIM(IF($M$1&gt;=I210,IF(VLOOKUP(I210,Iktato!$B$3:$L$10000,7,FALSE)&lt;&gt;0,VLOOKUP(I210,Iktato!$B$3:$L$10000,7,FALSE),""),""))</f>
        <v/>
      </c>
      <c r="R210" s="6" t="str">
        <f t="shared" si="27"/>
        <v/>
      </c>
      <c r="S210" s="6" t="str">
        <f t="shared" si="28"/>
        <v/>
      </c>
      <c r="T210" s="6" t="str">
        <f t="shared" si="29"/>
        <v/>
      </c>
    </row>
    <row r="211" spans="1:20" ht="16.5" x14ac:dyDescent="0.25">
      <c r="A211" s="11" t="str">
        <f t="shared" si="24"/>
        <v/>
      </c>
      <c r="B211" s="12" t="str">
        <f>IF($M$1&gt;=I211,VLOOKUP(I211,Iktato!$B$3:$L$10000,5,FALSE),"")</f>
        <v/>
      </c>
      <c r="C211" s="13" t="str">
        <f t="shared" si="25"/>
        <v/>
      </c>
      <c r="D211" s="14" t="str">
        <f>TRIM(IF($M$1&gt;=I211,IF(VLOOKUP(I211,Iktato!$B$3:$L$10000,8,FALSE)&lt;&gt;0,VLOOKUP(I211,Iktato!$B$3:$L$10000,8,FALSE),""),""))</f>
        <v/>
      </c>
      <c r="E211" s="14" t="str">
        <f>TRIM(IF($M$1&gt;=I211,IF(VLOOKUP(I211,Iktato!$B$3:$L$10000,9,FALSE)&lt;&gt;0,VLOOKUP(I211,Iktato!$B$3:$L$10000,9,FALSE),""),""))</f>
        <v/>
      </c>
      <c r="F211" s="43" t="str">
        <f t="shared" si="30"/>
        <v/>
      </c>
      <c r="G211" s="43"/>
      <c r="I211" s="6">
        <f t="shared" si="31"/>
        <v>201</v>
      </c>
      <c r="J211" s="6" t="str">
        <f t="shared" si="26"/>
        <v/>
      </c>
      <c r="K211" s="6" t="str">
        <f>IF($M$1&gt;=I211,VLOOKUP(I211,Iktato!$B$3:$L$10000,3,FALSE),"")</f>
        <v/>
      </c>
      <c r="M211" s="6" t="str">
        <f>IF($M$1&gt;=I211,IF(VLOOKUP(I211,Iktato!$B$3:$P$10000,15,FALSE)&lt;&gt;0,VLOOKUP(I211,Iktato!$B$3:$P$10000,15,FALSE),""),"")</f>
        <v/>
      </c>
      <c r="N211" s="6" t="str">
        <f>IF($M$1&gt;=I211,IF(VLOOKUP(I211,Iktato!$B$3:$Q$10000,16,FALSE)&lt;&gt;0,VLOOKUP(I211,Iktato!$B$3:$Q$10000,16,FALSE),""),"")</f>
        <v/>
      </c>
      <c r="P211" s="6" t="str">
        <f>TRIM(IF($M$1&gt;=I211,IF(VLOOKUP(I211,Iktato!$B$3:$L$10000,6,FALSE)&lt;&gt;0,VLOOKUP(I211,Iktato!$B$3:$L$10000,6,FALSE),""),""))</f>
        <v/>
      </c>
      <c r="Q211" s="8" t="str">
        <f>TRIM(IF($M$1&gt;=I211,IF(VLOOKUP(I211,Iktato!$B$3:$L$10000,7,FALSE)&lt;&gt;0,VLOOKUP(I211,Iktato!$B$3:$L$10000,7,FALSE),""),""))</f>
        <v/>
      </c>
      <c r="R211" s="6" t="str">
        <f t="shared" si="27"/>
        <v/>
      </c>
      <c r="S211" s="6" t="str">
        <f t="shared" si="28"/>
        <v/>
      </c>
      <c r="T211" s="6" t="str">
        <f t="shared" si="29"/>
        <v/>
      </c>
    </row>
    <row r="212" spans="1:20" ht="16.5" x14ac:dyDescent="0.25">
      <c r="A212" s="11" t="str">
        <f t="shared" si="24"/>
        <v/>
      </c>
      <c r="B212" s="12" t="str">
        <f>IF($M$1&gt;=I212,VLOOKUP(I212,Iktato!$B$3:$L$10000,5,FALSE),"")</f>
        <v/>
      </c>
      <c r="C212" s="13" t="str">
        <f t="shared" si="25"/>
        <v/>
      </c>
      <c r="D212" s="14" t="str">
        <f>TRIM(IF($M$1&gt;=I212,IF(VLOOKUP(I212,Iktato!$B$3:$L$10000,8,FALSE)&lt;&gt;0,VLOOKUP(I212,Iktato!$B$3:$L$10000,8,FALSE),""),""))</f>
        <v/>
      </c>
      <c r="E212" s="14" t="str">
        <f>TRIM(IF($M$1&gt;=I212,IF(VLOOKUP(I212,Iktato!$B$3:$L$10000,9,FALSE)&lt;&gt;0,VLOOKUP(I212,Iktato!$B$3:$L$10000,9,FALSE),""),""))</f>
        <v/>
      </c>
      <c r="F212" s="43" t="str">
        <f t="shared" si="30"/>
        <v/>
      </c>
      <c r="G212" s="43"/>
      <c r="I212" s="6">
        <f t="shared" si="31"/>
        <v>202</v>
      </c>
      <c r="J212" s="6" t="str">
        <f t="shared" si="26"/>
        <v/>
      </c>
      <c r="K212" s="6" t="str">
        <f>IF($M$1&gt;=I212,VLOOKUP(I212,Iktato!$B$3:$L$10000,3,FALSE),"")</f>
        <v/>
      </c>
      <c r="M212" s="6" t="str">
        <f>IF($M$1&gt;=I212,IF(VLOOKUP(I212,Iktato!$B$3:$P$10000,15,FALSE)&lt;&gt;0,VLOOKUP(I212,Iktato!$B$3:$P$10000,15,FALSE),""),"")</f>
        <v/>
      </c>
      <c r="N212" s="6" t="str">
        <f>IF($M$1&gt;=I212,IF(VLOOKUP(I212,Iktato!$B$3:$Q$10000,16,FALSE)&lt;&gt;0,VLOOKUP(I212,Iktato!$B$3:$Q$10000,16,FALSE),""),"")</f>
        <v/>
      </c>
      <c r="P212" s="6" t="str">
        <f>TRIM(IF($M$1&gt;=I212,IF(VLOOKUP(I212,Iktato!$B$3:$L$10000,6,FALSE)&lt;&gt;0,VLOOKUP(I212,Iktato!$B$3:$L$10000,6,FALSE),""),""))</f>
        <v/>
      </c>
      <c r="Q212" s="8" t="str">
        <f>TRIM(IF($M$1&gt;=I212,IF(VLOOKUP(I212,Iktato!$B$3:$L$10000,7,FALSE)&lt;&gt;0,VLOOKUP(I212,Iktato!$B$3:$L$10000,7,FALSE),""),""))</f>
        <v/>
      </c>
      <c r="R212" s="6" t="str">
        <f t="shared" si="27"/>
        <v/>
      </c>
      <c r="S212" s="6" t="str">
        <f t="shared" si="28"/>
        <v/>
      </c>
      <c r="T212" s="6" t="str">
        <f t="shared" si="29"/>
        <v/>
      </c>
    </row>
    <row r="213" spans="1:20" ht="16.5" x14ac:dyDescent="0.25">
      <c r="A213" s="11" t="str">
        <f t="shared" si="24"/>
        <v/>
      </c>
      <c r="B213" s="12" t="str">
        <f>IF($M$1&gt;=I213,VLOOKUP(I213,Iktato!$B$3:$L$10000,5,FALSE),"")</f>
        <v/>
      </c>
      <c r="C213" s="13" t="str">
        <f t="shared" si="25"/>
        <v/>
      </c>
      <c r="D213" s="14" t="str">
        <f>TRIM(IF($M$1&gt;=I213,IF(VLOOKUP(I213,Iktato!$B$3:$L$10000,8,FALSE)&lt;&gt;0,VLOOKUP(I213,Iktato!$B$3:$L$10000,8,FALSE),""),""))</f>
        <v/>
      </c>
      <c r="E213" s="14" t="str">
        <f>TRIM(IF($M$1&gt;=I213,IF(VLOOKUP(I213,Iktato!$B$3:$L$10000,9,FALSE)&lt;&gt;0,VLOOKUP(I213,Iktato!$B$3:$L$10000,9,FALSE),""),""))</f>
        <v/>
      </c>
      <c r="F213" s="43" t="str">
        <f t="shared" si="30"/>
        <v/>
      </c>
      <c r="G213" s="43"/>
      <c r="I213" s="6">
        <f t="shared" si="31"/>
        <v>203</v>
      </c>
      <c r="J213" s="6" t="str">
        <f t="shared" si="26"/>
        <v/>
      </c>
      <c r="K213" s="6" t="str">
        <f>IF($M$1&gt;=I213,VLOOKUP(I213,Iktato!$B$3:$L$10000,3,FALSE),"")</f>
        <v/>
      </c>
      <c r="M213" s="6" t="str">
        <f>IF($M$1&gt;=I213,IF(VLOOKUP(I213,Iktato!$B$3:$P$10000,15,FALSE)&lt;&gt;0,VLOOKUP(I213,Iktato!$B$3:$P$10000,15,FALSE),""),"")</f>
        <v/>
      </c>
      <c r="N213" s="6" t="str">
        <f>IF($M$1&gt;=I213,IF(VLOOKUP(I213,Iktato!$B$3:$Q$10000,16,FALSE)&lt;&gt;0,VLOOKUP(I213,Iktato!$B$3:$Q$10000,16,FALSE),""),"")</f>
        <v/>
      </c>
      <c r="P213" s="6" t="str">
        <f>TRIM(IF($M$1&gt;=I213,IF(VLOOKUP(I213,Iktato!$B$3:$L$10000,6,FALSE)&lt;&gt;0,VLOOKUP(I213,Iktato!$B$3:$L$10000,6,FALSE),""),""))</f>
        <v/>
      </c>
      <c r="Q213" s="8" t="str">
        <f>TRIM(IF($M$1&gt;=I213,IF(VLOOKUP(I213,Iktato!$B$3:$L$10000,7,FALSE)&lt;&gt;0,VLOOKUP(I213,Iktato!$B$3:$L$10000,7,FALSE),""),""))</f>
        <v/>
      </c>
      <c r="R213" s="6" t="str">
        <f t="shared" si="27"/>
        <v/>
      </c>
      <c r="S213" s="6" t="str">
        <f t="shared" si="28"/>
        <v/>
      </c>
      <c r="T213" s="6" t="str">
        <f t="shared" si="29"/>
        <v/>
      </c>
    </row>
    <row r="214" spans="1:20" ht="16.5" x14ac:dyDescent="0.25">
      <c r="A214" s="11" t="str">
        <f t="shared" si="24"/>
        <v/>
      </c>
      <c r="B214" s="12" t="str">
        <f>IF($M$1&gt;=I214,VLOOKUP(I214,Iktato!$B$3:$L$10000,5,FALSE),"")</f>
        <v/>
      </c>
      <c r="C214" s="13" t="str">
        <f t="shared" si="25"/>
        <v/>
      </c>
      <c r="D214" s="14" t="str">
        <f>TRIM(IF($M$1&gt;=I214,IF(VLOOKUP(I214,Iktato!$B$3:$L$10000,8,FALSE)&lt;&gt;0,VLOOKUP(I214,Iktato!$B$3:$L$10000,8,FALSE),""),""))</f>
        <v/>
      </c>
      <c r="E214" s="14" t="str">
        <f>TRIM(IF($M$1&gt;=I214,IF(VLOOKUP(I214,Iktato!$B$3:$L$10000,9,FALSE)&lt;&gt;0,VLOOKUP(I214,Iktato!$B$3:$L$10000,9,FALSE),""),""))</f>
        <v/>
      </c>
      <c r="F214" s="43" t="str">
        <f t="shared" si="30"/>
        <v/>
      </c>
      <c r="G214" s="43"/>
      <c r="I214" s="6">
        <f t="shared" si="31"/>
        <v>204</v>
      </c>
      <c r="J214" s="6" t="str">
        <f t="shared" si="26"/>
        <v/>
      </c>
      <c r="K214" s="6" t="str">
        <f>IF($M$1&gt;=I214,VLOOKUP(I214,Iktato!$B$3:$L$10000,3,FALSE),"")</f>
        <v/>
      </c>
      <c r="M214" s="6" t="str">
        <f>IF($M$1&gt;=I214,IF(VLOOKUP(I214,Iktato!$B$3:$P$10000,15,FALSE)&lt;&gt;0,VLOOKUP(I214,Iktato!$B$3:$P$10000,15,FALSE),""),"")</f>
        <v/>
      </c>
      <c r="N214" s="6" t="str">
        <f>IF($M$1&gt;=I214,IF(VLOOKUP(I214,Iktato!$B$3:$Q$10000,16,FALSE)&lt;&gt;0,VLOOKUP(I214,Iktato!$B$3:$Q$10000,16,FALSE),""),"")</f>
        <v/>
      </c>
      <c r="P214" s="6" t="str">
        <f>TRIM(IF($M$1&gt;=I214,IF(VLOOKUP(I214,Iktato!$B$3:$L$10000,6,FALSE)&lt;&gt;0,VLOOKUP(I214,Iktato!$B$3:$L$10000,6,FALSE),""),""))</f>
        <v/>
      </c>
      <c r="Q214" s="8" t="str">
        <f>TRIM(IF($M$1&gt;=I214,IF(VLOOKUP(I214,Iktato!$B$3:$L$10000,7,FALSE)&lt;&gt;0,VLOOKUP(I214,Iktato!$B$3:$L$10000,7,FALSE),""),""))</f>
        <v/>
      </c>
      <c r="R214" s="6" t="str">
        <f t="shared" si="27"/>
        <v/>
      </c>
      <c r="S214" s="6" t="str">
        <f t="shared" si="28"/>
        <v/>
      </c>
      <c r="T214" s="6" t="str">
        <f t="shared" si="29"/>
        <v/>
      </c>
    </row>
    <row r="215" spans="1:20" ht="16.5" x14ac:dyDescent="0.25">
      <c r="A215" s="11" t="str">
        <f t="shared" si="24"/>
        <v/>
      </c>
      <c r="B215" s="12" t="str">
        <f>IF($M$1&gt;=I215,VLOOKUP(I215,Iktato!$B$3:$L$10000,5,FALSE),"")</f>
        <v/>
      </c>
      <c r="C215" s="13" t="str">
        <f t="shared" si="25"/>
        <v/>
      </c>
      <c r="D215" s="14" t="str">
        <f>TRIM(IF($M$1&gt;=I215,IF(VLOOKUP(I215,Iktato!$B$3:$L$10000,8,FALSE)&lt;&gt;0,VLOOKUP(I215,Iktato!$B$3:$L$10000,8,FALSE),""),""))</f>
        <v/>
      </c>
      <c r="E215" s="14" t="str">
        <f>TRIM(IF($M$1&gt;=I215,IF(VLOOKUP(I215,Iktato!$B$3:$L$10000,9,FALSE)&lt;&gt;0,VLOOKUP(I215,Iktato!$B$3:$L$10000,9,FALSE),""),""))</f>
        <v/>
      </c>
      <c r="F215" s="43" t="str">
        <f t="shared" si="30"/>
        <v/>
      </c>
      <c r="G215" s="43"/>
      <c r="I215" s="6">
        <f t="shared" si="31"/>
        <v>205</v>
      </c>
      <c r="J215" s="6" t="str">
        <f t="shared" si="26"/>
        <v/>
      </c>
      <c r="K215" s="6" t="str">
        <f>IF($M$1&gt;=I215,VLOOKUP(I215,Iktato!$B$3:$L$10000,3,FALSE),"")</f>
        <v/>
      </c>
      <c r="M215" s="6" t="str">
        <f>IF($M$1&gt;=I215,IF(VLOOKUP(I215,Iktato!$B$3:$P$10000,15,FALSE)&lt;&gt;0,VLOOKUP(I215,Iktato!$B$3:$P$10000,15,FALSE),""),"")</f>
        <v/>
      </c>
      <c r="N215" s="6" t="str">
        <f>IF($M$1&gt;=I215,IF(VLOOKUP(I215,Iktato!$B$3:$Q$10000,16,FALSE)&lt;&gt;0,VLOOKUP(I215,Iktato!$B$3:$Q$10000,16,FALSE),""),"")</f>
        <v/>
      </c>
      <c r="P215" s="6" t="str">
        <f>TRIM(IF($M$1&gt;=I215,IF(VLOOKUP(I215,Iktato!$B$3:$L$10000,6,FALSE)&lt;&gt;0,VLOOKUP(I215,Iktato!$B$3:$L$10000,6,FALSE),""),""))</f>
        <v/>
      </c>
      <c r="Q215" s="8" t="str">
        <f>TRIM(IF($M$1&gt;=I215,IF(VLOOKUP(I215,Iktato!$B$3:$L$10000,7,FALSE)&lt;&gt;0,VLOOKUP(I215,Iktato!$B$3:$L$10000,7,FALSE),""),""))</f>
        <v/>
      </c>
      <c r="R215" s="6" t="str">
        <f t="shared" si="27"/>
        <v/>
      </c>
      <c r="S215" s="6" t="str">
        <f t="shared" si="28"/>
        <v/>
      </c>
      <c r="T215" s="6" t="str">
        <f t="shared" si="29"/>
        <v/>
      </c>
    </row>
    <row r="216" spans="1:20" ht="16.5" x14ac:dyDescent="0.25">
      <c r="A216" s="11" t="str">
        <f t="shared" si="24"/>
        <v/>
      </c>
      <c r="B216" s="12" t="str">
        <f>IF($M$1&gt;=I216,VLOOKUP(I216,Iktato!$B$3:$L$10000,5,FALSE),"")</f>
        <v/>
      </c>
      <c r="C216" s="13" t="str">
        <f t="shared" si="25"/>
        <v/>
      </c>
      <c r="D216" s="14" t="str">
        <f>TRIM(IF($M$1&gt;=I216,IF(VLOOKUP(I216,Iktato!$B$3:$L$10000,8,FALSE)&lt;&gt;0,VLOOKUP(I216,Iktato!$B$3:$L$10000,8,FALSE),""),""))</f>
        <v/>
      </c>
      <c r="E216" s="14" t="str">
        <f>TRIM(IF($M$1&gt;=I216,IF(VLOOKUP(I216,Iktato!$B$3:$L$10000,9,FALSE)&lt;&gt;0,VLOOKUP(I216,Iktato!$B$3:$L$10000,9,FALSE),""),""))</f>
        <v/>
      </c>
      <c r="F216" s="43" t="str">
        <f t="shared" si="30"/>
        <v/>
      </c>
      <c r="G216" s="43"/>
      <c r="I216" s="6">
        <f t="shared" si="31"/>
        <v>206</v>
      </c>
      <c r="J216" s="6" t="str">
        <f t="shared" si="26"/>
        <v/>
      </c>
      <c r="K216" s="6" t="str">
        <f>IF($M$1&gt;=I216,VLOOKUP(I216,Iktato!$B$3:$L$10000,3,FALSE),"")</f>
        <v/>
      </c>
      <c r="M216" s="6" t="str">
        <f>IF($M$1&gt;=I216,IF(VLOOKUP(I216,Iktato!$B$3:$P$10000,15,FALSE)&lt;&gt;0,VLOOKUP(I216,Iktato!$B$3:$P$10000,15,FALSE),""),"")</f>
        <v/>
      </c>
      <c r="N216" s="6" t="str">
        <f>IF($M$1&gt;=I216,IF(VLOOKUP(I216,Iktato!$B$3:$Q$10000,16,FALSE)&lt;&gt;0,VLOOKUP(I216,Iktato!$B$3:$Q$10000,16,FALSE),""),"")</f>
        <v/>
      </c>
      <c r="P216" s="6" t="str">
        <f>TRIM(IF($M$1&gt;=I216,IF(VLOOKUP(I216,Iktato!$B$3:$L$10000,6,FALSE)&lt;&gt;0,VLOOKUP(I216,Iktato!$B$3:$L$10000,6,FALSE),""),""))</f>
        <v/>
      </c>
      <c r="Q216" s="8" t="str">
        <f>TRIM(IF($M$1&gt;=I216,IF(VLOOKUP(I216,Iktato!$B$3:$L$10000,7,FALSE)&lt;&gt;0,VLOOKUP(I216,Iktato!$B$3:$L$10000,7,FALSE),""),""))</f>
        <v/>
      </c>
      <c r="R216" s="6" t="str">
        <f t="shared" si="27"/>
        <v/>
      </c>
      <c r="S216" s="6" t="str">
        <f t="shared" si="28"/>
        <v/>
      </c>
      <c r="T216" s="6" t="str">
        <f t="shared" si="29"/>
        <v/>
      </c>
    </row>
    <row r="217" spans="1:20" ht="16.5" x14ac:dyDescent="0.25">
      <c r="A217" s="11" t="str">
        <f t="shared" si="24"/>
        <v/>
      </c>
      <c r="B217" s="12" t="str">
        <f>IF($M$1&gt;=I217,VLOOKUP(I217,Iktato!$B$3:$L$10000,5,FALSE),"")</f>
        <v/>
      </c>
      <c r="C217" s="13" t="str">
        <f t="shared" si="25"/>
        <v/>
      </c>
      <c r="D217" s="14" t="str">
        <f>TRIM(IF($M$1&gt;=I217,IF(VLOOKUP(I217,Iktato!$B$3:$L$10000,8,FALSE)&lt;&gt;0,VLOOKUP(I217,Iktato!$B$3:$L$10000,8,FALSE),""),""))</f>
        <v/>
      </c>
      <c r="E217" s="14" t="str">
        <f>TRIM(IF($M$1&gt;=I217,IF(VLOOKUP(I217,Iktato!$B$3:$L$10000,9,FALSE)&lt;&gt;0,VLOOKUP(I217,Iktato!$B$3:$L$10000,9,FALSE),""),""))</f>
        <v/>
      </c>
      <c r="F217" s="43" t="str">
        <f t="shared" si="30"/>
        <v/>
      </c>
      <c r="G217" s="43"/>
      <c r="I217" s="6">
        <f t="shared" si="31"/>
        <v>207</v>
      </c>
      <c r="J217" s="6" t="str">
        <f t="shared" si="26"/>
        <v/>
      </c>
      <c r="K217" s="6" t="str">
        <f>IF($M$1&gt;=I217,VLOOKUP(I217,Iktato!$B$3:$L$10000,3,FALSE),"")</f>
        <v/>
      </c>
      <c r="M217" s="6" t="str">
        <f>IF($M$1&gt;=I217,IF(VLOOKUP(I217,Iktato!$B$3:$P$10000,15,FALSE)&lt;&gt;0,VLOOKUP(I217,Iktato!$B$3:$P$10000,15,FALSE),""),"")</f>
        <v/>
      </c>
      <c r="N217" s="6" t="str">
        <f>IF($M$1&gt;=I217,IF(VLOOKUP(I217,Iktato!$B$3:$Q$10000,16,FALSE)&lt;&gt;0,VLOOKUP(I217,Iktato!$B$3:$Q$10000,16,FALSE),""),"")</f>
        <v/>
      </c>
      <c r="P217" s="6" t="str">
        <f>TRIM(IF($M$1&gt;=I217,IF(VLOOKUP(I217,Iktato!$B$3:$L$10000,6,FALSE)&lt;&gt;0,VLOOKUP(I217,Iktato!$B$3:$L$10000,6,FALSE),""),""))</f>
        <v/>
      </c>
      <c r="Q217" s="8" t="str">
        <f>TRIM(IF($M$1&gt;=I217,IF(VLOOKUP(I217,Iktato!$B$3:$L$10000,7,FALSE)&lt;&gt;0,VLOOKUP(I217,Iktato!$B$3:$L$10000,7,FALSE),""),""))</f>
        <v/>
      </c>
      <c r="R217" s="6" t="str">
        <f t="shared" si="27"/>
        <v/>
      </c>
      <c r="S217" s="6" t="str">
        <f t="shared" si="28"/>
        <v/>
      </c>
      <c r="T217" s="6" t="str">
        <f t="shared" si="29"/>
        <v/>
      </c>
    </row>
    <row r="218" spans="1:20" ht="16.5" x14ac:dyDescent="0.25">
      <c r="A218" s="11" t="str">
        <f t="shared" si="24"/>
        <v/>
      </c>
      <c r="B218" s="12" t="str">
        <f>IF($M$1&gt;=I218,VLOOKUP(I218,Iktato!$B$3:$L$10000,5,FALSE),"")</f>
        <v/>
      </c>
      <c r="C218" s="13" t="str">
        <f t="shared" si="25"/>
        <v/>
      </c>
      <c r="D218" s="14" t="str">
        <f>TRIM(IF($M$1&gt;=I218,IF(VLOOKUP(I218,Iktato!$B$3:$L$10000,8,FALSE)&lt;&gt;0,VLOOKUP(I218,Iktato!$B$3:$L$10000,8,FALSE),""),""))</f>
        <v/>
      </c>
      <c r="E218" s="14" t="str">
        <f>TRIM(IF($M$1&gt;=I218,IF(VLOOKUP(I218,Iktato!$B$3:$L$10000,9,FALSE)&lt;&gt;0,VLOOKUP(I218,Iktato!$B$3:$L$10000,9,FALSE),""),""))</f>
        <v/>
      </c>
      <c r="F218" s="43" t="str">
        <f t="shared" si="30"/>
        <v/>
      </c>
      <c r="G218" s="43"/>
      <c r="I218" s="6">
        <f t="shared" si="31"/>
        <v>208</v>
      </c>
      <c r="J218" s="6" t="str">
        <f t="shared" si="26"/>
        <v/>
      </c>
      <c r="K218" s="6" t="str">
        <f>IF($M$1&gt;=I218,VLOOKUP(I218,Iktato!$B$3:$L$10000,3,FALSE),"")</f>
        <v/>
      </c>
      <c r="M218" s="6" t="str">
        <f>IF($M$1&gt;=I218,IF(VLOOKUP(I218,Iktato!$B$3:$P$10000,15,FALSE)&lt;&gt;0,VLOOKUP(I218,Iktato!$B$3:$P$10000,15,FALSE),""),"")</f>
        <v/>
      </c>
      <c r="N218" s="6" t="str">
        <f>IF($M$1&gt;=I218,IF(VLOOKUP(I218,Iktato!$B$3:$Q$10000,16,FALSE)&lt;&gt;0,VLOOKUP(I218,Iktato!$B$3:$Q$10000,16,FALSE),""),"")</f>
        <v/>
      </c>
      <c r="P218" s="6" t="str">
        <f>TRIM(IF($M$1&gt;=I218,IF(VLOOKUP(I218,Iktato!$B$3:$L$10000,6,FALSE)&lt;&gt;0,VLOOKUP(I218,Iktato!$B$3:$L$10000,6,FALSE),""),""))</f>
        <v/>
      </c>
      <c r="Q218" s="8" t="str">
        <f>TRIM(IF($M$1&gt;=I218,IF(VLOOKUP(I218,Iktato!$B$3:$L$10000,7,FALSE)&lt;&gt;0,VLOOKUP(I218,Iktato!$B$3:$L$10000,7,FALSE),""),""))</f>
        <v/>
      </c>
      <c r="R218" s="6" t="str">
        <f t="shared" si="27"/>
        <v/>
      </c>
      <c r="S218" s="6" t="str">
        <f t="shared" si="28"/>
        <v/>
      </c>
      <c r="T218" s="6" t="str">
        <f t="shared" si="29"/>
        <v/>
      </c>
    </row>
    <row r="219" spans="1:20" ht="16.5" x14ac:dyDescent="0.25">
      <c r="A219" s="11" t="str">
        <f t="shared" si="24"/>
        <v/>
      </c>
      <c r="B219" s="12" t="str">
        <f>IF($M$1&gt;=I219,VLOOKUP(I219,Iktato!$B$3:$L$10000,5,FALSE),"")</f>
        <v/>
      </c>
      <c r="C219" s="13" t="str">
        <f t="shared" si="25"/>
        <v/>
      </c>
      <c r="D219" s="14" t="str">
        <f>TRIM(IF($M$1&gt;=I219,IF(VLOOKUP(I219,Iktato!$B$3:$L$10000,8,FALSE)&lt;&gt;0,VLOOKUP(I219,Iktato!$B$3:$L$10000,8,FALSE),""),""))</f>
        <v/>
      </c>
      <c r="E219" s="14" t="str">
        <f>TRIM(IF($M$1&gt;=I219,IF(VLOOKUP(I219,Iktato!$B$3:$L$10000,9,FALSE)&lt;&gt;0,VLOOKUP(I219,Iktato!$B$3:$L$10000,9,FALSE),""),""))</f>
        <v/>
      </c>
      <c r="F219" s="43" t="str">
        <f t="shared" si="30"/>
        <v/>
      </c>
      <c r="G219" s="43"/>
      <c r="I219" s="6">
        <f t="shared" si="31"/>
        <v>209</v>
      </c>
      <c r="J219" s="6" t="str">
        <f t="shared" si="26"/>
        <v/>
      </c>
      <c r="K219" s="6" t="str">
        <f>IF($M$1&gt;=I219,VLOOKUP(I219,Iktato!$B$3:$L$10000,3,FALSE),"")</f>
        <v/>
      </c>
      <c r="M219" s="6" t="str">
        <f>IF($M$1&gt;=I219,IF(VLOOKUP(I219,Iktato!$B$3:$P$10000,15,FALSE)&lt;&gt;0,VLOOKUP(I219,Iktato!$B$3:$P$10000,15,FALSE),""),"")</f>
        <v/>
      </c>
      <c r="N219" s="6" t="str">
        <f>IF($M$1&gt;=I219,IF(VLOOKUP(I219,Iktato!$B$3:$Q$10000,16,FALSE)&lt;&gt;0,VLOOKUP(I219,Iktato!$B$3:$Q$10000,16,FALSE),""),"")</f>
        <v/>
      </c>
      <c r="P219" s="6" t="str">
        <f>TRIM(IF($M$1&gt;=I219,IF(VLOOKUP(I219,Iktato!$B$3:$L$10000,6,FALSE)&lt;&gt;0,VLOOKUP(I219,Iktato!$B$3:$L$10000,6,FALSE),""),""))</f>
        <v/>
      </c>
      <c r="Q219" s="8" t="str">
        <f>TRIM(IF($M$1&gt;=I219,IF(VLOOKUP(I219,Iktato!$B$3:$L$10000,7,FALSE)&lt;&gt;0,VLOOKUP(I219,Iktato!$B$3:$L$10000,7,FALSE),""),""))</f>
        <v/>
      </c>
      <c r="R219" s="6" t="str">
        <f t="shared" si="27"/>
        <v/>
      </c>
      <c r="S219" s="6" t="str">
        <f t="shared" si="28"/>
        <v/>
      </c>
      <c r="T219" s="6" t="str">
        <f t="shared" si="29"/>
        <v/>
      </c>
    </row>
    <row r="220" spans="1:20" ht="16.5" x14ac:dyDescent="0.25">
      <c r="A220" s="11" t="str">
        <f t="shared" si="24"/>
        <v/>
      </c>
      <c r="B220" s="12" t="str">
        <f>IF($M$1&gt;=I220,VLOOKUP(I220,Iktato!$B$3:$L$10000,5,FALSE),"")</f>
        <v/>
      </c>
      <c r="C220" s="13" t="str">
        <f t="shared" si="25"/>
        <v/>
      </c>
      <c r="D220" s="14" t="str">
        <f>TRIM(IF($M$1&gt;=I220,IF(VLOOKUP(I220,Iktato!$B$3:$L$10000,8,FALSE)&lt;&gt;0,VLOOKUP(I220,Iktato!$B$3:$L$10000,8,FALSE),""),""))</f>
        <v/>
      </c>
      <c r="E220" s="14" t="str">
        <f>TRIM(IF($M$1&gt;=I220,IF(VLOOKUP(I220,Iktato!$B$3:$L$10000,9,FALSE)&lt;&gt;0,VLOOKUP(I220,Iktato!$B$3:$L$10000,9,FALSE),""),""))</f>
        <v/>
      </c>
      <c r="F220" s="43" t="str">
        <f t="shared" si="30"/>
        <v/>
      </c>
      <c r="G220" s="43"/>
      <c r="I220" s="6">
        <f t="shared" si="31"/>
        <v>210</v>
      </c>
      <c r="J220" s="6" t="str">
        <f t="shared" si="26"/>
        <v/>
      </c>
      <c r="K220" s="6" t="str">
        <f>IF($M$1&gt;=I220,VLOOKUP(I220,Iktato!$B$3:$L$10000,3,FALSE),"")</f>
        <v/>
      </c>
      <c r="M220" s="6" t="str">
        <f>IF($M$1&gt;=I220,IF(VLOOKUP(I220,Iktato!$B$3:$P$10000,15,FALSE)&lt;&gt;0,VLOOKUP(I220,Iktato!$B$3:$P$10000,15,FALSE),""),"")</f>
        <v/>
      </c>
      <c r="N220" s="6" t="str">
        <f>IF($M$1&gt;=I220,IF(VLOOKUP(I220,Iktato!$B$3:$Q$10000,16,FALSE)&lt;&gt;0,VLOOKUP(I220,Iktato!$B$3:$Q$10000,16,FALSE),""),"")</f>
        <v/>
      </c>
      <c r="P220" s="6" t="str">
        <f>TRIM(IF($M$1&gt;=I220,IF(VLOOKUP(I220,Iktato!$B$3:$L$10000,6,FALSE)&lt;&gt;0,VLOOKUP(I220,Iktato!$B$3:$L$10000,6,FALSE),""),""))</f>
        <v/>
      </c>
      <c r="Q220" s="8" t="str">
        <f>TRIM(IF($M$1&gt;=I220,IF(VLOOKUP(I220,Iktato!$B$3:$L$10000,7,FALSE)&lt;&gt;0,VLOOKUP(I220,Iktato!$B$3:$L$10000,7,FALSE),""),""))</f>
        <v/>
      </c>
      <c r="R220" s="6" t="str">
        <f t="shared" si="27"/>
        <v/>
      </c>
      <c r="S220" s="6" t="str">
        <f t="shared" si="28"/>
        <v/>
      </c>
      <c r="T220" s="6" t="str">
        <f t="shared" si="29"/>
        <v/>
      </c>
    </row>
    <row r="221" spans="1:20" ht="16.5" x14ac:dyDescent="0.25">
      <c r="A221" s="11" t="str">
        <f t="shared" si="24"/>
        <v/>
      </c>
      <c r="B221" s="12" t="str">
        <f>IF($M$1&gt;=I221,VLOOKUP(I221,Iktato!$B$3:$L$10000,5,FALSE),"")</f>
        <v/>
      </c>
      <c r="C221" s="13" t="str">
        <f t="shared" si="25"/>
        <v/>
      </c>
      <c r="D221" s="14" t="str">
        <f>TRIM(IF($M$1&gt;=I221,IF(VLOOKUP(I221,Iktato!$B$3:$L$10000,8,FALSE)&lt;&gt;0,VLOOKUP(I221,Iktato!$B$3:$L$10000,8,FALSE),""),""))</f>
        <v/>
      </c>
      <c r="E221" s="14" t="str">
        <f>TRIM(IF($M$1&gt;=I221,IF(VLOOKUP(I221,Iktato!$B$3:$L$10000,9,FALSE)&lt;&gt;0,VLOOKUP(I221,Iktato!$B$3:$L$10000,9,FALSE),""),""))</f>
        <v/>
      </c>
      <c r="F221" s="43" t="str">
        <f t="shared" si="30"/>
        <v/>
      </c>
      <c r="G221" s="43"/>
      <c r="I221" s="6">
        <f t="shared" si="31"/>
        <v>211</v>
      </c>
      <c r="J221" s="6" t="str">
        <f t="shared" si="26"/>
        <v/>
      </c>
      <c r="K221" s="6" t="str">
        <f>IF($M$1&gt;=I221,VLOOKUP(I221,Iktato!$B$3:$L$10000,3,FALSE),"")</f>
        <v/>
      </c>
      <c r="M221" s="6" t="str">
        <f>IF($M$1&gt;=I221,IF(VLOOKUP(I221,Iktato!$B$3:$P$10000,15,FALSE)&lt;&gt;0,VLOOKUP(I221,Iktato!$B$3:$P$10000,15,FALSE),""),"")</f>
        <v/>
      </c>
      <c r="N221" s="6" t="str">
        <f>IF($M$1&gt;=I221,IF(VLOOKUP(I221,Iktato!$B$3:$Q$10000,16,FALSE)&lt;&gt;0,VLOOKUP(I221,Iktato!$B$3:$Q$10000,16,FALSE),""),"")</f>
        <v/>
      </c>
      <c r="P221" s="6" t="str">
        <f>TRIM(IF($M$1&gt;=I221,IF(VLOOKUP(I221,Iktato!$B$3:$L$10000,6,FALSE)&lt;&gt;0,VLOOKUP(I221,Iktato!$B$3:$L$10000,6,FALSE),""),""))</f>
        <v/>
      </c>
      <c r="Q221" s="8" t="str">
        <f>TRIM(IF($M$1&gt;=I221,IF(VLOOKUP(I221,Iktato!$B$3:$L$10000,7,FALSE)&lt;&gt;0,VLOOKUP(I221,Iktato!$B$3:$L$10000,7,FALSE),""),""))</f>
        <v/>
      </c>
      <c r="R221" s="6" t="str">
        <f t="shared" si="27"/>
        <v/>
      </c>
      <c r="S221" s="6" t="str">
        <f t="shared" si="28"/>
        <v/>
      </c>
      <c r="T221" s="6" t="str">
        <f t="shared" si="29"/>
        <v/>
      </c>
    </row>
    <row r="222" spans="1:20" ht="16.5" x14ac:dyDescent="0.25">
      <c r="A222" s="11" t="str">
        <f t="shared" si="24"/>
        <v/>
      </c>
      <c r="B222" s="12" t="str">
        <f>IF($M$1&gt;=I222,VLOOKUP(I222,Iktato!$B$3:$L$10000,5,FALSE),"")</f>
        <v/>
      </c>
      <c r="C222" s="13" t="str">
        <f t="shared" si="25"/>
        <v/>
      </c>
      <c r="D222" s="14" t="str">
        <f>TRIM(IF($M$1&gt;=I222,IF(VLOOKUP(I222,Iktato!$B$3:$L$10000,8,FALSE)&lt;&gt;0,VLOOKUP(I222,Iktato!$B$3:$L$10000,8,FALSE),""),""))</f>
        <v/>
      </c>
      <c r="E222" s="14" t="str">
        <f>TRIM(IF($M$1&gt;=I222,IF(VLOOKUP(I222,Iktato!$B$3:$L$10000,9,FALSE)&lt;&gt;0,VLOOKUP(I222,Iktato!$B$3:$L$10000,9,FALSE),""),""))</f>
        <v/>
      </c>
      <c r="F222" s="43" t="str">
        <f t="shared" si="30"/>
        <v/>
      </c>
      <c r="G222" s="43"/>
      <c r="I222" s="6">
        <f t="shared" si="31"/>
        <v>212</v>
      </c>
      <c r="J222" s="6" t="str">
        <f t="shared" si="26"/>
        <v/>
      </c>
      <c r="K222" s="6" t="str">
        <f>IF($M$1&gt;=I222,VLOOKUP(I222,Iktato!$B$3:$L$10000,3,FALSE),"")</f>
        <v/>
      </c>
      <c r="M222" s="6" t="str">
        <f>IF($M$1&gt;=I222,IF(VLOOKUP(I222,Iktato!$B$3:$P$10000,15,FALSE)&lt;&gt;0,VLOOKUP(I222,Iktato!$B$3:$P$10000,15,FALSE),""),"")</f>
        <v/>
      </c>
      <c r="N222" s="6" t="str">
        <f>IF($M$1&gt;=I222,IF(VLOOKUP(I222,Iktato!$B$3:$Q$10000,16,FALSE)&lt;&gt;0,VLOOKUP(I222,Iktato!$B$3:$Q$10000,16,FALSE),""),"")</f>
        <v/>
      </c>
      <c r="P222" s="6" t="str">
        <f>TRIM(IF($M$1&gt;=I222,IF(VLOOKUP(I222,Iktato!$B$3:$L$10000,6,FALSE)&lt;&gt;0,VLOOKUP(I222,Iktato!$B$3:$L$10000,6,FALSE),""),""))</f>
        <v/>
      </c>
      <c r="Q222" s="8" t="str">
        <f>TRIM(IF($M$1&gt;=I222,IF(VLOOKUP(I222,Iktato!$B$3:$L$10000,7,FALSE)&lt;&gt;0,VLOOKUP(I222,Iktato!$B$3:$L$10000,7,FALSE),""),""))</f>
        <v/>
      </c>
      <c r="R222" s="6" t="str">
        <f t="shared" si="27"/>
        <v/>
      </c>
      <c r="S222" s="6" t="str">
        <f t="shared" si="28"/>
        <v/>
      </c>
      <c r="T222" s="6" t="str">
        <f t="shared" si="29"/>
        <v/>
      </c>
    </row>
    <row r="223" spans="1:20" ht="16.5" x14ac:dyDescent="0.25">
      <c r="A223" s="11" t="str">
        <f t="shared" si="24"/>
        <v/>
      </c>
      <c r="B223" s="12" t="str">
        <f>IF($M$1&gt;=I223,VLOOKUP(I223,Iktato!$B$3:$L$10000,5,FALSE),"")</f>
        <v/>
      </c>
      <c r="C223" s="13" t="str">
        <f t="shared" si="25"/>
        <v/>
      </c>
      <c r="D223" s="14" t="str">
        <f>TRIM(IF($M$1&gt;=I223,IF(VLOOKUP(I223,Iktato!$B$3:$L$10000,8,FALSE)&lt;&gt;0,VLOOKUP(I223,Iktato!$B$3:$L$10000,8,FALSE),""),""))</f>
        <v/>
      </c>
      <c r="E223" s="14" t="str">
        <f>TRIM(IF($M$1&gt;=I223,IF(VLOOKUP(I223,Iktato!$B$3:$L$10000,9,FALSE)&lt;&gt;0,VLOOKUP(I223,Iktato!$B$3:$L$10000,9,FALSE),""),""))</f>
        <v/>
      </c>
      <c r="F223" s="43" t="str">
        <f t="shared" si="30"/>
        <v/>
      </c>
      <c r="G223" s="43"/>
      <c r="I223" s="6">
        <f t="shared" si="31"/>
        <v>213</v>
      </c>
      <c r="J223" s="6" t="str">
        <f t="shared" si="26"/>
        <v/>
      </c>
      <c r="K223" s="6" t="str">
        <f>IF($M$1&gt;=I223,VLOOKUP(I223,Iktato!$B$3:$L$10000,3,FALSE),"")</f>
        <v/>
      </c>
      <c r="M223" s="6" t="str">
        <f>IF($M$1&gt;=I223,IF(VLOOKUP(I223,Iktato!$B$3:$P$10000,15,FALSE)&lt;&gt;0,VLOOKUP(I223,Iktato!$B$3:$P$10000,15,FALSE),""),"")</f>
        <v/>
      </c>
      <c r="N223" s="6" t="str">
        <f>IF($M$1&gt;=I223,IF(VLOOKUP(I223,Iktato!$B$3:$Q$10000,16,FALSE)&lt;&gt;0,VLOOKUP(I223,Iktato!$B$3:$Q$10000,16,FALSE),""),"")</f>
        <v/>
      </c>
      <c r="P223" s="6" t="str">
        <f>TRIM(IF($M$1&gt;=I223,IF(VLOOKUP(I223,Iktato!$B$3:$L$10000,6,FALSE)&lt;&gt;0,VLOOKUP(I223,Iktato!$B$3:$L$10000,6,FALSE),""),""))</f>
        <v/>
      </c>
      <c r="Q223" s="8" t="str">
        <f>TRIM(IF($M$1&gt;=I223,IF(VLOOKUP(I223,Iktato!$B$3:$L$10000,7,FALSE)&lt;&gt;0,VLOOKUP(I223,Iktato!$B$3:$L$10000,7,FALSE),""),""))</f>
        <v/>
      </c>
      <c r="R223" s="6" t="str">
        <f t="shared" si="27"/>
        <v/>
      </c>
      <c r="S223" s="6" t="str">
        <f t="shared" si="28"/>
        <v/>
      </c>
      <c r="T223" s="6" t="str">
        <f t="shared" si="29"/>
        <v/>
      </c>
    </row>
    <row r="224" spans="1:20" ht="16.5" x14ac:dyDescent="0.25">
      <c r="A224" s="11" t="str">
        <f t="shared" si="24"/>
        <v/>
      </c>
      <c r="B224" s="12" t="str">
        <f>IF($M$1&gt;=I224,VLOOKUP(I224,Iktato!$B$3:$L$10000,5,FALSE),"")</f>
        <v/>
      </c>
      <c r="C224" s="13" t="str">
        <f t="shared" si="25"/>
        <v/>
      </c>
      <c r="D224" s="14" t="str">
        <f>TRIM(IF($M$1&gt;=I224,IF(VLOOKUP(I224,Iktato!$B$3:$L$10000,8,FALSE)&lt;&gt;0,VLOOKUP(I224,Iktato!$B$3:$L$10000,8,FALSE),""),""))</f>
        <v/>
      </c>
      <c r="E224" s="14" t="str">
        <f>TRIM(IF($M$1&gt;=I224,IF(VLOOKUP(I224,Iktato!$B$3:$L$10000,9,FALSE)&lt;&gt;0,VLOOKUP(I224,Iktato!$B$3:$L$10000,9,FALSE),""),""))</f>
        <v/>
      </c>
      <c r="F224" s="43" t="str">
        <f t="shared" si="30"/>
        <v/>
      </c>
      <c r="G224" s="43"/>
      <c r="I224" s="6">
        <f t="shared" si="31"/>
        <v>214</v>
      </c>
      <c r="J224" s="6" t="str">
        <f t="shared" si="26"/>
        <v/>
      </c>
      <c r="K224" s="6" t="str">
        <f>IF($M$1&gt;=I224,VLOOKUP(I224,Iktato!$B$3:$L$10000,3,FALSE),"")</f>
        <v/>
      </c>
      <c r="M224" s="6" t="str">
        <f>IF($M$1&gt;=I224,IF(VLOOKUP(I224,Iktato!$B$3:$P$10000,15,FALSE)&lt;&gt;0,VLOOKUP(I224,Iktato!$B$3:$P$10000,15,FALSE),""),"")</f>
        <v/>
      </c>
      <c r="N224" s="6" t="str">
        <f>IF($M$1&gt;=I224,IF(VLOOKUP(I224,Iktato!$B$3:$Q$10000,16,FALSE)&lt;&gt;0,VLOOKUP(I224,Iktato!$B$3:$Q$10000,16,FALSE),""),"")</f>
        <v/>
      </c>
      <c r="P224" s="6" t="str">
        <f>TRIM(IF($M$1&gt;=I224,IF(VLOOKUP(I224,Iktato!$B$3:$L$10000,6,FALSE)&lt;&gt;0,VLOOKUP(I224,Iktato!$B$3:$L$10000,6,FALSE),""),""))</f>
        <v/>
      </c>
      <c r="Q224" s="8" t="str">
        <f>TRIM(IF($M$1&gt;=I224,IF(VLOOKUP(I224,Iktato!$B$3:$L$10000,7,FALSE)&lt;&gt;0,VLOOKUP(I224,Iktato!$B$3:$L$10000,7,FALSE),""),""))</f>
        <v/>
      </c>
      <c r="R224" s="6" t="str">
        <f t="shared" si="27"/>
        <v/>
      </c>
      <c r="S224" s="6" t="str">
        <f t="shared" si="28"/>
        <v/>
      </c>
      <c r="T224" s="6" t="str">
        <f t="shared" si="29"/>
        <v/>
      </c>
    </row>
    <row r="225" spans="1:20" ht="16.5" x14ac:dyDescent="0.25">
      <c r="A225" s="11" t="str">
        <f t="shared" si="24"/>
        <v/>
      </c>
      <c r="B225" s="12" t="str">
        <f>IF($M$1&gt;=I225,VLOOKUP(I225,Iktato!$B$3:$L$10000,5,FALSE),"")</f>
        <v/>
      </c>
      <c r="C225" s="13" t="str">
        <f t="shared" si="25"/>
        <v/>
      </c>
      <c r="D225" s="14" t="str">
        <f>TRIM(IF($M$1&gt;=I225,IF(VLOOKUP(I225,Iktato!$B$3:$L$10000,8,FALSE)&lt;&gt;0,VLOOKUP(I225,Iktato!$B$3:$L$10000,8,FALSE),""),""))</f>
        <v/>
      </c>
      <c r="E225" s="14" t="str">
        <f>TRIM(IF($M$1&gt;=I225,IF(VLOOKUP(I225,Iktato!$B$3:$L$10000,9,FALSE)&lt;&gt;0,VLOOKUP(I225,Iktato!$B$3:$L$10000,9,FALSE),""),""))</f>
        <v/>
      </c>
      <c r="F225" s="43" t="str">
        <f t="shared" si="30"/>
        <v/>
      </c>
      <c r="G225" s="43"/>
      <c r="I225" s="6">
        <f t="shared" si="31"/>
        <v>215</v>
      </c>
      <c r="J225" s="6" t="str">
        <f t="shared" si="26"/>
        <v/>
      </c>
      <c r="K225" s="6" t="str">
        <f>IF($M$1&gt;=I225,VLOOKUP(I225,Iktato!$B$3:$L$10000,3,FALSE),"")</f>
        <v/>
      </c>
      <c r="M225" s="6" t="str">
        <f>IF($M$1&gt;=I225,IF(VLOOKUP(I225,Iktato!$B$3:$P$10000,15,FALSE)&lt;&gt;0,VLOOKUP(I225,Iktato!$B$3:$P$10000,15,FALSE),""),"")</f>
        <v/>
      </c>
      <c r="N225" s="6" t="str">
        <f>IF($M$1&gt;=I225,IF(VLOOKUP(I225,Iktato!$B$3:$Q$10000,16,FALSE)&lt;&gt;0,VLOOKUP(I225,Iktato!$B$3:$Q$10000,16,FALSE),""),"")</f>
        <v/>
      </c>
      <c r="P225" s="6" t="str">
        <f>TRIM(IF($M$1&gt;=I225,IF(VLOOKUP(I225,Iktato!$B$3:$L$10000,6,FALSE)&lt;&gt;0,VLOOKUP(I225,Iktato!$B$3:$L$10000,6,FALSE),""),""))</f>
        <v/>
      </c>
      <c r="Q225" s="8" t="str">
        <f>TRIM(IF($M$1&gt;=I225,IF(VLOOKUP(I225,Iktato!$B$3:$L$10000,7,FALSE)&lt;&gt;0,VLOOKUP(I225,Iktato!$B$3:$L$10000,7,FALSE),""),""))</f>
        <v/>
      </c>
      <c r="R225" s="6" t="str">
        <f t="shared" si="27"/>
        <v/>
      </c>
      <c r="S225" s="6" t="str">
        <f t="shared" si="28"/>
        <v/>
      </c>
      <c r="T225" s="6" t="str">
        <f t="shared" si="29"/>
        <v/>
      </c>
    </row>
    <row r="226" spans="1:20" ht="16.5" x14ac:dyDescent="0.25">
      <c r="A226" s="11" t="str">
        <f t="shared" si="24"/>
        <v/>
      </c>
      <c r="B226" s="12" t="str">
        <f>IF($M$1&gt;=I226,VLOOKUP(I226,Iktato!$B$3:$L$10000,5,FALSE),"")</f>
        <v/>
      </c>
      <c r="C226" s="13" t="str">
        <f t="shared" si="25"/>
        <v/>
      </c>
      <c r="D226" s="14" t="str">
        <f>TRIM(IF($M$1&gt;=I226,IF(VLOOKUP(I226,Iktato!$B$3:$L$10000,8,FALSE)&lt;&gt;0,VLOOKUP(I226,Iktato!$B$3:$L$10000,8,FALSE),""),""))</f>
        <v/>
      </c>
      <c r="E226" s="14" t="str">
        <f>TRIM(IF($M$1&gt;=I226,IF(VLOOKUP(I226,Iktato!$B$3:$L$10000,9,FALSE)&lt;&gt;0,VLOOKUP(I226,Iktato!$B$3:$L$10000,9,FALSE),""),""))</f>
        <v/>
      </c>
      <c r="F226" s="43" t="str">
        <f t="shared" si="30"/>
        <v/>
      </c>
      <c r="G226" s="43"/>
      <c r="I226" s="6">
        <f t="shared" si="31"/>
        <v>216</v>
      </c>
      <c r="J226" s="6" t="str">
        <f t="shared" si="26"/>
        <v/>
      </c>
      <c r="K226" s="6" t="str">
        <f>IF($M$1&gt;=I226,VLOOKUP(I226,Iktato!$B$3:$L$10000,3,FALSE),"")</f>
        <v/>
      </c>
      <c r="M226" s="6" t="str">
        <f>IF($M$1&gt;=I226,IF(VLOOKUP(I226,Iktato!$B$3:$P$10000,15,FALSE)&lt;&gt;0,VLOOKUP(I226,Iktato!$B$3:$P$10000,15,FALSE),""),"")</f>
        <v/>
      </c>
      <c r="N226" s="6" t="str">
        <f>IF($M$1&gt;=I226,IF(VLOOKUP(I226,Iktato!$B$3:$Q$10000,16,FALSE)&lt;&gt;0,VLOOKUP(I226,Iktato!$B$3:$Q$10000,16,FALSE),""),"")</f>
        <v/>
      </c>
      <c r="P226" s="6" t="str">
        <f>TRIM(IF($M$1&gt;=I226,IF(VLOOKUP(I226,Iktato!$B$3:$L$10000,6,FALSE)&lt;&gt;0,VLOOKUP(I226,Iktato!$B$3:$L$10000,6,FALSE),""),""))</f>
        <v/>
      </c>
      <c r="Q226" s="8" t="str">
        <f>TRIM(IF($M$1&gt;=I226,IF(VLOOKUP(I226,Iktato!$B$3:$L$10000,7,FALSE)&lt;&gt;0,VLOOKUP(I226,Iktato!$B$3:$L$10000,7,FALSE),""),""))</f>
        <v/>
      </c>
      <c r="R226" s="6" t="str">
        <f t="shared" si="27"/>
        <v/>
      </c>
      <c r="S226" s="6" t="str">
        <f t="shared" si="28"/>
        <v/>
      </c>
      <c r="T226" s="6" t="str">
        <f t="shared" si="29"/>
        <v/>
      </c>
    </row>
    <row r="227" spans="1:20" ht="16.5" x14ac:dyDescent="0.25">
      <c r="A227" s="11" t="str">
        <f t="shared" si="24"/>
        <v/>
      </c>
      <c r="B227" s="12" t="str">
        <f>IF($M$1&gt;=I227,VLOOKUP(I227,Iktato!$B$3:$L$10000,5,FALSE),"")</f>
        <v/>
      </c>
      <c r="C227" s="13" t="str">
        <f t="shared" si="25"/>
        <v/>
      </c>
      <c r="D227" s="14" t="str">
        <f>TRIM(IF($M$1&gt;=I227,IF(VLOOKUP(I227,Iktato!$B$3:$L$10000,8,FALSE)&lt;&gt;0,VLOOKUP(I227,Iktato!$B$3:$L$10000,8,FALSE),""),""))</f>
        <v/>
      </c>
      <c r="E227" s="14" t="str">
        <f>TRIM(IF($M$1&gt;=I227,IF(VLOOKUP(I227,Iktato!$B$3:$L$10000,9,FALSE)&lt;&gt;0,VLOOKUP(I227,Iktato!$B$3:$L$10000,9,FALSE),""),""))</f>
        <v/>
      </c>
      <c r="F227" s="43" t="str">
        <f t="shared" si="30"/>
        <v/>
      </c>
      <c r="G227" s="43"/>
      <c r="I227" s="6">
        <f t="shared" si="31"/>
        <v>217</v>
      </c>
      <c r="J227" s="6" t="str">
        <f t="shared" si="26"/>
        <v/>
      </c>
      <c r="K227" s="6" t="str">
        <f>IF($M$1&gt;=I227,VLOOKUP(I227,Iktato!$B$3:$L$10000,3,FALSE),"")</f>
        <v/>
      </c>
      <c r="M227" s="6" t="str">
        <f>IF($M$1&gt;=I227,IF(VLOOKUP(I227,Iktato!$B$3:$P$10000,15,FALSE)&lt;&gt;0,VLOOKUP(I227,Iktato!$B$3:$P$10000,15,FALSE),""),"")</f>
        <v/>
      </c>
      <c r="N227" s="6" t="str">
        <f>IF($M$1&gt;=I227,IF(VLOOKUP(I227,Iktato!$B$3:$Q$10000,16,FALSE)&lt;&gt;0,VLOOKUP(I227,Iktato!$B$3:$Q$10000,16,FALSE),""),"")</f>
        <v/>
      </c>
      <c r="P227" s="6" t="str">
        <f>TRIM(IF($M$1&gt;=I227,IF(VLOOKUP(I227,Iktato!$B$3:$L$10000,6,FALSE)&lt;&gt;0,VLOOKUP(I227,Iktato!$B$3:$L$10000,6,FALSE),""),""))</f>
        <v/>
      </c>
      <c r="Q227" s="8" t="str">
        <f>TRIM(IF($M$1&gt;=I227,IF(VLOOKUP(I227,Iktato!$B$3:$L$10000,7,FALSE)&lt;&gt;0,VLOOKUP(I227,Iktato!$B$3:$L$10000,7,FALSE),""),""))</f>
        <v/>
      </c>
      <c r="R227" s="6" t="str">
        <f t="shared" si="27"/>
        <v/>
      </c>
      <c r="S227" s="6" t="str">
        <f t="shared" si="28"/>
        <v/>
      </c>
      <c r="T227" s="6" t="str">
        <f t="shared" si="29"/>
        <v/>
      </c>
    </row>
    <row r="228" spans="1:20" ht="16.5" x14ac:dyDescent="0.25">
      <c r="A228" s="11" t="str">
        <f t="shared" si="24"/>
        <v/>
      </c>
      <c r="B228" s="12" t="str">
        <f>IF($M$1&gt;=I228,VLOOKUP(I228,Iktato!$B$3:$L$10000,5,FALSE),"")</f>
        <v/>
      </c>
      <c r="C228" s="13" t="str">
        <f t="shared" si="25"/>
        <v/>
      </c>
      <c r="D228" s="14" t="str">
        <f>TRIM(IF($M$1&gt;=I228,IF(VLOOKUP(I228,Iktato!$B$3:$L$10000,8,FALSE)&lt;&gt;0,VLOOKUP(I228,Iktato!$B$3:$L$10000,8,FALSE),""),""))</f>
        <v/>
      </c>
      <c r="E228" s="14" t="str">
        <f>TRIM(IF($M$1&gt;=I228,IF(VLOOKUP(I228,Iktato!$B$3:$L$10000,9,FALSE)&lt;&gt;0,VLOOKUP(I228,Iktato!$B$3:$L$10000,9,FALSE),""),""))</f>
        <v/>
      </c>
      <c r="F228" s="43" t="str">
        <f t="shared" si="30"/>
        <v/>
      </c>
      <c r="G228" s="43"/>
      <c r="I228" s="6">
        <f t="shared" si="31"/>
        <v>218</v>
      </c>
      <c r="J228" s="6" t="str">
        <f t="shared" si="26"/>
        <v/>
      </c>
      <c r="K228" s="6" t="str">
        <f>IF($M$1&gt;=I228,VLOOKUP(I228,Iktato!$B$3:$L$10000,3,FALSE),"")</f>
        <v/>
      </c>
      <c r="M228" s="6" t="str">
        <f>IF($M$1&gt;=I228,IF(VLOOKUP(I228,Iktato!$B$3:$P$10000,15,FALSE)&lt;&gt;0,VLOOKUP(I228,Iktato!$B$3:$P$10000,15,FALSE),""),"")</f>
        <v/>
      </c>
      <c r="N228" s="6" t="str">
        <f>IF($M$1&gt;=I228,IF(VLOOKUP(I228,Iktato!$B$3:$Q$10000,16,FALSE)&lt;&gt;0,VLOOKUP(I228,Iktato!$B$3:$Q$10000,16,FALSE),""),"")</f>
        <v/>
      </c>
      <c r="P228" s="6" t="str">
        <f>TRIM(IF($M$1&gt;=I228,IF(VLOOKUP(I228,Iktato!$B$3:$L$10000,6,FALSE)&lt;&gt;0,VLOOKUP(I228,Iktato!$B$3:$L$10000,6,FALSE),""),""))</f>
        <v/>
      </c>
      <c r="Q228" s="8" t="str">
        <f>TRIM(IF($M$1&gt;=I228,IF(VLOOKUP(I228,Iktato!$B$3:$L$10000,7,FALSE)&lt;&gt;0,VLOOKUP(I228,Iktato!$B$3:$L$10000,7,FALSE),""),""))</f>
        <v/>
      </c>
      <c r="R228" s="6" t="str">
        <f t="shared" si="27"/>
        <v/>
      </c>
      <c r="S228" s="6" t="str">
        <f t="shared" si="28"/>
        <v/>
      </c>
      <c r="T228" s="6" t="str">
        <f t="shared" si="29"/>
        <v/>
      </c>
    </row>
    <row r="229" spans="1:20" ht="16.5" x14ac:dyDescent="0.25">
      <c r="A229" s="11" t="str">
        <f t="shared" si="24"/>
        <v/>
      </c>
      <c r="B229" s="12" t="str">
        <f>IF($M$1&gt;=I229,VLOOKUP(I229,Iktato!$B$3:$L$10000,5,FALSE),"")</f>
        <v/>
      </c>
      <c r="C229" s="13" t="str">
        <f t="shared" si="25"/>
        <v/>
      </c>
      <c r="D229" s="14" t="str">
        <f>TRIM(IF($M$1&gt;=I229,IF(VLOOKUP(I229,Iktato!$B$3:$L$10000,8,FALSE)&lt;&gt;0,VLOOKUP(I229,Iktato!$B$3:$L$10000,8,FALSE),""),""))</f>
        <v/>
      </c>
      <c r="E229" s="14" t="str">
        <f>TRIM(IF($M$1&gt;=I229,IF(VLOOKUP(I229,Iktato!$B$3:$L$10000,9,FALSE)&lt;&gt;0,VLOOKUP(I229,Iktato!$B$3:$L$10000,9,FALSE),""),""))</f>
        <v/>
      </c>
      <c r="F229" s="43" t="str">
        <f t="shared" si="30"/>
        <v/>
      </c>
      <c r="G229" s="43"/>
      <c r="I229" s="6">
        <f t="shared" si="31"/>
        <v>219</v>
      </c>
      <c r="J229" s="6" t="str">
        <f t="shared" si="26"/>
        <v/>
      </c>
      <c r="K229" s="6" t="str">
        <f>IF($M$1&gt;=I229,VLOOKUP(I229,Iktato!$B$3:$L$10000,3,FALSE),"")</f>
        <v/>
      </c>
      <c r="M229" s="6" t="str">
        <f>IF($M$1&gt;=I229,IF(VLOOKUP(I229,Iktato!$B$3:$P$10000,15,FALSE)&lt;&gt;0,VLOOKUP(I229,Iktato!$B$3:$P$10000,15,FALSE),""),"")</f>
        <v/>
      </c>
      <c r="N229" s="6" t="str">
        <f>IF($M$1&gt;=I229,IF(VLOOKUP(I229,Iktato!$B$3:$Q$10000,16,FALSE)&lt;&gt;0,VLOOKUP(I229,Iktato!$B$3:$Q$10000,16,FALSE),""),"")</f>
        <v/>
      </c>
      <c r="P229" s="6" t="str">
        <f>TRIM(IF($M$1&gt;=I229,IF(VLOOKUP(I229,Iktato!$B$3:$L$10000,6,FALSE)&lt;&gt;0,VLOOKUP(I229,Iktato!$B$3:$L$10000,6,FALSE),""),""))</f>
        <v/>
      </c>
      <c r="Q229" s="8" t="str">
        <f>TRIM(IF($M$1&gt;=I229,IF(VLOOKUP(I229,Iktato!$B$3:$L$10000,7,FALSE)&lt;&gt;0,VLOOKUP(I229,Iktato!$B$3:$L$10000,7,FALSE),""),""))</f>
        <v/>
      </c>
      <c r="R229" s="6" t="str">
        <f t="shared" si="27"/>
        <v/>
      </c>
      <c r="S229" s="6" t="str">
        <f t="shared" si="28"/>
        <v/>
      </c>
      <c r="T229" s="6" t="str">
        <f t="shared" si="29"/>
        <v/>
      </c>
    </row>
    <row r="230" spans="1:20" ht="16.5" x14ac:dyDescent="0.25">
      <c r="A230" s="11" t="str">
        <f t="shared" si="24"/>
        <v/>
      </c>
      <c r="B230" s="12" t="str">
        <f>IF($M$1&gt;=I230,VLOOKUP(I230,Iktato!$B$3:$L$10000,5,FALSE),"")</f>
        <v/>
      </c>
      <c r="C230" s="13" t="str">
        <f t="shared" si="25"/>
        <v/>
      </c>
      <c r="D230" s="14" t="str">
        <f>TRIM(IF($M$1&gt;=I230,IF(VLOOKUP(I230,Iktato!$B$3:$L$10000,8,FALSE)&lt;&gt;0,VLOOKUP(I230,Iktato!$B$3:$L$10000,8,FALSE),""),""))</f>
        <v/>
      </c>
      <c r="E230" s="14" t="str">
        <f>TRIM(IF($M$1&gt;=I230,IF(VLOOKUP(I230,Iktato!$B$3:$L$10000,9,FALSE)&lt;&gt;0,VLOOKUP(I230,Iktato!$B$3:$L$10000,9,FALSE),""),""))</f>
        <v/>
      </c>
      <c r="F230" s="43" t="str">
        <f t="shared" si="30"/>
        <v/>
      </c>
      <c r="G230" s="43"/>
      <c r="I230" s="6">
        <f t="shared" si="31"/>
        <v>220</v>
      </c>
      <c r="J230" s="6" t="str">
        <f t="shared" si="26"/>
        <v/>
      </c>
      <c r="K230" s="6" t="str">
        <f>IF($M$1&gt;=I230,VLOOKUP(I230,Iktato!$B$3:$L$10000,3,FALSE),"")</f>
        <v/>
      </c>
      <c r="M230" s="6" t="str">
        <f>IF($M$1&gt;=I230,IF(VLOOKUP(I230,Iktato!$B$3:$P$10000,15,FALSE)&lt;&gt;0,VLOOKUP(I230,Iktato!$B$3:$P$10000,15,FALSE),""),"")</f>
        <v/>
      </c>
      <c r="N230" s="6" t="str">
        <f>IF($M$1&gt;=I230,IF(VLOOKUP(I230,Iktato!$B$3:$Q$10000,16,FALSE)&lt;&gt;0,VLOOKUP(I230,Iktato!$B$3:$Q$10000,16,FALSE),""),"")</f>
        <v/>
      </c>
      <c r="P230" s="6" t="str">
        <f>TRIM(IF($M$1&gt;=I230,IF(VLOOKUP(I230,Iktato!$B$3:$L$10000,6,FALSE)&lt;&gt;0,VLOOKUP(I230,Iktato!$B$3:$L$10000,6,FALSE),""),""))</f>
        <v/>
      </c>
      <c r="Q230" s="8" t="str">
        <f>TRIM(IF($M$1&gt;=I230,IF(VLOOKUP(I230,Iktato!$B$3:$L$10000,7,FALSE)&lt;&gt;0,VLOOKUP(I230,Iktato!$B$3:$L$10000,7,FALSE),""),""))</f>
        <v/>
      </c>
      <c r="R230" s="6" t="str">
        <f t="shared" si="27"/>
        <v/>
      </c>
      <c r="S230" s="6" t="str">
        <f t="shared" si="28"/>
        <v/>
      </c>
      <c r="T230" s="6" t="str">
        <f t="shared" si="29"/>
        <v/>
      </c>
    </row>
    <row r="231" spans="1:20" ht="16.5" x14ac:dyDescent="0.25">
      <c r="A231" s="11" t="str">
        <f t="shared" si="24"/>
        <v/>
      </c>
      <c r="B231" s="12" t="str">
        <f>IF($M$1&gt;=I231,VLOOKUP(I231,Iktato!$B$3:$L$10000,5,FALSE),"")</f>
        <v/>
      </c>
      <c r="C231" s="13" t="str">
        <f t="shared" si="25"/>
        <v/>
      </c>
      <c r="D231" s="14" t="str">
        <f>TRIM(IF($M$1&gt;=I231,IF(VLOOKUP(I231,Iktato!$B$3:$L$10000,8,FALSE)&lt;&gt;0,VLOOKUP(I231,Iktato!$B$3:$L$10000,8,FALSE),""),""))</f>
        <v/>
      </c>
      <c r="E231" s="14" t="str">
        <f>TRIM(IF($M$1&gt;=I231,IF(VLOOKUP(I231,Iktato!$B$3:$L$10000,9,FALSE)&lt;&gt;0,VLOOKUP(I231,Iktato!$B$3:$L$10000,9,FALSE),""),""))</f>
        <v/>
      </c>
      <c r="F231" s="43" t="str">
        <f t="shared" si="30"/>
        <v/>
      </c>
      <c r="G231" s="43"/>
      <c r="I231" s="6">
        <f t="shared" si="31"/>
        <v>221</v>
      </c>
      <c r="J231" s="6" t="str">
        <f t="shared" si="26"/>
        <v/>
      </c>
      <c r="K231" s="6" t="str">
        <f>IF($M$1&gt;=I231,VLOOKUP(I231,Iktato!$B$3:$L$10000,3,FALSE),"")</f>
        <v/>
      </c>
      <c r="M231" s="6" t="str">
        <f>IF($M$1&gt;=I231,IF(VLOOKUP(I231,Iktato!$B$3:$P$10000,15,FALSE)&lt;&gt;0,VLOOKUP(I231,Iktato!$B$3:$P$10000,15,FALSE),""),"")</f>
        <v/>
      </c>
      <c r="N231" s="6" t="str">
        <f>IF($M$1&gt;=I231,IF(VLOOKUP(I231,Iktato!$B$3:$Q$10000,16,FALSE)&lt;&gt;0,VLOOKUP(I231,Iktato!$B$3:$Q$10000,16,FALSE),""),"")</f>
        <v/>
      </c>
      <c r="P231" s="6" t="str">
        <f>TRIM(IF($M$1&gt;=I231,IF(VLOOKUP(I231,Iktato!$B$3:$L$10000,6,FALSE)&lt;&gt;0,VLOOKUP(I231,Iktato!$B$3:$L$10000,6,FALSE),""),""))</f>
        <v/>
      </c>
      <c r="Q231" s="8" t="str">
        <f>TRIM(IF($M$1&gt;=I231,IF(VLOOKUP(I231,Iktato!$B$3:$L$10000,7,FALSE)&lt;&gt;0,VLOOKUP(I231,Iktato!$B$3:$L$10000,7,FALSE),""),""))</f>
        <v/>
      </c>
      <c r="R231" s="6" t="str">
        <f t="shared" si="27"/>
        <v/>
      </c>
      <c r="S231" s="6" t="str">
        <f t="shared" si="28"/>
        <v/>
      </c>
      <c r="T231" s="6" t="str">
        <f t="shared" si="29"/>
        <v/>
      </c>
    </row>
    <row r="232" spans="1:20" ht="16.5" x14ac:dyDescent="0.25">
      <c r="A232" s="11" t="str">
        <f t="shared" si="24"/>
        <v/>
      </c>
      <c r="B232" s="12" t="str">
        <f>IF($M$1&gt;=I232,VLOOKUP(I232,Iktato!$B$3:$L$10000,5,FALSE),"")</f>
        <v/>
      </c>
      <c r="C232" s="13" t="str">
        <f t="shared" si="25"/>
        <v/>
      </c>
      <c r="D232" s="14" t="str">
        <f>TRIM(IF($M$1&gt;=I232,IF(VLOOKUP(I232,Iktato!$B$3:$L$10000,8,FALSE)&lt;&gt;0,VLOOKUP(I232,Iktato!$B$3:$L$10000,8,FALSE),""),""))</f>
        <v/>
      </c>
      <c r="E232" s="14" t="str">
        <f>TRIM(IF($M$1&gt;=I232,IF(VLOOKUP(I232,Iktato!$B$3:$L$10000,9,FALSE)&lt;&gt;0,VLOOKUP(I232,Iktato!$B$3:$L$10000,9,FALSE),""),""))</f>
        <v/>
      </c>
      <c r="F232" s="43" t="str">
        <f t="shared" si="30"/>
        <v/>
      </c>
      <c r="G232" s="43"/>
      <c r="I232" s="6">
        <f t="shared" si="31"/>
        <v>222</v>
      </c>
      <c r="J232" s="6" t="str">
        <f t="shared" si="26"/>
        <v/>
      </c>
      <c r="K232" s="6" t="str">
        <f>IF($M$1&gt;=I232,VLOOKUP(I232,Iktato!$B$3:$L$10000,3,FALSE),"")</f>
        <v/>
      </c>
      <c r="M232" s="6" t="str">
        <f>IF($M$1&gt;=I232,IF(VLOOKUP(I232,Iktato!$B$3:$P$10000,15,FALSE)&lt;&gt;0,VLOOKUP(I232,Iktato!$B$3:$P$10000,15,FALSE),""),"")</f>
        <v/>
      </c>
      <c r="N232" s="6" t="str">
        <f>IF($M$1&gt;=I232,IF(VLOOKUP(I232,Iktato!$B$3:$Q$10000,16,FALSE)&lt;&gt;0,VLOOKUP(I232,Iktato!$B$3:$Q$10000,16,FALSE),""),"")</f>
        <v/>
      </c>
      <c r="P232" s="6" t="str">
        <f>TRIM(IF($M$1&gt;=I232,IF(VLOOKUP(I232,Iktato!$B$3:$L$10000,6,FALSE)&lt;&gt;0,VLOOKUP(I232,Iktato!$B$3:$L$10000,6,FALSE),""),""))</f>
        <v/>
      </c>
      <c r="Q232" s="8" t="str">
        <f>TRIM(IF($M$1&gt;=I232,IF(VLOOKUP(I232,Iktato!$B$3:$L$10000,7,FALSE)&lt;&gt;0,VLOOKUP(I232,Iktato!$B$3:$L$10000,7,FALSE),""),""))</f>
        <v/>
      </c>
      <c r="R232" s="6" t="str">
        <f t="shared" si="27"/>
        <v/>
      </c>
      <c r="S232" s="6" t="str">
        <f t="shared" si="28"/>
        <v/>
      </c>
      <c r="T232" s="6" t="str">
        <f t="shared" si="29"/>
        <v/>
      </c>
    </row>
    <row r="233" spans="1:20" ht="16.5" x14ac:dyDescent="0.25">
      <c r="A233" s="11" t="str">
        <f t="shared" si="24"/>
        <v/>
      </c>
      <c r="B233" s="12" t="str">
        <f>IF($M$1&gt;=I233,VLOOKUP(I233,Iktato!$B$3:$L$10000,5,FALSE),"")</f>
        <v/>
      </c>
      <c r="C233" s="13" t="str">
        <f t="shared" si="25"/>
        <v/>
      </c>
      <c r="D233" s="14" t="str">
        <f>TRIM(IF($M$1&gt;=I233,IF(VLOOKUP(I233,Iktato!$B$3:$L$10000,8,FALSE)&lt;&gt;0,VLOOKUP(I233,Iktato!$B$3:$L$10000,8,FALSE),""),""))</f>
        <v/>
      </c>
      <c r="E233" s="14" t="str">
        <f>TRIM(IF($M$1&gt;=I233,IF(VLOOKUP(I233,Iktato!$B$3:$L$10000,9,FALSE)&lt;&gt;0,VLOOKUP(I233,Iktato!$B$3:$L$10000,9,FALSE),""),""))</f>
        <v/>
      </c>
      <c r="F233" s="43" t="str">
        <f t="shared" si="30"/>
        <v/>
      </c>
      <c r="G233" s="43"/>
      <c r="I233" s="6">
        <f t="shared" si="31"/>
        <v>223</v>
      </c>
      <c r="J233" s="6" t="str">
        <f t="shared" si="26"/>
        <v/>
      </c>
      <c r="K233" s="6" t="str">
        <f>IF($M$1&gt;=I233,VLOOKUP(I233,Iktato!$B$3:$L$10000,3,FALSE),"")</f>
        <v/>
      </c>
      <c r="M233" s="6" t="str">
        <f>IF($M$1&gt;=I233,IF(VLOOKUP(I233,Iktato!$B$3:$P$10000,15,FALSE)&lt;&gt;0,VLOOKUP(I233,Iktato!$B$3:$P$10000,15,FALSE),""),"")</f>
        <v/>
      </c>
      <c r="N233" s="6" t="str">
        <f>IF($M$1&gt;=I233,IF(VLOOKUP(I233,Iktato!$B$3:$Q$10000,16,FALSE)&lt;&gt;0,VLOOKUP(I233,Iktato!$B$3:$Q$10000,16,FALSE),""),"")</f>
        <v/>
      </c>
      <c r="P233" s="6" t="str">
        <f>TRIM(IF($M$1&gt;=I233,IF(VLOOKUP(I233,Iktato!$B$3:$L$10000,6,FALSE)&lt;&gt;0,VLOOKUP(I233,Iktato!$B$3:$L$10000,6,FALSE),""),""))</f>
        <v/>
      </c>
      <c r="Q233" s="8" t="str">
        <f>TRIM(IF($M$1&gt;=I233,IF(VLOOKUP(I233,Iktato!$B$3:$L$10000,7,FALSE)&lt;&gt;0,VLOOKUP(I233,Iktato!$B$3:$L$10000,7,FALSE),""),""))</f>
        <v/>
      </c>
      <c r="R233" s="6" t="str">
        <f t="shared" si="27"/>
        <v/>
      </c>
      <c r="S233" s="6" t="str">
        <f t="shared" si="28"/>
        <v/>
      </c>
      <c r="T233" s="6" t="str">
        <f t="shared" si="29"/>
        <v/>
      </c>
    </row>
    <row r="234" spans="1:20" ht="16.5" x14ac:dyDescent="0.25">
      <c r="A234" s="11" t="str">
        <f t="shared" ref="A234:A297" si="32">IF($M$1&gt;=I234,J234,"")</f>
        <v/>
      </c>
      <c r="B234" s="12" t="str">
        <f>IF($M$1&gt;=I234,VLOOKUP(I234,Iktato!$B$3:$L$10000,5,FALSE),"")</f>
        <v/>
      </c>
      <c r="C234" s="13" t="str">
        <f t="shared" ref="C234:C297" si="33">TRIM(IF(AND(P234&amp;Q234&lt;&gt;"",$M$1&gt;=I234),P234&amp;"-"&amp;R234&amp;$R$10&amp;S234&amp;$R$10&amp;T234&amp;$R$10,""))</f>
        <v/>
      </c>
      <c r="D234" s="14" t="str">
        <f>TRIM(IF($M$1&gt;=I234,IF(VLOOKUP(I234,Iktato!$B$3:$L$10000,8,FALSE)&lt;&gt;0,VLOOKUP(I234,Iktato!$B$3:$L$10000,8,FALSE),""),""))</f>
        <v/>
      </c>
      <c r="E234" s="14" t="str">
        <f>TRIM(IF($M$1&gt;=I234,IF(VLOOKUP(I234,Iktato!$B$3:$L$10000,9,FALSE)&lt;&gt;0,VLOOKUP(I234,Iktato!$B$3:$L$10000,9,FALSE),""),""))</f>
        <v/>
      </c>
      <c r="F234" s="43" t="str">
        <f t="shared" si="30"/>
        <v/>
      </c>
      <c r="G234" s="43"/>
      <c r="I234" s="6">
        <f t="shared" si="31"/>
        <v>224</v>
      </c>
      <c r="J234" s="6" t="str">
        <f t="shared" ref="J234:J297" si="34">IF(K233&lt;&gt;K234,K234,"")</f>
        <v/>
      </c>
      <c r="K234" s="6" t="str">
        <f>IF($M$1&gt;=I234,VLOOKUP(I234,Iktato!$B$3:$L$10000,3,FALSE),"")</f>
        <v/>
      </c>
      <c r="M234" s="6" t="str">
        <f>IF($M$1&gt;=I234,IF(VLOOKUP(I234,Iktato!$B$3:$P$10000,15,FALSE)&lt;&gt;0,VLOOKUP(I234,Iktato!$B$3:$P$10000,15,FALSE),""),"")</f>
        <v/>
      </c>
      <c r="N234" s="6" t="str">
        <f>IF($M$1&gt;=I234,IF(VLOOKUP(I234,Iktato!$B$3:$Q$10000,16,FALSE)&lt;&gt;0,VLOOKUP(I234,Iktato!$B$3:$Q$10000,16,FALSE),""),"")</f>
        <v/>
      </c>
      <c r="P234" s="6" t="str">
        <f>TRIM(IF($M$1&gt;=I234,IF(VLOOKUP(I234,Iktato!$B$3:$L$10000,6,FALSE)&lt;&gt;0,VLOOKUP(I234,Iktato!$B$3:$L$10000,6,FALSE),""),""))</f>
        <v/>
      </c>
      <c r="Q234" s="8" t="str">
        <f>TRIM(IF($M$1&gt;=I234,IF(VLOOKUP(I234,Iktato!$B$3:$L$10000,7,FALSE)&lt;&gt;0,VLOOKUP(I234,Iktato!$B$3:$L$10000,7,FALSE),""),""))</f>
        <v/>
      </c>
      <c r="R234" s="6" t="str">
        <f t="shared" ref="R234:R297" si="35">IF(Q234&lt;&gt;"",YEAR(Q234),"")</f>
        <v/>
      </c>
      <c r="S234" s="6" t="str">
        <f t="shared" ref="S234:S297" si="36">IF(Q234&lt;&gt;"",MONTH(Q234),"")</f>
        <v/>
      </c>
      <c r="T234" s="6" t="str">
        <f t="shared" ref="T234:T297" si="37">IF(Q234&lt;&gt;"",DAY(Q234),"")</f>
        <v/>
      </c>
    </row>
    <row r="235" spans="1:20" ht="16.5" x14ac:dyDescent="0.25">
      <c r="A235" s="11" t="str">
        <f t="shared" si="32"/>
        <v/>
      </c>
      <c r="B235" s="12" t="str">
        <f>IF($M$1&gt;=I235,VLOOKUP(I235,Iktato!$B$3:$L$10000,5,FALSE),"")</f>
        <v/>
      </c>
      <c r="C235" s="13" t="str">
        <f t="shared" si="33"/>
        <v/>
      </c>
      <c r="D235" s="14" t="str">
        <f>TRIM(IF($M$1&gt;=I235,IF(VLOOKUP(I235,Iktato!$B$3:$L$10000,8,FALSE)&lt;&gt;0,VLOOKUP(I235,Iktato!$B$3:$L$10000,8,FALSE),""),""))</f>
        <v/>
      </c>
      <c r="E235" s="14" t="str">
        <f>TRIM(IF($M$1&gt;=I235,IF(VLOOKUP(I235,Iktato!$B$3:$L$10000,9,FALSE)&lt;&gt;0,VLOOKUP(I235,Iktato!$B$3:$L$10000,9,FALSE),""),""))</f>
        <v/>
      </c>
      <c r="F235" s="43" t="str">
        <f t="shared" si="30"/>
        <v/>
      </c>
      <c r="G235" s="43"/>
      <c r="I235" s="6">
        <f t="shared" si="31"/>
        <v>225</v>
      </c>
      <c r="J235" s="6" t="str">
        <f t="shared" si="34"/>
        <v/>
      </c>
      <c r="K235" s="6" t="str">
        <f>IF($M$1&gt;=I235,VLOOKUP(I235,Iktato!$B$3:$L$10000,3,FALSE),"")</f>
        <v/>
      </c>
      <c r="M235" s="6" t="str">
        <f>IF($M$1&gt;=I235,IF(VLOOKUP(I235,Iktato!$B$3:$P$10000,15,FALSE)&lt;&gt;0,VLOOKUP(I235,Iktato!$B$3:$P$10000,15,FALSE),""),"")</f>
        <v/>
      </c>
      <c r="N235" s="6" t="str">
        <f>IF($M$1&gt;=I235,IF(VLOOKUP(I235,Iktato!$B$3:$Q$10000,16,FALSE)&lt;&gt;0,VLOOKUP(I235,Iktato!$B$3:$Q$10000,16,FALSE),""),"")</f>
        <v/>
      </c>
      <c r="P235" s="6" t="str">
        <f>TRIM(IF($M$1&gt;=I235,IF(VLOOKUP(I235,Iktato!$B$3:$L$10000,6,FALSE)&lt;&gt;0,VLOOKUP(I235,Iktato!$B$3:$L$10000,6,FALSE),""),""))</f>
        <v/>
      </c>
      <c r="Q235" s="8" t="str">
        <f>TRIM(IF($M$1&gt;=I235,IF(VLOOKUP(I235,Iktato!$B$3:$L$10000,7,FALSE)&lt;&gt;0,VLOOKUP(I235,Iktato!$B$3:$L$10000,7,FALSE),""),""))</f>
        <v/>
      </c>
      <c r="R235" s="6" t="str">
        <f t="shared" si="35"/>
        <v/>
      </c>
      <c r="S235" s="6" t="str">
        <f t="shared" si="36"/>
        <v/>
      </c>
      <c r="T235" s="6" t="str">
        <f t="shared" si="37"/>
        <v/>
      </c>
    </row>
    <row r="236" spans="1:20" ht="16.5" x14ac:dyDescent="0.25">
      <c r="A236" s="11" t="str">
        <f t="shared" si="32"/>
        <v/>
      </c>
      <c r="B236" s="12" t="str">
        <f>IF($M$1&gt;=I236,VLOOKUP(I236,Iktato!$B$3:$L$10000,5,FALSE),"")</f>
        <v/>
      </c>
      <c r="C236" s="13" t="str">
        <f t="shared" si="33"/>
        <v/>
      </c>
      <c r="D236" s="14" t="str">
        <f>TRIM(IF($M$1&gt;=I236,IF(VLOOKUP(I236,Iktato!$B$3:$L$10000,8,FALSE)&lt;&gt;0,VLOOKUP(I236,Iktato!$B$3:$L$10000,8,FALSE),""),""))</f>
        <v/>
      </c>
      <c r="E236" s="14" t="str">
        <f>TRIM(IF($M$1&gt;=I236,IF(VLOOKUP(I236,Iktato!$B$3:$L$10000,9,FALSE)&lt;&gt;0,VLOOKUP(I236,Iktato!$B$3:$L$10000,9,FALSE),""),""))</f>
        <v/>
      </c>
      <c r="F236" s="43" t="str">
        <f t="shared" si="30"/>
        <v/>
      </c>
      <c r="G236" s="43"/>
      <c r="I236" s="6">
        <f t="shared" si="31"/>
        <v>226</v>
      </c>
      <c r="J236" s="6" t="str">
        <f t="shared" si="34"/>
        <v/>
      </c>
      <c r="K236" s="6" t="str">
        <f>IF($M$1&gt;=I236,VLOOKUP(I236,Iktato!$B$3:$L$10000,3,FALSE),"")</f>
        <v/>
      </c>
      <c r="M236" s="6" t="str">
        <f>IF($M$1&gt;=I236,IF(VLOOKUP(I236,Iktato!$B$3:$P$10000,15,FALSE)&lt;&gt;0,VLOOKUP(I236,Iktato!$B$3:$P$10000,15,FALSE),""),"")</f>
        <v/>
      </c>
      <c r="N236" s="6" t="str">
        <f>IF($M$1&gt;=I236,IF(VLOOKUP(I236,Iktato!$B$3:$Q$10000,16,FALSE)&lt;&gt;0,VLOOKUP(I236,Iktato!$B$3:$Q$10000,16,FALSE),""),"")</f>
        <v/>
      </c>
      <c r="P236" s="6" t="str">
        <f>TRIM(IF($M$1&gt;=I236,IF(VLOOKUP(I236,Iktato!$B$3:$L$10000,6,FALSE)&lt;&gt;0,VLOOKUP(I236,Iktato!$B$3:$L$10000,6,FALSE),""),""))</f>
        <v/>
      </c>
      <c r="Q236" s="8" t="str">
        <f>TRIM(IF($M$1&gt;=I236,IF(VLOOKUP(I236,Iktato!$B$3:$L$10000,7,FALSE)&lt;&gt;0,VLOOKUP(I236,Iktato!$B$3:$L$10000,7,FALSE),""),""))</f>
        <v/>
      </c>
      <c r="R236" s="6" t="str">
        <f t="shared" si="35"/>
        <v/>
      </c>
      <c r="S236" s="6" t="str">
        <f t="shared" si="36"/>
        <v/>
      </c>
      <c r="T236" s="6" t="str">
        <f t="shared" si="37"/>
        <v/>
      </c>
    </row>
    <row r="237" spans="1:20" ht="16.5" x14ac:dyDescent="0.25">
      <c r="A237" s="11" t="str">
        <f t="shared" si="32"/>
        <v/>
      </c>
      <c r="B237" s="12" t="str">
        <f>IF($M$1&gt;=I237,VLOOKUP(I237,Iktato!$B$3:$L$10000,5,FALSE),"")</f>
        <v/>
      </c>
      <c r="C237" s="13" t="str">
        <f t="shared" si="33"/>
        <v/>
      </c>
      <c r="D237" s="14" t="str">
        <f>TRIM(IF($M$1&gt;=I237,IF(VLOOKUP(I237,Iktato!$B$3:$L$10000,8,FALSE)&lt;&gt;0,VLOOKUP(I237,Iktato!$B$3:$L$10000,8,FALSE),""),""))</f>
        <v/>
      </c>
      <c r="E237" s="14" t="str">
        <f>TRIM(IF($M$1&gt;=I237,IF(VLOOKUP(I237,Iktato!$B$3:$L$10000,9,FALSE)&lt;&gt;0,VLOOKUP(I237,Iktato!$B$3:$L$10000,9,FALSE),""),""))</f>
        <v/>
      </c>
      <c r="F237" s="43" t="str">
        <f t="shared" si="30"/>
        <v/>
      </c>
      <c r="G237" s="43"/>
      <c r="I237" s="6">
        <f t="shared" si="31"/>
        <v>227</v>
      </c>
      <c r="J237" s="6" t="str">
        <f t="shared" si="34"/>
        <v/>
      </c>
      <c r="K237" s="6" t="str">
        <f>IF($M$1&gt;=I237,VLOOKUP(I237,Iktato!$B$3:$L$10000,3,FALSE),"")</f>
        <v/>
      </c>
      <c r="M237" s="6" t="str">
        <f>IF($M$1&gt;=I237,IF(VLOOKUP(I237,Iktato!$B$3:$P$10000,15,FALSE)&lt;&gt;0,VLOOKUP(I237,Iktato!$B$3:$P$10000,15,FALSE),""),"")</f>
        <v/>
      </c>
      <c r="N237" s="6" t="str">
        <f>IF($M$1&gt;=I237,IF(VLOOKUP(I237,Iktato!$B$3:$Q$10000,16,FALSE)&lt;&gt;0,VLOOKUP(I237,Iktato!$B$3:$Q$10000,16,FALSE),""),"")</f>
        <v/>
      </c>
      <c r="P237" s="6" t="str">
        <f>TRIM(IF($M$1&gt;=I237,IF(VLOOKUP(I237,Iktato!$B$3:$L$10000,6,FALSE)&lt;&gt;0,VLOOKUP(I237,Iktato!$B$3:$L$10000,6,FALSE),""),""))</f>
        <v/>
      </c>
      <c r="Q237" s="8" t="str">
        <f>TRIM(IF($M$1&gt;=I237,IF(VLOOKUP(I237,Iktato!$B$3:$L$10000,7,FALSE)&lt;&gt;0,VLOOKUP(I237,Iktato!$B$3:$L$10000,7,FALSE),""),""))</f>
        <v/>
      </c>
      <c r="R237" s="6" t="str">
        <f t="shared" si="35"/>
        <v/>
      </c>
      <c r="S237" s="6" t="str">
        <f t="shared" si="36"/>
        <v/>
      </c>
      <c r="T237" s="6" t="str">
        <f t="shared" si="37"/>
        <v/>
      </c>
    </row>
    <row r="238" spans="1:20" ht="16.5" x14ac:dyDescent="0.25">
      <c r="A238" s="11" t="str">
        <f t="shared" si="32"/>
        <v/>
      </c>
      <c r="B238" s="12" t="str">
        <f>IF($M$1&gt;=I238,VLOOKUP(I238,Iktato!$B$3:$L$10000,5,FALSE),"")</f>
        <v/>
      </c>
      <c r="C238" s="13" t="str">
        <f t="shared" si="33"/>
        <v/>
      </c>
      <c r="D238" s="14" t="str">
        <f>TRIM(IF($M$1&gt;=I238,IF(VLOOKUP(I238,Iktato!$B$3:$L$10000,8,FALSE)&lt;&gt;0,VLOOKUP(I238,Iktato!$B$3:$L$10000,8,FALSE),""),""))</f>
        <v/>
      </c>
      <c r="E238" s="14" t="str">
        <f>TRIM(IF($M$1&gt;=I238,IF(VLOOKUP(I238,Iktato!$B$3:$L$10000,9,FALSE)&lt;&gt;0,VLOOKUP(I238,Iktato!$B$3:$L$10000,9,FALSE),""),""))</f>
        <v/>
      </c>
      <c r="F238" s="43" t="str">
        <f t="shared" si="30"/>
        <v/>
      </c>
      <c r="G238" s="43"/>
      <c r="I238" s="6">
        <f t="shared" si="31"/>
        <v>228</v>
      </c>
      <c r="J238" s="6" t="str">
        <f t="shared" si="34"/>
        <v/>
      </c>
      <c r="K238" s="6" t="str">
        <f>IF($M$1&gt;=I238,VLOOKUP(I238,Iktato!$B$3:$L$10000,3,FALSE),"")</f>
        <v/>
      </c>
      <c r="M238" s="6" t="str">
        <f>IF($M$1&gt;=I238,IF(VLOOKUP(I238,Iktato!$B$3:$P$10000,15,FALSE)&lt;&gt;0,VLOOKUP(I238,Iktato!$B$3:$P$10000,15,FALSE),""),"")</f>
        <v/>
      </c>
      <c r="N238" s="6" t="str">
        <f>IF($M$1&gt;=I238,IF(VLOOKUP(I238,Iktato!$B$3:$Q$10000,16,FALSE)&lt;&gt;0,VLOOKUP(I238,Iktato!$B$3:$Q$10000,16,FALSE),""),"")</f>
        <v/>
      </c>
      <c r="P238" s="6" t="str">
        <f>TRIM(IF($M$1&gt;=I238,IF(VLOOKUP(I238,Iktato!$B$3:$L$10000,6,FALSE)&lt;&gt;0,VLOOKUP(I238,Iktato!$B$3:$L$10000,6,FALSE),""),""))</f>
        <v/>
      </c>
      <c r="Q238" s="8" t="str">
        <f>TRIM(IF($M$1&gt;=I238,IF(VLOOKUP(I238,Iktato!$B$3:$L$10000,7,FALSE)&lt;&gt;0,VLOOKUP(I238,Iktato!$B$3:$L$10000,7,FALSE),""),""))</f>
        <v/>
      </c>
      <c r="R238" s="6" t="str">
        <f t="shared" si="35"/>
        <v/>
      </c>
      <c r="S238" s="6" t="str">
        <f t="shared" si="36"/>
        <v/>
      </c>
      <c r="T238" s="6" t="str">
        <f t="shared" si="37"/>
        <v/>
      </c>
    </row>
    <row r="239" spans="1:20" ht="16.5" x14ac:dyDescent="0.25">
      <c r="A239" s="11" t="str">
        <f t="shared" si="32"/>
        <v/>
      </c>
      <c r="B239" s="12" t="str">
        <f>IF($M$1&gt;=I239,VLOOKUP(I239,Iktato!$B$3:$L$10000,5,FALSE),"")</f>
        <v/>
      </c>
      <c r="C239" s="13" t="str">
        <f t="shared" si="33"/>
        <v/>
      </c>
      <c r="D239" s="14" t="str">
        <f>TRIM(IF($M$1&gt;=I239,IF(VLOOKUP(I239,Iktato!$B$3:$L$10000,8,FALSE)&lt;&gt;0,VLOOKUP(I239,Iktato!$B$3:$L$10000,8,FALSE),""),""))</f>
        <v/>
      </c>
      <c r="E239" s="14" t="str">
        <f>TRIM(IF($M$1&gt;=I239,IF(VLOOKUP(I239,Iktato!$B$3:$L$10000,9,FALSE)&lt;&gt;0,VLOOKUP(I239,Iktato!$B$3:$L$10000,9,FALSE),""),""))</f>
        <v/>
      </c>
      <c r="F239" s="43" t="str">
        <f t="shared" si="30"/>
        <v/>
      </c>
      <c r="G239" s="43"/>
      <c r="I239" s="6">
        <f t="shared" si="31"/>
        <v>229</v>
      </c>
      <c r="J239" s="6" t="str">
        <f t="shared" si="34"/>
        <v/>
      </c>
      <c r="K239" s="6" t="str">
        <f>IF($M$1&gt;=I239,VLOOKUP(I239,Iktato!$B$3:$L$10000,3,FALSE),"")</f>
        <v/>
      </c>
      <c r="M239" s="6" t="str">
        <f>IF($M$1&gt;=I239,IF(VLOOKUP(I239,Iktato!$B$3:$P$10000,15,FALSE)&lt;&gt;0,VLOOKUP(I239,Iktato!$B$3:$P$10000,15,FALSE),""),"")</f>
        <v/>
      </c>
      <c r="N239" s="6" t="str">
        <f>IF($M$1&gt;=I239,IF(VLOOKUP(I239,Iktato!$B$3:$Q$10000,16,FALSE)&lt;&gt;0,VLOOKUP(I239,Iktato!$B$3:$Q$10000,16,FALSE),""),"")</f>
        <v/>
      </c>
      <c r="P239" s="6" t="str">
        <f>TRIM(IF($M$1&gt;=I239,IF(VLOOKUP(I239,Iktato!$B$3:$L$10000,6,FALSE)&lt;&gt;0,VLOOKUP(I239,Iktato!$B$3:$L$10000,6,FALSE),""),""))</f>
        <v/>
      </c>
      <c r="Q239" s="8" t="str">
        <f>TRIM(IF($M$1&gt;=I239,IF(VLOOKUP(I239,Iktato!$B$3:$L$10000,7,FALSE)&lt;&gt;0,VLOOKUP(I239,Iktato!$B$3:$L$10000,7,FALSE),""),""))</f>
        <v/>
      </c>
      <c r="R239" s="6" t="str">
        <f t="shared" si="35"/>
        <v/>
      </c>
      <c r="S239" s="6" t="str">
        <f t="shared" si="36"/>
        <v/>
      </c>
      <c r="T239" s="6" t="str">
        <f t="shared" si="37"/>
        <v/>
      </c>
    </row>
    <row r="240" spans="1:20" ht="16.5" x14ac:dyDescent="0.25">
      <c r="A240" s="11" t="str">
        <f t="shared" si="32"/>
        <v/>
      </c>
      <c r="B240" s="12" t="str">
        <f>IF($M$1&gt;=I240,VLOOKUP(I240,Iktato!$B$3:$L$10000,5,FALSE),"")</f>
        <v/>
      </c>
      <c r="C240" s="13" t="str">
        <f t="shared" si="33"/>
        <v/>
      </c>
      <c r="D240" s="14" t="str">
        <f>TRIM(IF($M$1&gt;=I240,IF(VLOOKUP(I240,Iktato!$B$3:$L$10000,8,FALSE)&lt;&gt;0,VLOOKUP(I240,Iktato!$B$3:$L$10000,8,FALSE),""),""))</f>
        <v/>
      </c>
      <c r="E240" s="14" t="str">
        <f>TRIM(IF($M$1&gt;=I240,IF(VLOOKUP(I240,Iktato!$B$3:$L$10000,9,FALSE)&lt;&gt;0,VLOOKUP(I240,Iktato!$B$3:$L$10000,9,FALSE),""),""))</f>
        <v/>
      </c>
      <c r="F240" s="43" t="str">
        <f t="shared" si="30"/>
        <v/>
      </c>
      <c r="G240" s="43"/>
      <c r="I240" s="6">
        <f t="shared" si="31"/>
        <v>230</v>
      </c>
      <c r="J240" s="6" t="str">
        <f t="shared" si="34"/>
        <v/>
      </c>
      <c r="K240" s="6" t="str">
        <f>IF($M$1&gt;=I240,VLOOKUP(I240,Iktato!$B$3:$L$10000,3,FALSE),"")</f>
        <v/>
      </c>
      <c r="M240" s="6" t="str">
        <f>IF($M$1&gt;=I240,IF(VLOOKUP(I240,Iktato!$B$3:$P$10000,15,FALSE)&lt;&gt;0,VLOOKUP(I240,Iktato!$B$3:$P$10000,15,FALSE),""),"")</f>
        <v/>
      </c>
      <c r="N240" s="6" t="str">
        <f>IF($M$1&gt;=I240,IF(VLOOKUP(I240,Iktato!$B$3:$Q$10000,16,FALSE)&lt;&gt;0,VLOOKUP(I240,Iktato!$B$3:$Q$10000,16,FALSE),""),"")</f>
        <v/>
      </c>
      <c r="P240" s="6" t="str">
        <f>TRIM(IF($M$1&gt;=I240,IF(VLOOKUP(I240,Iktato!$B$3:$L$10000,6,FALSE)&lt;&gt;0,VLOOKUP(I240,Iktato!$B$3:$L$10000,6,FALSE),""),""))</f>
        <v/>
      </c>
      <c r="Q240" s="8" t="str">
        <f>TRIM(IF($M$1&gt;=I240,IF(VLOOKUP(I240,Iktato!$B$3:$L$10000,7,FALSE)&lt;&gt;0,VLOOKUP(I240,Iktato!$B$3:$L$10000,7,FALSE),""),""))</f>
        <v/>
      </c>
      <c r="R240" s="6" t="str">
        <f t="shared" si="35"/>
        <v/>
      </c>
      <c r="S240" s="6" t="str">
        <f t="shared" si="36"/>
        <v/>
      </c>
      <c r="T240" s="6" t="str">
        <f t="shared" si="37"/>
        <v/>
      </c>
    </row>
    <row r="241" spans="1:20" ht="16.5" x14ac:dyDescent="0.25">
      <c r="A241" s="11" t="str">
        <f t="shared" si="32"/>
        <v/>
      </c>
      <c r="B241" s="12" t="str">
        <f>IF($M$1&gt;=I241,VLOOKUP(I241,Iktato!$B$3:$L$10000,5,FALSE),"")</f>
        <v/>
      </c>
      <c r="C241" s="13" t="str">
        <f t="shared" si="33"/>
        <v/>
      </c>
      <c r="D241" s="14" t="str">
        <f>TRIM(IF($M$1&gt;=I241,IF(VLOOKUP(I241,Iktato!$B$3:$L$10000,8,FALSE)&lt;&gt;0,VLOOKUP(I241,Iktato!$B$3:$L$10000,8,FALSE),""),""))</f>
        <v/>
      </c>
      <c r="E241" s="14" t="str">
        <f>TRIM(IF($M$1&gt;=I241,IF(VLOOKUP(I241,Iktato!$B$3:$L$10000,9,FALSE)&lt;&gt;0,VLOOKUP(I241,Iktato!$B$3:$L$10000,9,FALSE),""),""))</f>
        <v/>
      </c>
      <c r="F241" s="43" t="str">
        <f t="shared" si="30"/>
        <v/>
      </c>
      <c r="G241" s="43"/>
      <c r="I241" s="6">
        <f t="shared" si="31"/>
        <v>231</v>
      </c>
      <c r="J241" s="6" t="str">
        <f t="shared" si="34"/>
        <v/>
      </c>
      <c r="K241" s="6" t="str">
        <f>IF($M$1&gt;=I241,VLOOKUP(I241,Iktato!$B$3:$L$10000,3,FALSE),"")</f>
        <v/>
      </c>
      <c r="M241" s="6" t="str">
        <f>IF($M$1&gt;=I241,IF(VLOOKUP(I241,Iktato!$B$3:$P$10000,15,FALSE)&lt;&gt;0,VLOOKUP(I241,Iktato!$B$3:$P$10000,15,FALSE),""),"")</f>
        <v/>
      </c>
      <c r="N241" s="6" t="str">
        <f>IF($M$1&gt;=I241,IF(VLOOKUP(I241,Iktato!$B$3:$Q$10000,16,FALSE)&lt;&gt;0,VLOOKUP(I241,Iktato!$B$3:$Q$10000,16,FALSE),""),"")</f>
        <v/>
      </c>
      <c r="P241" s="6" t="str">
        <f>TRIM(IF($M$1&gt;=I241,IF(VLOOKUP(I241,Iktato!$B$3:$L$10000,6,FALSE)&lt;&gt;0,VLOOKUP(I241,Iktato!$B$3:$L$10000,6,FALSE),""),""))</f>
        <v/>
      </c>
      <c r="Q241" s="8" t="str">
        <f>TRIM(IF($M$1&gt;=I241,IF(VLOOKUP(I241,Iktato!$B$3:$L$10000,7,FALSE)&lt;&gt;0,VLOOKUP(I241,Iktato!$B$3:$L$10000,7,FALSE),""),""))</f>
        <v/>
      </c>
      <c r="R241" s="6" t="str">
        <f t="shared" si="35"/>
        <v/>
      </c>
      <c r="S241" s="6" t="str">
        <f t="shared" si="36"/>
        <v/>
      </c>
      <c r="T241" s="6" t="str">
        <f t="shared" si="37"/>
        <v/>
      </c>
    </row>
    <row r="242" spans="1:20" ht="16.5" x14ac:dyDescent="0.25">
      <c r="A242" s="11" t="str">
        <f t="shared" si="32"/>
        <v/>
      </c>
      <c r="B242" s="12" t="str">
        <f>IF($M$1&gt;=I242,VLOOKUP(I242,Iktato!$B$3:$L$10000,5,FALSE),"")</f>
        <v/>
      </c>
      <c r="C242" s="13" t="str">
        <f t="shared" si="33"/>
        <v/>
      </c>
      <c r="D242" s="14" t="str">
        <f>TRIM(IF($M$1&gt;=I242,IF(VLOOKUP(I242,Iktato!$B$3:$L$10000,8,FALSE)&lt;&gt;0,VLOOKUP(I242,Iktato!$B$3:$L$10000,8,FALSE),""),""))</f>
        <v/>
      </c>
      <c r="E242" s="14" t="str">
        <f>TRIM(IF($M$1&gt;=I242,IF(VLOOKUP(I242,Iktato!$B$3:$L$10000,9,FALSE)&lt;&gt;0,VLOOKUP(I242,Iktato!$B$3:$L$10000,9,FALSE),""),""))</f>
        <v/>
      </c>
      <c r="F242" s="43" t="str">
        <f t="shared" si="30"/>
        <v/>
      </c>
      <c r="G242" s="43"/>
      <c r="I242" s="6">
        <f t="shared" si="31"/>
        <v>232</v>
      </c>
      <c r="J242" s="6" t="str">
        <f t="shared" si="34"/>
        <v/>
      </c>
      <c r="K242" s="6" t="str">
        <f>IF($M$1&gt;=I242,VLOOKUP(I242,Iktato!$B$3:$L$10000,3,FALSE),"")</f>
        <v/>
      </c>
      <c r="M242" s="6" t="str">
        <f>IF($M$1&gt;=I242,IF(VLOOKUP(I242,Iktato!$B$3:$P$10000,15,FALSE)&lt;&gt;0,VLOOKUP(I242,Iktato!$B$3:$P$10000,15,FALSE),""),"")</f>
        <v/>
      </c>
      <c r="N242" s="6" t="str">
        <f>IF($M$1&gt;=I242,IF(VLOOKUP(I242,Iktato!$B$3:$Q$10000,16,FALSE)&lt;&gt;0,VLOOKUP(I242,Iktato!$B$3:$Q$10000,16,FALSE),""),"")</f>
        <v/>
      </c>
      <c r="P242" s="6" t="str">
        <f>TRIM(IF($M$1&gt;=I242,IF(VLOOKUP(I242,Iktato!$B$3:$L$10000,6,FALSE)&lt;&gt;0,VLOOKUP(I242,Iktato!$B$3:$L$10000,6,FALSE),""),""))</f>
        <v/>
      </c>
      <c r="Q242" s="8" t="str">
        <f>TRIM(IF($M$1&gt;=I242,IF(VLOOKUP(I242,Iktato!$B$3:$L$10000,7,FALSE)&lt;&gt;0,VLOOKUP(I242,Iktato!$B$3:$L$10000,7,FALSE),""),""))</f>
        <v/>
      </c>
      <c r="R242" s="6" t="str">
        <f t="shared" si="35"/>
        <v/>
      </c>
      <c r="S242" s="6" t="str">
        <f t="shared" si="36"/>
        <v/>
      </c>
      <c r="T242" s="6" t="str">
        <f t="shared" si="37"/>
        <v/>
      </c>
    </row>
    <row r="243" spans="1:20" ht="16.5" x14ac:dyDescent="0.25">
      <c r="A243" s="11" t="str">
        <f t="shared" si="32"/>
        <v/>
      </c>
      <c r="B243" s="12" t="str">
        <f>IF($M$1&gt;=I243,VLOOKUP(I243,Iktato!$B$3:$L$10000,5,FALSE),"")</f>
        <v/>
      </c>
      <c r="C243" s="13" t="str">
        <f t="shared" si="33"/>
        <v/>
      </c>
      <c r="D243" s="14" t="str">
        <f>TRIM(IF($M$1&gt;=I243,IF(VLOOKUP(I243,Iktato!$B$3:$L$10000,8,FALSE)&lt;&gt;0,VLOOKUP(I243,Iktato!$B$3:$L$10000,8,FALSE),""),""))</f>
        <v/>
      </c>
      <c r="E243" s="14" t="str">
        <f>TRIM(IF($M$1&gt;=I243,IF(VLOOKUP(I243,Iktato!$B$3:$L$10000,9,FALSE)&lt;&gt;0,VLOOKUP(I243,Iktato!$B$3:$L$10000,9,FALSE),""),""))</f>
        <v/>
      </c>
      <c r="F243" s="43" t="str">
        <f t="shared" si="30"/>
        <v/>
      </c>
      <c r="G243" s="43"/>
      <c r="I243" s="6">
        <f t="shared" si="31"/>
        <v>233</v>
      </c>
      <c r="J243" s="6" t="str">
        <f t="shared" si="34"/>
        <v/>
      </c>
      <c r="K243" s="6" t="str">
        <f>IF($M$1&gt;=I243,VLOOKUP(I243,Iktato!$B$3:$L$10000,3,FALSE),"")</f>
        <v/>
      </c>
      <c r="M243" s="6" t="str">
        <f>IF($M$1&gt;=I243,IF(VLOOKUP(I243,Iktato!$B$3:$P$10000,15,FALSE)&lt;&gt;0,VLOOKUP(I243,Iktato!$B$3:$P$10000,15,FALSE),""),"")</f>
        <v/>
      </c>
      <c r="N243" s="6" t="str">
        <f>IF($M$1&gt;=I243,IF(VLOOKUP(I243,Iktato!$B$3:$Q$10000,16,FALSE)&lt;&gt;0,VLOOKUP(I243,Iktato!$B$3:$Q$10000,16,FALSE),""),"")</f>
        <v/>
      </c>
      <c r="P243" s="6" t="str">
        <f>TRIM(IF($M$1&gt;=I243,IF(VLOOKUP(I243,Iktato!$B$3:$L$10000,6,FALSE)&lt;&gt;0,VLOOKUP(I243,Iktato!$B$3:$L$10000,6,FALSE),""),""))</f>
        <v/>
      </c>
      <c r="Q243" s="8" t="str">
        <f>TRIM(IF($M$1&gt;=I243,IF(VLOOKUP(I243,Iktato!$B$3:$L$10000,7,FALSE)&lt;&gt;0,VLOOKUP(I243,Iktato!$B$3:$L$10000,7,FALSE),""),""))</f>
        <v/>
      </c>
      <c r="R243" s="6" t="str">
        <f t="shared" si="35"/>
        <v/>
      </c>
      <c r="S243" s="6" t="str">
        <f t="shared" si="36"/>
        <v/>
      </c>
      <c r="T243" s="6" t="str">
        <f t="shared" si="37"/>
        <v/>
      </c>
    </row>
    <row r="244" spans="1:20" ht="16.5" x14ac:dyDescent="0.25">
      <c r="A244" s="11" t="str">
        <f t="shared" si="32"/>
        <v/>
      </c>
      <c r="B244" s="12" t="str">
        <f>IF($M$1&gt;=I244,VLOOKUP(I244,Iktato!$B$3:$L$10000,5,FALSE),"")</f>
        <v/>
      </c>
      <c r="C244" s="13" t="str">
        <f t="shared" si="33"/>
        <v/>
      </c>
      <c r="D244" s="14" t="str">
        <f>TRIM(IF($M$1&gt;=I244,IF(VLOOKUP(I244,Iktato!$B$3:$L$10000,8,FALSE)&lt;&gt;0,VLOOKUP(I244,Iktato!$B$3:$L$10000,8,FALSE),""),""))</f>
        <v/>
      </c>
      <c r="E244" s="14" t="str">
        <f>TRIM(IF($M$1&gt;=I244,IF(VLOOKUP(I244,Iktato!$B$3:$L$10000,9,FALSE)&lt;&gt;0,VLOOKUP(I244,Iktato!$B$3:$L$10000,9,FALSE),""),""))</f>
        <v/>
      </c>
      <c r="F244" s="43" t="str">
        <f t="shared" si="30"/>
        <v/>
      </c>
      <c r="G244" s="43"/>
      <c r="I244" s="6">
        <f t="shared" si="31"/>
        <v>234</v>
      </c>
      <c r="J244" s="6" t="str">
        <f t="shared" si="34"/>
        <v/>
      </c>
      <c r="K244" s="6" t="str">
        <f>IF($M$1&gt;=I244,VLOOKUP(I244,Iktato!$B$3:$L$10000,3,FALSE),"")</f>
        <v/>
      </c>
      <c r="M244" s="6" t="str">
        <f>IF($M$1&gt;=I244,IF(VLOOKUP(I244,Iktato!$B$3:$P$10000,15,FALSE)&lt;&gt;0,VLOOKUP(I244,Iktato!$B$3:$P$10000,15,FALSE),""),"")</f>
        <v/>
      </c>
      <c r="N244" s="6" t="str">
        <f>IF($M$1&gt;=I244,IF(VLOOKUP(I244,Iktato!$B$3:$Q$10000,16,FALSE)&lt;&gt;0,VLOOKUP(I244,Iktato!$B$3:$Q$10000,16,FALSE),""),"")</f>
        <v/>
      </c>
      <c r="P244" s="6" t="str">
        <f>TRIM(IF($M$1&gt;=I244,IF(VLOOKUP(I244,Iktato!$B$3:$L$10000,6,FALSE)&lt;&gt;0,VLOOKUP(I244,Iktato!$B$3:$L$10000,6,FALSE),""),""))</f>
        <v/>
      </c>
      <c r="Q244" s="8" t="str">
        <f>TRIM(IF($M$1&gt;=I244,IF(VLOOKUP(I244,Iktato!$B$3:$L$10000,7,FALSE)&lt;&gt;0,VLOOKUP(I244,Iktato!$B$3:$L$10000,7,FALSE),""),""))</f>
        <v/>
      </c>
      <c r="R244" s="6" t="str">
        <f t="shared" si="35"/>
        <v/>
      </c>
      <c r="S244" s="6" t="str">
        <f t="shared" si="36"/>
        <v/>
      </c>
      <c r="T244" s="6" t="str">
        <f t="shared" si="37"/>
        <v/>
      </c>
    </row>
    <row r="245" spans="1:20" ht="16.5" x14ac:dyDescent="0.25">
      <c r="A245" s="11" t="str">
        <f t="shared" si="32"/>
        <v/>
      </c>
      <c r="B245" s="12" t="str">
        <f>IF($M$1&gt;=I245,VLOOKUP(I245,Iktato!$B$3:$L$10000,5,FALSE),"")</f>
        <v/>
      </c>
      <c r="C245" s="13" t="str">
        <f t="shared" si="33"/>
        <v/>
      </c>
      <c r="D245" s="14" t="str">
        <f>TRIM(IF($M$1&gt;=I245,IF(VLOOKUP(I245,Iktato!$B$3:$L$10000,8,FALSE)&lt;&gt;0,VLOOKUP(I245,Iktato!$B$3:$L$10000,8,FALSE),""),""))</f>
        <v/>
      </c>
      <c r="E245" s="14" t="str">
        <f>TRIM(IF($M$1&gt;=I245,IF(VLOOKUP(I245,Iktato!$B$3:$L$10000,9,FALSE)&lt;&gt;0,VLOOKUP(I245,Iktato!$B$3:$L$10000,9,FALSE),""),""))</f>
        <v/>
      </c>
      <c r="F245" s="43" t="str">
        <f t="shared" si="30"/>
        <v/>
      </c>
      <c r="G245" s="43"/>
      <c r="I245" s="6">
        <f t="shared" si="31"/>
        <v>235</v>
      </c>
      <c r="J245" s="6" t="str">
        <f t="shared" si="34"/>
        <v/>
      </c>
      <c r="K245" s="6" t="str">
        <f>IF($M$1&gt;=I245,VLOOKUP(I245,Iktato!$B$3:$L$10000,3,FALSE),"")</f>
        <v/>
      </c>
      <c r="M245" s="6" t="str">
        <f>IF($M$1&gt;=I245,IF(VLOOKUP(I245,Iktato!$B$3:$P$10000,15,FALSE)&lt;&gt;0,VLOOKUP(I245,Iktato!$B$3:$P$10000,15,FALSE),""),"")</f>
        <v/>
      </c>
      <c r="N245" s="6" t="str">
        <f>IF($M$1&gt;=I245,IF(VLOOKUP(I245,Iktato!$B$3:$Q$10000,16,FALSE)&lt;&gt;0,VLOOKUP(I245,Iktato!$B$3:$Q$10000,16,FALSE),""),"")</f>
        <v/>
      </c>
      <c r="P245" s="6" t="str">
        <f>TRIM(IF($M$1&gt;=I245,IF(VLOOKUP(I245,Iktato!$B$3:$L$10000,6,FALSE)&lt;&gt;0,VLOOKUP(I245,Iktato!$B$3:$L$10000,6,FALSE),""),""))</f>
        <v/>
      </c>
      <c r="Q245" s="8" t="str">
        <f>TRIM(IF($M$1&gt;=I245,IF(VLOOKUP(I245,Iktato!$B$3:$L$10000,7,FALSE)&lt;&gt;0,VLOOKUP(I245,Iktato!$B$3:$L$10000,7,FALSE),""),""))</f>
        <v/>
      </c>
      <c r="R245" s="6" t="str">
        <f t="shared" si="35"/>
        <v/>
      </c>
      <c r="S245" s="6" t="str">
        <f t="shared" si="36"/>
        <v/>
      </c>
      <c r="T245" s="6" t="str">
        <f t="shared" si="37"/>
        <v/>
      </c>
    </row>
    <row r="246" spans="1:20" ht="16.5" x14ac:dyDescent="0.25">
      <c r="A246" s="11" t="str">
        <f t="shared" si="32"/>
        <v/>
      </c>
      <c r="B246" s="12" t="str">
        <f>IF($M$1&gt;=I246,VLOOKUP(I246,Iktato!$B$3:$L$10000,5,FALSE),"")</f>
        <v/>
      </c>
      <c r="C246" s="13" t="str">
        <f t="shared" si="33"/>
        <v/>
      </c>
      <c r="D246" s="14" t="str">
        <f>TRIM(IF($M$1&gt;=I246,IF(VLOOKUP(I246,Iktato!$B$3:$L$10000,8,FALSE)&lt;&gt;0,VLOOKUP(I246,Iktato!$B$3:$L$10000,8,FALSE),""),""))</f>
        <v/>
      </c>
      <c r="E246" s="14" t="str">
        <f>TRIM(IF($M$1&gt;=I246,IF(VLOOKUP(I246,Iktato!$B$3:$L$10000,9,FALSE)&lt;&gt;0,VLOOKUP(I246,Iktato!$B$3:$L$10000,9,FALSE),""),""))</f>
        <v/>
      </c>
      <c r="F246" s="43" t="str">
        <f t="shared" si="30"/>
        <v/>
      </c>
      <c r="G246" s="43"/>
      <c r="I246" s="6">
        <f t="shared" si="31"/>
        <v>236</v>
      </c>
      <c r="J246" s="6" t="str">
        <f t="shared" si="34"/>
        <v/>
      </c>
      <c r="K246" s="6" t="str">
        <f>IF($M$1&gt;=I246,VLOOKUP(I246,Iktato!$B$3:$L$10000,3,FALSE),"")</f>
        <v/>
      </c>
      <c r="M246" s="6" t="str">
        <f>IF($M$1&gt;=I246,IF(VLOOKUP(I246,Iktato!$B$3:$P$10000,15,FALSE)&lt;&gt;0,VLOOKUP(I246,Iktato!$B$3:$P$10000,15,FALSE),""),"")</f>
        <v/>
      </c>
      <c r="N246" s="6" t="str">
        <f>IF($M$1&gt;=I246,IF(VLOOKUP(I246,Iktato!$B$3:$Q$10000,16,FALSE)&lt;&gt;0,VLOOKUP(I246,Iktato!$B$3:$Q$10000,16,FALSE),""),"")</f>
        <v/>
      </c>
      <c r="P246" s="6" t="str">
        <f>TRIM(IF($M$1&gt;=I246,IF(VLOOKUP(I246,Iktato!$B$3:$L$10000,6,FALSE)&lt;&gt;0,VLOOKUP(I246,Iktato!$B$3:$L$10000,6,FALSE),""),""))</f>
        <v/>
      </c>
      <c r="Q246" s="8" t="str">
        <f>TRIM(IF($M$1&gt;=I246,IF(VLOOKUP(I246,Iktato!$B$3:$L$10000,7,FALSE)&lt;&gt;0,VLOOKUP(I246,Iktato!$B$3:$L$10000,7,FALSE),""),""))</f>
        <v/>
      </c>
      <c r="R246" s="6" t="str">
        <f t="shared" si="35"/>
        <v/>
      </c>
      <c r="S246" s="6" t="str">
        <f t="shared" si="36"/>
        <v/>
      </c>
      <c r="T246" s="6" t="str">
        <f t="shared" si="37"/>
        <v/>
      </c>
    </row>
    <row r="247" spans="1:20" ht="16.5" x14ac:dyDescent="0.25">
      <c r="A247" s="11" t="str">
        <f t="shared" si="32"/>
        <v/>
      </c>
      <c r="B247" s="12" t="str">
        <f>IF($M$1&gt;=I247,VLOOKUP(I247,Iktato!$B$3:$L$10000,5,FALSE),"")</f>
        <v/>
      </c>
      <c r="C247" s="13" t="str">
        <f t="shared" si="33"/>
        <v/>
      </c>
      <c r="D247" s="14" t="str">
        <f>TRIM(IF($M$1&gt;=I247,IF(VLOOKUP(I247,Iktato!$B$3:$L$10000,8,FALSE)&lt;&gt;0,VLOOKUP(I247,Iktato!$B$3:$L$10000,8,FALSE),""),""))</f>
        <v/>
      </c>
      <c r="E247" s="14" t="str">
        <f>TRIM(IF($M$1&gt;=I247,IF(VLOOKUP(I247,Iktato!$B$3:$L$10000,9,FALSE)&lt;&gt;0,VLOOKUP(I247,Iktato!$B$3:$L$10000,9,FALSE),""),""))</f>
        <v/>
      </c>
      <c r="F247" s="43" t="str">
        <f t="shared" si="30"/>
        <v/>
      </c>
      <c r="G247" s="43"/>
      <c r="I247" s="6">
        <f t="shared" si="31"/>
        <v>237</v>
      </c>
      <c r="J247" s="6" t="str">
        <f t="shared" si="34"/>
        <v/>
      </c>
      <c r="K247" s="6" t="str">
        <f>IF($M$1&gt;=I247,VLOOKUP(I247,Iktato!$B$3:$L$10000,3,FALSE),"")</f>
        <v/>
      </c>
      <c r="M247" s="6" t="str">
        <f>IF($M$1&gt;=I247,IF(VLOOKUP(I247,Iktato!$B$3:$P$10000,15,FALSE)&lt;&gt;0,VLOOKUP(I247,Iktato!$B$3:$P$10000,15,FALSE),""),"")</f>
        <v/>
      </c>
      <c r="N247" s="6" t="str">
        <f>IF($M$1&gt;=I247,IF(VLOOKUP(I247,Iktato!$B$3:$Q$10000,16,FALSE)&lt;&gt;0,VLOOKUP(I247,Iktato!$B$3:$Q$10000,16,FALSE),""),"")</f>
        <v/>
      </c>
      <c r="P247" s="6" t="str">
        <f>TRIM(IF($M$1&gt;=I247,IF(VLOOKUP(I247,Iktato!$B$3:$L$10000,6,FALSE)&lt;&gt;0,VLOOKUP(I247,Iktato!$B$3:$L$10000,6,FALSE),""),""))</f>
        <v/>
      </c>
      <c r="Q247" s="8" t="str">
        <f>TRIM(IF($M$1&gt;=I247,IF(VLOOKUP(I247,Iktato!$B$3:$L$10000,7,FALSE)&lt;&gt;0,VLOOKUP(I247,Iktato!$B$3:$L$10000,7,FALSE),""),""))</f>
        <v/>
      </c>
      <c r="R247" s="6" t="str">
        <f t="shared" si="35"/>
        <v/>
      </c>
      <c r="S247" s="6" t="str">
        <f t="shared" si="36"/>
        <v/>
      </c>
      <c r="T247" s="6" t="str">
        <f t="shared" si="37"/>
        <v/>
      </c>
    </row>
    <row r="248" spans="1:20" ht="16.5" x14ac:dyDescent="0.25">
      <c r="A248" s="11" t="str">
        <f t="shared" si="32"/>
        <v/>
      </c>
      <c r="B248" s="12" t="str">
        <f>IF($M$1&gt;=I248,VLOOKUP(I248,Iktato!$B$3:$L$10000,5,FALSE),"")</f>
        <v/>
      </c>
      <c r="C248" s="13" t="str">
        <f t="shared" si="33"/>
        <v/>
      </c>
      <c r="D248" s="14" t="str">
        <f>TRIM(IF($M$1&gt;=I248,IF(VLOOKUP(I248,Iktato!$B$3:$L$10000,8,FALSE)&lt;&gt;0,VLOOKUP(I248,Iktato!$B$3:$L$10000,8,FALSE),""),""))</f>
        <v/>
      </c>
      <c r="E248" s="14" t="str">
        <f>TRIM(IF($M$1&gt;=I248,IF(VLOOKUP(I248,Iktato!$B$3:$L$10000,9,FALSE)&lt;&gt;0,VLOOKUP(I248,Iktato!$B$3:$L$10000,9,FALSE),""),""))</f>
        <v/>
      </c>
      <c r="F248" s="43" t="str">
        <f t="shared" si="30"/>
        <v/>
      </c>
      <c r="G248" s="43"/>
      <c r="I248" s="6">
        <f t="shared" si="31"/>
        <v>238</v>
      </c>
      <c r="J248" s="6" t="str">
        <f t="shared" si="34"/>
        <v/>
      </c>
      <c r="K248" s="6" t="str">
        <f>IF($M$1&gt;=I248,VLOOKUP(I248,Iktato!$B$3:$L$10000,3,FALSE),"")</f>
        <v/>
      </c>
      <c r="M248" s="6" t="str">
        <f>IF($M$1&gt;=I248,IF(VLOOKUP(I248,Iktato!$B$3:$P$10000,15,FALSE)&lt;&gt;0,VLOOKUP(I248,Iktato!$B$3:$P$10000,15,FALSE),""),"")</f>
        <v/>
      </c>
      <c r="N248" s="6" t="str">
        <f>IF($M$1&gt;=I248,IF(VLOOKUP(I248,Iktato!$B$3:$Q$10000,16,FALSE)&lt;&gt;0,VLOOKUP(I248,Iktato!$B$3:$Q$10000,16,FALSE),""),"")</f>
        <v/>
      </c>
      <c r="P248" s="6" t="str">
        <f>TRIM(IF($M$1&gt;=I248,IF(VLOOKUP(I248,Iktato!$B$3:$L$10000,6,FALSE)&lt;&gt;0,VLOOKUP(I248,Iktato!$B$3:$L$10000,6,FALSE),""),""))</f>
        <v/>
      </c>
      <c r="Q248" s="8" t="str">
        <f>TRIM(IF($M$1&gt;=I248,IF(VLOOKUP(I248,Iktato!$B$3:$L$10000,7,FALSE)&lt;&gt;0,VLOOKUP(I248,Iktato!$B$3:$L$10000,7,FALSE),""),""))</f>
        <v/>
      </c>
      <c r="R248" s="6" t="str">
        <f t="shared" si="35"/>
        <v/>
      </c>
      <c r="S248" s="6" t="str">
        <f t="shared" si="36"/>
        <v/>
      </c>
      <c r="T248" s="6" t="str">
        <f t="shared" si="37"/>
        <v/>
      </c>
    </row>
    <row r="249" spans="1:20" ht="16.5" x14ac:dyDescent="0.25">
      <c r="A249" s="11" t="str">
        <f t="shared" si="32"/>
        <v/>
      </c>
      <c r="B249" s="12" t="str">
        <f>IF($M$1&gt;=I249,VLOOKUP(I249,Iktato!$B$3:$L$10000,5,FALSE),"")</f>
        <v/>
      </c>
      <c r="C249" s="13" t="str">
        <f t="shared" si="33"/>
        <v/>
      </c>
      <c r="D249" s="14" t="str">
        <f>TRIM(IF($M$1&gt;=I249,IF(VLOOKUP(I249,Iktato!$B$3:$L$10000,8,FALSE)&lt;&gt;0,VLOOKUP(I249,Iktato!$B$3:$L$10000,8,FALSE),""),""))</f>
        <v/>
      </c>
      <c r="E249" s="14" t="str">
        <f>TRIM(IF($M$1&gt;=I249,IF(VLOOKUP(I249,Iktato!$B$3:$L$10000,9,FALSE)&lt;&gt;0,VLOOKUP(I249,Iktato!$B$3:$L$10000,9,FALSE),""),""))</f>
        <v/>
      </c>
      <c r="F249" s="43" t="str">
        <f t="shared" si="30"/>
        <v/>
      </c>
      <c r="G249" s="43"/>
      <c r="I249" s="6">
        <f t="shared" si="31"/>
        <v>239</v>
      </c>
      <c r="J249" s="6" t="str">
        <f t="shared" si="34"/>
        <v/>
      </c>
      <c r="K249" s="6" t="str">
        <f>IF($M$1&gt;=I249,VLOOKUP(I249,Iktato!$B$3:$L$10000,3,FALSE),"")</f>
        <v/>
      </c>
      <c r="M249" s="6" t="str">
        <f>IF($M$1&gt;=I249,IF(VLOOKUP(I249,Iktato!$B$3:$P$10000,15,FALSE)&lt;&gt;0,VLOOKUP(I249,Iktato!$B$3:$P$10000,15,FALSE),""),"")</f>
        <v/>
      </c>
      <c r="N249" s="6" t="str">
        <f>IF($M$1&gt;=I249,IF(VLOOKUP(I249,Iktato!$B$3:$Q$10000,16,FALSE)&lt;&gt;0,VLOOKUP(I249,Iktato!$B$3:$Q$10000,16,FALSE),""),"")</f>
        <v/>
      </c>
      <c r="P249" s="6" t="str">
        <f>TRIM(IF($M$1&gt;=I249,IF(VLOOKUP(I249,Iktato!$B$3:$L$10000,6,FALSE)&lt;&gt;0,VLOOKUP(I249,Iktato!$B$3:$L$10000,6,FALSE),""),""))</f>
        <v/>
      </c>
      <c r="Q249" s="8" t="str">
        <f>TRIM(IF($M$1&gt;=I249,IF(VLOOKUP(I249,Iktato!$B$3:$L$10000,7,FALSE)&lt;&gt;0,VLOOKUP(I249,Iktato!$B$3:$L$10000,7,FALSE),""),""))</f>
        <v/>
      </c>
      <c r="R249" s="6" t="str">
        <f t="shared" si="35"/>
        <v/>
      </c>
      <c r="S249" s="6" t="str">
        <f t="shared" si="36"/>
        <v/>
      </c>
      <c r="T249" s="6" t="str">
        <f t="shared" si="37"/>
        <v/>
      </c>
    </row>
    <row r="250" spans="1:20" ht="16.5" x14ac:dyDescent="0.25">
      <c r="A250" s="11" t="str">
        <f t="shared" si="32"/>
        <v/>
      </c>
      <c r="B250" s="12" t="str">
        <f>IF($M$1&gt;=I250,VLOOKUP(I250,Iktato!$B$3:$L$10000,5,FALSE),"")</f>
        <v/>
      </c>
      <c r="C250" s="13" t="str">
        <f t="shared" si="33"/>
        <v/>
      </c>
      <c r="D250" s="14" t="str">
        <f>TRIM(IF($M$1&gt;=I250,IF(VLOOKUP(I250,Iktato!$B$3:$L$10000,8,FALSE)&lt;&gt;0,VLOOKUP(I250,Iktato!$B$3:$L$10000,8,FALSE),""),""))</f>
        <v/>
      </c>
      <c r="E250" s="14" t="str">
        <f>TRIM(IF($M$1&gt;=I250,IF(VLOOKUP(I250,Iktato!$B$3:$L$10000,9,FALSE)&lt;&gt;0,VLOOKUP(I250,Iktato!$B$3:$L$10000,9,FALSE),""),""))</f>
        <v/>
      </c>
      <c r="F250" s="43" t="str">
        <f t="shared" si="30"/>
        <v/>
      </c>
      <c r="G250" s="43"/>
      <c r="I250" s="6">
        <f t="shared" si="31"/>
        <v>240</v>
      </c>
      <c r="J250" s="6" t="str">
        <f t="shared" si="34"/>
        <v/>
      </c>
      <c r="K250" s="6" t="str">
        <f>IF($M$1&gt;=I250,VLOOKUP(I250,Iktato!$B$3:$L$10000,3,FALSE),"")</f>
        <v/>
      </c>
      <c r="M250" s="6" t="str">
        <f>IF($M$1&gt;=I250,IF(VLOOKUP(I250,Iktato!$B$3:$P$10000,15,FALSE)&lt;&gt;0,VLOOKUP(I250,Iktato!$B$3:$P$10000,15,FALSE),""),"")</f>
        <v/>
      </c>
      <c r="N250" s="6" t="str">
        <f>IF($M$1&gt;=I250,IF(VLOOKUP(I250,Iktato!$B$3:$Q$10000,16,FALSE)&lt;&gt;0,VLOOKUP(I250,Iktato!$B$3:$Q$10000,16,FALSE),""),"")</f>
        <v/>
      </c>
      <c r="P250" s="6" t="str">
        <f>TRIM(IF($M$1&gt;=I250,IF(VLOOKUP(I250,Iktato!$B$3:$L$10000,6,FALSE)&lt;&gt;0,VLOOKUP(I250,Iktato!$B$3:$L$10000,6,FALSE),""),""))</f>
        <v/>
      </c>
      <c r="Q250" s="8" t="str">
        <f>TRIM(IF($M$1&gt;=I250,IF(VLOOKUP(I250,Iktato!$B$3:$L$10000,7,FALSE)&lt;&gt;0,VLOOKUP(I250,Iktato!$B$3:$L$10000,7,FALSE),""),""))</f>
        <v/>
      </c>
      <c r="R250" s="6" t="str">
        <f t="shared" si="35"/>
        <v/>
      </c>
      <c r="S250" s="6" t="str">
        <f t="shared" si="36"/>
        <v/>
      </c>
      <c r="T250" s="6" t="str">
        <f t="shared" si="37"/>
        <v/>
      </c>
    </row>
    <row r="251" spans="1:20" ht="16.5" x14ac:dyDescent="0.25">
      <c r="A251" s="11" t="str">
        <f t="shared" si="32"/>
        <v/>
      </c>
      <c r="B251" s="12" t="str">
        <f>IF($M$1&gt;=I251,VLOOKUP(I251,Iktato!$B$3:$L$10000,5,FALSE),"")</f>
        <v/>
      </c>
      <c r="C251" s="13" t="str">
        <f t="shared" si="33"/>
        <v/>
      </c>
      <c r="D251" s="14" t="str">
        <f>TRIM(IF($M$1&gt;=I251,IF(VLOOKUP(I251,Iktato!$B$3:$L$10000,8,FALSE)&lt;&gt;0,VLOOKUP(I251,Iktato!$B$3:$L$10000,8,FALSE),""),""))</f>
        <v/>
      </c>
      <c r="E251" s="14" t="str">
        <f>TRIM(IF($M$1&gt;=I251,IF(VLOOKUP(I251,Iktato!$B$3:$L$10000,9,FALSE)&lt;&gt;0,VLOOKUP(I251,Iktato!$B$3:$L$10000,9,FALSE),""),""))</f>
        <v/>
      </c>
      <c r="F251" s="43" t="str">
        <f t="shared" si="30"/>
        <v/>
      </c>
      <c r="G251" s="43"/>
      <c r="I251" s="6">
        <f t="shared" si="31"/>
        <v>241</v>
      </c>
      <c r="J251" s="6" t="str">
        <f t="shared" si="34"/>
        <v/>
      </c>
      <c r="K251" s="6" t="str">
        <f>IF($M$1&gt;=I251,VLOOKUP(I251,Iktato!$B$3:$L$10000,3,FALSE),"")</f>
        <v/>
      </c>
      <c r="M251" s="6" t="str">
        <f>IF($M$1&gt;=I251,IF(VLOOKUP(I251,Iktato!$B$3:$P$10000,15,FALSE)&lt;&gt;0,VLOOKUP(I251,Iktato!$B$3:$P$10000,15,FALSE),""),"")</f>
        <v/>
      </c>
      <c r="N251" s="6" t="str">
        <f>IF($M$1&gt;=I251,IF(VLOOKUP(I251,Iktato!$B$3:$Q$10000,16,FALSE)&lt;&gt;0,VLOOKUP(I251,Iktato!$B$3:$Q$10000,16,FALSE),""),"")</f>
        <v/>
      </c>
      <c r="P251" s="6" t="str">
        <f>TRIM(IF($M$1&gt;=I251,IF(VLOOKUP(I251,Iktato!$B$3:$L$10000,6,FALSE)&lt;&gt;0,VLOOKUP(I251,Iktato!$B$3:$L$10000,6,FALSE),""),""))</f>
        <v/>
      </c>
      <c r="Q251" s="8" t="str">
        <f>TRIM(IF($M$1&gt;=I251,IF(VLOOKUP(I251,Iktato!$B$3:$L$10000,7,FALSE)&lt;&gt;0,VLOOKUP(I251,Iktato!$B$3:$L$10000,7,FALSE),""),""))</f>
        <v/>
      </c>
      <c r="R251" s="6" t="str">
        <f t="shared" si="35"/>
        <v/>
      </c>
      <c r="S251" s="6" t="str">
        <f t="shared" si="36"/>
        <v/>
      </c>
      <c r="T251" s="6" t="str">
        <f t="shared" si="37"/>
        <v/>
      </c>
    </row>
    <row r="252" spans="1:20" ht="16.5" x14ac:dyDescent="0.25">
      <c r="A252" s="11" t="str">
        <f t="shared" si="32"/>
        <v/>
      </c>
      <c r="B252" s="12" t="str">
        <f>IF($M$1&gt;=I252,VLOOKUP(I252,Iktato!$B$3:$L$10000,5,FALSE),"")</f>
        <v/>
      </c>
      <c r="C252" s="13" t="str">
        <f t="shared" si="33"/>
        <v/>
      </c>
      <c r="D252" s="14" t="str">
        <f>TRIM(IF($M$1&gt;=I252,IF(VLOOKUP(I252,Iktato!$B$3:$L$10000,8,FALSE)&lt;&gt;0,VLOOKUP(I252,Iktato!$B$3:$L$10000,8,FALSE),""),""))</f>
        <v/>
      </c>
      <c r="E252" s="14" t="str">
        <f>TRIM(IF($M$1&gt;=I252,IF(VLOOKUP(I252,Iktato!$B$3:$L$10000,9,FALSE)&lt;&gt;0,VLOOKUP(I252,Iktato!$B$3:$L$10000,9,FALSE),""),""))</f>
        <v/>
      </c>
      <c r="F252" s="43" t="str">
        <f t="shared" si="30"/>
        <v/>
      </c>
      <c r="G252" s="43"/>
      <c r="I252" s="6">
        <f t="shared" si="31"/>
        <v>242</v>
      </c>
      <c r="J252" s="6" t="str">
        <f t="shared" si="34"/>
        <v/>
      </c>
      <c r="K252" s="6" t="str">
        <f>IF($M$1&gt;=I252,VLOOKUP(I252,Iktato!$B$3:$L$10000,3,FALSE),"")</f>
        <v/>
      </c>
      <c r="M252" s="6" t="str">
        <f>IF($M$1&gt;=I252,IF(VLOOKUP(I252,Iktato!$B$3:$P$10000,15,FALSE)&lt;&gt;0,VLOOKUP(I252,Iktato!$B$3:$P$10000,15,FALSE),""),"")</f>
        <v/>
      </c>
      <c r="N252" s="6" t="str">
        <f>IF($M$1&gt;=I252,IF(VLOOKUP(I252,Iktato!$B$3:$Q$10000,16,FALSE)&lt;&gt;0,VLOOKUP(I252,Iktato!$B$3:$Q$10000,16,FALSE),""),"")</f>
        <v/>
      </c>
      <c r="P252" s="6" t="str">
        <f>TRIM(IF($M$1&gt;=I252,IF(VLOOKUP(I252,Iktato!$B$3:$L$10000,6,FALSE)&lt;&gt;0,VLOOKUP(I252,Iktato!$B$3:$L$10000,6,FALSE),""),""))</f>
        <v/>
      </c>
      <c r="Q252" s="8" t="str">
        <f>TRIM(IF($M$1&gt;=I252,IF(VLOOKUP(I252,Iktato!$B$3:$L$10000,7,FALSE)&lt;&gt;0,VLOOKUP(I252,Iktato!$B$3:$L$10000,7,FALSE),""),""))</f>
        <v/>
      </c>
      <c r="R252" s="6" t="str">
        <f t="shared" si="35"/>
        <v/>
      </c>
      <c r="S252" s="6" t="str">
        <f t="shared" si="36"/>
        <v/>
      </c>
      <c r="T252" s="6" t="str">
        <f t="shared" si="37"/>
        <v/>
      </c>
    </row>
    <row r="253" spans="1:20" ht="16.5" x14ac:dyDescent="0.25">
      <c r="A253" s="11" t="str">
        <f t="shared" si="32"/>
        <v/>
      </c>
      <c r="B253" s="12" t="str">
        <f>IF($M$1&gt;=I253,VLOOKUP(I253,Iktato!$B$3:$L$10000,5,FALSE),"")</f>
        <v/>
      </c>
      <c r="C253" s="13" t="str">
        <f t="shared" si="33"/>
        <v/>
      </c>
      <c r="D253" s="14" t="str">
        <f>TRIM(IF($M$1&gt;=I253,IF(VLOOKUP(I253,Iktato!$B$3:$L$10000,8,FALSE)&lt;&gt;0,VLOOKUP(I253,Iktato!$B$3:$L$10000,8,FALSE),""),""))</f>
        <v/>
      </c>
      <c r="E253" s="14" t="str">
        <f>TRIM(IF($M$1&gt;=I253,IF(VLOOKUP(I253,Iktato!$B$3:$L$10000,9,FALSE)&lt;&gt;0,VLOOKUP(I253,Iktato!$B$3:$L$10000,9,FALSE),""),""))</f>
        <v/>
      </c>
      <c r="F253" s="43" t="str">
        <f t="shared" si="30"/>
        <v/>
      </c>
      <c r="G253" s="43"/>
      <c r="I253" s="6">
        <f t="shared" si="31"/>
        <v>243</v>
      </c>
      <c r="J253" s="6" t="str">
        <f t="shared" si="34"/>
        <v/>
      </c>
      <c r="K253" s="6" t="str">
        <f>IF($M$1&gt;=I253,VLOOKUP(I253,Iktato!$B$3:$L$10000,3,FALSE),"")</f>
        <v/>
      </c>
      <c r="M253" s="6" t="str">
        <f>IF($M$1&gt;=I253,IF(VLOOKUP(I253,Iktato!$B$3:$P$10000,15,FALSE)&lt;&gt;0,VLOOKUP(I253,Iktato!$B$3:$P$10000,15,FALSE),""),"")</f>
        <v/>
      </c>
      <c r="N253" s="6" t="str">
        <f>IF($M$1&gt;=I253,IF(VLOOKUP(I253,Iktato!$B$3:$Q$10000,16,FALSE)&lt;&gt;0,VLOOKUP(I253,Iktato!$B$3:$Q$10000,16,FALSE),""),"")</f>
        <v/>
      </c>
      <c r="P253" s="6" t="str">
        <f>TRIM(IF($M$1&gt;=I253,IF(VLOOKUP(I253,Iktato!$B$3:$L$10000,6,FALSE)&lt;&gt;0,VLOOKUP(I253,Iktato!$B$3:$L$10000,6,FALSE),""),""))</f>
        <v/>
      </c>
      <c r="Q253" s="8" t="str">
        <f>TRIM(IF($M$1&gt;=I253,IF(VLOOKUP(I253,Iktato!$B$3:$L$10000,7,FALSE)&lt;&gt;0,VLOOKUP(I253,Iktato!$B$3:$L$10000,7,FALSE),""),""))</f>
        <v/>
      </c>
      <c r="R253" s="6" t="str">
        <f t="shared" si="35"/>
        <v/>
      </c>
      <c r="S253" s="6" t="str">
        <f t="shared" si="36"/>
        <v/>
      </c>
      <c r="T253" s="6" t="str">
        <f t="shared" si="37"/>
        <v/>
      </c>
    </row>
    <row r="254" spans="1:20" ht="16.5" x14ac:dyDescent="0.25">
      <c r="A254" s="11" t="str">
        <f t="shared" si="32"/>
        <v/>
      </c>
      <c r="B254" s="12" t="str">
        <f>IF($M$1&gt;=I254,VLOOKUP(I254,Iktato!$B$3:$L$10000,5,FALSE),"")</f>
        <v/>
      </c>
      <c r="C254" s="13" t="str">
        <f t="shared" si="33"/>
        <v/>
      </c>
      <c r="D254" s="14" t="str">
        <f>TRIM(IF($M$1&gt;=I254,IF(VLOOKUP(I254,Iktato!$B$3:$L$10000,8,FALSE)&lt;&gt;0,VLOOKUP(I254,Iktato!$B$3:$L$10000,8,FALSE),""),""))</f>
        <v/>
      </c>
      <c r="E254" s="14" t="str">
        <f>TRIM(IF($M$1&gt;=I254,IF(VLOOKUP(I254,Iktato!$B$3:$L$10000,9,FALSE)&lt;&gt;0,VLOOKUP(I254,Iktato!$B$3:$L$10000,9,FALSE),""),""))</f>
        <v/>
      </c>
      <c r="F254" s="43" t="str">
        <f t="shared" si="30"/>
        <v/>
      </c>
      <c r="G254" s="43"/>
      <c r="I254" s="6">
        <f t="shared" si="31"/>
        <v>244</v>
      </c>
      <c r="J254" s="6" t="str">
        <f t="shared" si="34"/>
        <v/>
      </c>
      <c r="K254" s="6" t="str">
        <f>IF($M$1&gt;=I254,VLOOKUP(I254,Iktato!$B$3:$L$10000,3,FALSE),"")</f>
        <v/>
      </c>
      <c r="M254" s="6" t="str">
        <f>IF($M$1&gt;=I254,IF(VLOOKUP(I254,Iktato!$B$3:$P$10000,15,FALSE)&lt;&gt;0,VLOOKUP(I254,Iktato!$B$3:$P$10000,15,FALSE),""),"")</f>
        <v/>
      </c>
      <c r="N254" s="6" t="str">
        <f>IF($M$1&gt;=I254,IF(VLOOKUP(I254,Iktato!$B$3:$Q$10000,16,FALSE)&lt;&gt;0,VLOOKUP(I254,Iktato!$B$3:$Q$10000,16,FALSE),""),"")</f>
        <v/>
      </c>
      <c r="P254" s="6" t="str">
        <f>TRIM(IF($M$1&gt;=I254,IF(VLOOKUP(I254,Iktato!$B$3:$L$10000,6,FALSE)&lt;&gt;0,VLOOKUP(I254,Iktato!$B$3:$L$10000,6,FALSE),""),""))</f>
        <v/>
      </c>
      <c r="Q254" s="8" t="str">
        <f>TRIM(IF($M$1&gt;=I254,IF(VLOOKUP(I254,Iktato!$B$3:$L$10000,7,FALSE)&lt;&gt;0,VLOOKUP(I254,Iktato!$B$3:$L$10000,7,FALSE),""),""))</f>
        <v/>
      </c>
      <c r="R254" s="6" t="str">
        <f t="shared" si="35"/>
        <v/>
      </c>
      <c r="S254" s="6" t="str">
        <f t="shared" si="36"/>
        <v/>
      </c>
      <c r="T254" s="6" t="str">
        <f t="shared" si="37"/>
        <v/>
      </c>
    </row>
    <row r="255" spans="1:20" ht="16.5" x14ac:dyDescent="0.25">
      <c r="A255" s="11" t="str">
        <f t="shared" si="32"/>
        <v/>
      </c>
      <c r="B255" s="12" t="str">
        <f>IF($M$1&gt;=I255,VLOOKUP(I255,Iktato!$B$3:$L$10000,5,FALSE),"")</f>
        <v/>
      </c>
      <c r="C255" s="13" t="str">
        <f t="shared" si="33"/>
        <v/>
      </c>
      <c r="D255" s="14" t="str">
        <f>TRIM(IF($M$1&gt;=I255,IF(VLOOKUP(I255,Iktato!$B$3:$L$10000,8,FALSE)&lt;&gt;0,VLOOKUP(I255,Iktato!$B$3:$L$10000,8,FALSE),""),""))</f>
        <v/>
      </c>
      <c r="E255" s="14" t="str">
        <f>TRIM(IF($M$1&gt;=I255,IF(VLOOKUP(I255,Iktato!$B$3:$L$10000,9,FALSE)&lt;&gt;0,VLOOKUP(I255,Iktato!$B$3:$L$10000,9,FALSE),""),""))</f>
        <v/>
      </c>
      <c r="F255" s="43" t="str">
        <f t="shared" si="30"/>
        <v/>
      </c>
      <c r="G255" s="43"/>
      <c r="I255" s="6">
        <f t="shared" si="31"/>
        <v>245</v>
      </c>
      <c r="J255" s="6" t="str">
        <f t="shared" si="34"/>
        <v/>
      </c>
      <c r="K255" s="6" t="str">
        <f>IF($M$1&gt;=I255,VLOOKUP(I255,Iktato!$B$3:$L$10000,3,FALSE),"")</f>
        <v/>
      </c>
      <c r="M255" s="6" t="str">
        <f>IF($M$1&gt;=I255,IF(VLOOKUP(I255,Iktato!$B$3:$P$10000,15,FALSE)&lt;&gt;0,VLOOKUP(I255,Iktato!$B$3:$P$10000,15,FALSE),""),"")</f>
        <v/>
      </c>
      <c r="N255" s="6" t="str">
        <f>IF($M$1&gt;=I255,IF(VLOOKUP(I255,Iktato!$B$3:$Q$10000,16,FALSE)&lt;&gt;0,VLOOKUP(I255,Iktato!$B$3:$Q$10000,16,FALSE),""),"")</f>
        <v/>
      </c>
      <c r="P255" s="6" t="str">
        <f>TRIM(IF($M$1&gt;=I255,IF(VLOOKUP(I255,Iktato!$B$3:$L$10000,6,FALSE)&lt;&gt;0,VLOOKUP(I255,Iktato!$B$3:$L$10000,6,FALSE),""),""))</f>
        <v/>
      </c>
      <c r="Q255" s="8" t="str">
        <f>TRIM(IF($M$1&gt;=I255,IF(VLOOKUP(I255,Iktato!$B$3:$L$10000,7,FALSE)&lt;&gt;0,VLOOKUP(I255,Iktato!$B$3:$L$10000,7,FALSE),""),""))</f>
        <v/>
      </c>
      <c r="R255" s="6" t="str">
        <f t="shared" si="35"/>
        <v/>
      </c>
      <c r="S255" s="6" t="str">
        <f t="shared" si="36"/>
        <v/>
      </c>
      <c r="T255" s="6" t="str">
        <f t="shared" si="37"/>
        <v/>
      </c>
    </row>
    <row r="256" spans="1:20" ht="16.5" x14ac:dyDescent="0.25">
      <c r="A256" s="11" t="str">
        <f t="shared" si="32"/>
        <v/>
      </c>
      <c r="B256" s="12" t="str">
        <f>IF($M$1&gt;=I256,VLOOKUP(I256,Iktato!$B$3:$L$10000,5,FALSE),"")</f>
        <v/>
      </c>
      <c r="C256" s="13" t="str">
        <f t="shared" si="33"/>
        <v/>
      </c>
      <c r="D256" s="14" t="str">
        <f>TRIM(IF($M$1&gt;=I256,IF(VLOOKUP(I256,Iktato!$B$3:$L$10000,8,FALSE)&lt;&gt;0,VLOOKUP(I256,Iktato!$B$3:$L$10000,8,FALSE),""),""))</f>
        <v/>
      </c>
      <c r="E256" s="14" t="str">
        <f>TRIM(IF($M$1&gt;=I256,IF(VLOOKUP(I256,Iktato!$B$3:$L$10000,9,FALSE)&lt;&gt;0,VLOOKUP(I256,Iktato!$B$3:$L$10000,9,FALSE),""),""))</f>
        <v/>
      </c>
      <c r="F256" s="43" t="str">
        <f t="shared" si="30"/>
        <v/>
      </c>
      <c r="G256" s="43"/>
      <c r="I256" s="6">
        <f t="shared" si="31"/>
        <v>246</v>
      </c>
      <c r="J256" s="6" t="str">
        <f t="shared" si="34"/>
        <v/>
      </c>
      <c r="K256" s="6" t="str">
        <f>IF($M$1&gt;=I256,VLOOKUP(I256,Iktato!$B$3:$L$10000,3,FALSE),"")</f>
        <v/>
      </c>
      <c r="M256" s="6" t="str">
        <f>IF($M$1&gt;=I256,IF(VLOOKUP(I256,Iktato!$B$3:$P$10000,15,FALSE)&lt;&gt;0,VLOOKUP(I256,Iktato!$B$3:$P$10000,15,FALSE),""),"")</f>
        <v/>
      </c>
      <c r="N256" s="6" t="str">
        <f>IF($M$1&gt;=I256,IF(VLOOKUP(I256,Iktato!$B$3:$Q$10000,16,FALSE)&lt;&gt;0,VLOOKUP(I256,Iktato!$B$3:$Q$10000,16,FALSE),""),"")</f>
        <v/>
      </c>
      <c r="P256" s="6" t="str">
        <f>TRIM(IF($M$1&gt;=I256,IF(VLOOKUP(I256,Iktato!$B$3:$L$10000,6,FALSE)&lt;&gt;0,VLOOKUP(I256,Iktato!$B$3:$L$10000,6,FALSE),""),""))</f>
        <v/>
      </c>
      <c r="Q256" s="8" t="str">
        <f>TRIM(IF($M$1&gt;=I256,IF(VLOOKUP(I256,Iktato!$B$3:$L$10000,7,FALSE)&lt;&gt;0,VLOOKUP(I256,Iktato!$B$3:$L$10000,7,FALSE),""),""))</f>
        <v/>
      </c>
      <c r="R256" s="6" t="str">
        <f t="shared" si="35"/>
        <v/>
      </c>
      <c r="S256" s="6" t="str">
        <f t="shared" si="36"/>
        <v/>
      </c>
      <c r="T256" s="6" t="str">
        <f t="shared" si="37"/>
        <v/>
      </c>
    </row>
    <row r="257" spans="1:20" ht="16.5" x14ac:dyDescent="0.25">
      <c r="A257" s="11" t="str">
        <f t="shared" si="32"/>
        <v/>
      </c>
      <c r="B257" s="12" t="str">
        <f>IF($M$1&gt;=I257,VLOOKUP(I257,Iktato!$B$3:$L$10000,5,FALSE),"")</f>
        <v/>
      </c>
      <c r="C257" s="13" t="str">
        <f t="shared" si="33"/>
        <v/>
      </c>
      <c r="D257" s="14" t="str">
        <f>TRIM(IF($M$1&gt;=I257,IF(VLOOKUP(I257,Iktato!$B$3:$L$10000,8,FALSE)&lt;&gt;0,VLOOKUP(I257,Iktato!$B$3:$L$10000,8,FALSE),""),""))</f>
        <v/>
      </c>
      <c r="E257" s="14" t="str">
        <f>TRIM(IF($M$1&gt;=I257,IF(VLOOKUP(I257,Iktato!$B$3:$L$10000,9,FALSE)&lt;&gt;0,VLOOKUP(I257,Iktato!$B$3:$L$10000,9,FALSE),""),""))</f>
        <v/>
      </c>
      <c r="F257" s="43" t="str">
        <f t="shared" si="30"/>
        <v/>
      </c>
      <c r="G257" s="43"/>
      <c r="I257" s="6">
        <f t="shared" si="31"/>
        <v>247</v>
      </c>
      <c r="J257" s="6" t="str">
        <f t="shared" si="34"/>
        <v/>
      </c>
      <c r="K257" s="6" t="str">
        <f>IF($M$1&gt;=I257,VLOOKUP(I257,Iktato!$B$3:$L$10000,3,FALSE),"")</f>
        <v/>
      </c>
      <c r="M257" s="6" t="str">
        <f>IF($M$1&gt;=I257,IF(VLOOKUP(I257,Iktato!$B$3:$P$10000,15,FALSE)&lt;&gt;0,VLOOKUP(I257,Iktato!$B$3:$P$10000,15,FALSE),""),"")</f>
        <v/>
      </c>
      <c r="N257" s="6" t="str">
        <f>IF($M$1&gt;=I257,IF(VLOOKUP(I257,Iktato!$B$3:$Q$10000,16,FALSE)&lt;&gt;0,VLOOKUP(I257,Iktato!$B$3:$Q$10000,16,FALSE),""),"")</f>
        <v/>
      </c>
      <c r="P257" s="6" t="str">
        <f>TRIM(IF($M$1&gt;=I257,IF(VLOOKUP(I257,Iktato!$B$3:$L$10000,6,FALSE)&lt;&gt;0,VLOOKUP(I257,Iktato!$B$3:$L$10000,6,FALSE),""),""))</f>
        <v/>
      </c>
      <c r="Q257" s="8" t="str">
        <f>TRIM(IF($M$1&gt;=I257,IF(VLOOKUP(I257,Iktato!$B$3:$L$10000,7,FALSE)&lt;&gt;0,VLOOKUP(I257,Iktato!$B$3:$L$10000,7,FALSE),""),""))</f>
        <v/>
      </c>
      <c r="R257" s="6" t="str">
        <f t="shared" si="35"/>
        <v/>
      </c>
      <c r="S257" s="6" t="str">
        <f t="shared" si="36"/>
        <v/>
      </c>
      <c r="T257" s="6" t="str">
        <f t="shared" si="37"/>
        <v/>
      </c>
    </row>
    <row r="258" spans="1:20" ht="16.5" x14ac:dyDescent="0.25">
      <c r="A258" s="11" t="str">
        <f t="shared" si="32"/>
        <v/>
      </c>
      <c r="B258" s="12" t="str">
        <f>IF($M$1&gt;=I258,VLOOKUP(I258,Iktato!$B$3:$L$10000,5,FALSE),"")</f>
        <v/>
      </c>
      <c r="C258" s="13" t="str">
        <f t="shared" si="33"/>
        <v/>
      </c>
      <c r="D258" s="14" t="str">
        <f>TRIM(IF($M$1&gt;=I258,IF(VLOOKUP(I258,Iktato!$B$3:$L$10000,8,FALSE)&lt;&gt;0,VLOOKUP(I258,Iktato!$B$3:$L$10000,8,FALSE),""),""))</f>
        <v/>
      </c>
      <c r="E258" s="14" t="str">
        <f>TRIM(IF($M$1&gt;=I258,IF(VLOOKUP(I258,Iktato!$B$3:$L$10000,9,FALSE)&lt;&gt;0,VLOOKUP(I258,Iktato!$B$3:$L$10000,9,FALSE),""),""))</f>
        <v/>
      </c>
      <c r="F258" s="43" t="str">
        <f t="shared" si="30"/>
        <v/>
      </c>
      <c r="G258" s="43"/>
      <c r="I258" s="6">
        <f t="shared" si="31"/>
        <v>248</v>
      </c>
      <c r="J258" s="6" t="str">
        <f t="shared" si="34"/>
        <v/>
      </c>
      <c r="K258" s="6" t="str">
        <f>IF($M$1&gt;=I258,VLOOKUP(I258,Iktato!$B$3:$L$10000,3,FALSE),"")</f>
        <v/>
      </c>
      <c r="M258" s="6" t="str">
        <f>IF($M$1&gt;=I258,IF(VLOOKUP(I258,Iktato!$B$3:$P$10000,15,FALSE)&lt;&gt;0,VLOOKUP(I258,Iktato!$B$3:$P$10000,15,FALSE),""),"")</f>
        <v/>
      </c>
      <c r="N258" s="6" t="str">
        <f>IF($M$1&gt;=I258,IF(VLOOKUP(I258,Iktato!$B$3:$Q$10000,16,FALSE)&lt;&gt;0,VLOOKUP(I258,Iktato!$B$3:$Q$10000,16,FALSE),""),"")</f>
        <v/>
      </c>
      <c r="P258" s="6" t="str">
        <f>TRIM(IF($M$1&gt;=I258,IF(VLOOKUP(I258,Iktato!$B$3:$L$10000,6,FALSE)&lt;&gt;0,VLOOKUP(I258,Iktato!$B$3:$L$10000,6,FALSE),""),""))</f>
        <v/>
      </c>
      <c r="Q258" s="8" t="str">
        <f>TRIM(IF($M$1&gt;=I258,IF(VLOOKUP(I258,Iktato!$B$3:$L$10000,7,FALSE)&lt;&gt;0,VLOOKUP(I258,Iktato!$B$3:$L$10000,7,FALSE),""),""))</f>
        <v/>
      </c>
      <c r="R258" s="6" t="str">
        <f t="shared" si="35"/>
        <v/>
      </c>
      <c r="S258" s="6" t="str">
        <f t="shared" si="36"/>
        <v/>
      </c>
      <c r="T258" s="6" t="str">
        <f t="shared" si="37"/>
        <v/>
      </c>
    </row>
    <row r="259" spans="1:20" ht="16.5" x14ac:dyDescent="0.25">
      <c r="A259" s="11" t="str">
        <f t="shared" si="32"/>
        <v/>
      </c>
      <c r="B259" s="12" t="str">
        <f>IF($M$1&gt;=I259,VLOOKUP(I259,Iktato!$B$3:$L$10000,5,FALSE),"")</f>
        <v/>
      </c>
      <c r="C259" s="13" t="str">
        <f t="shared" si="33"/>
        <v/>
      </c>
      <c r="D259" s="14" t="str">
        <f>TRIM(IF($M$1&gt;=I259,IF(VLOOKUP(I259,Iktato!$B$3:$L$10000,8,FALSE)&lt;&gt;0,VLOOKUP(I259,Iktato!$B$3:$L$10000,8,FALSE),""),""))</f>
        <v/>
      </c>
      <c r="E259" s="14" t="str">
        <f>TRIM(IF($M$1&gt;=I259,IF(VLOOKUP(I259,Iktato!$B$3:$L$10000,9,FALSE)&lt;&gt;0,VLOOKUP(I259,Iktato!$B$3:$L$10000,9,FALSE),""),""))</f>
        <v/>
      </c>
      <c r="F259" s="43" t="str">
        <f t="shared" si="30"/>
        <v/>
      </c>
      <c r="G259" s="43"/>
      <c r="I259" s="6">
        <f t="shared" si="31"/>
        <v>249</v>
      </c>
      <c r="J259" s="6" t="str">
        <f t="shared" si="34"/>
        <v/>
      </c>
      <c r="K259" s="6" t="str">
        <f>IF($M$1&gt;=I259,VLOOKUP(I259,Iktato!$B$3:$L$10000,3,FALSE),"")</f>
        <v/>
      </c>
      <c r="M259" s="6" t="str">
        <f>IF($M$1&gt;=I259,IF(VLOOKUP(I259,Iktato!$B$3:$P$10000,15,FALSE)&lt;&gt;0,VLOOKUP(I259,Iktato!$B$3:$P$10000,15,FALSE),""),"")</f>
        <v/>
      </c>
      <c r="N259" s="6" t="str">
        <f>IF($M$1&gt;=I259,IF(VLOOKUP(I259,Iktato!$B$3:$Q$10000,16,FALSE)&lt;&gt;0,VLOOKUP(I259,Iktato!$B$3:$Q$10000,16,FALSE),""),"")</f>
        <v/>
      </c>
      <c r="P259" s="6" t="str">
        <f>TRIM(IF($M$1&gt;=I259,IF(VLOOKUP(I259,Iktato!$B$3:$L$10000,6,FALSE)&lt;&gt;0,VLOOKUP(I259,Iktato!$B$3:$L$10000,6,FALSE),""),""))</f>
        <v/>
      </c>
      <c r="Q259" s="8" t="str">
        <f>TRIM(IF($M$1&gt;=I259,IF(VLOOKUP(I259,Iktato!$B$3:$L$10000,7,FALSE)&lt;&gt;0,VLOOKUP(I259,Iktato!$B$3:$L$10000,7,FALSE),""),""))</f>
        <v/>
      </c>
      <c r="R259" s="6" t="str">
        <f t="shared" si="35"/>
        <v/>
      </c>
      <c r="S259" s="6" t="str">
        <f t="shared" si="36"/>
        <v/>
      </c>
      <c r="T259" s="6" t="str">
        <f t="shared" si="37"/>
        <v/>
      </c>
    </row>
    <row r="260" spans="1:20" ht="16.5" x14ac:dyDescent="0.25">
      <c r="A260" s="11" t="str">
        <f t="shared" si="32"/>
        <v/>
      </c>
      <c r="B260" s="12" t="str">
        <f>IF($M$1&gt;=I260,VLOOKUP(I260,Iktato!$B$3:$L$10000,5,FALSE),"")</f>
        <v/>
      </c>
      <c r="C260" s="13" t="str">
        <f t="shared" si="33"/>
        <v/>
      </c>
      <c r="D260" s="14" t="str">
        <f>TRIM(IF($M$1&gt;=I260,IF(VLOOKUP(I260,Iktato!$B$3:$L$10000,8,FALSE)&lt;&gt;0,VLOOKUP(I260,Iktato!$B$3:$L$10000,8,FALSE),""),""))</f>
        <v/>
      </c>
      <c r="E260" s="14" t="str">
        <f>TRIM(IF($M$1&gt;=I260,IF(VLOOKUP(I260,Iktato!$B$3:$L$10000,9,FALSE)&lt;&gt;0,VLOOKUP(I260,Iktato!$B$3:$L$10000,9,FALSE),""),""))</f>
        <v/>
      </c>
      <c r="F260" s="43" t="str">
        <f t="shared" si="30"/>
        <v/>
      </c>
      <c r="G260" s="43"/>
      <c r="I260" s="6">
        <f t="shared" si="31"/>
        <v>250</v>
      </c>
      <c r="J260" s="6" t="str">
        <f t="shared" si="34"/>
        <v/>
      </c>
      <c r="K260" s="6" t="str">
        <f>IF($M$1&gt;=I260,VLOOKUP(I260,Iktato!$B$3:$L$10000,3,FALSE),"")</f>
        <v/>
      </c>
      <c r="M260" s="6" t="str">
        <f>IF($M$1&gt;=I260,IF(VLOOKUP(I260,Iktato!$B$3:$P$10000,15,FALSE)&lt;&gt;0,VLOOKUP(I260,Iktato!$B$3:$P$10000,15,FALSE),""),"")</f>
        <v/>
      </c>
      <c r="N260" s="6" t="str">
        <f>IF($M$1&gt;=I260,IF(VLOOKUP(I260,Iktato!$B$3:$Q$10000,16,FALSE)&lt;&gt;0,VLOOKUP(I260,Iktato!$B$3:$Q$10000,16,FALSE),""),"")</f>
        <v/>
      </c>
      <c r="P260" s="6" t="str">
        <f>TRIM(IF($M$1&gt;=I260,IF(VLOOKUP(I260,Iktato!$B$3:$L$10000,6,FALSE)&lt;&gt;0,VLOOKUP(I260,Iktato!$B$3:$L$10000,6,FALSE),""),""))</f>
        <v/>
      </c>
      <c r="Q260" s="8" t="str">
        <f>TRIM(IF($M$1&gt;=I260,IF(VLOOKUP(I260,Iktato!$B$3:$L$10000,7,FALSE)&lt;&gt;0,VLOOKUP(I260,Iktato!$B$3:$L$10000,7,FALSE),""),""))</f>
        <v/>
      </c>
      <c r="R260" s="6" t="str">
        <f t="shared" si="35"/>
        <v/>
      </c>
      <c r="S260" s="6" t="str">
        <f t="shared" si="36"/>
        <v/>
      </c>
      <c r="T260" s="6" t="str">
        <f t="shared" si="37"/>
        <v/>
      </c>
    </row>
    <row r="261" spans="1:20" ht="16.5" x14ac:dyDescent="0.25">
      <c r="A261" s="11" t="str">
        <f t="shared" si="32"/>
        <v/>
      </c>
      <c r="B261" s="12" t="str">
        <f>IF($M$1&gt;=I261,VLOOKUP(I261,Iktato!$B$3:$L$10000,5,FALSE),"")</f>
        <v/>
      </c>
      <c r="C261" s="13" t="str">
        <f t="shared" si="33"/>
        <v/>
      </c>
      <c r="D261" s="14" t="str">
        <f>TRIM(IF($M$1&gt;=I261,IF(VLOOKUP(I261,Iktato!$B$3:$L$10000,8,FALSE)&lt;&gt;0,VLOOKUP(I261,Iktato!$B$3:$L$10000,8,FALSE),""),""))</f>
        <v/>
      </c>
      <c r="E261" s="14" t="str">
        <f>TRIM(IF($M$1&gt;=I261,IF(VLOOKUP(I261,Iktato!$B$3:$L$10000,9,FALSE)&lt;&gt;0,VLOOKUP(I261,Iktato!$B$3:$L$10000,9,FALSE),""),""))</f>
        <v/>
      </c>
      <c r="F261" s="43" t="str">
        <f t="shared" si="30"/>
        <v/>
      </c>
      <c r="G261" s="43"/>
      <c r="I261" s="6">
        <f t="shared" si="31"/>
        <v>251</v>
      </c>
      <c r="J261" s="6" t="str">
        <f t="shared" si="34"/>
        <v/>
      </c>
      <c r="K261" s="6" t="str">
        <f>IF($M$1&gt;=I261,VLOOKUP(I261,Iktato!$B$3:$L$10000,3,FALSE),"")</f>
        <v/>
      </c>
      <c r="M261" s="6" t="str">
        <f>IF($M$1&gt;=I261,IF(VLOOKUP(I261,Iktato!$B$3:$P$10000,15,FALSE)&lt;&gt;0,VLOOKUP(I261,Iktato!$B$3:$P$10000,15,FALSE),""),"")</f>
        <v/>
      </c>
      <c r="N261" s="6" t="str">
        <f>IF($M$1&gt;=I261,IF(VLOOKUP(I261,Iktato!$B$3:$Q$10000,16,FALSE)&lt;&gt;0,VLOOKUP(I261,Iktato!$B$3:$Q$10000,16,FALSE),""),"")</f>
        <v/>
      </c>
      <c r="P261" s="6" t="str">
        <f>TRIM(IF($M$1&gt;=I261,IF(VLOOKUP(I261,Iktato!$B$3:$L$10000,6,FALSE)&lt;&gt;0,VLOOKUP(I261,Iktato!$B$3:$L$10000,6,FALSE),""),""))</f>
        <v/>
      </c>
      <c r="Q261" s="8" t="str">
        <f>TRIM(IF($M$1&gt;=I261,IF(VLOOKUP(I261,Iktato!$B$3:$L$10000,7,FALSE)&lt;&gt;0,VLOOKUP(I261,Iktato!$B$3:$L$10000,7,FALSE),""),""))</f>
        <v/>
      </c>
      <c r="R261" s="6" t="str">
        <f t="shared" si="35"/>
        <v/>
      </c>
      <c r="S261" s="6" t="str">
        <f t="shared" si="36"/>
        <v/>
      </c>
      <c r="T261" s="6" t="str">
        <f t="shared" si="37"/>
        <v/>
      </c>
    </row>
    <row r="262" spans="1:20" ht="16.5" x14ac:dyDescent="0.25">
      <c r="A262" s="11" t="str">
        <f t="shared" si="32"/>
        <v/>
      </c>
      <c r="B262" s="12" t="str">
        <f>IF($M$1&gt;=I262,VLOOKUP(I262,Iktato!$B$3:$L$10000,5,FALSE),"")</f>
        <v/>
      </c>
      <c r="C262" s="13" t="str">
        <f t="shared" si="33"/>
        <v/>
      </c>
      <c r="D262" s="14" t="str">
        <f>TRIM(IF($M$1&gt;=I262,IF(VLOOKUP(I262,Iktato!$B$3:$L$10000,8,FALSE)&lt;&gt;0,VLOOKUP(I262,Iktato!$B$3:$L$10000,8,FALSE),""),""))</f>
        <v/>
      </c>
      <c r="E262" s="14" t="str">
        <f>TRIM(IF($M$1&gt;=I262,IF(VLOOKUP(I262,Iktato!$B$3:$L$10000,9,FALSE)&lt;&gt;0,VLOOKUP(I262,Iktato!$B$3:$L$10000,9,FALSE),""),""))</f>
        <v/>
      </c>
      <c r="F262" s="43" t="str">
        <f t="shared" si="30"/>
        <v/>
      </c>
      <c r="G262" s="43"/>
      <c r="I262" s="6">
        <f t="shared" si="31"/>
        <v>252</v>
      </c>
      <c r="J262" s="6" t="str">
        <f t="shared" si="34"/>
        <v/>
      </c>
      <c r="K262" s="6" t="str">
        <f>IF($M$1&gt;=I262,VLOOKUP(I262,Iktato!$B$3:$L$10000,3,FALSE),"")</f>
        <v/>
      </c>
      <c r="M262" s="6" t="str">
        <f>IF($M$1&gt;=I262,IF(VLOOKUP(I262,Iktato!$B$3:$P$10000,15,FALSE)&lt;&gt;0,VLOOKUP(I262,Iktato!$B$3:$P$10000,15,FALSE),""),"")</f>
        <v/>
      </c>
      <c r="N262" s="6" t="str">
        <f>IF($M$1&gt;=I262,IF(VLOOKUP(I262,Iktato!$B$3:$Q$10000,16,FALSE)&lt;&gt;0,VLOOKUP(I262,Iktato!$B$3:$Q$10000,16,FALSE),""),"")</f>
        <v/>
      </c>
      <c r="P262" s="6" t="str">
        <f>TRIM(IF($M$1&gt;=I262,IF(VLOOKUP(I262,Iktato!$B$3:$L$10000,6,FALSE)&lt;&gt;0,VLOOKUP(I262,Iktato!$B$3:$L$10000,6,FALSE),""),""))</f>
        <v/>
      </c>
      <c r="Q262" s="8" t="str">
        <f>TRIM(IF($M$1&gt;=I262,IF(VLOOKUP(I262,Iktato!$B$3:$L$10000,7,FALSE)&lt;&gt;0,VLOOKUP(I262,Iktato!$B$3:$L$10000,7,FALSE),""),""))</f>
        <v/>
      </c>
      <c r="R262" s="6" t="str">
        <f t="shared" si="35"/>
        <v/>
      </c>
      <c r="S262" s="6" t="str">
        <f t="shared" si="36"/>
        <v/>
      </c>
      <c r="T262" s="6" t="str">
        <f t="shared" si="37"/>
        <v/>
      </c>
    </row>
    <row r="263" spans="1:20" ht="16.5" x14ac:dyDescent="0.25">
      <c r="A263" s="11" t="str">
        <f t="shared" si="32"/>
        <v/>
      </c>
      <c r="B263" s="12" t="str">
        <f>IF($M$1&gt;=I263,VLOOKUP(I263,Iktato!$B$3:$L$10000,5,FALSE),"")</f>
        <v/>
      </c>
      <c r="C263" s="13" t="str">
        <f t="shared" si="33"/>
        <v/>
      </c>
      <c r="D263" s="14" t="str">
        <f>TRIM(IF($M$1&gt;=I263,IF(VLOOKUP(I263,Iktato!$B$3:$L$10000,8,FALSE)&lt;&gt;0,VLOOKUP(I263,Iktato!$B$3:$L$10000,8,FALSE),""),""))</f>
        <v/>
      </c>
      <c r="E263" s="14" t="str">
        <f>TRIM(IF($M$1&gt;=I263,IF(VLOOKUP(I263,Iktato!$B$3:$L$10000,9,FALSE)&lt;&gt;0,VLOOKUP(I263,Iktato!$B$3:$L$10000,9,FALSE),""),""))</f>
        <v/>
      </c>
      <c r="F263" s="43" t="str">
        <f t="shared" si="30"/>
        <v/>
      </c>
      <c r="G263" s="43"/>
      <c r="I263" s="6">
        <f t="shared" si="31"/>
        <v>253</v>
      </c>
      <c r="J263" s="6" t="str">
        <f t="shared" si="34"/>
        <v/>
      </c>
      <c r="K263" s="6" t="str">
        <f>IF($M$1&gt;=I263,VLOOKUP(I263,Iktato!$B$3:$L$10000,3,FALSE),"")</f>
        <v/>
      </c>
      <c r="M263" s="6" t="str">
        <f>IF($M$1&gt;=I263,IF(VLOOKUP(I263,Iktato!$B$3:$P$10000,15,FALSE)&lt;&gt;0,VLOOKUP(I263,Iktato!$B$3:$P$10000,15,FALSE),""),"")</f>
        <v/>
      </c>
      <c r="N263" s="6" t="str">
        <f>IF($M$1&gt;=I263,IF(VLOOKUP(I263,Iktato!$B$3:$Q$10000,16,FALSE)&lt;&gt;0,VLOOKUP(I263,Iktato!$B$3:$Q$10000,16,FALSE),""),"")</f>
        <v/>
      </c>
      <c r="P263" s="6" t="str">
        <f>TRIM(IF($M$1&gt;=I263,IF(VLOOKUP(I263,Iktato!$B$3:$L$10000,6,FALSE)&lt;&gt;0,VLOOKUP(I263,Iktato!$B$3:$L$10000,6,FALSE),""),""))</f>
        <v/>
      </c>
      <c r="Q263" s="8" t="str">
        <f>TRIM(IF($M$1&gt;=I263,IF(VLOOKUP(I263,Iktato!$B$3:$L$10000,7,FALSE)&lt;&gt;0,VLOOKUP(I263,Iktato!$B$3:$L$10000,7,FALSE),""),""))</f>
        <v/>
      </c>
      <c r="R263" s="6" t="str">
        <f t="shared" si="35"/>
        <v/>
      </c>
      <c r="S263" s="6" t="str">
        <f t="shared" si="36"/>
        <v/>
      </c>
      <c r="T263" s="6" t="str">
        <f t="shared" si="37"/>
        <v/>
      </c>
    </row>
    <row r="264" spans="1:20" ht="16.5" x14ac:dyDescent="0.25">
      <c r="A264" s="11" t="str">
        <f t="shared" si="32"/>
        <v/>
      </c>
      <c r="B264" s="12" t="str">
        <f>IF($M$1&gt;=I264,VLOOKUP(I264,Iktato!$B$3:$L$10000,5,FALSE),"")</f>
        <v/>
      </c>
      <c r="C264" s="13" t="str">
        <f t="shared" si="33"/>
        <v/>
      </c>
      <c r="D264" s="14" t="str">
        <f>TRIM(IF($M$1&gt;=I264,IF(VLOOKUP(I264,Iktato!$B$3:$L$10000,8,FALSE)&lt;&gt;0,VLOOKUP(I264,Iktato!$B$3:$L$10000,8,FALSE),""),""))</f>
        <v/>
      </c>
      <c r="E264" s="14" t="str">
        <f>TRIM(IF($M$1&gt;=I264,IF(VLOOKUP(I264,Iktato!$B$3:$L$10000,9,FALSE)&lt;&gt;0,VLOOKUP(I264,Iktato!$B$3:$L$10000,9,FALSE),""),""))</f>
        <v/>
      </c>
      <c r="F264" s="43" t="str">
        <f t="shared" si="30"/>
        <v/>
      </c>
      <c r="G264" s="43"/>
      <c r="I264" s="6">
        <f t="shared" si="31"/>
        <v>254</v>
      </c>
      <c r="J264" s="6" t="str">
        <f t="shared" si="34"/>
        <v/>
      </c>
      <c r="K264" s="6" t="str">
        <f>IF($M$1&gt;=I264,VLOOKUP(I264,Iktato!$B$3:$L$10000,3,FALSE),"")</f>
        <v/>
      </c>
      <c r="M264" s="6" t="str">
        <f>IF($M$1&gt;=I264,IF(VLOOKUP(I264,Iktato!$B$3:$P$10000,15,FALSE)&lt;&gt;0,VLOOKUP(I264,Iktato!$B$3:$P$10000,15,FALSE),""),"")</f>
        <v/>
      </c>
      <c r="N264" s="6" t="str">
        <f>IF($M$1&gt;=I264,IF(VLOOKUP(I264,Iktato!$B$3:$Q$10000,16,FALSE)&lt;&gt;0,VLOOKUP(I264,Iktato!$B$3:$Q$10000,16,FALSE),""),"")</f>
        <v/>
      </c>
      <c r="P264" s="6" t="str">
        <f>TRIM(IF($M$1&gt;=I264,IF(VLOOKUP(I264,Iktato!$B$3:$L$10000,6,FALSE)&lt;&gt;0,VLOOKUP(I264,Iktato!$B$3:$L$10000,6,FALSE),""),""))</f>
        <v/>
      </c>
      <c r="Q264" s="8" t="str">
        <f>TRIM(IF($M$1&gt;=I264,IF(VLOOKUP(I264,Iktato!$B$3:$L$10000,7,FALSE)&lt;&gt;0,VLOOKUP(I264,Iktato!$B$3:$L$10000,7,FALSE),""),""))</f>
        <v/>
      </c>
      <c r="R264" s="6" t="str">
        <f t="shared" si="35"/>
        <v/>
      </c>
      <c r="S264" s="6" t="str">
        <f t="shared" si="36"/>
        <v/>
      </c>
      <c r="T264" s="6" t="str">
        <f t="shared" si="37"/>
        <v/>
      </c>
    </row>
    <row r="265" spans="1:20" ht="16.5" x14ac:dyDescent="0.25">
      <c r="A265" s="11" t="str">
        <f t="shared" si="32"/>
        <v/>
      </c>
      <c r="B265" s="12" t="str">
        <f>IF($M$1&gt;=I265,VLOOKUP(I265,Iktato!$B$3:$L$10000,5,FALSE),"")</f>
        <v/>
      </c>
      <c r="C265" s="13" t="str">
        <f t="shared" si="33"/>
        <v/>
      </c>
      <c r="D265" s="14" t="str">
        <f>TRIM(IF($M$1&gt;=I265,IF(VLOOKUP(I265,Iktato!$B$3:$L$10000,8,FALSE)&lt;&gt;0,VLOOKUP(I265,Iktato!$B$3:$L$10000,8,FALSE),""),""))</f>
        <v/>
      </c>
      <c r="E265" s="14" t="str">
        <f>TRIM(IF($M$1&gt;=I265,IF(VLOOKUP(I265,Iktato!$B$3:$L$10000,9,FALSE)&lt;&gt;0,VLOOKUP(I265,Iktato!$B$3:$L$10000,9,FALSE),""),""))</f>
        <v/>
      </c>
      <c r="F265" s="43" t="str">
        <f t="shared" si="30"/>
        <v/>
      </c>
      <c r="G265" s="43"/>
      <c r="I265" s="6">
        <f t="shared" si="31"/>
        <v>255</v>
      </c>
      <c r="J265" s="6" t="str">
        <f t="shared" si="34"/>
        <v/>
      </c>
      <c r="K265" s="6" t="str">
        <f>IF($M$1&gt;=I265,VLOOKUP(I265,Iktato!$B$3:$L$10000,3,FALSE),"")</f>
        <v/>
      </c>
      <c r="M265" s="6" t="str">
        <f>IF($M$1&gt;=I265,IF(VLOOKUP(I265,Iktato!$B$3:$P$10000,15,FALSE)&lt;&gt;0,VLOOKUP(I265,Iktato!$B$3:$P$10000,15,FALSE),""),"")</f>
        <v/>
      </c>
      <c r="N265" s="6" t="str">
        <f>IF($M$1&gt;=I265,IF(VLOOKUP(I265,Iktato!$B$3:$Q$10000,16,FALSE)&lt;&gt;0,VLOOKUP(I265,Iktato!$B$3:$Q$10000,16,FALSE),""),"")</f>
        <v/>
      </c>
      <c r="P265" s="6" t="str">
        <f>TRIM(IF($M$1&gt;=I265,IF(VLOOKUP(I265,Iktato!$B$3:$L$10000,6,FALSE)&lt;&gt;0,VLOOKUP(I265,Iktato!$B$3:$L$10000,6,FALSE),""),""))</f>
        <v/>
      </c>
      <c r="Q265" s="8" t="str">
        <f>TRIM(IF($M$1&gt;=I265,IF(VLOOKUP(I265,Iktato!$B$3:$L$10000,7,FALSE)&lt;&gt;0,VLOOKUP(I265,Iktato!$B$3:$L$10000,7,FALSE),""),""))</f>
        <v/>
      </c>
      <c r="R265" s="6" t="str">
        <f t="shared" si="35"/>
        <v/>
      </c>
      <c r="S265" s="6" t="str">
        <f t="shared" si="36"/>
        <v/>
      </c>
      <c r="T265" s="6" t="str">
        <f t="shared" si="37"/>
        <v/>
      </c>
    </row>
    <row r="266" spans="1:20" ht="16.5" x14ac:dyDescent="0.25">
      <c r="A266" s="11" t="str">
        <f t="shared" si="32"/>
        <v/>
      </c>
      <c r="B266" s="12" t="str">
        <f>IF($M$1&gt;=I266,VLOOKUP(I266,Iktato!$B$3:$L$10000,5,FALSE),"")</f>
        <v/>
      </c>
      <c r="C266" s="13" t="str">
        <f t="shared" si="33"/>
        <v/>
      </c>
      <c r="D266" s="14" t="str">
        <f>TRIM(IF($M$1&gt;=I266,IF(VLOOKUP(I266,Iktato!$B$3:$L$10000,8,FALSE)&lt;&gt;0,VLOOKUP(I266,Iktato!$B$3:$L$10000,8,FALSE),""),""))</f>
        <v/>
      </c>
      <c r="E266" s="14" t="str">
        <f>TRIM(IF($M$1&gt;=I266,IF(VLOOKUP(I266,Iktato!$B$3:$L$10000,9,FALSE)&lt;&gt;0,VLOOKUP(I266,Iktato!$B$3:$L$10000,9,FALSE),""),""))</f>
        <v/>
      </c>
      <c r="F266" s="43" t="str">
        <f t="shared" si="30"/>
        <v/>
      </c>
      <c r="G266" s="43"/>
      <c r="I266" s="6">
        <f t="shared" si="31"/>
        <v>256</v>
      </c>
      <c r="J266" s="6" t="str">
        <f t="shared" si="34"/>
        <v/>
      </c>
      <c r="K266" s="6" t="str">
        <f>IF($M$1&gt;=I266,VLOOKUP(I266,Iktato!$B$3:$L$10000,3,FALSE),"")</f>
        <v/>
      </c>
      <c r="M266" s="6" t="str">
        <f>IF($M$1&gt;=I266,IF(VLOOKUP(I266,Iktato!$B$3:$P$10000,15,FALSE)&lt;&gt;0,VLOOKUP(I266,Iktato!$B$3:$P$10000,15,FALSE),""),"")</f>
        <v/>
      </c>
      <c r="N266" s="6" t="str">
        <f>IF($M$1&gt;=I266,IF(VLOOKUP(I266,Iktato!$B$3:$Q$10000,16,FALSE)&lt;&gt;0,VLOOKUP(I266,Iktato!$B$3:$Q$10000,16,FALSE),""),"")</f>
        <v/>
      </c>
      <c r="P266" s="6" t="str">
        <f>TRIM(IF($M$1&gt;=I266,IF(VLOOKUP(I266,Iktato!$B$3:$L$10000,6,FALSE)&lt;&gt;0,VLOOKUP(I266,Iktato!$B$3:$L$10000,6,FALSE),""),""))</f>
        <v/>
      </c>
      <c r="Q266" s="8" t="str">
        <f>TRIM(IF($M$1&gt;=I266,IF(VLOOKUP(I266,Iktato!$B$3:$L$10000,7,FALSE)&lt;&gt;0,VLOOKUP(I266,Iktato!$B$3:$L$10000,7,FALSE),""),""))</f>
        <v/>
      </c>
      <c r="R266" s="6" t="str">
        <f t="shared" si="35"/>
        <v/>
      </c>
      <c r="S266" s="6" t="str">
        <f t="shared" si="36"/>
        <v/>
      </c>
      <c r="T266" s="6" t="str">
        <f t="shared" si="37"/>
        <v/>
      </c>
    </row>
    <row r="267" spans="1:20" ht="16.5" x14ac:dyDescent="0.25">
      <c r="A267" s="11" t="str">
        <f t="shared" si="32"/>
        <v/>
      </c>
      <c r="B267" s="12" t="str">
        <f>IF($M$1&gt;=I267,VLOOKUP(I267,Iktato!$B$3:$L$10000,5,FALSE),"")</f>
        <v/>
      </c>
      <c r="C267" s="13" t="str">
        <f t="shared" si="33"/>
        <v/>
      </c>
      <c r="D267" s="14" t="str">
        <f>TRIM(IF($M$1&gt;=I267,IF(VLOOKUP(I267,Iktato!$B$3:$L$10000,8,FALSE)&lt;&gt;0,VLOOKUP(I267,Iktato!$B$3:$L$10000,8,FALSE),""),""))</f>
        <v/>
      </c>
      <c r="E267" s="14" t="str">
        <f>TRIM(IF($M$1&gt;=I267,IF(VLOOKUP(I267,Iktato!$B$3:$L$10000,9,FALSE)&lt;&gt;0,VLOOKUP(I267,Iktato!$B$3:$L$10000,9,FALSE),""),""))</f>
        <v/>
      </c>
      <c r="F267" s="43" t="str">
        <f t="shared" si="30"/>
        <v/>
      </c>
      <c r="G267" s="43"/>
      <c r="I267" s="6">
        <f t="shared" si="31"/>
        <v>257</v>
      </c>
      <c r="J267" s="6" t="str">
        <f t="shared" si="34"/>
        <v/>
      </c>
      <c r="K267" s="6" t="str">
        <f>IF($M$1&gt;=I267,VLOOKUP(I267,Iktato!$B$3:$L$10000,3,FALSE),"")</f>
        <v/>
      </c>
      <c r="M267" s="6" t="str">
        <f>IF($M$1&gt;=I267,IF(VLOOKUP(I267,Iktato!$B$3:$P$10000,15,FALSE)&lt;&gt;0,VLOOKUP(I267,Iktato!$B$3:$P$10000,15,FALSE),""),"")</f>
        <v/>
      </c>
      <c r="N267" s="6" t="str">
        <f>IF($M$1&gt;=I267,IF(VLOOKUP(I267,Iktato!$B$3:$Q$10000,16,FALSE)&lt;&gt;0,VLOOKUP(I267,Iktato!$B$3:$Q$10000,16,FALSE),""),"")</f>
        <v/>
      </c>
      <c r="P267" s="6" t="str">
        <f>TRIM(IF($M$1&gt;=I267,IF(VLOOKUP(I267,Iktato!$B$3:$L$10000,6,FALSE)&lt;&gt;0,VLOOKUP(I267,Iktato!$B$3:$L$10000,6,FALSE),""),""))</f>
        <v/>
      </c>
      <c r="Q267" s="8" t="str">
        <f>TRIM(IF($M$1&gt;=I267,IF(VLOOKUP(I267,Iktato!$B$3:$L$10000,7,FALSE)&lt;&gt;0,VLOOKUP(I267,Iktato!$B$3:$L$10000,7,FALSE),""),""))</f>
        <v/>
      </c>
      <c r="R267" s="6" t="str">
        <f t="shared" si="35"/>
        <v/>
      </c>
      <c r="S267" s="6" t="str">
        <f t="shared" si="36"/>
        <v/>
      </c>
      <c r="T267" s="6" t="str">
        <f t="shared" si="37"/>
        <v/>
      </c>
    </row>
    <row r="268" spans="1:20" ht="16.5" x14ac:dyDescent="0.25">
      <c r="A268" s="11" t="str">
        <f t="shared" si="32"/>
        <v/>
      </c>
      <c r="B268" s="12" t="str">
        <f>IF($M$1&gt;=I268,VLOOKUP(I268,Iktato!$B$3:$L$10000,5,FALSE),"")</f>
        <v/>
      </c>
      <c r="C268" s="13" t="str">
        <f t="shared" si="33"/>
        <v/>
      </c>
      <c r="D268" s="14" t="str">
        <f>TRIM(IF($M$1&gt;=I268,IF(VLOOKUP(I268,Iktato!$B$3:$L$10000,8,FALSE)&lt;&gt;0,VLOOKUP(I268,Iktato!$B$3:$L$10000,8,FALSE),""),""))</f>
        <v/>
      </c>
      <c r="E268" s="14" t="str">
        <f>TRIM(IF($M$1&gt;=I268,IF(VLOOKUP(I268,Iktato!$B$3:$L$10000,9,FALSE)&lt;&gt;0,VLOOKUP(I268,Iktato!$B$3:$L$10000,9,FALSE),""),""))</f>
        <v/>
      </c>
      <c r="F268" s="43" t="str">
        <f t="shared" ref="F268:F331" si="38">TRIM(IF($M$1&gt;=I268,M268&amp;$M$10&amp;N268,""))</f>
        <v/>
      </c>
      <c r="G268" s="43"/>
      <c r="I268" s="6">
        <f t="shared" ref="I268:I331" si="39">I267+1</f>
        <v>258</v>
      </c>
      <c r="J268" s="6" t="str">
        <f t="shared" si="34"/>
        <v/>
      </c>
      <c r="K268" s="6" t="str">
        <f>IF($M$1&gt;=I268,VLOOKUP(I268,Iktato!$B$3:$L$10000,3,FALSE),"")</f>
        <v/>
      </c>
      <c r="M268" s="6" t="str">
        <f>IF($M$1&gt;=I268,IF(VLOOKUP(I268,Iktato!$B$3:$P$10000,15,FALSE)&lt;&gt;0,VLOOKUP(I268,Iktato!$B$3:$P$10000,15,FALSE),""),"")</f>
        <v/>
      </c>
      <c r="N268" s="6" t="str">
        <f>IF($M$1&gt;=I268,IF(VLOOKUP(I268,Iktato!$B$3:$Q$10000,16,FALSE)&lt;&gt;0,VLOOKUP(I268,Iktato!$B$3:$Q$10000,16,FALSE),""),"")</f>
        <v/>
      </c>
      <c r="P268" s="6" t="str">
        <f>TRIM(IF($M$1&gt;=I268,IF(VLOOKUP(I268,Iktato!$B$3:$L$10000,6,FALSE)&lt;&gt;0,VLOOKUP(I268,Iktato!$B$3:$L$10000,6,FALSE),""),""))</f>
        <v/>
      </c>
      <c r="Q268" s="8" t="str">
        <f>TRIM(IF($M$1&gt;=I268,IF(VLOOKUP(I268,Iktato!$B$3:$L$10000,7,FALSE)&lt;&gt;0,VLOOKUP(I268,Iktato!$B$3:$L$10000,7,FALSE),""),""))</f>
        <v/>
      </c>
      <c r="R268" s="6" t="str">
        <f t="shared" si="35"/>
        <v/>
      </c>
      <c r="S268" s="6" t="str">
        <f t="shared" si="36"/>
        <v/>
      </c>
      <c r="T268" s="6" t="str">
        <f t="shared" si="37"/>
        <v/>
      </c>
    </row>
    <row r="269" spans="1:20" ht="16.5" x14ac:dyDescent="0.25">
      <c r="A269" s="11" t="str">
        <f t="shared" si="32"/>
        <v/>
      </c>
      <c r="B269" s="12" t="str">
        <f>IF($M$1&gt;=I269,VLOOKUP(I269,Iktato!$B$3:$L$10000,5,FALSE),"")</f>
        <v/>
      </c>
      <c r="C269" s="13" t="str">
        <f t="shared" si="33"/>
        <v/>
      </c>
      <c r="D269" s="14" t="str">
        <f>TRIM(IF($M$1&gt;=I269,IF(VLOOKUP(I269,Iktato!$B$3:$L$10000,8,FALSE)&lt;&gt;0,VLOOKUP(I269,Iktato!$B$3:$L$10000,8,FALSE),""),""))</f>
        <v/>
      </c>
      <c r="E269" s="14" t="str">
        <f>TRIM(IF($M$1&gt;=I269,IF(VLOOKUP(I269,Iktato!$B$3:$L$10000,9,FALSE)&lt;&gt;0,VLOOKUP(I269,Iktato!$B$3:$L$10000,9,FALSE),""),""))</f>
        <v/>
      </c>
      <c r="F269" s="43" t="str">
        <f t="shared" si="38"/>
        <v/>
      </c>
      <c r="G269" s="43"/>
      <c r="I269" s="6">
        <f t="shared" si="39"/>
        <v>259</v>
      </c>
      <c r="J269" s="6" t="str">
        <f t="shared" si="34"/>
        <v/>
      </c>
      <c r="K269" s="6" t="str">
        <f>IF($M$1&gt;=I269,VLOOKUP(I269,Iktato!$B$3:$L$10000,3,FALSE),"")</f>
        <v/>
      </c>
      <c r="M269" s="6" t="str">
        <f>IF($M$1&gt;=I269,IF(VLOOKUP(I269,Iktato!$B$3:$P$10000,15,FALSE)&lt;&gt;0,VLOOKUP(I269,Iktato!$B$3:$P$10000,15,FALSE),""),"")</f>
        <v/>
      </c>
      <c r="N269" s="6" t="str">
        <f>IF($M$1&gt;=I269,IF(VLOOKUP(I269,Iktato!$B$3:$Q$10000,16,FALSE)&lt;&gt;0,VLOOKUP(I269,Iktato!$B$3:$Q$10000,16,FALSE),""),"")</f>
        <v/>
      </c>
      <c r="P269" s="6" t="str">
        <f>TRIM(IF($M$1&gt;=I269,IF(VLOOKUP(I269,Iktato!$B$3:$L$10000,6,FALSE)&lt;&gt;0,VLOOKUP(I269,Iktato!$B$3:$L$10000,6,FALSE),""),""))</f>
        <v/>
      </c>
      <c r="Q269" s="8" t="str">
        <f>TRIM(IF($M$1&gt;=I269,IF(VLOOKUP(I269,Iktato!$B$3:$L$10000,7,FALSE)&lt;&gt;0,VLOOKUP(I269,Iktato!$B$3:$L$10000,7,FALSE),""),""))</f>
        <v/>
      </c>
      <c r="R269" s="6" t="str">
        <f t="shared" si="35"/>
        <v/>
      </c>
      <c r="S269" s="6" t="str">
        <f t="shared" si="36"/>
        <v/>
      </c>
      <c r="T269" s="6" t="str">
        <f t="shared" si="37"/>
        <v/>
      </c>
    </row>
    <row r="270" spans="1:20" ht="16.5" x14ac:dyDescent="0.25">
      <c r="A270" s="11" t="str">
        <f t="shared" si="32"/>
        <v/>
      </c>
      <c r="B270" s="12" t="str">
        <f>IF($M$1&gt;=I270,VLOOKUP(I270,Iktato!$B$3:$L$10000,5,FALSE),"")</f>
        <v/>
      </c>
      <c r="C270" s="13" t="str">
        <f t="shared" si="33"/>
        <v/>
      </c>
      <c r="D270" s="14" t="str">
        <f>TRIM(IF($M$1&gt;=I270,IF(VLOOKUP(I270,Iktato!$B$3:$L$10000,8,FALSE)&lt;&gt;0,VLOOKUP(I270,Iktato!$B$3:$L$10000,8,FALSE),""),""))</f>
        <v/>
      </c>
      <c r="E270" s="14" t="str">
        <f>TRIM(IF($M$1&gt;=I270,IF(VLOOKUP(I270,Iktato!$B$3:$L$10000,9,FALSE)&lt;&gt;0,VLOOKUP(I270,Iktato!$B$3:$L$10000,9,FALSE),""),""))</f>
        <v/>
      </c>
      <c r="F270" s="43" t="str">
        <f t="shared" si="38"/>
        <v/>
      </c>
      <c r="G270" s="43"/>
      <c r="I270" s="6">
        <f t="shared" si="39"/>
        <v>260</v>
      </c>
      <c r="J270" s="6" t="str">
        <f t="shared" si="34"/>
        <v/>
      </c>
      <c r="K270" s="6" t="str">
        <f>IF($M$1&gt;=I270,VLOOKUP(I270,Iktato!$B$3:$L$10000,3,FALSE),"")</f>
        <v/>
      </c>
      <c r="M270" s="6" t="str">
        <f>IF($M$1&gt;=I270,IF(VLOOKUP(I270,Iktato!$B$3:$P$10000,15,FALSE)&lt;&gt;0,VLOOKUP(I270,Iktato!$B$3:$P$10000,15,FALSE),""),"")</f>
        <v/>
      </c>
      <c r="N270" s="6" t="str">
        <f>IF($M$1&gt;=I270,IF(VLOOKUP(I270,Iktato!$B$3:$Q$10000,16,FALSE)&lt;&gt;0,VLOOKUP(I270,Iktato!$B$3:$Q$10000,16,FALSE),""),"")</f>
        <v/>
      </c>
      <c r="P270" s="6" t="str">
        <f>TRIM(IF($M$1&gt;=I270,IF(VLOOKUP(I270,Iktato!$B$3:$L$10000,6,FALSE)&lt;&gt;0,VLOOKUP(I270,Iktato!$B$3:$L$10000,6,FALSE),""),""))</f>
        <v/>
      </c>
      <c r="Q270" s="8" t="str">
        <f>TRIM(IF($M$1&gt;=I270,IF(VLOOKUP(I270,Iktato!$B$3:$L$10000,7,FALSE)&lt;&gt;0,VLOOKUP(I270,Iktato!$B$3:$L$10000,7,FALSE),""),""))</f>
        <v/>
      </c>
      <c r="R270" s="6" t="str">
        <f t="shared" si="35"/>
        <v/>
      </c>
      <c r="S270" s="6" t="str">
        <f t="shared" si="36"/>
        <v/>
      </c>
      <c r="T270" s="6" t="str">
        <f t="shared" si="37"/>
        <v/>
      </c>
    </row>
    <row r="271" spans="1:20" ht="16.5" x14ac:dyDescent="0.25">
      <c r="A271" s="11" t="str">
        <f t="shared" si="32"/>
        <v/>
      </c>
      <c r="B271" s="12" t="str">
        <f>IF($M$1&gt;=I271,VLOOKUP(I271,Iktato!$B$3:$L$10000,5,FALSE),"")</f>
        <v/>
      </c>
      <c r="C271" s="13" t="str">
        <f t="shared" si="33"/>
        <v/>
      </c>
      <c r="D271" s="14" t="str">
        <f>TRIM(IF($M$1&gt;=I271,IF(VLOOKUP(I271,Iktato!$B$3:$L$10000,8,FALSE)&lt;&gt;0,VLOOKUP(I271,Iktato!$B$3:$L$10000,8,FALSE),""),""))</f>
        <v/>
      </c>
      <c r="E271" s="14" t="str">
        <f>TRIM(IF($M$1&gt;=I271,IF(VLOOKUP(I271,Iktato!$B$3:$L$10000,9,FALSE)&lt;&gt;0,VLOOKUP(I271,Iktato!$B$3:$L$10000,9,FALSE),""),""))</f>
        <v/>
      </c>
      <c r="F271" s="43" t="str">
        <f t="shared" si="38"/>
        <v/>
      </c>
      <c r="G271" s="43"/>
      <c r="I271" s="6">
        <f t="shared" si="39"/>
        <v>261</v>
      </c>
      <c r="J271" s="6" t="str">
        <f t="shared" si="34"/>
        <v/>
      </c>
      <c r="K271" s="6" t="str">
        <f>IF($M$1&gt;=I271,VLOOKUP(I271,Iktato!$B$3:$L$10000,3,FALSE),"")</f>
        <v/>
      </c>
      <c r="M271" s="6" t="str">
        <f>IF($M$1&gt;=I271,IF(VLOOKUP(I271,Iktato!$B$3:$P$10000,15,FALSE)&lt;&gt;0,VLOOKUP(I271,Iktato!$B$3:$P$10000,15,FALSE),""),"")</f>
        <v/>
      </c>
      <c r="N271" s="6" t="str">
        <f>IF($M$1&gt;=I271,IF(VLOOKUP(I271,Iktato!$B$3:$Q$10000,16,FALSE)&lt;&gt;0,VLOOKUP(I271,Iktato!$B$3:$Q$10000,16,FALSE),""),"")</f>
        <v/>
      </c>
      <c r="P271" s="6" t="str">
        <f>TRIM(IF($M$1&gt;=I271,IF(VLOOKUP(I271,Iktato!$B$3:$L$10000,6,FALSE)&lt;&gt;0,VLOOKUP(I271,Iktato!$B$3:$L$10000,6,FALSE),""),""))</f>
        <v/>
      </c>
      <c r="Q271" s="8" t="str">
        <f>TRIM(IF($M$1&gt;=I271,IF(VLOOKUP(I271,Iktato!$B$3:$L$10000,7,FALSE)&lt;&gt;0,VLOOKUP(I271,Iktato!$B$3:$L$10000,7,FALSE),""),""))</f>
        <v/>
      </c>
      <c r="R271" s="6" t="str">
        <f t="shared" si="35"/>
        <v/>
      </c>
      <c r="S271" s="6" t="str">
        <f t="shared" si="36"/>
        <v/>
      </c>
      <c r="T271" s="6" t="str">
        <f t="shared" si="37"/>
        <v/>
      </c>
    </row>
    <row r="272" spans="1:20" ht="16.5" x14ac:dyDescent="0.25">
      <c r="A272" s="11" t="str">
        <f t="shared" si="32"/>
        <v/>
      </c>
      <c r="B272" s="12" t="str">
        <f>IF($M$1&gt;=I272,VLOOKUP(I272,Iktato!$B$3:$L$10000,5,FALSE),"")</f>
        <v/>
      </c>
      <c r="C272" s="13" t="str">
        <f t="shared" si="33"/>
        <v/>
      </c>
      <c r="D272" s="14" t="str">
        <f>TRIM(IF($M$1&gt;=I272,IF(VLOOKUP(I272,Iktato!$B$3:$L$10000,8,FALSE)&lt;&gt;0,VLOOKUP(I272,Iktato!$B$3:$L$10000,8,FALSE),""),""))</f>
        <v/>
      </c>
      <c r="E272" s="14" t="str">
        <f>TRIM(IF($M$1&gt;=I272,IF(VLOOKUP(I272,Iktato!$B$3:$L$10000,9,FALSE)&lt;&gt;0,VLOOKUP(I272,Iktato!$B$3:$L$10000,9,FALSE),""),""))</f>
        <v/>
      </c>
      <c r="F272" s="43" t="str">
        <f t="shared" si="38"/>
        <v/>
      </c>
      <c r="G272" s="43"/>
      <c r="I272" s="6">
        <f t="shared" si="39"/>
        <v>262</v>
      </c>
      <c r="J272" s="6" t="str">
        <f t="shared" si="34"/>
        <v/>
      </c>
      <c r="K272" s="6" t="str">
        <f>IF($M$1&gt;=I272,VLOOKUP(I272,Iktato!$B$3:$L$10000,3,FALSE),"")</f>
        <v/>
      </c>
      <c r="M272" s="6" t="str">
        <f>IF($M$1&gt;=I272,IF(VLOOKUP(I272,Iktato!$B$3:$P$10000,15,FALSE)&lt;&gt;0,VLOOKUP(I272,Iktato!$B$3:$P$10000,15,FALSE),""),"")</f>
        <v/>
      </c>
      <c r="N272" s="6" t="str">
        <f>IF($M$1&gt;=I272,IF(VLOOKUP(I272,Iktato!$B$3:$Q$10000,16,FALSE)&lt;&gt;0,VLOOKUP(I272,Iktato!$B$3:$Q$10000,16,FALSE),""),"")</f>
        <v/>
      </c>
      <c r="P272" s="6" t="str">
        <f>TRIM(IF($M$1&gt;=I272,IF(VLOOKUP(I272,Iktato!$B$3:$L$10000,6,FALSE)&lt;&gt;0,VLOOKUP(I272,Iktato!$B$3:$L$10000,6,FALSE),""),""))</f>
        <v/>
      </c>
      <c r="Q272" s="8" t="str">
        <f>TRIM(IF($M$1&gt;=I272,IF(VLOOKUP(I272,Iktato!$B$3:$L$10000,7,FALSE)&lt;&gt;0,VLOOKUP(I272,Iktato!$B$3:$L$10000,7,FALSE),""),""))</f>
        <v/>
      </c>
      <c r="R272" s="6" t="str">
        <f t="shared" si="35"/>
        <v/>
      </c>
      <c r="S272" s="6" t="str">
        <f t="shared" si="36"/>
        <v/>
      </c>
      <c r="T272" s="6" t="str">
        <f t="shared" si="37"/>
        <v/>
      </c>
    </row>
    <row r="273" spans="1:20" ht="16.5" x14ac:dyDescent="0.25">
      <c r="A273" s="11" t="str">
        <f t="shared" si="32"/>
        <v/>
      </c>
      <c r="B273" s="12" t="str">
        <f>IF($M$1&gt;=I273,VLOOKUP(I273,Iktato!$B$3:$L$10000,5,FALSE),"")</f>
        <v/>
      </c>
      <c r="C273" s="13" t="str">
        <f t="shared" si="33"/>
        <v/>
      </c>
      <c r="D273" s="14" t="str">
        <f>TRIM(IF($M$1&gt;=I273,IF(VLOOKUP(I273,Iktato!$B$3:$L$10000,8,FALSE)&lt;&gt;0,VLOOKUP(I273,Iktato!$B$3:$L$10000,8,FALSE),""),""))</f>
        <v/>
      </c>
      <c r="E273" s="14" t="str">
        <f>TRIM(IF($M$1&gt;=I273,IF(VLOOKUP(I273,Iktato!$B$3:$L$10000,9,FALSE)&lt;&gt;0,VLOOKUP(I273,Iktato!$B$3:$L$10000,9,FALSE),""),""))</f>
        <v/>
      </c>
      <c r="F273" s="43" t="str">
        <f t="shared" si="38"/>
        <v/>
      </c>
      <c r="G273" s="43"/>
      <c r="I273" s="6">
        <f t="shared" si="39"/>
        <v>263</v>
      </c>
      <c r="J273" s="6" t="str">
        <f t="shared" si="34"/>
        <v/>
      </c>
      <c r="K273" s="6" t="str">
        <f>IF($M$1&gt;=I273,VLOOKUP(I273,Iktato!$B$3:$L$10000,3,FALSE),"")</f>
        <v/>
      </c>
      <c r="M273" s="6" t="str">
        <f>IF($M$1&gt;=I273,IF(VLOOKUP(I273,Iktato!$B$3:$P$10000,15,FALSE)&lt;&gt;0,VLOOKUP(I273,Iktato!$B$3:$P$10000,15,FALSE),""),"")</f>
        <v/>
      </c>
      <c r="N273" s="6" t="str">
        <f>IF($M$1&gt;=I273,IF(VLOOKUP(I273,Iktato!$B$3:$Q$10000,16,FALSE)&lt;&gt;0,VLOOKUP(I273,Iktato!$B$3:$Q$10000,16,FALSE),""),"")</f>
        <v/>
      </c>
      <c r="P273" s="6" t="str">
        <f>TRIM(IF($M$1&gt;=I273,IF(VLOOKUP(I273,Iktato!$B$3:$L$10000,6,FALSE)&lt;&gt;0,VLOOKUP(I273,Iktato!$B$3:$L$10000,6,FALSE),""),""))</f>
        <v/>
      </c>
      <c r="Q273" s="8" t="str">
        <f>TRIM(IF($M$1&gt;=I273,IF(VLOOKUP(I273,Iktato!$B$3:$L$10000,7,FALSE)&lt;&gt;0,VLOOKUP(I273,Iktato!$B$3:$L$10000,7,FALSE),""),""))</f>
        <v/>
      </c>
      <c r="R273" s="6" t="str">
        <f t="shared" si="35"/>
        <v/>
      </c>
      <c r="S273" s="6" t="str">
        <f t="shared" si="36"/>
        <v/>
      </c>
      <c r="T273" s="6" t="str">
        <f t="shared" si="37"/>
        <v/>
      </c>
    </row>
    <row r="274" spans="1:20" ht="16.5" x14ac:dyDescent="0.25">
      <c r="A274" s="11" t="str">
        <f t="shared" si="32"/>
        <v/>
      </c>
      <c r="B274" s="12" t="str">
        <f>IF($M$1&gt;=I274,VLOOKUP(I274,Iktato!$B$3:$L$10000,5,FALSE),"")</f>
        <v/>
      </c>
      <c r="C274" s="13" t="str">
        <f t="shared" si="33"/>
        <v/>
      </c>
      <c r="D274" s="14" t="str">
        <f>TRIM(IF($M$1&gt;=I274,IF(VLOOKUP(I274,Iktato!$B$3:$L$10000,8,FALSE)&lt;&gt;0,VLOOKUP(I274,Iktato!$B$3:$L$10000,8,FALSE),""),""))</f>
        <v/>
      </c>
      <c r="E274" s="14" t="str">
        <f>TRIM(IF($M$1&gt;=I274,IF(VLOOKUP(I274,Iktato!$B$3:$L$10000,9,FALSE)&lt;&gt;0,VLOOKUP(I274,Iktato!$B$3:$L$10000,9,FALSE),""),""))</f>
        <v/>
      </c>
      <c r="F274" s="43" t="str">
        <f t="shared" si="38"/>
        <v/>
      </c>
      <c r="G274" s="43"/>
      <c r="I274" s="6">
        <f t="shared" si="39"/>
        <v>264</v>
      </c>
      <c r="J274" s="6" t="str">
        <f t="shared" si="34"/>
        <v/>
      </c>
      <c r="K274" s="6" t="str">
        <f>IF($M$1&gt;=I274,VLOOKUP(I274,Iktato!$B$3:$L$10000,3,FALSE),"")</f>
        <v/>
      </c>
      <c r="M274" s="6" t="str">
        <f>IF($M$1&gt;=I274,IF(VLOOKUP(I274,Iktato!$B$3:$P$10000,15,FALSE)&lt;&gt;0,VLOOKUP(I274,Iktato!$B$3:$P$10000,15,FALSE),""),"")</f>
        <v/>
      </c>
      <c r="N274" s="6" t="str">
        <f>IF($M$1&gt;=I274,IF(VLOOKUP(I274,Iktato!$B$3:$Q$10000,16,FALSE)&lt;&gt;0,VLOOKUP(I274,Iktato!$B$3:$Q$10000,16,FALSE),""),"")</f>
        <v/>
      </c>
      <c r="P274" s="6" t="str">
        <f>TRIM(IF($M$1&gt;=I274,IF(VLOOKUP(I274,Iktato!$B$3:$L$10000,6,FALSE)&lt;&gt;0,VLOOKUP(I274,Iktato!$B$3:$L$10000,6,FALSE),""),""))</f>
        <v/>
      </c>
      <c r="Q274" s="8" t="str">
        <f>TRIM(IF($M$1&gt;=I274,IF(VLOOKUP(I274,Iktato!$B$3:$L$10000,7,FALSE)&lt;&gt;0,VLOOKUP(I274,Iktato!$B$3:$L$10000,7,FALSE),""),""))</f>
        <v/>
      </c>
      <c r="R274" s="6" t="str">
        <f t="shared" si="35"/>
        <v/>
      </c>
      <c r="S274" s="6" t="str">
        <f t="shared" si="36"/>
        <v/>
      </c>
      <c r="T274" s="6" t="str">
        <f t="shared" si="37"/>
        <v/>
      </c>
    </row>
    <row r="275" spans="1:20" ht="16.5" x14ac:dyDescent="0.25">
      <c r="A275" s="11" t="str">
        <f t="shared" si="32"/>
        <v/>
      </c>
      <c r="B275" s="12" t="str">
        <f>IF($M$1&gt;=I275,VLOOKUP(I275,Iktato!$B$3:$L$10000,5,FALSE),"")</f>
        <v/>
      </c>
      <c r="C275" s="13" t="str">
        <f t="shared" si="33"/>
        <v/>
      </c>
      <c r="D275" s="14" t="str">
        <f>TRIM(IF($M$1&gt;=I275,IF(VLOOKUP(I275,Iktato!$B$3:$L$10000,8,FALSE)&lt;&gt;0,VLOOKUP(I275,Iktato!$B$3:$L$10000,8,FALSE),""),""))</f>
        <v/>
      </c>
      <c r="E275" s="14" t="str">
        <f>TRIM(IF($M$1&gt;=I275,IF(VLOOKUP(I275,Iktato!$B$3:$L$10000,9,FALSE)&lt;&gt;0,VLOOKUP(I275,Iktato!$B$3:$L$10000,9,FALSE),""),""))</f>
        <v/>
      </c>
      <c r="F275" s="43" t="str">
        <f t="shared" si="38"/>
        <v/>
      </c>
      <c r="G275" s="43"/>
      <c r="I275" s="6">
        <f t="shared" si="39"/>
        <v>265</v>
      </c>
      <c r="J275" s="6" t="str">
        <f t="shared" si="34"/>
        <v/>
      </c>
      <c r="K275" s="6" t="str">
        <f>IF($M$1&gt;=I275,VLOOKUP(I275,Iktato!$B$3:$L$10000,3,FALSE),"")</f>
        <v/>
      </c>
      <c r="M275" s="6" t="str">
        <f>IF($M$1&gt;=I275,IF(VLOOKUP(I275,Iktato!$B$3:$P$10000,15,FALSE)&lt;&gt;0,VLOOKUP(I275,Iktato!$B$3:$P$10000,15,FALSE),""),"")</f>
        <v/>
      </c>
      <c r="N275" s="6" t="str">
        <f>IF($M$1&gt;=I275,IF(VLOOKUP(I275,Iktato!$B$3:$Q$10000,16,FALSE)&lt;&gt;0,VLOOKUP(I275,Iktato!$B$3:$Q$10000,16,FALSE),""),"")</f>
        <v/>
      </c>
      <c r="P275" s="6" t="str">
        <f>TRIM(IF($M$1&gt;=I275,IF(VLOOKUP(I275,Iktato!$B$3:$L$10000,6,FALSE)&lt;&gt;0,VLOOKUP(I275,Iktato!$B$3:$L$10000,6,FALSE),""),""))</f>
        <v/>
      </c>
      <c r="Q275" s="8" t="str">
        <f>TRIM(IF($M$1&gt;=I275,IF(VLOOKUP(I275,Iktato!$B$3:$L$10000,7,FALSE)&lt;&gt;0,VLOOKUP(I275,Iktato!$B$3:$L$10000,7,FALSE),""),""))</f>
        <v/>
      </c>
      <c r="R275" s="6" t="str">
        <f t="shared" si="35"/>
        <v/>
      </c>
      <c r="S275" s="6" t="str">
        <f t="shared" si="36"/>
        <v/>
      </c>
      <c r="T275" s="6" t="str">
        <f t="shared" si="37"/>
        <v/>
      </c>
    </row>
    <row r="276" spans="1:20" ht="16.5" x14ac:dyDescent="0.25">
      <c r="A276" s="11" t="str">
        <f t="shared" si="32"/>
        <v/>
      </c>
      <c r="B276" s="12" t="str">
        <f>IF($M$1&gt;=I276,VLOOKUP(I276,Iktato!$B$3:$L$10000,5,FALSE),"")</f>
        <v/>
      </c>
      <c r="C276" s="13" t="str">
        <f t="shared" si="33"/>
        <v/>
      </c>
      <c r="D276" s="14" t="str">
        <f>TRIM(IF($M$1&gt;=I276,IF(VLOOKUP(I276,Iktato!$B$3:$L$10000,8,FALSE)&lt;&gt;0,VLOOKUP(I276,Iktato!$B$3:$L$10000,8,FALSE),""),""))</f>
        <v/>
      </c>
      <c r="E276" s="14" t="str">
        <f>TRIM(IF($M$1&gt;=I276,IF(VLOOKUP(I276,Iktato!$B$3:$L$10000,9,FALSE)&lt;&gt;0,VLOOKUP(I276,Iktato!$B$3:$L$10000,9,FALSE),""),""))</f>
        <v/>
      </c>
      <c r="F276" s="43" t="str">
        <f t="shared" si="38"/>
        <v/>
      </c>
      <c r="G276" s="43"/>
      <c r="I276" s="6">
        <f t="shared" si="39"/>
        <v>266</v>
      </c>
      <c r="J276" s="6" t="str">
        <f t="shared" si="34"/>
        <v/>
      </c>
      <c r="K276" s="6" t="str">
        <f>IF($M$1&gt;=I276,VLOOKUP(I276,Iktato!$B$3:$L$10000,3,FALSE),"")</f>
        <v/>
      </c>
      <c r="M276" s="6" t="str">
        <f>IF($M$1&gt;=I276,IF(VLOOKUP(I276,Iktato!$B$3:$P$10000,15,FALSE)&lt;&gt;0,VLOOKUP(I276,Iktato!$B$3:$P$10000,15,FALSE),""),"")</f>
        <v/>
      </c>
      <c r="N276" s="6" t="str">
        <f>IF($M$1&gt;=I276,IF(VLOOKUP(I276,Iktato!$B$3:$Q$10000,16,FALSE)&lt;&gt;0,VLOOKUP(I276,Iktato!$B$3:$Q$10000,16,FALSE),""),"")</f>
        <v/>
      </c>
      <c r="P276" s="6" t="str">
        <f>TRIM(IF($M$1&gt;=I276,IF(VLOOKUP(I276,Iktato!$B$3:$L$10000,6,FALSE)&lt;&gt;0,VLOOKUP(I276,Iktato!$B$3:$L$10000,6,FALSE),""),""))</f>
        <v/>
      </c>
      <c r="Q276" s="8" t="str">
        <f>TRIM(IF($M$1&gt;=I276,IF(VLOOKUP(I276,Iktato!$B$3:$L$10000,7,FALSE)&lt;&gt;0,VLOOKUP(I276,Iktato!$B$3:$L$10000,7,FALSE),""),""))</f>
        <v/>
      </c>
      <c r="R276" s="6" t="str">
        <f t="shared" si="35"/>
        <v/>
      </c>
      <c r="S276" s="6" t="str">
        <f t="shared" si="36"/>
        <v/>
      </c>
      <c r="T276" s="6" t="str">
        <f t="shared" si="37"/>
        <v/>
      </c>
    </row>
    <row r="277" spans="1:20" ht="16.5" x14ac:dyDescent="0.25">
      <c r="A277" s="11" t="str">
        <f t="shared" si="32"/>
        <v/>
      </c>
      <c r="B277" s="12" t="str">
        <f>IF($M$1&gt;=I277,VLOOKUP(I277,Iktato!$B$3:$L$10000,5,FALSE),"")</f>
        <v/>
      </c>
      <c r="C277" s="13" t="str">
        <f t="shared" si="33"/>
        <v/>
      </c>
      <c r="D277" s="14" t="str">
        <f>TRIM(IF($M$1&gt;=I277,IF(VLOOKUP(I277,Iktato!$B$3:$L$10000,8,FALSE)&lt;&gt;0,VLOOKUP(I277,Iktato!$B$3:$L$10000,8,FALSE),""),""))</f>
        <v/>
      </c>
      <c r="E277" s="14" t="str">
        <f>TRIM(IF($M$1&gt;=I277,IF(VLOOKUP(I277,Iktato!$B$3:$L$10000,9,FALSE)&lt;&gt;0,VLOOKUP(I277,Iktato!$B$3:$L$10000,9,FALSE),""),""))</f>
        <v/>
      </c>
      <c r="F277" s="43" t="str">
        <f t="shared" si="38"/>
        <v/>
      </c>
      <c r="G277" s="43"/>
      <c r="I277" s="6">
        <f t="shared" si="39"/>
        <v>267</v>
      </c>
      <c r="J277" s="6" t="str">
        <f t="shared" si="34"/>
        <v/>
      </c>
      <c r="K277" s="6" t="str">
        <f>IF($M$1&gt;=I277,VLOOKUP(I277,Iktato!$B$3:$L$10000,3,FALSE),"")</f>
        <v/>
      </c>
      <c r="M277" s="6" t="str">
        <f>IF($M$1&gt;=I277,IF(VLOOKUP(I277,Iktato!$B$3:$P$10000,15,FALSE)&lt;&gt;0,VLOOKUP(I277,Iktato!$B$3:$P$10000,15,FALSE),""),"")</f>
        <v/>
      </c>
      <c r="N277" s="6" t="str">
        <f>IF($M$1&gt;=I277,IF(VLOOKUP(I277,Iktato!$B$3:$Q$10000,16,FALSE)&lt;&gt;0,VLOOKUP(I277,Iktato!$B$3:$Q$10000,16,FALSE),""),"")</f>
        <v/>
      </c>
      <c r="P277" s="6" t="str">
        <f>TRIM(IF($M$1&gt;=I277,IF(VLOOKUP(I277,Iktato!$B$3:$L$10000,6,FALSE)&lt;&gt;0,VLOOKUP(I277,Iktato!$B$3:$L$10000,6,FALSE),""),""))</f>
        <v/>
      </c>
      <c r="Q277" s="8" t="str">
        <f>TRIM(IF($M$1&gt;=I277,IF(VLOOKUP(I277,Iktato!$B$3:$L$10000,7,FALSE)&lt;&gt;0,VLOOKUP(I277,Iktato!$B$3:$L$10000,7,FALSE),""),""))</f>
        <v/>
      </c>
      <c r="R277" s="6" t="str">
        <f t="shared" si="35"/>
        <v/>
      </c>
      <c r="S277" s="6" t="str">
        <f t="shared" si="36"/>
        <v/>
      </c>
      <c r="T277" s="6" t="str">
        <f t="shared" si="37"/>
        <v/>
      </c>
    </row>
    <row r="278" spans="1:20" ht="16.5" x14ac:dyDescent="0.25">
      <c r="A278" s="11" t="str">
        <f t="shared" si="32"/>
        <v/>
      </c>
      <c r="B278" s="12" t="str">
        <f>IF($M$1&gt;=I278,VLOOKUP(I278,Iktato!$B$3:$L$10000,5,FALSE),"")</f>
        <v/>
      </c>
      <c r="C278" s="13" t="str">
        <f t="shared" si="33"/>
        <v/>
      </c>
      <c r="D278" s="14" t="str">
        <f>TRIM(IF($M$1&gt;=I278,IF(VLOOKUP(I278,Iktato!$B$3:$L$10000,8,FALSE)&lt;&gt;0,VLOOKUP(I278,Iktato!$B$3:$L$10000,8,FALSE),""),""))</f>
        <v/>
      </c>
      <c r="E278" s="14" t="str">
        <f>TRIM(IF($M$1&gt;=I278,IF(VLOOKUP(I278,Iktato!$B$3:$L$10000,9,FALSE)&lt;&gt;0,VLOOKUP(I278,Iktato!$B$3:$L$10000,9,FALSE),""),""))</f>
        <v/>
      </c>
      <c r="F278" s="43" t="str">
        <f t="shared" si="38"/>
        <v/>
      </c>
      <c r="G278" s="43"/>
      <c r="I278" s="6">
        <f t="shared" si="39"/>
        <v>268</v>
      </c>
      <c r="J278" s="6" t="str">
        <f t="shared" si="34"/>
        <v/>
      </c>
      <c r="K278" s="6" t="str">
        <f>IF($M$1&gt;=I278,VLOOKUP(I278,Iktato!$B$3:$L$10000,3,FALSE),"")</f>
        <v/>
      </c>
      <c r="M278" s="6" t="str">
        <f>IF($M$1&gt;=I278,IF(VLOOKUP(I278,Iktato!$B$3:$P$10000,15,FALSE)&lt;&gt;0,VLOOKUP(I278,Iktato!$B$3:$P$10000,15,FALSE),""),"")</f>
        <v/>
      </c>
      <c r="N278" s="6" t="str">
        <f>IF($M$1&gt;=I278,IF(VLOOKUP(I278,Iktato!$B$3:$Q$10000,16,FALSE)&lt;&gt;0,VLOOKUP(I278,Iktato!$B$3:$Q$10000,16,FALSE),""),"")</f>
        <v/>
      </c>
      <c r="P278" s="6" t="str">
        <f>TRIM(IF($M$1&gt;=I278,IF(VLOOKUP(I278,Iktato!$B$3:$L$10000,6,FALSE)&lt;&gt;0,VLOOKUP(I278,Iktato!$B$3:$L$10000,6,FALSE),""),""))</f>
        <v/>
      </c>
      <c r="Q278" s="8" t="str">
        <f>TRIM(IF($M$1&gt;=I278,IF(VLOOKUP(I278,Iktato!$B$3:$L$10000,7,FALSE)&lt;&gt;0,VLOOKUP(I278,Iktato!$B$3:$L$10000,7,FALSE),""),""))</f>
        <v/>
      </c>
      <c r="R278" s="6" t="str">
        <f t="shared" si="35"/>
        <v/>
      </c>
      <c r="S278" s="6" t="str">
        <f t="shared" si="36"/>
        <v/>
      </c>
      <c r="T278" s="6" t="str">
        <f t="shared" si="37"/>
        <v/>
      </c>
    </row>
    <row r="279" spans="1:20" ht="16.5" x14ac:dyDescent="0.25">
      <c r="A279" s="11" t="str">
        <f t="shared" si="32"/>
        <v/>
      </c>
      <c r="B279" s="12" t="str">
        <f>IF($M$1&gt;=I279,VLOOKUP(I279,Iktato!$B$3:$L$10000,5,FALSE),"")</f>
        <v/>
      </c>
      <c r="C279" s="13" t="str">
        <f t="shared" si="33"/>
        <v/>
      </c>
      <c r="D279" s="14" t="str">
        <f>TRIM(IF($M$1&gt;=I279,IF(VLOOKUP(I279,Iktato!$B$3:$L$10000,8,FALSE)&lt;&gt;0,VLOOKUP(I279,Iktato!$B$3:$L$10000,8,FALSE),""),""))</f>
        <v/>
      </c>
      <c r="E279" s="14" t="str">
        <f>TRIM(IF($M$1&gt;=I279,IF(VLOOKUP(I279,Iktato!$B$3:$L$10000,9,FALSE)&lt;&gt;0,VLOOKUP(I279,Iktato!$B$3:$L$10000,9,FALSE),""),""))</f>
        <v/>
      </c>
      <c r="F279" s="43" t="str">
        <f t="shared" si="38"/>
        <v/>
      </c>
      <c r="G279" s="43"/>
      <c r="I279" s="6">
        <f t="shared" si="39"/>
        <v>269</v>
      </c>
      <c r="J279" s="6" t="str">
        <f t="shared" si="34"/>
        <v/>
      </c>
      <c r="K279" s="6" t="str">
        <f>IF($M$1&gt;=I279,VLOOKUP(I279,Iktato!$B$3:$L$10000,3,FALSE),"")</f>
        <v/>
      </c>
      <c r="M279" s="6" t="str">
        <f>IF($M$1&gt;=I279,IF(VLOOKUP(I279,Iktato!$B$3:$P$10000,15,FALSE)&lt;&gt;0,VLOOKUP(I279,Iktato!$B$3:$P$10000,15,FALSE),""),"")</f>
        <v/>
      </c>
      <c r="N279" s="6" t="str">
        <f>IF($M$1&gt;=I279,IF(VLOOKUP(I279,Iktato!$B$3:$Q$10000,16,FALSE)&lt;&gt;0,VLOOKUP(I279,Iktato!$B$3:$Q$10000,16,FALSE),""),"")</f>
        <v/>
      </c>
      <c r="P279" s="6" t="str">
        <f>TRIM(IF($M$1&gt;=I279,IF(VLOOKUP(I279,Iktato!$B$3:$L$10000,6,FALSE)&lt;&gt;0,VLOOKUP(I279,Iktato!$B$3:$L$10000,6,FALSE),""),""))</f>
        <v/>
      </c>
      <c r="Q279" s="8" t="str">
        <f>TRIM(IF($M$1&gt;=I279,IF(VLOOKUP(I279,Iktato!$B$3:$L$10000,7,FALSE)&lt;&gt;0,VLOOKUP(I279,Iktato!$B$3:$L$10000,7,FALSE),""),""))</f>
        <v/>
      </c>
      <c r="R279" s="6" t="str">
        <f t="shared" si="35"/>
        <v/>
      </c>
      <c r="S279" s="6" t="str">
        <f t="shared" si="36"/>
        <v/>
      </c>
      <c r="T279" s="6" t="str">
        <f t="shared" si="37"/>
        <v/>
      </c>
    </row>
    <row r="280" spans="1:20" ht="16.5" x14ac:dyDescent="0.25">
      <c r="A280" s="11" t="str">
        <f t="shared" si="32"/>
        <v/>
      </c>
      <c r="B280" s="12" t="str">
        <f>IF($M$1&gt;=I280,VLOOKUP(I280,Iktato!$B$3:$L$10000,5,FALSE),"")</f>
        <v/>
      </c>
      <c r="C280" s="13" t="str">
        <f t="shared" si="33"/>
        <v/>
      </c>
      <c r="D280" s="14" t="str">
        <f>TRIM(IF($M$1&gt;=I280,IF(VLOOKUP(I280,Iktato!$B$3:$L$10000,8,FALSE)&lt;&gt;0,VLOOKUP(I280,Iktato!$B$3:$L$10000,8,FALSE),""),""))</f>
        <v/>
      </c>
      <c r="E280" s="14" t="str">
        <f>TRIM(IF($M$1&gt;=I280,IF(VLOOKUP(I280,Iktato!$B$3:$L$10000,9,FALSE)&lt;&gt;0,VLOOKUP(I280,Iktato!$B$3:$L$10000,9,FALSE),""),""))</f>
        <v/>
      </c>
      <c r="F280" s="43" t="str">
        <f t="shared" si="38"/>
        <v/>
      </c>
      <c r="G280" s="43"/>
      <c r="I280" s="6">
        <f t="shared" si="39"/>
        <v>270</v>
      </c>
      <c r="J280" s="6" t="str">
        <f t="shared" si="34"/>
        <v/>
      </c>
      <c r="K280" s="6" t="str">
        <f>IF($M$1&gt;=I280,VLOOKUP(I280,Iktato!$B$3:$L$10000,3,FALSE),"")</f>
        <v/>
      </c>
      <c r="M280" s="6" t="str">
        <f>IF($M$1&gt;=I280,IF(VLOOKUP(I280,Iktato!$B$3:$P$10000,15,FALSE)&lt;&gt;0,VLOOKUP(I280,Iktato!$B$3:$P$10000,15,FALSE),""),"")</f>
        <v/>
      </c>
      <c r="N280" s="6" t="str">
        <f>IF($M$1&gt;=I280,IF(VLOOKUP(I280,Iktato!$B$3:$Q$10000,16,FALSE)&lt;&gt;0,VLOOKUP(I280,Iktato!$B$3:$Q$10000,16,FALSE),""),"")</f>
        <v/>
      </c>
      <c r="P280" s="6" t="str">
        <f>TRIM(IF($M$1&gt;=I280,IF(VLOOKUP(I280,Iktato!$B$3:$L$10000,6,FALSE)&lt;&gt;0,VLOOKUP(I280,Iktato!$B$3:$L$10000,6,FALSE),""),""))</f>
        <v/>
      </c>
      <c r="Q280" s="8" t="str">
        <f>TRIM(IF($M$1&gt;=I280,IF(VLOOKUP(I280,Iktato!$B$3:$L$10000,7,FALSE)&lt;&gt;0,VLOOKUP(I280,Iktato!$B$3:$L$10000,7,FALSE),""),""))</f>
        <v/>
      </c>
      <c r="R280" s="6" t="str">
        <f t="shared" si="35"/>
        <v/>
      </c>
      <c r="S280" s="6" t="str">
        <f t="shared" si="36"/>
        <v/>
      </c>
      <c r="T280" s="6" t="str">
        <f t="shared" si="37"/>
        <v/>
      </c>
    </row>
    <row r="281" spans="1:20" ht="16.5" x14ac:dyDescent="0.25">
      <c r="A281" s="11" t="str">
        <f t="shared" si="32"/>
        <v/>
      </c>
      <c r="B281" s="12" t="str">
        <f>IF($M$1&gt;=I281,VLOOKUP(I281,Iktato!$B$3:$L$10000,5,FALSE),"")</f>
        <v/>
      </c>
      <c r="C281" s="13" t="str">
        <f t="shared" si="33"/>
        <v/>
      </c>
      <c r="D281" s="14" t="str">
        <f>TRIM(IF($M$1&gt;=I281,IF(VLOOKUP(I281,Iktato!$B$3:$L$10000,8,FALSE)&lt;&gt;0,VLOOKUP(I281,Iktato!$B$3:$L$10000,8,FALSE),""),""))</f>
        <v/>
      </c>
      <c r="E281" s="14" t="str">
        <f>TRIM(IF($M$1&gt;=I281,IF(VLOOKUP(I281,Iktato!$B$3:$L$10000,9,FALSE)&lt;&gt;0,VLOOKUP(I281,Iktato!$B$3:$L$10000,9,FALSE),""),""))</f>
        <v/>
      </c>
      <c r="F281" s="43" t="str">
        <f t="shared" si="38"/>
        <v/>
      </c>
      <c r="G281" s="43"/>
      <c r="I281" s="6">
        <f t="shared" si="39"/>
        <v>271</v>
      </c>
      <c r="J281" s="6" t="str">
        <f t="shared" si="34"/>
        <v/>
      </c>
      <c r="K281" s="6" t="str">
        <f>IF($M$1&gt;=I281,VLOOKUP(I281,Iktato!$B$3:$L$10000,3,FALSE),"")</f>
        <v/>
      </c>
      <c r="M281" s="6" t="str">
        <f>IF($M$1&gt;=I281,IF(VLOOKUP(I281,Iktato!$B$3:$P$10000,15,FALSE)&lt;&gt;0,VLOOKUP(I281,Iktato!$B$3:$P$10000,15,FALSE),""),"")</f>
        <v/>
      </c>
      <c r="N281" s="6" t="str">
        <f>IF($M$1&gt;=I281,IF(VLOOKUP(I281,Iktato!$B$3:$Q$10000,16,FALSE)&lt;&gt;0,VLOOKUP(I281,Iktato!$B$3:$Q$10000,16,FALSE),""),"")</f>
        <v/>
      </c>
      <c r="P281" s="6" t="str">
        <f>TRIM(IF($M$1&gt;=I281,IF(VLOOKUP(I281,Iktato!$B$3:$L$10000,6,FALSE)&lt;&gt;0,VLOOKUP(I281,Iktato!$B$3:$L$10000,6,FALSE),""),""))</f>
        <v/>
      </c>
      <c r="Q281" s="8" t="str">
        <f>TRIM(IF($M$1&gt;=I281,IF(VLOOKUP(I281,Iktato!$B$3:$L$10000,7,FALSE)&lt;&gt;0,VLOOKUP(I281,Iktato!$B$3:$L$10000,7,FALSE),""),""))</f>
        <v/>
      </c>
      <c r="R281" s="6" t="str">
        <f t="shared" si="35"/>
        <v/>
      </c>
      <c r="S281" s="6" t="str">
        <f t="shared" si="36"/>
        <v/>
      </c>
      <c r="T281" s="6" t="str">
        <f t="shared" si="37"/>
        <v/>
      </c>
    </row>
    <row r="282" spans="1:20" ht="16.5" x14ac:dyDescent="0.25">
      <c r="A282" s="11" t="str">
        <f t="shared" si="32"/>
        <v/>
      </c>
      <c r="B282" s="12" t="str">
        <f>IF($M$1&gt;=I282,VLOOKUP(I282,Iktato!$B$3:$L$10000,5,FALSE),"")</f>
        <v/>
      </c>
      <c r="C282" s="13" t="str">
        <f t="shared" si="33"/>
        <v/>
      </c>
      <c r="D282" s="14" t="str">
        <f>TRIM(IF($M$1&gt;=I282,IF(VLOOKUP(I282,Iktato!$B$3:$L$10000,8,FALSE)&lt;&gt;0,VLOOKUP(I282,Iktato!$B$3:$L$10000,8,FALSE),""),""))</f>
        <v/>
      </c>
      <c r="E282" s="14" t="str">
        <f>TRIM(IF($M$1&gt;=I282,IF(VLOOKUP(I282,Iktato!$B$3:$L$10000,9,FALSE)&lt;&gt;0,VLOOKUP(I282,Iktato!$B$3:$L$10000,9,FALSE),""),""))</f>
        <v/>
      </c>
      <c r="F282" s="43" t="str">
        <f t="shared" si="38"/>
        <v/>
      </c>
      <c r="G282" s="43"/>
      <c r="I282" s="6">
        <f t="shared" si="39"/>
        <v>272</v>
      </c>
      <c r="J282" s="6" t="str">
        <f t="shared" si="34"/>
        <v/>
      </c>
      <c r="K282" s="6" t="str">
        <f>IF($M$1&gt;=I282,VLOOKUP(I282,Iktato!$B$3:$L$10000,3,FALSE),"")</f>
        <v/>
      </c>
      <c r="M282" s="6" t="str">
        <f>IF($M$1&gt;=I282,IF(VLOOKUP(I282,Iktato!$B$3:$P$10000,15,FALSE)&lt;&gt;0,VLOOKUP(I282,Iktato!$B$3:$P$10000,15,FALSE),""),"")</f>
        <v/>
      </c>
      <c r="N282" s="6" t="str">
        <f>IF($M$1&gt;=I282,IF(VLOOKUP(I282,Iktato!$B$3:$Q$10000,16,FALSE)&lt;&gt;0,VLOOKUP(I282,Iktato!$B$3:$Q$10000,16,FALSE),""),"")</f>
        <v/>
      </c>
      <c r="P282" s="6" t="str">
        <f>TRIM(IF($M$1&gt;=I282,IF(VLOOKUP(I282,Iktato!$B$3:$L$10000,6,FALSE)&lt;&gt;0,VLOOKUP(I282,Iktato!$B$3:$L$10000,6,FALSE),""),""))</f>
        <v/>
      </c>
      <c r="Q282" s="8" t="str">
        <f>TRIM(IF($M$1&gt;=I282,IF(VLOOKUP(I282,Iktato!$B$3:$L$10000,7,FALSE)&lt;&gt;0,VLOOKUP(I282,Iktato!$B$3:$L$10000,7,FALSE),""),""))</f>
        <v/>
      </c>
      <c r="R282" s="6" t="str">
        <f t="shared" si="35"/>
        <v/>
      </c>
      <c r="S282" s="6" t="str">
        <f t="shared" si="36"/>
        <v/>
      </c>
      <c r="T282" s="6" t="str">
        <f t="shared" si="37"/>
        <v/>
      </c>
    </row>
    <row r="283" spans="1:20" ht="16.5" x14ac:dyDescent="0.25">
      <c r="A283" s="11" t="str">
        <f t="shared" si="32"/>
        <v/>
      </c>
      <c r="B283" s="12" t="str">
        <f>IF($M$1&gt;=I283,VLOOKUP(I283,Iktato!$B$3:$L$10000,5,FALSE),"")</f>
        <v/>
      </c>
      <c r="C283" s="13" t="str">
        <f t="shared" si="33"/>
        <v/>
      </c>
      <c r="D283" s="14" t="str">
        <f>TRIM(IF($M$1&gt;=I283,IF(VLOOKUP(I283,Iktato!$B$3:$L$10000,8,FALSE)&lt;&gt;0,VLOOKUP(I283,Iktato!$B$3:$L$10000,8,FALSE),""),""))</f>
        <v/>
      </c>
      <c r="E283" s="14" t="str">
        <f>TRIM(IF($M$1&gt;=I283,IF(VLOOKUP(I283,Iktato!$B$3:$L$10000,9,FALSE)&lt;&gt;0,VLOOKUP(I283,Iktato!$B$3:$L$10000,9,FALSE),""),""))</f>
        <v/>
      </c>
      <c r="F283" s="43" t="str">
        <f t="shared" si="38"/>
        <v/>
      </c>
      <c r="G283" s="43"/>
      <c r="I283" s="6">
        <f t="shared" si="39"/>
        <v>273</v>
      </c>
      <c r="J283" s="6" t="str">
        <f t="shared" si="34"/>
        <v/>
      </c>
      <c r="K283" s="6" t="str">
        <f>IF($M$1&gt;=I283,VLOOKUP(I283,Iktato!$B$3:$L$10000,3,FALSE),"")</f>
        <v/>
      </c>
      <c r="M283" s="6" t="str">
        <f>IF($M$1&gt;=I283,IF(VLOOKUP(I283,Iktato!$B$3:$P$10000,15,FALSE)&lt;&gt;0,VLOOKUP(I283,Iktato!$B$3:$P$10000,15,FALSE),""),"")</f>
        <v/>
      </c>
      <c r="N283" s="6" t="str">
        <f>IF($M$1&gt;=I283,IF(VLOOKUP(I283,Iktato!$B$3:$Q$10000,16,FALSE)&lt;&gt;0,VLOOKUP(I283,Iktato!$B$3:$Q$10000,16,FALSE),""),"")</f>
        <v/>
      </c>
      <c r="P283" s="6" t="str">
        <f>TRIM(IF($M$1&gt;=I283,IF(VLOOKUP(I283,Iktato!$B$3:$L$10000,6,FALSE)&lt;&gt;0,VLOOKUP(I283,Iktato!$B$3:$L$10000,6,FALSE),""),""))</f>
        <v/>
      </c>
      <c r="Q283" s="8" t="str">
        <f>TRIM(IF($M$1&gt;=I283,IF(VLOOKUP(I283,Iktato!$B$3:$L$10000,7,FALSE)&lt;&gt;0,VLOOKUP(I283,Iktato!$B$3:$L$10000,7,FALSE),""),""))</f>
        <v/>
      </c>
      <c r="R283" s="6" t="str">
        <f t="shared" si="35"/>
        <v/>
      </c>
      <c r="S283" s="6" t="str">
        <f t="shared" si="36"/>
        <v/>
      </c>
      <c r="T283" s="6" t="str">
        <f t="shared" si="37"/>
        <v/>
      </c>
    </row>
    <row r="284" spans="1:20" ht="16.5" x14ac:dyDescent="0.25">
      <c r="A284" s="11" t="str">
        <f t="shared" si="32"/>
        <v/>
      </c>
      <c r="B284" s="12" t="str">
        <f>IF($M$1&gt;=I284,VLOOKUP(I284,Iktato!$B$3:$L$10000,5,FALSE),"")</f>
        <v/>
      </c>
      <c r="C284" s="13" t="str">
        <f t="shared" si="33"/>
        <v/>
      </c>
      <c r="D284" s="14" t="str">
        <f>TRIM(IF($M$1&gt;=I284,IF(VLOOKUP(I284,Iktato!$B$3:$L$10000,8,FALSE)&lt;&gt;0,VLOOKUP(I284,Iktato!$B$3:$L$10000,8,FALSE),""),""))</f>
        <v/>
      </c>
      <c r="E284" s="14" t="str">
        <f>TRIM(IF($M$1&gt;=I284,IF(VLOOKUP(I284,Iktato!$B$3:$L$10000,9,FALSE)&lt;&gt;0,VLOOKUP(I284,Iktato!$B$3:$L$10000,9,FALSE),""),""))</f>
        <v/>
      </c>
      <c r="F284" s="43" t="str">
        <f t="shared" si="38"/>
        <v/>
      </c>
      <c r="G284" s="43"/>
      <c r="I284" s="6">
        <f t="shared" si="39"/>
        <v>274</v>
      </c>
      <c r="J284" s="6" t="str">
        <f t="shared" si="34"/>
        <v/>
      </c>
      <c r="K284" s="6" t="str">
        <f>IF($M$1&gt;=I284,VLOOKUP(I284,Iktato!$B$3:$L$10000,3,FALSE),"")</f>
        <v/>
      </c>
      <c r="M284" s="6" t="str">
        <f>IF($M$1&gt;=I284,IF(VLOOKUP(I284,Iktato!$B$3:$P$10000,15,FALSE)&lt;&gt;0,VLOOKUP(I284,Iktato!$B$3:$P$10000,15,FALSE),""),"")</f>
        <v/>
      </c>
      <c r="N284" s="6" t="str">
        <f>IF($M$1&gt;=I284,IF(VLOOKUP(I284,Iktato!$B$3:$Q$10000,16,FALSE)&lt;&gt;0,VLOOKUP(I284,Iktato!$B$3:$Q$10000,16,FALSE),""),"")</f>
        <v/>
      </c>
      <c r="P284" s="6" t="str">
        <f>TRIM(IF($M$1&gt;=I284,IF(VLOOKUP(I284,Iktato!$B$3:$L$10000,6,FALSE)&lt;&gt;0,VLOOKUP(I284,Iktato!$B$3:$L$10000,6,FALSE),""),""))</f>
        <v/>
      </c>
      <c r="Q284" s="8" t="str">
        <f>TRIM(IF($M$1&gt;=I284,IF(VLOOKUP(I284,Iktato!$B$3:$L$10000,7,FALSE)&lt;&gt;0,VLOOKUP(I284,Iktato!$B$3:$L$10000,7,FALSE),""),""))</f>
        <v/>
      </c>
      <c r="R284" s="6" t="str">
        <f t="shared" si="35"/>
        <v/>
      </c>
      <c r="S284" s="6" t="str">
        <f t="shared" si="36"/>
        <v/>
      </c>
      <c r="T284" s="6" t="str">
        <f t="shared" si="37"/>
        <v/>
      </c>
    </row>
    <row r="285" spans="1:20" ht="16.5" x14ac:dyDescent="0.25">
      <c r="A285" s="11" t="str">
        <f t="shared" si="32"/>
        <v/>
      </c>
      <c r="B285" s="12" t="str">
        <f>IF($M$1&gt;=I285,VLOOKUP(I285,Iktato!$B$3:$L$10000,5,FALSE),"")</f>
        <v/>
      </c>
      <c r="C285" s="13" t="str">
        <f t="shared" si="33"/>
        <v/>
      </c>
      <c r="D285" s="14" t="str">
        <f>TRIM(IF($M$1&gt;=I285,IF(VLOOKUP(I285,Iktato!$B$3:$L$10000,8,FALSE)&lt;&gt;0,VLOOKUP(I285,Iktato!$B$3:$L$10000,8,FALSE),""),""))</f>
        <v/>
      </c>
      <c r="E285" s="14" t="str">
        <f>TRIM(IF($M$1&gt;=I285,IF(VLOOKUP(I285,Iktato!$B$3:$L$10000,9,FALSE)&lt;&gt;0,VLOOKUP(I285,Iktato!$B$3:$L$10000,9,FALSE),""),""))</f>
        <v/>
      </c>
      <c r="F285" s="43" t="str">
        <f t="shared" si="38"/>
        <v/>
      </c>
      <c r="G285" s="43"/>
      <c r="I285" s="6">
        <f t="shared" si="39"/>
        <v>275</v>
      </c>
      <c r="J285" s="6" t="str">
        <f t="shared" si="34"/>
        <v/>
      </c>
      <c r="K285" s="6" t="str">
        <f>IF($M$1&gt;=I285,VLOOKUP(I285,Iktato!$B$3:$L$10000,3,FALSE),"")</f>
        <v/>
      </c>
      <c r="M285" s="6" t="str">
        <f>IF($M$1&gt;=I285,IF(VLOOKUP(I285,Iktato!$B$3:$P$10000,15,FALSE)&lt;&gt;0,VLOOKUP(I285,Iktato!$B$3:$P$10000,15,FALSE),""),"")</f>
        <v/>
      </c>
      <c r="N285" s="6" t="str">
        <f>IF($M$1&gt;=I285,IF(VLOOKUP(I285,Iktato!$B$3:$Q$10000,16,FALSE)&lt;&gt;0,VLOOKUP(I285,Iktato!$B$3:$Q$10000,16,FALSE),""),"")</f>
        <v/>
      </c>
      <c r="P285" s="6" t="str">
        <f>TRIM(IF($M$1&gt;=I285,IF(VLOOKUP(I285,Iktato!$B$3:$L$10000,6,FALSE)&lt;&gt;0,VLOOKUP(I285,Iktato!$B$3:$L$10000,6,FALSE),""),""))</f>
        <v/>
      </c>
      <c r="Q285" s="8" t="str">
        <f>TRIM(IF($M$1&gt;=I285,IF(VLOOKUP(I285,Iktato!$B$3:$L$10000,7,FALSE)&lt;&gt;0,VLOOKUP(I285,Iktato!$B$3:$L$10000,7,FALSE),""),""))</f>
        <v/>
      </c>
      <c r="R285" s="6" t="str">
        <f t="shared" si="35"/>
        <v/>
      </c>
      <c r="S285" s="6" t="str">
        <f t="shared" si="36"/>
        <v/>
      </c>
      <c r="T285" s="6" t="str">
        <f t="shared" si="37"/>
        <v/>
      </c>
    </row>
    <row r="286" spans="1:20" ht="16.5" x14ac:dyDescent="0.25">
      <c r="A286" s="11" t="str">
        <f t="shared" si="32"/>
        <v/>
      </c>
      <c r="B286" s="12" t="str">
        <f>IF($M$1&gt;=I286,VLOOKUP(I286,Iktato!$B$3:$L$10000,5,FALSE),"")</f>
        <v/>
      </c>
      <c r="C286" s="13" t="str">
        <f t="shared" si="33"/>
        <v/>
      </c>
      <c r="D286" s="14" t="str">
        <f>TRIM(IF($M$1&gt;=I286,IF(VLOOKUP(I286,Iktato!$B$3:$L$10000,8,FALSE)&lt;&gt;0,VLOOKUP(I286,Iktato!$B$3:$L$10000,8,FALSE),""),""))</f>
        <v/>
      </c>
      <c r="E286" s="14" t="str">
        <f>TRIM(IF($M$1&gt;=I286,IF(VLOOKUP(I286,Iktato!$B$3:$L$10000,9,FALSE)&lt;&gt;0,VLOOKUP(I286,Iktato!$B$3:$L$10000,9,FALSE),""),""))</f>
        <v/>
      </c>
      <c r="F286" s="43" t="str">
        <f t="shared" si="38"/>
        <v/>
      </c>
      <c r="G286" s="43"/>
      <c r="I286" s="6">
        <f t="shared" si="39"/>
        <v>276</v>
      </c>
      <c r="J286" s="6" t="str">
        <f t="shared" si="34"/>
        <v/>
      </c>
      <c r="K286" s="6" t="str">
        <f>IF($M$1&gt;=I286,VLOOKUP(I286,Iktato!$B$3:$L$10000,3,FALSE),"")</f>
        <v/>
      </c>
      <c r="M286" s="6" t="str">
        <f>IF($M$1&gt;=I286,IF(VLOOKUP(I286,Iktato!$B$3:$P$10000,15,FALSE)&lt;&gt;0,VLOOKUP(I286,Iktato!$B$3:$P$10000,15,FALSE),""),"")</f>
        <v/>
      </c>
      <c r="N286" s="6" t="str">
        <f>IF($M$1&gt;=I286,IF(VLOOKUP(I286,Iktato!$B$3:$Q$10000,16,FALSE)&lt;&gt;0,VLOOKUP(I286,Iktato!$B$3:$Q$10000,16,FALSE),""),"")</f>
        <v/>
      </c>
      <c r="P286" s="6" t="str">
        <f>TRIM(IF($M$1&gt;=I286,IF(VLOOKUP(I286,Iktato!$B$3:$L$10000,6,FALSE)&lt;&gt;0,VLOOKUP(I286,Iktato!$B$3:$L$10000,6,FALSE),""),""))</f>
        <v/>
      </c>
      <c r="Q286" s="8" t="str">
        <f>TRIM(IF($M$1&gt;=I286,IF(VLOOKUP(I286,Iktato!$B$3:$L$10000,7,FALSE)&lt;&gt;0,VLOOKUP(I286,Iktato!$B$3:$L$10000,7,FALSE),""),""))</f>
        <v/>
      </c>
      <c r="R286" s="6" t="str">
        <f t="shared" si="35"/>
        <v/>
      </c>
      <c r="S286" s="6" t="str">
        <f t="shared" si="36"/>
        <v/>
      </c>
      <c r="T286" s="6" t="str">
        <f t="shared" si="37"/>
        <v/>
      </c>
    </row>
    <row r="287" spans="1:20" ht="16.5" x14ac:dyDescent="0.25">
      <c r="A287" s="11" t="str">
        <f t="shared" si="32"/>
        <v/>
      </c>
      <c r="B287" s="12" t="str">
        <f>IF($M$1&gt;=I287,VLOOKUP(I287,Iktato!$B$3:$L$10000,5,FALSE),"")</f>
        <v/>
      </c>
      <c r="C287" s="13" t="str">
        <f t="shared" si="33"/>
        <v/>
      </c>
      <c r="D287" s="14" t="str">
        <f>TRIM(IF($M$1&gt;=I287,IF(VLOOKUP(I287,Iktato!$B$3:$L$10000,8,FALSE)&lt;&gt;0,VLOOKUP(I287,Iktato!$B$3:$L$10000,8,FALSE),""),""))</f>
        <v/>
      </c>
      <c r="E287" s="14" t="str">
        <f>TRIM(IF($M$1&gt;=I287,IF(VLOOKUP(I287,Iktato!$B$3:$L$10000,9,FALSE)&lt;&gt;0,VLOOKUP(I287,Iktato!$B$3:$L$10000,9,FALSE),""),""))</f>
        <v/>
      </c>
      <c r="F287" s="43" t="str">
        <f t="shared" si="38"/>
        <v/>
      </c>
      <c r="G287" s="43"/>
      <c r="I287" s="6">
        <f t="shared" si="39"/>
        <v>277</v>
      </c>
      <c r="J287" s="6" t="str">
        <f t="shared" si="34"/>
        <v/>
      </c>
      <c r="K287" s="6" t="str">
        <f>IF($M$1&gt;=I287,VLOOKUP(I287,Iktato!$B$3:$L$10000,3,FALSE),"")</f>
        <v/>
      </c>
      <c r="M287" s="6" t="str">
        <f>IF($M$1&gt;=I287,IF(VLOOKUP(I287,Iktato!$B$3:$P$10000,15,FALSE)&lt;&gt;0,VLOOKUP(I287,Iktato!$B$3:$P$10000,15,FALSE),""),"")</f>
        <v/>
      </c>
      <c r="N287" s="6" t="str">
        <f>IF($M$1&gt;=I287,IF(VLOOKUP(I287,Iktato!$B$3:$Q$10000,16,FALSE)&lt;&gt;0,VLOOKUP(I287,Iktato!$B$3:$Q$10000,16,FALSE),""),"")</f>
        <v/>
      </c>
      <c r="P287" s="6" t="str">
        <f>TRIM(IF($M$1&gt;=I287,IF(VLOOKUP(I287,Iktato!$B$3:$L$10000,6,FALSE)&lt;&gt;0,VLOOKUP(I287,Iktato!$B$3:$L$10000,6,FALSE),""),""))</f>
        <v/>
      </c>
      <c r="Q287" s="8" t="str">
        <f>TRIM(IF($M$1&gt;=I287,IF(VLOOKUP(I287,Iktato!$B$3:$L$10000,7,FALSE)&lt;&gt;0,VLOOKUP(I287,Iktato!$B$3:$L$10000,7,FALSE),""),""))</f>
        <v/>
      </c>
      <c r="R287" s="6" t="str">
        <f t="shared" si="35"/>
        <v/>
      </c>
      <c r="S287" s="6" t="str">
        <f t="shared" si="36"/>
        <v/>
      </c>
      <c r="T287" s="6" t="str">
        <f t="shared" si="37"/>
        <v/>
      </c>
    </row>
    <row r="288" spans="1:20" ht="16.5" x14ac:dyDescent="0.25">
      <c r="A288" s="11" t="str">
        <f t="shared" si="32"/>
        <v/>
      </c>
      <c r="B288" s="12" t="str">
        <f>IF($M$1&gt;=I288,VLOOKUP(I288,Iktato!$B$3:$L$10000,5,FALSE),"")</f>
        <v/>
      </c>
      <c r="C288" s="13" t="str">
        <f t="shared" si="33"/>
        <v/>
      </c>
      <c r="D288" s="14" t="str">
        <f>TRIM(IF($M$1&gt;=I288,IF(VLOOKUP(I288,Iktato!$B$3:$L$10000,8,FALSE)&lt;&gt;0,VLOOKUP(I288,Iktato!$B$3:$L$10000,8,FALSE),""),""))</f>
        <v/>
      </c>
      <c r="E288" s="14" t="str">
        <f>TRIM(IF($M$1&gt;=I288,IF(VLOOKUP(I288,Iktato!$B$3:$L$10000,9,FALSE)&lt;&gt;0,VLOOKUP(I288,Iktato!$B$3:$L$10000,9,FALSE),""),""))</f>
        <v/>
      </c>
      <c r="F288" s="43" t="str">
        <f t="shared" si="38"/>
        <v/>
      </c>
      <c r="G288" s="43"/>
      <c r="I288" s="6">
        <f t="shared" si="39"/>
        <v>278</v>
      </c>
      <c r="J288" s="6" t="str">
        <f t="shared" si="34"/>
        <v/>
      </c>
      <c r="K288" s="6" t="str">
        <f>IF($M$1&gt;=I288,VLOOKUP(I288,Iktato!$B$3:$L$10000,3,FALSE),"")</f>
        <v/>
      </c>
      <c r="M288" s="6" t="str">
        <f>IF($M$1&gt;=I288,IF(VLOOKUP(I288,Iktato!$B$3:$P$10000,15,FALSE)&lt;&gt;0,VLOOKUP(I288,Iktato!$B$3:$P$10000,15,FALSE),""),"")</f>
        <v/>
      </c>
      <c r="N288" s="6" t="str">
        <f>IF($M$1&gt;=I288,IF(VLOOKUP(I288,Iktato!$B$3:$Q$10000,16,FALSE)&lt;&gt;0,VLOOKUP(I288,Iktato!$B$3:$Q$10000,16,FALSE),""),"")</f>
        <v/>
      </c>
      <c r="P288" s="6" t="str">
        <f>TRIM(IF($M$1&gt;=I288,IF(VLOOKUP(I288,Iktato!$B$3:$L$10000,6,FALSE)&lt;&gt;0,VLOOKUP(I288,Iktato!$B$3:$L$10000,6,FALSE),""),""))</f>
        <v/>
      </c>
      <c r="Q288" s="8" t="str">
        <f>TRIM(IF($M$1&gt;=I288,IF(VLOOKUP(I288,Iktato!$B$3:$L$10000,7,FALSE)&lt;&gt;0,VLOOKUP(I288,Iktato!$B$3:$L$10000,7,FALSE),""),""))</f>
        <v/>
      </c>
      <c r="R288" s="6" t="str">
        <f t="shared" si="35"/>
        <v/>
      </c>
      <c r="S288" s="6" t="str">
        <f t="shared" si="36"/>
        <v/>
      </c>
      <c r="T288" s="6" t="str">
        <f t="shared" si="37"/>
        <v/>
      </c>
    </row>
    <row r="289" spans="1:20" ht="16.5" x14ac:dyDescent="0.25">
      <c r="A289" s="11" t="str">
        <f t="shared" si="32"/>
        <v/>
      </c>
      <c r="B289" s="12" t="str">
        <f>IF($M$1&gt;=I289,VLOOKUP(I289,Iktato!$B$3:$L$10000,5,FALSE),"")</f>
        <v/>
      </c>
      <c r="C289" s="13" t="str">
        <f t="shared" si="33"/>
        <v/>
      </c>
      <c r="D289" s="14" t="str">
        <f>TRIM(IF($M$1&gt;=I289,IF(VLOOKUP(I289,Iktato!$B$3:$L$10000,8,FALSE)&lt;&gt;0,VLOOKUP(I289,Iktato!$B$3:$L$10000,8,FALSE),""),""))</f>
        <v/>
      </c>
      <c r="E289" s="14" t="str">
        <f>TRIM(IF($M$1&gt;=I289,IF(VLOOKUP(I289,Iktato!$B$3:$L$10000,9,FALSE)&lt;&gt;0,VLOOKUP(I289,Iktato!$B$3:$L$10000,9,FALSE),""),""))</f>
        <v/>
      </c>
      <c r="F289" s="43" t="str">
        <f t="shared" si="38"/>
        <v/>
      </c>
      <c r="G289" s="43"/>
      <c r="I289" s="6">
        <f t="shared" si="39"/>
        <v>279</v>
      </c>
      <c r="J289" s="6" t="str">
        <f t="shared" si="34"/>
        <v/>
      </c>
      <c r="K289" s="6" t="str">
        <f>IF($M$1&gt;=I289,VLOOKUP(I289,Iktato!$B$3:$L$10000,3,FALSE),"")</f>
        <v/>
      </c>
      <c r="M289" s="6" t="str">
        <f>IF($M$1&gt;=I289,IF(VLOOKUP(I289,Iktato!$B$3:$P$10000,15,FALSE)&lt;&gt;0,VLOOKUP(I289,Iktato!$B$3:$P$10000,15,FALSE),""),"")</f>
        <v/>
      </c>
      <c r="N289" s="6" t="str">
        <f>IF($M$1&gt;=I289,IF(VLOOKUP(I289,Iktato!$B$3:$Q$10000,16,FALSE)&lt;&gt;0,VLOOKUP(I289,Iktato!$B$3:$Q$10000,16,FALSE),""),"")</f>
        <v/>
      </c>
      <c r="P289" s="6" t="str">
        <f>TRIM(IF($M$1&gt;=I289,IF(VLOOKUP(I289,Iktato!$B$3:$L$10000,6,FALSE)&lt;&gt;0,VLOOKUP(I289,Iktato!$B$3:$L$10000,6,FALSE),""),""))</f>
        <v/>
      </c>
      <c r="Q289" s="8" t="str">
        <f>TRIM(IF($M$1&gt;=I289,IF(VLOOKUP(I289,Iktato!$B$3:$L$10000,7,FALSE)&lt;&gt;0,VLOOKUP(I289,Iktato!$B$3:$L$10000,7,FALSE),""),""))</f>
        <v/>
      </c>
      <c r="R289" s="6" t="str">
        <f t="shared" si="35"/>
        <v/>
      </c>
      <c r="S289" s="6" t="str">
        <f t="shared" si="36"/>
        <v/>
      </c>
      <c r="T289" s="6" t="str">
        <f t="shared" si="37"/>
        <v/>
      </c>
    </row>
    <row r="290" spans="1:20" ht="16.5" x14ac:dyDescent="0.25">
      <c r="A290" s="11" t="str">
        <f t="shared" si="32"/>
        <v/>
      </c>
      <c r="B290" s="12" t="str">
        <f>IF($M$1&gt;=I290,VLOOKUP(I290,Iktato!$B$3:$L$10000,5,FALSE),"")</f>
        <v/>
      </c>
      <c r="C290" s="13" t="str">
        <f t="shared" si="33"/>
        <v/>
      </c>
      <c r="D290" s="14" t="str">
        <f>TRIM(IF($M$1&gt;=I290,IF(VLOOKUP(I290,Iktato!$B$3:$L$10000,8,FALSE)&lt;&gt;0,VLOOKUP(I290,Iktato!$B$3:$L$10000,8,FALSE),""),""))</f>
        <v/>
      </c>
      <c r="E290" s="14" t="str">
        <f>TRIM(IF($M$1&gt;=I290,IF(VLOOKUP(I290,Iktato!$B$3:$L$10000,9,FALSE)&lt;&gt;0,VLOOKUP(I290,Iktato!$B$3:$L$10000,9,FALSE),""),""))</f>
        <v/>
      </c>
      <c r="F290" s="43" t="str">
        <f t="shared" si="38"/>
        <v/>
      </c>
      <c r="G290" s="43"/>
      <c r="I290" s="6">
        <f t="shared" si="39"/>
        <v>280</v>
      </c>
      <c r="J290" s="6" t="str">
        <f t="shared" si="34"/>
        <v/>
      </c>
      <c r="K290" s="6" t="str">
        <f>IF($M$1&gt;=I290,VLOOKUP(I290,Iktato!$B$3:$L$10000,3,FALSE),"")</f>
        <v/>
      </c>
      <c r="M290" s="6" t="str">
        <f>IF($M$1&gt;=I290,IF(VLOOKUP(I290,Iktato!$B$3:$P$10000,15,FALSE)&lt;&gt;0,VLOOKUP(I290,Iktato!$B$3:$P$10000,15,FALSE),""),"")</f>
        <v/>
      </c>
      <c r="N290" s="6" t="str">
        <f>IF($M$1&gt;=I290,IF(VLOOKUP(I290,Iktato!$B$3:$Q$10000,16,FALSE)&lt;&gt;0,VLOOKUP(I290,Iktato!$B$3:$Q$10000,16,FALSE),""),"")</f>
        <v/>
      </c>
      <c r="P290" s="6" t="str">
        <f>TRIM(IF($M$1&gt;=I290,IF(VLOOKUP(I290,Iktato!$B$3:$L$10000,6,FALSE)&lt;&gt;0,VLOOKUP(I290,Iktato!$B$3:$L$10000,6,FALSE),""),""))</f>
        <v/>
      </c>
      <c r="Q290" s="8" t="str">
        <f>TRIM(IF($M$1&gt;=I290,IF(VLOOKUP(I290,Iktato!$B$3:$L$10000,7,FALSE)&lt;&gt;0,VLOOKUP(I290,Iktato!$B$3:$L$10000,7,FALSE),""),""))</f>
        <v/>
      </c>
      <c r="R290" s="6" t="str">
        <f t="shared" si="35"/>
        <v/>
      </c>
      <c r="S290" s="6" t="str">
        <f t="shared" si="36"/>
        <v/>
      </c>
      <c r="T290" s="6" t="str">
        <f t="shared" si="37"/>
        <v/>
      </c>
    </row>
    <row r="291" spans="1:20" ht="16.5" x14ac:dyDescent="0.25">
      <c r="A291" s="11" t="str">
        <f t="shared" si="32"/>
        <v/>
      </c>
      <c r="B291" s="12" t="str">
        <f>IF($M$1&gt;=I291,VLOOKUP(I291,Iktato!$B$3:$L$10000,5,FALSE),"")</f>
        <v/>
      </c>
      <c r="C291" s="13" t="str">
        <f t="shared" si="33"/>
        <v/>
      </c>
      <c r="D291" s="14" t="str">
        <f>TRIM(IF($M$1&gt;=I291,IF(VLOOKUP(I291,Iktato!$B$3:$L$10000,8,FALSE)&lt;&gt;0,VLOOKUP(I291,Iktato!$B$3:$L$10000,8,FALSE),""),""))</f>
        <v/>
      </c>
      <c r="E291" s="14" t="str">
        <f>TRIM(IF($M$1&gt;=I291,IF(VLOOKUP(I291,Iktato!$B$3:$L$10000,9,FALSE)&lt;&gt;0,VLOOKUP(I291,Iktato!$B$3:$L$10000,9,FALSE),""),""))</f>
        <v/>
      </c>
      <c r="F291" s="43" t="str">
        <f t="shared" si="38"/>
        <v/>
      </c>
      <c r="G291" s="43"/>
      <c r="I291" s="6">
        <f t="shared" si="39"/>
        <v>281</v>
      </c>
      <c r="J291" s="6" t="str">
        <f t="shared" si="34"/>
        <v/>
      </c>
      <c r="K291" s="6" t="str">
        <f>IF($M$1&gt;=I291,VLOOKUP(I291,Iktato!$B$3:$L$10000,3,FALSE),"")</f>
        <v/>
      </c>
      <c r="M291" s="6" t="str">
        <f>IF($M$1&gt;=I291,IF(VLOOKUP(I291,Iktato!$B$3:$P$10000,15,FALSE)&lt;&gt;0,VLOOKUP(I291,Iktato!$B$3:$P$10000,15,FALSE),""),"")</f>
        <v/>
      </c>
      <c r="N291" s="6" t="str">
        <f>IF($M$1&gt;=I291,IF(VLOOKUP(I291,Iktato!$B$3:$Q$10000,16,FALSE)&lt;&gt;0,VLOOKUP(I291,Iktato!$B$3:$Q$10000,16,FALSE),""),"")</f>
        <v/>
      </c>
      <c r="P291" s="6" t="str">
        <f>TRIM(IF($M$1&gt;=I291,IF(VLOOKUP(I291,Iktato!$B$3:$L$10000,6,FALSE)&lt;&gt;0,VLOOKUP(I291,Iktato!$B$3:$L$10000,6,FALSE),""),""))</f>
        <v/>
      </c>
      <c r="Q291" s="8" t="str">
        <f>TRIM(IF($M$1&gt;=I291,IF(VLOOKUP(I291,Iktato!$B$3:$L$10000,7,FALSE)&lt;&gt;0,VLOOKUP(I291,Iktato!$B$3:$L$10000,7,FALSE),""),""))</f>
        <v/>
      </c>
      <c r="R291" s="6" t="str">
        <f t="shared" si="35"/>
        <v/>
      </c>
      <c r="S291" s="6" t="str">
        <f t="shared" si="36"/>
        <v/>
      </c>
      <c r="T291" s="6" t="str">
        <f t="shared" si="37"/>
        <v/>
      </c>
    </row>
    <row r="292" spans="1:20" ht="16.5" x14ac:dyDescent="0.25">
      <c r="A292" s="11" t="str">
        <f t="shared" si="32"/>
        <v/>
      </c>
      <c r="B292" s="12" t="str">
        <f>IF($M$1&gt;=I292,VLOOKUP(I292,Iktato!$B$3:$L$10000,5,FALSE),"")</f>
        <v/>
      </c>
      <c r="C292" s="13" t="str">
        <f t="shared" si="33"/>
        <v/>
      </c>
      <c r="D292" s="14" t="str">
        <f>TRIM(IF($M$1&gt;=I292,IF(VLOOKUP(I292,Iktato!$B$3:$L$10000,8,FALSE)&lt;&gt;0,VLOOKUP(I292,Iktato!$B$3:$L$10000,8,FALSE),""),""))</f>
        <v/>
      </c>
      <c r="E292" s="14" t="str">
        <f>TRIM(IF($M$1&gt;=I292,IF(VLOOKUP(I292,Iktato!$B$3:$L$10000,9,FALSE)&lt;&gt;0,VLOOKUP(I292,Iktato!$B$3:$L$10000,9,FALSE),""),""))</f>
        <v/>
      </c>
      <c r="F292" s="43" t="str">
        <f t="shared" si="38"/>
        <v/>
      </c>
      <c r="G292" s="43"/>
      <c r="I292" s="6">
        <f t="shared" si="39"/>
        <v>282</v>
      </c>
      <c r="J292" s="6" t="str">
        <f t="shared" si="34"/>
        <v/>
      </c>
      <c r="K292" s="6" t="str">
        <f>IF($M$1&gt;=I292,VLOOKUP(I292,Iktato!$B$3:$L$10000,3,FALSE),"")</f>
        <v/>
      </c>
      <c r="M292" s="6" t="str">
        <f>IF($M$1&gt;=I292,IF(VLOOKUP(I292,Iktato!$B$3:$P$10000,15,FALSE)&lt;&gt;0,VLOOKUP(I292,Iktato!$B$3:$P$10000,15,FALSE),""),"")</f>
        <v/>
      </c>
      <c r="N292" s="6" t="str">
        <f>IF($M$1&gt;=I292,IF(VLOOKUP(I292,Iktato!$B$3:$Q$10000,16,FALSE)&lt;&gt;0,VLOOKUP(I292,Iktato!$B$3:$Q$10000,16,FALSE),""),"")</f>
        <v/>
      </c>
      <c r="P292" s="6" t="str">
        <f>TRIM(IF($M$1&gt;=I292,IF(VLOOKUP(I292,Iktato!$B$3:$L$10000,6,FALSE)&lt;&gt;0,VLOOKUP(I292,Iktato!$B$3:$L$10000,6,FALSE),""),""))</f>
        <v/>
      </c>
      <c r="Q292" s="8" t="str">
        <f>TRIM(IF($M$1&gt;=I292,IF(VLOOKUP(I292,Iktato!$B$3:$L$10000,7,FALSE)&lt;&gt;0,VLOOKUP(I292,Iktato!$B$3:$L$10000,7,FALSE),""),""))</f>
        <v/>
      </c>
      <c r="R292" s="6" t="str">
        <f t="shared" si="35"/>
        <v/>
      </c>
      <c r="S292" s="6" t="str">
        <f t="shared" si="36"/>
        <v/>
      </c>
      <c r="T292" s="6" t="str">
        <f t="shared" si="37"/>
        <v/>
      </c>
    </row>
    <row r="293" spans="1:20" ht="16.5" x14ac:dyDescent="0.25">
      <c r="A293" s="11" t="str">
        <f t="shared" si="32"/>
        <v/>
      </c>
      <c r="B293" s="12" t="str">
        <f>IF($M$1&gt;=I293,VLOOKUP(I293,Iktato!$B$3:$L$10000,5,FALSE),"")</f>
        <v/>
      </c>
      <c r="C293" s="13" t="str">
        <f t="shared" si="33"/>
        <v/>
      </c>
      <c r="D293" s="14" t="str">
        <f>TRIM(IF($M$1&gt;=I293,IF(VLOOKUP(I293,Iktato!$B$3:$L$10000,8,FALSE)&lt;&gt;0,VLOOKUP(I293,Iktato!$B$3:$L$10000,8,FALSE),""),""))</f>
        <v/>
      </c>
      <c r="E293" s="14" t="str">
        <f>TRIM(IF($M$1&gt;=I293,IF(VLOOKUP(I293,Iktato!$B$3:$L$10000,9,FALSE)&lt;&gt;0,VLOOKUP(I293,Iktato!$B$3:$L$10000,9,FALSE),""),""))</f>
        <v/>
      </c>
      <c r="F293" s="43" t="str">
        <f t="shared" si="38"/>
        <v/>
      </c>
      <c r="G293" s="43"/>
      <c r="I293" s="6">
        <f t="shared" si="39"/>
        <v>283</v>
      </c>
      <c r="J293" s="6" t="str">
        <f t="shared" si="34"/>
        <v/>
      </c>
      <c r="K293" s="6" t="str">
        <f>IF($M$1&gt;=I293,VLOOKUP(I293,Iktato!$B$3:$L$10000,3,FALSE),"")</f>
        <v/>
      </c>
      <c r="M293" s="6" t="str">
        <f>IF($M$1&gt;=I293,IF(VLOOKUP(I293,Iktato!$B$3:$P$10000,15,FALSE)&lt;&gt;0,VLOOKUP(I293,Iktato!$B$3:$P$10000,15,FALSE),""),"")</f>
        <v/>
      </c>
      <c r="N293" s="6" t="str">
        <f>IF($M$1&gt;=I293,IF(VLOOKUP(I293,Iktato!$B$3:$Q$10000,16,FALSE)&lt;&gt;0,VLOOKUP(I293,Iktato!$B$3:$Q$10000,16,FALSE),""),"")</f>
        <v/>
      </c>
      <c r="P293" s="6" t="str">
        <f>TRIM(IF($M$1&gt;=I293,IF(VLOOKUP(I293,Iktato!$B$3:$L$10000,6,FALSE)&lt;&gt;0,VLOOKUP(I293,Iktato!$B$3:$L$10000,6,FALSE),""),""))</f>
        <v/>
      </c>
      <c r="Q293" s="8" t="str">
        <f>TRIM(IF($M$1&gt;=I293,IF(VLOOKUP(I293,Iktato!$B$3:$L$10000,7,FALSE)&lt;&gt;0,VLOOKUP(I293,Iktato!$B$3:$L$10000,7,FALSE),""),""))</f>
        <v/>
      </c>
      <c r="R293" s="6" t="str">
        <f t="shared" si="35"/>
        <v/>
      </c>
      <c r="S293" s="6" t="str">
        <f t="shared" si="36"/>
        <v/>
      </c>
      <c r="T293" s="6" t="str">
        <f t="shared" si="37"/>
        <v/>
      </c>
    </row>
    <row r="294" spans="1:20" ht="16.5" x14ac:dyDescent="0.25">
      <c r="A294" s="11" t="str">
        <f t="shared" si="32"/>
        <v/>
      </c>
      <c r="B294" s="12" t="str">
        <f>IF($M$1&gt;=I294,VLOOKUP(I294,Iktato!$B$3:$L$10000,5,FALSE),"")</f>
        <v/>
      </c>
      <c r="C294" s="13" t="str">
        <f t="shared" si="33"/>
        <v/>
      </c>
      <c r="D294" s="14" t="str">
        <f>TRIM(IF($M$1&gt;=I294,IF(VLOOKUP(I294,Iktato!$B$3:$L$10000,8,FALSE)&lt;&gt;0,VLOOKUP(I294,Iktato!$B$3:$L$10000,8,FALSE),""),""))</f>
        <v/>
      </c>
      <c r="E294" s="14" t="str">
        <f>TRIM(IF($M$1&gt;=I294,IF(VLOOKUP(I294,Iktato!$B$3:$L$10000,9,FALSE)&lt;&gt;0,VLOOKUP(I294,Iktato!$B$3:$L$10000,9,FALSE),""),""))</f>
        <v/>
      </c>
      <c r="F294" s="43" t="str">
        <f t="shared" si="38"/>
        <v/>
      </c>
      <c r="G294" s="43"/>
      <c r="I294" s="6">
        <f t="shared" si="39"/>
        <v>284</v>
      </c>
      <c r="J294" s="6" t="str">
        <f t="shared" si="34"/>
        <v/>
      </c>
      <c r="K294" s="6" t="str">
        <f>IF($M$1&gt;=I294,VLOOKUP(I294,Iktato!$B$3:$L$10000,3,FALSE),"")</f>
        <v/>
      </c>
      <c r="M294" s="6" t="str">
        <f>IF($M$1&gt;=I294,IF(VLOOKUP(I294,Iktato!$B$3:$P$10000,15,FALSE)&lt;&gt;0,VLOOKUP(I294,Iktato!$B$3:$P$10000,15,FALSE),""),"")</f>
        <v/>
      </c>
      <c r="N294" s="6" t="str">
        <f>IF($M$1&gt;=I294,IF(VLOOKUP(I294,Iktato!$B$3:$Q$10000,16,FALSE)&lt;&gt;0,VLOOKUP(I294,Iktato!$B$3:$Q$10000,16,FALSE),""),"")</f>
        <v/>
      </c>
      <c r="P294" s="6" t="str">
        <f>TRIM(IF($M$1&gt;=I294,IF(VLOOKUP(I294,Iktato!$B$3:$L$10000,6,FALSE)&lt;&gt;0,VLOOKUP(I294,Iktato!$B$3:$L$10000,6,FALSE),""),""))</f>
        <v/>
      </c>
      <c r="Q294" s="8" t="str">
        <f>TRIM(IF($M$1&gt;=I294,IF(VLOOKUP(I294,Iktato!$B$3:$L$10000,7,FALSE)&lt;&gt;0,VLOOKUP(I294,Iktato!$B$3:$L$10000,7,FALSE),""),""))</f>
        <v/>
      </c>
      <c r="R294" s="6" t="str">
        <f t="shared" si="35"/>
        <v/>
      </c>
      <c r="S294" s="6" t="str">
        <f t="shared" si="36"/>
        <v/>
      </c>
      <c r="T294" s="6" t="str">
        <f t="shared" si="37"/>
        <v/>
      </c>
    </row>
    <row r="295" spans="1:20" ht="16.5" x14ac:dyDescent="0.25">
      <c r="A295" s="11" t="str">
        <f t="shared" si="32"/>
        <v/>
      </c>
      <c r="B295" s="12" t="str">
        <f>IF($M$1&gt;=I295,VLOOKUP(I295,Iktato!$B$3:$L$10000,5,FALSE),"")</f>
        <v/>
      </c>
      <c r="C295" s="13" t="str">
        <f t="shared" si="33"/>
        <v/>
      </c>
      <c r="D295" s="14" t="str">
        <f>TRIM(IF($M$1&gt;=I295,IF(VLOOKUP(I295,Iktato!$B$3:$L$10000,8,FALSE)&lt;&gt;0,VLOOKUP(I295,Iktato!$B$3:$L$10000,8,FALSE),""),""))</f>
        <v/>
      </c>
      <c r="E295" s="14" t="str">
        <f>TRIM(IF($M$1&gt;=I295,IF(VLOOKUP(I295,Iktato!$B$3:$L$10000,9,FALSE)&lt;&gt;0,VLOOKUP(I295,Iktato!$B$3:$L$10000,9,FALSE),""),""))</f>
        <v/>
      </c>
      <c r="F295" s="43" t="str">
        <f t="shared" si="38"/>
        <v/>
      </c>
      <c r="G295" s="43"/>
      <c r="I295" s="6">
        <f t="shared" si="39"/>
        <v>285</v>
      </c>
      <c r="J295" s="6" t="str">
        <f t="shared" si="34"/>
        <v/>
      </c>
      <c r="K295" s="6" t="str">
        <f>IF($M$1&gt;=I295,VLOOKUP(I295,Iktato!$B$3:$L$10000,3,FALSE),"")</f>
        <v/>
      </c>
      <c r="M295" s="6" t="str">
        <f>IF($M$1&gt;=I295,IF(VLOOKUP(I295,Iktato!$B$3:$P$10000,15,FALSE)&lt;&gt;0,VLOOKUP(I295,Iktato!$B$3:$P$10000,15,FALSE),""),"")</f>
        <v/>
      </c>
      <c r="N295" s="6" t="str">
        <f>IF($M$1&gt;=I295,IF(VLOOKUP(I295,Iktato!$B$3:$Q$10000,16,FALSE)&lt;&gt;0,VLOOKUP(I295,Iktato!$B$3:$Q$10000,16,FALSE),""),"")</f>
        <v/>
      </c>
      <c r="P295" s="6" t="str">
        <f>TRIM(IF($M$1&gt;=I295,IF(VLOOKUP(I295,Iktato!$B$3:$L$10000,6,FALSE)&lt;&gt;0,VLOOKUP(I295,Iktato!$B$3:$L$10000,6,FALSE),""),""))</f>
        <v/>
      </c>
      <c r="Q295" s="8" t="str">
        <f>TRIM(IF($M$1&gt;=I295,IF(VLOOKUP(I295,Iktato!$B$3:$L$10000,7,FALSE)&lt;&gt;0,VLOOKUP(I295,Iktato!$B$3:$L$10000,7,FALSE),""),""))</f>
        <v/>
      </c>
      <c r="R295" s="6" t="str">
        <f t="shared" si="35"/>
        <v/>
      </c>
      <c r="S295" s="6" t="str">
        <f t="shared" si="36"/>
        <v/>
      </c>
      <c r="T295" s="6" t="str">
        <f t="shared" si="37"/>
        <v/>
      </c>
    </row>
    <row r="296" spans="1:20" ht="16.5" x14ac:dyDescent="0.25">
      <c r="A296" s="11" t="str">
        <f t="shared" si="32"/>
        <v/>
      </c>
      <c r="B296" s="12" t="str">
        <f>IF($M$1&gt;=I296,VLOOKUP(I296,Iktato!$B$3:$L$10000,5,FALSE),"")</f>
        <v/>
      </c>
      <c r="C296" s="13" t="str">
        <f t="shared" si="33"/>
        <v/>
      </c>
      <c r="D296" s="14" t="str">
        <f>TRIM(IF($M$1&gt;=I296,IF(VLOOKUP(I296,Iktato!$B$3:$L$10000,8,FALSE)&lt;&gt;0,VLOOKUP(I296,Iktato!$B$3:$L$10000,8,FALSE),""),""))</f>
        <v/>
      </c>
      <c r="E296" s="14" t="str">
        <f>TRIM(IF($M$1&gt;=I296,IF(VLOOKUP(I296,Iktato!$B$3:$L$10000,9,FALSE)&lt;&gt;0,VLOOKUP(I296,Iktato!$B$3:$L$10000,9,FALSE),""),""))</f>
        <v/>
      </c>
      <c r="F296" s="43" t="str">
        <f t="shared" si="38"/>
        <v/>
      </c>
      <c r="G296" s="43"/>
      <c r="I296" s="6">
        <f t="shared" si="39"/>
        <v>286</v>
      </c>
      <c r="J296" s="6" t="str">
        <f t="shared" si="34"/>
        <v/>
      </c>
      <c r="K296" s="6" t="str">
        <f>IF($M$1&gt;=I296,VLOOKUP(I296,Iktato!$B$3:$L$10000,3,FALSE),"")</f>
        <v/>
      </c>
      <c r="M296" s="6" t="str">
        <f>IF($M$1&gt;=I296,IF(VLOOKUP(I296,Iktato!$B$3:$P$10000,15,FALSE)&lt;&gt;0,VLOOKUP(I296,Iktato!$B$3:$P$10000,15,FALSE),""),"")</f>
        <v/>
      </c>
      <c r="N296" s="6" t="str">
        <f>IF($M$1&gt;=I296,IF(VLOOKUP(I296,Iktato!$B$3:$Q$10000,16,FALSE)&lt;&gt;0,VLOOKUP(I296,Iktato!$B$3:$Q$10000,16,FALSE),""),"")</f>
        <v/>
      </c>
      <c r="P296" s="6" t="str">
        <f>TRIM(IF($M$1&gt;=I296,IF(VLOOKUP(I296,Iktato!$B$3:$L$10000,6,FALSE)&lt;&gt;0,VLOOKUP(I296,Iktato!$B$3:$L$10000,6,FALSE),""),""))</f>
        <v/>
      </c>
      <c r="Q296" s="8" t="str">
        <f>TRIM(IF($M$1&gt;=I296,IF(VLOOKUP(I296,Iktato!$B$3:$L$10000,7,FALSE)&lt;&gt;0,VLOOKUP(I296,Iktato!$B$3:$L$10000,7,FALSE),""),""))</f>
        <v/>
      </c>
      <c r="R296" s="6" t="str">
        <f t="shared" si="35"/>
        <v/>
      </c>
      <c r="S296" s="6" t="str">
        <f t="shared" si="36"/>
        <v/>
      </c>
      <c r="T296" s="6" t="str">
        <f t="shared" si="37"/>
        <v/>
      </c>
    </row>
    <row r="297" spans="1:20" ht="16.5" x14ac:dyDescent="0.25">
      <c r="A297" s="11" t="str">
        <f t="shared" si="32"/>
        <v/>
      </c>
      <c r="B297" s="12" t="str">
        <f>IF($M$1&gt;=I297,VLOOKUP(I297,Iktato!$B$3:$L$10000,5,FALSE),"")</f>
        <v/>
      </c>
      <c r="C297" s="13" t="str">
        <f t="shared" si="33"/>
        <v/>
      </c>
      <c r="D297" s="14" t="str">
        <f>TRIM(IF($M$1&gt;=I297,IF(VLOOKUP(I297,Iktato!$B$3:$L$10000,8,FALSE)&lt;&gt;0,VLOOKUP(I297,Iktato!$B$3:$L$10000,8,FALSE),""),""))</f>
        <v/>
      </c>
      <c r="E297" s="14" t="str">
        <f>TRIM(IF($M$1&gt;=I297,IF(VLOOKUP(I297,Iktato!$B$3:$L$10000,9,FALSE)&lt;&gt;0,VLOOKUP(I297,Iktato!$B$3:$L$10000,9,FALSE),""),""))</f>
        <v/>
      </c>
      <c r="F297" s="43" t="str">
        <f t="shared" si="38"/>
        <v/>
      </c>
      <c r="G297" s="43"/>
      <c r="I297" s="6">
        <f t="shared" si="39"/>
        <v>287</v>
      </c>
      <c r="J297" s="6" t="str">
        <f t="shared" si="34"/>
        <v/>
      </c>
      <c r="K297" s="6" t="str">
        <f>IF($M$1&gt;=I297,VLOOKUP(I297,Iktato!$B$3:$L$10000,3,FALSE),"")</f>
        <v/>
      </c>
      <c r="M297" s="6" t="str">
        <f>IF($M$1&gt;=I297,IF(VLOOKUP(I297,Iktato!$B$3:$P$10000,15,FALSE)&lt;&gt;0,VLOOKUP(I297,Iktato!$B$3:$P$10000,15,FALSE),""),"")</f>
        <v/>
      </c>
      <c r="N297" s="6" t="str">
        <f>IF($M$1&gt;=I297,IF(VLOOKUP(I297,Iktato!$B$3:$Q$10000,16,FALSE)&lt;&gt;0,VLOOKUP(I297,Iktato!$B$3:$Q$10000,16,FALSE),""),"")</f>
        <v/>
      </c>
      <c r="P297" s="6" t="str">
        <f>TRIM(IF($M$1&gt;=I297,IF(VLOOKUP(I297,Iktato!$B$3:$L$10000,6,FALSE)&lt;&gt;0,VLOOKUP(I297,Iktato!$B$3:$L$10000,6,FALSE),""),""))</f>
        <v/>
      </c>
      <c r="Q297" s="8" t="str">
        <f>TRIM(IF($M$1&gt;=I297,IF(VLOOKUP(I297,Iktato!$B$3:$L$10000,7,FALSE)&lt;&gt;0,VLOOKUP(I297,Iktato!$B$3:$L$10000,7,FALSE),""),""))</f>
        <v/>
      </c>
      <c r="R297" s="6" t="str">
        <f t="shared" si="35"/>
        <v/>
      </c>
      <c r="S297" s="6" t="str">
        <f t="shared" si="36"/>
        <v/>
      </c>
      <c r="T297" s="6" t="str">
        <f t="shared" si="37"/>
        <v/>
      </c>
    </row>
    <row r="298" spans="1:20" ht="16.5" x14ac:dyDescent="0.25">
      <c r="A298" s="11" t="str">
        <f t="shared" ref="A298:A361" si="40">IF($M$1&gt;=I298,J298,"")</f>
        <v/>
      </c>
      <c r="B298" s="12" t="str">
        <f>IF($M$1&gt;=I298,VLOOKUP(I298,Iktato!$B$3:$L$10000,5,FALSE),"")</f>
        <v/>
      </c>
      <c r="C298" s="13" t="str">
        <f t="shared" ref="C298:C361" si="41">TRIM(IF(AND(P298&amp;Q298&lt;&gt;"",$M$1&gt;=I298),P298&amp;"-"&amp;R298&amp;$R$10&amp;S298&amp;$R$10&amp;T298&amp;$R$10,""))</f>
        <v/>
      </c>
      <c r="D298" s="14" t="str">
        <f>TRIM(IF($M$1&gt;=I298,IF(VLOOKUP(I298,Iktato!$B$3:$L$10000,8,FALSE)&lt;&gt;0,VLOOKUP(I298,Iktato!$B$3:$L$10000,8,FALSE),""),""))</f>
        <v/>
      </c>
      <c r="E298" s="14" t="str">
        <f>TRIM(IF($M$1&gt;=I298,IF(VLOOKUP(I298,Iktato!$B$3:$L$10000,9,FALSE)&lt;&gt;0,VLOOKUP(I298,Iktato!$B$3:$L$10000,9,FALSE),""),""))</f>
        <v/>
      </c>
      <c r="F298" s="43" t="str">
        <f t="shared" si="38"/>
        <v/>
      </c>
      <c r="G298" s="43"/>
      <c r="I298" s="6">
        <f t="shared" si="39"/>
        <v>288</v>
      </c>
      <c r="J298" s="6" t="str">
        <f t="shared" ref="J298:J361" si="42">IF(K297&lt;&gt;K298,K298,"")</f>
        <v/>
      </c>
      <c r="K298" s="6" t="str">
        <f>IF($M$1&gt;=I298,VLOOKUP(I298,Iktato!$B$3:$L$10000,3,FALSE),"")</f>
        <v/>
      </c>
      <c r="M298" s="6" t="str">
        <f>IF($M$1&gt;=I298,IF(VLOOKUP(I298,Iktato!$B$3:$P$10000,15,FALSE)&lt;&gt;0,VLOOKUP(I298,Iktato!$B$3:$P$10000,15,FALSE),""),"")</f>
        <v/>
      </c>
      <c r="N298" s="6" t="str">
        <f>IF($M$1&gt;=I298,IF(VLOOKUP(I298,Iktato!$B$3:$Q$10000,16,FALSE)&lt;&gt;0,VLOOKUP(I298,Iktato!$B$3:$Q$10000,16,FALSE),""),"")</f>
        <v/>
      </c>
      <c r="P298" s="6" t="str">
        <f>TRIM(IF($M$1&gt;=I298,IF(VLOOKUP(I298,Iktato!$B$3:$L$10000,6,FALSE)&lt;&gt;0,VLOOKUP(I298,Iktato!$B$3:$L$10000,6,FALSE),""),""))</f>
        <v/>
      </c>
      <c r="Q298" s="8" t="str">
        <f>TRIM(IF($M$1&gt;=I298,IF(VLOOKUP(I298,Iktato!$B$3:$L$10000,7,FALSE)&lt;&gt;0,VLOOKUP(I298,Iktato!$B$3:$L$10000,7,FALSE),""),""))</f>
        <v/>
      </c>
      <c r="R298" s="6" t="str">
        <f t="shared" ref="R298:R361" si="43">IF(Q298&lt;&gt;"",YEAR(Q298),"")</f>
        <v/>
      </c>
      <c r="S298" s="6" t="str">
        <f t="shared" ref="S298:S361" si="44">IF(Q298&lt;&gt;"",MONTH(Q298),"")</f>
        <v/>
      </c>
      <c r="T298" s="6" t="str">
        <f t="shared" ref="T298:T361" si="45">IF(Q298&lt;&gt;"",DAY(Q298),"")</f>
        <v/>
      </c>
    </row>
    <row r="299" spans="1:20" ht="16.5" x14ac:dyDescent="0.25">
      <c r="A299" s="11" t="str">
        <f t="shared" si="40"/>
        <v/>
      </c>
      <c r="B299" s="12" t="str">
        <f>IF($M$1&gt;=I299,VLOOKUP(I299,Iktato!$B$3:$L$10000,5,FALSE),"")</f>
        <v/>
      </c>
      <c r="C299" s="13" t="str">
        <f t="shared" si="41"/>
        <v/>
      </c>
      <c r="D299" s="14" t="str">
        <f>TRIM(IF($M$1&gt;=I299,IF(VLOOKUP(I299,Iktato!$B$3:$L$10000,8,FALSE)&lt;&gt;0,VLOOKUP(I299,Iktato!$B$3:$L$10000,8,FALSE),""),""))</f>
        <v/>
      </c>
      <c r="E299" s="14" t="str">
        <f>TRIM(IF($M$1&gt;=I299,IF(VLOOKUP(I299,Iktato!$B$3:$L$10000,9,FALSE)&lt;&gt;0,VLOOKUP(I299,Iktato!$B$3:$L$10000,9,FALSE),""),""))</f>
        <v/>
      </c>
      <c r="F299" s="43" t="str">
        <f t="shared" si="38"/>
        <v/>
      </c>
      <c r="G299" s="43"/>
      <c r="I299" s="6">
        <f t="shared" si="39"/>
        <v>289</v>
      </c>
      <c r="J299" s="6" t="str">
        <f t="shared" si="42"/>
        <v/>
      </c>
      <c r="K299" s="6" t="str">
        <f>IF($M$1&gt;=I299,VLOOKUP(I299,Iktato!$B$3:$L$10000,3,FALSE),"")</f>
        <v/>
      </c>
      <c r="M299" s="6" t="str">
        <f>IF($M$1&gt;=I299,IF(VLOOKUP(I299,Iktato!$B$3:$P$10000,15,FALSE)&lt;&gt;0,VLOOKUP(I299,Iktato!$B$3:$P$10000,15,FALSE),""),"")</f>
        <v/>
      </c>
      <c r="N299" s="6" t="str">
        <f>IF($M$1&gt;=I299,IF(VLOOKUP(I299,Iktato!$B$3:$Q$10000,16,FALSE)&lt;&gt;0,VLOOKUP(I299,Iktato!$B$3:$Q$10000,16,FALSE),""),"")</f>
        <v/>
      </c>
      <c r="P299" s="6" t="str">
        <f>TRIM(IF($M$1&gt;=I299,IF(VLOOKUP(I299,Iktato!$B$3:$L$10000,6,FALSE)&lt;&gt;0,VLOOKUP(I299,Iktato!$B$3:$L$10000,6,FALSE),""),""))</f>
        <v/>
      </c>
      <c r="Q299" s="8" t="str">
        <f>TRIM(IF($M$1&gt;=I299,IF(VLOOKUP(I299,Iktato!$B$3:$L$10000,7,FALSE)&lt;&gt;0,VLOOKUP(I299,Iktato!$B$3:$L$10000,7,FALSE),""),""))</f>
        <v/>
      </c>
      <c r="R299" s="6" t="str">
        <f t="shared" si="43"/>
        <v/>
      </c>
      <c r="S299" s="6" t="str">
        <f t="shared" si="44"/>
        <v/>
      </c>
      <c r="T299" s="6" t="str">
        <f t="shared" si="45"/>
        <v/>
      </c>
    </row>
    <row r="300" spans="1:20" ht="16.5" x14ac:dyDescent="0.25">
      <c r="A300" s="11" t="str">
        <f t="shared" si="40"/>
        <v/>
      </c>
      <c r="B300" s="12" t="str">
        <f>IF($M$1&gt;=I300,VLOOKUP(I300,Iktato!$B$3:$L$10000,5,FALSE),"")</f>
        <v/>
      </c>
      <c r="C300" s="13" t="str">
        <f t="shared" si="41"/>
        <v/>
      </c>
      <c r="D300" s="14" t="str">
        <f>TRIM(IF($M$1&gt;=I300,IF(VLOOKUP(I300,Iktato!$B$3:$L$10000,8,FALSE)&lt;&gt;0,VLOOKUP(I300,Iktato!$B$3:$L$10000,8,FALSE),""),""))</f>
        <v/>
      </c>
      <c r="E300" s="14" t="str">
        <f>TRIM(IF($M$1&gt;=I300,IF(VLOOKUP(I300,Iktato!$B$3:$L$10000,9,FALSE)&lt;&gt;0,VLOOKUP(I300,Iktato!$B$3:$L$10000,9,FALSE),""),""))</f>
        <v/>
      </c>
      <c r="F300" s="43" t="str">
        <f t="shared" si="38"/>
        <v/>
      </c>
      <c r="G300" s="43"/>
      <c r="I300" s="6">
        <f t="shared" si="39"/>
        <v>290</v>
      </c>
      <c r="J300" s="6" t="str">
        <f t="shared" si="42"/>
        <v/>
      </c>
      <c r="K300" s="6" t="str">
        <f>IF($M$1&gt;=I300,VLOOKUP(I300,Iktato!$B$3:$L$10000,3,FALSE),"")</f>
        <v/>
      </c>
      <c r="M300" s="6" t="str">
        <f>IF($M$1&gt;=I300,IF(VLOOKUP(I300,Iktato!$B$3:$P$10000,15,FALSE)&lt;&gt;0,VLOOKUP(I300,Iktato!$B$3:$P$10000,15,FALSE),""),"")</f>
        <v/>
      </c>
      <c r="N300" s="6" t="str">
        <f>IF($M$1&gt;=I300,IF(VLOOKUP(I300,Iktato!$B$3:$Q$10000,16,FALSE)&lt;&gt;0,VLOOKUP(I300,Iktato!$B$3:$Q$10000,16,FALSE),""),"")</f>
        <v/>
      </c>
      <c r="P300" s="6" t="str">
        <f>TRIM(IF($M$1&gt;=I300,IF(VLOOKUP(I300,Iktato!$B$3:$L$10000,6,FALSE)&lt;&gt;0,VLOOKUP(I300,Iktato!$B$3:$L$10000,6,FALSE),""),""))</f>
        <v/>
      </c>
      <c r="Q300" s="8" t="str">
        <f>TRIM(IF($M$1&gt;=I300,IF(VLOOKUP(I300,Iktato!$B$3:$L$10000,7,FALSE)&lt;&gt;0,VLOOKUP(I300,Iktato!$B$3:$L$10000,7,FALSE),""),""))</f>
        <v/>
      </c>
      <c r="R300" s="6" t="str">
        <f t="shared" si="43"/>
        <v/>
      </c>
      <c r="S300" s="6" t="str">
        <f t="shared" si="44"/>
        <v/>
      </c>
      <c r="T300" s="6" t="str">
        <f t="shared" si="45"/>
        <v/>
      </c>
    </row>
    <row r="301" spans="1:20" ht="16.5" x14ac:dyDescent="0.25">
      <c r="A301" s="11" t="str">
        <f t="shared" si="40"/>
        <v/>
      </c>
      <c r="B301" s="12" t="str">
        <f>IF($M$1&gt;=I301,VLOOKUP(I301,Iktato!$B$3:$L$10000,5,FALSE),"")</f>
        <v/>
      </c>
      <c r="C301" s="13" t="str">
        <f t="shared" si="41"/>
        <v/>
      </c>
      <c r="D301" s="14" t="str">
        <f>TRIM(IF($M$1&gt;=I301,IF(VLOOKUP(I301,Iktato!$B$3:$L$10000,8,FALSE)&lt;&gt;0,VLOOKUP(I301,Iktato!$B$3:$L$10000,8,FALSE),""),""))</f>
        <v/>
      </c>
      <c r="E301" s="14" t="str">
        <f>TRIM(IF($M$1&gt;=I301,IF(VLOOKUP(I301,Iktato!$B$3:$L$10000,9,FALSE)&lt;&gt;0,VLOOKUP(I301,Iktato!$B$3:$L$10000,9,FALSE),""),""))</f>
        <v/>
      </c>
      <c r="F301" s="43" t="str">
        <f t="shared" si="38"/>
        <v/>
      </c>
      <c r="G301" s="43"/>
      <c r="I301" s="6">
        <f t="shared" si="39"/>
        <v>291</v>
      </c>
      <c r="J301" s="6" t="str">
        <f t="shared" si="42"/>
        <v/>
      </c>
      <c r="K301" s="6" t="str">
        <f>IF($M$1&gt;=I301,VLOOKUP(I301,Iktato!$B$3:$L$10000,3,FALSE),"")</f>
        <v/>
      </c>
      <c r="M301" s="6" t="str">
        <f>IF($M$1&gt;=I301,IF(VLOOKUP(I301,Iktato!$B$3:$P$10000,15,FALSE)&lt;&gt;0,VLOOKUP(I301,Iktato!$B$3:$P$10000,15,FALSE),""),"")</f>
        <v/>
      </c>
      <c r="N301" s="6" t="str">
        <f>IF($M$1&gt;=I301,IF(VLOOKUP(I301,Iktato!$B$3:$Q$10000,16,FALSE)&lt;&gt;0,VLOOKUP(I301,Iktato!$B$3:$Q$10000,16,FALSE),""),"")</f>
        <v/>
      </c>
      <c r="P301" s="6" t="str">
        <f>TRIM(IF($M$1&gt;=I301,IF(VLOOKUP(I301,Iktato!$B$3:$L$10000,6,FALSE)&lt;&gt;0,VLOOKUP(I301,Iktato!$B$3:$L$10000,6,FALSE),""),""))</f>
        <v/>
      </c>
      <c r="Q301" s="8" t="str">
        <f>TRIM(IF($M$1&gt;=I301,IF(VLOOKUP(I301,Iktato!$B$3:$L$10000,7,FALSE)&lt;&gt;0,VLOOKUP(I301,Iktato!$B$3:$L$10000,7,FALSE),""),""))</f>
        <v/>
      </c>
      <c r="R301" s="6" t="str">
        <f t="shared" si="43"/>
        <v/>
      </c>
      <c r="S301" s="6" t="str">
        <f t="shared" si="44"/>
        <v/>
      </c>
      <c r="T301" s="6" t="str">
        <f t="shared" si="45"/>
        <v/>
      </c>
    </row>
    <row r="302" spans="1:20" ht="16.5" x14ac:dyDescent="0.25">
      <c r="A302" s="11" t="str">
        <f t="shared" si="40"/>
        <v/>
      </c>
      <c r="B302" s="12" t="str">
        <f>IF($M$1&gt;=I302,VLOOKUP(I302,Iktato!$B$3:$L$10000,5,FALSE),"")</f>
        <v/>
      </c>
      <c r="C302" s="13" t="str">
        <f t="shared" si="41"/>
        <v/>
      </c>
      <c r="D302" s="14" t="str">
        <f>TRIM(IF($M$1&gt;=I302,IF(VLOOKUP(I302,Iktato!$B$3:$L$10000,8,FALSE)&lt;&gt;0,VLOOKUP(I302,Iktato!$B$3:$L$10000,8,FALSE),""),""))</f>
        <v/>
      </c>
      <c r="E302" s="14" t="str">
        <f>TRIM(IF($M$1&gt;=I302,IF(VLOOKUP(I302,Iktato!$B$3:$L$10000,9,FALSE)&lt;&gt;0,VLOOKUP(I302,Iktato!$B$3:$L$10000,9,FALSE),""),""))</f>
        <v/>
      </c>
      <c r="F302" s="43" t="str">
        <f t="shared" si="38"/>
        <v/>
      </c>
      <c r="G302" s="43"/>
      <c r="I302" s="6">
        <f t="shared" si="39"/>
        <v>292</v>
      </c>
      <c r="J302" s="6" t="str">
        <f t="shared" si="42"/>
        <v/>
      </c>
      <c r="K302" s="6" t="str">
        <f>IF($M$1&gt;=I302,VLOOKUP(I302,Iktato!$B$3:$L$10000,3,FALSE),"")</f>
        <v/>
      </c>
      <c r="M302" s="6" t="str">
        <f>IF($M$1&gt;=I302,IF(VLOOKUP(I302,Iktato!$B$3:$P$10000,15,FALSE)&lt;&gt;0,VLOOKUP(I302,Iktato!$B$3:$P$10000,15,FALSE),""),"")</f>
        <v/>
      </c>
      <c r="N302" s="6" t="str">
        <f>IF($M$1&gt;=I302,IF(VLOOKUP(I302,Iktato!$B$3:$Q$10000,16,FALSE)&lt;&gt;0,VLOOKUP(I302,Iktato!$B$3:$Q$10000,16,FALSE),""),"")</f>
        <v/>
      </c>
      <c r="P302" s="6" t="str">
        <f>TRIM(IF($M$1&gt;=I302,IF(VLOOKUP(I302,Iktato!$B$3:$L$10000,6,FALSE)&lt;&gt;0,VLOOKUP(I302,Iktato!$B$3:$L$10000,6,FALSE),""),""))</f>
        <v/>
      </c>
      <c r="Q302" s="8" t="str">
        <f>TRIM(IF($M$1&gt;=I302,IF(VLOOKUP(I302,Iktato!$B$3:$L$10000,7,FALSE)&lt;&gt;0,VLOOKUP(I302,Iktato!$B$3:$L$10000,7,FALSE),""),""))</f>
        <v/>
      </c>
      <c r="R302" s="6" t="str">
        <f t="shared" si="43"/>
        <v/>
      </c>
      <c r="S302" s="6" t="str">
        <f t="shared" si="44"/>
        <v/>
      </c>
      <c r="T302" s="6" t="str">
        <f t="shared" si="45"/>
        <v/>
      </c>
    </row>
    <row r="303" spans="1:20" ht="16.5" x14ac:dyDescent="0.25">
      <c r="A303" s="11" t="str">
        <f t="shared" si="40"/>
        <v/>
      </c>
      <c r="B303" s="12" t="str">
        <f>IF($M$1&gt;=I303,VLOOKUP(I303,Iktato!$B$3:$L$10000,5,FALSE),"")</f>
        <v/>
      </c>
      <c r="C303" s="13" t="str">
        <f t="shared" si="41"/>
        <v/>
      </c>
      <c r="D303" s="14" t="str">
        <f>TRIM(IF($M$1&gt;=I303,IF(VLOOKUP(I303,Iktato!$B$3:$L$10000,8,FALSE)&lt;&gt;0,VLOOKUP(I303,Iktato!$B$3:$L$10000,8,FALSE),""),""))</f>
        <v/>
      </c>
      <c r="E303" s="14" t="str">
        <f>TRIM(IF($M$1&gt;=I303,IF(VLOOKUP(I303,Iktato!$B$3:$L$10000,9,FALSE)&lt;&gt;0,VLOOKUP(I303,Iktato!$B$3:$L$10000,9,FALSE),""),""))</f>
        <v/>
      </c>
      <c r="F303" s="43" t="str">
        <f t="shared" si="38"/>
        <v/>
      </c>
      <c r="G303" s="43"/>
      <c r="I303" s="6">
        <f t="shared" si="39"/>
        <v>293</v>
      </c>
      <c r="J303" s="6" t="str">
        <f t="shared" si="42"/>
        <v/>
      </c>
      <c r="K303" s="6" t="str">
        <f>IF($M$1&gt;=I303,VLOOKUP(I303,Iktato!$B$3:$L$10000,3,FALSE),"")</f>
        <v/>
      </c>
      <c r="M303" s="6" t="str">
        <f>IF($M$1&gt;=I303,IF(VLOOKUP(I303,Iktato!$B$3:$P$10000,15,FALSE)&lt;&gt;0,VLOOKUP(I303,Iktato!$B$3:$P$10000,15,FALSE),""),"")</f>
        <v/>
      </c>
      <c r="N303" s="6" t="str">
        <f>IF($M$1&gt;=I303,IF(VLOOKUP(I303,Iktato!$B$3:$Q$10000,16,FALSE)&lt;&gt;0,VLOOKUP(I303,Iktato!$B$3:$Q$10000,16,FALSE),""),"")</f>
        <v/>
      </c>
      <c r="P303" s="6" t="str">
        <f>TRIM(IF($M$1&gt;=I303,IF(VLOOKUP(I303,Iktato!$B$3:$L$10000,6,FALSE)&lt;&gt;0,VLOOKUP(I303,Iktato!$B$3:$L$10000,6,FALSE),""),""))</f>
        <v/>
      </c>
      <c r="Q303" s="8" t="str">
        <f>TRIM(IF($M$1&gt;=I303,IF(VLOOKUP(I303,Iktato!$B$3:$L$10000,7,FALSE)&lt;&gt;0,VLOOKUP(I303,Iktato!$B$3:$L$10000,7,FALSE),""),""))</f>
        <v/>
      </c>
      <c r="R303" s="6" t="str">
        <f t="shared" si="43"/>
        <v/>
      </c>
      <c r="S303" s="6" t="str">
        <f t="shared" si="44"/>
        <v/>
      </c>
      <c r="T303" s="6" t="str">
        <f t="shared" si="45"/>
        <v/>
      </c>
    </row>
    <row r="304" spans="1:20" ht="16.5" x14ac:dyDescent="0.25">
      <c r="A304" s="11" t="str">
        <f t="shared" si="40"/>
        <v/>
      </c>
      <c r="B304" s="12" t="str">
        <f>IF($M$1&gt;=I304,VLOOKUP(I304,Iktato!$B$3:$L$10000,5,FALSE),"")</f>
        <v/>
      </c>
      <c r="C304" s="13" t="str">
        <f t="shared" si="41"/>
        <v/>
      </c>
      <c r="D304" s="14" t="str">
        <f>TRIM(IF($M$1&gt;=I304,IF(VLOOKUP(I304,Iktato!$B$3:$L$10000,8,FALSE)&lt;&gt;0,VLOOKUP(I304,Iktato!$B$3:$L$10000,8,FALSE),""),""))</f>
        <v/>
      </c>
      <c r="E304" s="14" t="str">
        <f>TRIM(IF($M$1&gt;=I304,IF(VLOOKUP(I304,Iktato!$B$3:$L$10000,9,FALSE)&lt;&gt;0,VLOOKUP(I304,Iktato!$B$3:$L$10000,9,FALSE),""),""))</f>
        <v/>
      </c>
      <c r="F304" s="43" t="str">
        <f t="shared" si="38"/>
        <v/>
      </c>
      <c r="G304" s="43"/>
      <c r="I304" s="6">
        <f t="shared" si="39"/>
        <v>294</v>
      </c>
      <c r="J304" s="6" t="str">
        <f t="shared" si="42"/>
        <v/>
      </c>
      <c r="K304" s="6" t="str">
        <f>IF($M$1&gt;=I304,VLOOKUP(I304,Iktato!$B$3:$L$10000,3,FALSE),"")</f>
        <v/>
      </c>
      <c r="M304" s="6" t="str">
        <f>IF($M$1&gt;=I304,IF(VLOOKUP(I304,Iktato!$B$3:$P$10000,15,FALSE)&lt;&gt;0,VLOOKUP(I304,Iktato!$B$3:$P$10000,15,FALSE),""),"")</f>
        <v/>
      </c>
      <c r="N304" s="6" t="str">
        <f>IF($M$1&gt;=I304,IF(VLOOKUP(I304,Iktato!$B$3:$Q$10000,16,FALSE)&lt;&gt;0,VLOOKUP(I304,Iktato!$B$3:$Q$10000,16,FALSE),""),"")</f>
        <v/>
      </c>
      <c r="P304" s="6" t="str">
        <f>TRIM(IF($M$1&gt;=I304,IF(VLOOKUP(I304,Iktato!$B$3:$L$10000,6,FALSE)&lt;&gt;0,VLOOKUP(I304,Iktato!$B$3:$L$10000,6,FALSE),""),""))</f>
        <v/>
      </c>
      <c r="Q304" s="8" t="str">
        <f>TRIM(IF($M$1&gt;=I304,IF(VLOOKUP(I304,Iktato!$B$3:$L$10000,7,FALSE)&lt;&gt;0,VLOOKUP(I304,Iktato!$B$3:$L$10000,7,FALSE),""),""))</f>
        <v/>
      </c>
      <c r="R304" s="6" t="str">
        <f t="shared" si="43"/>
        <v/>
      </c>
      <c r="S304" s="6" t="str">
        <f t="shared" si="44"/>
        <v/>
      </c>
      <c r="T304" s="6" t="str">
        <f t="shared" si="45"/>
        <v/>
      </c>
    </row>
    <row r="305" spans="1:20" ht="16.5" x14ac:dyDescent="0.25">
      <c r="A305" s="11" t="str">
        <f t="shared" si="40"/>
        <v/>
      </c>
      <c r="B305" s="12" t="str">
        <f>IF($M$1&gt;=I305,VLOOKUP(I305,Iktato!$B$3:$L$10000,5,FALSE),"")</f>
        <v/>
      </c>
      <c r="C305" s="13" t="str">
        <f t="shared" si="41"/>
        <v/>
      </c>
      <c r="D305" s="14" t="str">
        <f>TRIM(IF($M$1&gt;=I305,IF(VLOOKUP(I305,Iktato!$B$3:$L$10000,8,FALSE)&lt;&gt;0,VLOOKUP(I305,Iktato!$B$3:$L$10000,8,FALSE),""),""))</f>
        <v/>
      </c>
      <c r="E305" s="14" t="str">
        <f>TRIM(IF($M$1&gt;=I305,IF(VLOOKUP(I305,Iktato!$B$3:$L$10000,9,FALSE)&lt;&gt;0,VLOOKUP(I305,Iktato!$B$3:$L$10000,9,FALSE),""),""))</f>
        <v/>
      </c>
      <c r="F305" s="43" t="str">
        <f t="shared" si="38"/>
        <v/>
      </c>
      <c r="G305" s="43"/>
      <c r="I305" s="6">
        <f t="shared" si="39"/>
        <v>295</v>
      </c>
      <c r="J305" s="6" t="str">
        <f t="shared" si="42"/>
        <v/>
      </c>
      <c r="K305" s="6" t="str">
        <f>IF($M$1&gt;=I305,VLOOKUP(I305,Iktato!$B$3:$L$10000,3,FALSE),"")</f>
        <v/>
      </c>
      <c r="M305" s="6" t="str">
        <f>IF($M$1&gt;=I305,IF(VLOOKUP(I305,Iktato!$B$3:$P$10000,15,FALSE)&lt;&gt;0,VLOOKUP(I305,Iktato!$B$3:$P$10000,15,FALSE),""),"")</f>
        <v/>
      </c>
      <c r="N305" s="6" t="str">
        <f>IF($M$1&gt;=I305,IF(VLOOKUP(I305,Iktato!$B$3:$Q$10000,16,FALSE)&lt;&gt;0,VLOOKUP(I305,Iktato!$B$3:$Q$10000,16,FALSE),""),"")</f>
        <v/>
      </c>
      <c r="P305" s="6" t="str">
        <f>TRIM(IF($M$1&gt;=I305,IF(VLOOKUP(I305,Iktato!$B$3:$L$10000,6,FALSE)&lt;&gt;0,VLOOKUP(I305,Iktato!$B$3:$L$10000,6,FALSE),""),""))</f>
        <v/>
      </c>
      <c r="Q305" s="8" t="str">
        <f>TRIM(IF($M$1&gt;=I305,IF(VLOOKUP(I305,Iktato!$B$3:$L$10000,7,FALSE)&lt;&gt;0,VLOOKUP(I305,Iktato!$B$3:$L$10000,7,FALSE),""),""))</f>
        <v/>
      </c>
      <c r="R305" s="6" t="str">
        <f t="shared" si="43"/>
        <v/>
      </c>
      <c r="S305" s="6" t="str">
        <f t="shared" si="44"/>
        <v/>
      </c>
      <c r="T305" s="6" t="str">
        <f t="shared" si="45"/>
        <v/>
      </c>
    </row>
    <row r="306" spans="1:20" ht="16.5" x14ac:dyDescent="0.25">
      <c r="A306" s="11" t="str">
        <f t="shared" si="40"/>
        <v/>
      </c>
      <c r="B306" s="12" t="str">
        <f>IF($M$1&gt;=I306,VLOOKUP(I306,Iktato!$B$3:$L$10000,5,FALSE),"")</f>
        <v/>
      </c>
      <c r="C306" s="13" t="str">
        <f t="shared" si="41"/>
        <v/>
      </c>
      <c r="D306" s="14" t="str">
        <f>TRIM(IF($M$1&gt;=I306,IF(VLOOKUP(I306,Iktato!$B$3:$L$10000,8,FALSE)&lt;&gt;0,VLOOKUP(I306,Iktato!$B$3:$L$10000,8,FALSE),""),""))</f>
        <v/>
      </c>
      <c r="E306" s="14" t="str">
        <f>TRIM(IF($M$1&gt;=I306,IF(VLOOKUP(I306,Iktato!$B$3:$L$10000,9,FALSE)&lt;&gt;0,VLOOKUP(I306,Iktato!$B$3:$L$10000,9,FALSE),""),""))</f>
        <v/>
      </c>
      <c r="F306" s="43" t="str">
        <f t="shared" si="38"/>
        <v/>
      </c>
      <c r="G306" s="43"/>
      <c r="I306" s="6">
        <f t="shared" si="39"/>
        <v>296</v>
      </c>
      <c r="J306" s="6" t="str">
        <f t="shared" si="42"/>
        <v/>
      </c>
      <c r="K306" s="6" t="str">
        <f>IF($M$1&gt;=I306,VLOOKUP(I306,Iktato!$B$3:$L$10000,3,FALSE),"")</f>
        <v/>
      </c>
      <c r="M306" s="6" t="str">
        <f>IF($M$1&gt;=I306,IF(VLOOKUP(I306,Iktato!$B$3:$P$10000,15,FALSE)&lt;&gt;0,VLOOKUP(I306,Iktato!$B$3:$P$10000,15,FALSE),""),"")</f>
        <v/>
      </c>
      <c r="N306" s="6" t="str">
        <f>IF($M$1&gt;=I306,IF(VLOOKUP(I306,Iktato!$B$3:$Q$10000,16,FALSE)&lt;&gt;0,VLOOKUP(I306,Iktato!$B$3:$Q$10000,16,FALSE),""),"")</f>
        <v/>
      </c>
      <c r="P306" s="6" t="str">
        <f>TRIM(IF($M$1&gt;=I306,IF(VLOOKUP(I306,Iktato!$B$3:$L$10000,6,FALSE)&lt;&gt;0,VLOOKUP(I306,Iktato!$B$3:$L$10000,6,FALSE),""),""))</f>
        <v/>
      </c>
      <c r="Q306" s="8" t="str">
        <f>TRIM(IF($M$1&gt;=I306,IF(VLOOKUP(I306,Iktato!$B$3:$L$10000,7,FALSE)&lt;&gt;0,VLOOKUP(I306,Iktato!$B$3:$L$10000,7,FALSE),""),""))</f>
        <v/>
      </c>
      <c r="R306" s="6" t="str">
        <f t="shared" si="43"/>
        <v/>
      </c>
      <c r="S306" s="6" t="str">
        <f t="shared" si="44"/>
        <v/>
      </c>
      <c r="T306" s="6" t="str">
        <f t="shared" si="45"/>
        <v/>
      </c>
    </row>
    <row r="307" spans="1:20" ht="16.5" x14ac:dyDescent="0.25">
      <c r="A307" s="11" t="str">
        <f t="shared" si="40"/>
        <v/>
      </c>
      <c r="B307" s="12" t="str">
        <f>IF($M$1&gt;=I307,VLOOKUP(I307,Iktato!$B$3:$L$10000,5,FALSE),"")</f>
        <v/>
      </c>
      <c r="C307" s="13" t="str">
        <f t="shared" si="41"/>
        <v/>
      </c>
      <c r="D307" s="14" t="str">
        <f>TRIM(IF($M$1&gt;=I307,IF(VLOOKUP(I307,Iktato!$B$3:$L$10000,8,FALSE)&lt;&gt;0,VLOOKUP(I307,Iktato!$B$3:$L$10000,8,FALSE),""),""))</f>
        <v/>
      </c>
      <c r="E307" s="14" t="str">
        <f>TRIM(IF($M$1&gt;=I307,IF(VLOOKUP(I307,Iktato!$B$3:$L$10000,9,FALSE)&lt;&gt;0,VLOOKUP(I307,Iktato!$B$3:$L$10000,9,FALSE),""),""))</f>
        <v/>
      </c>
      <c r="F307" s="43" t="str">
        <f t="shared" si="38"/>
        <v/>
      </c>
      <c r="G307" s="43"/>
      <c r="I307" s="6">
        <f t="shared" si="39"/>
        <v>297</v>
      </c>
      <c r="J307" s="6" t="str">
        <f t="shared" si="42"/>
        <v/>
      </c>
      <c r="K307" s="6" t="str">
        <f>IF($M$1&gt;=I307,VLOOKUP(I307,Iktato!$B$3:$L$10000,3,FALSE),"")</f>
        <v/>
      </c>
      <c r="M307" s="6" t="str">
        <f>IF($M$1&gt;=I307,IF(VLOOKUP(I307,Iktato!$B$3:$P$10000,15,FALSE)&lt;&gt;0,VLOOKUP(I307,Iktato!$B$3:$P$10000,15,FALSE),""),"")</f>
        <v/>
      </c>
      <c r="N307" s="6" t="str">
        <f>IF($M$1&gt;=I307,IF(VLOOKUP(I307,Iktato!$B$3:$Q$10000,16,FALSE)&lt;&gt;0,VLOOKUP(I307,Iktato!$B$3:$Q$10000,16,FALSE),""),"")</f>
        <v/>
      </c>
      <c r="P307" s="6" t="str">
        <f>TRIM(IF($M$1&gt;=I307,IF(VLOOKUP(I307,Iktato!$B$3:$L$10000,6,FALSE)&lt;&gt;0,VLOOKUP(I307,Iktato!$B$3:$L$10000,6,FALSE),""),""))</f>
        <v/>
      </c>
      <c r="Q307" s="8" t="str">
        <f>TRIM(IF($M$1&gt;=I307,IF(VLOOKUP(I307,Iktato!$B$3:$L$10000,7,FALSE)&lt;&gt;0,VLOOKUP(I307,Iktato!$B$3:$L$10000,7,FALSE),""),""))</f>
        <v/>
      </c>
      <c r="R307" s="6" t="str">
        <f t="shared" si="43"/>
        <v/>
      </c>
      <c r="S307" s="6" t="str">
        <f t="shared" si="44"/>
        <v/>
      </c>
      <c r="T307" s="6" t="str">
        <f t="shared" si="45"/>
        <v/>
      </c>
    </row>
    <row r="308" spans="1:20" ht="16.5" x14ac:dyDescent="0.25">
      <c r="A308" s="11" t="str">
        <f t="shared" si="40"/>
        <v/>
      </c>
      <c r="B308" s="12" t="str">
        <f>IF($M$1&gt;=I308,VLOOKUP(I308,Iktato!$B$3:$L$10000,5,FALSE),"")</f>
        <v/>
      </c>
      <c r="C308" s="13" t="str">
        <f t="shared" si="41"/>
        <v/>
      </c>
      <c r="D308" s="14" t="str">
        <f>TRIM(IF($M$1&gt;=I308,IF(VLOOKUP(I308,Iktato!$B$3:$L$10000,8,FALSE)&lt;&gt;0,VLOOKUP(I308,Iktato!$B$3:$L$10000,8,FALSE),""),""))</f>
        <v/>
      </c>
      <c r="E308" s="14" t="str">
        <f>TRIM(IF($M$1&gt;=I308,IF(VLOOKUP(I308,Iktato!$B$3:$L$10000,9,FALSE)&lt;&gt;0,VLOOKUP(I308,Iktato!$B$3:$L$10000,9,FALSE),""),""))</f>
        <v/>
      </c>
      <c r="F308" s="43" t="str">
        <f t="shared" si="38"/>
        <v/>
      </c>
      <c r="G308" s="43"/>
      <c r="I308" s="6">
        <f t="shared" si="39"/>
        <v>298</v>
      </c>
      <c r="J308" s="6" t="str">
        <f t="shared" si="42"/>
        <v/>
      </c>
      <c r="K308" s="6" t="str">
        <f>IF($M$1&gt;=I308,VLOOKUP(I308,Iktato!$B$3:$L$10000,3,FALSE),"")</f>
        <v/>
      </c>
      <c r="M308" s="6" t="str">
        <f>IF($M$1&gt;=I308,IF(VLOOKUP(I308,Iktato!$B$3:$P$10000,15,FALSE)&lt;&gt;0,VLOOKUP(I308,Iktato!$B$3:$P$10000,15,FALSE),""),"")</f>
        <v/>
      </c>
      <c r="N308" s="6" t="str">
        <f>IF($M$1&gt;=I308,IF(VLOOKUP(I308,Iktato!$B$3:$Q$10000,16,FALSE)&lt;&gt;0,VLOOKUP(I308,Iktato!$B$3:$Q$10000,16,FALSE),""),"")</f>
        <v/>
      </c>
      <c r="P308" s="6" t="str">
        <f>TRIM(IF($M$1&gt;=I308,IF(VLOOKUP(I308,Iktato!$B$3:$L$10000,6,FALSE)&lt;&gt;0,VLOOKUP(I308,Iktato!$B$3:$L$10000,6,FALSE),""),""))</f>
        <v/>
      </c>
      <c r="Q308" s="8" t="str">
        <f>TRIM(IF($M$1&gt;=I308,IF(VLOOKUP(I308,Iktato!$B$3:$L$10000,7,FALSE)&lt;&gt;0,VLOOKUP(I308,Iktato!$B$3:$L$10000,7,FALSE),""),""))</f>
        <v/>
      </c>
      <c r="R308" s="6" t="str">
        <f t="shared" si="43"/>
        <v/>
      </c>
      <c r="S308" s="6" t="str">
        <f t="shared" si="44"/>
        <v/>
      </c>
      <c r="T308" s="6" t="str">
        <f t="shared" si="45"/>
        <v/>
      </c>
    </row>
    <row r="309" spans="1:20" ht="16.5" x14ac:dyDescent="0.25">
      <c r="A309" s="11" t="str">
        <f t="shared" si="40"/>
        <v/>
      </c>
      <c r="B309" s="12" t="str">
        <f>IF($M$1&gt;=I309,VLOOKUP(I309,Iktato!$B$3:$L$10000,5,FALSE),"")</f>
        <v/>
      </c>
      <c r="C309" s="13" t="str">
        <f t="shared" si="41"/>
        <v/>
      </c>
      <c r="D309" s="14" t="str">
        <f>TRIM(IF($M$1&gt;=I309,IF(VLOOKUP(I309,Iktato!$B$3:$L$10000,8,FALSE)&lt;&gt;0,VLOOKUP(I309,Iktato!$B$3:$L$10000,8,FALSE),""),""))</f>
        <v/>
      </c>
      <c r="E309" s="14" t="str">
        <f>TRIM(IF($M$1&gt;=I309,IF(VLOOKUP(I309,Iktato!$B$3:$L$10000,9,FALSE)&lt;&gt;0,VLOOKUP(I309,Iktato!$B$3:$L$10000,9,FALSE),""),""))</f>
        <v/>
      </c>
      <c r="F309" s="43" t="str">
        <f t="shared" si="38"/>
        <v/>
      </c>
      <c r="G309" s="43"/>
      <c r="I309" s="6">
        <f t="shared" si="39"/>
        <v>299</v>
      </c>
      <c r="J309" s="6" t="str">
        <f t="shared" si="42"/>
        <v/>
      </c>
      <c r="K309" s="6" t="str">
        <f>IF($M$1&gt;=I309,VLOOKUP(I309,Iktato!$B$3:$L$10000,3,FALSE),"")</f>
        <v/>
      </c>
      <c r="M309" s="6" t="str">
        <f>IF($M$1&gt;=I309,IF(VLOOKUP(I309,Iktato!$B$3:$P$10000,15,FALSE)&lt;&gt;0,VLOOKUP(I309,Iktato!$B$3:$P$10000,15,FALSE),""),"")</f>
        <v/>
      </c>
      <c r="N309" s="6" t="str">
        <f>IF($M$1&gt;=I309,IF(VLOOKUP(I309,Iktato!$B$3:$Q$10000,16,FALSE)&lt;&gt;0,VLOOKUP(I309,Iktato!$B$3:$Q$10000,16,FALSE),""),"")</f>
        <v/>
      </c>
      <c r="P309" s="6" t="str">
        <f>TRIM(IF($M$1&gt;=I309,IF(VLOOKUP(I309,Iktato!$B$3:$L$10000,6,FALSE)&lt;&gt;0,VLOOKUP(I309,Iktato!$B$3:$L$10000,6,FALSE),""),""))</f>
        <v/>
      </c>
      <c r="Q309" s="8" t="str">
        <f>TRIM(IF($M$1&gt;=I309,IF(VLOOKUP(I309,Iktato!$B$3:$L$10000,7,FALSE)&lt;&gt;0,VLOOKUP(I309,Iktato!$B$3:$L$10000,7,FALSE),""),""))</f>
        <v/>
      </c>
      <c r="R309" s="6" t="str">
        <f t="shared" si="43"/>
        <v/>
      </c>
      <c r="S309" s="6" t="str">
        <f t="shared" si="44"/>
        <v/>
      </c>
      <c r="T309" s="6" t="str">
        <f t="shared" si="45"/>
        <v/>
      </c>
    </row>
    <row r="310" spans="1:20" ht="16.5" x14ac:dyDescent="0.25">
      <c r="A310" s="11" t="str">
        <f t="shared" si="40"/>
        <v/>
      </c>
      <c r="B310" s="12" t="str">
        <f>IF($M$1&gt;=I310,VLOOKUP(I310,Iktato!$B$3:$L$10000,5,FALSE),"")</f>
        <v/>
      </c>
      <c r="C310" s="13" t="str">
        <f t="shared" si="41"/>
        <v/>
      </c>
      <c r="D310" s="14" t="str">
        <f>TRIM(IF($M$1&gt;=I310,IF(VLOOKUP(I310,Iktato!$B$3:$L$10000,8,FALSE)&lt;&gt;0,VLOOKUP(I310,Iktato!$B$3:$L$10000,8,FALSE),""),""))</f>
        <v/>
      </c>
      <c r="E310" s="14" t="str">
        <f>TRIM(IF($M$1&gt;=I310,IF(VLOOKUP(I310,Iktato!$B$3:$L$10000,9,FALSE)&lt;&gt;0,VLOOKUP(I310,Iktato!$B$3:$L$10000,9,FALSE),""),""))</f>
        <v/>
      </c>
      <c r="F310" s="43" t="str">
        <f t="shared" si="38"/>
        <v/>
      </c>
      <c r="G310" s="43"/>
      <c r="I310" s="6">
        <f t="shared" si="39"/>
        <v>300</v>
      </c>
      <c r="J310" s="6" t="str">
        <f t="shared" si="42"/>
        <v/>
      </c>
      <c r="K310" s="6" t="str">
        <f>IF($M$1&gt;=I310,VLOOKUP(I310,Iktato!$B$3:$L$10000,3,FALSE),"")</f>
        <v/>
      </c>
      <c r="M310" s="6" t="str">
        <f>IF($M$1&gt;=I310,IF(VLOOKUP(I310,Iktato!$B$3:$P$10000,15,FALSE)&lt;&gt;0,VLOOKUP(I310,Iktato!$B$3:$P$10000,15,FALSE),""),"")</f>
        <v/>
      </c>
      <c r="N310" s="6" t="str">
        <f>IF($M$1&gt;=I310,IF(VLOOKUP(I310,Iktato!$B$3:$Q$10000,16,FALSE)&lt;&gt;0,VLOOKUP(I310,Iktato!$B$3:$Q$10000,16,FALSE),""),"")</f>
        <v/>
      </c>
      <c r="P310" s="6" t="str">
        <f>TRIM(IF($M$1&gt;=I310,IF(VLOOKUP(I310,Iktato!$B$3:$L$10000,6,FALSE)&lt;&gt;0,VLOOKUP(I310,Iktato!$B$3:$L$10000,6,FALSE),""),""))</f>
        <v/>
      </c>
      <c r="Q310" s="8" t="str">
        <f>TRIM(IF($M$1&gt;=I310,IF(VLOOKUP(I310,Iktato!$B$3:$L$10000,7,FALSE)&lt;&gt;0,VLOOKUP(I310,Iktato!$B$3:$L$10000,7,FALSE),""),""))</f>
        <v/>
      </c>
      <c r="R310" s="6" t="str">
        <f t="shared" si="43"/>
        <v/>
      </c>
      <c r="S310" s="6" t="str">
        <f t="shared" si="44"/>
        <v/>
      </c>
      <c r="T310" s="6" t="str">
        <f t="shared" si="45"/>
        <v/>
      </c>
    </row>
    <row r="311" spans="1:20" ht="16.5" x14ac:dyDescent="0.25">
      <c r="A311" s="11" t="str">
        <f t="shared" si="40"/>
        <v/>
      </c>
      <c r="B311" s="12" t="str">
        <f>IF($M$1&gt;=I311,VLOOKUP(I311,Iktato!$B$3:$L$10000,5,FALSE),"")</f>
        <v/>
      </c>
      <c r="C311" s="13" t="str">
        <f t="shared" si="41"/>
        <v/>
      </c>
      <c r="D311" s="14" t="str">
        <f>TRIM(IF($M$1&gt;=I311,IF(VLOOKUP(I311,Iktato!$B$3:$L$10000,8,FALSE)&lt;&gt;0,VLOOKUP(I311,Iktato!$B$3:$L$10000,8,FALSE),""),""))</f>
        <v/>
      </c>
      <c r="E311" s="14" t="str">
        <f>TRIM(IF($M$1&gt;=I311,IF(VLOOKUP(I311,Iktato!$B$3:$L$10000,9,FALSE)&lt;&gt;0,VLOOKUP(I311,Iktato!$B$3:$L$10000,9,FALSE),""),""))</f>
        <v/>
      </c>
      <c r="F311" s="43" t="str">
        <f t="shared" si="38"/>
        <v/>
      </c>
      <c r="G311" s="43"/>
      <c r="I311" s="6">
        <f t="shared" si="39"/>
        <v>301</v>
      </c>
      <c r="J311" s="6" t="str">
        <f t="shared" si="42"/>
        <v/>
      </c>
      <c r="K311" s="6" t="str">
        <f>IF($M$1&gt;=I311,VLOOKUP(I311,Iktato!$B$3:$L$10000,3,FALSE),"")</f>
        <v/>
      </c>
      <c r="M311" s="6" t="str">
        <f>IF($M$1&gt;=I311,IF(VLOOKUP(I311,Iktato!$B$3:$P$10000,15,FALSE)&lt;&gt;0,VLOOKUP(I311,Iktato!$B$3:$P$10000,15,FALSE),""),"")</f>
        <v/>
      </c>
      <c r="N311" s="6" t="str">
        <f>IF($M$1&gt;=I311,IF(VLOOKUP(I311,Iktato!$B$3:$Q$10000,16,FALSE)&lt;&gt;0,VLOOKUP(I311,Iktato!$B$3:$Q$10000,16,FALSE),""),"")</f>
        <v/>
      </c>
      <c r="P311" s="6" t="str">
        <f>TRIM(IF($M$1&gt;=I311,IF(VLOOKUP(I311,Iktato!$B$3:$L$10000,6,FALSE)&lt;&gt;0,VLOOKUP(I311,Iktato!$B$3:$L$10000,6,FALSE),""),""))</f>
        <v/>
      </c>
      <c r="Q311" s="8" t="str">
        <f>TRIM(IF($M$1&gt;=I311,IF(VLOOKUP(I311,Iktato!$B$3:$L$10000,7,FALSE)&lt;&gt;0,VLOOKUP(I311,Iktato!$B$3:$L$10000,7,FALSE),""),""))</f>
        <v/>
      </c>
      <c r="R311" s="6" t="str">
        <f t="shared" si="43"/>
        <v/>
      </c>
      <c r="S311" s="6" t="str">
        <f t="shared" si="44"/>
        <v/>
      </c>
      <c r="T311" s="6" t="str">
        <f t="shared" si="45"/>
        <v/>
      </c>
    </row>
    <row r="312" spans="1:20" ht="16.5" x14ac:dyDescent="0.25">
      <c r="A312" s="11" t="str">
        <f t="shared" si="40"/>
        <v/>
      </c>
      <c r="B312" s="12" t="str">
        <f>IF($M$1&gt;=I312,VLOOKUP(I312,Iktato!$B$3:$L$10000,5,FALSE),"")</f>
        <v/>
      </c>
      <c r="C312" s="13" t="str">
        <f t="shared" si="41"/>
        <v/>
      </c>
      <c r="D312" s="14" t="str">
        <f>TRIM(IF($M$1&gt;=I312,IF(VLOOKUP(I312,Iktato!$B$3:$L$10000,8,FALSE)&lt;&gt;0,VLOOKUP(I312,Iktato!$B$3:$L$10000,8,FALSE),""),""))</f>
        <v/>
      </c>
      <c r="E312" s="14" t="str">
        <f>TRIM(IF($M$1&gt;=I312,IF(VLOOKUP(I312,Iktato!$B$3:$L$10000,9,FALSE)&lt;&gt;0,VLOOKUP(I312,Iktato!$B$3:$L$10000,9,FALSE),""),""))</f>
        <v/>
      </c>
      <c r="F312" s="43" t="str">
        <f t="shared" si="38"/>
        <v/>
      </c>
      <c r="G312" s="43"/>
      <c r="I312" s="6">
        <f t="shared" si="39"/>
        <v>302</v>
      </c>
      <c r="J312" s="6" t="str">
        <f t="shared" si="42"/>
        <v/>
      </c>
      <c r="K312" s="6" t="str">
        <f>IF($M$1&gt;=I312,VLOOKUP(I312,Iktato!$B$3:$L$10000,3,FALSE),"")</f>
        <v/>
      </c>
      <c r="M312" s="6" t="str">
        <f>IF($M$1&gt;=I312,IF(VLOOKUP(I312,Iktato!$B$3:$P$10000,15,FALSE)&lt;&gt;0,VLOOKUP(I312,Iktato!$B$3:$P$10000,15,FALSE),""),"")</f>
        <v/>
      </c>
      <c r="N312" s="6" t="str">
        <f>IF($M$1&gt;=I312,IF(VLOOKUP(I312,Iktato!$B$3:$Q$10000,16,FALSE)&lt;&gt;0,VLOOKUP(I312,Iktato!$B$3:$Q$10000,16,FALSE),""),"")</f>
        <v/>
      </c>
      <c r="P312" s="6" t="str">
        <f>TRIM(IF($M$1&gt;=I312,IF(VLOOKUP(I312,Iktato!$B$3:$L$10000,6,FALSE)&lt;&gt;0,VLOOKUP(I312,Iktato!$B$3:$L$10000,6,FALSE),""),""))</f>
        <v/>
      </c>
      <c r="Q312" s="8" t="str">
        <f>TRIM(IF($M$1&gt;=I312,IF(VLOOKUP(I312,Iktato!$B$3:$L$10000,7,FALSE)&lt;&gt;0,VLOOKUP(I312,Iktato!$B$3:$L$10000,7,FALSE),""),""))</f>
        <v/>
      </c>
      <c r="R312" s="6" t="str">
        <f t="shared" si="43"/>
        <v/>
      </c>
      <c r="S312" s="6" t="str">
        <f t="shared" si="44"/>
        <v/>
      </c>
      <c r="T312" s="6" t="str">
        <f t="shared" si="45"/>
        <v/>
      </c>
    </row>
    <row r="313" spans="1:20" ht="16.5" x14ac:dyDescent="0.25">
      <c r="A313" s="11" t="str">
        <f t="shared" si="40"/>
        <v/>
      </c>
      <c r="B313" s="12" t="str">
        <f>IF($M$1&gt;=I313,VLOOKUP(I313,Iktato!$B$3:$L$10000,5,FALSE),"")</f>
        <v/>
      </c>
      <c r="C313" s="13" t="str">
        <f t="shared" si="41"/>
        <v/>
      </c>
      <c r="D313" s="14" t="str">
        <f>TRIM(IF($M$1&gt;=I313,IF(VLOOKUP(I313,Iktato!$B$3:$L$10000,8,FALSE)&lt;&gt;0,VLOOKUP(I313,Iktato!$B$3:$L$10000,8,FALSE),""),""))</f>
        <v/>
      </c>
      <c r="E313" s="14" t="str">
        <f>TRIM(IF($M$1&gt;=I313,IF(VLOOKUP(I313,Iktato!$B$3:$L$10000,9,FALSE)&lt;&gt;0,VLOOKUP(I313,Iktato!$B$3:$L$10000,9,FALSE),""),""))</f>
        <v/>
      </c>
      <c r="F313" s="43" t="str">
        <f t="shared" si="38"/>
        <v/>
      </c>
      <c r="G313" s="43"/>
      <c r="I313" s="6">
        <f t="shared" si="39"/>
        <v>303</v>
      </c>
      <c r="J313" s="6" t="str">
        <f t="shared" si="42"/>
        <v/>
      </c>
      <c r="K313" s="6" t="str">
        <f>IF($M$1&gt;=I313,VLOOKUP(I313,Iktato!$B$3:$L$10000,3,FALSE),"")</f>
        <v/>
      </c>
      <c r="M313" s="6" t="str">
        <f>IF($M$1&gt;=I313,IF(VLOOKUP(I313,Iktato!$B$3:$P$10000,15,FALSE)&lt;&gt;0,VLOOKUP(I313,Iktato!$B$3:$P$10000,15,FALSE),""),"")</f>
        <v/>
      </c>
      <c r="N313" s="6" t="str">
        <f>IF($M$1&gt;=I313,IF(VLOOKUP(I313,Iktato!$B$3:$Q$10000,16,FALSE)&lt;&gt;0,VLOOKUP(I313,Iktato!$B$3:$Q$10000,16,FALSE),""),"")</f>
        <v/>
      </c>
      <c r="P313" s="6" t="str">
        <f>TRIM(IF($M$1&gt;=I313,IF(VLOOKUP(I313,Iktato!$B$3:$L$10000,6,FALSE)&lt;&gt;0,VLOOKUP(I313,Iktato!$B$3:$L$10000,6,FALSE),""),""))</f>
        <v/>
      </c>
      <c r="Q313" s="8" t="str">
        <f>TRIM(IF($M$1&gt;=I313,IF(VLOOKUP(I313,Iktato!$B$3:$L$10000,7,FALSE)&lt;&gt;0,VLOOKUP(I313,Iktato!$B$3:$L$10000,7,FALSE),""),""))</f>
        <v/>
      </c>
      <c r="R313" s="6" t="str">
        <f t="shared" si="43"/>
        <v/>
      </c>
      <c r="S313" s="6" t="str">
        <f t="shared" si="44"/>
        <v/>
      </c>
      <c r="T313" s="6" t="str">
        <f t="shared" si="45"/>
        <v/>
      </c>
    </row>
    <row r="314" spans="1:20" ht="16.5" x14ac:dyDescent="0.25">
      <c r="A314" s="11" t="str">
        <f t="shared" si="40"/>
        <v/>
      </c>
      <c r="B314" s="12" t="str">
        <f>IF($M$1&gt;=I314,VLOOKUP(I314,Iktato!$B$3:$L$10000,5,FALSE),"")</f>
        <v/>
      </c>
      <c r="C314" s="13" t="str">
        <f t="shared" si="41"/>
        <v/>
      </c>
      <c r="D314" s="14" t="str">
        <f>TRIM(IF($M$1&gt;=I314,IF(VLOOKUP(I314,Iktato!$B$3:$L$10000,8,FALSE)&lt;&gt;0,VLOOKUP(I314,Iktato!$B$3:$L$10000,8,FALSE),""),""))</f>
        <v/>
      </c>
      <c r="E314" s="14" t="str">
        <f>TRIM(IF($M$1&gt;=I314,IF(VLOOKUP(I314,Iktato!$B$3:$L$10000,9,FALSE)&lt;&gt;0,VLOOKUP(I314,Iktato!$B$3:$L$10000,9,FALSE),""),""))</f>
        <v/>
      </c>
      <c r="F314" s="43" t="str">
        <f t="shared" si="38"/>
        <v/>
      </c>
      <c r="G314" s="43"/>
      <c r="I314" s="6">
        <f t="shared" si="39"/>
        <v>304</v>
      </c>
      <c r="J314" s="6" t="str">
        <f t="shared" si="42"/>
        <v/>
      </c>
      <c r="K314" s="6" t="str">
        <f>IF($M$1&gt;=I314,VLOOKUP(I314,Iktato!$B$3:$L$10000,3,FALSE),"")</f>
        <v/>
      </c>
      <c r="M314" s="6" t="str">
        <f>IF($M$1&gt;=I314,IF(VLOOKUP(I314,Iktato!$B$3:$P$10000,15,FALSE)&lt;&gt;0,VLOOKUP(I314,Iktato!$B$3:$P$10000,15,FALSE),""),"")</f>
        <v/>
      </c>
      <c r="N314" s="6" t="str">
        <f>IF($M$1&gt;=I314,IF(VLOOKUP(I314,Iktato!$B$3:$Q$10000,16,FALSE)&lt;&gt;0,VLOOKUP(I314,Iktato!$B$3:$Q$10000,16,FALSE),""),"")</f>
        <v/>
      </c>
      <c r="P314" s="6" t="str">
        <f>TRIM(IF($M$1&gt;=I314,IF(VLOOKUP(I314,Iktato!$B$3:$L$10000,6,FALSE)&lt;&gt;0,VLOOKUP(I314,Iktato!$B$3:$L$10000,6,FALSE),""),""))</f>
        <v/>
      </c>
      <c r="Q314" s="8" t="str">
        <f>TRIM(IF($M$1&gt;=I314,IF(VLOOKUP(I314,Iktato!$B$3:$L$10000,7,FALSE)&lt;&gt;0,VLOOKUP(I314,Iktato!$B$3:$L$10000,7,FALSE),""),""))</f>
        <v/>
      </c>
      <c r="R314" s="6" t="str">
        <f t="shared" si="43"/>
        <v/>
      </c>
      <c r="S314" s="6" t="str">
        <f t="shared" si="44"/>
        <v/>
      </c>
      <c r="T314" s="6" t="str">
        <f t="shared" si="45"/>
        <v/>
      </c>
    </row>
    <row r="315" spans="1:20" ht="16.5" x14ac:dyDescent="0.25">
      <c r="A315" s="11" t="str">
        <f t="shared" si="40"/>
        <v/>
      </c>
      <c r="B315" s="12" t="str">
        <f>IF($M$1&gt;=I315,VLOOKUP(I315,Iktato!$B$3:$L$10000,5,FALSE),"")</f>
        <v/>
      </c>
      <c r="C315" s="13" t="str">
        <f t="shared" si="41"/>
        <v/>
      </c>
      <c r="D315" s="14" t="str">
        <f>TRIM(IF($M$1&gt;=I315,IF(VLOOKUP(I315,Iktato!$B$3:$L$10000,8,FALSE)&lt;&gt;0,VLOOKUP(I315,Iktato!$B$3:$L$10000,8,FALSE),""),""))</f>
        <v/>
      </c>
      <c r="E315" s="14" t="str">
        <f>TRIM(IF($M$1&gt;=I315,IF(VLOOKUP(I315,Iktato!$B$3:$L$10000,9,FALSE)&lt;&gt;0,VLOOKUP(I315,Iktato!$B$3:$L$10000,9,FALSE),""),""))</f>
        <v/>
      </c>
      <c r="F315" s="43" t="str">
        <f t="shared" si="38"/>
        <v/>
      </c>
      <c r="G315" s="43"/>
      <c r="I315" s="6">
        <f t="shared" si="39"/>
        <v>305</v>
      </c>
      <c r="J315" s="6" t="str">
        <f t="shared" si="42"/>
        <v/>
      </c>
      <c r="K315" s="6" t="str">
        <f>IF($M$1&gt;=I315,VLOOKUP(I315,Iktato!$B$3:$L$10000,3,FALSE),"")</f>
        <v/>
      </c>
      <c r="M315" s="6" t="str">
        <f>IF($M$1&gt;=I315,IF(VLOOKUP(I315,Iktato!$B$3:$P$10000,15,FALSE)&lt;&gt;0,VLOOKUP(I315,Iktato!$B$3:$P$10000,15,FALSE),""),"")</f>
        <v/>
      </c>
      <c r="N315" s="6" t="str">
        <f>IF($M$1&gt;=I315,IF(VLOOKUP(I315,Iktato!$B$3:$Q$10000,16,FALSE)&lt;&gt;0,VLOOKUP(I315,Iktato!$B$3:$Q$10000,16,FALSE),""),"")</f>
        <v/>
      </c>
      <c r="P315" s="6" t="str">
        <f>TRIM(IF($M$1&gt;=I315,IF(VLOOKUP(I315,Iktato!$B$3:$L$10000,6,FALSE)&lt;&gt;0,VLOOKUP(I315,Iktato!$B$3:$L$10000,6,FALSE),""),""))</f>
        <v/>
      </c>
      <c r="Q315" s="8" t="str">
        <f>TRIM(IF($M$1&gt;=I315,IF(VLOOKUP(I315,Iktato!$B$3:$L$10000,7,FALSE)&lt;&gt;0,VLOOKUP(I315,Iktato!$B$3:$L$10000,7,FALSE),""),""))</f>
        <v/>
      </c>
      <c r="R315" s="6" t="str">
        <f t="shared" si="43"/>
        <v/>
      </c>
      <c r="S315" s="6" t="str">
        <f t="shared" si="44"/>
        <v/>
      </c>
      <c r="T315" s="6" t="str">
        <f t="shared" si="45"/>
        <v/>
      </c>
    </row>
    <row r="316" spans="1:20" ht="16.5" x14ac:dyDescent="0.25">
      <c r="A316" s="11" t="str">
        <f t="shared" si="40"/>
        <v/>
      </c>
      <c r="B316" s="12" t="str">
        <f>IF($M$1&gt;=I316,VLOOKUP(I316,Iktato!$B$3:$L$10000,5,FALSE),"")</f>
        <v/>
      </c>
      <c r="C316" s="13" t="str">
        <f t="shared" si="41"/>
        <v/>
      </c>
      <c r="D316" s="14" t="str">
        <f>TRIM(IF($M$1&gt;=I316,IF(VLOOKUP(I316,Iktato!$B$3:$L$10000,8,FALSE)&lt;&gt;0,VLOOKUP(I316,Iktato!$B$3:$L$10000,8,FALSE),""),""))</f>
        <v/>
      </c>
      <c r="E316" s="14" t="str">
        <f>TRIM(IF($M$1&gt;=I316,IF(VLOOKUP(I316,Iktato!$B$3:$L$10000,9,FALSE)&lt;&gt;0,VLOOKUP(I316,Iktato!$B$3:$L$10000,9,FALSE),""),""))</f>
        <v/>
      </c>
      <c r="F316" s="43" t="str">
        <f t="shared" si="38"/>
        <v/>
      </c>
      <c r="G316" s="43"/>
      <c r="I316" s="6">
        <f t="shared" si="39"/>
        <v>306</v>
      </c>
      <c r="J316" s="6" t="str">
        <f t="shared" si="42"/>
        <v/>
      </c>
      <c r="K316" s="6" t="str">
        <f>IF($M$1&gt;=I316,VLOOKUP(I316,Iktato!$B$3:$L$10000,3,FALSE),"")</f>
        <v/>
      </c>
      <c r="M316" s="6" t="str">
        <f>IF($M$1&gt;=I316,IF(VLOOKUP(I316,Iktato!$B$3:$P$10000,15,FALSE)&lt;&gt;0,VLOOKUP(I316,Iktato!$B$3:$P$10000,15,FALSE),""),"")</f>
        <v/>
      </c>
      <c r="N316" s="6" t="str">
        <f>IF($M$1&gt;=I316,IF(VLOOKUP(I316,Iktato!$B$3:$Q$10000,16,FALSE)&lt;&gt;0,VLOOKUP(I316,Iktato!$B$3:$Q$10000,16,FALSE),""),"")</f>
        <v/>
      </c>
      <c r="P316" s="6" t="str">
        <f>TRIM(IF($M$1&gt;=I316,IF(VLOOKUP(I316,Iktato!$B$3:$L$10000,6,FALSE)&lt;&gt;0,VLOOKUP(I316,Iktato!$B$3:$L$10000,6,FALSE),""),""))</f>
        <v/>
      </c>
      <c r="Q316" s="8" t="str">
        <f>TRIM(IF($M$1&gt;=I316,IF(VLOOKUP(I316,Iktato!$B$3:$L$10000,7,FALSE)&lt;&gt;0,VLOOKUP(I316,Iktato!$B$3:$L$10000,7,FALSE),""),""))</f>
        <v/>
      </c>
      <c r="R316" s="6" t="str">
        <f t="shared" si="43"/>
        <v/>
      </c>
      <c r="S316" s="6" t="str">
        <f t="shared" si="44"/>
        <v/>
      </c>
      <c r="T316" s="6" t="str">
        <f t="shared" si="45"/>
        <v/>
      </c>
    </row>
    <row r="317" spans="1:20" ht="16.5" x14ac:dyDescent="0.25">
      <c r="A317" s="11" t="str">
        <f t="shared" si="40"/>
        <v/>
      </c>
      <c r="B317" s="12" t="str">
        <f>IF($M$1&gt;=I317,VLOOKUP(I317,Iktato!$B$3:$L$10000,5,FALSE),"")</f>
        <v/>
      </c>
      <c r="C317" s="13" t="str">
        <f t="shared" si="41"/>
        <v/>
      </c>
      <c r="D317" s="14" t="str">
        <f>TRIM(IF($M$1&gt;=I317,IF(VLOOKUP(I317,Iktato!$B$3:$L$10000,8,FALSE)&lt;&gt;0,VLOOKUP(I317,Iktato!$B$3:$L$10000,8,FALSE),""),""))</f>
        <v/>
      </c>
      <c r="E317" s="14" t="str">
        <f>TRIM(IF($M$1&gt;=I317,IF(VLOOKUP(I317,Iktato!$B$3:$L$10000,9,FALSE)&lt;&gt;0,VLOOKUP(I317,Iktato!$B$3:$L$10000,9,FALSE),""),""))</f>
        <v/>
      </c>
      <c r="F317" s="43" t="str">
        <f t="shared" si="38"/>
        <v/>
      </c>
      <c r="G317" s="43"/>
      <c r="I317" s="6">
        <f t="shared" si="39"/>
        <v>307</v>
      </c>
      <c r="J317" s="6" t="str">
        <f t="shared" si="42"/>
        <v/>
      </c>
      <c r="K317" s="6" t="str">
        <f>IF($M$1&gt;=I317,VLOOKUP(I317,Iktato!$B$3:$L$10000,3,FALSE),"")</f>
        <v/>
      </c>
      <c r="M317" s="6" t="str">
        <f>IF($M$1&gt;=I317,IF(VLOOKUP(I317,Iktato!$B$3:$P$10000,15,FALSE)&lt;&gt;0,VLOOKUP(I317,Iktato!$B$3:$P$10000,15,FALSE),""),"")</f>
        <v/>
      </c>
      <c r="N317" s="6" t="str">
        <f>IF($M$1&gt;=I317,IF(VLOOKUP(I317,Iktato!$B$3:$Q$10000,16,FALSE)&lt;&gt;0,VLOOKUP(I317,Iktato!$B$3:$Q$10000,16,FALSE),""),"")</f>
        <v/>
      </c>
      <c r="P317" s="6" t="str">
        <f>TRIM(IF($M$1&gt;=I317,IF(VLOOKUP(I317,Iktato!$B$3:$L$10000,6,FALSE)&lt;&gt;0,VLOOKUP(I317,Iktato!$B$3:$L$10000,6,FALSE),""),""))</f>
        <v/>
      </c>
      <c r="Q317" s="8" t="str">
        <f>TRIM(IF($M$1&gt;=I317,IF(VLOOKUP(I317,Iktato!$B$3:$L$10000,7,FALSE)&lt;&gt;0,VLOOKUP(I317,Iktato!$B$3:$L$10000,7,FALSE),""),""))</f>
        <v/>
      </c>
      <c r="R317" s="6" t="str">
        <f t="shared" si="43"/>
        <v/>
      </c>
      <c r="S317" s="6" t="str">
        <f t="shared" si="44"/>
        <v/>
      </c>
      <c r="T317" s="6" t="str">
        <f t="shared" si="45"/>
        <v/>
      </c>
    </row>
    <row r="318" spans="1:20" ht="16.5" x14ac:dyDescent="0.25">
      <c r="A318" s="11" t="str">
        <f t="shared" si="40"/>
        <v/>
      </c>
      <c r="B318" s="12" t="str">
        <f>IF($M$1&gt;=I318,VLOOKUP(I318,Iktato!$B$3:$L$10000,5,FALSE),"")</f>
        <v/>
      </c>
      <c r="C318" s="13" t="str">
        <f t="shared" si="41"/>
        <v/>
      </c>
      <c r="D318" s="14" t="str">
        <f>TRIM(IF($M$1&gt;=I318,IF(VLOOKUP(I318,Iktato!$B$3:$L$10000,8,FALSE)&lt;&gt;0,VLOOKUP(I318,Iktato!$B$3:$L$10000,8,FALSE),""),""))</f>
        <v/>
      </c>
      <c r="E318" s="14" t="str">
        <f>TRIM(IF($M$1&gt;=I318,IF(VLOOKUP(I318,Iktato!$B$3:$L$10000,9,FALSE)&lt;&gt;0,VLOOKUP(I318,Iktato!$B$3:$L$10000,9,FALSE),""),""))</f>
        <v/>
      </c>
      <c r="F318" s="43" t="str">
        <f t="shared" si="38"/>
        <v/>
      </c>
      <c r="G318" s="43"/>
      <c r="I318" s="6">
        <f t="shared" si="39"/>
        <v>308</v>
      </c>
      <c r="J318" s="6" t="str">
        <f t="shared" si="42"/>
        <v/>
      </c>
      <c r="K318" s="6" t="str">
        <f>IF($M$1&gt;=I318,VLOOKUP(I318,Iktato!$B$3:$L$10000,3,FALSE),"")</f>
        <v/>
      </c>
      <c r="M318" s="6" t="str">
        <f>IF($M$1&gt;=I318,IF(VLOOKUP(I318,Iktato!$B$3:$P$10000,15,FALSE)&lt;&gt;0,VLOOKUP(I318,Iktato!$B$3:$P$10000,15,FALSE),""),"")</f>
        <v/>
      </c>
      <c r="N318" s="6" t="str">
        <f>IF($M$1&gt;=I318,IF(VLOOKUP(I318,Iktato!$B$3:$Q$10000,16,FALSE)&lt;&gt;0,VLOOKUP(I318,Iktato!$B$3:$Q$10000,16,FALSE),""),"")</f>
        <v/>
      </c>
      <c r="P318" s="6" t="str">
        <f>TRIM(IF($M$1&gt;=I318,IF(VLOOKUP(I318,Iktato!$B$3:$L$10000,6,FALSE)&lt;&gt;0,VLOOKUP(I318,Iktato!$B$3:$L$10000,6,FALSE),""),""))</f>
        <v/>
      </c>
      <c r="Q318" s="8" t="str">
        <f>TRIM(IF($M$1&gt;=I318,IF(VLOOKUP(I318,Iktato!$B$3:$L$10000,7,FALSE)&lt;&gt;0,VLOOKUP(I318,Iktato!$B$3:$L$10000,7,FALSE),""),""))</f>
        <v/>
      </c>
      <c r="R318" s="6" t="str">
        <f t="shared" si="43"/>
        <v/>
      </c>
      <c r="S318" s="6" t="str">
        <f t="shared" si="44"/>
        <v/>
      </c>
      <c r="T318" s="6" t="str">
        <f t="shared" si="45"/>
        <v/>
      </c>
    </row>
    <row r="319" spans="1:20" ht="16.5" x14ac:dyDescent="0.25">
      <c r="A319" s="11" t="str">
        <f t="shared" si="40"/>
        <v/>
      </c>
      <c r="B319" s="12" t="str">
        <f>IF($M$1&gt;=I319,VLOOKUP(I319,Iktato!$B$3:$L$10000,5,FALSE),"")</f>
        <v/>
      </c>
      <c r="C319" s="13" t="str">
        <f t="shared" si="41"/>
        <v/>
      </c>
      <c r="D319" s="14" t="str">
        <f>TRIM(IF($M$1&gt;=I319,IF(VLOOKUP(I319,Iktato!$B$3:$L$10000,8,FALSE)&lt;&gt;0,VLOOKUP(I319,Iktato!$B$3:$L$10000,8,FALSE),""),""))</f>
        <v/>
      </c>
      <c r="E319" s="14" t="str">
        <f>TRIM(IF($M$1&gt;=I319,IF(VLOOKUP(I319,Iktato!$B$3:$L$10000,9,FALSE)&lt;&gt;0,VLOOKUP(I319,Iktato!$B$3:$L$10000,9,FALSE),""),""))</f>
        <v/>
      </c>
      <c r="F319" s="43" t="str">
        <f t="shared" si="38"/>
        <v/>
      </c>
      <c r="G319" s="43"/>
      <c r="I319" s="6">
        <f t="shared" si="39"/>
        <v>309</v>
      </c>
      <c r="J319" s="6" t="str">
        <f t="shared" si="42"/>
        <v/>
      </c>
      <c r="K319" s="6" t="str">
        <f>IF($M$1&gt;=I319,VLOOKUP(I319,Iktato!$B$3:$L$10000,3,FALSE),"")</f>
        <v/>
      </c>
      <c r="M319" s="6" t="str">
        <f>IF($M$1&gt;=I319,IF(VLOOKUP(I319,Iktato!$B$3:$P$10000,15,FALSE)&lt;&gt;0,VLOOKUP(I319,Iktato!$B$3:$P$10000,15,FALSE),""),"")</f>
        <v/>
      </c>
      <c r="N319" s="6" t="str">
        <f>IF($M$1&gt;=I319,IF(VLOOKUP(I319,Iktato!$B$3:$Q$10000,16,FALSE)&lt;&gt;0,VLOOKUP(I319,Iktato!$B$3:$Q$10000,16,FALSE),""),"")</f>
        <v/>
      </c>
      <c r="P319" s="6" t="str">
        <f>TRIM(IF($M$1&gt;=I319,IF(VLOOKUP(I319,Iktato!$B$3:$L$10000,6,FALSE)&lt;&gt;0,VLOOKUP(I319,Iktato!$B$3:$L$10000,6,FALSE),""),""))</f>
        <v/>
      </c>
      <c r="Q319" s="8" t="str">
        <f>TRIM(IF($M$1&gt;=I319,IF(VLOOKUP(I319,Iktato!$B$3:$L$10000,7,FALSE)&lt;&gt;0,VLOOKUP(I319,Iktato!$B$3:$L$10000,7,FALSE),""),""))</f>
        <v/>
      </c>
      <c r="R319" s="6" t="str">
        <f t="shared" si="43"/>
        <v/>
      </c>
      <c r="S319" s="6" t="str">
        <f t="shared" si="44"/>
        <v/>
      </c>
      <c r="T319" s="6" t="str">
        <f t="shared" si="45"/>
        <v/>
      </c>
    </row>
    <row r="320" spans="1:20" ht="16.5" x14ac:dyDescent="0.25">
      <c r="A320" s="11" t="str">
        <f t="shared" si="40"/>
        <v/>
      </c>
      <c r="B320" s="12" t="str">
        <f>IF($M$1&gt;=I320,VLOOKUP(I320,Iktato!$B$3:$L$10000,5,FALSE),"")</f>
        <v/>
      </c>
      <c r="C320" s="13" t="str">
        <f t="shared" si="41"/>
        <v/>
      </c>
      <c r="D320" s="14" t="str">
        <f>TRIM(IF($M$1&gt;=I320,IF(VLOOKUP(I320,Iktato!$B$3:$L$10000,8,FALSE)&lt;&gt;0,VLOOKUP(I320,Iktato!$B$3:$L$10000,8,FALSE),""),""))</f>
        <v/>
      </c>
      <c r="E320" s="14" t="str">
        <f>TRIM(IF($M$1&gt;=I320,IF(VLOOKUP(I320,Iktato!$B$3:$L$10000,9,FALSE)&lt;&gt;0,VLOOKUP(I320,Iktato!$B$3:$L$10000,9,FALSE),""),""))</f>
        <v/>
      </c>
      <c r="F320" s="43" t="str">
        <f t="shared" si="38"/>
        <v/>
      </c>
      <c r="G320" s="43"/>
      <c r="I320" s="6">
        <f t="shared" si="39"/>
        <v>310</v>
      </c>
      <c r="J320" s="6" t="str">
        <f t="shared" si="42"/>
        <v/>
      </c>
      <c r="K320" s="6" t="str">
        <f>IF($M$1&gt;=I320,VLOOKUP(I320,Iktato!$B$3:$L$10000,3,FALSE),"")</f>
        <v/>
      </c>
      <c r="M320" s="6" t="str">
        <f>IF($M$1&gt;=I320,IF(VLOOKUP(I320,Iktato!$B$3:$P$10000,15,FALSE)&lt;&gt;0,VLOOKUP(I320,Iktato!$B$3:$P$10000,15,FALSE),""),"")</f>
        <v/>
      </c>
      <c r="N320" s="6" t="str">
        <f>IF($M$1&gt;=I320,IF(VLOOKUP(I320,Iktato!$B$3:$Q$10000,16,FALSE)&lt;&gt;0,VLOOKUP(I320,Iktato!$B$3:$Q$10000,16,FALSE),""),"")</f>
        <v/>
      </c>
      <c r="P320" s="6" t="str">
        <f>TRIM(IF($M$1&gt;=I320,IF(VLOOKUP(I320,Iktato!$B$3:$L$10000,6,FALSE)&lt;&gt;0,VLOOKUP(I320,Iktato!$B$3:$L$10000,6,FALSE),""),""))</f>
        <v/>
      </c>
      <c r="Q320" s="8" t="str">
        <f>TRIM(IF($M$1&gt;=I320,IF(VLOOKUP(I320,Iktato!$B$3:$L$10000,7,FALSE)&lt;&gt;0,VLOOKUP(I320,Iktato!$B$3:$L$10000,7,FALSE),""),""))</f>
        <v/>
      </c>
      <c r="R320" s="6" t="str">
        <f t="shared" si="43"/>
        <v/>
      </c>
      <c r="S320" s="6" t="str">
        <f t="shared" si="44"/>
        <v/>
      </c>
      <c r="T320" s="6" t="str">
        <f t="shared" si="45"/>
        <v/>
      </c>
    </row>
    <row r="321" spans="1:20" ht="16.5" x14ac:dyDescent="0.25">
      <c r="A321" s="11" t="str">
        <f t="shared" si="40"/>
        <v/>
      </c>
      <c r="B321" s="12" t="str">
        <f>IF($M$1&gt;=I321,VLOOKUP(I321,Iktato!$B$3:$L$10000,5,FALSE),"")</f>
        <v/>
      </c>
      <c r="C321" s="13" t="str">
        <f t="shared" si="41"/>
        <v/>
      </c>
      <c r="D321" s="14" t="str">
        <f>TRIM(IF($M$1&gt;=I321,IF(VLOOKUP(I321,Iktato!$B$3:$L$10000,8,FALSE)&lt;&gt;0,VLOOKUP(I321,Iktato!$B$3:$L$10000,8,FALSE),""),""))</f>
        <v/>
      </c>
      <c r="E321" s="14" t="str">
        <f>TRIM(IF($M$1&gt;=I321,IF(VLOOKUP(I321,Iktato!$B$3:$L$10000,9,FALSE)&lt;&gt;0,VLOOKUP(I321,Iktato!$B$3:$L$10000,9,FALSE),""),""))</f>
        <v/>
      </c>
      <c r="F321" s="43" t="str">
        <f t="shared" si="38"/>
        <v/>
      </c>
      <c r="G321" s="43"/>
      <c r="I321" s="6">
        <f t="shared" si="39"/>
        <v>311</v>
      </c>
      <c r="J321" s="6" t="str">
        <f t="shared" si="42"/>
        <v/>
      </c>
      <c r="K321" s="6" t="str">
        <f>IF($M$1&gt;=I321,VLOOKUP(I321,Iktato!$B$3:$L$10000,3,FALSE),"")</f>
        <v/>
      </c>
      <c r="M321" s="6" t="str">
        <f>IF($M$1&gt;=I321,IF(VLOOKUP(I321,Iktato!$B$3:$P$10000,15,FALSE)&lt;&gt;0,VLOOKUP(I321,Iktato!$B$3:$P$10000,15,FALSE),""),"")</f>
        <v/>
      </c>
      <c r="N321" s="6" t="str">
        <f>IF($M$1&gt;=I321,IF(VLOOKUP(I321,Iktato!$B$3:$Q$10000,16,FALSE)&lt;&gt;0,VLOOKUP(I321,Iktato!$B$3:$Q$10000,16,FALSE),""),"")</f>
        <v/>
      </c>
      <c r="P321" s="6" t="str">
        <f>TRIM(IF($M$1&gt;=I321,IF(VLOOKUP(I321,Iktato!$B$3:$L$10000,6,FALSE)&lt;&gt;0,VLOOKUP(I321,Iktato!$B$3:$L$10000,6,FALSE),""),""))</f>
        <v/>
      </c>
      <c r="Q321" s="8" t="str">
        <f>TRIM(IF($M$1&gt;=I321,IF(VLOOKUP(I321,Iktato!$B$3:$L$10000,7,FALSE)&lt;&gt;0,VLOOKUP(I321,Iktato!$B$3:$L$10000,7,FALSE),""),""))</f>
        <v/>
      </c>
      <c r="R321" s="6" t="str">
        <f t="shared" si="43"/>
        <v/>
      </c>
      <c r="S321" s="6" t="str">
        <f t="shared" si="44"/>
        <v/>
      </c>
      <c r="T321" s="6" t="str">
        <f t="shared" si="45"/>
        <v/>
      </c>
    </row>
    <row r="322" spans="1:20" ht="16.5" x14ac:dyDescent="0.25">
      <c r="A322" s="11" t="str">
        <f t="shared" si="40"/>
        <v/>
      </c>
      <c r="B322" s="12" t="str">
        <f>IF($M$1&gt;=I322,VLOOKUP(I322,Iktato!$B$3:$L$10000,5,FALSE),"")</f>
        <v/>
      </c>
      <c r="C322" s="13" t="str">
        <f t="shared" si="41"/>
        <v/>
      </c>
      <c r="D322" s="14" t="str">
        <f>TRIM(IF($M$1&gt;=I322,IF(VLOOKUP(I322,Iktato!$B$3:$L$10000,8,FALSE)&lt;&gt;0,VLOOKUP(I322,Iktato!$B$3:$L$10000,8,FALSE),""),""))</f>
        <v/>
      </c>
      <c r="E322" s="14" t="str">
        <f>TRIM(IF($M$1&gt;=I322,IF(VLOOKUP(I322,Iktato!$B$3:$L$10000,9,FALSE)&lt;&gt;0,VLOOKUP(I322,Iktato!$B$3:$L$10000,9,FALSE),""),""))</f>
        <v/>
      </c>
      <c r="F322" s="43" t="str">
        <f t="shared" si="38"/>
        <v/>
      </c>
      <c r="G322" s="43"/>
      <c r="I322" s="6">
        <f t="shared" si="39"/>
        <v>312</v>
      </c>
      <c r="J322" s="6" t="str">
        <f t="shared" si="42"/>
        <v/>
      </c>
      <c r="K322" s="6" t="str">
        <f>IF($M$1&gt;=I322,VLOOKUP(I322,Iktato!$B$3:$L$10000,3,FALSE),"")</f>
        <v/>
      </c>
      <c r="M322" s="6" t="str">
        <f>IF($M$1&gt;=I322,IF(VLOOKUP(I322,Iktato!$B$3:$P$10000,15,FALSE)&lt;&gt;0,VLOOKUP(I322,Iktato!$B$3:$P$10000,15,FALSE),""),"")</f>
        <v/>
      </c>
      <c r="N322" s="6" t="str">
        <f>IF($M$1&gt;=I322,IF(VLOOKUP(I322,Iktato!$B$3:$Q$10000,16,FALSE)&lt;&gt;0,VLOOKUP(I322,Iktato!$B$3:$Q$10000,16,FALSE),""),"")</f>
        <v/>
      </c>
      <c r="P322" s="6" t="str">
        <f>TRIM(IF($M$1&gt;=I322,IF(VLOOKUP(I322,Iktato!$B$3:$L$10000,6,FALSE)&lt;&gt;0,VLOOKUP(I322,Iktato!$B$3:$L$10000,6,FALSE),""),""))</f>
        <v/>
      </c>
      <c r="Q322" s="8" t="str">
        <f>TRIM(IF($M$1&gt;=I322,IF(VLOOKUP(I322,Iktato!$B$3:$L$10000,7,FALSE)&lt;&gt;0,VLOOKUP(I322,Iktato!$B$3:$L$10000,7,FALSE),""),""))</f>
        <v/>
      </c>
      <c r="R322" s="6" t="str">
        <f t="shared" si="43"/>
        <v/>
      </c>
      <c r="S322" s="6" t="str">
        <f t="shared" si="44"/>
        <v/>
      </c>
      <c r="T322" s="6" t="str">
        <f t="shared" si="45"/>
        <v/>
      </c>
    </row>
    <row r="323" spans="1:20" ht="16.5" x14ac:dyDescent="0.25">
      <c r="A323" s="11" t="str">
        <f t="shared" si="40"/>
        <v/>
      </c>
      <c r="B323" s="12" t="str">
        <f>IF($M$1&gt;=I323,VLOOKUP(I323,Iktato!$B$3:$L$10000,5,FALSE),"")</f>
        <v/>
      </c>
      <c r="C323" s="13" t="str">
        <f t="shared" si="41"/>
        <v/>
      </c>
      <c r="D323" s="14" t="str">
        <f>TRIM(IF($M$1&gt;=I323,IF(VLOOKUP(I323,Iktato!$B$3:$L$10000,8,FALSE)&lt;&gt;0,VLOOKUP(I323,Iktato!$B$3:$L$10000,8,FALSE),""),""))</f>
        <v/>
      </c>
      <c r="E323" s="14" t="str">
        <f>TRIM(IF($M$1&gt;=I323,IF(VLOOKUP(I323,Iktato!$B$3:$L$10000,9,FALSE)&lt;&gt;0,VLOOKUP(I323,Iktato!$B$3:$L$10000,9,FALSE),""),""))</f>
        <v/>
      </c>
      <c r="F323" s="43" t="str">
        <f t="shared" si="38"/>
        <v/>
      </c>
      <c r="G323" s="43"/>
      <c r="I323" s="6">
        <f t="shared" si="39"/>
        <v>313</v>
      </c>
      <c r="J323" s="6" t="str">
        <f t="shared" si="42"/>
        <v/>
      </c>
      <c r="K323" s="6" t="str">
        <f>IF($M$1&gt;=I323,VLOOKUP(I323,Iktato!$B$3:$L$10000,3,FALSE),"")</f>
        <v/>
      </c>
      <c r="M323" s="6" t="str">
        <f>IF($M$1&gt;=I323,IF(VLOOKUP(I323,Iktato!$B$3:$P$10000,15,FALSE)&lt;&gt;0,VLOOKUP(I323,Iktato!$B$3:$P$10000,15,FALSE),""),"")</f>
        <v/>
      </c>
      <c r="N323" s="6" t="str">
        <f>IF($M$1&gt;=I323,IF(VLOOKUP(I323,Iktato!$B$3:$Q$10000,16,FALSE)&lt;&gt;0,VLOOKUP(I323,Iktato!$B$3:$Q$10000,16,FALSE),""),"")</f>
        <v/>
      </c>
      <c r="P323" s="6" t="str">
        <f>TRIM(IF($M$1&gt;=I323,IF(VLOOKUP(I323,Iktato!$B$3:$L$10000,6,FALSE)&lt;&gt;0,VLOOKUP(I323,Iktato!$B$3:$L$10000,6,FALSE),""),""))</f>
        <v/>
      </c>
      <c r="Q323" s="8" t="str">
        <f>TRIM(IF($M$1&gt;=I323,IF(VLOOKUP(I323,Iktato!$B$3:$L$10000,7,FALSE)&lt;&gt;0,VLOOKUP(I323,Iktato!$B$3:$L$10000,7,FALSE),""),""))</f>
        <v/>
      </c>
      <c r="R323" s="6" t="str">
        <f t="shared" si="43"/>
        <v/>
      </c>
      <c r="S323" s="6" t="str">
        <f t="shared" si="44"/>
        <v/>
      </c>
      <c r="T323" s="6" t="str">
        <f t="shared" si="45"/>
        <v/>
      </c>
    </row>
    <row r="324" spans="1:20" ht="16.5" x14ac:dyDescent="0.25">
      <c r="A324" s="11" t="str">
        <f t="shared" si="40"/>
        <v/>
      </c>
      <c r="B324" s="12" t="str">
        <f>IF($M$1&gt;=I324,VLOOKUP(I324,Iktato!$B$3:$L$10000,5,FALSE),"")</f>
        <v/>
      </c>
      <c r="C324" s="13" t="str">
        <f t="shared" si="41"/>
        <v/>
      </c>
      <c r="D324" s="14" t="str">
        <f>TRIM(IF($M$1&gt;=I324,IF(VLOOKUP(I324,Iktato!$B$3:$L$10000,8,FALSE)&lt;&gt;0,VLOOKUP(I324,Iktato!$B$3:$L$10000,8,FALSE),""),""))</f>
        <v/>
      </c>
      <c r="E324" s="14" t="str">
        <f>TRIM(IF($M$1&gt;=I324,IF(VLOOKUP(I324,Iktato!$B$3:$L$10000,9,FALSE)&lt;&gt;0,VLOOKUP(I324,Iktato!$B$3:$L$10000,9,FALSE),""),""))</f>
        <v/>
      </c>
      <c r="F324" s="43" t="str">
        <f t="shared" si="38"/>
        <v/>
      </c>
      <c r="G324" s="43"/>
      <c r="I324" s="6">
        <f t="shared" si="39"/>
        <v>314</v>
      </c>
      <c r="J324" s="6" t="str">
        <f t="shared" si="42"/>
        <v/>
      </c>
      <c r="K324" s="6" t="str">
        <f>IF($M$1&gt;=I324,VLOOKUP(I324,Iktato!$B$3:$L$10000,3,FALSE),"")</f>
        <v/>
      </c>
      <c r="M324" s="6" t="str">
        <f>IF($M$1&gt;=I324,IF(VLOOKUP(I324,Iktato!$B$3:$P$10000,15,FALSE)&lt;&gt;0,VLOOKUP(I324,Iktato!$B$3:$P$10000,15,FALSE),""),"")</f>
        <v/>
      </c>
      <c r="N324" s="6" t="str">
        <f>IF($M$1&gt;=I324,IF(VLOOKUP(I324,Iktato!$B$3:$Q$10000,16,FALSE)&lt;&gt;0,VLOOKUP(I324,Iktato!$B$3:$Q$10000,16,FALSE),""),"")</f>
        <v/>
      </c>
      <c r="P324" s="6" t="str">
        <f>TRIM(IF($M$1&gt;=I324,IF(VLOOKUP(I324,Iktato!$B$3:$L$10000,6,FALSE)&lt;&gt;0,VLOOKUP(I324,Iktato!$B$3:$L$10000,6,FALSE),""),""))</f>
        <v/>
      </c>
      <c r="Q324" s="8" t="str">
        <f>TRIM(IF($M$1&gt;=I324,IF(VLOOKUP(I324,Iktato!$B$3:$L$10000,7,FALSE)&lt;&gt;0,VLOOKUP(I324,Iktato!$B$3:$L$10000,7,FALSE),""),""))</f>
        <v/>
      </c>
      <c r="R324" s="6" t="str">
        <f t="shared" si="43"/>
        <v/>
      </c>
      <c r="S324" s="6" t="str">
        <f t="shared" si="44"/>
        <v/>
      </c>
      <c r="T324" s="6" t="str">
        <f t="shared" si="45"/>
        <v/>
      </c>
    </row>
    <row r="325" spans="1:20" ht="16.5" x14ac:dyDescent="0.25">
      <c r="A325" s="11" t="str">
        <f t="shared" si="40"/>
        <v/>
      </c>
      <c r="B325" s="12" t="str">
        <f>IF($M$1&gt;=I325,VLOOKUP(I325,Iktato!$B$3:$L$10000,5,FALSE),"")</f>
        <v/>
      </c>
      <c r="C325" s="13" t="str">
        <f t="shared" si="41"/>
        <v/>
      </c>
      <c r="D325" s="14" t="str">
        <f>TRIM(IF($M$1&gt;=I325,IF(VLOOKUP(I325,Iktato!$B$3:$L$10000,8,FALSE)&lt;&gt;0,VLOOKUP(I325,Iktato!$B$3:$L$10000,8,FALSE),""),""))</f>
        <v/>
      </c>
      <c r="E325" s="14" t="str">
        <f>TRIM(IF($M$1&gt;=I325,IF(VLOOKUP(I325,Iktato!$B$3:$L$10000,9,FALSE)&lt;&gt;0,VLOOKUP(I325,Iktato!$B$3:$L$10000,9,FALSE),""),""))</f>
        <v/>
      </c>
      <c r="F325" s="43" t="str">
        <f t="shared" si="38"/>
        <v/>
      </c>
      <c r="G325" s="43"/>
      <c r="I325" s="6">
        <f t="shared" si="39"/>
        <v>315</v>
      </c>
      <c r="J325" s="6" t="str">
        <f t="shared" si="42"/>
        <v/>
      </c>
      <c r="K325" s="6" t="str">
        <f>IF($M$1&gt;=I325,VLOOKUP(I325,Iktato!$B$3:$L$10000,3,FALSE),"")</f>
        <v/>
      </c>
      <c r="M325" s="6" t="str">
        <f>IF($M$1&gt;=I325,IF(VLOOKUP(I325,Iktato!$B$3:$P$10000,15,FALSE)&lt;&gt;0,VLOOKUP(I325,Iktato!$B$3:$P$10000,15,FALSE),""),"")</f>
        <v/>
      </c>
      <c r="N325" s="6" t="str">
        <f>IF($M$1&gt;=I325,IF(VLOOKUP(I325,Iktato!$B$3:$Q$10000,16,FALSE)&lt;&gt;0,VLOOKUP(I325,Iktato!$B$3:$Q$10000,16,FALSE),""),"")</f>
        <v/>
      </c>
      <c r="P325" s="6" t="str">
        <f>TRIM(IF($M$1&gt;=I325,IF(VLOOKUP(I325,Iktato!$B$3:$L$10000,6,FALSE)&lt;&gt;0,VLOOKUP(I325,Iktato!$B$3:$L$10000,6,FALSE),""),""))</f>
        <v/>
      </c>
      <c r="Q325" s="8" t="str">
        <f>TRIM(IF($M$1&gt;=I325,IF(VLOOKUP(I325,Iktato!$B$3:$L$10000,7,FALSE)&lt;&gt;0,VLOOKUP(I325,Iktato!$B$3:$L$10000,7,FALSE),""),""))</f>
        <v/>
      </c>
      <c r="R325" s="6" t="str">
        <f t="shared" si="43"/>
        <v/>
      </c>
      <c r="S325" s="6" t="str">
        <f t="shared" si="44"/>
        <v/>
      </c>
      <c r="T325" s="6" t="str">
        <f t="shared" si="45"/>
        <v/>
      </c>
    </row>
    <row r="326" spans="1:20" ht="16.5" x14ac:dyDescent="0.25">
      <c r="A326" s="11" t="str">
        <f t="shared" si="40"/>
        <v/>
      </c>
      <c r="B326" s="12" t="str">
        <f>IF($M$1&gt;=I326,VLOOKUP(I326,Iktato!$B$3:$L$10000,5,FALSE),"")</f>
        <v/>
      </c>
      <c r="C326" s="13" t="str">
        <f t="shared" si="41"/>
        <v/>
      </c>
      <c r="D326" s="14" t="str">
        <f>TRIM(IF($M$1&gt;=I326,IF(VLOOKUP(I326,Iktato!$B$3:$L$10000,8,FALSE)&lt;&gt;0,VLOOKUP(I326,Iktato!$B$3:$L$10000,8,FALSE),""),""))</f>
        <v/>
      </c>
      <c r="E326" s="14" t="str">
        <f>TRIM(IF($M$1&gt;=I326,IF(VLOOKUP(I326,Iktato!$B$3:$L$10000,9,FALSE)&lt;&gt;0,VLOOKUP(I326,Iktato!$B$3:$L$10000,9,FALSE),""),""))</f>
        <v/>
      </c>
      <c r="F326" s="43" t="str">
        <f t="shared" si="38"/>
        <v/>
      </c>
      <c r="G326" s="43"/>
      <c r="I326" s="6">
        <f t="shared" si="39"/>
        <v>316</v>
      </c>
      <c r="J326" s="6" t="str">
        <f t="shared" si="42"/>
        <v/>
      </c>
      <c r="K326" s="6" t="str">
        <f>IF($M$1&gt;=I326,VLOOKUP(I326,Iktato!$B$3:$L$10000,3,FALSE),"")</f>
        <v/>
      </c>
      <c r="M326" s="6" t="str">
        <f>IF($M$1&gt;=I326,IF(VLOOKUP(I326,Iktato!$B$3:$P$10000,15,FALSE)&lt;&gt;0,VLOOKUP(I326,Iktato!$B$3:$P$10000,15,FALSE),""),"")</f>
        <v/>
      </c>
      <c r="N326" s="6" t="str">
        <f>IF($M$1&gt;=I326,IF(VLOOKUP(I326,Iktato!$B$3:$Q$10000,16,FALSE)&lt;&gt;0,VLOOKUP(I326,Iktato!$B$3:$Q$10000,16,FALSE),""),"")</f>
        <v/>
      </c>
      <c r="P326" s="6" t="str">
        <f>TRIM(IF($M$1&gt;=I326,IF(VLOOKUP(I326,Iktato!$B$3:$L$10000,6,FALSE)&lt;&gt;0,VLOOKUP(I326,Iktato!$B$3:$L$10000,6,FALSE),""),""))</f>
        <v/>
      </c>
      <c r="Q326" s="8" t="str">
        <f>TRIM(IF($M$1&gt;=I326,IF(VLOOKUP(I326,Iktato!$B$3:$L$10000,7,FALSE)&lt;&gt;0,VLOOKUP(I326,Iktato!$B$3:$L$10000,7,FALSE),""),""))</f>
        <v/>
      </c>
      <c r="R326" s="6" t="str">
        <f t="shared" si="43"/>
        <v/>
      </c>
      <c r="S326" s="6" t="str">
        <f t="shared" si="44"/>
        <v/>
      </c>
      <c r="T326" s="6" t="str">
        <f t="shared" si="45"/>
        <v/>
      </c>
    </row>
    <row r="327" spans="1:20" ht="16.5" x14ac:dyDescent="0.25">
      <c r="A327" s="11" t="str">
        <f t="shared" si="40"/>
        <v/>
      </c>
      <c r="B327" s="12" t="str">
        <f>IF($M$1&gt;=I327,VLOOKUP(I327,Iktato!$B$3:$L$10000,5,FALSE),"")</f>
        <v/>
      </c>
      <c r="C327" s="13" t="str">
        <f t="shared" si="41"/>
        <v/>
      </c>
      <c r="D327" s="14" t="str">
        <f>TRIM(IF($M$1&gt;=I327,IF(VLOOKUP(I327,Iktato!$B$3:$L$10000,8,FALSE)&lt;&gt;0,VLOOKUP(I327,Iktato!$B$3:$L$10000,8,FALSE),""),""))</f>
        <v/>
      </c>
      <c r="E327" s="14" t="str">
        <f>TRIM(IF($M$1&gt;=I327,IF(VLOOKUP(I327,Iktato!$B$3:$L$10000,9,FALSE)&lt;&gt;0,VLOOKUP(I327,Iktato!$B$3:$L$10000,9,FALSE),""),""))</f>
        <v/>
      </c>
      <c r="F327" s="43" t="str">
        <f t="shared" si="38"/>
        <v/>
      </c>
      <c r="G327" s="43"/>
      <c r="I327" s="6">
        <f t="shared" si="39"/>
        <v>317</v>
      </c>
      <c r="J327" s="6" t="str">
        <f t="shared" si="42"/>
        <v/>
      </c>
      <c r="K327" s="6" t="str">
        <f>IF($M$1&gt;=I327,VLOOKUP(I327,Iktato!$B$3:$L$10000,3,FALSE),"")</f>
        <v/>
      </c>
      <c r="M327" s="6" t="str">
        <f>IF($M$1&gt;=I327,IF(VLOOKUP(I327,Iktato!$B$3:$P$10000,15,FALSE)&lt;&gt;0,VLOOKUP(I327,Iktato!$B$3:$P$10000,15,FALSE),""),"")</f>
        <v/>
      </c>
      <c r="N327" s="6" t="str">
        <f>IF($M$1&gt;=I327,IF(VLOOKUP(I327,Iktato!$B$3:$Q$10000,16,FALSE)&lt;&gt;0,VLOOKUP(I327,Iktato!$B$3:$Q$10000,16,FALSE),""),"")</f>
        <v/>
      </c>
      <c r="P327" s="6" t="str">
        <f>TRIM(IF($M$1&gt;=I327,IF(VLOOKUP(I327,Iktato!$B$3:$L$10000,6,FALSE)&lt;&gt;0,VLOOKUP(I327,Iktato!$B$3:$L$10000,6,FALSE),""),""))</f>
        <v/>
      </c>
      <c r="Q327" s="8" t="str">
        <f>TRIM(IF($M$1&gt;=I327,IF(VLOOKUP(I327,Iktato!$B$3:$L$10000,7,FALSE)&lt;&gt;0,VLOOKUP(I327,Iktato!$B$3:$L$10000,7,FALSE),""),""))</f>
        <v/>
      </c>
      <c r="R327" s="6" t="str">
        <f t="shared" si="43"/>
        <v/>
      </c>
      <c r="S327" s="6" t="str">
        <f t="shared" si="44"/>
        <v/>
      </c>
      <c r="T327" s="6" t="str">
        <f t="shared" si="45"/>
        <v/>
      </c>
    </row>
    <row r="328" spans="1:20" ht="16.5" x14ac:dyDescent="0.25">
      <c r="A328" s="11" t="str">
        <f t="shared" si="40"/>
        <v/>
      </c>
      <c r="B328" s="12" t="str">
        <f>IF($M$1&gt;=I328,VLOOKUP(I328,Iktato!$B$3:$L$10000,5,FALSE),"")</f>
        <v/>
      </c>
      <c r="C328" s="13" t="str">
        <f t="shared" si="41"/>
        <v/>
      </c>
      <c r="D328" s="14" t="str">
        <f>TRIM(IF($M$1&gt;=I328,IF(VLOOKUP(I328,Iktato!$B$3:$L$10000,8,FALSE)&lt;&gt;0,VLOOKUP(I328,Iktato!$B$3:$L$10000,8,FALSE),""),""))</f>
        <v/>
      </c>
      <c r="E328" s="14" t="str">
        <f>TRIM(IF($M$1&gt;=I328,IF(VLOOKUP(I328,Iktato!$B$3:$L$10000,9,FALSE)&lt;&gt;0,VLOOKUP(I328,Iktato!$B$3:$L$10000,9,FALSE),""),""))</f>
        <v/>
      </c>
      <c r="F328" s="43" t="str">
        <f t="shared" si="38"/>
        <v/>
      </c>
      <c r="G328" s="43"/>
      <c r="I328" s="6">
        <f t="shared" si="39"/>
        <v>318</v>
      </c>
      <c r="J328" s="6" t="str">
        <f t="shared" si="42"/>
        <v/>
      </c>
      <c r="K328" s="6" t="str">
        <f>IF($M$1&gt;=I328,VLOOKUP(I328,Iktato!$B$3:$L$10000,3,FALSE),"")</f>
        <v/>
      </c>
      <c r="M328" s="6" t="str">
        <f>IF($M$1&gt;=I328,IF(VLOOKUP(I328,Iktato!$B$3:$P$10000,15,FALSE)&lt;&gt;0,VLOOKUP(I328,Iktato!$B$3:$P$10000,15,FALSE),""),"")</f>
        <v/>
      </c>
      <c r="N328" s="6" t="str">
        <f>IF($M$1&gt;=I328,IF(VLOOKUP(I328,Iktato!$B$3:$Q$10000,16,FALSE)&lt;&gt;0,VLOOKUP(I328,Iktato!$B$3:$Q$10000,16,FALSE),""),"")</f>
        <v/>
      </c>
      <c r="P328" s="6" t="str">
        <f>TRIM(IF($M$1&gt;=I328,IF(VLOOKUP(I328,Iktato!$B$3:$L$10000,6,FALSE)&lt;&gt;0,VLOOKUP(I328,Iktato!$B$3:$L$10000,6,FALSE),""),""))</f>
        <v/>
      </c>
      <c r="Q328" s="8" t="str">
        <f>TRIM(IF($M$1&gt;=I328,IF(VLOOKUP(I328,Iktato!$B$3:$L$10000,7,FALSE)&lt;&gt;0,VLOOKUP(I328,Iktato!$B$3:$L$10000,7,FALSE),""),""))</f>
        <v/>
      </c>
      <c r="R328" s="6" t="str">
        <f t="shared" si="43"/>
        <v/>
      </c>
      <c r="S328" s="6" t="str">
        <f t="shared" si="44"/>
        <v/>
      </c>
      <c r="T328" s="6" t="str">
        <f t="shared" si="45"/>
        <v/>
      </c>
    </row>
    <row r="329" spans="1:20" ht="16.5" x14ac:dyDescent="0.25">
      <c r="A329" s="11" t="str">
        <f t="shared" si="40"/>
        <v/>
      </c>
      <c r="B329" s="12" t="str">
        <f>IF($M$1&gt;=I329,VLOOKUP(I329,Iktato!$B$3:$L$10000,5,FALSE),"")</f>
        <v/>
      </c>
      <c r="C329" s="13" t="str">
        <f t="shared" si="41"/>
        <v/>
      </c>
      <c r="D329" s="14" t="str">
        <f>TRIM(IF($M$1&gt;=I329,IF(VLOOKUP(I329,Iktato!$B$3:$L$10000,8,FALSE)&lt;&gt;0,VLOOKUP(I329,Iktato!$B$3:$L$10000,8,FALSE),""),""))</f>
        <v/>
      </c>
      <c r="E329" s="14" t="str">
        <f>TRIM(IF($M$1&gt;=I329,IF(VLOOKUP(I329,Iktato!$B$3:$L$10000,9,FALSE)&lt;&gt;0,VLOOKUP(I329,Iktato!$B$3:$L$10000,9,FALSE),""),""))</f>
        <v/>
      </c>
      <c r="F329" s="43" t="str">
        <f t="shared" si="38"/>
        <v/>
      </c>
      <c r="G329" s="43"/>
      <c r="I329" s="6">
        <f t="shared" si="39"/>
        <v>319</v>
      </c>
      <c r="J329" s="6" t="str">
        <f t="shared" si="42"/>
        <v/>
      </c>
      <c r="K329" s="6" t="str">
        <f>IF($M$1&gt;=I329,VLOOKUP(I329,Iktato!$B$3:$L$10000,3,FALSE),"")</f>
        <v/>
      </c>
      <c r="M329" s="6" t="str">
        <f>IF($M$1&gt;=I329,IF(VLOOKUP(I329,Iktato!$B$3:$P$10000,15,FALSE)&lt;&gt;0,VLOOKUP(I329,Iktato!$B$3:$P$10000,15,FALSE),""),"")</f>
        <v/>
      </c>
      <c r="N329" s="6" t="str">
        <f>IF($M$1&gt;=I329,IF(VLOOKUP(I329,Iktato!$B$3:$Q$10000,16,FALSE)&lt;&gt;0,VLOOKUP(I329,Iktato!$B$3:$Q$10000,16,FALSE),""),"")</f>
        <v/>
      </c>
      <c r="P329" s="6" t="str">
        <f>TRIM(IF($M$1&gt;=I329,IF(VLOOKUP(I329,Iktato!$B$3:$L$10000,6,FALSE)&lt;&gt;0,VLOOKUP(I329,Iktato!$B$3:$L$10000,6,FALSE),""),""))</f>
        <v/>
      </c>
      <c r="Q329" s="8" t="str">
        <f>TRIM(IF($M$1&gt;=I329,IF(VLOOKUP(I329,Iktato!$B$3:$L$10000,7,FALSE)&lt;&gt;0,VLOOKUP(I329,Iktato!$B$3:$L$10000,7,FALSE),""),""))</f>
        <v/>
      </c>
      <c r="R329" s="6" t="str">
        <f t="shared" si="43"/>
        <v/>
      </c>
      <c r="S329" s="6" t="str">
        <f t="shared" si="44"/>
        <v/>
      </c>
      <c r="T329" s="6" t="str">
        <f t="shared" si="45"/>
        <v/>
      </c>
    </row>
    <row r="330" spans="1:20" ht="16.5" x14ac:dyDescent="0.25">
      <c r="A330" s="11" t="str">
        <f t="shared" si="40"/>
        <v/>
      </c>
      <c r="B330" s="12" t="str">
        <f>IF($M$1&gt;=I330,VLOOKUP(I330,Iktato!$B$3:$L$10000,5,FALSE),"")</f>
        <v/>
      </c>
      <c r="C330" s="13" t="str">
        <f t="shared" si="41"/>
        <v/>
      </c>
      <c r="D330" s="14" t="str">
        <f>TRIM(IF($M$1&gt;=I330,IF(VLOOKUP(I330,Iktato!$B$3:$L$10000,8,FALSE)&lt;&gt;0,VLOOKUP(I330,Iktato!$B$3:$L$10000,8,FALSE),""),""))</f>
        <v/>
      </c>
      <c r="E330" s="14" t="str">
        <f>TRIM(IF($M$1&gt;=I330,IF(VLOOKUP(I330,Iktato!$B$3:$L$10000,9,FALSE)&lt;&gt;0,VLOOKUP(I330,Iktato!$B$3:$L$10000,9,FALSE),""),""))</f>
        <v/>
      </c>
      <c r="F330" s="43" t="str">
        <f t="shared" si="38"/>
        <v/>
      </c>
      <c r="G330" s="43"/>
      <c r="I330" s="6">
        <f t="shared" si="39"/>
        <v>320</v>
      </c>
      <c r="J330" s="6" t="str">
        <f t="shared" si="42"/>
        <v/>
      </c>
      <c r="K330" s="6" t="str">
        <f>IF($M$1&gt;=I330,VLOOKUP(I330,Iktato!$B$3:$L$10000,3,FALSE),"")</f>
        <v/>
      </c>
      <c r="M330" s="6" t="str">
        <f>IF($M$1&gt;=I330,IF(VLOOKUP(I330,Iktato!$B$3:$P$10000,15,FALSE)&lt;&gt;0,VLOOKUP(I330,Iktato!$B$3:$P$10000,15,FALSE),""),"")</f>
        <v/>
      </c>
      <c r="N330" s="6" t="str">
        <f>IF($M$1&gt;=I330,IF(VLOOKUP(I330,Iktato!$B$3:$Q$10000,16,FALSE)&lt;&gt;0,VLOOKUP(I330,Iktato!$B$3:$Q$10000,16,FALSE),""),"")</f>
        <v/>
      </c>
      <c r="P330" s="6" t="str">
        <f>TRIM(IF($M$1&gt;=I330,IF(VLOOKUP(I330,Iktato!$B$3:$L$10000,6,FALSE)&lt;&gt;0,VLOOKUP(I330,Iktato!$B$3:$L$10000,6,FALSE),""),""))</f>
        <v/>
      </c>
      <c r="Q330" s="8" t="str">
        <f>TRIM(IF($M$1&gt;=I330,IF(VLOOKUP(I330,Iktato!$B$3:$L$10000,7,FALSE)&lt;&gt;0,VLOOKUP(I330,Iktato!$B$3:$L$10000,7,FALSE),""),""))</f>
        <v/>
      </c>
      <c r="R330" s="6" t="str">
        <f t="shared" si="43"/>
        <v/>
      </c>
      <c r="S330" s="6" t="str">
        <f t="shared" si="44"/>
        <v/>
      </c>
      <c r="T330" s="6" t="str">
        <f t="shared" si="45"/>
        <v/>
      </c>
    </row>
    <row r="331" spans="1:20" ht="16.5" x14ac:dyDescent="0.25">
      <c r="A331" s="11" t="str">
        <f t="shared" si="40"/>
        <v/>
      </c>
      <c r="B331" s="12" t="str">
        <f>IF($M$1&gt;=I331,VLOOKUP(I331,Iktato!$B$3:$L$10000,5,FALSE),"")</f>
        <v/>
      </c>
      <c r="C331" s="13" t="str">
        <f t="shared" si="41"/>
        <v/>
      </c>
      <c r="D331" s="14" t="str">
        <f>TRIM(IF($M$1&gt;=I331,IF(VLOOKUP(I331,Iktato!$B$3:$L$10000,8,FALSE)&lt;&gt;0,VLOOKUP(I331,Iktato!$B$3:$L$10000,8,FALSE),""),""))</f>
        <v/>
      </c>
      <c r="E331" s="14" t="str">
        <f>TRIM(IF($M$1&gt;=I331,IF(VLOOKUP(I331,Iktato!$B$3:$L$10000,9,FALSE)&lt;&gt;0,VLOOKUP(I331,Iktato!$B$3:$L$10000,9,FALSE),""),""))</f>
        <v/>
      </c>
      <c r="F331" s="43" t="str">
        <f t="shared" si="38"/>
        <v/>
      </c>
      <c r="G331" s="43"/>
      <c r="I331" s="6">
        <f t="shared" si="39"/>
        <v>321</v>
      </c>
      <c r="J331" s="6" t="str">
        <f t="shared" si="42"/>
        <v/>
      </c>
      <c r="K331" s="6" t="str">
        <f>IF($M$1&gt;=I331,VLOOKUP(I331,Iktato!$B$3:$L$10000,3,FALSE),"")</f>
        <v/>
      </c>
      <c r="M331" s="6" t="str">
        <f>IF($M$1&gt;=I331,IF(VLOOKUP(I331,Iktato!$B$3:$P$10000,15,FALSE)&lt;&gt;0,VLOOKUP(I331,Iktato!$B$3:$P$10000,15,FALSE),""),"")</f>
        <v/>
      </c>
      <c r="N331" s="6" t="str">
        <f>IF($M$1&gt;=I331,IF(VLOOKUP(I331,Iktato!$B$3:$Q$10000,16,FALSE)&lt;&gt;0,VLOOKUP(I331,Iktato!$B$3:$Q$10000,16,FALSE),""),"")</f>
        <v/>
      </c>
      <c r="P331" s="6" t="str">
        <f>TRIM(IF($M$1&gt;=I331,IF(VLOOKUP(I331,Iktato!$B$3:$L$10000,6,FALSE)&lt;&gt;0,VLOOKUP(I331,Iktato!$B$3:$L$10000,6,FALSE),""),""))</f>
        <v/>
      </c>
      <c r="Q331" s="8" t="str">
        <f>TRIM(IF($M$1&gt;=I331,IF(VLOOKUP(I331,Iktato!$B$3:$L$10000,7,FALSE)&lt;&gt;0,VLOOKUP(I331,Iktato!$B$3:$L$10000,7,FALSE),""),""))</f>
        <v/>
      </c>
      <c r="R331" s="6" t="str">
        <f t="shared" si="43"/>
        <v/>
      </c>
      <c r="S331" s="6" t="str">
        <f t="shared" si="44"/>
        <v/>
      </c>
      <c r="T331" s="6" t="str">
        <f t="shared" si="45"/>
        <v/>
      </c>
    </row>
    <row r="332" spans="1:20" ht="16.5" x14ac:dyDescent="0.25">
      <c r="A332" s="11" t="str">
        <f t="shared" si="40"/>
        <v/>
      </c>
      <c r="B332" s="12" t="str">
        <f>IF($M$1&gt;=I332,VLOOKUP(I332,Iktato!$B$3:$L$10000,5,FALSE),"")</f>
        <v/>
      </c>
      <c r="C332" s="13" t="str">
        <f t="shared" si="41"/>
        <v/>
      </c>
      <c r="D332" s="14" t="str">
        <f>TRIM(IF($M$1&gt;=I332,IF(VLOOKUP(I332,Iktato!$B$3:$L$10000,8,FALSE)&lt;&gt;0,VLOOKUP(I332,Iktato!$B$3:$L$10000,8,FALSE),""),""))</f>
        <v/>
      </c>
      <c r="E332" s="14" t="str">
        <f>TRIM(IF($M$1&gt;=I332,IF(VLOOKUP(I332,Iktato!$B$3:$L$10000,9,FALSE)&lt;&gt;0,VLOOKUP(I332,Iktato!$B$3:$L$10000,9,FALSE),""),""))</f>
        <v/>
      </c>
      <c r="F332" s="43" t="str">
        <f t="shared" ref="F332:F395" si="46">TRIM(IF($M$1&gt;=I332,M332&amp;$M$10&amp;N332,""))</f>
        <v/>
      </c>
      <c r="G332" s="43"/>
      <c r="I332" s="6">
        <f t="shared" ref="I332:I395" si="47">I331+1</f>
        <v>322</v>
      </c>
      <c r="J332" s="6" t="str">
        <f t="shared" si="42"/>
        <v/>
      </c>
      <c r="K332" s="6" t="str">
        <f>IF($M$1&gt;=I332,VLOOKUP(I332,Iktato!$B$3:$L$10000,3,FALSE),"")</f>
        <v/>
      </c>
      <c r="M332" s="6" t="str">
        <f>IF($M$1&gt;=I332,IF(VLOOKUP(I332,Iktato!$B$3:$P$10000,15,FALSE)&lt;&gt;0,VLOOKUP(I332,Iktato!$B$3:$P$10000,15,FALSE),""),"")</f>
        <v/>
      </c>
      <c r="N332" s="6" t="str">
        <f>IF($M$1&gt;=I332,IF(VLOOKUP(I332,Iktato!$B$3:$Q$10000,16,FALSE)&lt;&gt;0,VLOOKUP(I332,Iktato!$B$3:$Q$10000,16,FALSE),""),"")</f>
        <v/>
      </c>
      <c r="P332" s="6" t="str">
        <f>TRIM(IF($M$1&gt;=I332,IF(VLOOKUP(I332,Iktato!$B$3:$L$10000,6,FALSE)&lt;&gt;0,VLOOKUP(I332,Iktato!$B$3:$L$10000,6,FALSE),""),""))</f>
        <v/>
      </c>
      <c r="Q332" s="8" t="str">
        <f>TRIM(IF($M$1&gt;=I332,IF(VLOOKUP(I332,Iktato!$B$3:$L$10000,7,FALSE)&lt;&gt;0,VLOOKUP(I332,Iktato!$B$3:$L$10000,7,FALSE),""),""))</f>
        <v/>
      </c>
      <c r="R332" s="6" t="str">
        <f t="shared" si="43"/>
        <v/>
      </c>
      <c r="S332" s="6" t="str">
        <f t="shared" si="44"/>
        <v/>
      </c>
      <c r="T332" s="6" t="str">
        <f t="shared" si="45"/>
        <v/>
      </c>
    </row>
    <row r="333" spans="1:20" ht="16.5" x14ac:dyDescent="0.25">
      <c r="A333" s="11" t="str">
        <f t="shared" si="40"/>
        <v/>
      </c>
      <c r="B333" s="12" t="str">
        <f>IF($M$1&gt;=I333,VLOOKUP(I333,Iktato!$B$3:$L$10000,5,FALSE),"")</f>
        <v/>
      </c>
      <c r="C333" s="13" t="str">
        <f t="shared" si="41"/>
        <v/>
      </c>
      <c r="D333" s="14" t="str">
        <f>TRIM(IF($M$1&gt;=I333,IF(VLOOKUP(I333,Iktato!$B$3:$L$10000,8,FALSE)&lt;&gt;0,VLOOKUP(I333,Iktato!$B$3:$L$10000,8,FALSE),""),""))</f>
        <v/>
      </c>
      <c r="E333" s="14" t="str">
        <f>TRIM(IF($M$1&gt;=I333,IF(VLOOKUP(I333,Iktato!$B$3:$L$10000,9,FALSE)&lt;&gt;0,VLOOKUP(I333,Iktato!$B$3:$L$10000,9,FALSE),""),""))</f>
        <v/>
      </c>
      <c r="F333" s="43" t="str">
        <f t="shared" si="46"/>
        <v/>
      </c>
      <c r="G333" s="43"/>
      <c r="I333" s="6">
        <f t="shared" si="47"/>
        <v>323</v>
      </c>
      <c r="J333" s="6" t="str">
        <f t="shared" si="42"/>
        <v/>
      </c>
      <c r="K333" s="6" t="str">
        <f>IF($M$1&gt;=I333,VLOOKUP(I333,Iktato!$B$3:$L$10000,3,FALSE),"")</f>
        <v/>
      </c>
      <c r="M333" s="6" t="str">
        <f>IF($M$1&gt;=I333,IF(VLOOKUP(I333,Iktato!$B$3:$P$10000,15,FALSE)&lt;&gt;0,VLOOKUP(I333,Iktato!$B$3:$P$10000,15,FALSE),""),"")</f>
        <v/>
      </c>
      <c r="N333" s="6" t="str">
        <f>IF($M$1&gt;=I333,IF(VLOOKUP(I333,Iktato!$B$3:$Q$10000,16,FALSE)&lt;&gt;0,VLOOKUP(I333,Iktato!$B$3:$Q$10000,16,FALSE),""),"")</f>
        <v/>
      </c>
      <c r="P333" s="6" t="str">
        <f>TRIM(IF($M$1&gt;=I333,IF(VLOOKUP(I333,Iktato!$B$3:$L$10000,6,FALSE)&lt;&gt;0,VLOOKUP(I333,Iktato!$B$3:$L$10000,6,FALSE),""),""))</f>
        <v/>
      </c>
      <c r="Q333" s="8" t="str">
        <f>TRIM(IF($M$1&gt;=I333,IF(VLOOKUP(I333,Iktato!$B$3:$L$10000,7,FALSE)&lt;&gt;0,VLOOKUP(I333,Iktato!$B$3:$L$10000,7,FALSE),""),""))</f>
        <v/>
      </c>
      <c r="R333" s="6" t="str">
        <f t="shared" si="43"/>
        <v/>
      </c>
      <c r="S333" s="6" t="str">
        <f t="shared" si="44"/>
        <v/>
      </c>
      <c r="T333" s="6" t="str">
        <f t="shared" si="45"/>
        <v/>
      </c>
    </row>
    <row r="334" spans="1:20" ht="16.5" x14ac:dyDescent="0.25">
      <c r="A334" s="11" t="str">
        <f t="shared" si="40"/>
        <v/>
      </c>
      <c r="B334" s="12" t="str">
        <f>IF($M$1&gt;=I334,VLOOKUP(I334,Iktato!$B$3:$L$10000,5,FALSE),"")</f>
        <v/>
      </c>
      <c r="C334" s="13" t="str">
        <f t="shared" si="41"/>
        <v/>
      </c>
      <c r="D334" s="14" t="str">
        <f>TRIM(IF($M$1&gt;=I334,IF(VLOOKUP(I334,Iktato!$B$3:$L$10000,8,FALSE)&lt;&gt;0,VLOOKUP(I334,Iktato!$B$3:$L$10000,8,FALSE),""),""))</f>
        <v/>
      </c>
      <c r="E334" s="14" t="str">
        <f>TRIM(IF($M$1&gt;=I334,IF(VLOOKUP(I334,Iktato!$B$3:$L$10000,9,FALSE)&lt;&gt;0,VLOOKUP(I334,Iktato!$B$3:$L$10000,9,FALSE),""),""))</f>
        <v/>
      </c>
      <c r="F334" s="43" t="str">
        <f t="shared" si="46"/>
        <v/>
      </c>
      <c r="G334" s="43"/>
      <c r="I334" s="6">
        <f t="shared" si="47"/>
        <v>324</v>
      </c>
      <c r="J334" s="6" t="str">
        <f t="shared" si="42"/>
        <v/>
      </c>
      <c r="K334" s="6" t="str">
        <f>IF($M$1&gt;=I334,VLOOKUP(I334,Iktato!$B$3:$L$10000,3,FALSE),"")</f>
        <v/>
      </c>
      <c r="M334" s="6" t="str">
        <f>IF($M$1&gt;=I334,IF(VLOOKUP(I334,Iktato!$B$3:$P$10000,15,FALSE)&lt;&gt;0,VLOOKUP(I334,Iktato!$B$3:$P$10000,15,FALSE),""),"")</f>
        <v/>
      </c>
      <c r="N334" s="6" t="str">
        <f>IF($M$1&gt;=I334,IF(VLOOKUP(I334,Iktato!$B$3:$Q$10000,16,FALSE)&lt;&gt;0,VLOOKUP(I334,Iktato!$B$3:$Q$10000,16,FALSE),""),"")</f>
        <v/>
      </c>
      <c r="P334" s="6" t="str">
        <f>TRIM(IF($M$1&gt;=I334,IF(VLOOKUP(I334,Iktato!$B$3:$L$10000,6,FALSE)&lt;&gt;0,VLOOKUP(I334,Iktato!$B$3:$L$10000,6,FALSE),""),""))</f>
        <v/>
      </c>
      <c r="Q334" s="8" t="str">
        <f>TRIM(IF($M$1&gt;=I334,IF(VLOOKUP(I334,Iktato!$B$3:$L$10000,7,FALSE)&lt;&gt;0,VLOOKUP(I334,Iktato!$B$3:$L$10000,7,FALSE),""),""))</f>
        <v/>
      </c>
      <c r="R334" s="6" t="str">
        <f t="shared" si="43"/>
        <v/>
      </c>
      <c r="S334" s="6" t="str">
        <f t="shared" si="44"/>
        <v/>
      </c>
      <c r="T334" s="6" t="str">
        <f t="shared" si="45"/>
        <v/>
      </c>
    </row>
    <row r="335" spans="1:20" ht="16.5" x14ac:dyDescent="0.25">
      <c r="A335" s="11" t="str">
        <f t="shared" si="40"/>
        <v/>
      </c>
      <c r="B335" s="12" t="str">
        <f>IF($M$1&gt;=I335,VLOOKUP(I335,Iktato!$B$3:$L$10000,5,FALSE),"")</f>
        <v/>
      </c>
      <c r="C335" s="13" t="str">
        <f t="shared" si="41"/>
        <v/>
      </c>
      <c r="D335" s="14" t="str">
        <f>TRIM(IF($M$1&gt;=I335,IF(VLOOKUP(I335,Iktato!$B$3:$L$10000,8,FALSE)&lt;&gt;0,VLOOKUP(I335,Iktato!$B$3:$L$10000,8,FALSE),""),""))</f>
        <v/>
      </c>
      <c r="E335" s="14" t="str">
        <f>TRIM(IF($M$1&gt;=I335,IF(VLOOKUP(I335,Iktato!$B$3:$L$10000,9,FALSE)&lt;&gt;0,VLOOKUP(I335,Iktato!$B$3:$L$10000,9,FALSE),""),""))</f>
        <v/>
      </c>
      <c r="F335" s="43" t="str">
        <f t="shared" si="46"/>
        <v/>
      </c>
      <c r="G335" s="43"/>
      <c r="I335" s="6">
        <f t="shared" si="47"/>
        <v>325</v>
      </c>
      <c r="J335" s="6" t="str">
        <f t="shared" si="42"/>
        <v/>
      </c>
      <c r="K335" s="6" t="str">
        <f>IF($M$1&gt;=I335,VLOOKUP(I335,Iktato!$B$3:$L$10000,3,FALSE),"")</f>
        <v/>
      </c>
      <c r="M335" s="6" t="str">
        <f>IF($M$1&gt;=I335,IF(VLOOKUP(I335,Iktato!$B$3:$P$10000,15,FALSE)&lt;&gt;0,VLOOKUP(I335,Iktato!$B$3:$P$10000,15,FALSE),""),"")</f>
        <v/>
      </c>
      <c r="N335" s="6" t="str">
        <f>IF($M$1&gt;=I335,IF(VLOOKUP(I335,Iktato!$B$3:$Q$10000,16,FALSE)&lt;&gt;0,VLOOKUP(I335,Iktato!$B$3:$Q$10000,16,FALSE),""),"")</f>
        <v/>
      </c>
      <c r="P335" s="6" t="str">
        <f>TRIM(IF($M$1&gt;=I335,IF(VLOOKUP(I335,Iktato!$B$3:$L$10000,6,FALSE)&lt;&gt;0,VLOOKUP(I335,Iktato!$B$3:$L$10000,6,FALSE),""),""))</f>
        <v/>
      </c>
      <c r="Q335" s="8" t="str">
        <f>TRIM(IF($M$1&gt;=I335,IF(VLOOKUP(I335,Iktato!$B$3:$L$10000,7,FALSE)&lt;&gt;0,VLOOKUP(I335,Iktato!$B$3:$L$10000,7,FALSE),""),""))</f>
        <v/>
      </c>
      <c r="R335" s="6" t="str">
        <f t="shared" si="43"/>
        <v/>
      </c>
      <c r="S335" s="6" t="str">
        <f t="shared" si="44"/>
        <v/>
      </c>
      <c r="T335" s="6" t="str">
        <f t="shared" si="45"/>
        <v/>
      </c>
    </row>
    <row r="336" spans="1:20" ht="16.5" x14ac:dyDescent="0.25">
      <c r="A336" s="11" t="str">
        <f t="shared" si="40"/>
        <v/>
      </c>
      <c r="B336" s="12" t="str">
        <f>IF($M$1&gt;=I336,VLOOKUP(I336,Iktato!$B$3:$L$10000,5,FALSE),"")</f>
        <v/>
      </c>
      <c r="C336" s="13" t="str">
        <f t="shared" si="41"/>
        <v/>
      </c>
      <c r="D336" s="14" t="str">
        <f>TRIM(IF($M$1&gt;=I336,IF(VLOOKUP(I336,Iktato!$B$3:$L$10000,8,FALSE)&lt;&gt;0,VLOOKUP(I336,Iktato!$B$3:$L$10000,8,FALSE),""),""))</f>
        <v/>
      </c>
      <c r="E336" s="14" t="str">
        <f>TRIM(IF($M$1&gt;=I336,IF(VLOOKUP(I336,Iktato!$B$3:$L$10000,9,FALSE)&lt;&gt;0,VLOOKUP(I336,Iktato!$B$3:$L$10000,9,FALSE),""),""))</f>
        <v/>
      </c>
      <c r="F336" s="43" t="str">
        <f t="shared" si="46"/>
        <v/>
      </c>
      <c r="G336" s="43"/>
      <c r="I336" s="6">
        <f t="shared" si="47"/>
        <v>326</v>
      </c>
      <c r="J336" s="6" t="str">
        <f t="shared" si="42"/>
        <v/>
      </c>
      <c r="K336" s="6" t="str">
        <f>IF($M$1&gt;=I336,VLOOKUP(I336,Iktato!$B$3:$L$10000,3,FALSE),"")</f>
        <v/>
      </c>
      <c r="M336" s="6" t="str">
        <f>IF($M$1&gt;=I336,IF(VLOOKUP(I336,Iktato!$B$3:$P$10000,15,FALSE)&lt;&gt;0,VLOOKUP(I336,Iktato!$B$3:$P$10000,15,FALSE),""),"")</f>
        <v/>
      </c>
      <c r="N336" s="6" t="str">
        <f>IF($M$1&gt;=I336,IF(VLOOKUP(I336,Iktato!$B$3:$Q$10000,16,FALSE)&lt;&gt;0,VLOOKUP(I336,Iktato!$B$3:$Q$10000,16,FALSE),""),"")</f>
        <v/>
      </c>
      <c r="P336" s="6" t="str">
        <f>TRIM(IF($M$1&gt;=I336,IF(VLOOKUP(I336,Iktato!$B$3:$L$10000,6,FALSE)&lt;&gt;0,VLOOKUP(I336,Iktato!$B$3:$L$10000,6,FALSE),""),""))</f>
        <v/>
      </c>
      <c r="Q336" s="8" t="str">
        <f>TRIM(IF($M$1&gt;=I336,IF(VLOOKUP(I336,Iktato!$B$3:$L$10000,7,FALSE)&lt;&gt;0,VLOOKUP(I336,Iktato!$B$3:$L$10000,7,FALSE),""),""))</f>
        <v/>
      </c>
      <c r="R336" s="6" t="str">
        <f t="shared" si="43"/>
        <v/>
      </c>
      <c r="S336" s="6" t="str">
        <f t="shared" si="44"/>
        <v/>
      </c>
      <c r="T336" s="6" t="str">
        <f t="shared" si="45"/>
        <v/>
      </c>
    </row>
    <row r="337" spans="1:20" ht="16.5" x14ac:dyDescent="0.25">
      <c r="A337" s="11" t="str">
        <f t="shared" si="40"/>
        <v/>
      </c>
      <c r="B337" s="12" t="str">
        <f>IF($M$1&gt;=I337,VLOOKUP(I337,Iktato!$B$3:$L$10000,5,FALSE),"")</f>
        <v/>
      </c>
      <c r="C337" s="13" t="str">
        <f t="shared" si="41"/>
        <v/>
      </c>
      <c r="D337" s="14" t="str">
        <f>TRIM(IF($M$1&gt;=I337,IF(VLOOKUP(I337,Iktato!$B$3:$L$10000,8,FALSE)&lt;&gt;0,VLOOKUP(I337,Iktato!$B$3:$L$10000,8,FALSE),""),""))</f>
        <v/>
      </c>
      <c r="E337" s="14" t="str">
        <f>TRIM(IF($M$1&gt;=I337,IF(VLOOKUP(I337,Iktato!$B$3:$L$10000,9,FALSE)&lt;&gt;0,VLOOKUP(I337,Iktato!$B$3:$L$10000,9,FALSE),""),""))</f>
        <v/>
      </c>
      <c r="F337" s="43" t="str">
        <f t="shared" si="46"/>
        <v/>
      </c>
      <c r="G337" s="43"/>
      <c r="I337" s="6">
        <f t="shared" si="47"/>
        <v>327</v>
      </c>
      <c r="J337" s="6" t="str">
        <f t="shared" si="42"/>
        <v/>
      </c>
      <c r="K337" s="6" t="str">
        <f>IF($M$1&gt;=I337,VLOOKUP(I337,Iktato!$B$3:$L$10000,3,FALSE),"")</f>
        <v/>
      </c>
      <c r="M337" s="6" t="str">
        <f>IF($M$1&gt;=I337,IF(VLOOKUP(I337,Iktato!$B$3:$P$10000,15,FALSE)&lt;&gt;0,VLOOKUP(I337,Iktato!$B$3:$P$10000,15,FALSE),""),"")</f>
        <v/>
      </c>
      <c r="N337" s="6" t="str">
        <f>IF($M$1&gt;=I337,IF(VLOOKUP(I337,Iktato!$B$3:$Q$10000,16,FALSE)&lt;&gt;0,VLOOKUP(I337,Iktato!$B$3:$Q$10000,16,FALSE),""),"")</f>
        <v/>
      </c>
      <c r="P337" s="6" t="str">
        <f>TRIM(IF($M$1&gt;=I337,IF(VLOOKUP(I337,Iktato!$B$3:$L$10000,6,FALSE)&lt;&gt;0,VLOOKUP(I337,Iktato!$B$3:$L$10000,6,FALSE),""),""))</f>
        <v/>
      </c>
      <c r="Q337" s="8" t="str">
        <f>TRIM(IF($M$1&gt;=I337,IF(VLOOKUP(I337,Iktato!$B$3:$L$10000,7,FALSE)&lt;&gt;0,VLOOKUP(I337,Iktato!$B$3:$L$10000,7,FALSE),""),""))</f>
        <v/>
      </c>
      <c r="R337" s="6" t="str">
        <f t="shared" si="43"/>
        <v/>
      </c>
      <c r="S337" s="6" t="str">
        <f t="shared" si="44"/>
        <v/>
      </c>
      <c r="T337" s="6" t="str">
        <f t="shared" si="45"/>
        <v/>
      </c>
    </row>
    <row r="338" spans="1:20" ht="16.5" x14ac:dyDescent="0.25">
      <c r="A338" s="11" t="str">
        <f t="shared" si="40"/>
        <v/>
      </c>
      <c r="B338" s="12" t="str">
        <f>IF($M$1&gt;=I338,VLOOKUP(I338,Iktato!$B$3:$L$10000,5,FALSE),"")</f>
        <v/>
      </c>
      <c r="C338" s="13" t="str">
        <f t="shared" si="41"/>
        <v/>
      </c>
      <c r="D338" s="14" t="str">
        <f>TRIM(IF($M$1&gt;=I338,IF(VLOOKUP(I338,Iktato!$B$3:$L$10000,8,FALSE)&lt;&gt;0,VLOOKUP(I338,Iktato!$B$3:$L$10000,8,FALSE),""),""))</f>
        <v/>
      </c>
      <c r="E338" s="14" t="str">
        <f>TRIM(IF($M$1&gt;=I338,IF(VLOOKUP(I338,Iktato!$B$3:$L$10000,9,FALSE)&lt;&gt;0,VLOOKUP(I338,Iktato!$B$3:$L$10000,9,FALSE),""),""))</f>
        <v/>
      </c>
      <c r="F338" s="43" t="str">
        <f t="shared" si="46"/>
        <v/>
      </c>
      <c r="G338" s="43"/>
      <c r="I338" s="6">
        <f t="shared" si="47"/>
        <v>328</v>
      </c>
      <c r="J338" s="6" t="str">
        <f t="shared" si="42"/>
        <v/>
      </c>
      <c r="K338" s="6" t="str">
        <f>IF($M$1&gt;=I338,VLOOKUP(I338,Iktato!$B$3:$L$10000,3,FALSE),"")</f>
        <v/>
      </c>
      <c r="M338" s="6" t="str">
        <f>IF($M$1&gt;=I338,IF(VLOOKUP(I338,Iktato!$B$3:$P$10000,15,FALSE)&lt;&gt;0,VLOOKUP(I338,Iktato!$B$3:$P$10000,15,FALSE),""),"")</f>
        <v/>
      </c>
      <c r="N338" s="6" t="str">
        <f>IF($M$1&gt;=I338,IF(VLOOKUP(I338,Iktato!$B$3:$Q$10000,16,FALSE)&lt;&gt;0,VLOOKUP(I338,Iktato!$B$3:$Q$10000,16,FALSE),""),"")</f>
        <v/>
      </c>
      <c r="P338" s="6" t="str">
        <f>TRIM(IF($M$1&gt;=I338,IF(VLOOKUP(I338,Iktato!$B$3:$L$10000,6,FALSE)&lt;&gt;0,VLOOKUP(I338,Iktato!$B$3:$L$10000,6,FALSE),""),""))</f>
        <v/>
      </c>
      <c r="Q338" s="8" t="str">
        <f>TRIM(IF($M$1&gt;=I338,IF(VLOOKUP(I338,Iktato!$B$3:$L$10000,7,FALSE)&lt;&gt;0,VLOOKUP(I338,Iktato!$B$3:$L$10000,7,FALSE),""),""))</f>
        <v/>
      </c>
      <c r="R338" s="6" t="str">
        <f t="shared" si="43"/>
        <v/>
      </c>
      <c r="S338" s="6" t="str">
        <f t="shared" si="44"/>
        <v/>
      </c>
      <c r="T338" s="6" t="str">
        <f t="shared" si="45"/>
        <v/>
      </c>
    </row>
    <row r="339" spans="1:20" ht="16.5" x14ac:dyDescent="0.25">
      <c r="A339" s="11" t="str">
        <f t="shared" si="40"/>
        <v/>
      </c>
      <c r="B339" s="12" t="str">
        <f>IF($M$1&gt;=I339,VLOOKUP(I339,Iktato!$B$3:$L$10000,5,FALSE),"")</f>
        <v/>
      </c>
      <c r="C339" s="13" t="str">
        <f t="shared" si="41"/>
        <v/>
      </c>
      <c r="D339" s="14" t="str">
        <f>TRIM(IF($M$1&gt;=I339,IF(VLOOKUP(I339,Iktato!$B$3:$L$10000,8,FALSE)&lt;&gt;0,VLOOKUP(I339,Iktato!$B$3:$L$10000,8,FALSE),""),""))</f>
        <v/>
      </c>
      <c r="E339" s="14" t="str">
        <f>TRIM(IF($M$1&gt;=I339,IF(VLOOKUP(I339,Iktato!$B$3:$L$10000,9,FALSE)&lt;&gt;0,VLOOKUP(I339,Iktato!$B$3:$L$10000,9,FALSE),""),""))</f>
        <v/>
      </c>
      <c r="F339" s="43" t="str">
        <f t="shared" si="46"/>
        <v/>
      </c>
      <c r="G339" s="43"/>
      <c r="I339" s="6">
        <f t="shared" si="47"/>
        <v>329</v>
      </c>
      <c r="J339" s="6" t="str">
        <f t="shared" si="42"/>
        <v/>
      </c>
      <c r="K339" s="6" t="str">
        <f>IF($M$1&gt;=I339,VLOOKUP(I339,Iktato!$B$3:$L$10000,3,FALSE),"")</f>
        <v/>
      </c>
      <c r="M339" s="6" t="str">
        <f>IF($M$1&gt;=I339,IF(VLOOKUP(I339,Iktato!$B$3:$P$10000,15,FALSE)&lt;&gt;0,VLOOKUP(I339,Iktato!$B$3:$P$10000,15,FALSE),""),"")</f>
        <v/>
      </c>
      <c r="N339" s="6" t="str">
        <f>IF($M$1&gt;=I339,IF(VLOOKUP(I339,Iktato!$B$3:$Q$10000,16,FALSE)&lt;&gt;0,VLOOKUP(I339,Iktato!$B$3:$Q$10000,16,FALSE),""),"")</f>
        <v/>
      </c>
      <c r="P339" s="6" t="str">
        <f>TRIM(IF($M$1&gt;=I339,IF(VLOOKUP(I339,Iktato!$B$3:$L$10000,6,FALSE)&lt;&gt;0,VLOOKUP(I339,Iktato!$B$3:$L$10000,6,FALSE),""),""))</f>
        <v/>
      </c>
      <c r="Q339" s="8" t="str">
        <f>TRIM(IF($M$1&gt;=I339,IF(VLOOKUP(I339,Iktato!$B$3:$L$10000,7,FALSE)&lt;&gt;0,VLOOKUP(I339,Iktato!$B$3:$L$10000,7,FALSE),""),""))</f>
        <v/>
      </c>
      <c r="R339" s="6" t="str">
        <f t="shared" si="43"/>
        <v/>
      </c>
      <c r="S339" s="6" t="str">
        <f t="shared" si="44"/>
        <v/>
      </c>
      <c r="T339" s="6" t="str">
        <f t="shared" si="45"/>
        <v/>
      </c>
    </row>
    <row r="340" spans="1:20" ht="16.5" x14ac:dyDescent="0.25">
      <c r="A340" s="11" t="str">
        <f t="shared" si="40"/>
        <v/>
      </c>
      <c r="B340" s="12" t="str">
        <f>IF($M$1&gt;=I340,VLOOKUP(I340,Iktato!$B$3:$L$10000,5,FALSE),"")</f>
        <v/>
      </c>
      <c r="C340" s="13" t="str">
        <f t="shared" si="41"/>
        <v/>
      </c>
      <c r="D340" s="14" t="str">
        <f>TRIM(IF($M$1&gt;=I340,IF(VLOOKUP(I340,Iktato!$B$3:$L$10000,8,FALSE)&lt;&gt;0,VLOOKUP(I340,Iktato!$B$3:$L$10000,8,FALSE),""),""))</f>
        <v/>
      </c>
      <c r="E340" s="14" t="str">
        <f>TRIM(IF($M$1&gt;=I340,IF(VLOOKUP(I340,Iktato!$B$3:$L$10000,9,FALSE)&lt;&gt;0,VLOOKUP(I340,Iktato!$B$3:$L$10000,9,FALSE),""),""))</f>
        <v/>
      </c>
      <c r="F340" s="43" t="str">
        <f t="shared" si="46"/>
        <v/>
      </c>
      <c r="G340" s="43"/>
      <c r="I340" s="6">
        <f t="shared" si="47"/>
        <v>330</v>
      </c>
      <c r="J340" s="6" t="str">
        <f t="shared" si="42"/>
        <v/>
      </c>
      <c r="K340" s="6" t="str">
        <f>IF($M$1&gt;=I340,VLOOKUP(I340,Iktato!$B$3:$L$10000,3,FALSE),"")</f>
        <v/>
      </c>
      <c r="M340" s="6" t="str">
        <f>IF($M$1&gt;=I340,IF(VLOOKUP(I340,Iktato!$B$3:$P$10000,15,FALSE)&lt;&gt;0,VLOOKUP(I340,Iktato!$B$3:$P$10000,15,FALSE),""),"")</f>
        <v/>
      </c>
      <c r="N340" s="6" t="str">
        <f>IF($M$1&gt;=I340,IF(VLOOKUP(I340,Iktato!$B$3:$Q$10000,16,FALSE)&lt;&gt;0,VLOOKUP(I340,Iktato!$B$3:$Q$10000,16,FALSE),""),"")</f>
        <v/>
      </c>
      <c r="P340" s="6" t="str">
        <f>TRIM(IF($M$1&gt;=I340,IF(VLOOKUP(I340,Iktato!$B$3:$L$10000,6,FALSE)&lt;&gt;0,VLOOKUP(I340,Iktato!$B$3:$L$10000,6,FALSE),""),""))</f>
        <v/>
      </c>
      <c r="Q340" s="8" t="str">
        <f>TRIM(IF($M$1&gt;=I340,IF(VLOOKUP(I340,Iktato!$B$3:$L$10000,7,FALSE)&lt;&gt;0,VLOOKUP(I340,Iktato!$B$3:$L$10000,7,FALSE),""),""))</f>
        <v/>
      </c>
      <c r="R340" s="6" t="str">
        <f t="shared" si="43"/>
        <v/>
      </c>
      <c r="S340" s="6" t="str">
        <f t="shared" si="44"/>
        <v/>
      </c>
      <c r="T340" s="6" t="str">
        <f t="shared" si="45"/>
        <v/>
      </c>
    </row>
    <row r="341" spans="1:20" ht="16.5" x14ac:dyDescent="0.25">
      <c r="A341" s="11" t="str">
        <f t="shared" si="40"/>
        <v/>
      </c>
      <c r="B341" s="12" t="str">
        <f>IF($M$1&gt;=I341,VLOOKUP(I341,Iktato!$B$3:$L$10000,5,FALSE),"")</f>
        <v/>
      </c>
      <c r="C341" s="13" t="str">
        <f t="shared" si="41"/>
        <v/>
      </c>
      <c r="D341" s="14" t="str">
        <f>TRIM(IF($M$1&gt;=I341,IF(VLOOKUP(I341,Iktato!$B$3:$L$10000,8,FALSE)&lt;&gt;0,VLOOKUP(I341,Iktato!$B$3:$L$10000,8,FALSE),""),""))</f>
        <v/>
      </c>
      <c r="E341" s="14" t="str">
        <f>TRIM(IF($M$1&gt;=I341,IF(VLOOKUP(I341,Iktato!$B$3:$L$10000,9,FALSE)&lt;&gt;0,VLOOKUP(I341,Iktato!$B$3:$L$10000,9,FALSE),""),""))</f>
        <v/>
      </c>
      <c r="F341" s="43" t="str">
        <f t="shared" si="46"/>
        <v/>
      </c>
      <c r="G341" s="43"/>
      <c r="I341" s="6">
        <f t="shared" si="47"/>
        <v>331</v>
      </c>
      <c r="J341" s="6" t="str">
        <f t="shared" si="42"/>
        <v/>
      </c>
      <c r="K341" s="6" t="str">
        <f>IF($M$1&gt;=I341,VLOOKUP(I341,Iktato!$B$3:$L$10000,3,FALSE),"")</f>
        <v/>
      </c>
      <c r="M341" s="6" t="str">
        <f>IF($M$1&gt;=I341,IF(VLOOKUP(I341,Iktato!$B$3:$P$10000,15,FALSE)&lt;&gt;0,VLOOKUP(I341,Iktato!$B$3:$P$10000,15,FALSE),""),"")</f>
        <v/>
      </c>
      <c r="N341" s="6" t="str">
        <f>IF($M$1&gt;=I341,IF(VLOOKUP(I341,Iktato!$B$3:$Q$10000,16,FALSE)&lt;&gt;0,VLOOKUP(I341,Iktato!$B$3:$Q$10000,16,FALSE),""),"")</f>
        <v/>
      </c>
      <c r="P341" s="6" t="str">
        <f>TRIM(IF($M$1&gt;=I341,IF(VLOOKUP(I341,Iktato!$B$3:$L$10000,6,FALSE)&lt;&gt;0,VLOOKUP(I341,Iktato!$B$3:$L$10000,6,FALSE),""),""))</f>
        <v/>
      </c>
      <c r="Q341" s="8" t="str">
        <f>TRIM(IF($M$1&gt;=I341,IF(VLOOKUP(I341,Iktato!$B$3:$L$10000,7,FALSE)&lt;&gt;0,VLOOKUP(I341,Iktato!$B$3:$L$10000,7,FALSE),""),""))</f>
        <v/>
      </c>
      <c r="R341" s="6" t="str">
        <f t="shared" si="43"/>
        <v/>
      </c>
      <c r="S341" s="6" t="str">
        <f t="shared" si="44"/>
        <v/>
      </c>
      <c r="T341" s="6" t="str">
        <f t="shared" si="45"/>
        <v/>
      </c>
    </row>
    <row r="342" spans="1:20" ht="16.5" x14ac:dyDescent="0.25">
      <c r="A342" s="11" t="str">
        <f t="shared" si="40"/>
        <v/>
      </c>
      <c r="B342" s="12" t="str">
        <f>IF($M$1&gt;=I342,VLOOKUP(I342,Iktato!$B$3:$L$10000,5,FALSE),"")</f>
        <v/>
      </c>
      <c r="C342" s="13" t="str">
        <f t="shared" si="41"/>
        <v/>
      </c>
      <c r="D342" s="14" t="str">
        <f>TRIM(IF($M$1&gt;=I342,IF(VLOOKUP(I342,Iktato!$B$3:$L$10000,8,FALSE)&lt;&gt;0,VLOOKUP(I342,Iktato!$B$3:$L$10000,8,FALSE),""),""))</f>
        <v/>
      </c>
      <c r="E342" s="14" t="str">
        <f>TRIM(IF($M$1&gt;=I342,IF(VLOOKUP(I342,Iktato!$B$3:$L$10000,9,FALSE)&lt;&gt;0,VLOOKUP(I342,Iktato!$B$3:$L$10000,9,FALSE),""),""))</f>
        <v/>
      </c>
      <c r="F342" s="43" t="str">
        <f t="shared" si="46"/>
        <v/>
      </c>
      <c r="G342" s="43"/>
      <c r="I342" s="6">
        <f t="shared" si="47"/>
        <v>332</v>
      </c>
      <c r="J342" s="6" t="str">
        <f t="shared" si="42"/>
        <v/>
      </c>
      <c r="K342" s="6" t="str">
        <f>IF($M$1&gt;=I342,VLOOKUP(I342,Iktato!$B$3:$L$10000,3,FALSE),"")</f>
        <v/>
      </c>
      <c r="M342" s="6" t="str">
        <f>IF($M$1&gt;=I342,IF(VLOOKUP(I342,Iktato!$B$3:$P$10000,15,FALSE)&lt;&gt;0,VLOOKUP(I342,Iktato!$B$3:$P$10000,15,FALSE),""),"")</f>
        <v/>
      </c>
      <c r="N342" s="6" t="str">
        <f>IF($M$1&gt;=I342,IF(VLOOKUP(I342,Iktato!$B$3:$Q$10000,16,FALSE)&lt;&gt;0,VLOOKUP(I342,Iktato!$B$3:$Q$10000,16,FALSE),""),"")</f>
        <v/>
      </c>
      <c r="P342" s="6" t="str">
        <f>TRIM(IF($M$1&gt;=I342,IF(VLOOKUP(I342,Iktato!$B$3:$L$10000,6,FALSE)&lt;&gt;0,VLOOKUP(I342,Iktato!$B$3:$L$10000,6,FALSE),""),""))</f>
        <v/>
      </c>
      <c r="Q342" s="8" t="str">
        <f>TRIM(IF($M$1&gt;=I342,IF(VLOOKUP(I342,Iktato!$B$3:$L$10000,7,FALSE)&lt;&gt;0,VLOOKUP(I342,Iktato!$B$3:$L$10000,7,FALSE),""),""))</f>
        <v/>
      </c>
      <c r="R342" s="6" t="str">
        <f t="shared" si="43"/>
        <v/>
      </c>
      <c r="S342" s="6" t="str">
        <f t="shared" si="44"/>
        <v/>
      </c>
      <c r="T342" s="6" t="str">
        <f t="shared" si="45"/>
        <v/>
      </c>
    </row>
    <row r="343" spans="1:20" ht="16.5" x14ac:dyDescent="0.25">
      <c r="A343" s="11" t="str">
        <f t="shared" si="40"/>
        <v/>
      </c>
      <c r="B343" s="12" t="str">
        <f>IF($M$1&gt;=I343,VLOOKUP(I343,Iktato!$B$3:$L$10000,5,FALSE),"")</f>
        <v/>
      </c>
      <c r="C343" s="13" t="str">
        <f t="shared" si="41"/>
        <v/>
      </c>
      <c r="D343" s="14" t="str">
        <f>TRIM(IF($M$1&gt;=I343,IF(VLOOKUP(I343,Iktato!$B$3:$L$10000,8,FALSE)&lt;&gt;0,VLOOKUP(I343,Iktato!$B$3:$L$10000,8,FALSE),""),""))</f>
        <v/>
      </c>
      <c r="E343" s="14" t="str">
        <f>TRIM(IF($M$1&gt;=I343,IF(VLOOKUP(I343,Iktato!$B$3:$L$10000,9,FALSE)&lt;&gt;0,VLOOKUP(I343,Iktato!$B$3:$L$10000,9,FALSE),""),""))</f>
        <v/>
      </c>
      <c r="F343" s="43" t="str">
        <f t="shared" si="46"/>
        <v/>
      </c>
      <c r="G343" s="43"/>
      <c r="I343" s="6">
        <f t="shared" si="47"/>
        <v>333</v>
      </c>
      <c r="J343" s="6" t="str">
        <f t="shared" si="42"/>
        <v/>
      </c>
      <c r="K343" s="6" t="str">
        <f>IF($M$1&gt;=I343,VLOOKUP(I343,Iktato!$B$3:$L$10000,3,FALSE),"")</f>
        <v/>
      </c>
      <c r="M343" s="6" t="str">
        <f>IF($M$1&gt;=I343,IF(VLOOKUP(I343,Iktato!$B$3:$P$10000,15,FALSE)&lt;&gt;0,VLOOKUP(I343,Iktato!$B$3:$P$10000,15,FALSE),""),"")</f>
        <v/>
      </c>
      <c r="N343" s="6" t="str">
        <f>IF($M$1&gt;=I343,IF(VLOOKUP(I343,Iktato!$B$3:$Q$10000,16,FALSE)&lt;&gt;0,VLOOKUP(I343,Iktato!$B$3:$Q$10000,16,FALSE),""),"")</f>
        <v/>
      </c>
      <c r="P343" s="6" t="str">
        <f>TRIM(IF($M$1&gt;=I343,IF(VLOOKUP(I343,Iktato!$B$3:$L$10000,6,FALSE)&lt;&gt;0,VLOOKUP(I343,Iktato!$B$3:$L$10000,6,FALSE),""),""))</f>
        <v/>
      </c>
      <c r="Q343" s="8" t="str">
        <f>TRIM(IF($M$1&gt;=I343,IF(VLOOKUP(I343,Iktato!$B$3:$L$10000,7,FALSE)&lt;&gt;0,VLOOKUP(I343,Iktato!$B$3:$L$10000,7,FALSE),""),""))</f>
        <v/>
      </c>
      <c r="R343" s="6" t="str">
        <f t="shared" si="43"/>
        <v/>
      </c>
      <c r="S343" s="6" t="str">
        <f t="shared" si="44"/>
        <v/>
      </c>
      <c r="T343" s="6" t="str">
        <f t="shared" si="45"/>
        <v/>
      </c>
    </row>
    <row r="344" spans="1:20" ht="16.5" x14ac:dyDescent="0.25">
      <c r="A344" s="11" t="str">
        <f t="shared" si="40"/>
        <v/>
      </c>
      <c r="B344" s="12" t="str">
        <f>IF($M$1&gt;=I344,VLOOKUP(I344,Iktato!$B$3:$L$10000,5,FALSE),"")</f>
        <v/>
      </c>
      <c r="C344" s="13" t="str">
        <f t="shared" si="41"/>
        <v/>
      </c>
      <c r="D344" s="14" t="str">
        <f>TRIM(IF($M$1&gt;=I344,IF(VLOOKUP(I344,Iktato!$B$3:$L$10000,8,FALSE)&lt;&gt;0,VLOOKUP(I344,Iktato!$B$3:$L$10000,8,FALSE),""),""))</f>
        <v/>
      </c>
      <c r="E344" s="14" t="str">
        <f>TRIM(IF($M$1&gt;=I344,IF(VLOOKUP(I344,Iktato!$B$3:$L$10000,9,FALSE)&lt;&gt;0,VLOOKUP(I344,Iktato!$B$3:$L$10000,9,FALSE),""),""))</f>
        <v/>
      </c>
      <c r="F344" s="43" t="str">
        <f t="shared" si="46"/>
        <v/>
      </c>
      <c r="G344" s="43"/>
      <c r="I344" s="6">
        <f t="shared" si="47"/>
        <v>334</v>
      </c>
      <c r="J344" s="6" t="str">
        <f t="shared" si="42"/>
        <v/>
      </c>
      <c r="K344" s="6" t="str">
        <f>IF($M$1&gt;=I344,VLOOKUP(I344,Iktato!$B$3:$L$10000,3,FALSE),"")</f>
        <v/>
      </c>
      <c r="M344" s="6" t="str">
        <f>IF($M$1&gt;=I344,IF(VLOOKUP(I344,Iktato!$B$3:$P$10000,15,FALSE)&lt;&gt;0,VLOOKUP(I344,Iktato!$B$3:$P$10000,15,FALSE),""),"")</f>
        <v/>
      </c>
      <c r="N344" s="6" t="str">
        <f>IF($M$1&gt;=I344,IF(VLOOKUP(I344,Iktato!$B$3:$Q$10000,16,FALSE)&lt;&gt;0,VLOOKUP(I344,Iktato!$B$3:$Q$10000,16,FALSE),""),"")</f>
        <v/>
      </c>
      <c r="P344" s="6" t="str">
        <f>TRIM(IF($M$1&gt;=I344,IF(VLOOKUP(I344,Iktato!$B$3:$L$10000,6,FALSE)&lt;&gt;0,VLOOKUP(I344,Iktato!$B$3:$L$10000,6,FALSE),""),""))</f>
        <v/>
      </c>
      <c r="Q344" s="8" t="str">
        <f>TRIM(IF($M$1&gt;=I344,IF(VLOOKUP(I344,Iktato!$B$3:$L$10000,7,FALSE)&lt;&gt;0,VLOOKUP(I344,Iktato!$B$3:$L$10000,7,FALSE),""),""))</f>
        <v/>
      </c>
      <c r="R344" s="6" t="str">
        <f t="shared" si="43"/>
        <v/>
      </c>
      <c r="S344" s="6" t="str">
        <f t="shared" si="44"/>
        <v/>
      </c>
      <c r="T344" s="6" t="str">
        <f t="shared" si="45"/>
        <v/>
      </c>
    </row>
    <row r="345" spans="1:20" ht="16.5" x14ac:dyDescent="0.25">
      <c r="A345" s="11" t="str">
        <f t="shared" si="40"/>
        <v/>
      </c>
      <c r="B345" s="12" t="str">
        <f>IF($M$1&gt;=I345,VLOOKUP(I345,Iktato!$B$3:$L$10000,5,FALSE),"")</f>
        <v/>
      </c>
      <c r="C345" s="13" t="str">
        <f t="shared" si="41"/>
        <v/>
      </c>
      <c r="D345" s="14" t="str">
        <f>TRIM(IF($M$1&gt;=I345,IF(VLOOKUP(I345,Iktato!$B$3:$L$10000,8,FALSE)&lt;&gt;0,VLOOKUP(I345,Iktato!$B$3:$L$10000,8,FALSE),""),""))</f>
        <v/>
      </c>
      <c r="E345" s="14" t="str">
        <f>TRIM(IF($M$1&gt;=I345,IF(VLOOKUP(I345,Iktato!$B$3:$L$10000,9,FALSE)&lt;&gt;0,VLOOKUP(I345,Iktato!$B$3:$L$10000,9,FALSE),""),""))</f>
        <v/>
      </c>
      <c r="F345" s="43" t="str">
        <f t="shared" si="46"/>
        <v/>
      </c>
      <c r="G345" s="43"/>
      <c r="I345" s="6">
        <f t="shared" si="47"/>
        <v>335</v>
      </c>
      <c r="J345" s="6" t="str">
        <f t="shared" si="42"/>
        <v/>
      </c>
      <c r="K345" s="6" t="str">
        <f>IF($M$1&gt;=I345,VLOOKUP(I345,Iktato!$B$3:$L$10000,3,FALSE),"")</f>
        <v/>
      </c>
      <c r="M345" s="6" t="str">
        <f>IF($M$1&gt;=I345,IF(VLOOKUP(I345,Iktato!$B$3:$P$10000,15,FALSE)&lt;&gt;0,VLOOKUP(I345,Iktato!$B$3:$P$10000,15,FALSE),""),"")</f>
        <v/>
      </c>
      <c r="N345" s="6" t="str">
        <f>IF($M$1&gt;=I345,IF(VLOOKUP(I345,Iktato!$B$3:$Q$10000,16,FALSE)&lt;&gt;0,VLOOKUP(I345,Iktato!$B$3:$Q$10000,16,FALSE),""),"")</f>
        <v/>
      </c>
      <c r="P345" s="6" t="str">
        <f>TRIM(IF($M$1&gt;=I345,IF(VLOOKUP(I345,Iktato!$B$3:$L$10000,6,FALSE)&lt;&gt;0,VLOOKUP(I345,Iktato!$B$3:$L$10000,6,FALSE),""),""))</f>
        <v/>
      </c>
      <c r="Q345" s="8" t="str">
        <f>TRIM(IF($M$1&gt;=I345,IF(VLOOKUP(I345,Iktato!$B$3:$L$10000,7,FALSE)&lt;&gt;0,VLOOKUP(I345,Iktato!$B$3:$L$10000,7,FALSE),""),""))</f>
        <v/>
      </c>
      <c r="R345" s="6" t="str">
        <f t="shared" si="43"/>
        <v/>
      </c>
      <c r="S345" s="6" t="str">
        <f t="shared" si="44"/>
        <v/>
      </c>
      <c r="T345" s="6" t="str">
        <f t="shared" si="45"/>
        <v/>
      </c>
    </row>
    <row r="346" spans="1:20" ht="16.5" x14ac:dyDescent="0.25">
      <c r="A346" s="11" t="str">
        <f t="shared" si="40"/>
        <v/>
      </c>
      <c r="B346" s="12" t="str">
        <f>IF($M$1&gt;=I346,VLOOKUP(I346,Iktato!$B$3:$L$10000,5,FALSE),"")</f>
        <v/>
      </c>
      <c r="C346" s="13" t="str">
        <f t="shared" si="41"/>
        <v/>
      </c>
      <c r="D346" s="14" t="str">
        <f>TRIM(IF($M$1&gt;=I346,IF(VLOOKUP(I346,Iktato!$B$3:$L$10000,8,FALSE)&lt;&gt;0,VLOOKUP(I346,Iktato!$B$3:$L$10000,8,FALSE),""),""))</f>
        <v/>
      </c>
      <c r="E346" s="14" t="str">
        <f>TRIM(IF($M$1&gt;=I346,IF(VLOOKUP(I346,Iktato!$B$3:$L$10000,9,FALSE)&lt;&gt;0,VLOOKUP(I346,Iktato!$B$3:$L$10000,9,FALSE),""),""))</f>
        <v/>
      </c>
      <c r="F346" s="43" t="str">
        <f t="shared" si="46"/>
        <v/>
      </c>
      <c r="G346" s="43"/>
      <c r="I346" s="6">
        <f t="shared" si="47"/>
        <v>336</v>
      </c>
      <c r="J346" s="6" t="str">
        <f t="shared" si="42"/>
        <v/>
      </c>
      <c r="K346" s="6" t="str">
        <f>IF($M$1&gt;=I346,VLOOKUP(I346,Iktato!$B$3:$L$10000,3,FALSE),"")</f>
        <v/>
      </c>
      <c r="M346" s="6" t="str">
        <f>IF($M$1&gt;=I346,IF(VLOOKUP(I346,Iktato!$B$3:$P$10000,15,FALSE)&lt;&gt;0,VLOOKUP(I346,Iktato!$B$3:$P$10000,15,FALSE),""),"")</f>
        <v/>
      </c>
      <c r="N346" s="6" t="str">
        <f>IF($M$1&gt;=I346,IF(VLOOKUP(I346,Iktato!$B$3:$Q$10000,16,FALSE)&lt;&gt;0,VLOOKUP(I346,Iktato!$B$3:$Q$10000,16,FALSE),""),"")</f>
        <v/>
      </c>
      <c r="P346" s="6" t="str">
        <f>TRIM(IF($M$1&gt;=I346,IF(VLOOKUP(I346,Iktato!$B$3:$L$10000,6,FALSE)&lt;&gt;0,VLOOKUP(I346,Iktato!$B$3:$L$10000,6,FALSE),""),""))</f>
        <v/>
      </c>
      <c r="Q346" s="8" t="str">
        <f>TRIM(IF($M$1&gt;=I346,IF(VLOOKUP(I346,Iktato!$B$3:$L$10000,7,FALSE)&lt;&gt;0,VLOOKUP(I346,Iktato!$B$3:$L$10000,7,FALSE),""),""))</f>
        <v/>
      </c>
      <c r="R346" s="6" t="str">
        <f t="shared" si="43"/>
        <v/>
      </c>
      <c r="S346" s="6" t="str">
        <f t="shared" si="44"/>
        <v/>
      </c>
      <c r="T346" s="6" t="str">
        <f t="shared" si="45"/>
        <v/>
      </c>
    </row>
    <row r="347" spans="1:20" ht="16.5" x14ac:dyDescent="0.25">
      <c r="A347" s="11" t="str">
        <f t="shared" si="40"/>
        <v/>
      </c>
      <c r="B347" s="12" t="str">
        <f>IF($M$1&gt;=I347,VLOOKUP(I347,Iktato!$B$3:$L$10000,5,FALSE),"")</f>
        <v/>
      </c>
      <c r="C347" s="13" t="str">
        <f t="shared" si="41"/>
        <v/>
      </c>
      <c r="D347" s="14" t="str">
        <f>TRIM(IF($M$1&gt;=I347,IF(VLOOKUP(I347,Iktato!$B$3:$L$10000,8,FALSE)&lt;&gt;0,VLOOKUP(I347,Iktato!$B$3:$L$10000,8,FALSE),""),""))</f>
        <v/>
      </c>
      <c r="E347" s="14" t="str">
        <f>TRIM(IF($M$1&gt;=I347,IF(VLOOKUP(I347,Iktato!$B$3:$L$10000,9,FALSE)&lt;&gt;0,VLOOKUP(I347,Iktato!$B$3:$L$10000,9,FALSE),""),""))</f>
        <v/>
      </c>
      <c r="F347" s="43" t="str">
        <f t="shared" si="46"/>
        <v/>
      </c>
      <c r="G347" s="43"/>
      <c r="I347" s="6">
        <f t="shared" si="47"/>
        <v>337</v>
      </c>
      <c r="J347" s="6" t="str">
        <f t="shared" si="42"/>
        <v/>
      </c>
      <c r="K347" s="6" t="str">
        <f>IF($M$1&gt;=I347,VLOOKUP(I347,Iktato!$B$3:$L$10000,3,FALSE),"")</f>
        <v/>
      </c>
      <c r="M347" s="6" t="str">
        <f>IF($M$1&gt;=I347,IF(VLOOKUP(I347,Iktato!$B$3:$P$10000,15,FALSE)&lt;&gt;0,VLOOKUP(I347,Iktato!$B$3:$P$10000,15,FALSE),""),"")</f>
        <v/>
      </c>
      <c r="N347" s="6" t="str">
        <f>IF($M$1&gt;=I347,IF(VLOOKUP(I347,Iktato!$B$3:$Q$10000,16,FALSE)&lt;&gt;0,VLOOKUP(I347,Iktato!$B$3:$Q$10000,16,FALSE),""),"")</f>
        <v/>
      </c>
      <c r="P347" s="6" t="str">
        <f>TRIM(IF($M$1&gt;=I347,IF(VLOOKUP(I347,Iktato!$B$3:$L$10000,6,FALSE)&lt;&gt;0,VLOOKUP(I347,Iktato!$B$3:$L$10000,6,FALSE),""),""))</f>
        <v/>
      </c>
      <c r="Q347" s="8" t="str">
        <f>TRIM(IF($M$1&gt;=I347,IF(VLOOKUP(I347,Iktato!$B$3:$L$10000,7,FALSE)&lt;&gt;0,VLOOKUP(I347,Iktato!$B$3:$L$10000,7,FALSE),""),""))</f>
        <v/>
      </c>
      <c r="R347" s="6" t="str">
        <f t="shared" si="43"/>
        <v/>
      </c>
      <c r="S347" s="6" t="str">
        <f t="shared" si="44"/>
        <v/>
      </c>
      <c r="T347" s="6" t="str">
        <f t="shared" si="45"/>
        <v/>
      </c>
    </row>
    <row r="348" spans="1:20" ht="16.5" x14ac:dyDescent="0.25">
      <c r="A348" s="11" t="str">
        <f t="shared" si="40"/>
        <v/>
      </c>
      <c r="B348" s="12" t="str">
        <f>IF($M$1&gt;=I348,VLOOKUP(I348,Iktato!$B$3:$L$10000,5,FALSE),"")</f>
        <v/>
      </c>
      <c r="C348" s="13" t="str">
        <f t="shared" si="41"/>
        <v/>
      </c>
      <c r="D348" s="14" t="str">
        <f>TRIM(IF($M$1&gt;=I348,IF(VLOOKUP(I348,Iktato!$B$3:$L$10000,8,FALSE)&lt;&gt;0,VLOOKUP(I348,Iktato!$B$3:$L$10000,8,FALSE),""),""))</f>
        <v/>
      </c>
      <c r="E348" s="14" t="str">
        <f>TRIM(IF($M$1&gt;=I348,IF(VLOOKUP(I348,Iktato!$B$3:$L$10000,9,FALSE)&lt;&gt;0,VLOOKUP(I348,Iktato!$B$3:$L$10000,9,FALSE),""),""))</f>
        <v/>
      </c>
      <c r="F348" s="43" t="str">
        <f t="shared" si="46"/>
        <v/>
      </c>
      <c r="G348" s="43"/>
      <c r="I348" s="6">
        <f t="shared" si="47"/>
        <v>338</v>
      </c>
      <c r="J348" s="6" t="str">
        <f t="shared" si="42"/>
        <v/>
      </c>
      <c r="K348" s="6" t="str">
        <f>IF($M$1&gt;=I348,VLOOKUP(I348,Iktato!$B$3:$L$10000,3,FALSE),"")</f>
        <v/>
      </c>
      <c r="M348" s="6" t="str">
        <f>IF($M$1&gt;=I348,IF(VLOOKUP(I348,Iktato!$B$3:$P$10000,15,FALSE)&lt;&gt;0,VLOOKUP(I348,Iktato!$B$3:$P$10000,15,FALSE),""),"")</f>
        <v/>
      </c>
      <c r="N348" s="6" t="str">
        <f>IF($M$1&gt;=I348,IF(VLOOKUP(I348,Iktato!$B$3:$Q$10000,16,FALSE)&lt;&gt;0,VLOOKUP(I348,Iktato!$B$3:$Q$10000,16,FALSE),""),"")</f>
        <v/>
      </c>
      <c r="P348" s="6" t="str">
        <f>TRIM(IF($M$1&gt;=I348,IF(VLOOKUP(I348,Iktato!$B$3:$L$10000,6,FALSE)&lt;&gt;0,VLOOKUP(I348,Iktato!$B$3:$L$10000,6,FALSE),""),""))</f>
        <v/>
      </c>
      <c r="Q348" s="8" t="str">
        <f>TRIM(IF($M$1&gt;=I348,IF(VLOOKUP(I348,Iktato!$B$3:$L$10000,7,FALSE)&lt;&gt;0,VLOOKUP(I348,Iktato!$B$3:$L$10000,7,FALSE),""),""))</f>
        <v/>
      </c>
      <c r="R348" s="6" t="str">
        <f t="shared" si="43"/>
        <v/>
      </c>
      <c r="S348" s="6" t="str">
        <f t="shared" si="44"/>
        <v/>
      </c>
      <c r="T348" s="6" t="str">
        <f t="shared" si="45"/>
        <v/>
      </c>
    </row>
    <row r="349" spans="1:20" ht="16.5" x14ac:dyDescent="0.25">
      <c r="A349" s="11" t="str">
        <f t="shared" si="40"/>
        <v/>
      </c>
      <c r="B349" s="12" t="str">
        <f>IF($M$1&gt;=I349,VLOOKUP(I349,Iktato!$B$3:$L$10000,5,FALSE),"")</f>
        <v/>
      </c>
      <c r="C349" s="13" t="str">
        <f t="shared" si="41"/>
        <v/>
      </c>
      <c r="D349" s="14" t="str">
        <f>TRIM(IF($M$1&gt;=I349,IF(VLOOKUP(I349,Iktato!$B$3:$L$10000,8,FALSE)&lt;&gt;0,VLOOKUP(I349,Iktato!$B$3:$L$10000,8,FALSE),""),""))</f>
        <v/>
      </c>
      <c r="E349" s="14" t="str">
        <f>TRIM(IF($M$1&gt;=I349,IF(VLOOKUP(I349,Iktato!$B$3:$L$10000,9,FALSE)&lt;&gt;0,VLOOKUP(I349,Iktato!$B$3:$L$10000,9,FALSE),""),""))</f>
        <v/>
      </c>
      <c r="F349" s="43" t="str">
        <f t="shared" si="46"/>
        <v/>
      </c>
      <c r="G349" s="43"/>
      <c r="I349" s="6">
        <f t="shared" si="47"/>
        <v>339</v>
      </c>
      <c r="J349" s="6" t="str">
        <f t="shared" si="42"/>
        <v/>
      </c>
      <c r="K349" s="6" t="str">
        <f>IF($M$1&gt;=I349,VLOOKUP(I349,Iktato!$B$3:$L$10000,3,FALSE),"")</f>
        <v/>
      </c>
      <c r="M349" s="6" t="str">
        <f>IF($M$1&gt;=I349,IF(VLOOKUP(I349,Iktato!$B$3:$P$10000,15,FALSE)&lt;&gt;0,VLOOKUP(I349,Iktato!$B$3:$P$10000,15,FALSE),""),"")</f>
        <v/>
      </c>
      <c r="N349" s="6" t="str">
        <f>IF($M$1&gt;=I349,IF(VLOOKUP(I349,Iktato!$B$3:$Q$10000,16,FALSE)&lt;&gt;0,VLOOKUP(I349,Iktato!$B$3:$Q$10000,16,FALSE),""),"")</f>
        <v/>
      </c>
      <c r="P349" s="6" t="str">
        <f>TRIM(IF($M$1&gt;=I349,IF(VLOOKUP(I349,Iktato!$B$3:$L$10000,6,FALSE)&lt;&gt;0,VLOOKUP(I349,Iktato!$B$3:$L$10000,6,FALSE),""),""))</f>
        <v/>
      </c>
      <c r="Q349" s="8" t="str">
        <f>TRIM(IF($M$1&gt;=I349,IF(VLOOKUP(I349,Iktato!$B$3:$L$10000,7,FALSE)&lt;&gt;0,VLOOKUP(I349,Iktato!$B$3:$L$10000,7,FALSE),""),""))</f>
        <v/>
      </c>
      <c r="R349" s="6" t="str">
        <f t="shared" si="43"/>
        <v/>
      </c>
      <c r="S349" s="6" t="str">
        <f t="shared" si="44"/>
        <v/>
      </c>
      <c r="T349" s="6" t="str">
        <f t="shared" si="45"/>
        <v/>
      </c>
    </row>
    <row r="350" spans="1:20" ht="16.5" x14ac:dyDescent="0.25">
      <c r="A350" s="11" t="str">
        <f t="shared" si="40"/>
        <v/>
      </c>
      <c r="B350" s="12" t="str">
        <f>IF($M$1&gt;=I350,VLOOKUP(I350,Iktato!$B$3:$L$10000,5,FALSE),"")</f>
        <v/>
      </c>
      <c r="C350" s="13" t="str">
        <f t="shared" si="41"/>
        <v/>
      </c>
      <c r="D350" s="14" t="str">
        <f>TRIM(IF($M$1&gt;=I350,IF(VLOOKUP(I350,Iktato!$B$3:$L$10000,8,FALSE)&lt;&gt;0,VLOOKUP(I350,Iktato!$B$3:$L$10000,8,FALSE),""),""))</f>
        <v/>
      </c>
      <c r="E350" s="14" t="str">
        <f>TRIM(IF($M$1&gt;=I350,IF(VLOOKUP(I350,Iktato!$B$3:$L$10000,9,FALSE)&lt;&gt;0,VLOOKUP(I350,Iktato!$B$3:$L$10000,9,FALSE),""),""))</f>
        <v/>
      </c>
      <c r="F350" s="43" t="str">
        <f t="shared" si="46"/>
        <v/>
      </c>
      <c r="G350" s="43"/>
      <c r="I350" s="6">
        <f t="shared" si="47"/>
        <v>340</v>
      </c>
      <c r="J350" s="6" t="str">
        <f t="shared" si="42"/>
        <v/>
      </c>
      <c r="K350" s="6" t="str">
        <f>IF($M$1&gt;=I350,VLOOKUP(I350,Iktato!$B$3:$L$10000,3,FALSE),"")</f>
        <v/>
      </c>
      <c r="M350" s="6" t="str">
        <f>IF($M$1&gt;=I350,IF(VLOOKUP(I350,Iktato!$B$3:$P$10000,15,FALSE)&lt;&gt;0,VLOOKUP(I350,Iktato!$B$3:$P$10000,15,FALSE),""),"")</f>
        <v/>
      </c>
      <c r="N350" s="6" t="str">
        <f>IF($M$1&gt;=I350,IF(VLOOKUP(I350,Iktato!$B$3:$Q$10000,16,FALSE)&lt;&gt;0,VLOOKUP(I350,Iktato!$B$3:$Q$10000,16,FALSE),""),"")</f>
        <v/>
      </c>
      <c r="P350" s="6" t="str">
        <f>TRIM(IF($M$1&gt;=I350,IF(VLOOKUP(I350,Iktato!$B$3:$L$10000,6,FALSE)&lt;&gt;0,VLOOKUP(I350,Iktato!$B$3:$L$10000,6,FALSE),""),""))</f>
        <v/>
      </c>
      <c r="Q350" s="8" t="str">
        <f>TRIM(IF($M$1&gt;=I350,IF(VLOOKUP(I350,Iktato!$B$3:$L$10000,7,FALSE)&lt;&gt;0,VLOOKUP(I350,Iktato!$B$3:$L$10000,7,FALSE),""),""))</f>
        <v/>
      </c>
      <c r="R350" s="6" t="str">
        <f t="shared" si="43"/>
        <v/>
      </c>
      <c r="S350" s="6" t="str">
        <f t="shared" si="44"/>
        <v/>
      </c>
      <c r="T350" s="6" t="str">
        <f t="shared" si="45"/>
        <v/>
      </c>
    </row>
    <row r="351" spans="1:20" ht="16.5" x14ac:dyDescent="0.25">
      <c r="A351" s="11" t="str">
        <f t="shared" si="40"/>
        <v/>
      </c>
      <c r="B351" s="12" t="str">
        <f>IF($M$1&gt;=I351,VLOOKUP(I351,Iktato!$B$3:$L$10000,5,FALSE),"")</f>
        <v/>
      </c>
      <c r="C351" s="13" t="str">
        <f t="shared" si="41"/>
        <v/>
      </c>
      <c r="D351" s="14" t="str">
        <f>TRIM(IF($M$1&gt;=I351,IF(VLOOKUP(I351,Iktato!$B$3:$L$10000,8,FALSE)&lt;&gt;0,VLOOKUP(I351,Iktato!$B$3:$L$10000,8,FALSE),""),""))</f>
        <v/>
      </c>
      <c r="E351" s="14" t="str">
        <f>TRIM(IF($M$1&gt;=I351,IF(VLOOKUP(I351,Iktato!$B$3:$L$10000,9,FALSE)&lt;&gt;0,VLOOKUP(I351,Iktato!$B$3:$L$10000,9,FALSE),""),""))</f>
        <v/>
      </c>
      <c r="F351" s="43" t="str">
        <f t="shared" si="46"/>
        <v/>
      </c>
      <c r="G351" s="43"/>
      <c r="I351" s="6">
        <f t="shared" si="47"/>
        <v>341</v>
      </c>
      <c r="J351" s="6" t="str">
        <f t="shared" si="42"/>
        <v/>
      </c>
      <c r="K351" s="6" t="str">
        <f>IF($M$1&gt;=I351,VLOOKUP(I351,Iktato!$B$3:$L$10000,3,FALSE),"")</f>
        <v/>
      </c>
      <c r="M351" s="6" t="str">
        <f>IF($M$1&gt;=I351,IF(VLOOKUP(I351,Iktato!$B$3:$P$10000,15,FALSE)&lt;&gt;0,VLOOKUP(I351,Iktato!$B$3:$P$10000,15,FALSE),""),"")</f>
        <v/>
      </c>
      <c r="N351" s="6" t="str">
        <f>IF($M$1&gt;=I351,IF(VLOOKUP(I351,Iktato!$B$3:$Q$10000,16,FALSE)&lt;&gt;0,VLOOKUP(I351,Iktato!$B$3:$Q$10000,16,FALSE),""),"")</f>
        <v/>
      </c>
      <c r="P351" s="6" t="str">
        <f>TRIM(IF($M$1&gt;=I351,IF(VLOOKUP(I351,Iktato!$B$3:$L$10000,6,FALSE)&lt;&gt;0,VLOOKUP(I351,Iktato!$B$3:$L$10000,6,FALSE),""),""))</f>
        <v/>
      </c>
      <c r="Q351" s="8" t="str">
        <f>TRIM(IF($M$1&gt;=I351,IF(VLOOKUP(I351,Iktato!$B$3:$L$10000,7,FALSE)&lt;&gt;0,VLOOKUP(I351,Iktato!$B$3:$L$10000,7,FALSE),""),""))</f>
        <v/>
      </c>
      <c r="R351" s="6" t="str">
        <f t="shared" si="43"/>
        <v/>
      </c>
      <c r="S351" s="6" t="str">
        <f t="shared" si="44"/>
        <v/>
      </c>
      <c r="T351" s="6" t="str">
        <f t="shared" si="45"/>
        <v/>
      </c>
    </row>
    <row r="352" spans="1:20" ht="16.5" x14ac:dyDescent="0.25">
      <c r="A352" s="11" t="str">
        <f t="shared" si="40"/>
        <v/>
      </c>
      <c r="B352" s="12" t="str">
        <f>IF($M$1&gt;=I352,VLOOKUP(I352,Iktato!$B$3:$L$10000,5,FALSE),"")</f>
        <v/>
      </c>
      <c r="C352" s="13" t="str">
        <f t="shared" si="41"/>
        <v/>
      </c>
      <c r="D352" s="14" t="str">
        <f>TRIM(IF($M$1&gt;=I352,IF(VLOOKUP(I352,Iktato!$B$3:$L$10000,8,FALSE)&lt;&gt;0,VLOOKUP(I352,Iktato!$B$3:$L$10000,8,FALSE),""),""))</f>
        <v/>
      </c>
      <c r="E352" s="14" t="str">
        <f>TRIM(IF($M$1&gt;=I352,IF(VLOOKUP(I352,Iktato!$B$3:$L$10000,9,FALSE)&lt;&gt;0,VLOOKUP(I352,Iktato!$B$3:$L$10000,9,FALSE),""),""))</f>
        <v/>
      </c>
      <c r="F352" s="43" t="str">
        <f t="shared" si="46"/>
        <v/>
      </c>
      <c r="G352" s="43"/>
      <c r="I352" s="6">
        <f t="shared" si="47"/>
        <v>342</v>
      </c>
      <c r="J352" s="6" t="str">
        <f t="shared" si="42"/>
        <v/>
      </c>
      <c r="K352" s="6" t="str">
        <f>IF($M$1&gt;=I352,VLOOKUP(I352,Iktato!$B$3:$L$10000,3,FALSE),"")</f>
        <v/>
      </c>
      <c r="M352" s="6" t="str">
        <f>IF($M$1&gt;=I352,IF(VLOOKUP(I352,Iktato!$B$3:$P$10000,15,FALSE)&lt;&gt;0,VLOOKUP(I352,Iktato!$B$3:$P$10000,15,FALSE),""),"")</f>
        <v/>
      </c>
      <c r="N352" s="6" t="str">
        <f>IF($M$1&gt;=I352,IF(VLOOKUP(I352,Iktato!$B$3:$Q$10000,16,FALSE)&lt;&gt;0,VLOOKUP(I352,Iktato!$B$3:$Q$10000,16,FALSE),""),"")</f>
        <v/>
      </c>
      <c r="P352" s="6" t="str">
        <f>TRIM(IF($M$1&gt;=I352,IF(VLOOKUP(I352,Iktato!$B$3:$L$10000,6,FALSE)&lt;&gt;0,VLOOKUP(I352,Iktato!$B$3:$L$10000,6,FALSE),""),""))</f>
        <v/>
      </c>
      <c r="Q352" s="8" t="str">
        <f>TRIM(IF($M$1&gt;=I352,IF(VLOOKUP(I352,Iktato!$B$3:$L$10000,7,FALSE)&lt;&gt;0,VLOOKUP(I352,Iktato!$B$3:$L$10000,7,FALSE),""),""))</f>
        <v/>
      </c>
      <c r="R352" s="6" t="str">
        <f t="shared" si="43"/>
        <v/>
      </c>
      <c r="S352" s="6" t="str">
        <f t="shared" si="44"/>
        <v/>
      </c>
      <c r="T352" s="6" t="str">
        <f t="shared" si="45"/>
        <v/>
      </c>
    </row>
    <row r="353" spans="1:20" ht="16.5" x14ac:dyDescent="0.25">
      <c r="A353" s="11" t="str">
        <f t="shared" si="40"/>
        <v/>
      </c>
      <c r="B353" s="12" t="str">
        <f>IF($M$1&gt;=I353,VLOOKUP(I353,Iktato!$B$3:$L$10000,5,FALSE),"")</f>
        <v/>
      </c>
      <c r="C353" s="13" t="str">
        <f t="shared" si="41"/>
        <v/>
      </c>
      <c r="D353" s="14" t="str">
        <f>TRIM(IF($M$1&gt;=I353,IF(VLOOKUP(I353,Iktato!$B$3:$L$10000,8,FALSE)&lt;&gt;0,VLOOKUP(I353,Iktato!$B$3:$L$10000,8,FALSE),""),""))</f>
        <v/>
      </c>
      <c r="E353" s="14" t="str">
        <f>TRIM(IF($M$1&gt;=I353,IF(VLOOKUP(I353,Iktato!$B$3:$L$10000,9,FALSE)&lt;&gt;0,VLOOKUP(I353,Iktato!$B$3:$L$10000,9,FALSE),""),""))</f>
        <v/>
      </c>
      <c r="F353" s="43" t="str">
        <f t="shared" si="46"/>
        <v/>
      </c>
      <c r="G353" s="43"/>
      <c r="I353" s="6">
        <f t="shared" si="47"/>
        <v>343</v>
      </c>
      <c r="J353" s="6" t="str">
        <f t="shared" si="42"/>
        <v/>
      </c>
      <c r="K353" s="6" t="str">
        <f>IF($M$1&gt;=I353,VLOOKUP(I353,Iktato!$B$3:$L$10000,3,FALSE),"")</f>
        <v/>
      </c>
      <c r="M353" s="6" t="str">
        <f>IF($M$1&gt;=I353,IF(VLOOKUP(I353,Iktato!$B$3:$P$10000,15,FALSE)&lt;&gt;0,VLOOKUP(I353,Iktato!$B$3:$P$10000,15,FALSE),""),"")</f>
        <v/>
      </c>
      <c r="N353" s="6" t="str">
        <f>IF($M$1&gt;=I353,IF(VLOOKUP(I353,Iktato!$B$3:$Q$10000,16,FALSE)&lt;&gt;0,VLOOKUP(I353,Iktato!$B$3:$Q$10000,16,FALSE),""),"")</f>
        <v/>
      </c>
      <c r="P353" s="6" t="str">
        <f>TRIM(IF($M$1&gt;=I353,IF(VLOOKUP(I353,Iktato!$B$3:$L$10000,6,FALSE)&lt;&gt;0,VLOOKUP(I353,Iktato!$B$3:$L$10000,6,FALSE),""),""))</f>
        <v/>
      </c>
      <c r="Q353" s="8" t="str">
        <f>TRIM(IF($M$1&gt;=I353,IF(VLOOKUP(I353,Iktato!$B$3:$L$10000,7,FALSE)&lt;&gt;0,VLOOKUP(I353,Iktato!$B$3:$L$10000,7,FALSE),""),""))</f>
        <v/>
      </c>
      <c r="R353" s="6" t="str">
        <f t="shared" si="43"/>
        <v/>
      </c>
      <c r="S353" s="6" t="str">
        <f t="shared" si="44"/>
        <v/>
      </c>
      <c r="T353" s="6" t="str">
        <f t="shared" si="45"/>
        <v/>
      </c>
    </row>
    <row r="354" spans="1:20" ht="16.5" x14ac:dyDescent="0.25">
      <c r="A354" s="11" t="str">
        <f t="shared" si="40"/>
        <v/>
      </c>
      <c r="B354" s="12" t="str">
        <f>IF($M$1&gt;=I354,VLOOKUP(I354,Iktato!$B$3:$L$10000,5,FALSE),"")</f>
        <v/>
      </c>
      <c r="C354" s="13" t="str">
        <f t="shared" si="41"/>
        <v/>
      </c>
      <c r="D354" s="14" t="str">
        <f>TRIM(IF($M$1&gt;=I354,IF(VLOOKUP(I354,Iktato!$B$3:$L$10000,8,FALSE)&lt;&gt;0,VLOOKUP(I354,Iktato!$B$3:$L$10000,8,FALSE),""),""))</f>
        <v/>
      </c>
      <c r="E354" s="14" t="str">
        <f>TRIM(IF($M$1&gt;=I354,IF(VLOOKUP(I354,Iktato!$B$3:$L$10000,9,FALSE)&lt;&gt;0,VLOOKUP(I354,Iktato!$B$3:$L$10000,9,FALSE),""),""))</f>
        <v/>
      </c>
      <c r="F354" s="43" t="str">
        <f t="shared" si="46"/>
        <v/>
      </c>
      <c r="G354" s="43"/>
      <c r="I354" s="6">
        <f t="shared" si="47"/>
        <v>344</v>
      </c>
      <c r="J354" s="6" t="str">
        <f t="shared" si="42"/>
        <v/>
      </c>
      <c r="K354" s="6" t="str">
        <f>IF($M$1&gt;=I354,VLOOKUP(I354,Iktato!$B$3:$L$10000,3,FALSE),"")</f>
        <v/>
      </c>
      <c r="M354" s="6" t="str">
        <f>IF($M$1&gt;=I354,IF(VLOOKUP(I354,Iktato!$B$3:$P$10000,15,FALSE)&lt;&gt;0,VLOOKUP(I354,Iktato!$B$3:$P$10000,15,FALSE),""),"")</f>
        <v/>
      </c>
      <c r="N354" s="6" t="str">
        <f>IF($M$1&gt;=I354,IF(VLOOKUP(I354,Iktato!$B$3:$Q$10000,16,FALSE)&lt;&gt;0,VLOOKUP(I354,Iktato!$B$3:$Q$10000,16,FALSE),""),"")</f>
        <v/>
      </c>
      <c r="P354" s="6" t="str">
        <f>TRIM(IF($M$1&gt;=I354,IF(VLOOKUP(I354,Iktato!$B$3:$L$10000,6,FALSE)&lt;&gt;0,VLOOKUP(I354,Iktato!$B$3:$L$10000,6,FALSE),""),""))</f>
        <v/>
      </c>
      <c r="Q354" s="8" t="str">
        <f>TRIM(IF($M$1&gt;=I354,IF(VLOOKUP(I354,Iktato!$B$3:$L$10000,7,FALSE)&lt;&gt;0,VLOOKUP(I354,Iktato!$B$3:$L$10000,7,FALSE),""),""))</f>
        <v/>
      </c>
      <c r="R354" s="6" t="str">
        <f t="shared" si="43"/>
        <v/>
      </c>
      <c r="S354" s="6" t="str">
        <f t="shared" si="44"/>
        <v/>
      </c>
      <c r="T354" s="6" t="str">
        <f t="shared" si="45"/>
        <v/>
      </c>
    </row>
    <row r="355" spans="1:20" ht="16.5" x14ac:dyDescent="0.25">
      <c r="A355" s="11" t="str">
        <f t="shared" si="40"/>
        <v/>
      </c>
      <c r="B355" s="12" t="str">
        <f>IF($M$1&gt;=I355,VLOOKUP(I355,Iktato!$B$3:$L$10000,5,FALSE),"")</f>
        <v/>
      </c>
      <c r="C355" s="13" t="str">
        <f t="shared" si="41"/>
        <v/>
      </c>
      <c r="D355" s="14" t="str">
        <f>TRIM(IF($M$1&gt;=I355,IF(VLOOKUP(I355,Iktato!$B$3:$L$10000,8,FALSE)&lt;&gt;0,VLOOKUP(I355,Iktato!$B$3:$L$10000,8,FALSE),""),""))</f>
        <v/>
      </c>
      <c r="E355" s="14" t="str">
        <f>TRIM(IF($M$1&gt;=I355,IF(VLOOKUP(I355,Iktato!$B$3:$L$10000,9,FALSE)&lt;&gt;0,VLOOKUP(I355,Iktato!$B$3:$L$10000,9,FALSE),""),""))</f>
        <v/>
      </c>
      <c r="F355" s="43" t="str">
        <f t="shared" si="46"/>
        <v/>
      </c>
      <c r="G355" s="43"/>
      <c r="I355" s="6">
        <f t="shared" si="47"/>
        <v>345</v>
      </c>
      <c r="J355" s="6" t="str">
        <f t="shared" si="42"/>
        <v/>
      </c>
      <c r="K355" s="6" t="str">
        <f>IF($M$1&gt;=I355,VLOOKUP(I355,Iktato!$B$3:$L$10000,3,FALSE),"")</f>
        <v/>
      </c>
      <c r="M355" s="6" t="str">
        <f>IF($M$1&gt;=I355,IF(VLOOKUP(I355,Iktato!$B$3:$P$10000,15,FALSE)&lt;&gt;0,VLOOKUP(I355,Iktato!$B$3:$P$10000,15,FALSE),""),"")</f>
        <v/>
      </c>
      <c r="N355" s="6" t="str">
        <f>IF($M$1&gt;=I355,IF(VLOOKUP(I355,Iktato!$B$3:$Q$10000,16,FALSE)&lt;&gt;0,VLOOKUP(I355,Iktato!$B$3:$Q$10000,16,FALSE),""),"")</f>
        <v/>
      </c>
      <c r="P355" s="6" t="str">
        <f>TRIM(IF($M$1&gt;=I355,IF(VLOOKUP(I355,Iktato!$B$3:$L$10000,6,FALSE)&lt;&gt;0,VLOOKUP(I355,Iktato!$B$3:$L$10000,6,FALSE),""),""))</f>
        <v/>
      </c>
      <c r="Q355" s="8" t="str">
        <f>TRIM(IF($M$1&gt;=I355,IF(VLOOKUP(I355,Iktato!$B$3:$L$10000,7,FALSE)&lt;&gt;0,VLOOKUP(I355,Iktato!$B$3:$L$10000,7,FALSE),""),""))</f>
        <v/>
      </c>
      <c r="R355" s="6" t="str">
        <f t="shared" si="43"/>
        <v/>
      </c>
      <c r="S355" s="6" t="str">
        <f t="shared" si="44"/>
        <v/>
      </c>
      <c r="T355" s="6" t="str">
        <f t="shared" si="45"/>
        <v/>
      </c>
    </row>
    <row r="356" spans="1:20" ht="16.5" x14ac:dyDescent="0.25">
      <c r="A356" s="11" t="str">
        <f t="shared" si="40"/>
        <v/>
      </c>
      <c r="B356" s="12" t="str">
        <f>IF($M$1&gt;=I356,VLOOKUP(I356,Iktato!$B$3:$L$10000,5,FALSE),"")</f>
        <v/>
      </c>
      <c r="C356" s="13" t="str">
        <f t="shared" si="41"/>
        <v/>
      </c>
      <c r="D356" s="14" t="str">
        <f>TRIM(IF($M$1&gt;=I356,IF(VLOOKUP(I356,Iktato!$B$3:$L$10000,8,FALSE)&lt;&gt;0,VLOOKUP(I356,Iktato!$B$3:$L$10000,8,FALSE),""),""))</f>
        <v/>
      </c>
      <c r="E356" s="14" t="str">
        <f>TRIM(IF($M$1&gt;=I356,IF(VLOOKUP(I356,Iktato!$B$3:$L$10000,9,FALSE)&lt;&gt;0,VLOOKUP(I356,Iktato!$B$3:$L$10000,9,FALSE),""),""))</f>
        <v/>
      </c>
      <c r="F356" s="43" t="str">
        <f t="shared" si="46"/>
        <v/>
      </c>
      <c r="G356" s="43"/>
      <c r="I356" s="6">
        <f t="shared" si="47"/>
        <v>346</v>
      </c>
      <c r="J356" s="6" t="str">
        <f t="shared" si="42"/>
        <v/>
      </c>
      <c r="K356" s="6" t="str">
        <f>IF($M$1&gt;=I356,VLOOKUP(I356,Iktato!$B$3:$L$10000,3,FALSE),"")</f>
        <v/>
      </c>
      <c r="M356" s="6" t="str">
        <f>IF($M$1&gt;=I356,IF(VLOOKUP(I356,Iktato!$B$3:$P$10000,15,FALSE)&lt;&gt;0,VLOOKUP(I356,Iktato!$B$3:$P$10000,15,FALSE),""),"")</f>
        <v/>
      </c>
      <c r="N356" s="6" t="str">
        <f>IF($M$1&gt;=I356,IF(VLOOKUP(I356,Iktato!$B$3:$Q$10000,16,FALSE)&lt;&gt;0,VLOOKUP(I356,Iktato!$B$3:$Q$10000,16,FALSE),""),"")</f>
        <v/>
      </c>
      <c r="P356" s="6" t="str">
        <f>TRIM(IF($M$1&gt;=I356,IF(VLOOKUP(I356,Iktato!$B$3:$L$10000,6,FALSE)&lt;&gt;0,VLOOKUP(I356,Iktato!$B$3:$L$10000,6,FALSE),""),""))</f>
        <v/>
      </c>
      <c r="Q356" s="8" t="str">
        <f>TRIM(IF($M$1&gt;=I356,IF(VLOOKUP(I356,Iktato!$B$3:$L$10000,7,FALSE)&lt;&gt;0,VLOOKUP(I356,Iktato!$B$3:$L$10000,7,FALSE),""),""))</f>
        <v/>
      </c>
      <c r="R356" s="6" t="str">
        <f t="shared" si="43"/>
        <v/>
      </c>
      <c r="S356" s="6" t="str">
        <f t="shared" si="44"/>
        <v/>
      </c>
      <c r="T356" s="6" t="str">
        <f t="shared" si="45"/>
        <v/>
      </c>
    </row>
    <row r="357" spans="1:20" ht="16.5" x14ac:dyDescent="0.25">
      <c r="A357" s="11" t="str">
        <f t="shared" si="40"/>
        <v/>
      </c>
      <c r="B357" s="12" t="str">
        <f>IF($M$1&gt;=I357,VLOOKUP(I357,Iktato!$B$3:$L$10000,5,FALSE),"")</f>
        <v/>
      </c>
      <c r="C357" s="13" t="str">
        <f t="shared" si="41"/>
        <v/>
      </c>
      <c r="D357" s="14" t="str">
        <f>TRIM(IF($M$1&gt;=I357,IF(VLOOKUP(I357,Iktato!$B$3:$L$10000,8,FALSE)&lt;&gt;0,VLOOKUP(I357,Iktato!$B$3:$L$10000,8,FALSE),""),""))</f>
        <v/>
      </c>
      <c r="E357" s="14" t="str">
        <f>TRIM(IF($M$1&gt;=I357,IF(VLOOKUP(I357,Iktato!$B$3:$L$10000,9,FALSE)&lt;&gt;0,VLOOKUP(I357,Iktato!$B$3:$L$10000,9,FALSE),""),""))</f>
        <v/>
      </c>
      <c r="F357" s="43" t="str">
        <f t="shared" si="46"/>
        <v/>
      </c>
      <c r="G357" s="43"/>
      <c r="I357" s="6">
        <f t="shared" si="47"/>
        <v>347</v>
      </c>
      <c r="J357" s="6" t="str">
        <f t="shared" si="42"/>
        <v/>
      </c>
      <c r="K357" s="6" t="str">
        <f>IF($M$1&gt;=I357,VLOOKUP(I357,Iktato!$B$3:$L$10000,3,FALSE),"")</f>
        <v/>
      </c>
      <c r="M357" s="6" t="str">
        <f>IF($M$1&gt;=I357,IF(VLOOKUP(I357,Iktato!$B$3:$P$10000,15,FALSE)&lt;&gt;0,VLOOKUP(I357,Iktato!$B$3:$P$10000,15,FALSE),""),"")</f>
        <v/>
      </c>
      <c r="N357" s="6" t="str">
        <f>IF($M$1&gt;=I357,IF(VLOOKUP(I357,Iktato!$B$3:$Q$10000,16,FALSE)&lt;&gt;0,VLOOKUP(I357,Iktato!$B$3:$Q$10000,16,FALSE),""),"")</f>
        <v/>
      </c>
      <c r="P357" s="6" t="str">
        <f>TRIM(IF($M$1&gt;=I357,IF(VLOOKUP(I357,Iktato!$B$3:$L$10000,6,FALSE)&lt;&gt;0,VLOOKUP(I357,Iktato!$B$3:$L$10000,6,FALSE),""),""))</f>
        <v/>
      </c>
      <c r="Q357" s="8" t="str">
        <f>TRIM(IF($M$1&gt;=I357,IF(VLOOKUP(I357,Iktato!$B$3:$L$10000,7,FALSE)&lt;&gt;0,VLOOKUP(I357,Iktato!$B$3:$L$10000,7,FALSE),""),""))</f>
        <v/>
      </c>
      <c r="R357" s="6" t="str">
        <f t="shared" si="43"/>
        <v/>
      </c>
      <c r="S357" s="6" t="str">
        <f t="shared" si="44"/>
        <v/>
      </c>
      <c r="T357" s="6" t="str">
        <f t="shared" si="45"/>
        <v/>
      </c>
    </row>
    <row r="358" spans="1:20" ht="16.5" x14ac:dyDescent="0.25">
      <c r="A358" s="11" t="str">
        <f t="shared" si="40"/>
        <v/>
      </c>
      <c r="B358" s="12" t="str">
        <f>IF($M$1&gt;=I358,VLOOKUP(I358,Iktato!$B$3:$L$10000,5,FALSE),"")</f>
        <v/>
      </c>
      <c r="C358" s="13" t="str">
        <f t="shared" si="41"/>
        <v/>
      </c>
      <c r="D358" s="14" t="str">
        <f>TRIM(IF($M$1&gt;=I358,IF(VLOOKUP(I358,Iktato!$B$3:$L$10000,8,FALSE)&lt;&gt;0,VLOOKUP(I358,Iktato!$B$3:$L$10000,8,FALSE),""),""))</f>
        <v/>
      </c>
      <c r="E358" s="14" t="str">
        <f>TRIM(IF($M$1&gt;=I358,IF(VLOOKUP(I358,Iktato!$B$3:$L$10000,9,FALSE)&lt;&gt;0,VLOOKUP(I358,Iktato!$B$3:$L$10000,9,FALSE),""),""))</f>
        <v/>
      </c>
      <c r="F358" s="43" t="str">
        <f t="shared" si="46"/>
        <v/>
      </c>
      <c r="G358" s="43"/>
      <c r="I358" s="6">
        <f t="shared" si="47"/>
        <v>348</v>
      </c>
      <c r="J358" s="6" t="str">
        <f t="shared" si="42"/>
        <v/>
      </c>
      <c r="K358" s="6" t="str">
        <f>IF($M$1&gt;=I358,VLOOKUP(I358,Iktato!$B$3:$L$10000,3,FALSE),"")</f>
        <v/>
      </c>
      <c r="M358" s="6" t="str">
        <f>IF($M$1&gt;=I358,IF(VLOOKUP(I358,Iktato!$B$3:$P$10000,15,FALSE)&lt;&gt;0,VLOOKUP(I358,Iktato!$B$3:$P$10000,15,FALSE),""),"")</f>
        <v/>
      </c>
      <c r="N358" s="6" t="str">
        <f>IF($M$1&gt;=I358,IF(VLOOKUP(I358,Iktato!$B$3:$Q$10000,16,FALSE)&lt;&gt;0,VLOOKUP(I358,Iktato!$B$3:$Q$10000,16,FALSE),""),"")</f>
        <v/>
      </c>
      <c r="P358" s="6" t="str">
        <f>TRIM(IF($M$1&gt;=I358,IF(VLOOKUP(I358,Iktato!$B$3:$L$10000,6,FALSE)&lt;&gt;0,VLOOKUP(I358,Iktato!$B$3:$L$10000,6,FALSE),""),""))</f>
        <v/>
      </c>
      <c r="Q358" s="8" t="str">
        <f>TRIM(IF($M$1&gt;=I358,IF(VLOOKUP(I358,Iktato!$B$3:$L$10000,7,FALSE)&lt;&gt;0,VLOOKUP(I358,Iktato!$B$3:$L$10000,7,FALSE),""),""))</f>
        <v/>
      </c>
      <c r="R358" s="6" t="str">
        <f t="shared" si="43"/>
        <v/>
      </c>
      <c r="S358" s="6" t="str">
        <f t="shared" si="44"/>
        <v/>
      </c>
      <c r="T358" s="6" t="str">
        <f t="shared" si="45"/>
        <v/>
      </c>
    </row>
    <row r="359" spans="1:20" ht="16.5" x14ac:dyDescent="0.25">
      <c r="A359" s="11" t="str">
        <f t="shared" si="40"/>
        <v/>
      </c>
      <c r="B359" s="12" t="str">
        <f>IF($M$1&gt;=I359,VLOOKUP(I359,Iktato!$B$3:$L$10000,5,FALSE),"")</f>
        <v/>
      </c>
      <c r="C359" s="13" t="str">
        <f t="shared" si="41"/>
        <v/>
      </c>
      <c r="D359" s="14" t="str">
        <f>TRIM(IF($M$1&gt;=I359,IF(VLOOKUP(I359,Iktato!$B$3:$L$10000,8,FALSE)&lt;&gt;0,VLOOKUP(I359,Iktato!$B$3:$L$10000,8,FALSE),""),""))</f>
        <v/>
      </c>
      <c r="E359" s="14" t="str">
        <f>TRIM(IF($M$1&gt;=I359,IF(VLOOKUP(I359,Iktato!$B$3:$L$10000,9,FALSE)&lt;&gt;0,VLOOKUP(I359,Iktato!$B$3:$L$10000,9,FALSE),""),""))</f>
        <v/>
      </c>
      <c r="F359" s="43" t="str">
        <f t="shared" si="46"/>
        <v/>
      </c>
      <c r="G359" s="43"/>
      <c r="I359" s="6">
        <f t="shared" si="47"/>
        <v>349</v>
      </c>
      <c r="J359" s="6" t="str">
        <f t="shared" si="42"/>
        <v/>
      </c>
      <c r="K359" s="6" t="str">
        <f>IF($M$1&gt;=I359,VLOOKUP(I359,Iktato!$B$3:$L$10000,3,FALSE),"")</f>
        <v/>
      </c>
      <c r="M359" s="6" t="str">
        <f>IF($M$1&gt;=I359,IF(VLOOKUP(I359,Iktato!$B$3:$P$10000,15,FALSE)&lt;&gt;0,VLOOKUP(I359,Iktato!$B$3:$P$10000,15,FALSE),""),"")</f>
        <v/>
      </c>
      <c r="N359" s="6" t="str">
        <f>IF($M$1&gt;=I359,IF(VLOOKUP(I359,Iktato!$B$3:$Q$10000,16,FALSE)&lt;&gt;0,VLOOKUP(I359,Iktato!$B$3:$Q$10000,16,FALSE),""),"")</f>
        <v/>
      </c>
      <c r="P359" s="6" t="str">
        <f>TRIM(IF($M$1&gt;=I359,IF(VLOOKUP(I359,Iktato!$B$3:$L$10000,6,FALSE)&lt;&gt;0,VLOOKUP(I359,Iktato!$B$3:$L$10000,6,FALSE),""),""))</f>
        <v/>
      </c>
      <c r="Q359" s="8" t="str">
        <f>TRIM(IF($M$1&gt;=I359,IF(VLOOKUP(I359,Iktato!$B$3:$L$10000,7,FALSE)&lt;&gt;0,VLOOKUP(I359,Iktato!$B$3:$L$10000,7,FALSE),""),""))</f>
        <v/>
      </c>
      <c r="R359" s="6" t="str">
        <f t="shared" si="43"/>
        <v/>
      </c>
      <c r="S359" s="6" t="str">
        <f t="shared" si="44"/>
        <v/>
      </c>
      <c r="T359" s="6" t="str">
        <f t="shared" si="45"/>
        <v/>
      </c>
    </row>
    <row r="360" spans="1:20" ht="16.5" x14ac:dyDescent="0.25">
      <c r="A360" s="11" t="str">
        <f t="shared" si="40"/>
        <v/>
      </c>
      <c r="B360" s="12" t="str">
        <f>IF($M$1&gt;=I360,VLOOKUP(I360,Iktato!$B$3:$L$10000,5,FALSE),"")</f>
        <v/>
      </c>
      <c r="C360" s="13" t="str">
        <f t="shared" si="41"/>
        <v/>
      </c>
      <c r="D360" s="14" t="str">
        <f>TRIM(IF($M$1&gt;=I360,IF(VLOOKUP(I360,Iktato!$B$3:$L$10000,8,FALSE)&lt;&gt;0,VLOOKUP(I360,Iktato!$B$3:$L$10000,8,FALSE),""),""))</f>
        <v/>
      </c>
      <c r="E360" s="14" t="str">
        <f>TRIM(IF($M$1&gt;=I360,IF(VLOOKUP(I360,Iktato!$B$3:$L$10000,9,FALSE)&lt;&gt;0,VLOOKUP(I360,Iktato!$B$3:$L$10000,9,FALSE),""),""))</f>
        <v/>
      </c>
      <c r="F360" s="43" t="str">
        <f t="shared" si="46"/>
        <v/>
      </c>
      <c r="G360" s="43"/>
      <c r="I360" s="6">
        <f t="shared" si="47"/>
        <v>350</v>
      </c>
      <c r="J360" s="6" t="str">
        <f t="shared" si="42"/>
        <v/>
      </c>
      <c r="K360" s="6" t="str">
        <f>IF($M$1&gt;=I360,VLOOKUP(I360,Iktato!$B$3:$L$10000,3,FALSE),"")</f>
        <v/>
      </c>
      <c r="M360" s="6" t="str">
        <f>IF($M$1&gt;=I360,IF(VLOOKUP(I360,Iktato!$B$3:$P$10000,15,FALSE)&lt;&gt;0,VLOOKUP(I360,Iktato!$B$3:$P$10000,15,FALSE),""),"")</f>
        <v/>
      </c>
      <c r="N360" s="6" t="str">
        <f>IF($M$1&gt;=I360,IF(VLOOKUP(I360,Iktato!$B$3:$Q$10000,16,FALSE)&lt;&gt;0,VLOOKUP(I360,Iktato!$B$3:$Q$10000,16,FALSE),""),"")</f>
        <v/>
      </c>
      <c r="P360" s="6" t="str">
        <f>TRIM(IF($M$1&gt;=I360,IF(VLOOKUP(I360,Iktato!$B$3:$L$10000,6,FALSE)&lt;&gt;0,VLOOKUP(I360,Iktato!$B$3:$L$10000,6,FALSE),""),""))</f>
        <v/>
      </c>
      <c r="Q360" s="8" t="str">
        <f>TRIM(IF($M$1&gt;=I360,IF(VLOOKUP(I360,Iktato!$B$3:$L$10000,7,FALSE)&lt;&gt;0,VLOOKUP(I360,Iktato!$B$3:$L$10000,7,FALSE),""),""))</f>
        <v/>
      </c>
      <c r="R360" s="6" t="str">
        <f t="shared" si="43"/>
        <v/>
      </c>
      <c r="S360" s="6" t="str">
        <f t="shared" si="44"/>
        <v/>
      </c>
      <c r="T360" s="6" t="str">
        <f t="shared" si="45"/>
        <v/>
      </c>
    </row>
    <row r="361" spans="1:20" ht="16.5" x14ac:dyDescent="0.25">
      <c r="A361" s="11" t="str">
        <f t="shared" si="40"/>
        <v/>
      </c>
      <c r="B361" s="12" t="str">
        <f>IF($M$1&gt;=I361,VLOOKUP(I361,Iktato!$B$3:$L$10000,5,FALSE),"")</f>
        <v/>
      </c>
      <c r="C361" s="13" t="str">
        <f t="shared" si="41"/>
        <v/>
      </c>
      <c r="D361" s="14" t="str">
        <f>TRIM(IF($M$1&gt;=I361,IF(VLOOKUP(I361,Iktato!$B$3:$L$10000,8,FALSE)&lt;&gt;0,VLOOKUP(I361,Iktato!$B$3:$L$10000,8,FALSE),""),""))</f>
        <v/>
      </c>
      <c r="E361" s="14" t="str">
        <f>TRIM(IF($M$1&gt;=I361,IF(VLOOKUP(I361,Iktato!$B$3:$L$10000,9,FALSE)&lt;&gt;0,VLOOKUP(I361,Iktato!$B$3:$L$10000,9,FALSE),""),""))</f>
        <v/>
      </c>
      <c r="F361" s="43" t="str">
        <f t="shared" si="46"/>
        <v/>
      </c>
      <c r="G361" s="43"/>
      <c r="I361" s="6">
        <f t="shared" si="47"/>
        <v>351</v>
      </c>
      <c r="J361" s="6" t="str">
        <f t="shared" si="42"/>
        <v/>
      </c>
      <c r="K361" s="6" t="str">
        <f>IF($M$1&gt;=I361,VLOOKUP(I361,Iktato!$B$3:$L$10000,3,FALSE),"")</f>
        <v/>
      </c>
      <c r="M361" s="6" t="str">
        <f>IF($M$1&gt;=I361,IF(VLOOKUP(I361,Iktato!$B$3:$P$10000,15,FALSE)&lt;&gt;0,VLOOKUP(I361,Iktato!$B$3:$P$10000,15,FALSE),""),"")</f>
        <v/>
      </c>
      <c r="N361" s="6" t="str">
        <f>IF($M$1&gt;=I361,IF(VLOOKUP(I361,Iktato!$B$3:$Q$10000,16,FALSE)&lt;&gt;0,VLOOKUP(I361,Iktato!$B$3:$Q$10000,16,FALSE),""),"")</f>
        <v/>
      </c>
      <c r="P361" s="6" t="str">
        <f>TRIM(IF($M$1&gt;=I361,IF(VLOOKUP(I361,Iktato!$B$3:$L$10000,6,FALSE)&lt;&gt;0,VLOOKUP(I361,Iktato!$B$3:$L$10000,6,FALSE),""),""))</f>
        <v/>
      </c>
      <c r="Q361" s="8" t="str">
        <f>TRIM(IF($M$1&gt;=I361,IF(VLOOKUP(I361,Iktato!$B$3:$L$10000,7,FALSE)&lt;&gt;0,VLOOKUP(I361,Iktato!$B$3:$L$10000,7,FALSE),""),""))</f>
        <v/>
      </c>
      <c r="R361" s="6" t="str">
        <f t="shared" si="43"/>
        <v/>
      </c>
      <c r="S361" s="6" t="str">
        <f t="shared" si="44"/>
        <v/>
      </c>
      <c r="T361" s="6" t="str">
        <f t="shared" si="45"/>
        <v/>
      </c>
    </row>
    <row r="362" spans="1:20" ht="16.5" x14ac:dyDescent="0.25">
      <c r="A362" s="11" t="str">
        <f t="shared" ref="A362:A411" si="48">IF($M$1&gt;=I362,J362,"")</f>
        <v/>
      </c>
      <c r="B362" s="12" t="str">
        <f>IF($M$1&gt;=I362,VLOOKUP(I362,Iktato!$B$3:$L$10000,5,FALSE),"")</f>
        <v/>
      </c>
      <c r="C362" s="13" t="str">
        <f t="shared" ref="C362:C411" si="49">TRIM(IF(AND(P362&amp;Q362&lt;&gt;"",$M$1&gt;=I362),P362&amp;"-"&amp;R362&amp;$R$10&amp;S362&amp;$R$10&amp;T362&amp;$R$10,""))</f>
        <v/>
      </c>
      <c r="D362" s="14" t="str">
        <f>TRIM(IF($M$1&gt;=I362,IF(VLOOKUP(I362,Iktato!$B$3:$L$10000,8,FALSE)&lt;&gt;0,VLOOKUP(I362,Iktato!$B$3:$L$10000,8,FALSE),""),""))</f>
        <v/>
      </c>
      <c r="E362" s="14" t="str">
        <f>TRIM(IF($M$1&gt;=I362,IF(VLOOKUP(I362,Iktato!$B$3:$L$10000,9,FALSE)&lt;&gt;0,VLOOKUP(I362,Iktato!$B$3:$L$10000,9,FALSE),""),""))</f>
        <v/>
      </c>
      <c r="F362" s="43" t="str">
        <f t="shared" si="46"/>
        <v/>
      </c>
      <c r="G362" s="43"/>
      <c r="I362" s="6">
        <f t="shared" si="47"/>
        <v>352</v>
      </c>
      <c r="J362" s="6" t="str">
        <f t="shared" ref="J362:J411" si="50">IF(K361&lt;&gt;K362,K362,"")</f>
        <v/>
      </c>
      <c r="K362" s="6" t="str">
        <f>IF($M$1&gt;=I362,VLOOKUP(I362,Iktato!$B$3:$L$10000,3,FALSE),"")</f>
        <v/>
      </c>
      <c r="M362" s="6" t="str">
        <f>IF($M$1&gt;=I362,IF(VLOOKUP(I362,Iktato!$B$3:$P$10000,15,FALSE)&lt;&gt;0,VLOOKUP(I362,Iktato!$B$3:$P$10000,15,FALSE),""),"")</f>
        <v/>
      </c>
      <c r="N362" s="6" t="str">
        <f>IF($M$1&gt;=I362,IF(VLOOKUP(I362,Iktato!$B$3:$Q$10000,16,FALSE)&lt;&gt;0,VLOOKUP(I362,Iktato!$B$3:$Q$10000,16,FALSE),""),"")</f>
        <v/>
      </c>
      <c r="P362" s="6" t="str">
        <f>TRIM(IF($M$1&gt;=I362,IF(VLOOKUP(I362,Iktato!$B$3:$L$10000,6,FALSE)&lt;&gt;0,VLOOKUP(I362,Iktato!$B$3:$L$10000,6,FALSE),""),""))</f>
        <v/>
      </c>
      <c r="Q362" s="8" t="str">
        <f>TRIM(IF($M$1&gt;=I362,IF(VLOOKUP(I362,Iktato!$B$3:$L$10000,7,FALSE)&lt;&gt;0,VLOOKUP(I362,Iktato!$B$3:$L$10000,7,FALSE),""),""))</f>
        <v/>
      </c>
      <c r="R362" s="6" t="str">
        <f t="shared" ref="R362:R411" si="51">IF(Q362&lt;&gt;"",YEAR(Q362),"")</f>
        <v/>
      </c>
      <c r="S362" s="6" t="str">
        <f t="shared" ref="S362:S411" si="52">IF(Q362&lt;&gt;"",MONTH(Q362),"")</f>
        <v/>
      </c>
      <c r="T362" s="6" t="str">
        <f t="shared" ref="T362:T411" si="53">IF(Q362&lt;&gt;"",DAY(Q362),"")</f>
        <v/>
      </c>
    </row>
    <row r="363" spans="1:20" ht="16.5" x14ac:dyDescent="0.25">
      <c r="A363" s="11" t="str">
        <f t="shared" si="48"/>
        <v/>
      </c>
      <c r="B363" s="12" t="str">
        <f>IF($M$1&gt;=I363,VLOOKUP(I363,Iktato!$B$3:$L$10000,5,FALSE),"")</f>
        <v/>
      </c>
      <c r="C363" s="13" t="str">
        <f t="shared" si="49"/>
        <v/>
      </c>
      <c r="D363" s="14" t="str">
        <f>TRIM(IF($M$1&gt;=I363,IF(VLOOKUP(I363,Iktato!$B$3:$L$10000,8,FALSE)&lt;&gt;0,VLOOKUP(I363,Iktato!$B$3:$L$10000,8,FALSE),""),""))</f>
        <v/>
      </c>
      <c r="E363" s="14" t="str">
        <f>TRIM(IF($M$1&gt;=I363,IF(VLOOKUP(I363,Iktato!$B$3:$L$10000,9,FALSE)&lt;&gt;0,VLOOKUP(I363,Iktato!$B$3:$L$10000,9,FALSE),""),""))</f>
        <v/>
      </c>
      <c r="F363" s="43" t="str">
        <f t="shared" si="46"/>
        <v/>
      </c>
      <c r="G363" s="43"/>
      <c r="I363" s="6">
        <f t="shared" si="47"/>
        <v>353</v>
      </c>
      <c r="J363" s="6" t="str">
        <f t="shared" si="50"/>
        <v/>
      </c>
      <c r="K363" s="6" t="str">
        <f>IF($M$1&gt;=I363,VLOOKUP(I363,Iktato!$B$3:$L$10000,3,FALSE),"")</f>
        <v/>
      </c>
      <c r="M363" s="6" t="str">
        <f>IF($M$1&gt;=I363,IF(VLOOKUP(I363,Iktato!$B$3:$P$10000,15,FALSE)&lt;&gt;0,VLOOKUP(I363,Iktato!$B$3:$P$10000,15,FALSE),""),"")</f>
        <v/>
      </c>
      <c r="N363" s="6" t="str">
        <f>IF($M$1&gt;=I363,IF(VLOOKUP(I363,Iktato!$B$3:$Q$10000,16,FALSE)&lt;&gt;0,VLOOKUP(I363,Iktato!$B$3:$Q$10000,16,FALSE),""),"")</f>
        <v/>
      </c>
      <c r="P363" s="6" t="str">
        <f>TRIM(IF($M$1&gt;=I363,IF(VLOOKUP(I363,Iktato!$B$3:$L$10000,6,FALSE)&lt;&gt;0,VLOOKUP(I363,Iktato!$B$3:$L$10000,6,FALSE),""),""))</f>
        <v/>
      </c>
      <c r="Q363" s="8" t="str">
        <f>TRIM(IF($M$1&gt;=I363,IF(VLOOKUP(I363,Iktato!$B$3:$L$10000,7,FALSE)&lt;&gt;0,VLOOKUP(I363,Iktato!$B$3:$L$10000,7,FALSE),""),""))</f>
        <v/>
      </c>
      <c r="R363" s="6" t="str">
        <f t="shared" si="51"/>
        <v/>
      </c>
      <c r="S363" s="6" t="str">
        <f t="shared" si="52"/>
        <v/>
      </c>
      <c r="T363" s="6" t="str">
        <f t="shared" si="53"/>
        <v/>
      </c>
    </row>
    <row r="364" spans="1:20" ht="16.5" x14ac:dyDescent="0.25">
      <c r="A364" s="11" t="str">
        <f t="shared" si="48"/>
        <v/>
      </c>
      <c r="B364" s="12" t="str">
        <f>IF($M$1&gt;=I364,VLOOKUP(I364,Iktato!$B$3:$L$10000,5,FALSE),"")</f>
        <v/>
      </c>
      <c r="C364" s="13" t="str">
        <f t="shared" si="49"/>
        <v/>
      </c>
      <c r="D364" s="14" t="str">
        <f>TRIM(IF($M$1&gt;=I364,IF(VLOOKUP(I364,Iktato!$B$3:$L$10000,8,FALSE)&lt;&gt;0,VLOOKUP(I364,Iktato!$B$3:$L$10000,8,FALSE),""),""))</f>
        <v/>
      </c>
      <c r="E364" s="14" t="str">
        <f>TRIM(IF($M$1&gt;=I364,IF(VLOOKUP(I364,Iktato!$B$3:$L$10000,9,FALSE)&lt;&gt;0,VLOOKUP(I364,Iktato!$B$3:$L$10000,9,FALSE),""),""))</f>
        <v/>
      </c>
      <c r="F364" s="43" t="str">
        <f t="shared" si="46"/>
        <v/>
      </c>
      <c r="G364" s="43"/>
      <c r="I364" s="6">
        <f t="shared" si="47"/>
        <v>354</v>
      </c>
      <c r="J364" s="6" t="str">
        <f t="shared" si="50"/>
        <v/>
      </c>
      <c r="K364" s="6" t="str">
        <f>IF($M$1&gt;=I364,VLOOKUP(I364,Iktato!$B$3:$L$10000,3,FALSE),"")</f>
        <v/>
      </c>
      <c r="M364" s="6" t="str">
        <f>IF($M$1&gt;=I364,IF(VLOOKUP(I364,Iktato!$B$3:$P$10000,15,FALSE)&lt;&gt;0,VLOOKUP(I364,Iktato!$B$3:$P$10000,15,FALSE),""),"")</f>
        <v/>
      </c>
      <c r="N364" s="6" t="str">
        <f>IF($M$1&gt;=I364,IF(VLOOKUP(I364,Iktato!$B$3:$Q$10000,16,FALSE)&lt;&gt;0,VLOOKUP(I364,Iktato!$B$3:$Q$10000,16,FALSE),""),"")</f>
        <v/>
      </c>
      <c r="P364" s="6" t="str">
        <f>TRIM(IF($M$1&gt;=I364,IF(VLOOKUP(I364,Iktato!$B$3:$L$10000,6,FALSE)&lt;&gt;0,VLOOKUP(I364,Iktato!$B$3:$L$10000,6,FALSE),""),""))</f>
        <v/>
      </c>
      <c r="Q364" s="8" t="str">
        <f>TRIM(IF($M$1&gt;=I364,IF(VLOOKUP(I364,Iktato!$B$3:$L$10000,7,FALSE)&lt;&gt;0,VLOOKUP(I364,Iktato!$B$3:$L$10000,7,FALSE),""),""))</f>
        <v/>
      </c>
      <c r="R364" s="6" t="str">
        <f t="shared" si="51"/>
        <v/>
      </c>
      <c r="S364" s="6" t="str">
        <f t="shared" si="52"/>
        <v/>
      </c>
      <c r="T364" s="6" t="str">
        <f t="shared" si="53"/>
        <v/>
      </c>
    </row>
    <row r="365" spans="1:20" ht="16.5" x14ac:dyDescent="0.25">
      <c r="A365" s="11" t="str">
        <f t="shared" si="48"/>
        <v/>
      </c>
      <c r="B365" s="12" t="str">
        <f>IF($M$1&gt;=I365,VLOOKUP(I365,Iktato!$B$3:$L$10000,5,FALSE),"")</f>
        <v/>
      </c>
      <c r="C365" s="13" t="str">
        <f t="shared" si="49"/>
        <v/>
      </c>
      <c r="D365" s="14" t="str">
        <f>TRIM(IF($M$1&gt;=I365,IF(VLOOKUP(I365,Iktato!$B$3:$L$10000,8,FALSE)&lt;&gt;0,VLOOKUP(I365,Iktato!$B$3:$L$10000,8,FALSE),""),""))</f>
        <v/>
      </c>
      <c r="E365" s="14" t="str">
        <f>TRIM(IF($M$1&gt;=I365,IF(VLOOKUP(I365,Iktato!$B$3:$L$10000,9,FALSE)&lt;&gt;0,VLOOKUP(I365,Iktato!$B$3:$L$10000,9,FALSE),""),""))</f>
        <v/>
      </c>
      <c r="F365" s="43" t="str">
        <f t="shared" si="46"/>
        <v/>
      </c>
      <c r="G365" s="43"/>
      <c r="I365" s="6">
        <f t="shared" si="47"/>
        <v>355</v>
      </c>
      <c r="J365" s="6" t="str">
        <f t="shared" si="50"/>
        <v/>
      </c>
      <c r="K365" s="6" t="str">
        <f>IF($M$1&gt;=I365,VLOOKUP(I365,Iktato!$B$3:$L$10000,3,FALSE),"")</f>
        <v/>
      </c>
      <c r="M365" s="6" t="str">
        <f>IF($M$1&gt;=I365,IF(VLOOKUP(I365,Iktato!$B$3:$P$10000,15,FALSE)&lt;&gt;0,VLOOKUP(I365,Iktato!$B$3:$P$10000,15,FALSE),""),"")</f>
        <v/>
      </c>
      <c r="N365" s="6" t="str">
        <f>IF($M$1&gt;=I365,IF(VLOOKUP(I365,Iktato!$B$3:$Q$10000,16,FALSE)&lt;&gt;0,VLOOKUP(I365,Iktato!$B$3:$Q$10000,16,FALSE),""),"")</f>
        <v/>
      </c>
      <c r="P365" s="6" t="str">
        <f>TRIM(IF($M$1&gt;=I365,IF(VLOOKUP(I365,Iktato!$B$3:$L$10000,6,FALSE)&lt;&gt;0,VLOOKUP(I365,Iktato!$B$3:$L$10000,6,FALSE),""),""))</f>
        <v/>
      </c>
      <c r="Q365" s="8" t="str">
        <f>TRIM(IF($M$1&gt;=I365,IF(VLOOKUP(I365,Iktato!$B$3:$L$10000,7,FALSE)&lt;&gt;0,VLOOKUP(I365,Iktato!$B$3:$L$10000,7,FALSE),""),""))</f>
        <v/>
      </c>
      <c r="R365" s="6" t="str">
        <f t="shared" si="51"/>
        <v/>
      </c>
      <c r="S365" s="6" t="str">
        <f t="shared" si="52"/>
        <v/>
      </c>
      <c r="T365" s="6" t="str">
        <f t="shared" si="53"/>
        <v/>
      </c>
    </row>
    <row r="366" spans="1:20" ht="16.5" x14ac:dyDescent="0.25">
      <c r="A366" s="11" t="str">
        <f t="shared" si="48"/>
        <v/>
      </c>
      <c r="B366" s="12" t="str">
        <f>IF($M$1&gt;=I366,VLOOKUP(I366,Iktato!$B$3:$L$10000,5,FALSE),"")</f>
        <v/>
      </c>
      <c r="C366" s="13" t="str">
        <f t="shared" si="49"/>
        <v/>
      </c>
      <c r="D366" s="14" t="str">
        <f>TRIM(IF($M$1&gt;=I366,IF(VLOOKUP(I366,Iktato!$B$3:$L$10000,8,FALSE)&lt;&gt;0,VLOOKUP(I366,Iktato!$B$3:$L$10000,8,FALSE),""),""))</f>
        <v/>
      </c>
      <c r="E366" s="14" t="str">
        <f>TRIM(IF($M$1&gt;=I366,IF(VLOOKUP(I366,Iktato!$B$3:$L$10000,9,FALSE)&lt;&gt;0,VLOOKUP(I366,Iktato!$B$3:$L$10000,9,FALSE),""),""))</f>
        <v/>
      </c>
      <c r="F366" s="43" t="str">
        <f t="shared" si="46"/>
        <v/>
      </c>
      <c r="G366" s="43"/>
      <c r="I366" s="6">
        <f t="shared" si="47"/>
        <v>356</v>
      </c>
      <c r="J366" s="6" t="str">
        <f t="shared" si="50"/>
        <v/>
      </c>
      <c r="K366" s="6" t="str">
        <f>IF($M$1&gt;=I366,VLOOKUP(I366,Iktato!$B$3:$L$10000,3,FALSE),"")</f>
        <v/>
      </c>
      <c r="M366" s="6" t="str">
        <f>IF($M$1&gt;=I366,IF(VLOOKUP(I366,Iktato!$B$3:$P$10000,15,FALSE)&lt;&gt;0,VLOOKUP(I366,Iktato!$B$3:$P$10000,15,FALSE),""),"")</f>
        <v/>
      </c>
      <c r="N366" s="6" t="str">
        <f>IF($M$1&gt;=I366,IF(VLOOKUP(I366,Iktato!$B$3:$Q$10000,16,FALSE)&lt;&gt;0,VLOOKUP(I366,Iktato!$B$3:$Q$10000,16,FALSE),""),"")</f>
        <v/>
      </c>
      <c r="P366" s="6" t="str">
        <f>TRIM(IF($M$1&gt;=I366,IF(VLOOKUP(I366,Iktato!$B$3:$L$10000,6,FALSE)&lt;&gt;0,VLOOKUP(I366,Iktato!$B$3:$L$10000,6,FALSE),""),""))</f>
        <v/>
      </c>
      <c r="Q366" s="8" t="str">
        <f>TRIM(IF($M$1&gt;=I366,IF(VLOOKUP(I366,Iktato!$B$3:$L$10000,7,FALSE)&lt;&gt;0,VLOOKUP(I366,Iktato!$B$3:$L$10000,7,FALSE),""),""))</f>
        <v/>
      </c>
      <c r="R366" s="6" t="str">
        <f t="shared" si="51"/>
        <v/>
      </c>
      <c r="S366" s="6" t="str">
        <f t="shared" si="52"/>
        <v/>
      </c>
      <c r="T366" s="6" t="str">
        <f t="shared" si="53"/>
        <v/>
      </c>
    </row>
    <row r="367" spans="1:20" ht="16.5" x14ac:dyDescent="0.25">
      <c r="A367" s="11" t="str">
        <f t="shared" si="48"/>
        <v/>
      </c>
      <c r="B367" s="12" t="str">
        <f>IF($M$1&gt;=I367,VLOOKUP(I367,Iktato!$B$3:$L$10000,5,FALSE),"")</f>
        <v/>
      </c>
      <c r="C367" s="13" t="str">
        <f t="shared" si="49"/>
        <v/>
      </c>
      <c r="D367" s="14" t="str">
        <f>TRIM(IF($M$1&gt;=I367,IF(VLOOKUP(I367,Iktato!$B$3:$L$10000,8,FALSE)&lt;&gt;0,VLOOKUP(I367,Iktato!$B$3:$L$10000,8,FALSE),""),""))</f>
        <v/>
      </c>
      <c r="E367" s="14" t="str">
        <f>TRIM(IF($M$1&gt;=I367,IF(VLOOKUP(I367,Iktato!$B$3:$L$10000,9,FALSE)&lt;&gt;0,VLOOKUP(I367,Iktato!$B$3:$L$10000,9,FALSE),""),""))</f>
        <v/>
      </c>
      <c r="F367" s="43" t="str">
        <f t="shared" si="46"/>
        <v/>
      </c>
      <c r="G367" s="43"/>
      <c r="I367" s="6">
        <f t="shared" si="47"/>
        <v>357</v>
      </c>
      <c r="J367" s="6" t="str">
        <f t="shared" si="50"/>
        <v/>
      </c>
      <c r="K367" s="6" t="str">
        <f>IF($M$1&gt;=I367,VLOOKUP(I367,Iktato!$B$3:$L$10000,3,FALSE),"")</f>
        <v/>
      </c>
      <c r="M367" s="6" t="str">
        <f>IF($M$1&gt;=I367,IF(VLOOKUP(I367,Iktato!$B$3:$P$10000,15,FALSE)&lt;&gt;0,VLOOKUP(I367,Iktato!$B$3:$P$10000,15,FALSE),""),"")</f>
        <v/>
      </c>
      <c r="N367" s="6" t="str">
        <f>IF($M$1&gt;=I367,IF(VLOOKUP(I367,Iktato!$B$3:$Q$10000,16,FALSE)&lt;&gt;0,VLOOKUP(I367,Iktato!$B$3:$Q$10000,16,FALSE),""),"")</f>
        <v/>
      </c>
      <c r="P367" s="6" t="str">
        <f>TRIM(IF($M$1&gt;=I367,IF(VLOOKUP(I367,Iktato!$B$3:$L$10000,6,FALSE)&lt;&gt;0,VLOOKUP(I367,Iktato!$B$3:$L$10000,6,FALSE),""),""))</f>
        <v/>
      </c>
      <c r="Q367" s="8" t="str">
        <f>TRIM(IF($M$1&gt;=I367,IF(VLOOKUP(I367,Iktato!$B$3:$L$10000,7,FALSE)&lt;&gt;0,VLOOKUP(I367,Iktato!$B$3:$L$10000,7,FALSE),""),""))</f>
        <v/>
      </c>
      <c r="R367" s="6" t="str">
        <f t="shared" si="51"/>
        <v/>
      </c>
      <c r="S367" s="6" t="str">
        <f t="shared" si="52"/>
        <v/>
      </c>
      <c r="T367" s="6" t="str">
        <f t="shared" si="53"/>
        <v/>
      </c>
    </row>
    <row r="368" spans="1:20" ht="16.5" x14ac:dyDescent="0.25">
      <c r="A368" s="11" t="str">
        <f t="shared" si="48"/>
        <v/>
      </c>
      <c r="B368" s="12" t="str">
        <f>IF($M$1&gt;=I368,VLOOKUP(I368,Iktato!$B$3:$L$10000,5,FALSE),"")</f>
        <v/>
      </c>
      <c r="C368" s="13" t="str">
        <f t="shared" si="49"/>
        <v/>
      </c>
      <c r="D368" s="14" t="str">
        <f>TRIM(IF($M$1&gt;=I368,IF(VLOOKUP(I368,Iktato!$B$3:$L$10000,8,FALSE)&lt;&gt;0,VLOOKUP(I368,Iktato!$B$3:$L$10000,8,FALSE),""),""))</f>
        <v/>
      </c>
      <c r="E368" s="14" t="str">
        <f>TRIM(IF($M$1&gt;=I368,IF(VLOOKUP(I368,Iktato!$B$3:$L$10000,9,FALSE)&lt;&gt;0,VLOOKUP(I368,Iktato!$B$3:$L$10000,9,FALSE),""),""))</f>
        <v/>
      </c>
      <c r="F368" s="43" t="str">
        <f t="shared" si="46"/>
        <v/>
      </c>
      <c r="G368" s="43"/>
      <c r="I368" s="6">
        <f t="shared" si="47"/>
        <v>358</v>
      </c>
      <c r="J368" s="6" t="str">
        <f t="shared" si="50"/>
        <v/>
      </c>
      <c r="K368" s="6" t="str">
        <f>IF($M$1&gt;=I368,VLOOKUP(I368,Iktato!$B$3:$L$10000,3,FALSE),"")</f>
        <v/>
      </c>
      <c r="M368" s="6" t="str">
        <f>IF($M$1&gt;=I368,IF(VLOOKUP(I368,Iktato!$B$3:$P$10000,15,FALSE)&lt;&gt;0,VLOOKUP(I368,Iktato!$B$3:$P$10000,15,FALSE),""),"")</f>
        <v/>
      </c>
      <c r="N368" s="6" t="str">
        <f>IF($M$1&gt;=I368,IF(VLOOKUP(I368,Iktato!$B$3:$Q$10000,16,FALSE)&lt;&gt;0,VLOOKUP(I368,Iktato!$B$3:$Q$10000,16,FALSE),""),"")</f>
        <v/>
      </c>
      <c r="P368" s="6" t="str">
        <f>TRIM(IF($M$1&gt;=I368,IF(VLOOKUP(I368,Iktato!$B$3:$L$10000,6,FALSE)&lt;&gt;0,VLOOKUP(I368,Iktato!$B$3:$L$10000,6,FALSE),""),""))</f>
        <v/>
      </c>
      <c r="Q368" s="8" t="str">
        <f>TRIM(IF($M$1&gt;=I368,IF(VLOOKUP(I368,Iktato!$B$3:$L$10000,7,FALSE)&lt;&gt;0,VLOOKUP(I368,Iktato!$B$3:$L$10000,7,FALSE),""),""))</f>
        <v/>
      </c>
      <c r="R368" s="6" t="str">
        <f t="shared" si="51"/>
        <v/>
      </c>
      <c r="S368" s="6" t="str">
        <f t="shared" si="52"/>
        <v/>
      </c>
      <c r="T368" s="6" t="str">
        <f t="shared" si="53"/>
        <v/>
      </c>
    </row>
    <row r="369" spans="1:20" ht="16.5" x14ac:dyDescent="0.25">
      <c r="A369" s="11" t="str">
        <f t="shared" si="48"/>
        <v/>
      </c>
      <c r="B369" s="12" t="str">
        <f>IF($M$1&gt;=I369,VLOOKUP(I369,Iktato!$B$3:$L$10000,5,FALSE),"")</f>
        <v/>
      </c>
      <c r="C369" s="13" t="str">
        <f t="shared" si="49"/>
        <v/>
      </c>
      <c r="D369" s="14" t="str">
        <f>TRIM(IF($M$1&gt;=I369,IF(VLOOKUP(I369,Iktato!$B$3:$L$10000,8,FALSE)&lt;&gt;0,VLOOKUP(I369,Iktato!$B$3:$L$10000,8,FALSE),""),""))</f>
        <v/>
      </c>
      <c r="E369" s="14" t="str">
        <f>TRIM(IF($M$1&gt;=I369,IF(VLOOKUP(I369,Iktato!$B$3:$L$10000,9,FALSE)&lt;&gt;0,VLOOKUP(I369,Iktato!$B$3:$L$10000,9,FALSE),""),""))</f>
        <v/>
      </c>
      <c r="F369" s="43" t="str">
        <f t="shared" si="46"/>
        <v/>
      </c>
      <c r="G369" s="43"/>
      <c r="I369" s="6">
        <f t="shared" si="47"/>
        <v>359</v>
      </c>
      <c r="J369" s="6" t="str">
        <f t="shared" si="50"/>
        <v/>
      </c>
      <c r="K369" s="6" t="str">
        <f>IF($M$1&gt;=I369,VLOOKUP(I369,Iktato!$B$3:$L$10000,3,FALSE),"")</f>
        <v/>
      </c>
      <c r="M369" s="6" t="str">
        <f>IF($M$1&gt;=I369,IF(VLOOKUP(I369,Iktato!$B$3:$P$10000,15,FALSE)&lt;&gt;0,VLOOKUP(I369,Iktato!$B$3:$P$10000,15,FALSE),""),"")</f>
        <v/>
      </c>
      <c r="N369" s="6" t="str">
        <f>IF($M$1&gt;=I369,IF(VLOOKUP(I369,Iktato!$B$3:$Q$10000,16,FALSE)&lt;&gt;0,VLOOKUP(I369,Iktato!$B$3:$Q$10000,16,FALSE),""),"")</f>
        <v/>
      </c>
      <c r="P369" s="6" t="str">
        <f>TRIM(IF($M$1&gt;=I369,IF(VLOOKUP(I369,Iktato!$B$3:$L$10000,6,FALSE)&lt;&gt;0,VLOOKUP(I369,Iktato!$B$3:$L$10000,6,FALSE),""),""))</f>
        <v/>
      </c>
      <c r="Q369" s="8" t="str">
        <f>TRIM(IF($M$1&gt;=I369,IF(VLOOKUP(I369,Iktato!$B$3:$L$10000,7,FALSE)&lt;&gt;0,VLOOKUP(I369,Iktato!$B$3:$L$10000,7,FALSE),""),""))</f>
        <v/>
      </c>
      <c r="R369" s="6" t="str">
        <f t="shared" si="51"/>
        <v/>
      </c>
      <c r="S369" s="6" t="str">
        <f t="shared" si="52"/>
        <v/>
      </c>
      <c r="T369" s="6" t="str">
        <f t="shared" si="53"/>
        <v/>
      </c>
    </row>
    <row r="370" spans="1:20" ht="16.5" x14ac:dyDescent="0.25">
      <c r="A370" s="11" t="str">
        <f t="shared" si="48"/>
        <v/>
      </c>
      <c r="B370" s="12" t="str">
        <f>IF($M$1&gt;=I370,VLOOKUP(I370,Iktato!$B$3:$L$10000,5,FALSE),"")</f>
        <v/>
      </c>
      <c r="C370" s="13" t="str">
        <f t="shared" si="49"/>
        <v/>
      </c>
      <c r="D370" s="14" t="str">
        <f>TRIM(IF($M$1&gt;=I370,IF(VLOOKUP(I370,Iktato!$B$3:$L$10000,8,FALSE)&lt;&gt;0,VLOOKUP(I370,Iktato!$B$3:$L$10000,8,FALSE),""),""))</f>
        <v/>
      </c>
      <c r="E370" s="14" t="str">
        <f>TRIM(IF($M$1&gt;=I370,IF(VLOOKUP(I370,Iktato!$B$3:$L$10000,9,FALSE)&lt;&gt;0,VLOOKUP(I370,Iktato!$B$3:$L$10000,9,FALSE),""),""))</f>
        <v/>
      </c>
      <c r="F370" s="43" t="str">
        <f t="shared" si="46"/>
        <v/>
      </c>
      <c r="G370" s="43"/>
      <c r="I370" s="6">
        <f t="shared" si="47"/>
        <v>360</v>
      </c>
      <c r="J370" s="6" t="str">
        <f t="shared" si="50"/>
        <v/>
      </c>
      <c r="K370" s="6" t="str">
        <f>IF($M$1&gt;=I370,VLOOKUP(I370,Iktato!$B$3:$L$10000,3,FALSE),"")</f>
        <v/>
      </c>
      <c r="M370" s="6" t="str">
        <f>IF($M$1&gt;=I370,IF(VLOOKUP(I370,Iktato!$B$3:$P$10000,15,FALSE)&lt;&gt;0,VLOOKUP(I370,Iktato!$B$3:$P$10000,15,FALSE),""),"")</f>
        <v/>
      </c>
      <c r="N370" s="6" t="str">
        <f>IF($M$1&gt;=I370,IF(VLOOKUP(I370,Iktato!$B$3:$Q$10000,16,FALSE)&lt;&gt;0,VLOOKUP(I370,Iktato!$B$3:$Q$10000,16,FALSE),""),"")</f>
        <v/>
      </c>
      <c r="P370" s="6" t="str">
        <f>TRIM(IF($M$1&gt;=I370,IF(VLOOKUP(I370,Iktato!$B$3:$L$10000,6,FALSE)&lt;&gt;0,VLOOKUP(I370,Iktato!$B$3:$L$10000,6,FALSE),""),""))</f>
        <v/>
      </c>
      <c r="Q370" s="8" t="str">
        <f>TRIM(IF($M$1&gt;=I370,IF(VLOOKUP(I370,Iktato!$B$3:$L$10000,7,FALSE)&lt;&gt;0,VLOOKUP(I370,Iktato!$B$3:$L$10000,7,FALSE),""),""))</f>
        <v/>
      </c>
      <c r="R370" s="6" t="str">
        <f t="shared" si="51"/>
        <v/>
      </c>
      <c r="S370" s="6" t="str">
        <f t="shared" si="52"/>
        <v/>
      </c>
      <c r="T370" s="6" t="str">
        <f t="shared" si="53"/>
        <v/>
      </c>
    </row>
    <row r="371" spans="1:20" ht="16.5" x14ac:dyDescent="0.25">
      <c r="A371" s="11" t="str">
        <f t="shared" si="48"/>
        <v/>
      </c>
      <c r="B371" s="12" t="str">
        <f>IF($M$1&gt;=I371,VLOOKUP(I371,Iktato!$B$3:$L$10000,5,FALSE),"")</f>
        <v/>
      </c>
      <c r="C371" s="13" t="str">
        <f t="shared" si="49"/>
        <v/>
      </c>
      <c r="D371" s="14" t="str">
        <f>TRIM(IF($M$1&gt;=I371,IF(VLOOKUP(I371,Iktato!$B$3:$L$10000,8,FALSE)&lt;&gt;0,VLOOKUP(I371,Iktato!$B$3:$L$10000,8,FALSE),""),""))</f>
        <v/>
      </c>
      <c r="E371" s="14" t="str">
        <f>TRIM(IF($M$1&gt;=I371,IF(VLOOKUP(I371,Iktato!$B$3:$L$10000,9,FALSE)&lt;&gt;0,VLOOKUP(I371,Iktato!$B$3:$L$10000,9,FALSE),""),""))</f>
        <v/>
      </c>
      <c r="F371" s="43" t="str">
        <f t="shared" si="46"/>
        <v/>
      </c>
      <c r="G371" s="43"/>
      <c r="I371" s="6">
        <f t="shared" si="47"/>
        <v>361</v>
      </c>
      <c r="J371" s="6" t="str">
        <f t="shared" si="50"/>
        <v/>
      </c>
      <c r="K371" s="6" t="str">
        <f>IF($M$1&gt;=I371,VLOOKUP(I371,Iktato!$B$3:$L$10000,3,FALSE),"")</f>
        <v/>
      </c>
      <c r="M371" s="6" t="str">
        <f>IF($M$1&gt;=I371,IF(VLOOKUP(I371,Iktato!$B$3:$P$10000,15,FALSE)&lt;&gt;0,VLOOKUP(I371,Iktato!$B$3:$P$10000,15,FALSE),""),"")</f>
        <v/>
      </c>
      <c r="N371" s="6" t="str">
        <f>IF($M$1&gt;=I371,IF(VLOOKUP(I371,Iktato!$B$3:$Q$10000,16,FALSE)&lt;&gt;0,VLOOKUP(I371,Iktato!$B$3:$Q$10000,16,FALSE),""),"")</f>
        <v/>
      </c>
      <c r="P371" s="6" t="str">
        <f>TRIM(IF($M$1&gt;=I371,IF(VLOOKUP(I371,Iktato!$B$3:$L$10000,6,FALSE)&lt;&gt;0,VLOOKUP(I371,Iktato!$B$3:$L$10000,6,FALSE),""),""))</f>
        <v/>
      </c>
      <c r="Q371" s="8" t="str">
        <f>TRIM(IF($M$1&gt;=I371,IF(VLOOKUP(I371,Iktato!$B$3:$L$10000,7,FALSE)&lt;&gt;0,VLOOKUP(I371,Iktato!$B$3:$L$10000,7,FALSE),""),""))</f>
        <v/>
      </c>
      <c r="R371" s="6" t="str">
        <f t="shared" si="51"/>
        <v/>
      </c>
      <c r="S371" s="6" t="str">
        <f t="shared" si="52"/>
        <v/>
      </c>
      <c r="T371" s="6" t="str">
        <f t="shared" si="53"/>
        <v/>
      </c>
    </row>
    <row r="372" spans="1:20" ht="16.5" x14ac:dyDescent="0.25">
      <c r="A372" s="11" t="str">
        <f t="shared" si="48"/>
        <v/>
      </c>
      <c r="B372" s="12" t="str">
        <f>IF($M$1&gt;=I372,VLOOKUP(I372,Iktato!$B$3:$L$10000,5,FALSE),"")</f>
        <v/>
      </c>
      <c r="C372" s="13" t="str">
        <f t="shared" si="49"/>
        <v/>
      </c>
      <c r="D372" s="14" t="str">
        <f>TRIM(IF($M$1&gt;=I372,IF(VLOOKUP(I372,Iktato!$B$3:$L$10000,8,FALSE)&lt;&gt;0,VLOOKUP(I372,Iktato!$B$3:$L$10000,8,FALSE),""),""))</f>
        <v/>
      </c>
      <c r="E372" s="14" t="str">
        <f>TRIM(IF($M$1&gt;=I372,IF(VLOOKUP(I372,Iktato!$B$3:$L$10000,9,FALSE)&lt;&gt;0,VLOOKUP(I372,Iktato!$B$3:$L$10000,9,FALSE),""),""))</f>
        <v/>
      </c>
      <c r="F372" s="43" t="str">
        <f t="shared" si="46"/>
        <v/>
      </c>
      <c r="G372" s="43"/>
      <c r="I372" s="6">
        <f t="shared" si="47"/>
        <v>362</v>
      </c>
      <c r="J372" s="6" t="str">
        <f t="shared" si="50"/>
        <v/>
      </c>
      <c r="K372" s="6" t="str">
        <f>IF($M$1&gt;=I372,VLOOKUP(I372,Iktato!$B$3:$L$10000,3,FALSE),"")</f>
        <v/>
      </c>
      <c r="M372" s="6" t="str">
        <f>IF($M$1&gt;=I372,IF(VLOOKUP(I372,Iktato!$B$3:$P$10000,15,FALSE)&lt;&gt;0,VLOOKUP(I372,Iktato!$B$3:$P$10000,15,FALSE),""),"")</f>
        <v/>
      </c>
      <c r="N372" s="6" t="str">
        <f>IF($M$1&gt;=I372,IF(VLOOKUP(I372,Iktato!$B$3:$Q$10000,16,FALSE)&lt;&gt;0,VLOOKUP(I372,Iktato!$B$3:$Q$10000,16,FALSE),""),"")</f>
        <v/>
      </c>
      <c r="P372" s="6" t="str">
        <f>TRIM(IF($M$1&gt;=I372,IF(VLOOKUP(I372,Iktato!$B$3:$L$10000,6,FALSE)&lt;&gt;0,VLOOKUP(I372,Iktato!$B$3:$L$10000,6,FALSE),""),""))</f>
        <v/>
      </c>
      <c r="Q372" s="8" t="str">
        <f>TRIM(IF($M$1&gt;=I372,IF(VLOOKUP(I372,Iktato!$B$3:$L$10000,7,FALSE)&lt;&gt;0,VLOOKUP(I372,Iktato!$B$3:$L$10000,7,FALSE),""),""))</f>
        <v/>
      </c>
      <c r="R372" s="6" t="str">
        <f t="shared" si="51"/>
        <v/>
      </c>
      <c r="S372" s="6" t="str">
        <f t="shared" si="52"/>
        <v/>
      </c>
      <c r="T372" s="6" t="str">
        <f t="shared" si="53"/>
        <v/>
      </c>
    </row>
    <row r="373" spans="1:20" ht="16.5" x14ac:dyDescent="0.25">
      <c r="A373" s="11" t="str">
        <f t="shared" si="48"/>
        <v/>
      </c>
      <c r="B373" s="12" t="str">
        <f>IF($M$1&gt;=I373,VLOOKUP(I373,Iktato!$B$3:$L$10000,5,FALSE),"")</f>
        <v/>
      </c>
      <c r="C373" s="13" t="str">
        <f t="shared" si="49"/>
        <v/>
      </c>
      <c r="D373" s="14" t="str">
        <f>TRIM(IF($M$1&gt;=I373,IF(VLOOKUP(I373,Iktato!$B$3:$L$10000,8,FALSE)&lt;&gt;0,VLOOKUP(I373,Iktato!$B$3:$L$10000,8,FALSE),""),""))</f>
        <v/>
      </c>
      <c r="E373" s="14" t="str">
        <f>TRIM(IF($M$1&gt;=I373,IF(VLOOKUP(I373,Iktato!$B$3:$L$10000,9,FALSE)&lt;&gt;0,VLOOKUP(I373,Iktato!$B$3:$L$10000,9,FALSE),""),""))</f>
        <v/>
      </c>
      <c r="F373" s="43" t="str">
        <f t="shared" si="46"/>
        <v/>
      </c>
      <c r="G373" s="43"/>
      <c r="I373" s="6">
        <f t="shared" si="47"/>
        <v>363</v>
      </c>
      <c r="J373" s="6" t="str">
        <f t="shared" si="50"/>
        <v/>
      </c>
      <c r="K373" s="6" t="str">
        <f>IF($M$1&gt;=I373,VLOOKUP(I373,Iktato!$B$3:$L$10000,3,FALSE),"")</f>
        <v/>
      </c>
      <c r="M373" s="6" t="str">
        <f>IF($M$1&gt;=I373,IF(VLOOKUP(I373,Iktato!$B$3:$P$10000,15,FALSE)&lt;&gt;0,VLOOKUP(I373,Iktato!$B$3:$P$10000,15,FALSE),""),"")</f>
        <v/>
      </c>
      <c r="N373" s="6" t="str">
        <f>IF($M$1&gt;=I373,IF(VLOOKUP(I373,Iktato!$B$3:$Q$10000,16,FALSE)&lt;&gt;0,VLOOKUP(I373,Iktato!$B$3:$Q$10000,16,FALSE),""),"")</f>
        <v/>
      </c>
      <c r="P373" s="6" t="str">
        <f>TRIM(IF($M$1&gt;=I373,IF(VLOOKUP(I373,Iktato!$B$3:$L$10000,6,FALSE)&lt;&gt;0,VLOOKUP(I373,Iktato!$B$3:$L$10000,6,FALSE),""),""))</f>
        <v/>
      </c>
      <c r="Q373" s="8" t="str">
        <f>TRIM(IF($M$1&gt;=I373,IF(VLOOKUP(I373,Iktato!$B$3:$L$10000,7,FALSE)&lt;&gt;0,VLOOKUP(I373,Iktato!$B$3:$L$10000,7,FALSE),""),""))</f>
        <v/>
      </c>
      <c r="R373" s="6" t="str">
        <f t="shared" si="51"/>
        <v/>
      </c>
      <c r="S373" s="6" t="str">
        <f t="shared" si="52"/>
        <v/>
      </c>
      <c r="T373" s="6" t="str">
        <f t="shared" si="53"/>
        <v/>
      </c>
    </row>
    <row r="374" spans="1:20" ht="16.5" x14ac:dyDescent="0.25">
      <c r="A374" s="11" t="str">
        <f t="shared" si="48"/>
        <v/>
      </c>
      <c r="B374" s="12" t="str">
        <f>IF($M$1&gt;=I374,VLOOKUP(I374,Iktato!$B$3:$L$10000,5,FALSE),"")</f>
        <v/>
      </c>
      <c r="C374" s="13" t="str">
        <f t="shared" si="49"/>
        <v/>
      </c>
      <c r="D374" s="14" t="str">
        <f>TRIM(IF($M$1&gt;=I374,IF(VLOOKUP(I374,Iktato!$B$3:$L$10000,8,FALSE)&lt;&gt;0,VLOOKUP(I374,Iktato!$B$3:$L$10000,8,FALSE),""),""))</f>
        <v/>
      </c>
      <c r="E374" s="14" t="str">
        <f>TRIM(IF($M$1&gt;=I374,IF(VLOOKUP(I374,Iktato!$B$3:$L$10000,9,FALSE)&lt;&gt;0,VLOOKUP(I374,Iktato!$B$3:$L$10000,9,FALSE),""),""))</f>
        <v/>
      </c>
      <c r="F374" s="43" t="str">
        <f t="shared" si="46"/>
        <v/>
      </c>
      <c r="G374" s="43"/>
      <c r="I374" s="6">
        <f t="shared" si="47"/>
        <v>364</v>
      </c>
      <c r="J374" s="6" t="str">
        <f t="shared" si="50"/>
        <v/>
      </c>
      <c r="K374" s="6" t="str">
        <f>IF($M$1&gt;=I374,VLOOKUP(I374,Iktato!$B$3:$L$10000,3,FALSE),"")</f>
        <v/>
      </c>
      <c r="M374" s="6" t="str">
        <f>IF($M$1&gt;=I374,IF(VLOOKUP(I374,Iktato!$B$3:$P$10000,15,FALSE)&lt;&gt;0,VLOOKUP(I374,Iktato!$B$3:$P$10000,15,FALSE),""),"")</f>
        <v/>
      </c>
      <c r="N374" s="6" t="str">
        <f>IF($M$1&gt;=I374,IF(VLOOKUP(I374,Iktato!$B$3:$Q$10000,16,FALSE)&lt;&gt;0,VLOOKUP(I374,Iktato!$B$3:$Q$10000,16,FALSE),""),"")</f>
        <v/>
      </c>
      <c r="P374" s="6" t="str">
        <f>TRIM(IF($M$1&gt;=I374,IF(VLOOKUP(I374,Iktato!$B$3:$L$10000,6,FALSE)&lt;&gt;0,VLOOKUP(I374,Iktato!$B$3:$L$10000,6,FALSE),""),""))</f>
        <v/>
      </c>
      <c r="Q374" s="8" t="str">
        <f>TRIM(IF($M$1&gt;=I374,IF(VLOOKUP(I374,Iktato!$B$3:$L$10000,7,FALSE)&lt;&gt;0,VLOOKUP(I374,Iktato!$B$3:$L$10000,7,FALSE),""),""))</f>
        <v/>
      </c>
      <c r="R374" s="6" t="str">
        <f t="shared" si="51"/>
        <v/>
      </c>
      <c r="S374" s="6" t="str">
        <f t="shared" si="52"/>
        <v/>
      </c>
      <c r="T374" s="6" t="str">
        <f t="shared" si="53"/>
        <v/>
      </c>
    </row>
    <row r="375" spans="1:20" ht="16.5" x14ac:dyDescent="0.25">
      <c r="A375" s="11" t="str">
        <f t="shared" si="48"/>
        <v/>
      </c>
      <c r="B375" s="12" t="str">
        <f>IF($M$1&gt;=I375,VLOOKUP(I375,Iktato!$B$3:$L$10000,5,FALSE),"")</f>
        <v/>
      </c>
      <c r="C375" s="13" t="str">
        <f t="shared" si="49"/>
        <v/>
      </c>
      <c r="D375" s="14" t="str">
        <f>TRIM(IF($M$1&gt;=I375,IF(VLOOKUP(I375,Iktato!$B$3:$L$10000,8,FALSE)&lt;&gt;0,VLOOKUP(I375,Iktato!$B$3:$L$10000,8,FALSE),""),""))</f>
        <v/>
      </c>
      <c r="E375" s="14" t="str">
        <f>TRIM(IF($M$1&gt;=I375,IF(VLOOKUP(I375,Iktato!$B$3:$L$10000,9,FALSE)&lt;&gt;0,VLOOKUP(I375,Iktato!$B$3:$L$10000,9,FALSE),""),""))</f>
        <v/>
      </c>
      <c r="F375" s="43" t="str">
        <f t="shared" si="46"/>
        <v/>
      </c>
      <c r="G375" s="43"/>
      <c r="I375" s="6">
        <f t="shared" si="47"/>
        <v>365</v>
      </c>
      <c r="J375" s="6" t="str">
        <f t="shared" si="50"/>
        <v/>
      </c>
      <c r="K375" s="6" t="str">
        <f>IF($M$1&gt;=I375,VLOOKUP(I375,Iktato!$B$3:$L$10000,3,FALSE),"")</f>
        <v/>
      </c>
      <c r="M375" s="6" t="str">
        <f>IF($M$1&gt;=I375,IF(VLOOKUP(I375,Iktato!$B$3:$P$10000,15,FALSE)&lt;&gt;0,VLOOKUP(I375,Iktato!$B$3:$P$10000,15,FALSE),""),"")</f>
        <v/>
      </c>
      <c r="N375" s="6" t="str">
        <f>IF($M$1&gt;=I375,IF(VLOOKUP(I375,Iktato!$B$3:$Q$10000,16,FALSE)&lt;&gt;0,VLOOKUP(I375,Iktato!$B$3:$Q$10000,16,FALSE),""),"")</f>
        <v/>
      </c>
      <c r="P375" s="6" t="str">
        <f>TRIM(IF($M$1&gt;=I375,IF(VLOOKUP(I375,Iktato!$B$3:$L$10000,6,FALSE)&lt;&gt;0,VLOOKUP(I375,Iktato!$B$3:$L$10000,6,FALSE),""),""))</f>
        <v/>
      </c>
      <c r="Q375" s="8" t="str">
        <f>TRIM(IF($M$1&gt;=I375,IF(VLOOKUP(I375,Iktato!$B$3:$L$10000,7,FALSE)&lt;&gt;0,VLOOKUP(I375,Iktato!$B$3:$L$10000,7,FALSE),""),""))</f>
        <v/>
      </c>
      <c r="R375" s="6" t="str">
        <f t="shared" si="51"/>
        <v/>
      </c>
      <c r="S375" s="6" t="str">
        <f t="shared" si="52"/>
        <v/>
      </c>
      <c r="T375" s="6" t="str">
        <f t="shared" si="53"/>
        <v/>
      </c>
    </row>
    <row r="376" spans="1:20" ht="16.5" x14ac:dyDescent="0.25">
      <c r="A376" s="11" t="str">
        <f t="shared" si="48"/>
        <v/>
      </c>
      <c r="B376" s="12" t="str">
        <f>IF($M$1&gt;=I376,VLOOKUP(I376,Iktato!$B$3:$L$10000,5,FALSE),"")</f>
        <v/>
      </c>
      <c r="C376" s="13" t="str">
        <f t="shared" si="49"/>
        <v/>
      </c>
      <c r="D376" s="14" t="str">
        <f>TRIM(IF($M$1&gt;=I376,IF(VLOOKUP(I376,Iktato!$B$3:$L$10000,8,FALSE)&lt;&gt;0,VLOOKUP(I376,Iktato!$B$3:$L$10000,8,FALSE),""),""))</f>
        <v/>
      </c>
      <c r="E376" s="14" t="str">
        <f>TRIM(IF($M$1&gt;=I376,IF(VLOOKUP(I376,Iktato!$B$3:$L$10000,9,FALSE)&lt;&gt;0,VLOOKUP(I376,Iktato!$B$3:$L$10000,9,FALSE),""),""))</f>
        <v/>
      </c>
      <c r="F376" s="43" t="str">
        <f t="shared" si="46"/>
        <v/>
      </c>
      <c r="G376" s="43"/>
      <c r="I376" s="6">
        <f t="shared" si="47"/>
        <v>366</v>
      </c>
      <c r="J376" s="6" t="str">
        <f t="shared" si="50"/>
        <v/>
      </c>
      <c r="K376" s="6" t="str">
        <f>IF($M$1&gt;=I376,VLOOKUP(I376,Iktato!$B$3:$L$10000,3,FALSE),"")</f>
        <v/>
      </c>
      <c r="M376" s="6" t="str">
        <f>IF($M$1&gt;=I376,IF(VLOOKUP(I376,Iktato!$B$3:$P$10000,15,FALSE)&lt;&gt;0,VLOOKUP(I376,Iktato!$B$3:$P$10000,15,FALSE),""),"")</f>
        <v/>
      </c>
      <c r="N376" s="6" t="str">
        <f>IF($M$1&gt;=I376,IF(VLOOKUP(I376,Iktato!$B$3:$Q$10000,16,FALSE)&lt;&gt;0,VLOOKUP(I376,Iktato!$B$3:$Q$10000,16,FALSE),""),"")</f>
        <v/>
      </c>
      <c r="P376" s="6" t="str">
        <f>TRIM(IF($M$1&gt;=I376,IF(VLOOKUP(I376,Iktato!$B$3:$L$10000,6,FALSE)&lt;&gt;0,VLOOKUP(I376,Iktato!$B$3:$L$10000,6,FALSE),""),""))</f>
        <v/>
      </c>
      <c r="Q376" s="8" t="str">
        <f>TRIM(IF($M$1&gt;=I376,IF(VLOOKUP(I376,Iktato!$B$3:$L$10000,7,FALSE)&lt;&gt;0,VLOOKUP(I376,Iktato!$B$3:$L$10000,7,FALSE),""),""))</f>
        <v/>
      </c>
      <c r="R376" s="6" t="str">
        <f t="shared" si="51"/>
        <v/>
      </c>
      <c r="S376" s="6" t="str">
        <f t="shared" si="52"/>
        <v/>
      </c>
      <c r="T376" s="6" t="str">
        <f t="shared" si="53"/>
        <v/>
      </c>
    </row>
    <row r="377" spans="1:20" ht="16.5" x14ac:dyDescent="0.25">
      <c r="A377" s="11" t="str">
        <f t="shared" si="48"/>
        <v/>
      </c>
      <c r="B377" s="12" t="str">
        <f>IF($M$1&gt;=I377,VLOOKUP(I377,Iktato!$B$3:$L$10000,5,FALSE),"")</f>
        <v/>
      </c>
      <c r="C377" s="13" t="str">
        <f t="shared" si="49"/>
        <v/>
      </c>
      <c r="D377" s="14" t="str">
        <f>TRIM(IF($M$1&gt;=I377,IF(VLOOKUP(I377,Iktato!$B$3:$L$10000,8,FALSE)&lt;&gt;0,VLOOKUP(I377,Iktato!$B$3:$L$10000,8,FALSE),""),""))</f>
        <v/>
      </c>
      <c r="E377" s="14" t="str">
        <f>TRIM(IF($M$1&gt;=I377,IF(VLOOKUP(I377,Iktato!$B$3:$L$10000,9,FALSE)&lt;&gt;0,VLOOKUP(I377,Iktato!$B$3:$L$10000,9,FALSE),""),""))</f>
        <v/>
      </c>
      <c r="F377" s="43" t="str">
        <f t="shared" si="46"/>
        <v/>
      </c>
      <c r="G377" s="43"/>
      <c r="I377" s="6">
        <f t="shared" si="47"/>
        <v>367</v>
      </c>
      <c r="J377" s="6" t="str">
        <f t="shared" si="50"/>
        <v/>
      </c>
      <c r="K377" s="6" t="str">
        <f>IF($M$1&gt;=I377,VLOOKUP(I377,Iktato!$B$3:$L$10000,3,FALSE),"")</f>
        <v/>
      </c>
      <c r="M377" s="6" t="str">
        <f>IF($M$1&gt;=I377,IF(VLOOKUP(I377,Iktato!$B$3:$P$10000,15,FALSE)&lt;&gt;0,VLOOKUP(I377,Iktato!$B$3:$P$10000,15,FALSE),""),"")</f>
        <v/>
      </c>
      <c r="N377" s="6" t="str">
        <f>IF($M$1&gt;=I377,IF(VLOOKUP(I377,Iktato!$B$3:$Q$10000,16,FALSE)&lt;&gt;0,VLOOKUP(I377,Iktato!$B$3:$Q$10000,16,FALSE),""),"")</f>
        <v/>
      </c>
      <c r="P377" s="6" t="str">
        <f>TRIM(IF($M$1&gt;=I377,IF(VLOOKUP(I377,Iktato!$B$3:$L$10000,6,FALSE)&lt;&gt;0,VLOOKUP(I377,Iktato!$B$3:$L$10000,6,FALSE),""),""))</f>
        <v/>
      </c>
      <c r="Q377" s="8" t="str">
        <f>TRIM(IF($M$1&gt;=I377,IF(VLOOKUP(I377,Iktato!$B$3:$L$10000,7,FALSE)&lt;&gt;0,VLOOKUP(I377,Iktato!$B$3:$L$10000,7,FALSE),""),""))</f>
        <v/>
      </c>
      <c r="R377" s="6" t="str">
        <f t="shared" si="51"/>
        <v/>
      </c>
      <c r="S377" s="6" t="str">
        <f t="shared" si="52"/>
        <v/>
      </c>
      <c r="T377" s="6" t="str">
        <f t="shared" si="53"/>
        <v/>
      </c>
    </row>
    <row r="378" spans="1:20" ht="16.5" x14ac:dyDescent="0.25">
      <c r="A378" s="11" t="str">
        <f t="shared" si="48"/>
        <v/>
      </c>
      <c r="B378" s="12" t="str">
        <f>IF($M$1&gt;=I378,VLOOKUP(I378,Iktato!$B$3:$L$10000,5,FALSE),"")</f>
        <v/>
      </c>
      <c r="C378" s="13" t="str">
        <f t="shared" si="49"/>
        <v/>
      </c>
      <c r="D378" s="14" t="str">
        <f>TRIM(IF($M$1&gt;=I378,IF(VLOOKUP(I378,Iktato!$B$3:$L$10000,8,FALSE)&lt;&gt;0,VLOOKUP(I378,Iktato!$B$3:$L$10000,8,FALSE),""),""))</f>
        <v/>
      </c>
      <c r="E378" s="14" t="str">
        <f>TRIM(IF($M$1&gt;=I378,IF(VLOOKUP(I378,Iktato!$B$3:$L$10000,9,FALSE)&lt;&gt;0,VLOOKUP(I378,Iktato!$B$3:$L$10000,9,FALSE),""),""))</f>
        <v/>
      </c>
      <c r="F378" s="43" t="str">
        <f t="shared" si="46"/>
        <v/>
      </c>
      <c r="G378" s="43"/>
      <c r="I378" s="6">
        <f t="shared" si="47"/>
        <v>368</v>
      </c>
      <c r="J378" s="6" t="str">
        <f t="shared" si="50"/>
        <v/>
      </c>
      <c r="K378" s="6" t="str">
        <f>IF($M$1&gt;=I378,VLOOKUP(I378,Iktato!$B$3:$L$10000,3,FALSE),"")</f>
        <v/>
      </c>
      <c r="M378" s="6" t="str">
        <f>IF($M$1&gt;=I378,IF(VLOOKUP(I378,Iktato!$B$3:$P$10000,15,FALSE)&lt;&gt;0,VLOOKUP(I378,Iktato!$B$3:$P$10000,15,FALSE),""),"")</f>
        <v/>
      </c>
      <c r="N378" s="6" t="str">
        <f>IF($M$1&gt;=I378,IF(VLOOKUP(I378,Iktato!$B$3:$Q$10000,16,FALSE)&lt;&gt;0,VLOOKUP(I378,Iktato!$B$3:$Q$10000,16,FALSE),""),"")</f>
        <v/>
      </c>
      <c r="P378" s="6" t="str">
        <f>TRIM(IF($M$1&gt;=I378,IF(VLOOKUP(I378,Iktato!$B$3:$L$10000,6,FALSE)&lt;&gt;0,VLOOKUP(I378,Iktato!$B$3:$L$10000,6,FALSE),""),""))</f>
        <v/>
      </c>
      <c r="Q378" s="8" t="str">
        <f>TRIM(IF($M$1&gt;=I378,IF(VLOOKUP(I378,Iktato!$B$3:$L$10000,7,FALSE)&lt;&gt;0,VLOOKUP(I378,Iktato!$B$3:$L$10000,7,FALSE),""),""))</f>
        <v/>
      </c>
      <c r="R378" s="6" t="str">
        <f t="shared" si="51"/>
        <v/>
      </c>
      <c r="S378" s="6" t="str">
        <f t="shared" si="52"/>
        <v/>
      </c>
      <c r="T378" s="6" t="str">
        <f t="shared" si="53"/>
        <v/>
      </c>
    </row>
    <row r="379" spans="1:20" ht="16.5" x14ac:dyDescent="0.25">
      <c r="A379" s="11" t="str">
        <f t="shared" si="48"/>
        <v/>
      </c>
      <c r="B379" s="12" t="str">
        <f>IF($M$1&gt;=I379,VLOOKUP(I379,Iktato!$B$3:$L$10000,5,FALSE),"")</f>
        <v/>
      </c>
      <c r="C379" s="13" t="str">
        <f t="shared" si="49"/>
        <v/>
      </c>
      <c r="D379" s="14" t="str">
        <f>TRIM(IF($M$1&gt;=I379,IF(VLOOKUP(I379,Iktato!$B$3:$L$10000,8,FALSE)&lt;&gt;0,VLOOKUP(I379,Iktato!$B$3:$L$10000,8,FALSE),""),""))</f>
        <v/>
      </c>
      <c r="E379" s="14" t="str">
        <f>TRIM(IF($M$1&gt;=I379,IF(VLOOKUP(I379,Iktato!$B$3:$L$10000,9,FALSE)&lt;&gt;0,VLOOKUP(I379,Iktato!$B$3:$L$10000,9,FALSE),""),""))</f>
        <v/>
      </c>
      <c r="F379" s="43" t="str">
        <f t="shared" si="46"/>
        <v/>
      </c>
      <c r="G379" s="43"/>
      <c r="I379" s="6">
        <f t="shared" si="47"/>
        <v>369</v>
      </c>
      <c r="J379" s="6" t="str">
        <f t="shared" si="50"/>
        <v/>
      </c>
      <c r="K379" s="6" t="str">
        <f>IF($M$1&gt;=I379,VLOOKUP(I379,Iktato!$B$3:$L$10000,3,FALSE),"")</f>
        <v/>
      </c>
      <c r="M379" s="6" t="str">
        <f>IF($M$1&gt;=I379,IF(VLOOKUP(I379,Iktato!$B$3:$P$10000,15,FALSE)&lt;&gt;0,VLOOKUP(I379,Iktato!$B$3:$P$10000,15,FALSE),""),"")</f>
        <v/>
      </c>
      <c r="N379" s="6" t="str">
        <f>IF($M$1&gt;=I379,IF(VLOOKUP(I379,Iktato!$B$3:$Q$10000,16,FALSE)&lt;&gt;0,VLOOKUP(I379,Iktato!$B$3:$Q$10000,16,FALSE),""),"")</f>
        <v/>
      </c>
      <c r="P379" s="6" t="str">
        <f>TRIM(IF($M$1&gt;=I379,IF(VLOOKUP(I379,Iktato!$B$3:$L$10000,6,FALSE)&lt;&gt;0,VLOOKUP(I379,Iktato!$B$3:$L$10000,6,FALSE),""),""))</f>
        <v/>
      </c>
      <c r="Q379" s="8" t="str">
        <f>TRIM(IF($M$1&gt;=I379,IF(VLOOKUP(I379,Iktato!$B$3:$L$10000,7,FALSE)&lt;&gt;0,VLOOKUP(I379,Iktato!$B$3:$L$10000,7,FALSE),""),""))</f>
        <v/>
      </c>
      <c r="R379" s="6" t="str">
        <f t="shared" si="51"/>
        <v/>
      </c>
      <c r="S379" s="6" t="str">
        <f t="shared" si="52"/>
        <v/>
      </c>
      <c r="T379" s="6" t="str">
        <f t="shared" si="53"/>
        <v/>
      </c>
    </row>
    <row r="380" spans="1:20" ht="16.5" x14ac:dyDescent="0.25">
      <c r="A380" s="11" t="str">
        <f t="shared" si="48"/>
        <v/>
      </c>
      <c r="B380" s="12" t="str">
        <f>IF($M$1&gt;=I380,VLOOKUP(I380,Iktato!$B$3:$L$10000,5,FALSE),"")</f>
        <v/>
      </c>
      <c r="C380" s="13" t="str">
        <f t="shared" si="49"/>
        <v/>
      </c>
      <c r="D380" s="14" t="str">
        <f>TRIM(IF($M$1&gt;=I380,IF(VLOOKUP(I380,Iktato!$B$3:$L$10000,8,FALSE)&lt;&gt;0,VLOOKUP(I380,Iktato!$B$3:$L$10000,8,FALSE),""),""))</f>
        <v/>
      </c>
      <c r="E380" s="14" t="str">
        <f>TRIM(IF($M$1&gt;=I380,IF(VLOOKUP(I380,Iktato!$B$3:$L$10000,9,FALSE)&lt;&gt;0,VLOOKUP(I380,Iktato!$B$3:$L$10000,9,FALSE),""),""))</f>
        <v/>
      </c>
      <c r="F380" s="43" t="str">
        <f t="shared" si="46"/>
        <v/>
      </c>
      <c r="G380" s="43"/>
      <c r="I380" s="6">
        <f t="shared" si="47"/>
        <v>370</v>
      </c>
      <c r="J380" s="6" t="str">
        <f t="shared" si="50"/>
        <v/>
      </c>
      <c r="K380" s="6" t="str">
        <f>IF($M$1&gt;=I380,VLOOKUP(I380,Iktato!$B$3:$L$10000,3,FALSE),"")</f>
        <v/>
      </c>
      <c r="M380" s="6" t="str">
        <f>IF($M$1&gt;=I380,IF(VLOOKUP(I380,Iktato!$B$3:$P$10000,15,FALSE)&lt;&gt;0,VLOOKUP(I380,Iktato!$B$3:$P$10000,15,FALSE),""),"")</f>
        <v/>
      </c>
      <c r="N380" s="6" t="str">
        <f>IF($M$1&gt;=I380,IF(VLOOKUP(I380,Iktato!$B$3:$Q$10000,16,FALSE)&lt;&gt;0,VLOOKUP(I380,Iktato!$B$3:$Q$10000,16,FALSE),""),"")</f>
        <v/>
      </c>
      <c r="P380" s="6" t="str">
        <f>TRIM(IF($M$1&gt;=I380,IF(VLOOKUP(I380,Iktato!$B$3:$L$10000,6,FALSE)&lt;&gt;0,VLOOKUP(I380,Iktato!$B$3:$L$10000,6,FALSE),""),""))</f>
        <v/>
      </c>
      <c r="Q380" s="8" t="str">
        <f>TRIM(IF($M$1&gt;=I380,IF(VLOOKUP(I380,Iktato!$B$3:$L$10000,7,FALSE)&lt;&gt;0,VLOOKUP(I380,Iktato!$B$3:$L$10000,7,FALSE),""),""))</f>
        <v/>
      </c>
      <c r="R380" s="6" t="str">
        <f t="shared" si="51"/>
        <v/>
      </c>
      <c r="S380" s="6" t="str">
        <f t="shared" si="52"/>
        <v/>
      </c>
      <c r="T380" s="6" t="str">
        <f t="shared" si="53"/>
        <v/>
      </c>
    </row>
    <row r="381" spans="1:20" ht="16.5" x14ac:dyDescent="0.25">
      <c r="A381" s="11" t="str">
        <f t="shared" si="48"/>
        <v/>
      </c>
      <c r="B381" s="12" t="str">
        <f>IF($M$1&gt;=I381,VLOOKUP(I381,Iktato!$B$3:$L$10000,5,FALSE),"")</f>
        <v/>
      </c>
      <c r="C381" s="13" t="str">
        <f t="shared" si="49"/>
        <v/>
      </c>
      <c r="D381" s="14" t="str">
        <f>TRIM(IF($M$1&gt;=I381,IF(VLOOKUP(I381,Iktato!$B$3:$L$10000,8,FALSE)&lt;&gt;0,VLOOKUP(I381,Iktato!$B$3:$L$10000,8,FALSE),""),""))</f>
        <v/>
      </c>
      <c r="E381" s="14" t="str">
        <f>TRIM(IF($M$1&gt;=I381,IF(VLOOKUP(I381,Iktato!$B$3:$L$10000,9,FALSE)&lt;&gt;0,VLOOKUP(I381,Iktato!$B$3:$L$10000,9,FALSE),""),""))</f>
        <v/>
      </c>
      <c r="F381" s="43" t="str">
        <f t="shared" si="46"/>
        <v/>
      </c>
      <c r="G381" s="43"/>
      <c r="I381" s="6">
        <f t="shared" si="47"/>
        <v>371</v>
      </c>
      <c r="J381" s="6" t="str">
        <f t="shared" si="50"/>
        <v/>
      </c>
      <c r="K381" s="6" t="str">
        <f>IF($M$1&gt;=I381,VLOOKUP(I381,Iktato!$B$3:$L$10000,3,FALSE),"")</f>
        <v/>
      </c>
      <c r="M381" s="6" t="str">
        <f>IF($M$1&gt;=I381,IF(VLOOKUP(I381,Iktato!$B$3:$P$10000,15,FALSE)&lt;&gt;0,VLOOKUP(I381,Iktato!$B$3:$P$10000,15,FALSE),""),"")</f>
        <v/>
      </c>
      <c r="N381" s="6" t="str">
        <f>IF($M$1&gt;=I381,IF(VLOOKUP(I381,Iktato!$B$3:$Q$10000,16,FALSE)&lt;&gt;0,VLOOKUP(I381,Iktato!$B$3:$Q$10000,16,FALSE),""),"")</f>
        <v/>
      </c>
      <c r="P381" s="6" t="str">
        <f>TRIM(IF($M$1&gt;=I381,IF(VLOOKUP(I381,Iktato!$B$3:$L$10000,6,FALSE)&lt;&gt;0,VLOOKUP(I381,Iktato!$B$3:$L$10000,6,FALSE),""),""))</f>
        <v/>
      </c>
      <c r="Q381" s="8" t="str">
        <f>TRIM(IF($M$1&gt;=I381,IF(VLOOKUP(I381,Iktato!$B$3:$L$10000,7,FALSE)&lt;&gt;0,VLOOKUP(I381,Iktato!$B$3:$L$10000,7,FALSE),""),""))</f>
        <v/>
      </c>
      <c r="R381" s="6" t="str">
        <f t="shared" si="51"/>
        <v/>
      </c>
      <c r="S381" s="6" t="str">
        <f t="shared" si="52"/>
        <v/>
      </c>
      <c r="T381" s="6" t="str">
        <f t="shared" si="53"/>
        <v/>
      </c>
    </row>
    <row r="382" spans="1:20" ht="16.5" x14ac:dyDescent="0.25">
      <c r="A382" s="11" t="str">
        <f t="shared" si="48"/>
        <v/>
      </c>
      <c r="B382" s="12" t="str">
        <f>IF($M$1&gt;=I382,VLOOKUP(I382,Iktato!$B$3:$L$10000,5,FALSE),"")</f>
        <v/>
      </c>
      <c r="C382" s="13" t="str">
        <f t="shared" si="49"/>
        <v/>
      </c>
      <c r="D382" s="14" t="str">
        <f>TRIM(IF($M$1&gt;=I382,IF(VLOOKUP(I382,Iktato!$B$3:$L$10000,8,FALSE)&lt;&gt;0,VLOOKUP(I382,Iktato!$B$3:$L$10000,8,FALSE),""),""))</f>
        <v/>
      </c>
      <c r="E382" s="14" t="str">
        <f>TRIM(IF($M$1&gt;=I382,IF(VLOOKUP(I382,Iktato!$B$3:$L$10000,9,FALSE)&lt;&gt;0,VLOOKUP(I382,Iktato!$B$3:$L$10000,9,FALSE),""),""))</f>
        <v/>
      </c>
      <c r="F382" s="43" t="str">
        <f t="shared" si="46"/>
        <v/>
      </c>
      <c r="G382" s="43"/>
      <c r="I382" s="6">
        <f t="shared" si="47"/>
        <v>372</v>
      </c>
      <c r="J382" s="6" t="str">
        <f t="shared" si="50"/>
        <v/>
      </c>
      <c r="K382" s="6" t="str">
        <f>IF($M$1&gt;=I382,VLOOKUP(I382,Iktato!$B$3:$L$10000,3,FALSE),"")</f>
        <v/>
      </c>
      <c r="M382" s="6" t="str">
        <f>IF($M$1&gt;=I382,IF(VLOOKUP(I382,Iktato!$B$3:$P$10000,15,FALSE)&lt;&gt;0,VLOOKUP(I382,Iktato!$B$3:$P$10000,15,FALSE),""),"")</f>
        <v/>
      </c>
      <c r="N382" s="6" t="str">
        <f>IF($M$1&gt;=I382,IF(VLOOKUP(I382,Iktato!$B$3:$Q$10000,16,FALSE)&lt;&gt;0,VLOOKUP(I382,Iktato!$B$3:$Q$10000,16,FALSE),""),"")</f>
        <v/>
      </c>
      <c r="P382" s="6" t="str">
        <f>TRIM(IF($M$1&gt;=I382,IF(VLOOKUP(I382,Iktato!$B$3:$L$10000,6,FALSE)&lt;&gt;0,VLOOKUP(I382,Iktato!$B$3:$L$10000,6,FALSE),""),""))</f>
        <v/>
      </c>
      <c r="Q382" s="8" t="str">
        <f>TRIM(IF($M$1&gt;=I382,IF(VLOOKUP(I382,Iktato!$B$3:$L$10000,7,FALSE)&lt;&gt;0,VLOOKUP(I382,Iktato!$B$3:$L$10000,7,FALSE),""),""))</f>
        <v/>
      </c>
      <c r="R382" s="6" t="str">
        <f t="shared" si="51"/>
        <v/>
      </c>
      <c r="S382" s="6" t="str">
        <f t="shared" si="52"/>
        <v/>
      </c>
      <c r="T382" s="6" t="str">
        <f t="shared" si="53"/>
        <v/>
      </c>
    </row>
    <row r="383" spans="1:20" ht="16.5" x14ac:dyDescent="0.25">
      <c r="A383" s="11" t="str">
        <f t="shared" si="48"/>
        <v/>
      </c>
      <c r="B383" s="12" t="str">
        <f>IF($M$1&gt;=I383,VLOOKUP(I383,Iktato!$B$3:$L$10000,5,FALSE),"")</f>
        <v/>
      </c>
      <c r="C383" s="13" t="str">
        <f t="shared" si="49"/>
        <v/>
      </c>
      <c r="D383" s="14" t="str">
        <f>TRIM(IF($M$1&gt;=I383,IF(VLOOKUP(I383,Iktato!$B$3:$L$10000,8,FALSE)&lt;&gt;0,VLOOKUP(I383,Iktato!$B$3:$L$10000,8,FALSE),""),""))</f>
        <v/>
      </c>
      <c r="E383" s="14" t="str">
        <f>TRIM(IF($M$1&gt;=I383,IF(VLOOKUP(I383,Iktato!$B$3:$L$10000,9,FALSE)&lt;&gt;0,VLOOKUP(I383,Iktato!$B$3:$L$10000,9,FALSE),""),""))</f>
        <v/>
      </c>
      <c r="F383" s="43" t="str">
        <f t="shared" si="46"/>
        <v/>
      </c>
      <c r="G383" s="43"/>
      <c r="I383" s="6">
        <f t="shared" si="47"/>
        <v>373</v>
      </c>
      <c r="J383" s="6" t="str">
        <f t="shared" si="50"/>
        <v/>
      </c>
      <c r="K383" s="6" t="str">
        <f>IF($M$1&gt;=I383,VLOOKUP(I383,Iktato!$B$3:$L$10000,3,FALSE),"")</f>
        <v/>
      </c>
      <c r="M383" s="6" t="str">
        <f>IF($M$1&gt;=I383,IF(VLOOKUP(I383,Iktato!$B$3:$P$10000,15,FALSE)&lt;&gt;0,VLOOKUP(I383,Iktato!$B$3:$P$10000,15,FALSE),""),"")</f>
        <v/>
      </c>
      <c r="N383" s="6" t="str">
        <f>IF($M$1&gt;=I383,IF(VLOOKUP(I383,Iktato!$B$3:$Q$10000,16,FALSE)&lt;&gt;0,VLOOKUP(I383,Iktato!$B$3:$Q$10000,16,FALSE),""),"")</f>
        <v/>
      </c>
      <c r="P383" s="6" t="str">
        <f>TRIM(IF($M$1&gt;=I383,IF(VLOOKUP(I383,Iktato!$B$3:$L$10000,6,FALSE)&lt;&gt;0,VLOOKUP(I383,Iktato!$B$3:$L$10000,6,FALSE),""),""))</f>
        <v/>
      </c>
      <c r="Q383" s="8" t="str">
        <f>TRIM(IF($M$1&gt;=I383,IF(VLOOKUP(I383,Iktato!$B$3:$L$10000,7,FALSE)&lt;&gt;0,VLOOKUP(I383,Iktato!$B$3:$L$10000,7,FALSE),""),""))</f>
        <v/>
      </c>
      <c r="R383" s="6" t="str">
        <f t="shared" si="51"/>
        <v/>
      </c>
      <c r="S383" s="6" t="str">
        <f t="shared" si="52"/>
        <v/>
      </c>
      <c r="T383" s="6" t="str">
        <f t="shared" si="53"/>
        <v/>
      </c>
    </row>
    <row r="384" spans="1:20" ht="16.5" x14ac:dyDescent="0.25">
      <c r="A384" s="11" t="str">
        <f t="shared" si="48"/>
        <v/>
      </c>
      <c r="B384" s="12" t="str">
        <f>IF($M$1&gt;=I384,VLOOKUP(I384,Iktato!$B$3:$L$10000,5,FALSE),"")</f>
        <v/>
      </c>
      <c r="C384" s="13" t="str">
        <f t="shared" si="49"/>
        <v/>
      </c>
      <c r="D384" s="14" t="str">
        <f>TRIM(IF($M$1&gt;=I384,IF(VLOOKUP(I384,Iktato!$B$3:$L$10000,8,FALSE)&lt;&gt;0,VLOOKUP(I384,Iktato!$B$3:$L$10000,8,FALSE),""),""))</f>
        <v/>
      </c>
      <c r="E384" s="14" t="str">
        <f>TRIM(IF($M$1&gt;=I384,IF(VLOOKUP(I384,Iktato!$B$3:$L$10000,9,FALSE)&lt;&gt;0,VLOOKUP(I384,Iktato!$B$3:$L$10000,9,FALSE),""),""))</f>
        <v/>
      </c>
      <c r="F384" s="43" t="str">
        <f t="shared" si="46"/>
        <v/>
      </c>
      <c r="G384" s="43"/>
      <c r="I384" s="6">
        <f t="shared" si="47"/>
        <v>374</v>
      </c>
      <c r="J384" s="6" t="str">
        <f t="shared" si="50"/>
        <v/>
      </c>
      <c r="K384" s="6" t="str">
        <f>IF($M$1&gt;=I384,VLOOKUP(I384,Iktato!$B$3:$L$10000,3,FALSE),"")</f>
        <v/>
      </c>
      <c r="M384" s="6" t="str">
        <f>IF($M$1&gt;=I384,IF(VLOOKUP(I384,Iktato!$B$3:$P$10000,15,FALSE)&lt;&gt;0,VLOOKUP(I384,Iktato!$B$3:$P$10000,15,FALSE),""),"")</f>
        <v/>
      </c>
      <c r="N384" s="6" t="str">
        <f>IF($M$1&gt;=I384,IF(VLOOKUP(I384,Iktato!$B$3:$Q$10000,16,FALSE)&lt;&gt;0,VLOOKUP(I384,Iktato!$B$3:$Q$10000,16,FALSE),""),"")</f>
        <v/>
      </c>
      <c r="P384" s="6" t="str">
        <f>TRIM(IF($M$1&gt;=I384,IF(VLOOKUP(I384,Iktato!$B$3:$L$10000,6,FALSE)&lt;&gt;0,VLOOKUP(I384,Iktato!$B$3:$L$10000,6,FALSE),""),""))</f>
        <v/>
      </c>
      <c r="Q384" s="8" t="str">
        <f>TRIM(IF($M$1&gt;=I384,IF(VLOOKUP(I384,Iktato!$B$3:$L$10000,7,FALSE)&lt;&gt;0,VLOOKUP(I384,Iktato!$B$3:$L$10000,7,FALSE),""),""))</f>
        <v/>
      </c>
      <c r="R384" s="6" t="str">
        <f t="shared" si="51"/>
        <v/>
      </c>
      <c r="S384" s="6" t="str">
        <f t="shared" si="52"/>
        <v/>
      </c>
      <c r="T384" s="6" t="str">
        <f t="shared" si="53"/>
        <v/>
      </c>
    </row>
    <row r="385" spans="1:20" ht="16.5" x14ac:dyDescent="0.25">
      <c r="A385" s="11" t="str">
        <f t="shared" si="48"/>
        <v/>
      </c>
      <c r="B385" s="12" t="str">
        <f>IF($M$1&gt;=I385,VLOOKUP(I385,Iktato!$B$3:$L$10000,5,FALSE),"")</f>
        <v/>
      </c>
      <c r="C385" s="13" t="str">
        <f t="shared" si="49"/>
        <v/>
      </c>
      <c r="D385" s="14" t="str">
        <f>TRIM(IF($M$1&gt;=I385,IF(VLOOKUP(I385,Iktato!$B$3:$L$10000,8,FALSE)&lt;&gt;0,VLOOKUP(I385,Iktato!$B$3:$L$10000,8,FALSE),""),""))</f>
        <v/>
      </c>
      <c r="E385" s="14" t="str">
        <f>TRIM(IF($M$1&gt;=I385,IF(VLOOKUP(I385,Iktato!$B$3:$L$10000,9,FALSE)&lt;&gt;0,VLOOKUP(I385,Iktato!$B$3:$L$10000,9,FALSE),""),""))</f>
        <v/>
      </c>
      <c r="F385" s="43" t="str">
        <f t="shared" si="46"/>
        <v/>
      </c>
      <c r="G385" s="43"/>
      <c r="I385" s="6">
        <f t="shared" si="47"/>
        <v>375</v>
      </c>
      <c r="J385" s="6" t="str">
        <f t="shared" si="50"/>
        <v/>
      </c>
      <c r="K385" s="6" t="str">
        <f>IF($M$1&gt;=I385,VLOOKUP(I385,Iktato!$B$3:$L$10000,3,FALSE),"")</f>
        <v/>
      </c>
      <c r="M385" s="6" t="str">
        <f>IF($M$1&gt;=I385,IF(VLOOKUP(I385,Iktato!$B$3:$P$10000,15,FALSE)&lt;&gt;0,VLOOKUP(I385,Iktato!$B$3:$P$10000,15,FALSE),""),"")</f>
        <v/>
      </c>
      <c r="N385" s="6" t="str">
        <f>IF($M$1&gt;=I385,IF(VLOOKUP(I385,Iktato!$B$3:$Q$10000,16,FALSE)&lt;&gt;0,VLOOKUP(I385,Iktato!$B$3:$Q$10000,16,FALSE),""),"")</f>
        <v/>
      </c>
      <c r="P385" s="6" t="str">
        <f>TRIM(IF($M$1&gt;=I385,IF(VLOOKUP(I385,Iktato!$B$3:$L$10000,6,FALSE)&lt;&gt;0,VLOOKUP(I385,Iktato!$B$3:$L$10000,6,FALSE),""),""))</f>
        <v/>
      </c>
      <c r="Q385" s="8" t="str">
        <f>TRIM(IF($M$1&gt;=I385,IF(VLOOKUP(I385,Iktato!$B$3:$L$10000,7,FALSE)&lt;&gt;0,VLOOKUP(I385,Iktato!$B$3:$L$10000,7,FALSE),""),""))</f>
        <v/>
      </c>
      <c r="R385" s="6" t="str">
        <f t="shared" si="51"/>
        <v/>
      </c>
      <c r="S385" s="6" t="str">
        <f t="shared" si="52"/>
        <v/>
      </c>
      <c r="T385" s="6" t="str">
        <f t="shared" si="53"/>
        <v/>
      </c>
    </row>
    <row r="386" spans="1:20" ht="16.5" x14ac:dyDescent="0.25">
      <c r="A386" s="11" t="str">
        <f t="shared" si="48"/>
        <v/>
      </c>
      <c r="B386" s="12" t="str">
        <f>IF($M$1&gt;=I386,VLOOKUP(I386,Iktato!$B$3:$L$10000,5,FALSE),"")</f>
        <v/>
      </c>
      <c r="C386" s="13" t="str">
        <f t="shared" si="49"/>
        <v/>
      </c>
      <c r="D386" s="14" t="str">
        <f>TRIM(IF($M$1&gt;=I386,IF(VLOOKUP(I386,Iktato!$B$3:$L$10000,8,FALSE)&lt;&gt;0,VLOOKUP(I386,Iktato!$B$3:$L$10000,8,FALSE),""),""))</f>
        <v/>
      </c>
      <c r="E386" s="14" t="str">
        <f>TRIM(IF($M$1&gt;=I386,IF(VLOOKUP(I386,Iktato!$B$3:$L$10000,9,FALSE)&lt;&gt;0,VLOOKUP(I386,Iktato!$B$3:$L$10000,9,FALSE),""),""))</f>
        <v/>
      </c>
      <c r="F386" s="43" t="str">
        <f t="shared" si="46"/>
        <v/>
      </c>
      <c r="G386" s="43"/>
      <c r="I386" s="6">
        <f t="shared" si="47"/>
        <v>376</v>
      </c>
      <c r="J386" s="6" t="str">
        <f t="shared" si="50"/>
        <v/>
      </c>
      <c r="K386" s="6" t="str">
        <f>IF($M$1&gt;=I386,VLOOKUP(I386,Iktato!$B$3:$L$10000,3,FALSE),"")</f>
        <v/>
      </c>
      <c r="M386" s="6" t="str">
        <f>IF($M$1&gt;=I386,IF(VLOOKUP(I386,Iktato!$B$3:$P$10000,15,FALSE)&lt;&gt;0,VLOOKUP(I386,Iktato!$B$3:$P$10000,15,FALSE),""),"")</f>
        <v/>
      </c>
      <c r="N386" s="6" t="str">
        <f>IF($M$1&gt;=I386,IF(VLOOKUP(I386,Iktato!$B$3:$Q$10000,16,FALSE)&lt;&gt;0,VLOOKUP(I386,Iktato!$B$3:$Q$10000,16,FALSE),""),"")</f>
        <v/>
      </c>
      <c r="P386" s="6" t="str">
        <f>TRIM(IF($M$1&gt;=I386,IF(VLOOKUP(I386,Iktato!$B$3:$L$10000,6,FALSE)&lt;&gt;0,VLOOKUP(I386,Iktato!$B$3:$L$10000,6,FALSE),""),""))</f>
        <v/>
      </c>
      <c r="Q386" s="8" t="str">
        <f>TRIM(IF($M$1&gt;=I386,IF(VLOOKUP(I386,Iktato!$B$3:$L$10000,7,FALSE)&lt;&gt;0,VLOOKUP(I386,Iktato!$B$3:$L$10000,7,FALSE),""),""))</f>
        <v/>
      </c>
      <c r="R386" s="6" t="str">
        <f t="shared" si="51"/>
        <v/>
      </c>
      <c r="S386" s="6" t="str">
        <f t="shared" si="52"/>
        <v/>
      </c>
      <c r="T386" s="6" t="str">
        <f t="shared" si="53"/>
        <v/>
      </c>
    </row>
    <row r="387" spans="1:20" ht="16.5" x14ac:dyDescent="0.25">
      <c r="A387" s="11" t="str">
        <f t="shared" si="48"/>
        <v/>
      </c>
      <c r="B387" s="12" t="str">
        <f>IF($M$1&gt;=I387,VLOOKUP(I387,Iktato!$B$3:$L$10000,5,FALSE),"")</f>
        <v/>
      </c>
      <c r="C387" s="13" t="str">
        <f t="shared" si="49"/>
        <v/>
      </c>
      <c r="D387" s="14" t="str">
        <f>TRIM(IF($M$1&gt;=I387,IF(VLOOKUP(I387,Iktato!$B$3:$L$10000,8,FALSE)&lt;&gt;0,VLOOKUP(I387,Iktato!$B$3:$L$10000,8,FALSE),""),""))</f>
        <v/>
      </c>
      <c r="E387" s="14" t="str">
        <f>TRIM(IF($M$1&gt;=I387,IF(VLOOKUP(I387,Iktato!$B$3:$L$10000,9,FALSE)&lt;&gt;0,VLOOKUP(I387,Iktato!$B$3:$L$10000,9,FALSE),""),""))</f>
        <v/>
      </c>
      <c r="F387" s="43" t="str">
        <f t="shared" si="46"/>
        <v/>
      </c>
      <c r="G387" s="43"/>
      <c r="I387" s="6">
        <f t="shared" si="47"/>
        <v>377</v>
      </c>
      <c r="J387" s="6" t="str">
        <f t="shared" si="50"/>
        <v/>
      </c>
      <c r="K387" s="6" t="str">
        <f>IF($M$1&gt;=I387,VLOOKUP(I387,Iktato!$B$3:$L$10000,3,FALSE),"")</f>
        <v/>
      </c>
      <c r="M387" s="6" t="str">
        <f>IF($M$1&gt;=I387,IF(VLOOKUP(I387,Iktato!$B$3:$P$10000,15,FALSE)&lt;&gt;0,VLOOKUP(I387,Iktato!$B$3:$P$10000,15,FALSE),""),"")</f>
        <v/>
      </c>
      <c r="N387" s="6" t="str">
        <f>IF($M$1&gt;=I387,IF(VLOOKUP(I387,Iktato!$B$3:$Q$10000,16,FALSE)&lt;&gt;0,VLOOKUP(I387,Iktato!$B$3:$Q$10000,16,FALSE),""),"")</f>
        <v/>
      </c>
      <c r="P387" s="6" t="str">
        <f>TRIM(IF($M$1&gt;=I387,IF(VLOOKUP(I387,Iktato!$B$3:$L$10000,6,FALSE)&lt;&gt;0,VLOOKUP(I387,Iktato!$B$3:$L$10000,6,FALSE),""),""))</f>
        <v/>
      </c>
      <c r="Q387" s="8" t="str">
        <f>TRIM(IF($M$1&gt;=I387,IF(VLOOKUP(I387,Iktato!$B$3:$L$10000,7,FALSE)&lt;&gt;0,VLOOKUP(I387,Iktato!$B$3:$L$10000,7,FALSE),""),""))</f>
        <v/>
      </c>
      <c r="R387" s="6" t="str">
        <f t="shared" si="51"/>
        <v/>
      </c>
      <c r="S387" s="6" t="str">
        <f t="shared" si="52"/>
        <v/>
      </c>
      <c r="T387" s="6" t="str">
        <f t="shared" si="53"/>
        <v/>
      </c>
    </row>
    <row r="388" spans="1:20" ht="16.5" x14ac:dyDescent="0.25">
      <c r="A388" s="11" t="str">
        <f t="shared" si="48"/>
        <v/>
      </c>
      <c r="B388" s="12" t="str">
        <f>IF($M$1&gt;=I388,VLOOKUP(I388,Iktato!$B$3:$L$10000,5,FALSE),"")</f>
        <v/>
      </c>
      <c r="C388" s="13" t="str">
        <f t="shared" si="49"/>
        <v/>
      </c>
      <c r="D388" s="14" t="str">
        <f>TRIM(IF($M$1&gt;=I388,IF(VLOOKUP(I388,Iktato!$B$3:$L$10000,8,FALSE)&lt;&gt;0,VLOOKUP(I388,Iktato!$B$3:$L$10000,8,FALSE),""),""))</f>
        <v/>
      </c>
      <c r="E388" s="14" t="str">
        <f>TRIM(IF($M$1&gt;=I388,IF(VLOOKUP(I388,Iktato!$B$3:$L$10000,9,FALSE)&lt;&gt;0,VLOOKUP(I388,Iktato!$B$3:$L$10000,9,FALSE),""),""))</f>
        <v/>
      </c>
      <c r="F388" s="43" t="str">
        <f t="shared" si="46"/>
        <v/>
      </c>
      <c r="G388" s="43"/>
      <c r="I388" s="6">
        <f t="shared" si="47"/>
        <v>378</v>
      </c>
      <c r="J388" s="6" t="str">
        <f t="shared" si="50"/>
        <v/>
      </c>
      <c r="K388" s="6" t="str">
        <f>IF($M$1&gt;=I388,VLOOKUP(I388,Iktato!$B$3:$L$10000,3,FALSE),"")</f>
        <v/>
      </c>
      <c r="M388" s="6" t="str">
        <f>IF($M$1&gt;=I388,IF(VLOOKUP(I388,Iktato!$B$3:$P$10000,15,FALSE)&lt;&gt;0,VLOOKUP(I388,Iktato!$B$3:$P$10000,15,FALSE),""),"")</f>
        <v/>
      </c>
      <c r="N388" s="6" t="str">
        <f>IF($M$1&gt;=I388,IF(VLOOKUP(I388,Iktato!$B$3:$Q$10000,16,FALSE)&lt;&gt;0,VLOOKUP(I388,Iktato!$B$3:$Q$10000,16,FALSE),""),"")</f>
        <v/>
      </c>
      <c r="P388" s="6" t="str">
        <f>TRIM(IF($M$1&gt;=I388,IF(VLOOKUP(I388,Iktato!$B$3:$L$10000,6,FALSE)&lt;&gt;0,VLOOKUP(I388,Iktato!$B$3:$L$10000,6,FALSE),""),""))</f>
        <v/>
      </c>
      <c r="Q388" s="8" t="str">
        <f>TRIM(IF($M$1&gt;=I388,IF(VLOOKUP(I388,Iktato!$B$3:$L$10000,7,FALSE)&lt;&gt;0,VLOOKUP(I388,Iktato!$B$3:$L$10000,7,FALSE),""),""))</f>
        <v/>
      </c>
      <c r="R388" s="6" t="str">
        <f t="shared" si="51"/>
        <v/>
      </c>
      <c r="S388" s="6" t="str">
        <f t="shared" si="52"/>
        <v/>
      </c>
      <c r="T388" s="6" t="str">
        <f t="shared" si="53"/>
        <v/>
      </c>
    </row>
    <row r="389" spans="1:20" ht="16.5" x14ac:dyDescent="0.25">
      <c r="A389" s="11" t="str">
        <f t="shared" si="48"/>
        <v/>
      </c>
      <c r="B389" s="12" t="str">
        <f>IF($M$1&gt;=I389,VLOOKUP(I389,Iktato!$B$3:$L$10000,5,FALSE),"")</f>
        <v/>
      </c>
      <c r="C389" s="13" t="str">
        <f t="shared" si="49"/>
        <v/>
      </c>
      <c r="D389" s="14" t="str">
        <f>TRIM(IF($M$1&gt;=I389,IF(VLOOKUP(I389,Iktato!$B$3:$L$10000,8,FALSE)&lt;&gt;0,VLOOKUP(I389,Iktato!$B$3:$L$10000,8,FALSE),""),""))</f>
        <v/>
      </c>
      <c r="E389" s="14" t="str">
        <f>TRIM(IF($M$1&gt;=I389,IF(VLOOKUP(I389,Iktato!$B$3:$L$10000,9,FALSE)&lt;&gt;0,VLOOKUP(I389,Iktato!$B$3:$L$10000,9,FALSE),""),""))</f>
        <v/>
      </c>
      <c r="F389" s="43" t="str">
        <f t="shared" si="46"/>
        <v/>
      </c>
      <c r="G389" s="43"/>
      <c r="I389" s="6">
        <f t="shared" si="47"/>
        <v>379</v>
      </c>
      <c r="J389" s="6" t="str">
        <f t="shared" si="50"/>
        <v/>
      </c>
      <c r="K389" s="6" t="str">
        <f>IF($M$1&gt;=I389,VLOOKUP(I389,Iktato!$B$3:$L$10000,3,FALSE),"")</f>
        <v/>
      </c>
      <c r="M389" s="6" t="str">
        <f>IF($M$1&gt;=I389,IF(VLOOKUP(I389,Iktato!$B$3:$P$10000,15,FALSE)&lt;&gt;0,VLOOKUP(I389,Iktato!$B$3:$P$10000,15,FALSE),""),"")</f>
        <v/>
      </c>
      <c r="N389" s="6" t="str">
        <f>IF($M$1&gt;=I389,IF(VLOOKUP(I389,Iktato!$B$3:$Q$10000,16,FALSE)&lt;&gt;0,VLOOKUP(I389,Iktato!$B$3:$Q$10000,16,FALSE),""),"")</f>
        <v/>
      </c>
      <c r="P389" s="6" t="str">
        <f>TRIM(IF($M$1&gt;=I389,IF(VLOOKUP(I389,Iktato!$B$3:$L$10000,6,FALSE)&lt;&gt;0,VLOOKUP(I389,Iktato!$B$3:$L$10000,6,FALSE),""),""))</f>
        <v/>
      </c>
      <c r="Q389" s="8" t="str">
        <f>TRIM(IF($M$1&gt;=I389,IF(VLOOKUP(I389,Iktato!$B$3:$L$10000,7,FALSE)&lt;&gt;0,VLOOKUP(I389,Iktato!$B$3:$L$10000,7,FALSE),""),""))</f>
        <v/>
      </c>
      <c r="R389" s="6" t="str">
        <f t="shared" si="51"/>
        <v/>
      </c>
      <c r="S389" s="6" t="str">
        <f t="shared" si="52"/>
        <v/>
      </c>
      <c r="T389" s="6" t="str">
        <f t="shared" si="53"/>
        <v/>
      </c>
    </row>
    <row r="390" spans="1:20" ht="16.5" x14ac:dyDescent="0.25">
      <c r="A390" s="11" t="str">
        <f t="shared" si="48"/>
        <v/>
      </c>
      <c r="B390" s="12" t="str">
        <f>IF($M$1&gt;=I390,VLOOKUP(I390,Iktato!$B$3:$L$10000,5,FALSE),"")</f>
        <v/>
      </c>
      <c r="C390" s="13" t="str">
        <f t="shared" si="49"/>
        <v/>
      </c>
      <c r="D390" s="14" t="str">
        <f>TRIM(IF($M$1&gt;=I390,IF(VLOOKUP(I390,Iktato!$B$3:$L$10000,8,FALSE)&lt;&gt;0,VLOOKUP(I390,Iktato!$B$3:$L$10000,8,FALSE),""),""))</f>
        <v/>
      </c>
      <c r="E390" s="14" t="str">
        <f>TRIM(IF($M$1&gt;=I390,IF(VLOOKUP(I390,Iktato!$B$3:$L$10000,9,FALSE)&lt;&gt;0,VLOOKUP(I390,Iktato!$B$3:$L$10000,9,FALSE),""),""))</f>
        <v/>
      </c>
      <c r="F390" s="43" t="str">
        <f t="shared" si="46"/>
        <v/>
      </c>
      <c r="G390" s="43"/>
      <c r="I390" s="6">
        <f t="shared" si="47"/>
        <v>380</v>
      </c>
      <c r="J390" s="6" t="str">
        <f t="shared" si="50"/>
        <v/>
      </c>
      <c r="K390" s="6" t="str">
        <f>IF($M$1&gt;=I390,VLOOKUP(I390,Iktato!$B$3:$L$10000,3,FALSE),"")</f>
        <v/>
      </c>
      <c r="M390" s="6" t="str">
        <f>IF($M$1&gt;=I390,IF(VLOOKUP(I390,Iktato!$B$3:$P$10000,15,FALSE)&lt;&gt;0,VLOOKUP(I390,Iktato!$B$3:$P$10000,15,FALSE),""),"")</f>
        <v/>
      </c>
      <c r="N390" s="6" t="str">
        <f>IF($M$1&gt;=I390,IF(VLOOKUP(I390,Iktato!$B$3:$Q$10000,16,FALSE)&lt;&gt;0,VLOOKUP(I390,Iktato!$B$3:$Q$10000,16,FALSE),""),"")</f>
        <v/>
      </c>
      <c r="P390" s="6" t="str">
        <f>TRIM(IF($M$1&gt;=I390,IF(VLOOKUP(I390,Iktato!$B$3:$L$10000,6,FALSE)&lt;&gt;0,VLOOKUP(I390,Iktato!$B$3:$L$10000,6,FALSE),""),""))</f>
        <v/>
      </c>
      <c r="Q390" s="8" t="str">
        <f>TRIM(IF($M$1&gt;=I390,IF(VLOOKUP(I390,Iktato!$B$3:$L$10000,7,FALSE)&lt;&gt;0,VLOOKUP(I390,Iktato!$B$3:$L$10000,7,FALSE),""),""))</f>
        <v/>
      </c>
      <c r="R390" s="6" t="str">
        <f t="shared" si="51"/>
        <v/>
      </c>
      <c r="S390" s="6" t="str">
        <f t="shared" si="52"/>
        <v/>
      </c>
      <c r="T390" s="6" t="str">
        <f t="shared" si="53"/>
        <v/>
      </c>
    </row>
    <row r="391" spans="1:20" ht="16.5" x14ac:dyDescent="0.25">
      <c r="A391" s="11" t="str">
        <f t="shared" si="48"/>
        <v/>
      </c>
      <c r="B391" s="12" t="str">
        <f>IF($M$1&gt;=I391,VLOOKUP(I391,Iktato!$B$3:$L$10000,5,FALSE),"")</f>
        <v/>
      </c>
      <c r="C391" s="13" t="str">
        <f t="shared" si="49"/>
        <v/>
      </c>
      <c r="D391" s="14" t="str">
        <f>TRIM(IF($M$1&gt;=I391,IF(VLOOKUP(I391,Iktato!$B$3:$L$10000,8,FALSE)&lt;&gt;0,VLOOKUP(I391,Iktato!$B$3:$L$10000,8,FALSE),""),""))</f>
        <v/>
      </c>
      <c r="E391" s="14" t="str">
        <f>TRIM(IF($M$1&gt;=I391,IF(VLOOKUP(I391,Iktato!$B$3:$L$10000,9,FALSE)&lt;&gt;0,VLOOKUP(I391,Iktato!$B$3:$L$10000,9,FALSE),""),""))</f>
        <v/>
      </c>
      <c r="F391" s="43" t="str">
        <f t="shared" si="46"/>
        <v/>
      </c>
      <c r="G391" s="43"/>
      <c r="I391" s="6">
        <f t="shared" si="47"/>
        <v>381</v>
      </c>
      <c r="J391" s="6" t="str">
        <f t="shared" si="50"/>
        <v/>
      </c>
      <c r="K391" s="6" t="str">
        <f>IF($M$1&gt;=I391,VLOOKUP(I391,Iktato!$B$3:$L$10000,3,FALSE),"")</f>
        <v/>
      </c>
      <c r="M391" s="6" t="str">
        <f>IF($M$1&gt;=I391,IF(VLOOKUP(I391,Iktato!$B$3:$P$10000,15,FALSE)&lt;&gt;0,VLOOKUP(I391,Iktato!$B$3:$P$10000,15,FALSE),""),"")</f>
        <v/>
      </c>
      <c r="N391" s="6" t="str">
        <f>IF($M$1&gt;=I391,IF(VLOOKUP(I391,Iktato!$B$3:$Q$10000,16,FALSE)&lt;&gt;0,VLOOKUP(I391,Iktato!$B$3:$Q$10000,16,FALSE),""),"")</f>
        <v/>
      </c>
      <c r="P391" s="6" t="str">
        <f>TRIM(IF($M$1&gt;=I391,IF(VLOOKUP(I391,Iktato!$B$3:$L$10000,6,FALSE)&lt;&gt;0,VLOOKUP(I391,Iktato!$B$3:$L$10000,6,FALSE),""),""))</f>
        <v/>
      </c>
      <c r="Q391" s="8" t="str">
        <f>TRIM(IF($M$1&gt;=I391,IF(VLOOKUP(I391,Iktato!$B$3:$L$10000,7,FALSE)&lt;&gt;0,VLOOKUP(I391,Iktato!$B$3:$L$10000,7,FALSE),""),""))</f>
        <v/>
      </c>
      <c r="R391" s="6" t="str">
        <f t="shared" si="51"/>
        <v/>
      </c>
      <c r="S391" s="6" t="str">
        <f t="shared" si="52"/>
        <v/>
      </c>
      <c r="T391" s="6" t="str">
        <f t="shared" si="53"/>
        <v/>
      </c>
    </row>
    <row r="392" spans="1:20" ht="16.5" x14ac:dyDescent="0.25">
      <c r="A392" s="11" t="str">
        <f t="shared" si="48"/>
        <v/>
      </c>
      <c r="B392" s="12" t="str">
        <f>IF($M$1&gt;=I392,VLOOKUP(I392,Iktato!$B$3:$L$10000,5,FALSE),"")</f>
        <v/>
      </c>
      <c r="C392" s="13" t="str">
        <f t="shared" si="49"/>
        <v/>
      </c>
      <c r="D392" s="14" t="str">
        <f>TRIM(IF($M$1&gt;=I392,IF(VLOOKUP(I392,Iktato!$B$3:$L$10000,8,FALSE)&lt;&gt;0,VLOOKUP(I392,Iktato!$B$3:$L$10000,8,FALSE),""),""))</f>
        <v/>
      </c>
      <c r="E392" s="14" t="str">
        <f>TRIM(IF($M$1&gt;=I392,IF(VLOOKUP(I392,Iktato!$B$3:$L$10000,9,FALSE)&lt;&gt;0,VLOOKUP(I392,Iktato!$B$3:$L$10000,9,FALSE),""),""))</f>
        <v/>
      </c>
      <c r="F392" s="43" t="str">
        <f t="shared" si="46"/>
        <v/>
      </c>
      <c r="G392" s="43"/>
      <c r="I392" s="6">
        <f t="shared" si="47"/>
        <v>382</v>
      </c>
      <c r="J392" s="6" t="str">
        <f t="shared" si="50"/>
        <v/>
      </c>
      <c r="K392" s="6" t="str">
        <f>IF($M$1&gt;=I392,VLOOKUP(I392,Iktato!$B$3:$L$10000,3,FALSE),"")</f>
        <v/>
      </c>
      <c r="M392" s="6" t="str">
        <f>IF($M$1&gt;=I392,IF(VLOOKUP(I392,Iktato!$B$3:$P$10000,15,FALSE)&lt;&gt;0,VLOOKUP(I392,Iktato!$B$3:$P$10000,15,FALSE),""),"")</f>
        <v/>
      </c>
      <c r="N392" s="6" t="str">
        <f>IF($M$1&gt;=I392,IF(VLOOKUP(I392,Iktato!$B$3:$Q$10000,16,FALSE)&lt;&gt;0,VLOOKUP(I392,Iktato!$B$3:$Q$10000,16,FALSE),""),"")</f>
        <v/>
      </c>
      <c r="P392" s="6" t="str">
        <f>TRIM(IF($M$1&gt;=I392,IF(VLOOKUP(I392,Iktato!$B$3:$L$10000,6,FALSE)&lt;&gt;0,VLOOKUP(I392,Iktato!$B$3:$L$10000,6,FALSE),""),""))</f>
        <v/>
      </c>
      <c r="Q392" s="8" t="str">
        <f>TRIM(IF($M$1&gt;=I392,IF(VLOOKUP(I392,Iktato!$B$3:$L$10000,7,FALSE)&lt;&gt;0,VLOOKUP(I392,Iktato!$B$3:$L$10000,7,FALSE),""),""))</f>
        <v/>
      </c>
      <c r="R392" s="6" t="str">
        <f t="shared" si="51"/>
        <v/>
      </c>
      <c r="S392" s="6" t="str">
        <f t="shared" si="52"/>
        <v/>
      </c>
      <c r="T392" s="6" t="str">
        <f t="shared" si="53"/>
        <v/>
      </c>
    </row>
    <row r="393" spans="1:20" ht="16.5" x14ac:dyDescent="0.25">
      <c r="A393" s="11" t="str">
        <f t="shared" si="48"/>
        <v/>
      </c>
      <c r="B393" s="12" t="str">
        <f>IF($M$1&gt;=I393,VLOOKUP(I393,Iktato!$B$3:$L$10000,5,FALSE),"")</f>
        <v/>
      </c>
      <c r="C393" s="13" t="str">
        <f t="shared" si="49"/>
        <v/>
      </c>
      <c r="D393" s="14" t="str">
        <f>TRIM(IF($M$1&gt;=I393,IF(VLOOKUP(I393,Iktato!$B$3:$L$10000,8,FALSE)&lt;&gt;0,VLOOKUP(I393,Iktato!$B$3:$L$10000,8,FALSE),""),""))</f>
        <v/>
      </c>
      <c r="E393" s="14" t="str">
        <f>TRIM(IF($M$1&gt;=I393,IF(VLOOKUP(I393,Iktato!$B$3:$L$10000,9,FALSE)&lt;&gt;0,VLOOKUP(I393,Iktato!$B$3:$L$10000,9,FALSE),""),""))</f>
        <v/>
      </c>
      <c r="F393" s="43" t="str">
        <f t="shared" si="46"/>
        <v/>
      </c>
      <c r="G393" s="43"/>
      <c r="I393" s="6">
        <f t="shared" si="47"/>
        <v>383</v>
      </c>
      <c r="J393" s="6" t="str">
        <f t="shared" si="50"/>
        <v/>
      </c>
      <c r="K393" s="6" t="str">
        <f>IF($M$1&gt;=I393,VLOOKUP(I393,Iktato!$B$3:$L$10000,3,FALSE),"")</f>
        <v/>
      </c>
      <c r="M393" s="6" t="str">
        <f>IF($M$1&gt;=I393,IF(VLOOKUP(I393,Iktato!$B$3:$P$10000,15,FALSE)&lt;&gt;0,VLOOKUP(I393,Iktato!$B$3:$P$10000,15,FALSE),""),"")</f>
        <v/>
      </c>
      <c r="N393" s="6" t="str">
        <f>IF($M$1&gt;=I393,IF(VLOOKUP(I393,Iktato!$B$3:$Q$10000,16,FALSE)&lt;&gt;0,VLOOKUP(I393,Iktato!$B$3:$Q$10000,16,FALSE),""),"")</f>
        <v/>
      </c>
      <c r="P393" s="6" t="str">
        <f>TRIM(IF($M$1&gt;=I393,IF(VLOOKUP(I393,Iktato!$B$3:$L$10000,6,FALSE)&lt;&gt;0,VLOOKUP(I393,Iktato!$B$3:$L$10000,6,FALSE),""),""))</f>
        <v/>
      </c>
      <c r="Q393" s="8" t="str">
        <f>TRIM(IF($M$1&gt;=I393,IF(VLOOKUP(I393,Iktato!$B$3:$L$10000,7,FALSE)&lt;&gt;0,VLOOKUP(I393,Iktato!$B$3:$L$10000,7,FALSE),""),""))</f>
        <v/>
      </c>
      <c r="R393" s="6" t="str">
        <f t="shared" si="51"/>
        <v/>
      </c>
      <c r="S393" s="6" t="str">
        <f t="shared" si="52"/>
        <v/>
      </c>
      <c r="T393" s="6" t="str">
        <f t="shared" si="53"/>
        <v/>
      </c>
    </row>
    <row r="394" spans="1:20" ht="16.5" x14ac:dyDescent="0.25">
      <c r="A394" s="11" t="str">
        <f t="shared" si="48"/>
        <v/>
      </c>
      <c r="B394" s="12" t="str">
        <f>IF($M$1&gt;=I394,VLOOKUP(I394,Iktato!$B$3:$L$10000,5,FALSE),"")</f>
        <v/>
      </c>
      <c r="C394" s="13" t="str">
        <f t="shared" si="49"/>
        <v/>
      </c>
      <c r="D394" s="14" t="str">
        <f>TRIM(IF($M$1&gt;=I394,IF(VLOOKUP(I394,Iktato!$B$3:$L$10000,8,FALSE)&lt;&gt;0,VLOOKUP(I394,Iktato!$B$3:$L$10000,8,FALSE),""),""))</f>
        <v/>
      </c>
      <c r="E394" s="14" t="str">
        <f>TRIM(IF($M$1&gt;=I394,IF(VLOOKUP(I394,Iktato!$B$3:$L$10000,9,FALSE)&lt;&gt;0,VLOOKUP(I394,Iktato!$B$3:$L$10000,9,FALSE),""),""))</f>
        <v/>
      </c>
      <c r="F394" s="43" t="str">
        <f t="shared" si="46"/>
        <v/>
      </c>
      <c r="G394" s="43"/>
      <c r="I394" s="6">
        <f t="shared" si="47"/>
        <v>384</v>
      </c>
      <c r="J394" s="6" t="str">
        <f t="shared" si="50"/>
        <v/>
      </c>
      <c r="K394" s="6" t="str">
        <f>IF($M$1&gt;=I394,VLOOKUP(I394,Iktato!$B$3:$L$10000,3,FALSE),"")</f>
        <v/>
      </c>
      <c r="M394" s="6" t="str">
        <f>IF($M$1&gt;=I394,IF(VLOOKUP(I394,Iktato!$B$3:$P$10000,15,FALSE)&lt;&gt;0,VLOOKUP(I394,Iktato!$B$3:$P$10000,15,FALSE),""),"")</f>
        <v/>
      </c>
      <c r="N394" s="6" t="str">
        <f>IF($M$1&gt;=I394,IF(VLOOKUP(I394,Iktato!$B$3:$Q$10000,16,FALSE)&lt;&gt;0,VLOOKUP(I394,Iktato!$B$3:$Q$10000,16,FALSE),""),"")</f>
        <v/>
      </c>
      <c r="P394" s="6" t="str">
        <f>TRIM(IF($M$1&gt;=I394,IF(VLOOKUP(I394,Iktato!$B$3:$L$10000,6,FALSE)&lt;&gt;0,VLOOKUP(I394,Iktato!$B$3:$L$10000,6,FALSE),""),""))</f>
        <v/>
      </c>
      <c r="Q394" s="8" t="str">
        <f>TRIM(IF($M$1&gt;=I394,IF(VLOOKUP(I394,Iktato!$B$3:$L$10000,7,FALSE)&lt;&gt;0,VLOOKUP(I394,Iktato!$B$3:$L$10000,7,FALSE),""),""))</f>
        <v/>
      </c>
      <c r="R394" s="6" t="str">
        <f t="shared" si="51"/>
        <v/>
      </c>
      <c r="S394" s="6" t="str">
        <f t="shared" si="52"/>
        <v/>
      </c>
      <c r="T394" s="6" t="str">
        <f t="shared" si="53"/>
        <v/>
      </c>
    </row>
    <row r="395" spans="1:20" ht="16.5" x14ac:dyDescent="0.25">
      <c r="A395" s="11" t="str">
        <f t="shared" si="48"/>
        <v/>
      </c>
      <c r="B395" s="12" t="str">
        <f>IF($M$1&gt;=I395,VLOOKUP(I395,Iktato!$B$3:$L$10000,5,FALSE),"")</f>
        <v/>
      </c>
      <c r="C395" s="13" t="str">
        <f t="shared" si="49"/>
        <v/>
      </c>
      <c r="D395" s="14" t="str">
        <f>TRIM(IF($M$1&gt;=I395,IF(VLOOKUP(I395,Iktato!$B$3:$L$10000,8,FALSE)&lt;&gt;0,VLOOKUP(I395,Iktato!$B$3:$L$10000,8,FALSE),""),""))</f>
        <v/>
      </c>
      <c r="E395" s="14" t="str">
        <f>TRIM(IF($M$1&gt;=I395,IF(VLOOKUP(I395,Iktato!$B$3:$L$10000,9,FALSE)&lt;&gt;0,VLOOKUP(I395,Iktato!$B$3:$L$10000,9,FALSE),""),""))</f>
        <v/>
      </c>
      <c r="F395" s="43" t="str">
        <f t="shared" si="46"/>
        <v/>
      </c>
      <c r="G395" s="43"/>
      <c r="I395" s="6">
        <f t="shared" si="47"/>
        <v>385</v>
      </c>
      <c r="J395" s="6" t="str">
        <f t="shared" si="50"/>
        <v/>
      </c>
      <c r="K395" s="6" t="str">
        <f>IF($M$1&gt;=I395,VLOOKUP(I395,Iktato!$B$3:$L$10000,3,FALSE),"")</f>
        <v/>
      </c>
      <c r="M395" s="6" t="str">
        <f>IF($M$1&gt;=I395,IF(VLOOKUP(I395,Iktato!$B$3:$P$10000,15,FALSE)&lt;&gt;0,VLOOKUP(I395,Iktato!$B$3:$P$10000,15,FALSE),""),"")</f>
        <v/>
      </c>
      <c r="N395" s="6" t="str">
        <f>IF($M$1&gt;=I395,IF(VLOOKUP(I395,Iktato!$B$3:$Q$10000,16,FALSE)&lt;&gt;0,VLOOKUP(I395,Iktato!$B$3:$Q$10000,16,FALSE),""),"")</f>
        <v/>
      </c>
      <c r="P395" s="6" t="str">
        <f>TRIM(IF($M$1&gt;=I395,IF(VLOOKUP(I395,Iktato!$B$3:$L$10000,6,FALSE)&lt;&gt;0,VLOOKUP(I395,Iktato!$B$3:$L$10000,6,FALSE),""),""))</f>
        <v/>
      </c>
      <c r="Q395" s="8" t="str">
        <f>TRIM(IF($M$1&gt;=I395,IF(VLOOKUP(I395,Iktato!$B$3:$L$10000,7,FALSE)&lt;&gt;0,VLOOKUP(I395,Iktato!$B$3:$L$10000,7,FALSE),""),""))</f>
        <v/>
      </c>
      <c r="R395" s="6" t="str">
        <f t="shared" si="51"/>
        <v/>
      </c>
      <c r="S395" s="6" t="str">
        <f t="shared" si="52"/>
        <v/>
      </c>
      <c r="T395" s="6" t="str">
        <f t="shared" si="53"/>
        <v/>
      </c>
    </row>
    <row r="396" spans="1:20" ht="16.5" x14ac:dyDescent="0.25">
      <c r="A396" s="11" t="str">
        <f t="shared" si="48"/>
        <v/>
      </c>
      <c r="B396" s="12" t="str">
        <f>IF($M$1&gt;=I396,VLOOKUP(I396,Iktato!$B$3:$L$10000,5,FALSE),"")</f>
        <v/>
      </c>
      <c r="C396" s="13" t="str">
        <f t="shared" si="49"/>
        <v/>
      </c>
      <c r="D396" s="14" t="str">
        <f>TRIM(IF($M$1&gt;=I396,IF(VLOOKUP(I396,Iktato!$B$3:$L$10000,8,FALSE)&lt;&gt;0,VLOOKUP(I396,Iktato!$B$3:$L$10000,8,FALSE),""),""))</f>
        <v/>
      </c>
      <c r="E396" s="14" t="str">
        <f>TRIM(IF($M$1&gt;=I396,IF(VLOOKUP(I396,Iktato!$B$3:$L$10000,9,FALSE)&lt;&gt;0,VLOOKUP(I396,Iktato!$B$3:$L$10000,9,FALSE),""),""))</f>
        <v/>
      </c>
      <c r="F396" s="43" t="str">
        <f t="shared" ref="F396:F411" si="54">TRIM(IF($M$1&gt;=I396,M396&amp;$M$10&amp;N396,""))</f>
        <v/>
      </c>
      <c r="G396" s="43"/>
      <c r="I396" s="6">
        <f t="shared" ref="I396:I411" si="55">I395+1</f>
        <v>386</v>
      </c>
      <c r="J396" s="6" t="str">
        <f t="shared" si="50"/>
        <v/>
      </c>
      <c r="K396" s="6" t="str">
        <f>IF($M$1&gt;=I396,VLOOKUP(I396,Iktato!$B$3:$L$10000,3,FALSE),"")</f>
        <v/>
      </c>
      <c r="M396" s="6" t="str">
        <f>IF($M$1&gt;=I396,IF(VLOOKUP(I396,Iktato!$B$3:$P$10000,15,FALSE)&lt;&gt;0,VLOOKUP(I396,Iktato!$B$3:$P$10000,15,FALSE),""),"")</f>
        <v/>
      </c>
      <c r="N396" s="6" t="str">
        <f>IF($M$1&gt;=I396,IF(VLOOKUP(I396,Iktato!$B$3:$Q$10000,16,FALSE)&lt;&gt;0,VLOOKUP(I396,Iktato!$B$3:$Q$10000,16,FALSE),""),"")</f>
        <v/>
      </c>
      <c r="P396" s="6" t="str">
        <f>TRIM(IF($M$1&gt;=I396,IF(VLOOKUP(I396,Iktato!$B$3:$L$10000,6,FALSE)&lt;&gt;0,VLOOKUP(I396,Iktato!$B$3:$L$10000,6,FALSE),""),""))</f>
        <v/>
      </c>
      <c r="Q396" s="8" t="str">
        <f>TRIM(IF($M$1&gt;=I396,IF(VLOOKUP(I396,Iktato!$B$3:$L$10000,7,FALSE)&lt;&gt;0,VLOOKUP(I396,Iktato!$B$3:$L$10000,7,FALSE),""),""))</f>
        <v/>
      </c>
      <c r="R396" s="6" t="str">
        <f t="shared" si="51"/>
        <v/>
      </c>
      <c r="S396" s="6" t="str">
        <f t="shared" si="52"/>
        <v/>
      </c>
      <c r="T396" s="6" t="str">
        <f t="shared" si="53"/>
        <v/>
      </c>
    </row>
    <row r="397" spans="1:20" ht="16.5" x14ac:dyDescent="0.25">
      <c r="A397" s="11" t="str">
        <f t="shared" si="48"/>
        <v/>
      </c>
      <c r="B397" s="12" t="str">
        <f>IF($M$1&gt;=I397,VLOOKUP(I397,Iktato!$B$3:$L$10000,5,FALSE),"")</f>
        <v/>
      </c>
      <c r="C397" s="13" t="str">
        <f t="shared" si="49"/>
        <v/>
      </c>
      <c r="D397" s="14" t="str">
        <f>TRIM(IF($M$1&gt;=I397,IF(VLOOKUP(I397,Iktato!$B$3:$L$10000,8,FALSE)&lt;&gt;0,VLOOKUP(I397,Iktato!$B$3:$L$10000,8,FALSE),""),""))</f>
        <v/>
      </c>
      <c r="E397" s="14" t="str">
        <f>TRIM(IF($M$1&gt;=I397,IF(VLOOKUP(I397,Iktato!$B$3:$L$10000,9,FALSE)&lt;&gt;0,VLOOKUP(I397,Iktato!$B$3:$L$10000,9,FALSE),""),""))</f>
        <v/>
      </c>
      <c r="F397" s="43" t="str">
        <f t="shared" si="54"/>
        <v/>
      </c>
      <c r="G397" s="43"/>
      <c r="I397" s="6">
        <f t="shared" si="55"/>
        <v>387</v>
      </c>
      <c r="J397" s="6" t="str">
        <f t="shared" si="50"/>
        <v/>
      </c>
      <c r="K397" s="6" t="str">
        <f>IF($M$1&gt;=I397,VLOOKUP(I397,Iktato!$B$3:$L$10000,3,FALSE),"")</f>
        <v/>
      </c>
      <c r="M397" s="6" t="str">
        <f>IF($M$1&gt;=I397,IF(VLOOKUP(I397,Iktato!$B$3:$P$10000,15,FALSE)&lt;&gt;0,VLOOKUP(I397,Iktato!$B$3:$P$10000,15,FALSE),""),"")</f>
        <v/>
      </c>
      <c r="N397" s="6" t="str">
        <f>IF($M$1&gt;=I397,IF(VLOOKUP(I397,Iktato!$B$3:$Q$10000,16,FALSE)&lt;&gt;0,VLOOKUP(I397,Iktato!$B$3:$Q$10000,16,FALSE),""),"")</f>
        <v/>
      </c>
      <c r="P397" s="6" t="str">
        <f>TRIM(IF($M$1&gt;=I397,IF(VLOOKUP(I397,Iktato!$B$3:$L$10000,6,FALSE)&lt;&gt;0,VLOOKUP(I397,Iktato!$B$3:$L$10000,6,FALSE),""),""))</f>
        <v/>
      </c>
      <c r="Q397" s="8" t="str">
        <f>TRIM(IF($M$1&gt;=I397,IF(VLOOKUP(I397,Iktato!$B$3:$L$10000,7,FALSE)&lt;&gt;0,VLOOKUP(I397,Iktato!$B$3:$L$10000,7,FALSE),""),""))</f>
        <v/>
      </c>
      <c r="R397" s="6" t="str">
        <f t="shared" si="51"/>
        <v/>
      </c>
      <c r="S397" s="6" t="str">
        <f t="shared" si="52"/>
        <v/>
      </c>
      <c r="T397" s="6" t="str">
        <f t="shared" si="53"/>
        <v/>
      </c>
    </row>
    <row r="398" spans="1:20" ht="16.5" x14ac:dyDescent="0.25">
      <c r="A398" s="11" t="str">
        <f t="shared" si="48"/>
        <v/>
      </c>
      <c r="B398" s="12" t="str">
        <f>IF($M$1&gt;=I398,VLOOKUP(I398,Iktato!$B$3:$L$10000,5,FALSE),"")</f>
        <v/>
      </c>
      <c r="C398" s="13" t="str">
        <f t="shared" si="49"/>
        <v/>
      </c>
      <c r="D398" s="14" t="str">
        <f>TRIM(IF($M$1&gt;=I398,IF(VLOOKUP(I398,Iktato!$B$3:$L$10000,8,FALSE)&lt;&gt;0,VLOOKUP(I398,Iktato!$B$3:$L$10000,8,FALSE),""),""))</f>
        <v/>
      </c>
      <c r="E398" s="14" t="str">
        <f>TRIM(IF($M$1&gt;=I398,IF(VLOOKUP(I398,Iktato!$B$3:$L$10000,9,FALSE)&lt;&gt;0,VLOOKUP(I398,Iktato!$B$3:$L$10000,9,FALSE),""),""))</f>
        <v/>
      </c>
      <c r="F398" s="43" t="str">
        <f t="shared" si="54"/>
        <v/>
      </c>
      <c r="G398" s="43"/>
      <c r="I398" s="6">
        <f t="shared" si="55"/>
        <v>388</v>
      </c>
      <c r="J398" s="6" t="str">
        <f t="shared" si="50"/>
        <v/>
      </c>
      <c r="K398" s="6" t="str">
        <f>IF($M$1&gt;=I398,VLOOKUP(I398,Iktato!$B$3:$L$10000,3,FALSE),"")</f>
        <v/>
      </c>
      <c r="M398" s="6" t="str">
        <f>IF($M$1&gt;=I398,IF(VLOOKUP(I398,Iktato!$B$3:$P$10000,15,FALSE)&lt;&gt;0,VLOOKUP(I398,Iktato!$B$3:$P$10000,15,FALSE),""),"")</f>
        <v/>
      </c>
      <c r="N398" s="6" t="str">
        <f>IF($M$1&gt;=I398,IF(VLOOKUP(I398,Iktato!$B$3:$Q$10000,16,FALSE)&lt;&gt;0,VLOOKUP(I398,Iktato!$B$3:$Q$10000,16,FALSE),""),"")</f>
        <v/>
      </c>
      <c r="P398" s="6" t="str">
        <f>TRIM(IF($M$1&gt;=I398,IF(VLOOKUP(I398,Iktato!$B$3:$L$10000,6,FALSE)&lt;&gt;0,VLOOKUP(I398,Iktato!$B$3:$L$10000,6,FALSE),""),""))</f>
        <v/>
      </c>
      <c r="Q398" s="8" t="str">
        <f>TRIM(IF($M$1&gt;=I398,IF(VLOOKUP(I398,Iktato!$B$3:$L$10000,7,FALSE)&lt;&gt;0,VLOOKUP(I398,Iktato!$B$3:$L$10000,7,FALSE),""),""))</f>
        <v/>
      </c>
      <c r="R398" s="6" t="str">
        <f t="shared" si="51"/>
        <v/>
      </c>
      <c r="S398" s="6" t="str">
        <f t="shared" si="52"/>
        <v/>
      </c>
      <c r="T398" s="6" t="str">
        <f t="shared" si="53"/>
        <v/>
      </c>
    </row>
    <row r="399" spans="1:20" ht="16.5" x14ac:dyDescent="0.25">
      <c r="A399" s="11" t="str">
        <f t="shared" si="48"/>
        <v/>
      </c>
      <c r="B399" s="12" t="str">
        <f>IF($M$1&gt;=I399,VLOOKUP(I399,Iktato!$B$3:$L$10000,5,FALSE),"")</f>
        <v/>
      </c>
      <c r="C399" s="13" t="str">
        <f t="shared" si="49"/>
        <v/>
      </c>
      <c r="D399" s="14" t="str">
        <f>TRIM(IF($M$1&gt;=I399,IF(VLOOKUP(I399,Iktato!$B$3:$L$10000,8,FALSE)&lt;&gt;0,VLOOKUP(I399,Iktato!$B$3:$L$10000,8,FALSE),""),""))</f>
        <v/>
      </c>
      <c r="E399" s="14" t="str">
        <f>TRIM(IF($M$1&gt;=I399,IF(VLOOKUP(I399,Iktato!$B$3:$L$10000,9,FALSE)&lt;&gt;0,VLOOKUP(I399,Iktato!$B$3:$L$10000,9,FALSE),""),""))</f>
        <v/>
      </c>
      <c r="F399" s="43" t="str">
        <f t="shared" si="54"/>
        <v/>
      </c>
      <c r="G399" s="43"/>
      <c r="I399" s="6">
        <f t="shared" si="55"/>
        <v>389</v>
      </c>
      <c r="J399" s="6" t="str">
        <f t="shared" si="50"/>
        <v/>
      </c>
      <c r="K399" s="6" t="str">
        <f>IF($M$1&gt;=I399,VLOOKUP(I399,Iktato!$B$3:$L$10000,3,FALSE),"")</f>
        <v/>
      </c>
      <c r="M399" s="6" t="str">
        <f>IF($M$1&gt;=I399,IF(VLOOKUP(I399,Iktato!$B$3:$P$10000,15,FALSE)&lt;&gt;0,VLOOKUP(I399,Iktato!$B$3:$P$10000,15,FALSE),""),"")</f>
        <v/>
      </c>
      <c r="N399" s="6" t="str">
        <f>IF($M$1&gt;=I399,IF(VLOOKUP(I399,Iktato!$B$3:$Q$10000,16,FALSE)&lt;&gt;0,VLOOKUP(I399,Iktato!$B$3:$Q$10000,16,FALSE),""),"")</f>
        <v/>
      </c>
      <c r="P399" s="6" t="str">
        <f>TRIM(IF($M$1&gt;=I399,IF(VLOOKUP(I399,Iktato!$B$3:$L$10000,6,FALSE)&lt;&gt;0,VLOOKUP(I399,Iktato!$B$3:$L$10000,6,FALSE),""),""))</f>
        <v/>
      </c>
      <c r="Q399" s="8" t="str">
        <f>TRIM(IF($M$1&gt;=I399,IF(VLOOKUP(I399,Iktato!$B$3:$L$10000,7,FALSE)&lt;&gt;0,VLOOKUP(I399,Iktato!$B$3:$L$10000,7,FALSE),""),""))</f>
        <v/>
      </c>
      <c r="R399" s="6" t="str">
        <f t="shared" si="51"/>
        <v/>
      </c>
      <c r="S399" s="6" t="str">
        <f t="shared" si="52"/>
        <v/>
      </c>
      <c r="T399" s="6" t="str">
        <f t="shared" si="53"/>
        <v/>
      </c>
    </row>
    <row r="400" spans="1:20" ht="16.5" x14ac:dyDescent="0.25">
      <c r="A400" s="11" t="str">
        <f t="shared" si="48"/>
        <v/>
      </c>
      <c r="B400" s="12" t="str">
        <f>IF($M$1&gt;=I400,VLOOKUP(I400,Iktato!$B$3:$L$10000,5,FALSE),"")</f>
        <v/>
      </c>
      <c r="C400" s="13" t="str">
        <f t="shared" si="49"/>
        <v/>
      </c>
      <c r="D400" s="14" t="str">
        <f>TRIM(IF($M$1&gt;=I400,IF(VLOOKUP(I400,Iktato!$B$3:$L$10000,8,FALSE)&lt;&gt;0,VLOOKUP(I400,Iktato!$B$3:$L$10000,8,FALSE),""),""))</f>
        <v/>
      </c>
      <c r="E400" s="14" t="str">
        <f>TRIM(IF($M$1&gt;=I400,IF(VLOOKUP(I400,Iktato!$B$3:$L$10000,9,FALSE)&lt;&gt;0,VLOOKUP(I400,Iktato!$B$3:$L$10000,9,FALSE),""),""))</f>
        <v/>
      </c>
      <c r="F400" s="43" t="str">
        <f t="shared" si="54"/>
        <v/>
      </c>
      <c r="G400" s="43"/>
      <c r="I400" s="6">
        <f t="shared" si="55"/>
        <v>390</v>
      </c>
      <c r="J400" s="6" t="str">
        <f t="shared" si="50"/>
        <v/>
      </c>
      <c r="K400" s="6" t="str">
        <f>IF($M$1&gt;=I400,VLOOKUP(I400,Iktato!$B$3:$L$10000,3,FALSE),"")</f>
        <v/>
      </c>
      <c r="M400" s="6" t="str">
        <f>IF($M$1&gt;=I400,IF(VLOOKUP(I400,Iktato!$B$3:$P$10000,15,FALSE)&lt;&gt;0,VLOOKUP(I400,Iktato!$B$3:$P$10000,15,FALSE),""),"")</f>
        <v/>
      </c>
      <c r="N400" s="6" t="str">
        <f>IF($M$1&gt;=I400,IF(VLOOKUP(I400,Iktato!$B$3:$Q$10000,16,FALSE)&lt;&gt;0,VLOOKUP(I400,Iktato!$B$3:$Q$10000,16,FALSE),""),"")</f>
        <v/>
      </c>
      <c r="P400" s="6" t="str">
        <f>TRIM(IF($M$1&gt;=I400,IF(VLOOKUP(I400,Iktato!$B$3:$L$10000,6,FALSE)&lt;&gt;0,VLOOKUP(I400,Iktato!$B$3:$L$10000,6,FALSE),""),""))</f>
        <v/>
      </c>
      <c r="Q400" s="8" t="str">
        <f>TRIM(IF($M$1&gt;=I400,IF(VLOOKUP(I400,Iktato!$B$3:$L$10000,7,FALSE)&lt;&gt;0,VLOOKUP(I400,Iktato!$B$3:$L$10000,7,FALSE),""),""))</f>
        <v/>
      </c>
      <c r="R400" s="6" t="str">
        <f t="shared" si="51"/>
        <v/>
      </c>
      <c r="S400" s="6" t="str">
        <f t="shared" si="52"/>
        <v/>
      </c>
      <c r="T400" s="6" t="str">
        <f t="shared" si="53"/>
        <v/>
      </c>
    </row>
    <row r="401" spans="1:20" ht="16.5" x14ac:dyDescent="0.25">
      <c r="A401" s="11" t="str">
        <f t="shared" si="48"/>
        <v/>
      </c>
      <c r="B401" s="12" t="str">
        <f>IF($M$1&gt;=I401,VLOOKUP(I401,Iktato!$B$3:$L$10000,5,FALSE),"")</f>
        <v/>
      </c>
      <c r="C401" s="13" t="str">
        <f t="shared" si="49"/>
        <v/>
      </c>
      <c r="D401" s="14" t="str">
        <f>TRIM(IF($M$1&gt;=I401,IF(VLOOKUP(I401,Iktato!$B$3:$L$10000,8,FALSE)&lt;&gt;0,VLOOKUP(I401,Iktato!$B$3:$L$10000,8,FALSE),""),""))</f>
        <v/>
      </c>
      <c r="E401" s="14" t="str">
        <f>TRIM(IF($M$1&gt;=I401,IF(VLOOKUP(I401,Iktato!$B$3:$L$10000,9,FALSE)&lt;&gt;0,VLOOKUP(I401,Iktato!$B$3:$L$10000,9,FALSE),""),""))</f>
        <v/>
      </c>
      <c r="F401" s="43" t="str">
        <f t="shared" si="54"/>
        <v/>
      </c>
      <c r="G401" s="43"/>
      <c r="I401" s="6">
        <f t="shared" si="55"/>
        <v>391</v>
      </c>
      <c r="J401" s="6" t="str">
        <f t="shared" si="50"/>
        <v/>
      </c>
      <c r="K401" s="6" t="str">
        <f>IF($M$1&gt;=I401,VLOOKUP(I401,Iktato!$B$3:$L$10000,3,FALSE),"")</f>
        <v/>
      </c>
      <c r="M401" s="6" t="str">
        <f>IF($M$1&gt;=I401,IF(VLOOKUP(I401,Iktato!$B$3:$P$10000,15,FALSE)&lt;&gt;0,VLOOKUP(I401,Iktato!$B$3:$P$10000,15,FALSE),""),"")</f>
        <v/>
      </c>
      <c r="N401" s="6" t="str">
        <f>IF($M$1&gt;=I401,IF(VLOOKUP(I401,Iktato!$B$3:$Q$10000,16,FALSE)&lt;&gt;0,VLOOKUP(I401,Iktato!$B$3:$Q$10000,16,FALSE),""),"")</f>
        <v/>
      </c>
      <c r="P401" s="6" t="str">
        <f>TRIM(IF($M$1&gt;=I401,IF(VLOOKUP(I401,Iktato!$B$3:$L$10000,6,FALSE)&lt;&gt;0,VLOOKUP(I401,Iktato!$B$3:$L$10000,6,FALSE),""),""))</f>
        <v/>
      </c>
      <c r="Q401" s="8" t="str">
        <f>TRIM(IF($M$1&gt;=I401,IF(VLOOKUP(I401,Iktato!$B$3:$L$10000,7,FALSE)&lt;&gt;0,VLOOKUP(I401,Iktato!$B$3:$L$10000,7,FALSE),""),""))</f>
        <v/>
      </c>
      <c r="R401" s="6" t="str">
        <f t="shared" si="51"/>
        <v/>
      </c>
      <c r="S401" s="6" t="str">
        <f t="shared" si="52"/>
        <v/>
      </c>
      <c r="T401" s="6" t="str">
        <f t="shared" si="53"/>
        <v/>
      </c>
    </row>
    <row r="402" spans="1:20" ht="16.5" x14ac:dyDescent="0.25">
      <c r="A402" s="11" t="str">
        <f t="shared" si="48"/>
        <v/>
      </c>
      <c r="B402" s="12" t="str">
        <f>IF($M$1&gt;=I402,VLOOKUP(I402,Iktato!$B$3:$L$10000,5,FALSE),"")</f>
        <v/>
      </c>
      <c r="C402" s="13" t="str">
        <f t="shared" si="49"/>
        <v/>
      </c>
      <c r="D402" s="14" t="str">
        <f>TRIM(IF($M$1&gt;=I402,IF(VLOOKUP(I402,Iktato!$B$3:$L$10000,8,FALSE)&lt;&gt;0,VLOOKUP(I402,Iktato!$B$3:$L$10000,8,FALSE),""),""))</f>
        <v/>
      </c>
      <c r="E402" s="14" t="str">
        <f>TRIM(IF($M$1&gt;=I402,IF(VLOOKUP(I402,Iktato!$B$3:$L$10000,9,FALSE)&lt;&gt;0,VLOOKUP(I402,Iktato!$B$3:$L$10000,9,FALSE),""),""))</f>
        <v/>
      </c>
      <c r="F402" s="43" t="str">
        <f t="shared" si="54"/>
        <v/>
      </c>
      <c r="G402" s="43"/>
      <c r="I402" s="6">
        <f t="shared" si="55"/>
        <v>392</v>
      </c>
      <c r="J402" s="6" t="str">
        <f t="shared" si="50"/>
        <v/>
      </c>
      <c r="K402" s="6" t="str">
        <f>IF($M$1&gt;=I402,VLOOKUP(I402,Iktato!$B$3:$L$10000,3,FALSE),"")</f>
        <v/>
      </c>
      <c r="M402" s="6" t="str">
        <f>IF($M$1&gt;=I402,IF(VLOOKUP(I402,Iktato!$B$3:$P$10000,15,FALSE)&lt;&gt;0,VLOOKUP(I402,Iktato!$B$3:$P$10000,15,FALSE),""),"")</f>
        <v/>
      </c>
      <c r="N402" s="6" t="str">
        <f>IF($M$1&gt;=I402,IF(VLOOKUP(I402,Iktato!$B$3:$Q$10000,16,FALSE)&lt;&gt;0,VLOOKUP(I402,Iktato!$B$3:$Q$10000,16,FALSE),""),"")</f>
        <v/>
      </c>
      <c r="P402" s="6" t="str">
        <f>TRIM(IF($M$1&gt;=I402,IF(VLOOKUP(I402,Iktato!$B$3:$L$10000,6,FALSE)&lt;&gt;0,VLOOKUP(I402,Iktato!$B$3:$L$10000,6,FALSE),""),""))</f>
        <v/>
      </c>
      <c r="Q402" s="8" t="str">
        <f>TRIM(IF($M$1&gt;=I402,IF(VLOOKUP(I402,Iktato!$B$3:$L$10000,7,FALSE)&lt;&gt;0,VLOOKUP(I402,Iktato!$B$3:$L$10000,7,FALSE),""),""))</f>
        <v/>
      </c>
      <c r="R402" s="6" t="str">
        <f t="shared" si="51"/>
        <v/>
      </c>
      <c r="S402" s="6" t="str">
        <f t="shared" si="52"/>
        <v/>
      </c>
      <c r="T402" s="6" t="str">
        <f t="shared" si="53"/>
        <v/>
      </c>
    </row>
    <row r="403" spans="1:20" ht="16.5" x14ac:dyDescent="0.25">
      <c r="A403" s="11" t="str">
        <f t="shared" si="48"/>
        <v/>
      </c>
      <c r="B403" s="12" t="str">
        <f>IF($M$1&gt;=I403,VLOOKUP(I403,Iktato!$B$3:$L$10000,5,FALSE),"")</f>
        <v/>
      </c>
      <c r="C403" s="13" t="str">
        <f t="shared" si="49"/>
        <v/>
      </c>
      <c r="D403" s="14" t="str">
        <f>TRIM(IF($M$1&gt;=I403,IF(VLOOKUP(I403,Iktato!$B$3:$L$10000,8,FALSE)&lt;&gt;0,VLOOKUP(I403,Iktato!$B$3:$L$10000,8,FALSE),""),""))</f>
        <v/>
      </c>
      <c r="E403" s="14" t="str">
        <f>TRIM(IF($M$1&gt;=I403,IF(VLOOKUP(I403,Iktato!$B$3:$L$10000,9,FALSE)&lt;&gt;0,VLOOKUP(I403,Iktato!$B$3:$L$10000,9,FALSE),""),""))</f>
        <v/>
      </c>
      <c r="F403" s="43" t="str">
        <f t="shared" si="54"/>
        <v/>
      </c>
      <c r="G403" s="43"/>
      <c r="I403" s="6">
        <f t="shared" si="55"/>
        <v>393</v>
      </c>
      <c r="J403" s="6" t="str">
        <f t="shared" si="50"/>
        <v/>
      </c>
      <c r="K403" s="6" t="str">
        <f>IF($M$1&gt;=I403,VLOOKUP(I403,Iktato!$B$3:$L$10000,3,FALSE),"")</f>
        <v/>
      </c>
      <c r="M403" s="6" t="str">
        <f>IF($M$1&gt;=I403,IF(VLOOKUP(I403,Iktato!$B$3:$P$10000,15,FALSE)&lt;&gt;0,VLOOKUP(I403,Iktato!$B$3:$P$10000,15,FALSE),""),"")</f>
        <v/>
      </c>
      <c r="N403" s="6" t="str">
        <f>IF($M$1&gt;=I403,IF(VLOOKUP(I403,Iktato!$B$3:$Q$10000,16,FALSE)&lt;&gt;0,VLOOKUP(I403,Iktato!$B$3:$Q$10000,16,FALSE),""),"")</f>
        <v/>
      </c>
      <c r="P403" s="6" t="str">
        <f>TRIM(IF($M$1&gt;=I403,IF(VLOOKUP(I403,Iktato!$B$3:$L$10000,6,FALSE)&lt;&gt;0,VLOOKUP(I403,Iktato!$B$3:$L$10000,6,FALSE),""),""))</f>
        <v/>
      </c>
      <c r="Q403" s="8" t="str">
        <f>TRIM(IF($M$1&gt;=I403,IF(VLOOKUP(I403,Iktato!$B$3:$L$10000,7,FALSE)&lt;&gt;0,VLOOKUP(I403,Iktato!$B$3:$L$10000,7,FALSE),""),""))</f>
        <v/>
      </c>
      <c r="R403" s="6" t="str">
        <f t="shared" si="51"/>
        <v/>
      </c>
      <c r="S403" s="6" t="str">
        <f t="shared" si="52"/>
        <v/>
      </c>
      <c r="T403" s="6" t="str">
        <f t="shared" si="53"/>
        <v/>
      </c>
    </row>
    <row r="404" spans="1:20" ht="16.5" x14ac:dyDescent="0.25">
      <c r="A404" s="11" t="str">
        <f t="shared" si="48"/>
        <v/>
      </c>
      <c r="B404" s="12" t="str">
        <f>IF($M$1&gt;=I404,VLOOKUP(I404,Iktato!$B$3:$L$10000,5,FALSE),"")</f>
        <v/>
      </c>
      <c r="C404" s="13" t="str">
        <f t="shared" si="49"/>
        <v/>
      </c>
      <c r="D404" s="14" t="str">
        <f>TRIM(IF($M$1&gt;=I404,IF(VLOOKUP(I404,Iktato!$B$3:$L$10000,8,FALSE)&lt;&gt;0,VLOOKUP(I404,Iktato!$B$3:$L$10000,8,FALSE),""),""))</f>
        <v/>
      </c>
      <c r="E404" s="14" t="str">
        <f>TRIM(IF($M$1&gt;=I404,IF(VLOOKUP(I404,Iktato!$B$3:$L$10000,9,FALSE)&lt;&gt;0,VLOOKUP(I404,Iktato!$B$3:$L$10000,9,FALSE),""),""))</f>
        <v/>
      </c>
      <c r="F404" s="43" t="str">
        <f t="shared" si="54"/>
        <v/>
      </c>
      <c r="G404" s="43"/>
      <c r="I404" s="6">
        <f t="shared" si="55"/>
        <v>394</v>
      </c>
      <c r="J404" s="6" t="str">
        <f t="shared" si="50"/>
        <v/>
      </c>
      <c r="K404" s="6" t="str">
        <f>IF($M$1&gt;=I404,VLOOKUP(I404,Iktato!$B$3:$L$10000,3,FALSE),"")</f>
        <v/>
      </c>
      <c r="M404" s="6" t="str">
        <f>IF($M$1&gt;=I404,IF(VLOOKUP(I404,Iktato!$B$3:$P$10000,15,FALSE)&lt;&gt;0,VLOOKUP(I404,Iktato!$B$3:$P$10000,15,FALSE),""),"")</f>
        <v/>
      </c>
      <c r="N404" s="6" t="str">
        <f>IF($M$1&gt;=I404,IF(VLOOKUP(I404,Iktato!$B$3:$Q$10000,16,FALSE)&lt;&gt;0,VLOOKUP(I404,Iktato!$B$3:$Q$10000,16,FALSE),""),"")</f>
        <v/>
      </c>
      <c r="P404" s="6" t="str">
        <f>TRIM(IF($M$1&gt;=I404,IF(VLOOKUP(I404,Iktato!$B$3:$L$10000,6,FALSE)&lt;&gt;0,VLOOKUP(I404,Iktato!$B$3:$L$10000,6,FALSE),""),""))</f>
        <v/>
      </c>
      <c r="Q404" s="8" t="str">
        <f>TRIM(IF($M$1&gt;=I404,IF(VLOOKUP(I404,Iktato!$B$3:$L$10000,7,FALSE)&lt;&gt;0,VLOOKUP(I404,Iktato!$B$3:$L$10000,7,FALSE),""),""))</f>
        <v/>
      </c>
      <c r="R404" s="6" t="str">
        <f t="shared" si="51"/>
        <v/>
      </c>
      <c r="S404" s="6" t="str">
        <f t="shared" si="52"/>
        <v/>
      </c>
      <c r="T404" s="6" t="str">
        <f t="shared" si="53"/>
        <v/>
      </c>
    </row>
    <row r="405" spans="1:20" ht="16.5" x14ac:dyDescent="0.25">
      <c r="A405" s="11" t="str">
        <f t="shared" si="48"/>
        <v/>
      </c>
      <c r="B405" s="12" t="str">
        <f>IF($M$1&gt;=I405,VLOOKUP(I405,Iktato!$B$3:$L$10000,5,FALSE),"")</f>
        <v/>
      </c>
      <c r="C405" s="13" t="str">
        <f t="shared" si="49"/>
        <v/>
      </c>
      <c r="D405" s="14" t="str">
        <f>TRIM(IF($M$1&gt;=I405,IF(VLOOKUP(I405,Iktato!$B$3:$L$10000,8,FALSE)&lt;&gt;0,VLOOKUP(I405,Iktato!$B$3:$L$10000,8,FALSE),""),""))</f>
        <v/>
      </c>
      <c r="E405" s="14" t="str">
        <f>TRIM(IF($M$1&gt;=I405,IF(VLOOKUP(I405,Iktato!$B$3:$L$10000,9,FALSE)&lt;&gt;0,VLOOKUP(I405,Iktato!$B$3:$L$10000,9,FALSE),""),""))</f>
        <v/>
      </c>
      <c r="F405" s="43" t="str">
        <f t="shared" si="54"/>
        <v/>
      </c>
      <c r="G405" s="43"/>
      <c r="I405" s="6">
        <f t="shared" si="55"/>
        <v>395</v>
      </c>
      <c r="J405" s="6" t="str">
        <f t="shared" si="50"/>
        <v/>
      </c>
      <c r="K405" s="6" t="str">
        <f>IF($M$1&gt;=I405,VLOOKUP(I405,Iktato!$B$3:$L$10000,3,FALSE),"")</f>
        <v/>
      </c>
      <c r="M405" s="6" t="str">
        <f>IF($M$1&gt;=I405,IF(VLOOKUP(I405,Iktato!$B$3:$P$10000,15,FALSE)&lt;&gt;0,VLOOKUP(I405,Iktato!$B$3:$P$10000,15,FALSE),""),"")</f>
        <v/>
      </c>
      <c r="N405" s="6" t="str">
        <f>IF($M$1&gt;=I405,IF(VLOOKUP(I405,Iktato!$B$3:$Q$10000,16,FALSE)&lt;&gt;0,VLOOKUP(I405,Iktato!$B$3:$Q$10000,16,FALSE),""),"")</f>
        <v/>
      </c>
      <c r="P405" s="6" t="str">
        <f>TRIM(IF($M$1&gt;=I405,IF(VLOOKUP(I405,Iktato!$B$3:$L$10000,6,FALSE)&lt;&gt;0,VLOOKUP(I405,Iktato!$B$3:$L$10000,6,FALSE),""),""))</f>
        <v/>
      </c>
      <c r="Q405" s="8" t="str">
        <f>TRIM(IF($M$1&gt;=I405,IF(VLOOKUP(I405,Iktato!$B$3:$L$10000,7,FALSE)&lt;&gt;0,VLOOKUP(I405,Iktato!$B$3:$L$10000,7,FALSE),""),""))</f>
        <v/>
      </c>
      <c r="R405" s="6" t="str">
        <f t="shared" si="51"/>
        <v/>
      </c>
      <c r="S405" s="6" t="str">
        <f t="shared" si="52"/>
        <v/>
      </c>
      <c r="T405" s="6" t="str">
        <f t="shared" si="53"/>
        <v/>
      </c>
    </row>
    <row r="406" spans="1:20" ht="16.5" x14ac:dyDescent="0.25">
      <c r="A406" s="11" t="str">
        <f t="shared" si="48"/>
        <v/>
      </c>
      <c r="B406" s="12" t="str">
        <f>IF($M$1&gt;=I406,VLOOKUP(I406,Iktato!$B$3:$L$10000,5,FALSE),"")</f>
        <v/>
      </c>
      <c r="C406" s="13" t="str">
        <f t="shared" si="49"/>
        <v/>
      </c>
      <c r="D406" s="14" t="str">
        <f>TRIM(IF($M$1&gt;=I406,IF(VLOOKUP(I406,Iktato!$B$3:$L$10000,8,FALSE)&lt;&gt;0,VLOOKUP(I406,Iktato!$B$3:$L$10000,8,FALSE),""),""))</f>
        <v/>
      </c>
      <c r="E406" s="14" t="str">
        <f>TRIM(IF($M$1&gt;=I406,IF(VLOOKUP(I406,Iktato!$B$3:$L$10000,9,FALSE)&lt;&gt;0,VLOOKUP(I406,Iktato!$B$3:$L$10000,9,FALSE),""),""))</f>
        <v/>
      </c>
      <c r="F406" s="43" t="str">
        <f t="shared" si="54"/>
        <v/>
      </c>
      <c r="G406" s="43"/>
      <c r="I406" s="6">
        <f t="shared" si="55"/>
        <v>396</v>
      </c>
      <c r="J406" s="6" t="str">
        <f t="shared" si="50"/>
        <v/>
      </c>
      <c r="K406" s="6" t="str">
        <f>IF($M$1&gt;=I406,VLOOKUP(I406,Iktato!$B$3:$L$10000,3,FALSE),"")</f>
        <v/>
      </c>
      <c r="M406" s="6" t="str">
        <f>IF($M$1&gt;=I406,IF(VLOOKUP(I406,Iktato!$B$3:$P$10000,15,FALSE)&lt;&gt;0,VLOOKUP(I406,Iktato!$B$3:$P$10000,15,FALSE),""),"")</f>
        <v/>
      </c>
      <c r="N406" s="6" t="str">
        <f>IF($M$1&gt;=I406,IF(VLOOKUP(I406,Iktato!$B$3:$Q$10000,16,FALSE)&lt;&gt;0,VLOOKUP(I406,Iktato!$B$3:$Q$10000,16,FALSE),""),"")</f>
        <v/>
      </c>
      <c r="P406" s="6" t="str">
        <f>TRIM(IF($M$1&gt;=I406,IF(VLOOKUP(I406,Iktato!$B$3:$L$10000,6,FALSE)&lt;&gt;0,VLOOKUP(I406,Iktato!$B$3:$L$10000,6,FALSE),""),""))</f>
        <v/>
      </c>
      <c r="Q406" s="8" t="str">
        <f>TRIM(IF($M$1&gt;=I406,IF(VLOOKUP(I406,Iktato!$B$3:$L$10000,7,FALSE)&lt;&gt;0,VLOOKUP(I406,Iktato!$B$3:$L$10000,7,FALSE),""),""))</f>
        <v/>
      </c>
      <c r="R406" s="6" t="str">
        <f t="shared" si="51"/>
        <v/>
      </c>
      <c r="S406" s="6" t="str">
        <f t="shared" si="52"/>
        <v/>
      </c>
      <c r="T406" s="6" t="str">
        <f t="shared" si="53"/>
        <v/>
      </c>
    </row>
    <row r="407" spans="1:20" ht="16.5" x14ac:dyDescent="0.25">
      <c r="A407" s="11" t="str">
        <f t="shared" si="48"/>
        <v/>
      </c>
      <c r="B407" s="12" t="str">
        <f>IF($M$1&gt;=I407,VLOOKUP(I407,Iktato!$B$3:$L$10000,5,FALSE),"")</f>
        <v/>
      </c>
      <c r="C407" s="13" t="str">
        <f t="shared" si="49"/>
        <v/>
      </c>
      <c r="D407" s="14" t="str">
        <f>TRIM(IF($M$1&gt;=I407,IF(VLOOKUP(I407,Iktato!$B$3:$L$10000,8,FALSE)&lt;&gt;0,VLOOKUP(I407,Iktato!$B$3:$L$10000,8,FALSE),""),""))</f>
        <v/>
      </c>
      <c r="E407" s="14" t="str">
        <f>TRIM(IF($M$1&gt;=I407,IF(VLOOKUP(I407,Iktato!$B$3:$L$10000,9,FALSE)&lt;&gt;0,VLOOKUP(I407,Iktato!$B$3:$L$10000,9,FALSE),""),""))</f>
        <v/>
      </c>
      <c r="F407" s="43" t="str">
        <f t="shared" si="54"/>
        <v/>
      </c>
      <c r="G407" s="43"/>
      <c r="I407" s="6">
        <f t="shared" si="55"/>
        <v>397</v>
      </c>
      <c r="J407" s="6" t="str">
        <f t="shared" si="50"/>
        <v/>
      </c>
      <c r="K407" s="6" t="str">
        <f>IF($M$1&gt;=I407,VLOOKUP(I407,Iktato!$B$3:$L$10000,3,FALSE),"")</f>
        <v/>
      </c>
      <c r="M407" s="6" t="str">
        <f>IF($M$1&gt;=I407,IF(VLOOKUP(I407,Iktato!$B$3:$P$10000,15,FALSE)&lt;&gt;0,VLOOKUP(I407,Iktato!$B$3:$P$10000,15,FALSE),""),"")</f>
        <v/>
      </c>
      <c r="N407" s="6" t="str">
        <f>IF($M$1&gt;=I407,IF(VLOOKUP(I407,Iktato!$B$3:$Q$10000,16,FALSE)&lt;&gt;0,VLOOKUP(I407,Iktato!$B$3:$Q$10000,16,FALSE),""),"")</f>
        <v/>
      </c>
      <c r="P407" s="6" t="str">
        <f>TRIM(IF($M$1&gt;=I407,IF(VLOOKUP(I407,Iktato!$B$3:$L$10000,6,FALSE)&lt;&gt;0,VLOOKUP(I407,Iktato!$B$3:$L$10000,6,FALSE),""),""))</f>
        <v/>
      </c>
      <c r="Q407" s="8" t="str">
        <f>TRIM(IF($M$1&gt;=I407,IF(VLOOKUP(I407,Iktato!$B$3:$L$10000,7,FALSE)&lt;&gt;0,VLOOKUP(I407,Iktato!$B$3:$L$10000,7,FALSE),""),""))</f>
        <v/>
      </c>
      <c r="R407" s="6" t="str">
        <f t="shared" si="51"/>
        <v/>
      </c>
      <c r="S407" s="6" t="str">
        <f t="shared" si="52"/>
        <v/>
      </c>
      <c r="T407" s="6" t="str">
        <f t="shared" si="53"/>
        <v/>
      </c>
    </row>
    <row r="408" spans="1:20" ht="16.5" x14ac:dyDescent="0.25">
      <c r="A408" s="11" t="str">
        <f t="shared" si="48"/>
        <v/>
      </c>
      <c r="B408" s="12" t="str">
        <f>IF($M$1&gt;=I408,VLOOKUP(I408,Iktato!$B$3:$L$10000,5,FALSE),"")</f>
        <v/>
      </c>
      <c r="C408" s="13" t="str">
        <f t="shared" si="49"/>
        <v/>
      </c>
      <c r="D408" s="14" t="str">
        <f>TRIM(IF($M$1&gt;=I408,IF(VLOOKUP(I408,Iktato!$B$3:$L$10000,8,FALSE)&lt;&gt;0,VLOOKUP(I408,Iktato!$B$3:$L$10000,8,FALSE),""),""))</f>
        <v/>
      </c>
      <c r="E408" s="14" t="str">
        <f>TRIM(IF($M$1&gt;=I408,IF(VLOOKUP(I408,Iktato!$B$3:$L$10000,9,FALSE)&lt;&gt;0,VLOOKUP(I408,Iktato!$B$3:$L$10000,9,FALSE),""),""))</f>
        <v/>
      </c>
      <c r="F408" s="43" t="str">
        <f t="shared" si="54"/>
        <v/>
      </c>
      <c r="G408" s="43"/>
      <c r="I408" s="6">
        <f t="shared" si="55"/>
        <v>398</v>
      </c>
      <c r="J408" s="6" t="str">
        <f t="shared" si="50"/>
        <v/>
      </c>
      <c r="K408" s="6" t="str">
        <f>IF($M$1&gt;=I408,VLOOKUP(I408,Iktato!$B$3:$L$10000,3,FALSE),"")</f>
        <v/>
      </c>
      <c r="M408" s="6" t="str">
        <f>IF($M$1&gt;=I408,IF(VLOOKUP(I408,Iktato!$B$3:$P$10000,15,FALSE)&lt;&gt;0,VLOOKUP(I408,Iktato!$B$3:$P$10000,15,FALSE),""),"")</f>
        <v/>
      </c>
      <c r="N408" s="6" t="str">
        <f>IF($M$1&gt;=I408,IF(VLOOKUP(I408,Iktato!$B$3:$Q$10000,16,FALSE)&lt;&gt;0,VLOOKUP(I408,Iktato!$B$3:$Q$10000,16,FALSE),""),"")</f>
        <v/>
      </c>
      <c r="P408" s="6" t="str">
        <f>TRIM(IF($M$1&gt;=I408,IF(VLOOKUP(I408,Iktato!$B$3:$L$10000,6,FALSE)&lt;&gt;0,VLOOKUP(I408,Iktato!$B$3:$L$10000,6,FALSE),""),""))</f>
        <v/>
      </c>
      <c r="Q408" s="8" t="str">
        <f>TRIM(IF($M$1&gt;=I408,IF(VLOOKUP(I408,Iktato!$B$3:$L$10000,7,FALSE)&lt;&gt;0,VLOOKUP(I408,Iktato!$B$3:$L$10000,7,FALSE),""),""))</f>
        <v/>
      </c>
      <c r="R408" s="6" t="str">
        <f t="shared" si="51"/>
        <v/>
      </c>
      <c r="S408" s="6" t="str">
        <f t="shared" si="52"/>
        <v/>
      </c>
      <c r="T408" s="6" t="str">
        <f t="shared" si="53"/>
        <v/>
      </c>
    </row>
    <row r="409" spans="1:20" ht="16.5" x14ac:dyDescent="0.25">
      <c r="A409" s="11" t="str">
        <f t="shared" si="48"/>
        <v/>
      </c>
      <c r="B409" s="12" t="str">
        <f>IF($M$1&gt;=I409,VLOOKUP(I409,Iktato!$B$3:$L$10000,5,FALSE),"")</f>
        <v/>
      </c>
      <c r="C409" s="13" t="str">
        <f t="shared" si="49"/>
        <v/>
      </c>
      <c r="D409" s="14" t="str">
        <f>TRIM(IF($M$1&gt;=I409,IF(VLOOKUP(I409,Iktato!$B$3:$L$10000,8,FALSE)&lt;&gt;0,VLOOKUP(I409,Iktato!$B$3:$L$10000,8,FALSE),""),""))</f>
        <v/>
      </c>
      <c r="E409" s="14" t="str">
        <f>TRIM(IF($M$1&gt;=I409,IF(VLOOKUP(I409,Iktato!$B$3:$L$10000,9,FALSE)&lt;&gt;0,VLOOKUP(I409,Iktato!$B$3:$L$10000,9,FALSE),""),""))</f>
        <v/>
      </c>
      <c r="F409" s="43" t="str">
        <f t="shared" si="54"/>
        <v/>
      </c>
      <c r="G409" s="43"/>
      <c r="I409" s="6">
        <f t="shared" si="55"/>
        <v>399</v>
      </c>
      <c r="J409" s="6" t="str">
        <f t="shared" si="50"/>
        <v/>
      </c>
      <c r="K409" s="6" t="str">
        <f>IF($M$1&gt;=I409,VLOOKUP(I409,Iktato!$B$3:$L$10000,3,FALSE),"")</f>
        <v/>
      </c>
      <c r="M409" s="6" t="str">
        <f>IF($M$1&gt;=I409,IF(VLOOKUP(I409,Iktato!$B$3:$P$10000,15,FALSE)&lt;&gt;0,VLOOKUP(I409,Iktato!$B$3:$P$10000,15,FALSE),""),"")</f>
        <v/>
      </c>
      <c r="N409" s="6" t="str">
        <f>IF($M$1&gt;=I409,IF(VLOOKUP(I409,Iktato!$B$3:$Q$10000,16,FALSE)&lt;&gt;0,VLOOKUP(I409,Iktato!$B$3:$Q$10000,16,FALSE),""),"")</f>
        <v/>
      </c>
      <c r="P409" s="6" t="str">
        <f>TRIM(IF($M$1&gt;=I409,IF(VLOOKUP(I409,Iktato!$B$3:$L$10000,6,FALSE)&lt;&gt;0,VLOOKUP(I409,Iktato!$B$3:$L$10000,6,FALSE),""),""))</f>
        <v/>
      </c>
      <c r="Q409" s="8" t="str">
        <f>TRIM(IF($M$1&gt;=I409,IF(VLOOKUP(I409,Iktato!$B$3:$L$10000,7,FALSE)&lt;&gt;0,VLOOKUP(I409,Iktato!$B$3:$L$10000,7,FALSE),""),""))</f>
        <v/>
      </c>
      <c r="R409" s="6" t="str">
        <f t="shared" si="51"/>
        <v/>
      </c>
      <c r="S409" s="6" t="str">
        <f t="shared" si="52"/>
        <v/>
      </c>
      <c r="T409" s="6" t="str">
        <f t="shared" si="53"/>
        <v/>
      </c>
    </row>
    <row r="410" spans="1:20" ht="16.5" x14ac:dyDescent="0.25">
      <c r="A410" s="11" t="str">
        <f t="shared" si="48"/>
        <v/>
      </c>
      <c r="B410" s="12" t="str">
        <f>IF($M$1&gt;=I410,VLOOKUP(I410,Iktato!$B$3:$L$10000,5,FALSE),"")</f>
        <v/>
      </c>
      <c r="C410" s="13" t="str">
        <f t="shared" si="49"/>
        <v/>
      </c>
      <c r="D410" s="14" t="str">
        <f>TRIM(IF($M$1&gt;=I410,IF(VLOOKUP(I410,Iktato!$B$3:$L$10000,8,FALSE)&lt;&gt;0,VLOOKUP(I410,Iktato!$B$3:$L$10000,8,FALSE),""),""))</f>
        <v/>
      </c>
      <c r="E410" s="14" t="str">
        <f>TRIM(IF($M$1&gt;=I410,IF(VLOOKUP(I410,Iktato!$B$3:$L$10000,9,FALSE)&lt;&gt;0,VLOOKUP(I410,Iktato!$B$3:$L$10000,9,FALSE),""),""))</f>
        <v/>
      </c>
      <c r="F410" s="43" t="str">
        <f t="shared" si="54"/>
        <v/>
      </c>
      <c r="G410" s="43"/>
      <c r="I410" s="6">
        <f t="shared" si="55"/>
        <v>400</v>
      </c>
      <c r="J410" s="6" t="str">
        <f t="shared" si="50"/>
        <v/>
      </c>
      <c r="K410" s="6" t="str">
        <f>IF($M$1&gt;=I410,VLOOKUP(I410,Iktato!$B$3:$L$10000,3,FALSE),"")</f>
        <v/>
      </c>
      <c r="M410" s="6" t="str">
        <f>IF($M$1&gt;=I410,IF(VLOOKUP(I410,Iktato!$B$3:$P$10000,15,FALSE)&lt;&gt;0,VLOOKUP(I410,Iktato!$B$3:$P$10000,15,FALSE),""),"")</f>
        <v/>
      </c>
      <c r="N410" s="6" t="str">
        <f>IF($M$1&gt;=I410,IF(VLOOKUP(I410,Iktato!$B$3:$Q$10000,16,FALSE)&lt;&gt;0,VLOOKUP(I410,Iktato!$B$3:$Q$10000,16,FALSE),""),"")</f>
        <v/>
      </c>
      <c r="P410" s="6" t="str">
        <f>TRIM(IF($M$1&gt;=I410,IF(VLOOKUP(I410,Iktato!$B$3:$L$10000,6,FALSE)&lt;&gt;0,VLOOKUP(I410,Iktato!$B$3:$L$10000,6,FALSE),""),""))</f>
        <v/>
      </c>
      <c r="Q410" s="8" t="str">
        <f>TRIM(IF($M$1&gt;=I410,IF(VLOOKUP(I410,Iktato!$B$3:$L$10000,7,FALSE)&lt;&gt;0,VLOOKUP(I410,Iktato!$B$3:$L$10000,7,FALSE),""),""))</f>
        <v/>
      </c>
      <c r="R410" s="6" t="str">
        <f t="shared" si="51"/>
        <v/>
      </c>
      <c r="S410" s="6" t="str">
        <f t="shared" si="52"/>
        <v/>
      </c>
      <c r="T410" s="6" t="str">
        <f t="shared" si="53"/>
        <v/>
      </c>
    </row>
    <row r="411" spans="1:20" ht="16.5" x14ac:dyDescent="0.25">
      <c r="A411" s="11" t="str">
        <f t="shared" si="48"/>
        <v/>
      </c>
      <c r="B411" s="12" t="str">
        <f>IF($M$1&gt;=I411,VLOOKUP(I411,Iktato!$B$3:$L$10000,5,FALSE),"")</f>
        <v/>
      </c>
      <c r="C411" s="13" t="str">
        <f t="shared" si="49"/>
        <v/>
      </c>
      <c r="D411" s="14" t="str">
        <f>TRIM(IF($M$1&gt;=I411,IF(VLOOKUP(I411,Iktato!$B$3:$L$10000,8,FALSE)&lt;&gt;0,VLOOKUP(I411,Iktato!$B$3:$L$10000,8,FALSE),""),""))</f>
        <v/>
      </c>
      <c r="E411" s="14" t="str">
        <f>TRIM(IF($M$1&gt;=I411,IF(VLOOKUP(I411,Iktato!$B$3:$L$10000,9,FALSE)&lt;&gt;0,VLOOKUP(I411,Iktato!$B$3:$L$10000,9,FALSE),""),""))</f>
        <v/>
      </c>
      <c r="F411" s="43" t="str">
        <f t="shared" si="54"/>
        <v/>
      </c>
      <c r="G411" s="43"/>
      <c r="I411" s="6">
        <f t="shared" si="55"/>
        <v>401</v>
      </c>
      <c r="J411" s="6" t="str">
        <f t="shared" si="50"/>
        <v/>
      </c>
      <c r="K411" s="6" t="str">
        <f>IF($M$1&gt;=I411,VLOOKUP(I411,Iktato!$B$3:$L$10000,3,FALSE),"")</f>
        <v/>
      </c>
      <c r="M411" s="6" t="str">
        <f>IF($M$1&gt;=I411,IF(VLOOKUP(I411,Iktato!$B$3:$P$10000,15,FALSE)&lt;&gt;0,VLOOKUP(I411,Iktato!$B$3:$P$10000,15,FALSE),""),"")</f>
        <v/>
      </c>
      <c r="N411" s="6" t="str">
        <f>IF($M$1&gt;=I411,IF(VLOOKUP(I411,Iktato!$B$3:$Q$10000,16,FALSE)&lt;&gt;0,VLOOKUP(I411,Iktato!$B$3:$Q$10000,16,FALSE),""),"")</f>
        <v/>
      </c>
      <c r="P411" s="6" t="str">
        <f>TRIM(IF($M$1&gt;=I411,IF(VLOOKUP(I411,Iktato!$B$3:$L$10000,6,FALSE)&lt;&gt;0,VLOOKUP(I411,Iktato!$B$3:$L$10000,6,FALSE),""),""))</f>
        <v/>
      </c>
      <c r="Q411" s="8" t="str">
        <f>TRIM(IF($M$1&gt;=I411,IF(VLOOKUP(I411,Iktato!$B$3:$L$10000,7,FALSE)&lt;&gt;0,VLOOKUP(I411,Iktato!$B$3:$L$10000,7,FALSE),""),""))</f>
        <v/>
      </c>
      <c r="R411" s="6" t="str">
        <f t="shared" si="51"/>
        <v/>
      </c>
      <c r="S411" s="6" t="str">
        <f t="shared" si="52"/>
        <v/>
      </c>
      <c r="T411" s="6" t="str">
        <f t="shared" si="53"/>
        <v/>
      </c>
    </row>
  </sheetData>
  <sheetProtection algorithmName="SHA-512" hashValue="XNSe0irpkf0/UHvijnFJLLQvtbjLrzlXqUKfsmcG6hSznjy26P3CmNVTZtmqHczA18j0C/dwH6vZ0vYMKCCFBA==" saltValue="e9Pn5uo4grvmHeYeY/3EIg==" spinCount="100000" sheet="1" formatRows="0"/>
  <mergeCells count="6">
    <mergeCell ref="A6:F6"/>
    <mergeCell ref="A7:F7"/>
    <mergeCell ref="A8:F8"/>
    <mergeCell ref="D1:E1"/>
    <mergeCell ref="D2:E2"/>
    <mergeCell ref="A1:C4"/>
  </mergeCells>
  <conditionalFormatting sqref="A11:F411">
    <cfRule type="expression" dxfId="3" priority="1" stopIfTrue="1">
      <formula>IF($A11&lt;&gt;"",TRUE,FALSE)</formula>
    </cfRule>
  </conditionalFormatting>
  <conditionalFormatting sqref="F2">
    <cfRule type="expression" dxfId="2" priority="9" stopIfTrue="1">
      <formula>IF(M2&lt;=1,TRUE,FALSE)</formula>
    </cfRule>
    <cfRule type="expression" dxfId="1" priority="10" stopIfTrue="1">
      <formula>IF(M2&lt;F2,TRUE,FALSE)</formula>
    </cfRule>
    <cfRule type="expression" dxfId="0" priority="11" stopIfTrue="1">
      <formula>IF(M2&gt;1,TRUE,FALSE)</formula>
    </cfRule>
  </conditionalFormatting>
  <dataValidations count="2">
    <dataValidation type="whole" allowBlank="1" showInputMessage="1" showErrorMessage="1" errorTitle="HIBA" error="Ide csak évszámot lehet beírni._x000a_Pl &quot;2014&quot; - idézőjel nélkül" sqref="F1" xr:uid="{00000000-0002-0000-0200-000000000000}">
      <formula1>2024</formula1>
      <formula2>2050</formula2>
    </dataValidation>
    <dataValidation type="whole" allowBlank="1" showInputMessage="1" showErrorMessage="1" sqref="F2" xr:uid="{00000000-0002-0000-0200-000001000000}">
      <formula1>1</formula1>
      <formula2>M2</formula2>
    </dataValidation>
  </dataValidations>
  <pageMargins left="0.55118110236220474" right="0.23622047244094491" top="0.55118110236220474" bottom="0.59055118110236227" header="0.31496062992125984" footer="0.19685039370078741"/>
  <pageSetup paperSize="9" scale="90" orientation="portrait" r:id="rId1"/>
  <headerFooter>
    <oddFooter>&amp;LKészítette:&amp;R&amp;P&amp;. oldal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84C5-35D8-4C30-A42A-87DF07CE970A}">
  <dimension ref="A1:H62"/>
  <sheetViews>
    <sheetView showGridLines="0" showRowColHeader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4" sqref="D4"/>
    </sheetView>
  </sheetViews>
  <sheetFormatPr defaultColWidth="0" defaultRowHeight="18.75" x14ac:dyDescent="0.3"/>
  <cols>
    <col min="1" max="1" width="8.7109375" style="48" customWidth="1"/>
    <col min="2" max="2" width="7" style="48" customWidth="1"/>
    <col min="3" max="3" width="8.28515625" style="48" bestFit="1" customWidth="1"/>
    <col min="4" max="4" width="90.140625" style="48" customWidth="1"/>
    <col min="5" max="5" width="6.85546875" style="48" bestFit="1" customWidth="1"/>
    <col min="6" max="6" width="5.42578125" style="48" customWidth="1"/>
    <col min="7" max="7" width="46.42578125" style="48" customWidth="1"/>
    <col min="8" max="8" width="8.7109375" style="48" customWidth="1"/>
    <col min="9" max="16384" width="8.7109375" style="48" hidden="1"/>
  </cols>
  <sheetData>
    <row r="1" spans="1:8" ht="61.5" customHeight="1" x14ac:dyDescent="0.3">
      <c r="B1" s="116" t="s">
        <v>166</v>
      </c>
      <c r="C1" s="116"/>
      <c r="D1" s="116"/>
      <c r="E1" s="116"/>
      <c r="F1" s="49"/>
      <c r="G1" s="69" t="s">
        <v>168</v>
      </c>
    </row>
    <row r="2" spans="1:8" ht="10.5" customHeight="1" x14ac:dyDescent="0.3">
      <c r="B2" s="50"/>
      <c r="C2" s="50"/>
      <c r="D2" s="50"/>
      <c r="E2" s="50"/>
      <c r="F2" s="50"/>
    </row>
    <row r="3" spans="1:8" x14ac:dyDescent="0.3">
      <c r="B3" s="117" t="s">
        <v>88</v>
      </c>
      <c r="C3" s="118"/>
      <c r="D3" s="51" t="s">
        <v>89</v>
      </c>
      <c r="E3" s="51" t="s">
        <v>90</v>
      </c>
      <c r="F3" s="51"/>
      <c r="G3" s="51" t="s">
        <v>91</v>
      </c>
    </row>
    <row r="4" spans="1:8" s="55" customFormat="1" ht="37.5" x14ac:dyDescent="0.3">
      <c r="A4" s="48"/>
      <c r="B4" s="70">
        <v>1</v>
      </c>
      <c r="C4" s="71"/>
      <c r="D4" s="53" t="s">
        <v>65</v>
      </c>
      <c r="E4" s="52" t="s">
        <v>92</v>
      </c>
      <c r="F4" s="52"/>
      <c r="G4" s="54" t="s">
        <v>47</v>
      </c>
      <c r="H4" s="48"/>
    </row>
    <row r="5" spans="1:8" s="55" customFormat="1" ht="38.25" customHeight="1" x14ac:dyDescent="0.3">
      <c r="A5" s="48"/>
      <c r="B5" s="70">
        <v>2</v>
      </c>
      <c r="C5" s="71"/>
      <c r="D5" s="53" t="s">
        <v>66</v>
      </c>
      <c r="E5" s="52" t="s">
        <v>93</v>
      </c>
      <c r="F5" s="52"/>
      <c r="G5" s="54" t="s">
        <v>48</v>
      </c>
      <c r="H5" s="48"/>
    </row>
    <row r="6" spans="1:8" s="55" customFormat="1" x14ac:dyDescent="0.3">
      <c r="A6" s="48"/>
      <c r="B6" s="72">
        <v>3</v>
      </c>
      <c r="C6" s="64"/>
      <c r="D6" s="56" t="s">
        <v>42</v>
      </c>
      <c r="E6" s="56" t="s">
        <v>93</v>
      </c>
      <c r="F6" s="56"/>
      <c r="G6" s="57" t="s">
        <v>42</v>
      </c>
      <c r="H6" s="48"/>
    </row>
    <row r="7" spans="1:8" s="55" customFormat="1" x14ac:dyDescent="0.3">
      <c r="A7" s="48"/>
      <c r="B7" s="72">
        <v>4</v>
      </c>
      <c r="C7" s="64"/>
      <c r="D7" s="56" t="s">
        <v>85</v>
      </c>
      <c r="E7" s="56" t="s">
        <v>93</v>
      </c>
      <c r="F7" s="56"/>
      <c r="G7" s="57" t="s">
        <v>85</v>
      </c>
      <c r="H7" s="48"/>
    </row>
    <row r="8" spans="1:8" x14ac:dyDescent="0.3">
      <c r="B8" s="70">
        <v>5</v>
      </c>
      <c r="C8" s="71"/>
      <c r="D8" s="53" t="s">
        <v>94</v>
      </c>
      <c r="E8" s="52" t="s">
        <v>93</v>
      </c>
      <c r="F8" s="52"/>
      <c r="G8" s="53"/>
    </row>
    <row r="9" spans="1:8" x14ac:dyDescent="0.3">
      <c r="B9" s="70">
        <v>6</v>
      </c>
      <c r="C9" s="71"/>
      <c r="D9" s="53" t="s">
        <v>95</v>
      </c>
      <c r="E9" s="52" t="s">
        <v>90</v>
      </c>
      <c r="F9" s="52"/>
      <c r="G9" s="53"/>
    </row>
    <row r="10" spans="1:8" s="55" customFormat="1" x14ac:dyDescent="0.3">
      <c r="A10" s="48"/>
      <c r="B10" s="65"/>
      <c r="C10" s="56" t="s">
        <v>73</v>
      </c>
      <c r="D10" s="56" t="s">
        <v>67</v>
      </c>
      <c r="E10" s="56" t="s">
        <v>96</v>
      </c>
      <c r="F10" s="56"/>
      <c r="G10" s="57" t="s">
        <v>43</v>
      </c>
      <c r="H10" s="48"/>
    </row>
    <row r="11" spans="1:8" ht="37.5" x14ac:dyDescent="0.3">
      <c r="B11" s="73"/>
      <c r="C11" s="52" t="s">
        <v>97</v>
      </c>
      <c r="D11" s="53" t="s">
        <v>98</v>
      </c>
      <c r="E11" s="52" t="s">
        <v>99</v>
      </c>
      <c r="F11" s="52"/>
      <c r="G11" s="53"/>
    </row>
    <row r="12" spans="1:8" x14ac:dyDescent="0.3">
      <c r="B12" s="73"/>
      <c r="C12" s="52" t="s">
        <v>100</v>
      </c>
      <c r="D12" s="53" t="s">
        <v>101</v>
      </c>
      <c r="E12" s="52" t="s">
        <v>93</v>
      </c>
      <c r="F12" s="52"/>
      <c r="G12" s="53"/>
    </row>
    <row r="13" spans="1:8" s="55" customFormat="1" x14ac:dyDescent="0.3">
      <c r="A13" s="48"/>
      <c r="B13" s="66"/>
      <c r="C13" s="56" t="s">
        <v>74</v>
      </c>
      <c r="D13" s="56" t="s">
        <v>68</v>
      </c>
      <c r="E13" s="56" t="s">
        <v>93</v>
      </c>
      <c r="F13" s="56"/>
      <c r="G13" s="57" t="s">
        <v>49</v>
      </c>
      <c r="H13" s="48"/>
    </row>
    <row r="14" spans="1:8" x14ac:dyDescent="0.3">
      <c r="B14" s="73"/>
      <c r="C14" s="52" t="s">
        <v>102</v>
      </c>
      <c r="D14" s="53" t="s">
        <v>103</v>
      </c>
      <c r="E14" s="52" t="s">
        <v>93</v>
      </c>
      <c r="F14" s="52"/>
      <c r="G14" s="53"/>
    </row>
    <row r="15" spans="1:8" x14ac:dyDescent="0.3">
      <c r="B15" s="73"/>
      <c r="C15" s="52" t="s">
        <v>104</v>
      </c>
      <c r="D15" s="53" t="s">
        <v>105</v>
      </c>
      <c r="E15" s="52" t="s">
        <v>93</v>
      </c>
      <c r="F15" s="52"/>
      <c r="G15" s="53"/>
    </row>
    <row r="16" spans="1:8" x14ac:dyDescent="0.3">
      <c r="B16" s="74"/>
      <c r="C16" s="52" t="s">
        <v>106</v>
      </c>
      <c r="D16" s="53" t="s">
        <v>107</v>
      </c>
      <c r="E16" s="52" t="s">
        <v>93</v>
      </c>
      <c r="F16" s="52"/>
      <c r="G16" s="53"/>
    </row>
    <row r="17" spans="1:8" x14ac:dyDescent="0.3">
      <c r="B17" s="70">
        <v>7</v>
      </c>
      <c r="C17" s="71"/>
      <c r="D17" s="53" t="s">
        <v>108</v>
      </c>
      <c r="E17" s="52" t="s">
        <v>93</v>
      </c>
      <c r="F17" s="52"/>
      <c r="G17" s="53"/>
    </row>
    <row r="18" spans="1:8" s="55" customFormat="1" x14ac:dyDescent="0.3">
      <c r="A18" s="48"/>
      <c r="B18" s="72">
        <v>8</v>
      </c>
      <c r="C18" s="64"/>
      <c r="D18" s="56" t="s">
        <v>69</v>
      </c>
      <c r="E18" s="56" t="s">
        <v>93</v>
      </c>
      <c r="F18" s="56"/>
      <c r="G18" s="57" t="s">
        <v>17</v>
      </c>
      <c r="H18" s="48"/>
    </row>
    <row r="19" spans="1:8" x14ac:dyDescent="0.3">
      <c r="B19" s="70">
        <v>9</v>
      </c>
      <c r="C19" s="71"/>
      <c r="D19" s="53" t="s">
        <v>109</v>
      </c>
      <c r="E19" s="52"/>
      <c r="F19" s="52"/>
      <c r="G19" s="53"/>
    </row>
    <row r="20" spans="1:8" ht="37.5" x14ac:dyDescent="0.3">
      <c r="B20" s="70"/>
      <c r="C20" s="52" t="s">
        <v>110</v>
      </c>
      <c r="D20" s="53" t="s">
        <v>111</v>
      </c>
      <c r="E20" s="52" t="s">
        <v>96</v>
      </c>
      <c r="F20" s="52"/>
      <c r="G20" s="53"/>
    </row>
    <row r="21" spans="1:8" ht="37.5" x14ac:dyDescent="0.3">
      <c r="B21" s="70"/>
      <c r="C21" s="52" t="s">
        <v>112</v>
      </c>
      <c r="D21" s="53" t="s">
        <v>113</v>
      </c>
      <c r="E21" s="52" t="s">
        <v>96</v>
      </c>
      <c r="F21" s="52"/>
      <c r="G21" s="53"/>
    </row>
    <row r="22" spans="1:8" x14ac:dyDescent="0.3">
      <c r="B22" s="70">
        <v>10</v>
      </c>
      <c r="C22" s="71"/>
      <c r="D22" s="53" t="s">
        <v>114</v>
      </c>
      <c r="E22" s="52" t="s">
        <v>96</v>
      </c>
      <c r="F22" s="52"/>
      <c r="G22" s="53"/>
    </row>
    <row r="23" spans="1:8" x14ac:dyDescent="0.3">
      <c r="B23" s="70">
        <v>11</v>
      </c>
      <c r="C23" s="71"/>
      <c r="D23" s="53" t="s">
        <v>115</v>
      </c>
      <c r="E23" s="52" t="s">
        <v>99</v>
      </c>
      <c r="F23" s="52"/>
      <c r="G23" s="53"/>
    </row>
    <row r="24" spans="1:8" x14ac:dyDescent="0.3">
      <c r="B24" s="70">
        <v>12</v>
      </c>
      <c r="C24" s="71"/>
      <c r="D24" s="53" t="s">
        <v>116</v>
      </c>
      <c r="E24" s="52" t="s">
        <v>93</v>
      </c>
      <c r="F24" s="52"/>
      <c r="G24" s="53"/>
    </row>
    <row r="25" spans="1:8" x14ac:dyDescent="0.3">
      <c r="B25" s="70">
        <v>13</v>
      </c>
      <c r="C25" s="71"/>
      <c r="D25" s="53" t="s">
        <v>117</v>
      </c>
      <c r="E25" s="52"/>
      <c r="F25" s="52"/>
      <c r="G25" s="53"/>
    </row>
    <row r="26" spans="1:8" s="55" customFormat="1" x14ac:dyDescent="0.3">
      <c r="A26" s="48"/>
      <c r="B26" s="65"/>
      <c r="C26" s="56" t="s">
        <v>118</v>
      </c>
      <c r="D26" s="56" t="s">
        <v>50</v>
      </c>
      <c r="E26" s="56" t="s">
        <v>93</v>
      </c>
      <c r="F26" s="56"/>
      <c r="G26" s="57" t="s">
        <v>50</v>
      </c>
      <c r="H26" s="48"/>
    </row>
    <row r="27" spans="1:8" s="55" customFormat="1" x14ac:dyDescent="0.3">
      <c r="A27" s="48"/>
      <c r="B27" s="66"/>
      <c r="C27" s="56" t="s">
        <v>119</v>
      </c>
      <c r="D27" s="56" t="s">
        <v>70</v>
      </c>
      <c r="E27" s="56" t="s">
        <v>93</v>
      </c>
      <c r="F27" s="56"/>
      <c r="G27" s="57" t="s">
        <v>51</v>
      </c>
      <c r="H27" s="48"/>
    </row>
    <row r="28" spans="1:8" s="55" customFormat="1" x14ac:dyDescent="0.3">
      <c r="A28" s="48"/>
      <c r="B28" s="67"/>
      <c r="C28" s="56" t="s">
        <v>120</v>
      </c>
      <c r="D28" s="56" t="s">
        <v>71</v>
      </c>
      <c r="E28" s="56" t="s">
        <v>93</v>
      </c>
      <c r="F28" s="56"/>
      <c r="G28" s="57" t="s">
        <v>52</v>
      </c>
      <c r="H28" s="48"/>
    </row>
    <row r="29" spans="1:8" s="55" customFormat="1" x14ac:dyDescent="0.3">
      <c r="A29" s="48"/>
      <c r="B29" s="72">
        <v>14</v>
      </c>
      <c r="C29" s="64"/>
      <c r="D29" s="56" t="s">
        <v>44</v>
      </c>
      <c r="E29" s="56" t="s">
        <v>93</v>
      </c>
      <c r="F29" s="56"/>
      <c r="G29" s="57" t="s">
        <v>44</v>
      </c>
      <c r="H29" s="48"/>
    </row>
    <row r="30" spans="1:8" s="55" customFormat="1" x14ac:dyDescent="0.3">
      <c r="A30" s="48"/>
      <c r="B30" s="72">
        <v>15</v>
      </c>
      <c r="C30" s="64"/>
      <c r="D30" s="56" t="s">
        <v>72</v>
      </c>
      <c r="E30" s="56" t="s">
        <v>93</v>
      </c>
      <c r="F30" s="56"/>
      <c r="G30" s="57" t="s">
        <v>53</v>
      </c>
      <c r="H30" s="48"/>
    </row>
    <row r="31" spans="1:8" ht="37.5" x14ac:dyDescent="0.3">
      <c r="B31" s="70">
        <v>16</v>
      </c>
      <c r="C31" s="71"/>
      <c r="D31" s="53" t="s">
        <v>121</v>
      </c>
      <c r="E31" s="52" t="s">
        <v>93</v>
      </c>
      <c r="F31" s="52"/>
      <c r="G31" s="53"/>
    </row>
    <row r="32" spans="1:8" s="55" customFormat="1" x14ac:dyDescent="0.3">
      <c r="A32" s="48"/>
      <c r="B32" s="72">
        <v>17</v>
      </c>
      <c r="C32" s="64"/>
      <c r="D32" s="56" t="s">
        <v>45</v>
      </c>
      <c r="E32" s="56" t="s">
        <v>93</v>
      </c>
      <c r="F32" s="56"/>
      <c r="G32" s="57" t="s">
        <v>45</v>
      </c>
      <c r="H32" s="48"/>
    </row>
    <row r="33" spans="2:7" x14ac:dyDescent="0.3">
      <c r="B33" s="70">
        <v>18</v>
      </c>
      <c r="C33" s="71"/>
      <c r="D33" s="53" t="s">
        <v>122</v>
      </c>
      <c r="E33" s="52" t="s">
        <v>93</v>
      </c>
      <c r="F33" s="52"/>
      <c r="G33" s="53"/>
    </row>
    <row r="35" spans="2:7" x14ac:dyDescent="0.3">
      <c r="B35" s="48" t="s">
        <v>167</v>
      </c>
    </row>
    <row r="36" spans="2:7" x14ac:dyDescent="0.3">
      <c r="B36" s="58" t="s">
        <v>123</v>
      </c>
    </row>
    <row r="37" spans="2:7" x14ac:dyDescent="0.3">
      <c r="B37" s="58" t="s">
        <v>124</v>
      </c>
    </row>
    <row r="38" spans="2:7" x14ac:dyDescent="0.3">
      <c r="B38" s="58"/>
    </row>
    <row r="39" spans="2:7" x14ac:dyDescent="0.3">
      <c r="B39" s="58"/>
    </row>
    <row r="40" spans="2:7" x14ac:dyDescent="0.3">
      <c r="B40" s="119" t="s">
        <v>165</v>
      </c>
      <c r="C40" s="119"/>
      <c r="D40" s="119"/>
    </row>
    <row r="41" spans="2:7" x14ac:dyDescent="0.3">
      <c r="B41" s="68"/>
      <c r="C41" s="68"/>
      <c r="D41" s="68"/>
    </row>
    <row r="42" spans="2:7" x14ac:dyDescent="0.3">
      <c r="B42" s="117" t="s">
        <v>88</v>
      </c>
      <c r="C42" s="118"/>
      <c r="D42" s="51" t="s">
        <v>89</v>
      </c>
    </row>
    <row r="43" spans="2:7" x14ac:dyDescent="0.3">
      <c r="B43" s="63" t="s">
        <v>125</v>
      </c>
      <c r="C43" s="64"/>
      <c r="D43" s="56" t="s">
        <v>126</v>
      </c>
    </row>
    <row r="44" spans="2:7" x14ac:dyDescent="0.3">
      <c r="B44" s="63" t="s">
        <v>127</v>
      </c>
      <c r="C44" s="64"/>
      <c r="D44" s="56" t="s">
        <v>128</v>
      </c>
    </row>
    <row r="45" spans="2:7" x14ac:dyDescent="0.3">
      <c r="B45" s="63" t="s">
        <v>129</v>
      </c>
      <c r="C45" s="64"/>
      <c r="D45" s="56" t="s">
        <v>130</v>
      </c>
    </row>
    <row r="46" spans="2:7" x14ac:dyDescent="0.3">
      <c r="B46" s="60"/>
      <c r="C46" s="56" t="s">
        <v>131</v>
      </c>
      <c r="D46" s="59" t="s">
        <v>132</v>
      </c>
    </row>
    <row r="47" spans="2:7" x14ac:dyDescent="0.3">
      <c r="B47" s="61"/>
      <c r="C47" s="56" t="s">
        <v>133</v>
      </c>
      <c r="D47" s="59" t="s">
        <v>134</v>
      </c>
    </row>
    <row r="48" spans="2:7" x14ac:dyDescent="0.3">
      <c r="B48" s="61"/>
      <c r="C48" s="56" t="s">
        <v>135</v>
      </c>
      <c r="D48" s="59" t="s">
        <v>136</v>
      </c>
    </row>
    <row r="49" spans="2:4" x14ac:dyDescent="0.3">
      <c r="B49" s="61"/>
      <c r="C49" s="56" t="s">
        <v>137</v>
      </c>
      <c r="D49" s="59" t="s">
        <v>138</v>
      </c>
    </row>
    <row r="50" spans="2:4" x14ac:dyDescent="0.3">
      <c r="B50" s="62"/>
      <c r="C50" s="56" t="s">
        <v>139</v>
      </c>
      <c r="D50" s="59" t="s">
        <v>140</v>
      </c>
    </row>
    <row r="51" spans="2:4" x14ac:dyDescent="0.3">
      <c r="B51" s="63" t="s">
        <v>141</v>
      </c>
      <c r="C51" s="64"/>
      <c r="D51" s="56" t="s">
        <v>142</v>
      </c>
    </row>
    <row r="52" spans="2:4" x14ac:dyDescent="0.3">
      <c r="B52" s="63" t="s">
        <v>143</v>
      </c>
      <c r="C52" s="64"/>
      <c r="D52" s="56" t="s">
        <v>144</v>
      </c>
    </row>
    <row r="53" spans="2:4" x14ac:dyDescent="0.3">
      <c r="B53" s="63" t="s">
        <v>145</v>
      </c>
      <c r="C53" s="64"/>
      <c r="D53" s="56" t="s">
        <v>146</v>
      </c>
    </row>
    <row r="54" spans="2:4" x14ac:dyDescent="0.3">
      <c r="B54" s="63" t="s">
        <v>147</v>
      </c>
      <c r="C54" s="64"/>
      <c r="D54" s="56" t="s">
        <v>148</v>
      </c>
    </row>
    <row r="55" spans="2:4" x14ac:dyDescent="0.3">
      <c r="B55" s="63" t="s">
        <v>149</v>
      </c>
      <c r="C55" s="64"/>
      <c r="D55" s="56" t="s">
        <v>150</v>
      </c>
    </row>
    <row r="56" spans="2:4" x14ac:dyDescent="0.3">
      <c r="B56" s="63" t="s">
        <v>151</v>
      </c>
      <c r="C56" s="64"/>
      <c r="D56" s="56" t="s">
        <v>152</v>
      </c>
    </row>
    <row r="57" spans="2:4" x14ac:dyDescent="0.3">
      <c r="B57" s="63" t="s">
        <v>153</v>
      </c>
      <c r="C57" s="64"/>
      <c r="D57" s="56" t="s">
        <v>154</v>
      </c>
    </row>
    <row r="58" spans="2:4" x14ac:dyDescent="0.3">
      <c r="B58" s="63" t="s">
        <v>155</v>
      </c>
      <c r="C58" s="64"/>
      <c r="D58" s="56" t="s">
        <v>156</v>
      </c>
    </row>
    <row r="59" spans="2:4" x14ac:dyDescent="0.3">
      <c r="B59" s="63" t="s">
        <v>157</v>
      </c>
      <c r="C59" s="64"/>
      <c r="D59" s="56" t="s">
        <v>158</v>
      </c>
    </row>
    <row r="60" spans="2:4" x14ac:dyDescent="0.3">
      <c r="B60" s="65"/>
      <c r="C60" s="56" t="s">
        <v>159</v>
      </c>
      <c r="D60" s="59" t="s">
        <v>160</v>
      </c>
    </row>
    <row r="61" spans="2:4" x14ac:dyDescent="0.3">
      <c r="B61" s="66"/>
      <c r="C61" s="56" t="s">
        <v>161</v>
      </c>
      <c r="D61" s="59" t="s">
        <v>162</v>
      </c>
    </row>
    <row r="62" spans="2:4" x14ac:dyDescent="0.3">
      <c r="B62" s="67"/>
      <c r="C62" s="56" t="s">
        <v>163</v>
      </c>
      <c r="D62" s="59" t="s">
        <v>164</v>
      </c>
    </row>
  </sheetData>
  <sheetProtection algorithmName="SHA-512" hashValue="8sNkhoHI5zpXqsofzjTqs8IkzPPbx8I0qjYQSAzIAkkR1gWWcvIlc3yUz2tEwu1CRikDogiAcMeGIsl/gw40sg==" saltValue="BiSRl7QClsbT3QrEcJVunA==" spinCount="100000" sheet="1" objects="1" scenarios="1"/>
  <mergeCells count="4">
    <mergeCell ref="B1:E1"/>
    <mergeCell ref="B3:C3"/>
    <mergeCell ref="B40:D40"/>
    <mergeCell ref="B42:C42"/>
  </mergeCells>
  <pageMargins left="0.55118110236220474" right="0.23622047244094491" top="0.47244094488188981" bottom="0.74803149606299213" header="0.31496062992125984" footer="0.31496062992125984"/>
  <pageSetup paperSize="9" scale="80" orientation="portrait" r:id="rId1"/>
  <rowBreaks count="1" manualBreakCount="1">
    <brk id="38" min="1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BBC7-261A-4910-8CF2-6095B35083AE}">
  <dimension ref="A1:C7"/>
  <sheetViews>
    <sheetView showGridLines="0" showRowColHeaders="0" zoomScale="170" zoomScaleNormal="170" workbookViewId="0">
      <selection activeCell="B6" sqref="B6"/>
    </sheetView>
  </sheetViews>
  <sheetFormatPr defaultColWidth="0" defaultRowHeight="15" zeroHeight="1" x14ac:dyDescent="0.25"/>
  <cols>
    <col min="1" max="1" width="9.140625" customWidth="1"/>
    <col min="2" max="2" width="72.85546875" bestFit="1" customWidth="1"/>
    <col min="3" max="3" width="9.140625" customWidth="1"/>
    <col min="4" max="16384" width="9.140625" hidden="1"/>
  </cols>
  <sheetData>
    <row r="1" spans="1:2" x14ac:dyDescent="0.25"/>
    <row r="2" spans="1:2" x14ac:dyDescent="0.25">
      <c r="A2" s="79"/>
      <c r="B2" s="79" t="s">
        <v>170</v>
      </c>
    </row>
    <row r="3" spans="1:2" x14ac:dyDescent="0.25">
      <c r="A3" s="47"/>
      <c r="B3" s="47" t="s">
        <v>171</v>
      </c>
    </row>
    <row r="4" spans="1:2" x14ac:dyDescent="0.25">
      <c r="A4" s="45"/>
      <c r="B4" s="45" t="s">
        <v>174</v>
      </c>
    </row>
    <row r="5" spans="1:2" x14ac:dyDescent="0.25">
      <c r="A5" s="80"/>
      <c r="B5" s="80" t="s">
        <v>172</v>
      </c>
    </row>
    <row r="6" spans="1:2" x14ac:dyDescent="0.25">
      <c r="A6" s="46"/>
      <c r="B6" s="46" t="s">
        <v>173</v>
      </c>
    </row>
    <row r="7" spans="1:2" x14ac:dyDescent="0.25"/>
  </sheetData>
  <sheetProtection algorithmName="SHA-512" hashValue="3XjN95S8OvB06uALQ58WGpk2Xyio/4y8sSx953PItMUvErUFUHOWlBp+X5zt4FrFjayrPlOSneyPT5fXGyuT3g==" saltValue="/o1YONxCRdhQHM1e0sYu5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5</vt:i4>
      </vt:variant>
      <vt:variant>
        <vt:lpstr>Névvel ellátott tartományok</vt:lpstr>
      </vt:variant>
      <vt:variant>
        <vt:i4>4</vt:i4>
      </vt:variant>
    </vt:vector>
  </HeadingPairs>
  <TitlesOfParts>
    <vt:vector size="9" baseType="lpstr">
      <vt:lpstr>Iktato</vt:lpstr>
      <vt:lpstr>Irattari_leltar</vt:lpstr>
      <vt:lpstr>Nyomtathato_iktato</vt:lpstr>
      <vt:lpstr>Ugykorjegyzek_2024tol</vt:lpstr>
      <vt:lpstr>Szinek</vt:lpstr>
      <vt:lpstr>Nevek</vt:lpstr>
      <vt:lpstr>Irattari_leltar!Nyomtatási_cím</vt:lpstr>
      <vt:lpstr>Nyomtathato_iktato!Nyomtatási_cím</vt:lpstr>
      <vt:lpstr>Ugykorjegyzek_2024tol!Nyomtatási_terület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 Tivadar</dc:creator>
  <cp:lastModifiedBy>Beke Tivadar</cp:lastModifiedBy>
  <cp:lastPrinted>2024-11-20T06:25:35Z</cp:lastPrinted>
  <dcterms:created xsi:type="dcterms:W3CDTF">2014-02-01T06:14:31Z</dcterms:created>
  <dcterms:modified xsi:type="dcterms:W3CDTF">2026-01-04T13:45:30Z</dcterms:modified>
</cp:coreProperties>
</file>